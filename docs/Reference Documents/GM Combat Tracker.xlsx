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goodington\Downloads\"/>
    </mc:Choice>
  </mc:AlternateContent>
  <xr:revisionPtr revIDLastSave="0" documentId="13_ncr:1_{82D29B25-1B87-4652-A0DF-54B1412A01AB}" xr6:coauthVersionLast="47" xr6:coauthVersionMax="47" xr10:uidLastSave="{00000000-0000-0000-0000-000000000000}"/>
  <bookViews>
    <workbookView xWindow="-38520" yWindow="-120" windowWidth="38640" windowHeight="21120" firstSheet="3" activeTab="7" xr2:uid="{00000000-000D-0000-FFFF-FFFF00000000}"/>
  </bookViews>
  <sheets>
    <sheet name="Combatant Information" sheetId="1" r:id="rId1"/>
    <sheet name="Character Sheet - P1" sheetId="2" r:id="rId2"/>
    <sheet name="Character Sheet - P2" sheetId="3" r:id="rId3"/>
    <sheet name="Character Sheet - P3" sheetId="4" r:id="rId4"/>
    <sheet name="Input" sheetId="5" r:id="rId5"/>
    <sheet name="Rank Progression" sheetId="6" state="hidden" r:id="rId6"/>
    <sheet name="Math" sheetId="7" r:id="rId7"/>
    <sheet name="Paths" sheetId="8" r:id="rId8"/>
    <sheet name="Reaction Progression &amp; Log" sheetId="9" r:id="rId9"/>
    <sheet name="Personality" sheetId="10" r:id="rId10"/>
    <sheet name="Battle Log" sheetId="11" r:id="rId11"/>
    <sheet name="Battle Scenarios" sheetId="12" r:id="rId12"/>
    <sheet name="BuffsDebuffs" sheetId="13" r:id="rId13"/>
    <sheet name="Defense Constraints" sheetId="14" state="hidden" r:id="rId14"/>
    <sheet name="Special Techniques" sheetId="15" r:id="rId15"/>
    <sheet name="Defense Simulations" sheetId="16" r:id="rId16"/>
    <sheet name="Combatant info data" sheetId="17" state="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2" i="17" l="1"/>
  <c r="AI12" i="17"/>
  <c r="AH12" i="17"/>
  <c r="AG12" i="17"/>
  <c r="AF12" i="17"/>
  <c r="Z12" i="17"/>
  <c r="Y12" i="17"/>
  <c r="X12" i="17"/>
  <c r="W12" i="17"/>
  <c r="V12" i="17"/>
  <c r="P12" i="17"/>
  <c r="S29" i="2" s="1"/>
  <c r="O12" i="17"/>
  <c r="N12" i="17"/>
  <c r="M12" i="17"/>
  <c r="N29" i="2" s="1"/>
  <c r="L12" i="17"/>
  <c r="L29" i="2" s="1"/>
  <c r="AJ11" i="17"/>
  <c r="S28" i="4" s="1"/>
  <c r="AI11" i="17"/>
  <c r="AH11" i="17"/>
  <c r="AG11" i="17"/>
  <c r="AF11" i="17"/>
  <c r="Z11" i="17"/>
  <c r="Y11" i="17"/>
  <c r="X11" i="17"/>
  <c r="W11" i="17"/>
  <c r="V11" i="17"/>
  <c r="P11" i="17"/>
  <c r="O11" i="17"/>
  <c r="R28" i="2" s="1"/>
  <c r="N11" i="17"/>
  <c r="M11" i="17"/>
  <c r="L11" i="17"/>
  <c r="L28" i="2" s="1"/>
  <c r="AJ10" i="17"/>
  <c r="S27" i="4" s="1"/>
  <c r="AI10" i="17"/>
  <c r="R27" i="4" s="1"/>
  <c r="AH10" i="17"/>
  <c r="AG10" i="17"/>
  <c r="AF10" i="17"/>
  <c r="Z10" i="17"/>
  <c r="Y10" i="17"/>
  <c r="X10" i="17"/>
  <c r="W10" i="17"/>
  <c r="V10" i="17"/>
  <c r="P10" i="17"/>
  <c r="O10" i="17"/>
  <c r="N10" i="17"/>
  <c r="Q27" i="2" s="1"/>
  <c r="M10" i="17"/>
  <c r="L10" i="17"/>
  <c r="AJ9" i="17"/>
  <c r="S26" i="4" s="1"/>
  <c r="AI9" i="17"/>
  <c r="R26" i="4" s="1"/>
  <c r="AH9" i="17"/>
  <c r="Q26" i="4" s="1"/>
  <c r="AG9" i="17"/>
  <c r="AF9" i="17"/>
  <c r="Z9" i="17"/>
  <c r="Y9" i="17"/>
  <c r="X9" i="17"/>
  <c r="W9" i="17"/>
  <c r="V9" i="17"/>
  <c r="P9" i="17"/>
  <c r="O9" i="17"/>
  <c r="N9" i="17"/>
  <c r="M9" i="17"/>
  <c r="N26" i="2" s="1"/>
  <c r="L9" i="17"/>
  <c r="AJ8" i="17"/>
  <c r="AI8" i="17"/>
  <c r="R25" i="4" s="1"/>
  <c r="AH8" i="17"/>
  <c r="Q25" i="4" s="1"/>
  <c r="AG8" i="17"/>
  <c r="N25" i="4" s="1"/>
  <c r="AF8" i="17"/>
  <c r="Z8" i="17"/>
  <c r="Y8" i="17"/>
  <c r="X8" i="17"/>
  <c r="W8" i="17"/>
  <c r="V8" i="17"/>
  <c r="P8" i="17"/>
  <c r="O8" i="17"/>
  <c r="N8" i="17"/>
  <c r="M8" i="17"/>
  <c r="L8" i="17"/>
  <c r="L25" i="2" s="1"/>
  <c r="AJ7" i="17"/>
  <c r="AI7" i="17"/>
  <c r="AH7" i="17"/>
  <c r="Q24" i="4" s="1"/>
  <c r="AG7" i="17"/>
  <c r="N24" i="4" s="1"/>
  <c r="AF7" i="17"/>
  <c r="L24" i="4" s="1"/>
  <c r="Z7" i="17"/>
  <c r="Y7" i="17"/>
  <c r="X7" i="17"/>
  <c r="W7" i="17"/>
  <c r="V7" i="17"/>
  <c r="P7" i="17"/>
  <c r="O7" i="17"/>
  <c r="N7" i="17"/>
  <c r="M7" i="17"/>
  <c r="L7" i="17"/>
  <c r="AJ6" i="17"/>
  <c r="S23" i="4" s="1"/>
  <c r="AI6" i="17"/>
  <c r="AH6" i="17"/>
  <c r="AG6" i="17"/>
  <c r="N23" i="4" s="1"/>
  <c r="AF6" i="17"/>
  <c r="L23" i="4" s="1"/>
  <c r="Z6" i="17"/>
  <c r="S23" i="3" s="1"/>
  <c r="Y6" i="17"/>
  <c r="X6" i="17"/>
  <c r="W6" i="17"/>
  <c r="V6" i="17"/>
  <c r="P6" i="17"/>
  <c r="O6" i="17"/>
  <c r="N6" i="17"/>
  <c r="M6" i="17"/>
  <c r="L6" i="17"/>
  <c r="M5" i="17"/>
  <c r="R5" i="17" s="1"/>
  <c r="W5" i="17" s="1"/>
  <c r="AB5" i="17" s="1"/>
  <c r="AG5" i="17" s="1"/>
  <c r="J5" i="17"/>
  <c r="O5" i="17" s="1"/>
  <c r="T5" i="17" s="1"/>
  <c r="Y5" i="17" s="1"/>
  <c r="AD5" i="17" s="1"/>
  <c r="AI5" i="17" s="1"/>
  <c r="I5" i="17"/>
  <c r="N5" i="17" s="1"/>
  <c r="S5" i="17" s="1"/>
  <c r="X5" i="17" s="1"/>
  <c r="AC5" i="17" s="1"/>
  <c r="AH5" i="17" s="1"/>
  <c r="H5" i="17"/>
  <c r="G5" i="17"/>
  <c r="L5" i="17" s="1"/>
  <c r="Q5" i="17" s="1"/>
  <c r="V5" i="17" s="1"/>
  <c r="AA5" i="17" s="1"/>
  <c r="AF5" i="17" s="1"/>
  <c r="F5" i="17"/>
  <c r="K5" i="17" s="1"/>
  <c r="P5" i="17" s="1"/>
  <c r="U5" i="17" s="1"/>
  <c r="Z5" i="17" s="1"/>
  <c r="AE5" i="17" s="1"/>
  <c r="AJ5" i="17" s="1"/>
  <c r="E5" i="17"/>
  <c r="D5" i="17"/>
  <c r="C5" i="17"/>
  <c r="B5" i="17"/>
  <c r="A5" i="17"/>
  <c r="A2" i="17"/>
  <c r="AD21" i="16"/>
  <c r="A6" i="16"/>
  <c r="G5" i="16"/>
  <c r="G6" i="16" s="1"/>
  <c r="G7" i="16" s="1"/>
  <c r="G8" i="16" s="1"/>
  <c r="G9" i="16" s="1"/>
  <c r="G10" i="16" s="1"/>
  <c r="G11" i="16" s="1"/>
  <c r="G12" i="16" s="1"/>
  <c r="G13" i="16" s="1"/>
  <c r="A5" i="16"/>
  <c r="J5" i="16" s="1"/>
  <c r="Z4" i="16"/>
  <c r="M4" i="16"/>
  <c r="H4" i="16"/>
  <c r="G4" i="16"/>
  <c r="J4" i="16" s="1"/>
  <c r="F4" i="16"/>
  <c r="F5" i="16" s="1"/>
  <c r="F6" i="16" s="1"/>
  <c r="F7" i="16" s="1"/>
  <c r="F8" i="16" s="1"/>
  <c r="F9" i="16" s="1"/>
  <c r="F10" i="16" s="1"/>
  <c r="F11" i="16" s="1"/>
  <c r="F12" i="16" s="1"/>
  <c r="F13" i="16" s="1"/>
  <c r="E4" i="16"/>
  <c r="B4" i="16"/>
  <c r="A4" i="16"/>
  <c r="W3" i="16"/>
  <c r="W4" i="16" s="1"/>
  <c r="W5" i="16" s="1"/>
  <c r="W6" i="16" s="1"/>
  <c r="W7" i="16" s="1"/>
  <c r="W8" i="16" s="1"/>
  <c r="W9" i="16" s="1"/>
  <c r="W10" i="16" s="1"/>
  <c r="W11" i="16" s="1"/>
  <c r="W12" i="16" s="1"/>
  <c r="W13" i="16" s="1"/>
  <c r="V3" i="16"/>
  <c r="V4" i="16" s="1"/>
  <c r="V5" i="16" s="1"/>
  <c r="V6" i="16" s="1"/>
  <c r="V7" i="16" s="1"/>
  <c r="V8" i="16" s="1"/>
  <c r="V9" i="16" s="1"/>
  <c r="V10" i="16" s="1"/>
  <c r="V11" i="16" s="1"/>
  <c r="V12" i="16" s="1"/>
  <c r="V13" i="16" s="1"/>
  <c r="U3" i="16"/>
  <c r="R3" i="16"/>
  <c r="O3" i="16"/>
  <c r="O4" i="16" s="1"/>
  <c r="O5" i="16" s="1"/>
  <c r="O6" i="16" s="1"/>
  <c r="O7" i="16" s="1"/>
  <c r="O8" i="16" s="1"/>
  <c r="O9" i="16" s="1"/>
  <c r="O10" i="16" s="1"/>
  <c r="O11" i="16" s="1"/>
  <c r="O12" i="16" s="1"/>
  <c r="O13" i="16" s="1"/>
  <c r="N3" i="16"/>
  <c r="N4" i="16" s="1"/>
  <c r="N5" i="16" s="1"/>
  <c r="N6" i="16" s="1"/>
  <c r="N7" i="16" s="1"/>
  <c r="N8" i="16" s="1"/>
  <c r="N9" i="16" s="1"/>
  <c r="N10" i="16" s="1"/>
  <c r="N11" i="16" s="1"/>
  <c r="N12" i="16" s="1"/>
  <c r="N13" i="16" s="1"/>
  <c r="M3" i="16"/>
  <c r="J3" i="16"/>
  <c r="H3" i="16"/>
  <c r="G3" i="16"/>
  <c r="F3" i="16"/>
  <c r="E3" i="16"/>
  <c r="M301" i="13"/>
  <c r="M300" i="13"/>
  <c r="M299" i="13"/>
  <c r="M298" i="13"/>
  <c r="M297" i="13"/>
  <c r="M296" i="13"/>
  <c r="M295" i="13"/>
  <c r="M294" i="13"/>
  <c r="M293" i="13"/>
  <c r="M292" i="13"/>
  <c r="M291" i="13"/>
  <c r="M290" i="13"/>
  <c r="M289" i="13"/>
  <c r="M288" i="13"/>
  <c r="M287" i="13"/>
  <c r="M286" i="13"/>
  <c r="M285" i="13"/>
  <c r="M284" i="13"/>
  <c r="M283" i="13"/>
  <c r="M282" i="13"/>
  <c r="M281" i="13"/>
  <c r="M280" i="13"/>
  <c r="M279" i="13"/>
  <c r="M278" i="13"/>
  <c r="M277" i="13"/>
  <c r="N276" i="13"/>
  <c r="M276" i="13"/>
  <c r="M275" i="13"/>
  <c r="M274" i="13"/>
  <c r="M273" i="13"/>
  <c r="N272" i="13"/>
  <c r="M272" i="13"/>
  <c r="M271" i="13"/>
  <c r="M270" i="13"/>
  <c r="Y269" i="13"/>
  <c r="M269" i="13"/>
  <c r="N268" i="13"/>
  <c r="M268" i="13"/>
  <c r="M267" i="13"/>
  <c r="M266" i="13"/>
  <c r="M265" i="13"/>
  <c r="N264" i="13"/>
  <c r="M264" i="13"/>
  <c r="M263" i="13"/>
  <c r="M262" i="13"/>
  <c r="M261" i="13"/>
  <c r="N260" i="13"/>
  <c r="M260" i="13"/>
  <c r="M259" i="13"/>
  <c r="M258" i="13"/>
  <c r="M257" i="13"/>
  <c r="M256" i="13"/>
  <c r="M255" i="13"/>
  <c r="M254" i="13"/>
  <c r="M253" i="13"/>
  <c r="N252" i="13"/>
  <c r="M252" i="13"/>
  <c r="M251" i="13"/>
  <c r="M250" i="13"/>
  <c r="M249" i="13"/>
  <c r="N248" i="13"/>
  <c r="M248" i="13"/>
  <c r="M247" i="13"/>
  <c r="M246" i="13"/>
  <c r="M245" i="13"/>
  <c r="AU244" i="13"/>
  <c r="M244" i="13"/>
  <c r="M243" i="13"/>
  <c r="M242" i="13"/>
  <c r="M241" i="13"/>
  <c r="M240" i="13"/>
  <c r="M239" i="13"/>
  <c r="M238" i="13"/>
  <c r="M237" i="13"/>
  <c r="N236" i="13"/>
  <c r="M236" i="13"/>
  <c r="M235" i="13"/>
  <c r="M234" i="13"/>
  <c r="M233" i="13"/>
  <c r="M232" i="13"/>
  <c r="M231" i="13"/>
  <c r="M230" i="13"/>
  <c r="M229" i="13"/>
  <c r="N228" i="13"/>
  <c r="M228" i="13"/>
  <c r="M227" i="13"/>
  <c r="M226" i="13"/>
  <c r="M225" i="13"/>
  <c r="M224" i="13"/>
  <c r="M223" i="13"/>
  <c r="M222" i="13"/>
  <c r="M221" i="13"/>
  <c r="N220" i="13"/>
  <c r="M220" i="13"/>
  <c r="AA219" i="13"/>
  <c r="M219" i="13"/>
  <c r="M218" i="13"/>
  <c r="M217" i="13"/>
  <c r="N216" i="13"/>
  <c r="M216" i="13"/>
  <c r="N215" i="13"/>
  <c r="M215" i="13"/>
  <c r="M214" i="13"/>
  <c r="M213" i="13"/>
  <c r="M212" i="13"/>
  <c r="N211" i="13"/>
  <c r="M211" i="13"/>
  <c r="M210" i="13"/>
  <c r="M209" i="13"/>
  <c r="N208" i="13"/>
  <c r="M208" i="13"/>
  <c r="M207" i="13"/>
  <c r="M206" i="13"/>
  <c r="M205" i="13"/>
  <c r="M204" i="13"/>
  <c r="N203" i="13"/>
  <c r="M203" i="13"/>
  <c r="M202" i="13"/>
  <c r="M201" i="13"/>
  <c r="M200" i="13"/>
  <c r="M199" i="13"/>
  <c r="M198" i="13"/>
  <c r="M197" i="13"/>
  <c r="N196" i="13"/>
  <c r="M196" i="13"/>
  <c r="M195" i="13"/>
  <c r="M194" i="13"/>
  <c r="M193" i="13"/>
  <c r="M192" i="13"/>
  <c r="M191" i="13"/>
  <c r="M190" i="13"/>
  <c r="M189" i="13"/>
  <c r="M188" i="13"/>
  <c r="M187" i="13"/>
  <c r="N186" i="13"/>
  <c r="M186" i="13"/>
  <c r="M185" i="13"/>
  <c r="M184" i="13"/>
  <c r="M183" i="13"/>
  <c r="N182" i="13"/>
  <c r="M182" i="13"/>
  <c r="M181" i="13"/>
  <c r="AI180" i="13"/>
  <c r="M180" i="13"/>
  <c r="M179" i="13"/>
  <c r="N178" i="13"/>
  <c r="M178" i="13"/>
  <c r="M177" i="13"/>
  <c r="M176" i="13"/>
  <c r="N175" i="13"/>
  <c r="M175" i="13"/>
  <c r="Y174" i="13"/>
  <c r="N174" i="13"/>
  <c r="M174" i="13"/>
  <c r="M173" i="13"/>
  <c r="M172" i="13"/>
  <c r="M171" i="13"/>
  <c r="N170" i="13"/>
  <c r="M170" i="13"/>
  <c r="M169" i="13"/>
  <c r="M168" i="13"/>
  <c r="AM167" i="13"/>
  <c r="M167" i="13"/>
  <c r="N166" i="13"/>
  <c r="M166" i="13"/>
  <c r="M165" i="13"/>
  <c r="M164" i="13"/>
  <c r="N163" i="13"/>
  <c r="M163" i="13"/>
  <c r="N162" i="13"/>
  <c r="M162" i="13"/>
  <c r="M161" i="13"/>
  <c r="M160" i="13"/>
  <c r="M159" i="13"/>
  <c r="N158" i="13"/>
  <c r="M158" i="13"/>
  <c r="M157" i="13"/>
  <c r="M156" i="13"/>
  <c r="N155" i="13"/>
  <c r="M155" i="13"/>
  <c r="N154" i="13"/>
  <c r="M154" i="13"/>
  <c r="M153" i="13"/>
  <c r="M152" i="13"/>
  <c r="M151" i="13"/>
  <c r="N150" i="13"/>
  <c r="M150" i="13"/>
  <c r="M149" i="13"/>
  <c r="M148" i="13"/>
  <c r="AW147" i="13"/>
  <c r="N147" i="13"/>
  <c r="M147" i="13"/>
  <c r="N146" i="13"/>
  <c r="M146" i="13"/>
  <c r="M145" i="13"/>
  <c r="M144" i="13"/>
  <c r="N143" i="13"/>
  <c r="M143" i="13"/>
  <c r="AG142" i="13"/>
  <c r="AA142" i="13"/>
  <c r="N142" i="13"/>
  <c r="M142" i="13"/>
  <c r="M141" i="13"/>
  <c r="M140" i="13"/>
  <c r="N139" i="13"/>
  <c r="M139" i="13"/>
  <c r="N138" i="13"/>
  <c r="M138" i="13"/>
  <c r="W137" i="13"/>
  <c r="U137" i="13"/>
  <c r="M137" i="13"/>
  <c r="M136" i="13"/>
  <c r="M135" i="13"/>
  <c r="N134" i="13"/>
  <c r="M134" i="13"/>
  <c r="M133" i="13"/>
  <c r="M132" i="13"/>
  <c r="AQ131" i="13"/>
  <c r="AO131" i="13"/>
  <c r="M131" i="13"/>
  <c r="N130" i="13"/>
  <c r="M130" i="13"/>
  <c r="M129" i="13"/>
  <c r="M128" i="13"/>
  <c r="M127" i="13"/>
  <c r="AU126" i="13"/>
  <c r="AS126" i="13"/>
  <c r="N126" i="13"/>
  <c r="M126" i="13"/>
  <c r="M125" i="13"/>
  <c r="M124" i="13"/>
  <c r="N123" i="13"/>
  <c r="M123" i="13"/>
  <c r="W122" i="13"/>
  <c r="N122" i="13"/>
  <c r="M122" i="13"/>
  <c r="M121" i="13"/>
  <c r="M120" i="13"/>
  <c r="N119" i="13"/>
  <c r="M119" i="13"/>
  <c r="W118" i="13"/>
  <c r="N118" i="13"/>
  <c r="M118" i="13"/>
  <c r="M117" i="13"/>
  <c r="M116" i="13"/>
  <c r="Q115" i="13"/>
  <c r="M115" i="13"/>
  <c r="N114" i="13"/>
  <c r="M114" i="13"/>
  <c r="M113" i="13"/>
  <c r="N112" i="13"/>
  <c r="M112" i="13"/>
  <c r="Y111" i="13"/>
  <c r="W111" i="13"/>
  <c r="N111" i="13"/>
  <c r="M111" i="13"/>
  <c r="N110" i="13"/>
  <c r="M110" i="13"/>
  <c r="M109" i="13"/>
  <c r="M108" i="13"/>
  <c r="AU107" i="13"/>
  <c r="AS107" i="13"/>
  <c r="M107" i="13"/>
  <c r="N106" i="13"/>
  <c r="M106" i="13"/>
  <c r="M105" i="13"/>
  <c r="AM104" i="13"/>
  <c r="N104" i="13"/>
  <c r="M104" i="13"/>
  <c r="M103" i="13"/>
  <c r="N102" i="13"/>
  <c r="M102" i="13"/>
  <c r="M101" i="13"/>
  <c r="AI100" i="13"/>
  <c r="AG100" i="13"/>
  <c r="M100" i="13"/>
  <c r="M99" i="13"/>
  <c r="N98" i="13"/>
  <c r="M98" i="13"/>
  <c r="AG97" i="13"/>
  <c r="AE97" i="13"/>
  <c r="N97" i="13"/>
  <c r="M97" i="13"/>
  <c r="M96" i="13"/>
  <c r="O95" i="13"/>
  <c r="M95" i="13"/>
  <c r="M94" i="13"/>
  <c r="N93" i="13"/>
  <c r="M93" i="13"/>
  <c r="AC92" i="13"/>
  <c r="AA92" i="13"/>
  <c r="M92" i="13"/>
  <c r="M91" i="13"/>
  <c r="N90" i="13"/>
  <c r="M90" i="13"/>
  <c r="AG89" i="13"/>
  <c r="AE89" i="13"/>
  <c r="N89" i="13"/>
  <c r="M89" i="13"/>
  <c r="M88" i="13"/>
  <c r="O87" i="13"/>
  <c r="M87" i="13"/>
  <c r="M86" i="13"/>
  <c r="N85" i="13"/>
  <c r="M85" i="13"/>
  <c r="AC84" i="13"/>
  <c r="AA84" i="13"/>
  <c r="M84" i="13"/>
  <c r="M83" i="13"/>
  <c r="N82" i="13"/>
  <c r="M82" i="13"/>
  <c r="AG81" i="13"/>
  <c r="AE81" i="13"/>
  <c r="N81" i="13"/>
  <c r="M81" i="13"/>
  <c r="M80" i="13"/>
  <c r="O79" i="13"/>
  <c r="M79" i="13"/>
  <c r="M78" i="13"/>
  <c r="N77" i="13"/>
  <c r="M77" i="13"/>
  <c r="AC76" i="13"/>
  <c r="AA76" i="13"/>
  <c r="M76" i="13"/>
  <c r="M75" i="13"/>
  <c r="N74" i="13"/>
  <c r="M74" i="13"/>
  <c r="AG73" i="13"/>
  <c r="AE73" i="13"/>
  <c r="N73" i="13"/>
  <c r="M73" i="13"/>
  <c r="M72" i="13"/>
  <c r="M71" i="13"/>
  <c r="AU70" i="13"/>
  <c r="N70" i="13"/>
  <c r="M70" i="13"/>
  <c r="M69" i="13"/>
  <c r="AC68" i="13"/>
  <c r="M68" i="13"/>
  <c r="M67" i="13"/>
  <c r="S66" i="13"/>
  <c r="Q66" i="13"/>
  <c r="M66" i="13"/>
  <c r="N65" i="13"/>
  <c r="M65" i="13"/>
  <c r="AU64" i="13"/>
  <c r="AS64" i="13"/>
  <c r="N64" i="13"/>
  <c r="M64" i="13"/>
  <c r="AG63" i="13"/>
  <c r="N63" i="13"/>
  <c r="M63" i="13"/>
  <c r="M62" i="13"/>
  <c r="AU61" i="13"/>
  <c r="AQ61" i="13"/>
  <c r="M61" i="13"/>
  <c r="AC60" i="13"/>
  <c r="M60" i="13"/>
  <c r="Q59" i="13"/>
  <c r="M59" i="13"/>
  <c r="AW58" i="13"/>
  <c r="N58" i="13"/>
  <c r="M58" i="13"/>
  <c r="AI57" i="13"/>
  <c r="AG57" i="13"/>
  <c r="N57" i="13"/>
  <c r="M57" i="13"/>
  <c r="W56" i="13"/>
  <c r="U56" i="13"/>
  <c r="N56" i="13"/>
  <c r="M56" i="13"/>
  <c r="N55" i="13"/>
  <c r="M55" i="13"/>
  <c r="F55" i="13"/>
  <c r="E55" i="13"/>
  <c r="M54" i="13"/>
  <c r="AU53" i="13"/>
  <c r="AQ53" i="13"/>
  <c r="M53" i="13"/>
  <c r="Q52" i="13"/>
  <c r="M52" i="13"/>
  <c r="N51" i="13"/>
  <c r="M51" i="13"/>
  <c r="AU50" i="13"/>
  <c r="AS50" i="13"/>
  <c r="N50" i="13"/>
  <c r="M50" i="13"/>
  <c r="AU49" i="13"/>
  <c r="AG49" i="13"/>
  <c r="O49" i="13"/>
  <c r="N49" i="13"/>
  <c r="M49" i="13"/>
  <c r="AE48" i="13"/>
  <c r="M48" i="13"/>
  <c r="Q47" i="13"/>
  <c r="M47" i="13"/>
  <c r="AM46" i="13"/>
  <c r="AK46" i="13"/>
  <c r="M46" i="13"/>
  <c r="AE45" i="13"/>
  <c r="AA45" i="13"/>
  <c r="Y45" i="13"/>
  <c r="M45" i="13"/>
  <c r="AU44" i="13"/>
  <c r="AA44" i="13"/>
  <c r="S44" i="13"/>
  <c r="N44" i="13"/>
  <c r="M44" i="13"/>
  <c r="AE43" i="13"/>
  <c r="AA43" i="13"/>
  <c r="Y43" i="13"/>
  <c r="N43" i="13"/>
  <c r="M43" i="13"/>
  <c r="AW42" i="13"/>
  <c r="W42" i="13"/>
  <c r="N42" i="13"/>
  <c r="M42" i="13"/>
  <c r="AI41" i="13"/>
  <c r="W41" i="13"/>
  <c r="O41" i="13"/>
  <c r="N41" i="13"/>
  <c r="M41" i="13"/>
  <c r="AI40" i="13"/>
  <c r="W40" i="13"/>
  <c r="M40" i="13"/>
  <c r="S39" i="13"/>
  <c r="O39" i="13"/>
  <c r="N39" i="13"/>
  <c r="M39" i="13"/>
  <c r="AG38" i="13"/>
  <c r="M38" i="13"/>
  <c r="E38" i="13"/>
  <c r="D38" i="13"/>
  <c r="Q37" i="13"/>
  <c r="M37" i="13"/>
  <c r="S36" i="13"/>
  <c r="M36" i="13"/>
  <c r="AW35" i="13"/>
  <c r="AU35" i="13"/>
  <c r="AS35" i="13"/>
  <c r="N35" i="13"/>
  <c r="M35" i="13"/>
  <c r="AG34" i="13"/>
  <c r="AC34" i="13"/>
  <c r="AA34" i="13"/>
  <c r="M34" i="13"/>
  <c r="AU33" i="13"/>
  <c r="AE33" i="13"/>
  <c r="S33" i="13"/>
  <c r="M33" i="13"/>
  <c r="AO32" i="13"/>
  <c r="AG32" i="13"/>
  <c r="AC32" i="13"/>
  <c r="S32" i="13"/>
  <c r="M32" i="13"/>
  <c r="AW31" i="13"/>
  <c r="Y31" i="13"/>
  <c r="W31" i="13"/>
  <c r="M31" i="13"/>
  <c r="AU30" i="13"/>
  <c r="AA30" i="13"/>
  <c r="Y30" i="13"/>
  <c r="M30" i="13"/>
  <c r="AU29" i="13"/>
  <c r="AI29" i="13"/>
  <c r="AG29" i="13"/>
  <c r="AE29" i="13"/>
  <c r="AC29" i="13"/>
  <c r="N29" i="13"/>
  <c r="M29" i="13"/>
  <c r="AS28" i="13"/>
  <c r="AG28" i="13"/>
  <c r="AA28" i="13"/>
  <c r="N28" i="13"/>
  <c r="M28" i="13"/>
  <c r="AS27" i="13"/>
  <c r="AO27" i="13"/>
  <c r="AM27" i="13"/>
  <c r="M27" i="13"/>
  <c r="AQ26" i="13"/>
  <c r="AO26" i="13"/>
  <c r="M26" i="13"/>
  <c r="AW25" i="13"/>
  <c r="N25" i="13"/>
  <c r="M25" i="13"/>
  <c r="AE24" i="13"/>
  <c r="Q24" i="13"/>
  <c r="O24" i="13"/>
  <c r="M24" i="13"/>
  <c r="AI23" i="13"/>
  <c r="AG23" i="13"/>
  <c r="W23" i="13"/>
  <c r="M23" i="13"/>
  <c r="AW22" i="13"/>
  <c r="AO22" i="13"/>
  <c r="AA22" i="13"/>
  <c r="N22" i="13"/>
  <c r="M22" i="13"/>
  <c r="AS21" i="13"/>
  <c r="AO21" i="13"/>
  <c r="AM21" i="13"/>
  <c r="N21" i="13"/>
  <c r="M21" i="13"/>
  <c r="B21" i="13"/>
  <c r="A21" i="13"/>
  <c r="S20" i="13"/>
  <c r="Q20" i="13"/>
  <c r="O20" i="13"/>
  <c r="N20" i="13"/>
  <c r="M20" i="13"/>
  <c r="AI19" i="13"/>
  <c r="AG19" i="13"/>
  <c r="AA19" i="13"/>
  <c r="W19" i="13"/>
  <c r="M19" i="13"/>
  <c r="AS18" i="13"/>
  <c r="AI18" i="13"/>
  <c r="AE18" i="13"/>
  <c r="AA18" i="13"/>
  <c r="Y18" i="13"/>
  <c r="M18" i="13"/>
  <c r="AI17" i="13"/>
  <c r="AG17" i="13"/>
  <c r="AC17" i="13"/>
  <c r="AA17" i="13"/>
  <c r="M17" i="13"/>
  <c r="F17" i="13"/>
  <c r="E17" i="13"/>
  <c r="D17" i="13"/>
  <c r="C17" i="13"/>
  <c r="B17" i="13"/>
  <c r="A17" i="13"/>
  <c r="AW16" i="13"/>
  <c r="AU16" i="13"/>
  <c r="AS16" i="13"/>
  <c r="AQ16" i="13"/>
  <c r="S16" i="13"/>
  <c r="Q16" i="13"/>
  <c r="M16" i="13"/>
  <c r="F16" i="13"/>
  <c r="E16" i="13"/>
  <c r="D16" i="13"/>
  <c r="C16" i="13"/>
  <c r="B16" i="13"/>
  <c r="A16" i="13"/>
  <c r="AI15" i="13"/>
  <c r="AG15" i="13"/>
  <c r="AE15" i="13"/>
  <c r="AC15" i="13"/>
  <c r="Y15" i="13"/>
  <c r="S15" i="13"/>
  <c r="M15" i="13"/>
  <c r="F15" i="13"/>
  <c r="E15" i="13"/>
  <c r="D15" i="13"/>
  <c r="C15" i="13"/>
  <c r="B15" i="13"/>
  <c r="A15" i="13"/>
  <c r="AW14" i="13"/>
  <c r="AU14" i="13"/>
  <c r="AI14" i="13"/>
  <c r="AG14" i="13"/>
  <c r="O14" i="13"/>
  <c r="N14" i="13"/>
  <c r="M14" i="13"/>
  <c r="F14" i="13"/>
  <c r="E14" i="13"/>
  <c r="D14" i="13"/>
  <c r="C14" i="13"/>
  <c r="B14" i="13"/>
  <c r="A14" i="13"/>
  <c r="AI13" i="13"/>
  <c r="AG13" i="13"/>
  <c r="Y13" i="13"/>
  <c r="S13" i="13"/>
  <c r="M13" i="13"/>
  <c r="F13" i="13"/>
  <c r="E13" i="13"/>
  <c r="D13" i="13"/>
  <c r="C13" i="13"/>
  <c r="B13" i="13"/>
  <c r="A13" i="13"/>
  <c r="AW12" i="13"/>
  <c r="AU12" i="13"/>
  <c r="AS12" i="13"/>
  <c r="AO12" i="13"/>
  <c r="AM12" i="13"/>
  <c r="S12" i="13"/>
  <c r="Q12" i="13"/>
  <c r="O12" i="13"/>
  <c r="N12" i="13"/>
  <c r="M12" i="13"/>
  <c r="F12" i="13"/>
  <c r="E12" i="13"/>
  <c r="D12" i="13"/>
  <c r="C12" i="13"/>
  <c r="B12" i="13"/>
  <c r="A12" i="13"/>
  <c r="AO11" i="13"/>
  <c r="AI11" i="13"/>
  <c r="AG11" i="13"/>
  <c r="AE11" i="13"/>
  <c r="AC11" i="13"/>
  <c r="AA11" i="13"/>
  <c r="N11" i="13"/>
  <c r="M11" i="13"/>
  <c r="F11" i="13"/>
  <c r="E11" i="13"/>
  <c r="D11" i="13"/>
  <c r="C11" i="13"/>
  <c r="B11" i="13"/>
  <c r="A11" i="13"/>
  <c r="AW10" i="13"/>
  <c r="AU10" i="13"/>
  <c r="AG10" i="13"/>
  <c r="AC10" i="13"/>
  <c r="S10" i="13"/>
  <c r="Q10" i="13"/>
  <c r="O10" i="13"/>
  <c r="N10" i="13"/>
  <c r="M10" i="13"/>
  <c r="F10" i="13"/>
  <c r="E10" i="13"/>
  <c r="D10" i="13"/>
  <c r="C10" i="13"/>
  <c r="B10" i="13"/>
  <c r="A10" i="13"/>
  <c r="AW9" i="13"/>
  <c r="AU9" i="13"/>
  <c r="AO9" i="13"/>
  <c r="AI9" i="13"/>
  <c r="Q9" i="13"/>
  <c r="O9" i="13"/>
  <c r="M9" i="13"/>
  <c r="F9" i="13"/>
  <c r="E9" i="13"/>
  <c r="D9" i="13"/>
  <c r="C9" i="13"/>
  <c r="B9" i="13"/>
  <c r="A9" i="13"/>
  <c r="AI8" i="13"/>
  <c r="AG8" i="13"/>
  <c r="AE8" i="13"/>
  <c r="AC8" i="13"/>
  <c r="Y8" i="13"/>
  <c r="W8" i="13"/>
  <c r="M8" i="13"/>
  <c r="F8" i="13"/>
  <c r="E8" i="13"/>
  <c r="D8" i="13"/>
  <c r="C8" i="13"/>
  <c r="B8" i="13"/>
  <c r="A8" i="13"/>
  <c r="AW7" i="13"/>
  <c r="AU7" i="13"/>
  <c r="AS7" i="13"/>
  <c r="AQ7" i="13"/>
  <c r="Y7" i="13"/>
  <c r="S7" i="13"/>
  <c r="Q7" i="13"/>
  <c r="O7" i="13"/>
  <c r="M7" i="13"/>
  <c r="F7" i="13"/>
  <c r="E7" i="13"/>
  <c r="D7" i="13"/>
  <c r="C7" i="13"/>
  <c r="B7" i="13"/>
  <c r="A7" i="13"/>
  <c r="AW6" i="13"/>
  <c r="AS6" i="13"/>
  <c r="AI6" i="13"/>
  <c r="AG6" i="13"/>
  <c r="AE6" i="13"/>
  <c r="Q6" i="13"/>
  <c r="N6" i="13"/>
  <c r="M6" i="13"/>
  <c r="F6" i="13"/>
  <c r="E6" i="13"/>
  <c r="D6" i="13"/>
  <c r="C6" i="13"/>
  <c r="B6" i="13"/>
  <c r="A6" i="13"/>
  <c r="AW5" i="13"/>
  <c r="AG5" i="13"/>
  <c r="AE5" i="13"/>
  <c r="Y5" i="13"/>
  <c r="S5" i="13"/>
  <c r="M5" i="13"/>
  <c r="F5" i="13"/>
  <c r="E5" i="13"/>
  <c r="D5" i="13"/>
  <c r="C5" i="13"/>
  <c r="B5" i="13"/>
  <c r="A5" i="13"/>
  <c r="AW4" i="13"/>
  <c r="AU4" i="13"/>
  <c r="AS4" i="13"/>
  <c r="AO4" i="13"/>
  <c r="AM4" i="13"/>
  <c r="S4" i="13"/>
  <c r="Q4" i="13"/>
  <c r="O4" i="13"/>
  <c r="N4" i="13"/>
  <c r="M4" i="13"/>
  <c r="F4" i="13"/>
  <c r="E4" i="13"/>
  <c r="D4" i="13"/>
  <c r="C4" i="13"/>
  <c r="B4" i="13"/>
  <c r="A4" i="13"/>
  <c r="AW3" i="13"/>
  <c r="AO3" i="13"/>
  <c r="AI3" i="13"/>
  <c r="AG3" i="13"/>
  <c r="AE3" i="13"/>
  <c r="AC3" i="13"/>
  <c r="AA3" i="13"/>
  <c r="Q3" i="13"/>
  <c r="N3" i="13"/>
  <c r="M3" i="13"/>
  <c r="F3" i="13"/>
  <c r="E3" i="13"/>
  <c r="D3" i="13"/>
  <c r="C3" i="13"/>
  <c r="B3" i="13"/>
  <c r="A3" i="13"/>
  <c r="AW2" i="13"/>
  <c r="AU2" i="13"/>
  <c r="AI2" i="13"/>
  <c r="AG2" i="13"/>
  <c r="AC2" i="13"/>
  <c r="S2" i="13"/>
  <c r="Q2" i="13"/>
  <c r="O2" i="13"/>
  <c r="N2" i="13"/>
  <c r="M2" i="13"/>
  <c r="AW1" i="13"/>
  <c r="AW37" i="13" s="1"/>
  <c r="AV1" i="13"/>
  <c r="AU1" i="13"/>
  <c r="AU39" i="13" s="1"/>
  <c r="AT1" i="13"/>
  <c r="AS1" i="13"/>
  <c r="AS139" i="13" s="1"/>
  <c r="AR1" i="13"/>
  <c r="AQ1" i="13"/>
  <c r="AQ98" i="13" s="1"/>
  <c r="AP1" i="13"/>
  <c r="AO1" i="13"/>
  <c r="AO49" i="13" s="1"/>
  <c r="AN1" i="13"/>
  <c r="AM1" i="13"/>
  <c r="AM92" i="13" s="1"/>
  <c r="AL1" i="13"/>
  <c r="AK1" i="13"/>
  <c r="AJ1" i="13"/>
  <c r="AI1" i="13"/>
  <c r="AI153" i="13" s="1"/>
  <c r="AH1" i="13"/>
  <c r="AG1" i="13"/>
  <c r="AG164" i="13" s="1"/>
  <c r="AF1" i="13"/>
  <c r="AE1" i="13"/>
  <c r="AE65" i="13" s="1"/>
  <c r="AD1" i="13"/>
  <c r="AC1" i="13"/>
  <c r="AC72" i="13" s="1"/>
  <c r="AB1" i="13"/>
  <c r="AA1" i="13"/>
  <c r="AA169" i="13" s="1"/>
  <c r="Z1" i="13"/>
  <c r="Y1" i="13"/>
  <c r="Y138" i="13" s="1"/>
  <c r="X1" i="13"/>
  <c r="W1" i="13"/>
  <c r="W33" i="13" s="1"/>
  <c r="V1" i="13"/>
  <c r="U1" i="13"/>
  <c r="U5" i="13" s="1"/>
  <c r="T1" i="13"/>
  <c r="S1" i="13"/>
  <c r="S97" i="13" s="1"/>
  <c r="R1" i="13"/>
  <c r="Q1" i="13"/>
  <c r="Q178" i="13" s="1"/>
  <c r="P1" i="13"/>
  <c r="O1" i="13"/>
  <c r="O61" i="13" s="1"/>
  <c r="AG1000" i="12"/>
  <c r="AF1000" i="12"/>
  <c r="AE1000" i="12"/>
  <c r="AD1000" i="12"/>
  <c r="AC1000" i="12"/>
  <c r="AB1000" i="12"/>
  <c r="AG999" i="12"/>
  <c r="AF999" i="12"/>
  <c r="AE999" i="12"/>
  <c r="AD999" i="12"/>
  <c r="AC999" i="12"/>
  <c r="AB999" i="12"/>
  <c r="AI998" i="12"/>
  <c r="AH998" i="12"/>
  <c r="AG998" i="12"/>
  <c r="AF998" i="12"/>
  <c r="AE998" i="12"/>
  <c r="AD998" i="12"/>
  <c r="AC998" i="12"/>
  <c r="AB998" i="12"/>
  <c r="AI997" i="12"/>
  <c r="AH997" i="12"/>
  <c r="AG997" i="12"/>
  <c r="AF997" i="12"/>
  <c r="AE997" i="12"/>
  <c r="AD997" i="12"/>
  <c r="AC997" i="12"/>
  <c r="AB997" i="12"/>
  <c r="AI996" i="12"/>
  <c r="AH996" i="12"/>
  <c r="AG996" i="12"/>
  <c r="AF996" i="12"/>
  <c r="AE996" i="12"/>
  <c r="AD996" i="12"/>
  <c r="AC996" i="12"/>
  <c r="AB996" i="12"/>
  <c r="AI995" i="12"/>
  <c r="AH995" i="12"/>
  <c r="AG995" i="12"/>
  <c r="AF995" i="12"/>
  <c r="AE995" i="12"/>
  <c r="AD995" i="12"/>
  <c r="AC995" i="12"/>
  <c r="AB995" i="12"/>
  <c r="AI994" i="12"/>
  <c r="AH994" i="12"/>
  <c r="AG994" i="12"/>
  <c r="AF994" i="12"/>
  <c r="AE994" i="12"/>
  <c r="AD994" i="12"/>
  <c r="AC994" i="12"/>
  <c r="AB994" i="12"/>
  <c r="AI993" i="12"/>
  <c r="AH993" i="12"/>
  <c r="AG993" i="12"/>
  <c r="AF993" i="12"/>
  <c r="AE993" i="12"/>
  <c r="AD993" i="12"/>
  <c r="AC993" i="12"/>
  <c r="AB993" i="12"/>
  <c r="AI992" i="12"/>
  <c r="AH992" i="12"/>
  <c r="AG992" i="12"/>
  <c r="AF992" i="12"/>
  <c r="AE992" i="12"/>
  <c r="AD992" i="12"/>
  <c r="AC992" i="12"/>
  <c r="AB992" i="12"/>
  <c r="AI991" i="12"/>
  <c r="AH991" i="12"/>
  <c r="AG991" i="12"/>
  <c r="AF991" i="12"/>
  <c r="AE991" i="12"/>
  <c r="AD991" i="12"/>
  <c r="AC991" i="12"/>
  <c r="AB991" i="12"/>
  <c r="AI990" i="12"/>
  <c r="AH990" i="12"/>
  <c r="AG990" i="12"/>
  <c r="AF990" i="12"/>
  <c r="AE990" i="12"/>
  <c r="AD990" i="12"/>
  <c r="AC990" i="12"/>
  <c r="AB990" i="12"/>
  <c r="AI989" i="12"/>
  <c r="AH989" i="12"/>
  <c r="AG989" i="12"/>
  <c r="AF989" i="12"/>
  <c r="AE989" i="12"/>
  <c r="AD989" i="12"/>
  <c r="AC989" i="12"/>
  <c r="AB989" i="12"/>
  <c r="AI988" i="12"/>
  <c r="AH988" i="12"/>
  <c r="AG988" i="12"/>
  <c r="AF988" i="12"/>
  <c r="AE988" i="12"/>
  <c r="AD988" i="12"/>
  <c r="AC988" i="12"/>
  <c r="AB988" i="12"/>
  <c r="AI987" i="12"/>
  <c r="AH987" i="12"/>
  <c r="AG987" i="12"/>
  <c r="AF987" i="12"/>
  <c r="AE987" i="12"/>
  <c r="AD987" i="12"/>
  <c r="AC987" i="12"/>
  <c r="AB987" i="12"/>
  <c r="AI986" i="12"/>
  <c r="AH986" i="12"/>
  <c r="AG986" i="12"/>
  <c r="AF986" i="12"/>
  <c r="AE986" i="12"/>
  <c r="AD986" i="12"/>
  <c r="AC986" i="12"/>
  <c r="AB986" i="12"/>
  <c r="AI985" i="12"/>
  <c r="AH985" i="12"/>
  <c r="AG985" i="12"/>
  <c r="AF985" i="12"/>
  <c r="AE985" i="12"/>
  <c r="AD985" i="12"/>
  <c r="AC985" i="12"/>
  <c r="AB985" i="12"/>
  <c r="AI984" i="12"/>
  <c r="AH984" i="12"/>
  <c r="AG984" i="12"/>
  <c r="AF984" i="12"/>
  <c r="AE984" i="12"/>
  <c r="AD984" i="12"/>
  <c r="AC984" i="12"/>
  <c r="AB984" i="12"/>
  <c r="AI983" i="12"/>
  <c r="AH983" i="12"/>
  <c r="AG983" i="12"/>
  <c r="AF983" i="12"/>
  <c r="AE983" i="12"/>
  <c r="AD983" i="12"/>
  <c r="AC983" i="12"/>
  <c r="AB983" i="12"/>
  <c r="AI982" i="12"/>
  <c r="AH982" i="12"/>
  <c r="AG982" i="12"/>
  <c r="AF982" i="12"/>
  <c r="AE982" i="12"/>
  <c r="AD982" i="12"/>
  <c r="AC982" i="12"/>
  <c r="AB982" i="12"/>
  <c r="AI981" i="12"/>
  <c r="AH981" i="12"/>
  <c r="AG981" i="12"/>
  <c r="AF981" i="12"/>
  <c r="AE981" i="12"/>
  <c r="AD981" i="12"/>
  <c r="AC981" i="12"/>
  <c r="AB981" i="12"/>
  <c r="AI980" i="12"/>
  <c r="AH980" i="12"/>
  <c r="AG980" i="12"/>
  <c r="AF980" i="12"/>
  <c r="AE980" i="12"/>
  <c r="AD980" i="12"/>
  <c r="AC980" i="12"/>
  <c r="AB980" i="12"/>
  <c r="AI979" i="12"/>
  <c r="AH979" i="12"/>
  <c r="AG979" i="12"/>
  <c r="AF979" i="12"/>
  <c r="AE979" i="12"/>
  <c r="AD979" i="12"/>
  <c r="AC979" i="12"/>
  <c r="AB979" i="12"/>
  <c r="AI978" i="12"/>
  <c r="AH978" i="12"/>
  <c r="AG978" i="12"/>
  <c r="AF978" i="12"/>
  <c r="AE978" i="12"/>
  <c r="AD978" i="12"/>
  <c r="AC978" i="12"/>
  <c r="AB978" i="12"/>
  <c r="AI977" i="12"/>
  <c r="AH977" i="12"/>
  <c r="AG977" i="12"/>
  <c r="AF977" i="12"/>
  <c r="AE977" i="12"/>
  <c r="AD977" i="12"/>
  <c r="AC977" i="12"/>
  <c r="AB977" i="12"/>
  <c r="AI976" i="12"/>
  <c r="AH976" i="12"/>
  <c r="AG976" i="12"/>
  <c r="AF976" i="12"/>
  <c r="AE976" i="12"/>
  <c r="AD976" i="12"/>
  <c r="AC976" i="12"/>
  <c r="AB976" i="12"/>
  <c r="AI975" i="12"/>
  <c r="AH975" i="12"/>
  <c r="AG975" i="12"/>
  <c r="AF975" i="12"/>
  <c r="AE975" i="12"/>
  <c r="AD975" i="12"/>
  <c r="AC975" i="12"/>
  <c r="AB975" i="12"/>
  <c r="AI974" i="12"/>
  <c r="AH974" i="12"/>
  <c r="AG974" i="12"/>
  <c r="AF974" i="12"/>
  <c r="AE974" i="12"/>
  <c r="AD974" i="12"/>
  <c r="AC974" i="12"/>
  <c r="AB974" i="12"/>
  <c r="AI973" i="12"/>
  <c r="AH973" i="12"/>
  <c r="AG973" i="12"/>
  <c r="AF973" i="12"/>
  <c r="AE973" i="12"/>
  <c r="AD973" i="12"/>
  <c r="AC973" i="12"/>
  <c r="AB973" i="12"/>
  <c r="AI972" i="12"/>
  <c r="AH972" i="12"/>
  <c r="AG972" i="12"/>
  <c r="AF972" i="12"/>
  <c r="AE972" i="12"/>
  <c r="AD972" i="12"/>
  <c r="AC972" i="12"/>
  <c r="AB972" i="12"/>
  <c r="AI971" i="12"/>
  <c r="AH971" i="12"/>
  <c r="AG971" i="12"/>
  <c r="AF971" i="12"/>
  <c r="AE971" i="12"/>
  <c r="AD971" i="12"/>
  <c r="AC971" i="12"/>
  <c r="AB971" i="12"/>
  <c r="AI970" i="12"/>
  <c r="AH970" i="12"/>
  <c r="AG970" i="12"/>
  <c r="AF970" i="12"/>
  <c r="AE970" i="12"/>
  <c r="AD970" i="12"/>
  <c r="AC970" i="12"/>
  <c r="AB970" i="12"/>
  <c r="AI969" i="12"/>
  <c r="AH969" i="12"/>
  <c r="AG969" i="12"/>
  <c r="AF969" i="12"/>
  <c r="AE969" i="12"/>
  <c r="AD969" i="12"/>
  <c r="AC969" i="12"/>
  <c r="AB969" i="12"/>
  <c r="AI968" i="12"/>
  <c r="AH968" i="12"/>
  <c r="AG968" i="12"/>
  <c r="AF968" i="12"/>
  <c r="AE968" i="12"/>
  <c r="AD968" i="12"/>
  <c r="AC968" i="12"/>
  <c r="AB968" i="12"/>
  <c r="AI967" i="12"/>
  <c r="AH967" i="12"/>
  <c r="AG967" i="12"/>
  <c r="AF967" i="12"/>
  <c r="AE967" i="12"/>
  <c r="AD967" i="12"/>
  <c r="AC967" i="12"/>
  <c r="AB967" i="12"/>
  <c r="AI966" i="12"/>
  <c r="AH966" i="12"/>
  <c r="AG966" i="12"/>
  <c r="AF966" i="12"/>
  <c r="AE966" i="12"/>
  <c r="AD966" i="12"/>
  <c r="AC966" i="12"/>
  <c r="AB966" i="12"/>
  <c r="AI965" i="12"/>
  <c r="AH965" i="12"/>
  <c r="AG965" i="12"/>
  <c r="AF965" i="12"/>
  <c r="AE965" i="12"/>
  <c r="AD965" i="12"/>
  <c r="AC965" i="12"/>
  <c r="AB965" i="12"/>
  <c r="AI964" i="12"/>
  <c r="AH964" i="12"/>
  <c r="AG964" i="12"/>
  <c r="AF964" i="12"/>
  <c r="AE964" i="12"/>
  <c r="AD964" i="12"/>
  <c r="AC964" i="12"/>
  <c r="AB964" i="12"/>
  <c r="AI963" i="12"/>
  <c r="AH963" i="12"/>
  <c r="AG963" i="12"/>
  <c r="AF963" i="12"/>
  <c r="AE963" i="12"/>
  <c r="AD963" i="12"/>
  <c r="AC963" i="12"/>
  <c r="AB963" i="12"/>
  <c r="AI962" i="12"/>
  <c r="AH962" i="12"/>
  <c r="AG962" i="12"/>
  <c r="AF962" i="12"/>
  <c r="AE962" i="12"/>
  <c r="AD962" i="12"/>
  <c r="AC962" i="12"/>
  <c r="AB962" i="12"/>
  <c r="AI961" i="12"/>
  <c r="AH961" i="12"/>
  <c r="AG961" i="12"/>
  <c r="AF961" i="12"/>
  <c r="AE961" i="12"/>
  <c r="AD961" i="12"/>
  <c r="AC961" i="12"/>
  <c r="AB961" i="12"/>
  <c r="AI960" i="12"/>
  <c r="AH960" i="12"/>
  <c r="AG960" i="12"/>
  <c r="AF960" i="12"/>
  <c r="AE960" i="12"/>
  <c r="AD960" i="12"/>
  <c r="AC960" i="12"/>
  <c r="AB960" i="12"/>
  <c r="AI959" i="12"/>
  <c r="AH959" i="12"/>
  <c r="AG959" i="12"/>
  <c r="AF959" i="12"/>
  <c r="AE959" i="12"/>
  <c r="AD959" i="12"/>
  <c r="AC959" i="12"/>
  <c r="AB959" i="12"/>
  <c r="AI958" i="12"/>
  <c r="AH958" i="12"/>
  <c r="AG958" i="12"/>
  <c r="AF958" i="12"/>
  <c r="AE958" i="12"/>
  <c r="AD958" i="12"/>
  <c r="AC958" i="12"/>
  <c r="AB958" i="12"/>
  <c r="AI957" i="12"/>
  <c r="AH957" i="12"/>
  <c r="AG957" i="12"/>
  <c r="AF957" i="12"/>
  <c r="AE957" i="12"/>
  <c r="AD957" i="12"/>
  <c r="AC957" i="12"/>
  <c r="AB957" i="12"/>
  <c r="AI956" i="12"/>
  <c r="AH956" i="12"/>
  <c r="AG956" i="12"/>
  <c r="AF956" i="12"/>
  <c r="AE956" i="12"/>
  <c r="AD956" i="12"/>
  <c r="AC956" i="12"/>
  <c r="AB956" i="12"/>
  <c r="AI955" i="12"/>
  <c r="AH955" i="12"/>
  <c r="AG955" i="12"/>
  <c r="AF955" i="12"/>
  <c r="AE955" i="12"/>
  <c r="AD955" i="12"/>
  <c r="AC955" i="12"/>
  <c r="AB955" i="12"/>
  <c r="AI954" i="12"/>
  <c r="AH954" i="12"/>
  <c r="AG954" i="12"/>
  <c r="AF954" i="12"/>
  <c r="AE954" i="12"/>
  <c r="AD954" i="12"/>
  <c r="AC954" i="12"/>
  <c r="AB954" i="12"/>
  <c r="AI953" i="12"/>
  <c r="AH953" i="12"/>
  <c r="AG953" i="12"/>
  <c r="AF953" i="12"/>
  <c r="AE953" i="12"/>
  <c r="AD953" i="12"/>
  <c r="AC953" i="12"/>
  <c r="AB953" i="12"/>
  <c r="AI952" i="12"/>
  <c r="AH952" i="12"/>
  <c r="AG952" i="12"/>
  <c r="AF952" i="12"/>
  <c r="AE952" i="12"/>
  <c r="AD952" i="12"/>
  <c r="AC952" i="12"/>
  <c r="AB952" i="12"/>
  <c r="AI951" i="12"/>
  <c r="AH951" i="12"/>
  <c r="AG951" i="12"/>
  <c r="AF951" i="12"/>
  <c r="AE951" i="12"/>
  <c r="AD951" i="12"/>
  <c r="AC951" i="12"/>
  <c r="AB951" i="12"/>
  <c r="AI950" i="12"/>
  <c r="AH950" i="12"/>
  <c r="AG950" i="12"/>
  <c r="AF950" i="12"/>
  <c r="AE950" i="12"/>
  <c r="AD950" i="12"/>
  <c r="AC950" i="12"/>
  <c r="AB950" i="12"/>
  <c r="AI949" i="12"/>
  <c r="AH949" i="12"/>
  <c r="AG949" i="12"/>
  <c r="AF949" i="12"/>
  <c r="AE949" i="12"/>
  <c r="AD949" i="12"/>
  <c r="AC949" i="12"/>
  <c r="AB949" i="12"/>
  <c r="AI948" i="12"/>
  <c r="AH948" i="12"/>
  <c r="AG948" i="12"/>
  <c r="AF948" i="12"/>
  <c r="AE948" i="12"/>
  <c r="AD948" i="12"/>
  <c r="AC948" i="12"/>
  <c r="AB948" i="12"/>
  <c r="AI947" i="12"/>
  <c r="AH947" i="12"/>
  <c r="AG947" i="12"/>
  <c r="AF947" i="12"/>
  <c r="AE947" i="12"/>
  <c r="AD947" i="12"/>
  <c r="AC947" i="12"/>
  <c r="AB947" i="12"/>
  <c r="AI946" i="12"/>
  <c r="AH946" i="12"/>
  <c r="AG946" i="12"/>
  <c r="AF946" i="12"/>
  <c r="AE946" i="12"/>
  <c r="AD946" i="12"/>
  <c r="AC946" i="12"/>
  <c r="AB946" i="12"/>
  <c r="AI945" i="12"/>
  <c r="AH945" i="12"/>
  <c r="AG945" i="12"/>
  <c r="AF945" i="12"/>
  <c r="AE945" i="12"/>
  <c r="AD945" i="12"/>
  <c r="AC945" i="12"/>
  <c r="AB945" i="12"/>
  <c r="AI944" i="12"/>
  <c r="AH944" i="12"/>
  <c r="AG944" i="12"/>
  <c r="AF944" i="12"/>
  <c r="AE944" i="12"/>
  <c r="AD944" i="12"/>
  <c r="AC944" i="12"/>
  <c r="AB944" i="12"/>
  <c r="AI943" i="12"/>
  <c r="AH943" i="12"/>
  <c r="AG943" i="12"/>
  <c r="AF943" i="12"/>
  <c r="AE943" i="12"/>
  <c r="AD943" i="12"/>
  <c r="AC943" i="12"/>
  <c r="AB943" i="12"/>
  <c r="AI942" i="12"/>
  <c r="AH942" i="12"/>
  <c r="AG942" i="12"/>
  <c r="AF942" i="12"/>
  <c r="AE942" i="12"/>
  <c r="AD942" i="12"/>
  <c r="AC942" i="12"/>
  <c r="AB942" i="12"/>
  <c r="AI941" i="12"/>
  <c r="AH941" i="12"/>
  <c r="AG941" i="12"/>
  <c r="AF941" i="12"/>
  <c r="AE941" i="12"/>
  <c r="AD941" i="12"/>
  <c r="AC941" i="12"/>
  <c r="AB941" i="12"/>
  <c r="AI940" i="12"/>
  <c r="AH940" i="12"/>
  <c r="AG940" i="12"/>
  <c r="AF940" i="12"/>
  <c r="AE940" i="12"/>
  <c r="AD940" i="12"/>
  <c r="AC940" i="12"/>
  <c r="AB940" i="12"/>
  <c r="AI939" i="12"/>
  <c r="AH939" i="12"/>
  <c r="AG939" i="12"/>
  <c r="AF939" i="12"/>
  <c r="AE939" i="12"/>
  <c r="AD939" i="12"/>
  <c r="AC939" i="12"/>
  <c r="AB939" i="12"/>
  <c r="AI938" i="12"/>
  <c r="AH938" i="12"/>
  <c r="AG938" i="12"/>
  <c r="AF938" i="12"/>
  <c r="AE938" i="12"/>
  <c r="AD938" i="12"/>
  <c r="AC938" i="12"/>
  <c r="AB938" i="12"/>
  <c r="AI937" i="12"/>
  <c r="AH937" i="12"/>
  <c r="AG937" i="12"/>
  <c r="AF937" i="12"/>
  <c r="AE937" i="12"/>
  <c r="AD937" i="12"/>
  <c r="AC937" i="12"/>
  <c r="AB937" i="12"/>
  <c r="AI936" i="12"/>
  <c r="AH936" i="12"/>
  <c r="AG936" i="12"/>
  <c r="AF936" i="12"/>
  <c r="AE936" i="12"/>
  <c r="AD936" i="12"/>
  <c r="AC936" i="12"/>
  <c r="AB936" i="12"/>
  <c r="AI935" i="12"/>
  <c r="AH935" i="12"/>
  <c r="AG935" i="12"/>
  <c r="AF935" i="12"/>
  <c r="AE935" i="12"/>
  <c r="AD935" i="12"/>
  <c r="AC935" i="12"/>
  <c r="AB935" i="12"/>
  <c r="AI934" i="12"/>
  <c r="AH934" i="12"/>
  <c r="AG934" i="12"/>
  <c r="AF934" i="12"/>
  <c r="AE934" i="12"/>
  <c r="AD934" i="12"/>
  <c r="AC934" i="12"/>
  <c r="AB934" i="12"/>
  <c r="AI933" i="12"/>
  <c r="AH933" i="12"/>
  <c r="AG933" i="12"/>
  <c r="AF933" i="12"/>
  <c r="AE933" i="12"/>
  <c r="AD933" i="12"/>
  <c r="AC933" i="12"/>
  <c r="AB933" i="12"/>
  <c r="AI932" i="12"/>
  <c r="AH932" i="12"/>
  <c r="AG932" i="12"/>
  <c r="AF932" i="12"/>
  <c r="AE932" i="12"/>
  <c r="AD932" i="12"/>
  <c r="AC932" i="12"/>
  <c r="AB932" i="12"/>
  <c r="AI931" i="12"/>
  <c r="AH931" i="12"/>
  <c r="AG931" i="12"/>
  <c r="AF931" i="12"/>
  <c r="AE931" i="12"/>
  <c r="AD931" i="12"/>
  <c r="AC931" i="12"/>
  <c r="AB931" i="12"/>
  <c r="AI930" i="12"/>
  <c r="AH930" i="12"/>
  <c r="AG930" i="12"/>
  <c r="AF930" i="12"/>
  <c r="AE930" i="12"/>
  <c r="AD930" i="12"/>
  <c r="AC930" i="12"/>
  <c r="AB930" i="12"/>
  <c r="AI929" i="12"/>
  <c r="AH929" i="12"/>
  <c r="AG929" i="12"/>
  <c r="AF929" i="12"/>
  <c r="AE929" i="12"/>
  <c r="AD929" i="12"/>
  <c r="AC929" i="12"/>
  <c r="AB929" i="12"/>
  <c r="AI928" i="12"/>
  <c r="AH928" i="12"/>
  <c r="AG928" i="12"/>
  <c r="AF928" i="12"/>
  <c r="AE928" i="12"/>
  <c r="AD928" i="12"/>
  <c r="AC928" i="12"/>
  <c r="AB928" i="12"/>
  <c r="AI927" i="12"/>
  <c r="AH927" i="12"/>
  <c r="AG927" i="12"/>
  <c r="AF927" i="12"/>
  <c r="AE927" i="12"/>
  <c r="AD927" i="12"/>
  <c r="AC927" i="12"/>
  <c r="AB927" i="12"/>
  <c r="AI926" i="12"/>
  <c r="AH926" i="12"/>
  <c r="AG926" i="12"/>
  <c r="AF926" i="12"/>
  <c r="AE926" i="12"/>
  <c r="AD926" i="12"/>
  <c r="AC926" i="12"/>
  <c r="AB926" i="12"/>
  <c r="AI925" i="12"/>
  <c r="AH925" i="12"/>
  <c r="AG925" i="12"/>
  <c r="AF925" i="12"/>
  <c r="AE925" i="12"/>
  <c r="AD925" i="12"/>
  <c r="AC925" i="12"/>
  <c r="AB925" i="12"/>
  <c r="AI924" i="12"/>
  <c r="AH924" i="12"/>
  <c r="AG924" i="12"/>
  <c r="AF924" i="12"/>
  <c r="AE924" i="12"/>
  <c r="AD924" i="12"/>
  <c r="AC924" i="12"/>
  <c r="AB924" i="12"/>
  <c r="AI923" i="12"/>
  <c r="AH923" i="12"/>
  <c r="AG923" i="12"/>
  <c r="AF923" i="12"/>
  <c r="AE923" i="12"/>
  <c r="AD923" i="12"/>
  <c r="AC923" i="12"/>
  <c r="AB923" i="12"/>
  <c r="AI922" i="12"/>
  <c r="AH922" i="12"/>
  <c r="AG922" i="12"/>
  <c r="AF922" i="12"/>
  <c r="AE922" i="12"/>
  <c r="AD922" i="12"/>
  <c r="AC922" i="12"/>
  <c r="AB922" i="12"/>
  <c r="AI921" i="12"/>
  <c r="AH921" i="12"/>
  <c r="AG921" i="12"/>
  <c r="AF921" i="12"/>
  <c r="AE921" i="12"/>
  <c r="AD921" i="12"/>
  <c r="AC921" i="12"/>
  <c r="AB921" i="12"/>
  <c r="AI920" i="12"/>
  <c r="AH920" i="12"/>
  <c r="AG920" i="12"/>
  <c r="AF920" i="12"/>
  <c r="AE920" i="12"/>
  <c r="AD920" i="12"/>
  <c r="AC920" i="12"/>
  <c r="AB920" i="12"/>
  <c r="AI919" i="12"/>
  <c r="AH919" i="12"/>
  <c r="AG919" i="12"/>
  <c r="AF919" i="12"/>
  <c r="AE919" i="12"/>
  <c r="AD919" i="12"/>
  <c r="AC919" i="12"/>
  <c r="AB919" i="12"/>
  <c r="AI918" i="12"/>
  <c r="AH918" i="12"/>
  <c r="AG918" i="12"/>
  <c r="AF918" i="12"/>
  <c r="AE918" i="12"/>
  <c r="AD918" i="12"/>
  <c r="AC918" i="12"/>
  <c r="AB918" i="12"/>
  <c r="AI917" i="12"/>
  <c r="AH917" i="12"/>
  <c r="AG917" i="12"/>
  <c r="AF917" i="12"/>
  <c r="AE917" i="12"/>
  <c r="AD917" i="12"/>
  <c r="AC917" i="12"/>
  <c r="AB917" i="12"/>
  <c r="AI916" i="12"/>
  <c r="AH916" i="12"/>
  <c r="AG916" i="12"/>
  <c r="AF916" i="12"/>
  <c r="AE916" i="12"/>
  <c r="AD916" i="12"/>
  <c r="AC916" i="12"/>
  <c r="AB916" i="12"/>
  <c r="AI915" i="12"/>
  <c r="AH915" i="12"/>
  <c r="AG915" i="12"/>
  <c r="AF915" i="12"/>
  <c r="AE915" i="12"/>
  <c r="AD915" i="12"/>
  <c r="AC915" i="12"/>
  <c r="AB915" i="12"/>
  <c r="AI914" i="12"/>
  <c r="AH914" i="12"/>
  <c r="AG914" i="12"/>
  <c r="AF914" i="12"/>
  <c r="AE914" i="12"/>
  <c r="AD914" i="12"/>
  <c r="AC914" i="12"/>
  <c r="AB914" i="12"/>
  <c r="AI913" i="12"/>
  <c r="AH913" i="12"/>
  <c r="AG913" i="12"/>
  <c r="AF913" i="12"/>
  <c r="AE913" i="12"/>
  <c r="AD913" i="12"/>
  <c r="AC913" i="12"/>
  <c r="AB913" i="12"/>
  <c r="AI912" i="12"/>
  <c r="AH912" i="12"/>
  <c r="AG912" i="12"/>
  <c r="AF912" i="12"/>
  <c r="AE912" i="12"/>
  <c r="AD912" i="12"/>
  <c r="AC912" i="12"/>
  <c r="AB912" i="12"/>
  <c r="AI911" i="12"/>
  <c r="AH911" i="12"/>
  <c r="AG911" i="12"/>
  <c r="AF911" i="12"/>
  <c r="AE911" i="12"/>
  <c r="AD911" i="12"/>
  <c r="AC911" i="12"/>
  <c r="AB911" i="12"/>
  <c r="AI910" i="12"/>
  <c r="AH910" i="12"/>
  <c r="AG910" i="12"/>
  <c r="AF910" i="12"/>
  <c r="AE910" i="12"/>
  <c r="AD910" i="12"/>
  <c r="AC910" i="12"/>
  <c r="AB910" i="12"/>
  <c r="AI909" i="12"/>
  <c r="AH909" i="12"/>
  <c r="AG909" i="12"/>
  <c r="AF909" i="12"/>
  <c r="AE909" i="12"/>
  <c r="AD909" i="12"/>
  <c r="AC909" i="12"/>
  <c r="AB909" i="12"/>
  <c r="AI908" i="12"/>
  <c r="AH908" i="12"/>
  <c r="AG908" i="12"/>
  <c r="AF908" i="12"/>
  <c r="AE908" i="12"/>
  <c r="AD908" i="12"/>
  <c r="AC908" i="12"/>
  <c r="AB908" i="12"/>
  <c r="AI907" i="12"/>
  <c r="AH907" i="12"/>
  <c r="AG907" i="12"/>
  <c r="AF907" i="12"/>
  <c r="AE907" i="12"/>
  <c r="AD907" i="12"/>
  <c r="AC907" i="12"/>
  <c r="AB907" i="12"/>
  <c r="AI906" i="12"/>
  <c r="AH906" i="12"/>
  <c r="AG906" i="12"/>
  <c r="AF906" i="12"/>
  <c r="AE906" i="12"/>
  <c r="AD906" i="12"/>
  <c r="AC906" i="12"/>
  <c r="AB906" i="12"/>
  <c r="AI905" i="12"/>
  <c r="AH905" i="12"/>
  <c r="AG905" i="12"/>
  <c r="AF905" i="12"/>
  <c r="AE905" i="12"/>
  <c r="AD905" i="12"/>
  <c r="AC905" i="12"/>
  <c r="AB905" i="12"/>
  <c r="AI904" i="12"/>
  <c r="AH904" i="12"/>
  <c r="AG904" i="12"/>
  <c r="AF904" i="12"/>
  <c r="AE904" i="12"/>
  <c r="AD904" i="12"/>
  <c r="AC904" i="12"/>
  <c r="AB904" i="12"/>
  <c r="AI903" i="12"/>
  <c r="AH903" i="12"/>
  <c r="AG903" i="12"/>
  <c r="AF903" i="12"/>
  <c r="AE903" i="12"/>
  <c r="AD903" i="12"/>
  <c r="AC903" i="12"/>
  <c r="AB903" i="12"/>
  <c r="AI902" i="12"/>
  <c r="AH902" i="12"/>
  <c r="AG902" i="12"/>
  <c r="AF902" i="12"/>
  <c r="AE902" i="12"/>
  <c r="AD902" i="12"/>
  <c r="AC902" i="12"/>
  <c r="AB902" i="12"/>
  <c r="AI901" i="12"/>
  <c r="AH901" i="12"/>
  <c r="AG901" i="12"/>
  <c r="AF901" i="12"/>
  <c r="AE901" i="12"/>
  <c r="AD901" i="12"/>
  <c r="AC901" i="12"/>
  <c r="AB901" i="12"/>
  <c r="AI900" i="12"/>
  <c r="AH900" i="12"/>
  <c r="AG900" i="12"/>
  <c r="AF900" i="12"/>
  <c r="AE900" i="12"/>
  <c r="AD900" i="12"/>
  <c r="AC900" i="12"/>
  <c r="AB900" i="12"/>
  <c r="AI899" i="12"/>
  <c r="AH899" i="12"/>
  <c r="AG899" i="12"/>
  <c r="AF899" i="12"/>
  <c r="AE899" i="12"/>
  <c r="AD899" i="12"/>
  <c r="AC899" i="12"/>
  <c r="AB899" i="12"/>
  <c r="AI898" i="12"/>
  <c r="AH898" i="12"/>
  <c r="AG898" i="12"/>
  <c r="AF898" i="12"/>
  <c r="AE898" i="12"/>
  <c r="AD898" i="12"/>
  <c r="AC898" i="12"/>
  <c r="AB898" i="12"/>
  <c r="AI897" i="12"/>
  <c r="AH897" i="12"/>
  <c r="AG897" i="12"/>
  <c r="AF897" i="12"/>
  <c r="AE897" i="12"/>
  <c r="AD897" i="12"/>
  <c r="AC897" i="12"/>
  <c r="AB897" i="12"/>
  <c r="AI896" i="12"/>
  <c r="AH896" i="12"/>
  <c r="AG896" i="12"/>
  <c r="AF896" i="12"/>
  <c r="AE896" i="12"/>
  <c r="AD896" i="12"/>
  <c r="AC896" i="12"/>
  <c r="AB896" i="12"/>
  <c r="AI895" i="12"/>
  <c r="AH895" i="12"/>
  <c r="AG895" i="12"/>
  <c r="AF895" i="12"/>
  <c r="AE895" i="12"/>
  <c r="AD895" i="12"/>
  <c r="AC895" i="12"/>
  <c r="AB895" i="12"/>
  <c r="AI894" i="12"/>
  <c r="AH894" i="12"/>
  <c r="AG894" i="12"/>
  <c r="AF894" i="12"/>
  <c r="AE894" i="12"/>
  <c r="AD894" i="12"/>
  <c r="AC894" i="12"/>
  <c r="AB894" i="12"/>
  <c r="AI893" i="12"/>
  <c r="AH893" i="12"/>
  <c r="AG893" i="12"/>
  <c r="AF893" i="12"/>
  <c r="AE893" i="12"/>
  <c r="AD893" i="12"/>
  <c r="AC893" i="12"/>
  <c r="AB893" i="12"/>
  <c r="AI892" i="12"/>
  <c r="AH892" i="12"/>
  <c r="AG892" i="12"/>
  <c r="AF892" i="12"/>
  <c r="AE892" i="12"/>
  <c r="AD892" i="12"/>
  <c r="AC892" i="12"/>
  <c r="AB892" i="12"/>
  <c r="AI891" i="12"/>
  <c r="AH891" i="12"/>
  <c r="AG891" i="12"/>
  <c r="AF891" i="12"/>
  <c r="AE891" i="12"/>
  <c r="AD891" i="12"/>
  <c r="AC891" i="12"/>
  <c r="AB891" i="12"/>
  <c r="AI890" i="12"/>
  <c r="AH890" i="12"/>
  <c r="AG890" i="12"/>
  <c r="AF890" i="12"/>
  <c r="AE890" i="12"/>
  <c r="AD890" i="12"/>
  <c r="AC890" i="12"/>
  <c r="AB890" i="12"/>
  <c r="AI889" i="12"/>
  <c r="AH889" i="12"/>
  <c r="AG889" i="12"/>
  <c r="AF889" i="12"/>
  <c r="AE889" i="12"/>
  <c r="AD889" i="12"/>
  <c r="AC889" i="12"/>
  <c r="AB889" i="12"/>
  <c r="AI888" i="12"/>
  <c r="AH888" i="12"/>
  <c r="AG888" i="12"/>
  <c r="AF888" i="12"/>
  <c r="AE888" i="12"/>
  <c r="AD888" i="12"/>
  <c r="AC888" i="12"/>
  <c r="AB888" i="12"/>
  <c r="AI887" i="12"/>
  <c r="AH887" i="12"/>
  <c r="AG887" i="12"/>
  <c r="AF887" i="12"/>
  <c r="AE887" i="12"/>
  <c r="AD887" i="12"/>
  <c r="AC887" i="12"/>
  <c r="AB887" i="12"/>
  <c r="AI886" i="12"/>
  <c r="AH886" i="12"/>
  <c r="AG886" i="12"/>
  <c r="AF886" i="12"/>
  <c r="AE886" i="12"/>
  <c r="AD886" i="12"/>
  <c r="AC886" i="12"/>
  <c r="AB886" i="12"/>
  <c r="AI885" i="12"/>
  <c r="AH885" i="12"/>
  <c r="AG885" i="12"/>
  <c r="AF885" i="12"/>
  <c r="AE885" i="12"/>
  <c r="AD885" i="12"/>
  <c r="AC885" i="12"/>
  <c r="AB885" i="12"/>
  <c r="AI884" i="12"/>
  <c r="AH884" i="12"/>
  <c r="AG884" i="12"/>
  <c r="AF884" i="12"/>
  <c r="AE884" i="12"/>
  <c r="AD884" i="12"/>
  <c r="AC884" i="12"/>
  <c r="AB884" i="12"/>
  <c r="AI883" i="12"/>
  <c r="AH883" i="12"/>
  <c r="AG883" i="12"/>
  <c r="AF883" i="12"/>
  <c r="AE883" i="12"/>
  <c r="AD883" i="12"/>
  <c r="AC883" i="12"/>
  <c r="AB883" i="12"/>
  <c r="AI882" i="12"/>
  <c r="AH882" i="12"/>
  <c r="AG882" i="12"/>
  <c r="AF882" i="12"/>
  <c r="AE882" i="12"/>
  <c r="AD882" i="12"/>
  <c r="AC882" i="12"/>
  <c r="AB882" i="12"/>
  <c r="AI881" i="12"/>
  <c r="AH881" i="12"/>
  <c r="AG881" i="12"/>
  <c r="AF881" i="12"/>
  <c r="AE881" i="12"/>
  <c r="AD881" i="12"/>
  <c r="AC881" i="12"/>
  <c r="AB881" i="12"/>
  <c r="AI880" i="12"/>
  <c r="AH880" i="12"/>
  <c r="AG880" i="12"/>
  <c r="AF880" i="12"/>
  <c r="AE880" i="12"/>
  <c r="AD880" i="12"/>
  <c r="AC880" i="12"/>
  <c r="AB880" i="12"/>
  <c r="AI879" i="12"/>
  <c r="AH879" i="12"/>
  <c r="AG879" i="12"/>
  <c r="AF879" i="12"/>
  <c r="AE879" i="12"/>
  <c r="AD879" i="12"/>
  <c r="AC879" i="12"/>
  <c r="AB879" i="12"/>
  <c r="AI878" i="12"/>
  <c r="AH878" i="12"/>
  <c r="AG878" i="12"/>
  <c r="AF878" i="12"/>
  <c r="AE878" i="12"/>
  <c r="AD878" i="12"/>
  <c r="AC878" i="12"/>
  <c r="AB878" i="12"/>
  <c r="AI877" i="12"/>
  <c r="AH877" i="12"/>
  <c r="AG877" i="12"/>
  <c r="AF877" i="12"/>
  <c r="AE877" i="12"/>
  <c r="AD877" i="12"/>
  <c r="AC877" i="12"/>
  <c r="AB877" i="12"/>
  <c r="AI876" i="12"/>
  <c r="AH876" i="12"/>
  <c r="AG876" i="12"/>
  <c r="AF876" i="12"/>
  <c r="AE876" i="12"/>
  <c r="AD876" i="12"/>
  <c r="AC876" i="12"/>
  <c r="AB876" i="12"/>
  <c r="AI875" i="12"/>
  <c r="AH875" i="12"/>
  <c r="AG875" i="12"/>
  <c r="AF875" i="12"/>
  <c r="AE875" i="12"/>
  <c r="AD875" i="12"/>
  <c r="AC875" i="12"/>
  <c r="AB875" i="12"/>
  <c r="AI874" i="12"/>
  <c r="AH874" i="12"/>
  <c r="AG874" i="12"/>
  <c r="AF874" i="12"/>
  <c r="AE874" i="12"/>
  <c r="AD874" i="12"/>
  <c r="AC874" i="12"/>
  <c r="AB874" i="12"/>
  <c r="AI873" i="12"/>
  <c r="AH873" i="12"/>
  <c r="AG873" i="12"/>
  <c r="AF873" i="12"/>
  <c r="AE873" i="12"/>
  <c r="AD873" i="12"/>
  <c r="AC873" i="12"/>
  <c r="AB873" i="12"/>
  <c r="AI872" i="12"/>
  <c r="AH872" i="12"/>
  <c r="AG872" i="12"/>
  <c r="AF872" i="12"/>
  <c r="AE872" i="12"/>
  <c r="AD872" i="12"/>
  <c r="AC872" i="12"/>
  <c r="AB872" i="12"/>
  <c r="AI871" i="12"/>
  <c r="AH871" i="12"/>
  <c r="AG871" i="12"/>
  <c r="AF871" i="12"/>
  <c r="AE871" i="12"/>
  <c r="AD871" i="12"/>
  <c r="AC871" i="12"/>
  <c r="AB871" i="12"/>
  <c r="AI870" i="12"/>
  <c r="AH870" i="12"/>
  <c r="AG870" i="12"/>
  <c r="AF870" i="12"/>
  <c r="AE870" i="12"/>
  <c r="AD870" i="12"/>
  <c r="AC870" i="12"/>
  <c r="AB870" i="12"/>
  <c r="AI869" i="12"/>
  <c r="AH869" i="12"/>
  <c r="AG869" i="12"/>
  <c r="AF869" i="12"/>
  <c r="AE869" i="12"/>
  <c r="AD869" i="12"/>
  <c r="AC869" i="12"/>
  <c r="AB869" i="12"/>
  <c r="AI868" i="12"/>
  <c r="AH868" i="12"/>
  <c r="AG868" i="12"/>
  <c r="AF868" i="12"/>
  <c r="AE868" i="12"/>
  <c r="AD868" i="12"/>
  <c r="AC868" i="12"/>
  <c r="AB868" i="12"/>
  <c r="AI867" i="12"/>
  <c r="AH867" i="12"/>
  <c r="AG867" i="12"/>
  <c r="AF867" i="12"/>
  <c r="AE867" i="12"/>
  <c r="AD867" i="12"/>
  <c r="AC867" i="12"/>
  <c r="AB867" i="12"/>
  <c r="AI866" i="12"/>
  <c r="AH866" i="12"/>
  <c r="AG866" i="12"/>
  <c r="AF866" i="12"/>
  <c r="AE866" i="12"/>
  <c r="AD866" i="12"/>
  <c r="AC866" i="12"/>
  <c r="AB866" i="12"/>
  <c r="AI865" i="12"/>
  <c r="AH865" i="12"/>
  <c r="AG865" i="12"/>
  <c r="AF865" i="12"/>
  <c r="AE865" i="12"/>
  <c r="AD865" i="12"/>
  <c r="AC865" i="12"/>
  <c r="AB865" i="12"/>
  <c r="AI864" i="12"/>
  <c r="AH864" i="12"/>
  <c r="AG864" i="12"/>
  <c r="AF864" i="12"/>
  <c r="AE864" i="12"/>
  <c r="AD864" i="12"/>
  <c r="AC864" i="12"/>
  <c r="AB864" i="12"/>
  <c r="AI863" i="12"/>
  <c r="AH863" i="12"/>
  <c r="AG863" i="12"/>
  <c r="AF863" i="12"/>
  <c r="AE863" i="12"/>
  <c r="AD863" i="12"/>
  <c r="AC863" i="12"/>
  <c r="AB863" i="12"/>
  <c r="AI862" i="12"/>
  <c r="AH862" i="12"/>
  <c r="AG862" i="12"/>
  <c r="AF862" i="12"/>
  <c r="AE862" i="12"/>
  <c r="AD862" i="12"/>
  <c r="AC862" i="12"/>
  <c r="AB862" i="12"/>
  <c r="AI861" i="12"/>
  <c r="AH861" i="12"/>
  <c r="AG861" i="12"/>
  <c r="AF861" i="12"/>
  <c r="AE861" i="12"/>
  <c r="AD861" i="12"/>
  <c r="AC861" i="12"/>
  <c r="AB861" i="12"/>
  <c r="AI860" i="12"/>
  <c r="AH860" i="12"/>
  <c r="AG860" i="12"/>
  <c r="AF860" i="12"/>
  <c r="AE860" i="12"/>
  <c r="AD860" i="12"/>
  <c r="AC860" i="12"/>
  <c r="AB860" i="12"/>
  <c r="AI859" i="12"/>
  <c r="AH859" i="12"/>
  <c r="AG859" i="12"/>
  <c r="AF859" i="12"/>
  <c r="AE859" i="12"/>
  <c r="AD859" i="12"/>
  <c r="AC859" i="12"/>
  <c r="AB859" i="12"/>
  <c r="AI858" i="12"/>
  <c r="AH858" i="12"/>
  <c r="AG858" i="12"/>
  <c r="AF858" i="12"/>
  <c r="AE858" i="12"/>
  <c r="AD858" i="12"/>
  <c r="AC858" i="12"/>
  <c r="AB858" i="12"/>
  <c r="AI857" i="12"/>
  <c r="AH857" i="12"/>
  <c r="AG857" i="12"/>
  <c r="AF857" i="12"/>
  <c r="AE857" i="12"/>
  <c r="AD857" i="12"/>
  <c r="AC857" i="12"/>
  <c r="AB857" i="12"/>
  <c r="AI856" i="12"/>
  <c r="AH856" i="12"/>
  <c r="AG856" i="12"/>
  <c r="AF856" i="12"/>
  <c r="AE856" i="12"/>
  <c r="AD856" i="12"/>
  <c r="AC856" i="12"/>
  <c r="AB856" i="12"/>
  <c r="AI855" i="12"/>
  <c r="AH855" i="12"/>
  <c r="AG855" i="12"/>
  <c r="AF855" i="12"/>
  <c r="AE855" i="12"/>
  <c r="AD855" i="12"/>
  <c r="AC855" i="12"/>
  <c r="AB855" i="12"/>
  <c r="AI854" i="12"/>
  <c r="AH854" i="12"/>
  <c r="AG854" i="12"/>
  <c r="AF854" i="12"/>
  <c r="AE854" i="12"/>
  <c r="AD854" i="12"/>
  <c r="AC854" i="12"/>
  <c r="AB854" i="12"/>
  <c r="AI853" i="12"/>
  <c r="AH853" i="12"/>
  <c r="AG853" i="12"/>
  <c r="AF853" i="12"/>
  <c r="AE853" i="12"/>
  <c r="AD853" i="12"/>
  <c r="AC853" i="12"/>
  <c r="AB853" i="12"/>
  <c r="AI852" i="12"/>
  <c r="AH852" i="12"/>
  <c r="AG852" i="12"/>
  <c r="AF852" i="12"/>
  <c r="AE852" i="12"/>
  <c r="AD852" i="12"/>
  <c r="AC852" i="12"/>
  <c r="AB852" i="12"/>
  <c r="AI851" i="12"/>
  <c r="AH851" i="12"/>
  <c r="AG851" i="12"/>
  <c r="AF851" i="12"/>
  <c r="AE851" i="12"/>
  <c r="AD851" i="12"/>
  <c r="AC851" i="12"/>
  <c r="AB851" i="12"/>
  <c r="AI850" i="12"/>
  <c r="AH850" i="12"/>
  <c r="AG850" i="12"/>
  <c r="AF850" i="12"/>
  <c r="AE850" i="12"/>
  <c r="AD850" i="12"/>
  <c r="AC850" i="12"/>
  <c r="AB850" i="12"/>
  <c r="AI849" i="12"/>
  <c r="AH849" i="12"/>
  <c r="AG849" i="12"/>
  <c r="AF849" i="12"/>
  <c r="AE849" i="12"/>
  <c r="AD849" i="12"/>
  <c r="AC849" i="12"/>
  <c r="AB849" i="12"/>
  <c r="AI848" i="12"/>
  <c r="AH848" i="12"/>
  <c r="AG848" i="12"/>
  <c r="AF848" i="12"/>
  <c r="AE848" i="12"/>
  <c r="AD848" i="12"/>
  <c r="AC848" i="12"/>
  <c r="AB848" i="12"/>
  <c r="AI847" i="12"/>
  <c r="AH847" i="12"/>
  <c r="AG847" i="12"/>
  <c r="AF847" i="12"/>
  <c r="AE847" i="12"/>
  <c r="AD847" i="12"/>
  <c r="AC847" i="12"/>
  <c r="AB847" i="12"/>
  <c r="AI846" i="12"/>
  <c r="AH846" i="12"/>
  <c r="AG846" i="12"/>
  <c r="AF846" i="12"/>
  <c r="AE846" i="12"/>
  <c r="AD846" i="12"/>
  <c r="AC846" i="12"/>
  <c r="AB846" i="12"/>
  <c r="AI845" i="12"/>
  <c r="AH845" i="12"/>
  <c r="AG845" i="12"/>
  <c r="AF845" i="12"/>
  <c r="AE845" i="12"/>
  <c r="AD845" i="12"/>
  <c r="AC845" i="12"/>
  <c r="AB845" i="12"/>
  <c r="AI844" i="12"/>
  <c r="AH844" i="12"/>
  <c r="AG844" i="12"/>
  <c r="AF844" i="12"/>
  <c r="AE844" i="12"/>
  <c r="AD844" i="12"/>
  <c r="AC844" i="12"/>
  <c r="AB844" i="12"/>
  <c r="AI843" i="12"/>
  <c r="AH843" i="12"/>
  <c r="AG843" i="12"/>
  <c r="AF843" i="12"/>
  <c r="AE843" i="12"/>
  <c r="AD843" i="12"/>
  <c r="AC843" i="12"/>
  <c r="AB843" i="12"/>
  <c r="AI842" i="12"/>
  <c r="AH842" i="12"/>
  <c r="AG842" i="12"/>
  <c r="AF842" i="12"/>
  <c r="AE842" i="12"/>
  <c r="AD842" i="12"/>
  <c r="AC842" i="12"/>
  <c r="AB842" i="12"/>
  <c r="AI841" i="12"/>
  <c r="AH841" i="12"/>
  <c r="AG841" i="12"/>
  <c r="AF841" i="12"/>
  <c r="AE841" i="12"/>
  <c r="AD841" i="12"/>
  <c r="AC841" i="12"/>
  <c r="AB841" i="12"/>
  <c r="AI840" i="12"/>
  <c r="AH840" i="12"/>
  <c r="AG840" i="12"/>
  <c r="AF840" i="12"/>
  <c r="AE840" i="12"/>
  <c r="AD840" i="12"/>
  <c r="AC840" i="12"/>
  <c r="AB840" i="12"/>
  <c r="AI839" i="12"/>
  <c r="AH839" i="12"/>
  <c r="AG839" i="12"/>
  <c r="AF839" i="12"/>
  <c r="AE839" i="12"/>
  <c r="AD839" i="12"/>
  <c r="AC839" i="12"/>
  <c r="AB839" i="12"/>
  <c r="AI838" i="12"/>
  <c r="AH838" i="12"/>
  <c r="AG838" i="12"/>
  <c r="AF838" i="12"/>
  <c r="AE838" i="12"/>
  <c r="AD838" i="12"/>
  <c r="AC838" i="12"/>
  <c r="AB838" i="12"/>
  <c r="AI837" i="12"/>
  <c r="AH837" i="12"/>
  <c r="AG837" i="12"/>
  <c r="AF837" i="12"/>
  <c r="AE837" i="12"/>
  <c r="AD837" i="12"/>
  <c r="AC837" i="12"/>
  <c r="AB837" i="12"/>
  <c r="AI836" i="12"/>
  <c r="AH836" i="12"/>
  <c r="AG836" i="12"/>
  <c r="AF836" i="12"/>
  <c r="AE836" i="12"/>
  <c r="AD836" i="12"/>
  <c r="AC836" i="12"/>
  <c r="AB836" i="12"/>
  <c r="AI835" i="12"/>
  <c r="AH835" i="12"/>
  <c r="AG835" i="12"/>
  <c r="AF835" i="12"/>
  <c r="AE835" i="12"/>
  <c r="AD835" i="12"/>
  <c r="AC835" i="12"/>
  <c r="AB835" i="12"/>
  <c r="AI834" i="12"/>
  <c r="AH834" i="12"/>
  <c r="AG834" i="12"/>
  <c r="AF834" i="12"/>
  <c r="AE834" i="12"/>
  <c r="AD834" i="12"/>
  <c r="AC834" i="12"/>
  <c r="AB834" i="12"/>
  <c r="AI833" i="12"/>
  <c r="AH833" i="12"/>
  <c r="AG833" i="12"/>
  <c r="AF833" i="12"/>
  <c r="AE833" i="12"/>
  <c r="AD833" i="12"/>
  <c r="AC833" i="12"/>
  <c r="AB833" i="12"/>
  <c r="AI832" i="12"/>
  <c r="AH832" i="12"/>
  <c r="AG832" i="12"/>
  <c r="AF832" i="12"/>
  <c r="AE832" i="12"/>
  <c r="AD832" i="12"/>
  <c r="AC832" i="12"/>
  <c r="AB832" i="12"/>
  <c r="AI831" i="12"/>
  <c r="AH831" i="12"/>
  <c r="AG831" i="12"/>
  <c r="AF831" i="12"/>
  <c r="AE831" i="12"/>
  <c r="AD831" i="12"/>
  <c r="AC831" i="12"/>
  <c r="AB831" i="12"/>
  <c r="AI830" i="12"/>
  <c r="AH830" i="12"/>
  <c r="AG830" i="12"/>
  <c r="AF830" i="12"/>
  <c r="AE830" i="12"/>
  <c r="AD830" i="12"/>
  <c r="AC830" i="12"/>
  <c r="AB830" i="12"/>
  <c r="AI829" i="12"/>
  <c r="AH829" i="12"/>
  <c r="AG829" i="12"/>
  <c r="AF829" i="12"/>
  <c r="AE829" i="12"/>
  <c r="AD829" i="12"/>
  <c r="AC829" i="12"/>
  <c r="AB829" i="12"/>
  <c r="AI828" i="12"/>
  <c r="AH828" i="12"/>
  <c r="AG828" i="12"/>
  <c r="AF828" i="12"/>
  <c r="AE828" i="12"/>
  <c r="AD828" i="12"/>
  <c r="AC828" i="12"/>
  <c r="AB828" i="12"/>
  <c r="AI827" i="12"/>
  <c r="AH827" i="12"/>
  <c r="AG827" i="12"/>
  <c r="AF827" i="12"/>
  <c r="AE827" i="12"/>
  <c r="AD827" i="12"/>
  <c r="AC827" i="12"/>
  <c r="AB827" i="12"/>
  <c r="AI826" i="12"/>
  <c r="AH826" i="12"/>
  <c r="AG826" i="12"/>
  <c r="AF826" i="12"/>
  <c r="AE826" i="12"/>
  <c r="AD826" i="12"/>
  <c r="AC826" i="12"/>
  <c r="AB826" i="12"/>
  <c r="AI825" i="12"/>
  <c r="AH825" i="12"/>
  <c r="AG825" i="12"/>
  <c r="AF825" i="12"/>
  <c r="AE825" i="12"/>
  <c r="AD825" i="12"/>
  <c r="AC825" i="12"/>
  <c r="AB825" i="12"/>
  <c r="AI824" i="12"/>
  <c r="AH824" i="12"/>
  <c r="AG824" i="12"/>
  <c r="AF824" i="12"/>
  <c r="AE824" i="12"/>
  <c r="AD824" i="12"/>
  <c r="AC824" i="12"/>
  <c r="AB824" i="12"/>
  <c r="AI823" i="12"/>
  <c r="AH823" i="12"/>
  <c r="AG823" i="12"/>
  <c r="AF823" i="12"/>
  <c r="AE823" i="12"/>
  <c r="AD823" i="12"/>
  <c r="AC823" i="12"/>
  <c r="AB823" i="12"/>
  <c r="AI822" i="12"/>
  <c r="AH822" i="12"/>
  <c r="AG822" i="12"/>
  <c r="AF822" i="12"/>
  <c r="AE822" i="12"/>
  <c r="AD822" i="12"/>
  <c r="AC822" i="12"/>
  <c r="AB822" i="12"/>
  <c r="AI821" i="12"/>
  <c r="AH821" i="12"/>
  <c r="AG821" i="12"/>
  <c r="AF821" i="12"/>
  <c r="AE821" i="12"/>
  <c r="AD821" i="12"/>
  <c r="AC821" i="12"/>
  <c r="AB821" i="12"/>
  <c r="AI820" i="12"/>
  <c r="AH820" i="12"/>
  <c r="AG820" i="12"/>
  <c r="AF820" i="12"/>
  <c r="AE820" i="12"/>
  <c r="AD820" i="12"/>
  <c r="AC820" i="12"/>
  <c r="AB820" i="12"/>
  <c r="AI819" i="12"/>
  <c r="AH819" i="12"/>
  <c r="AG819" i="12"/>
  <c r="AF819" i="12"/>
  <c r="AE819" i="12"/>
  <c r="AD819" i="12"/>
  <c r="AC819" i="12"/>
  <c r="AB819" i="12"/>
  <c r="AI818" i="12"/>
  <c r="AH818" i="12"/>
  <c r="AG818" i="12"/>
  <c r="AF818" i="12"/>
  <c r="AE818" i="12"/>
  <c r="AD818" i="12"/>
  <c r="AC818" i="12"/>
  <c r="AB818" i="12"/>
  <c r="AI817" i="12"/>
  <c r="AH817" i="12"/>
  <c r="AG817" i="12"/>
  <c r="AF817" i="12"/>
  <c r="AE817" i="12"/>
  <c r="AD817" i="12"/>
  <c r="AC817" i="12"/>
  <c r="AB817" i="12"/>
  <c r="AI816" i="12"/>
  <c r="AH816" i="12"/>
  <c r="AG816" i="12"/>
  <c r="AF816" i="12"/>
  <c r="AE816" i="12"/>
  <c r="AD816" i="12"/>
  <c r="AC816" i="12"/>
  <c r="AB816" i="12"/>
  <c r="AI815" i="12"/>
  <c r="AH815" i="12"/>
  <c r="AG815" i="12"/>
  <c r="AF815" i="12"/>
  <c r="AE815" i="12"/>
  <c r="AD815" i="12"/>
  <c r="AC815" i="12"/>
  <c r="AB815" i="12"/>
  <c r="AI814" i="12"/>
  <c r="AH814" i="12"/>
  <c r="AG814" i="12"/>
  <c r="AF814" i="12"/>
  <c r="AE814" i="12"/>
  <c r="AD814" i="12"/>
  <c r="AC814" i="12"/>
  <c r="AB814" i="12"/>
  <c r="AI813" i="12"/>
  <c r="AH813" i="12"/>
  <c r="AG813" i="12"/>
  <c r="AF813" i="12"/>
  <c r="AE813" i="12"/>
  <c r="AD813" i="12"/>
  <c r="AC813" i="12"/>
  <c r="AB813" i="12"/>
  <c r="AI812" i="12"/>
  <c r="AH812" i="12"/>
  <c r="AG812" i="12"/>
  <c r="AF812" i="12"/>
  <c r="AE812" i="12"/>
  <c r="AD812" i="12"/>
  <c r="AC812" i="12"/>
  <c r="AB812" i="12"/>
  <c r="AI811" i="12"/>
  <c r="AH811" i="12"/>
  <c r="AG811" i="12"/>
  <c r="AF811" i="12"/>
  <c r="AE811" i="12"/>
  <c r="AD811" i="12"/>
  <c r="AC811" i="12"/>
  <c r="AB811" i="12"/>
  <c r="AI810" i="12"/>
  <c r="AH810" i="12"/>
  <c r="AG810" i="12"/>
  <c r="AF810" i="12"/>
  <c r="AE810" i="12"/>
  <c r="AD810" i="12"/>
  <c r="AC810" i="12"/>
  <c r="AB810" i="12"/>
  <c r="AI809" i="12"/>
  <c r="AH809" i="12"/>
  <c r="AG809" i="12"/>
  <c r="AF809" i="12"/>
  <c r="AE809" i="12"/>
  <c r="AD809" i="12"/>
  <c r="AC809" i="12"/>
  <c r="AB809" i="12"/>
  <c r="AI808" i="12"/>
  <c r="AH808" i="12"/>
  <c r="AG808" i="12"/>
  <c r="AF808" i="12"/>
  <c r="AE808" i="12"/>
  <c r="AD808" i="12"/>
  <c r="AC808" i="12"/>
  <c r="AB808" i="12"/>
  <c r="AI807" i="12"/>
  <c r="AH807" i="12"/>
  <c r="AG807" i="12"/>
  <c r="AF807" i="12"/>
  <c r="AE807" i="12"/>
  <c r="AD807" i="12"/>
  <c r="AC807" i="12"/>
  <c r="AB807" i="12"/>
  <c r="AI806" i="12"/>
  <c r="AH806" i="12"/>
  <c r="AG806" i="12"/>
  <c r="AF806" i="12"/>
  <c r="AE806" i="12"/>
  <c r="AD806" i="12"/>
  <c r="AC806" i="12"/>
  <c r="AB806" i="12"/>
  <c r="AI805" i="12"/>
  <c r="AH805" i="12"/>
  <c r="AG805" i="12"/>
  <c r="AF805" i="12"/>
  <c r="AE805" i="12"/>
  <c r="AD805" i="12"/>
  <c r="AC805" i="12"/>
  <c r="AB805" i="12"/>
  <c r="AI804" i="12"/>
  <c r="AH804" i="12"/>
  <c r="AG804" i="12"/>
  <c r="AF804" i="12"/>
  <c r="AE804" i="12"/>
  <c r="AD804" i="12"/>
  <c r="AC804" i="12"/>
  <c r="AB804" i="12"/>
  <c r="AI803" i="12"/>
  <c r="AH803" i="12"/>
  <c r="AG803" i="12"/>
  <c r="AF803" i="12"/>
  <c r="AE803" i="12"/>
  <c r="AD803" i="12"/>
  <c r="AC803" i="12"/>
  <c r="AB803" i="12"/>
  <c r="AI802" i="12"/>
  <c r="AH802" i="12"/>
  <c r="AG802" i="12"/>
  <c r="AF802" i="12"/>
  <c r="AE802" i="12"/>
  <c r="AD802" i="12"/>
  <c r="AC802" i="12"/>
  <c r="AB802" i="12"/>
  <c r="AI801" i="12"/>
  <c r="AH801" i="12"/>
  <c r="AG801" i="12"/>
  <c r="AF801" i="12"/>
  <c r="AE801" i="12"/>
  <c r="AD801" i="12"/>
  <c r="AC801" i="12"/>
  <c r="AB801" i="12"/>
  <c r="AI800" i="12"/>
  <c r="AH800" i="12"/>
  <c r="AG800" i="12"/>
  <c r="AF800" i="12"/>
  <c r="AE800" i="12"/>
  <c r="AD800" i="12"/>
  <c r="AC800" i="12"/>
  <c r="AB800" i="12"/>
  <c r="AI799" i="12"/>
  <c r="AH799" i="12"/>
  <c r="AG799" i="12"/>
  <c r="AF799" i="12"/>
  <c r="AE799" i="12"/>
  <c r="AD799" i="12"/>
  <c r="AC799" i="12"/>
  <c r="AB799" i="12"/>
  <c r="AI798" i="12"/>
  <c r="AH798" i="12"/>
  <c r="AG798" i="12"/>
  <c r="AF798" i="12"/>
  <c r="AE798" i="12"/>
  <c r="AD798" i="12"/>
  <c r="AC798" i="12"/>
  <c r="AB798" i="12"/>
  <c r="AI797" i="12"/>
  <c r="AH797" i="12"/>
  <c r="AG797" i="12"/>
  <c r="AF797" i="12"/>
  <c r="AE797" i="12"/>
  <c r="AD797" i="12"/>
  <c r="AC797" i="12"/>
  <c r="AB797" i="12"/>
  <c r="AI796" i="12"/>
  <c r="AH796" i="12"/>
  <c r="AG796" i="12"/>
  <c r="AF796" i="12"/>
  <c r="AE796" i="12"/>
  <c r="AD796" i="12"/>
  <c r="AC796" i="12"/>
  <c r="AB796" i="12"/>
  <c r="AI795" i="12"/>
  <c r="AH795" i="12"/>
  <c r="AG795" i="12"/>
  <c r="AF795" i="12"/>
  <c r="AE795" i="12"/>
  <c r="AD795" i="12"/>
  <c r="AC795" i="12"/>
  <c r="AB795" i="12"/>
  <c r="AI794" i="12"/>
  <c r="AH794" i="12"/>
  <c r="AG794" i="12"/>
  <c r="AF794" i="12"/>
  <c r="AE794" i="12"/>
  <c r="AD794" i="12"/>
  <c r="AC794" i="12"/>
  <c r="AB794" i="12"/>
  <c r="AI793" i="12"/>
  <c r="AH793" i="12"/>
  <c r="AG793" i="12"/>
  <c r="AF793" i="12"/>
  <c r="AE793" i="12"/>
  <c r="AD793" i="12"/>
  <c r="AC793" i="12"/>
  <c r="AB793" i="12"/>
  <c r="AI792" i="12"/>
  <c r="AH792" i="12"/>
  <c r="AG792" i="12"/>
  <c r="AF792" i="12"/>
  <c r="AE792" i="12"/>
  <c r="AD792" i="12"/>
  <c r="AC792" i="12"/>
  <c r="AB792" i="12"/>
  <c r="AI791" i="12"/>
  <c r="AH791" i="12"/>
  <c r="AG791" i="12"/>
  <c r="AF791" i="12"/>
  <c r="AE791" i="12"/>
  <c r="AD791" i="12"/>
  <c r="AC791" i="12"/>
  <c r="AB791" i="12"/>
  <c r="AI790" i="12"/>
  <c r="AH790" i="12"/>
  <c r="AG790" i="12"/>
  <c r="AF790" i="12"/>
  <c r="AE790" i="12"/>
  <c r="AD790" i="12"/>
  <c r="AC790" i="12"/>
  <c r="AB790" i="12"/>
  <c r="AI789" i="12"/>
  <c r="AH789" i="12"/>
  <c r="AG789" i="12"/>
  <c r="AF789" i="12"/>
  <c r="AE789" i="12"/>
  <c r="AD789" i="12"/>
  <c r="AC789" i="12"/>
  <c r="AB789" i="12"/>
  <c r="AI788" i="12"/>
  <c r="AH788" i="12"/>
  <c r="AG788" i="12"/>
  <c r="AF788" i="12"/>
  <c r="AE788" i="12"/>
  <c r="AD788" i="12"/>
  <c r="AC788" i="12"/>
  <c r="AB788" i="12"/>
  <c r="AI787" i="12"/>
  <c r="AH787" i="12"/>
  <c r="AG787" i="12"/>
  <c r="AF787" i="12"/>
  <c r="AE787" i="12"/>
  <c r="AD787" i="12"/>
  <c r="AC787" i="12"/>
  <c r="AB787" i="12"/>
  <c r="AI786" i="12"/>
  <c r="AH786" i="12"/>
  <c r="AG786" i="12"/>
  <c r="AF786" i="12"/>
  <c r="AE786" i="12"/>
  <c r="AD786" i="12"/>
  <c r="AC786" i="12"/>
  <c r="AB786" i="12"/>
  <c r="AI785" i="12"/>
  <c r="AH785" i="12"/>
  <c r="AG785" i="12"/>
  <c r="AF785" i="12"/>
  <c r="AE785" i="12"/>
  <c r="AD785" i="12"/>
  <c r="AC785" i="12"/>
  <c r="AB785" i="12"/>
  <c r="AI784" i="12"/>
  <c r="AH784" i="12"/>
  <c r="AG784" i="12"/>
  <c r="AF784" i="12"/>
  <c r="AE784" i="12"/>
  <c r="AD784" i="12"/>
  <c r="AC784" i="12"/>
  <c r="AB784" i="12"/>
  <c r="AI783" i="12"/>
  <c r="AH783" i="12"/>
  <c r="AG783" i="12"/>
  <c r="AF783" i="12"/>
  <c r="AE783" i="12"/>
  <c r="AD783" i="12"/>
  <c r="AC783" i="12"/>
  <c r="AB783" i="12"/>
  <c r="AI782" i="12"/>
  <c r="AH782" i="12"/>
  <c r="AG782" i="12"/>
  <c r="AF782" i="12"/>
  <c r="AE782" i="12"/>
  <c r="AD782" i="12"/>
  <c r="AC782" i="12"/>
  <c r="AB782" i="12"/>
  <c r="AI781" i="12"/>
  <c r="AH781" i="12"/>
  <c r="AG781" i="12"/>
  <c r="AF781" i="12"/>
  <c r="AE781" i="12"/>
  <c r="AD781" i="12"/>
  <c r="AC781" i="12"/>
  <c r="AB781" i="12"/>
  <c r="AI780" i="12"/>
  <c r="AH780" i="12"/>
  <c r="AG780" i="12"/>
  <c r="AF780" i="12"/>
  <c r="AE780" i="12"/>
  <c r="AD780" i="12"/>
  <c r="AC780" i="12"/>
  <c r="AB780" i="12"/>
  <c r="AI779" i="12"/>
  <c r="AH779" i="12"/>
  <c r="AG779" i="12"/>
  <c r="AF779" i="12"/>
  <c r="AE779" i="12"/>
  <c r="AD779" i="12"/>
  <c r="AC779" i="12"/>
  <c r="AB779" i="12"/>
  <c r="AI778" i="12"/>
  <c r="AH778" i="12"/>
  <c r="AG778" i="12"/>
  <c r="AF778" i="12"/>
  <c r="AE778" i="12"/>
  <c r="AD778" i="12"/>
  <c r="AC778" i="12"/>
  <c r="AB778" i="12"/>
  <c r="AI777" i="12"/>
  <c r="AH777" i="12"/>
  <c r="AG777" i="12"/>
  <c r="AF777" i="12"/>
  <c r="AE777" i="12"/>
  <c r="AD777" i="12"/>
  <c r="AC777" i="12"/>
  <c r="AB777" i="12"/>
  <c r="AI776" i="12"/>
  <c r="AH776" i="12"/>
  <c r="AG776" i="12"/>
  <c r="AF776" i="12"/>
  <c r="AE776" i="12"/>
  <c r="AD776" i="12"/>
  <c r="AC776" i="12"/>
  <c r="AB776" i="12"/>
  <c r="AI775" i="12"/>
  <c r="AH775" i="12"/>
  <c r="AG775" i="12"/>
  <c r="AF775" i="12"/>
  <c r="AE775" i="12"/>
  <c r="AD775" i="12"/>
  <c r="AC775" i="12"/>
  <c r="AB775" i="12"/>
  <c r="AI774" i="12"/>
  <c r="AH774" i="12"/>
  <c r="AG774" i="12"/>
  <c r="AF774" i="12"/>
  <c r="AE774" i="12"/>
  <c r="AD774" i="12"/>
  <c r="AC774" i="12"/>
  <c r="AB774" i="12"/>
  <c r="AI773" i="12"/>
  <c r="AH773" i="12"/>
  <c r="AG773" i="12"/>
  <c r="AF773" i="12"/>
  <c r="AE773" i="12"/>
  <c r="AD773" i="12"/>
  <c r="AC773" i="12"/>
  <c r="AB773" i="12"/>
  <c r="AI772" i="12"/>
  <c r="AH772" i="12"/>
  <c r="AG772" i="12"/>
  <c r="AF772" i="12"/>
  <c r="AE772" i="12"/>
  <c r="AD772" i="12"/>
  <c r="AC772" i="12"/>
  <c r="AB772" i="12"/>
  <c r="AI771" i="12"/>
  <c r="AH771" i="12"/>
  <c r="AG771" i="12"/>
  <c r="AF771" i="12"/>
  <c r="AE771" i="12"/>
  <c r="AD771" i="12"/>
  <c r="AC771" i="12"/>
  <c r="AB771" i="12"/>
  <c r="AI770" i="12"/>
  <c r="AH770" i="12"/>
  <c r="AG770" i="12"/>
  <c r="AF770" i="12"/>
  <c r="AE770" i="12"/>
  <c r="AD770" i="12"/>
  <c r="AC770" i="12"/>
  <c r="AB770" i="12"/>
  <c r="AI769" i="12"/>
  <c r="AH769" i="12"/>
  <c r="AG769" i="12"/>
  <c r="AF769" i="12"/>
  <c r="AE769" i="12"/>
  <c r="AD769" i="12"/>
  <c r="AC769" i="12"/>
  <c r="AB769" i="12"/>
  <c r="AI768" i="12"/>
  <c r="AH768" i="12"/>
  <c r="AG768" i="12"/>
  <c r="AF768" i="12"/>
  <c r="AE768" i="12"/>
  <c r="AD768" i="12"/>
  <c r="AC768" i="12"/>
  <c r="AB768" i="12"/>
  <c r="AI767" i="12"/>
  <c r="AH767" i="12"/>
  <c r="AG767" i="12"/>
  <c r="AF767" i="12"/>
  <c r="AE767" i="12"/>
  <c r="AD767" i="12"/>
  <c r="AC767" i="12"/>
  <c r="AB767" i="12"/>
  <c r="AI766" i="12"/>
  <c r="AH766" i="12"/>
  <c r="AG766" i="12"/>
  <c r="AF766" i="12"/>
  <c r="AE766" i="12"/>
  <c r="AD766" i="12"/>
  <c r="AC766" i="12"/>
  <c r="AB766" i="12"/>
  <c r="AI765" i="12"/>
  <c r="AH765" i="12"/>
  <c r="AG765" i="12"/>
  <c r="AF765" i="12"/>
  <c r="AE765" i="12"/>
  <c r="AD765" i="12"/>
  <c r="AC765" i="12"/>
  <c r="AB765" i="12"/>
  <c r="AI764" i="12"/>
  <c r="AH764" i="12"/>
  <c r="AG764" i="12"/>
  <c r="AF764" i="12"/>
  <c r="AE764" i="12"/>
  <c r="AD764" i="12"/>
  <c r="AC764" i="12"/>
  <c r="AB764" i="12"/>
  <c r="AI763" i="12"/>
  <c r="AH763" i="12"/>
  <c r="AG763" i="12"/>
  <c r="AF763" i="12"/>
  <c r="AE763" i="12"/>
  <c r="AD763" i="12"/>
  <c r="AC763" i="12"/>
  <c r="AB763" i="12"/>
  <c r="AI762" i="12"/>
  <c r="AH762" i="12"/>
  <c r="AG762" i="12"/>
  <c r="AF762" i="12"/>
  <c r="AE762" i="12"/>
  <c r="AD762" i="12"/>
  <c r="AC762" i="12"/>
  <c r="AB762" i="12"/>
  <c r="AI761" i="12"/>
  <c r="AH761" i="12"/>
  <c r="AG761" i="12"/>
  <c r="AF761" i="12"/>
  <c r="AE761" i="12"/>
  <c r="AD761" i="12"/>
  <c r="AC761" i="12"/>
  <c r="AB761" i="12"/>
  <c r="AI760" i="12"/>
  <c r="AH760" i="12"/>
  <c r="AG760" i="12"/>
  <c r="AF760" i="12"/>
  <c r="AE760" i="12"/>
  <c r="AD760" i="12"/>
  <c r="AC760" i="12"/>
  <c r="AB760" i="12"/>
  <c r="AI759" i="12"/>
  <c r="AH759" i="12"/>
  <c r="AG759" i="12"/>
  <c r="AF759" i="12"/>
  <c r="AE759" i="12"/>
  <c r="AD759" i="12"/>
  <c r="AC759" i="12"/>
  <c r="AB759" i="12"/>
  <c r="AI758" i="12"/>
  <c r="AH758" i="12"/>
  <c r="AG758" i="12"/>
  <c r="AF758" i="12"/>
  <c r="AE758" i="12"/>
  <c r="AD758" i="12"/>
  <c r="AC758" i="12"/>
  <c r="AB758" i="12"/>
  <c r="AI757" i="12"/>
  <c r="AH757" i="12"/>
  <c r="AG757" i="12"/>
  <c r="AF757" i="12"/>
  <c r="AE757" i="12"/>
  <c r="AD757" i="12"/>
  <c r="AC757" i="12"/>
  <c r="AB757" i="12"/>
  <c r="AI756" i="12"/>
  <c r="AH756" i="12"/>
  <c r="AG756" i="12"/>
  <c r="AF756" i="12"/>
  <c r="AE756" i="12"/>
  <c r="AD756" i="12"/>
  <c r="AC756" i="12"/>
  <c r="AB756" i="12"/>
  <c r="AI755" i="12"/>
  <c r="AH755" i="12"/>
  <c r="AG755" i="12"/>
  <c r="AF755" i="12"/>
  <c r="AE755" i="12"/>
  <c r="AD755" i="12"/>
  <c r="AC755" i="12"/>
  <c r="AB755" i="12"/>
  <c r="AI754" i="12"/>
  <c r="AH754" i="12"/>
  <c r="AG754" i="12"/>
  <c r="AF754" i="12"/>
  <c r="AE754" i="12"/>
  <c r="AD754" i="12"/>
  <c r="AC754" i="12"/>
  <c r="AB754" i="12"/>
  <c r="AI753" i="12"/>
  <c r="AH753" i="12"/>
  <c r="AG753" i="12"/>
  <c r="AF753" i="12"/>
  <c r="AE753" i="12"/>
  <c r="AD753" i="12"/>
  <c r="AC753" i="12"/>
  <c r="AB753" i="12"/>
  <c r="AI752" i="12"/>
  <c r="AH752" i="12"/>
  <c r="AG752" i="12"/>
  <c r="AF752" i="12"/>
  <c r="AE752" i="12"/>
  <c r="AD752" i="12"/>
  <c r="AC752" i="12"/>
  <c r="AB752" i="12"/>
  <c r="AI751" i="12"/>
  <c r="AH751" i="12"/>
  <c r="AG751" i="12"/>
  <c r="AF751" i="12"/>
  <c r="AE751" i="12"/>
  <c r="AD751" i="12"/>
  <c r="AC751" i="12"/>
  <c r="AB751" i="12"/>
  <c r="AI750" i="12"/>
  <c r="AH750" i="12"/>
  <c r="AG750" i="12"/>
  <c r="AF750" i="12"/>
  <c r="AE750" i="12"/>
  <c r="AD750" i="12"/>
  <c r="AC750" i="12"/>
  <c r="AB750" i="12"/>
  <c r="AI749" i="12"/>
  <c r="AH749" i="12"/>
  <c r="AG749" i="12"/>
  <c r="AF749" i="12"/>
  <c r="AE749" i="12"/>
  <c r="AD749" i="12"/>
  <c r="AC749" i="12"/>
  <c r="AB749" i="12"/>
  <c r="AI748" i="12"/>
  <c r="AH748" i="12"/>
  <c r="AG748" i="12"/>
  <c r="AF748" i="12"/>
  <c r="AE748" i="12"/>
  <c r="AD748" i="12"/>
  <c r="AC748" i="12"/>
  <c r="AB748" i="12"/>
  <c r="AI747" i="12"/>
  <c r="AH747" i="12"/>
  <c r="AG747" i="12"/>
  <c r="AF747" i="12"/>
  <c r="AE747" i="12"/>
  <c r="AD747" i="12"/>
  <c r="AC747" i="12"/>
  <c r="AB747" i="12"/>
  <c r="AI746" i="12"/>
  <c r="AH746" i="12"/>
  <c r="AG746" i="12"/>
  <c r="AF746" i="12"/>
  <c r="AE746" i="12"/>
  <c r="AD746" i="12"/>
  <c r="AC746" i="12"/>
  <c r="AB746" i="12"/>
  <c r="AI745" i="12"/>
  <c r="AH745" i="12"/>
  <c r="AG745" i="12"/>
  <c r="AF745" i="12"/>
  <c r="AE745" i="12"/>
  <c r="AD745" i="12"/>
  <c r="AC745" i="12"/>
  <c r="AB745" i="12"/>
  <c r="AI744" i="12"/>
  <c r="AH744" i="12"/>
  <c r="AG744" i="12"/>
  <c r="AF744" i="12"/>
  <c r="AE744" i="12"/>
  <c r="AD744" i="12"/>
  <c r="AC744" i="12"/>
  <c r="AB744" i="12"/>
  <c r="AI743" i="12"/>
  <c r="AH743" i="12"/>
  <c r="AG743" i="12"/>
  <c r="AF743" i="12"/>
  <c r="AE743" i="12"/>
  <c r="AD743" i="12"/>
  <c r="AC743" i="12"/>
  <c r="AB743" i="12"/>
  <c r="AI742" i="12"/>
  <c r="AH742" i="12"/>
  <c r="AG742" i="12"/>
  <c r="AF742" i="12"/>
  <c r="AE742" i="12"/>
  <c r="AD742" i="12"/>
  <c r="AC742" i="12"/>
  <c r="AB742" i="12"/>
  <c r="AI741" i="12"/>
  <c r="AH741" i="12"/>
  <c r="AG741" i="12"/>
  <c r="AF741" i="12"/>
  <c r="AE741" i="12"/>
  <c r="AD741" i="12"/>
  <c r="AC741" i="12"/>
  <c r="AB741" i="12"/>
  <c r="AI740" i="12"/>
  <c r="AH740" i="12"/>
  <c r="AG740" i="12"/>
  <c r="AF740" i="12"/>
  <c r="AE740" i="12"/>
  <c r="AD740" i="12"/>
  <c r="AC740" i="12"/>
  <c r="AB740" i="12"/>
  <c r="AI739" i="12"/>
  <c r="AH739" i="12"/>
  <c r="AG739" i="12"/>
  <c r="AF739" i="12"/>
  <c r="AE739" i="12"/>
  <c r="AD739" i="12"/>
  <c r="AC739" i="12"/>
  <c r="AB739" i="12"/>
  <c r="AI738" i="12"/>
  <c r="AH738" i="12"/>
  <c r="AG738" i="12"/>
  <c r="AF738" i="12"/>
  <c r="AE738" i="12"/>
  <c r="AD738" i="12"/>
  <c r="AC738" i="12"/>
  <c r="AB738" i="12"/>
  <c r="AI737" i="12"/>
  <c r="AH737" i="12"/>
  <c r="AG737" i="12"/>
  <c r="AF737" i="12"/>
  <c r="AE737" i="12"/>
  <c r="AD737" i="12"/>
  <c r="AC737" i="12"/>
  <c r="AB737" i="12"/>
  <c r="AI736" i="12"/>
  <c r="AH736" i="12"/>
  <c r="AG736" i="12"/>
  <c r="AF736" i="12"/>
  <c r="AE736" i="12"/>
  <c r="AD736" i="12"/>
  <c r="AC736" i="12"/>
  <c r="AB736" i="12"/>
  <c r="AI735" i="12"/>
  <c r="AH735" i="12"/>
  <c r="AG735" i="12"/>
  <c r="AF735" i="12"/>
  <c r="AE735" i="12"/>
  <c r="AD735" i="12"/>
  <c r="AC735" i="12"/>
  <c r="AB735" i="12"/>
  <c r="AI734" i="12"/>
  <c r="AH734" i="12"/>
  <c r="AG734" i="12"/>
  <c r="AF734" i="12"/>
  <c r="AE734" i="12"/>
  <c r="AD734" i="12"/>
  <c r="AC734" i="12"/>
  <c r="AB734" i="12"/>
  <c r="AI733" i="12"/>
  <c r="AH733" i="12"/>
  <c r="AG733" i="12"/>
  <c r="AF733" i="12"/>
  <c r="AE733" i="12"/>
  <c r="AD733" i="12"/>
  <c r="AC733" i="12"/>
  <c r="AB733" i="12"/>
  <c r="AI732" i="12"/>
  <c r="AH732" i="12"/>
  <c r="AG732" i="12"/>
  <c r="AF732" i="12"/>
  <c r="AE732" i="12"/>
  <c r="AD732" i="12"/>
  <c r="AC732" i="12"/>
  <c r="AB732" i="12"/>
  <c r="AI731" i="12"/>
  <c r="AH731" i="12"/>
  <c r="AG731" i="12"/>
  <c r="AF731" i="12"/>
  <c r="AE731" i="12"/>
  <c r="AD731" i="12"/>
  <c r="AC731" i="12"/>
  <c r="AB731" i="12"/>
  <c r="AI730" i="12"/>
  <c r="AH730" i="12"/>
  <c r="AG730" i="12"/>
  <c r="AF730" i="12"/>
  <c r="AE730" i="12"/>
  <c r="AD730" i="12"/>
  <c r="AC730" i="12"/>
  <c r="AB730" i="12"/>
  <c r="AI729" i="12"/>
  <c r="AH729" i="12"/>
  <c r="AG729" i="12"/>
  <c r="AF729" i="12"/>
  <c r="AE729" i="12"/>
  <c r="AD729" i="12"/>
  <c r="AC729" i="12"/>
  <c r="AB729" i="12"/>
  <c r="AI728" i="12"/>
  <c r="AH728" i="12"/>
  <c r="AG728" i="12"/>
  <c r="AF728" i="12"/>
  <c r="AE728" i="12"/>
  <c r="AD728" i="12"/>
  <c r="AC728" i="12"/>
  <c r="AB728" i="12"/>
  <c r="AI727" i="12"/>
  <c r="AH727" i="12"/>
  <c r="AG727" i="12"/>
  <c r="AF727" i="12"/>
  <c r="AE727" i="12"/>
  <c r="AD727" i="12"/>
  <c r="AC727" i="12"/>
  <c r="AB727" i="12"/>
  <c r="AI726" i="12"/>
  <c r="AH726" i="12"/>
  <c r="AG726" i="12"/>
  <c r="AF726" i="12"/>
  <c r="AE726" i="12"/>
  <c r="AD726" i="12"/>
  <c r="AC726" i="12"/>
  <c r="AB726" i="12"/>
  <c r="AI725" i="12"/>
  <c r="AH725" i="12"/>
  <c r="AG725" i="12"/>
  <c r="AF725" i="12"/>
  <c r="AE725" i="12"/>
  <c r="AD725" i="12"/>
  <c r="AC725" i="12"/>
  <c r="AB725" i="12"/>
  <c r="AI724" i="12"/>
  <c r="AH724" i="12"/>
  <c r="AG724" i="12"/>
  <c r="AF724" i="12"/>
  <c r="AE724" i="12"/>
  <c r="AD724" i="12"/>
  <c r="AC724" i="12"/>
  <c r="AB724" i="12"/>
  <c r="AI723" i="12"/>
  <c r="AH723" i="12"/>
  <c r="AG723" i="12"/>
  <c r="AF723" i="12"/>
  <c r="AE723" i="12"/>
  <c r="AD723" i="12"/>
  <c r="AC723" i="12"/>
  <c r="AB723" i="12"/>
  <c r="AI722" i="12"/>
  <c r="AH722" i="12"/>
  <c r="AG722" i="12"/>
  <c r="AF722" i="12"/>
  <c r="AE722" i="12"/>
  <c r="AD722" i="12"/>
  <c r="AC722" i="12"/>
  <c r="AB722" i="12"/>
  <c r="AI721" i="12"/>
  <c r="AH721" i="12"/>
  <c r="AG721" i="12"/>
  <c r="AF721" i="12"/>
  <c r="AE721" i="12"/>
  <c r="AD721" i="12"/>
  <c r="AC721" i="12"/>
  <c r="AB721" i="12"/>
  <c r="AI720" i="12"/>
  <c r="AH720" i="12"/>
  <c r="AG720" i="12"/>
  <c r="AF720" i="12"/>
  <c r="AE720" i="12"/>
  <c r="AD720" i="12"/>
  <c r="AC720" i="12"/>
  <c r="AB720" i="12"/>
  <c r="AI719" i="12"/>
  <c r="AH719" i="12"/>
  <c r="AG719" i="12"/>
  <c r="AF719" i="12"/>
  <c r="AE719" i="12"/>
  <c r="AD719" i="12"/>
  <c r="AC719" i="12"/>
  <c r="AB719" i="12"/>
  <c r="AI718" i="12"/>
  <c r="AH718" i="12"/>
  <c r="AG718" i="12"/>
  <c r="AF718" i="12"/>
  <c r="AE718" i="12"/>
  <c r="AD718" i="12"/>
  <c r="AC718" i="12"/>
  <c r="AB718" i="12"/>
  <c r="AI717" i="12"/>
  <c r="AH717" i="12"/>
  <c r="AG717" i="12"/>
  <c r="AF717" i="12"/>
  <c r="AE717" i="12"/>
  <c r="AD717" i="12"/>
  <c r="AC717" i="12"/>
  <c r="AB717" i="12"/>
  <c r="AI716" i="12"/>
  <c r="AH716" i="12"/>
  <c r="AG716" i="12"/>
  <c r="AF716" i="12"/>
  <c r="AE716" i="12"/>
  <c r="AD716" i="12"/>
  <c r="AC716" i="12"/>
  <c r="AB716" i="12"/>
  <c r="AI715" i="12"/>
  <c r="AH715" i="12"/>
  <c r="AG715" i="12"/>
  <c r="AF715" i="12"/>
  <c r="AE715" i="12"/>
  <c r="AD715" i="12"/>
  <c r="AC715" i="12"/>
  <c r="AB715" i="12"/>
  <c r="AI714" i="12"/>
  <c r="AH714" i="12"/>
  <c r="AG714" i="12"/>
  <c r="AF714" i="12"/>
  <c r="AE714" i="12"/>
  <c r="AD714" i="12"/>
  <c r="AC714" i="12"/>
  <c r="AB714" i="12"/>
  <c r="AI713" i="12"/>
  <c r="AH713" i="12"/>
  <c r="AG713" i="12"/>
  <c r="AF713" i="12"/>
  <c r="AE713" i="12"/>
  <c r="AD713" i="12"/>
  <c r="AC713" i="12"/>
  <c r="AB713" i="12"/>
  <c r="AI712" i="12"/>
  <c r="AH712" i="12"/>
  <c r="AG712" i="12"/>
  <c r="AF712" i="12"/>
  <c r="AE712" i="12"/>
  <c r="AD712" i="12"/>
  <c r="AC712" i="12"/>
  <c r="AB712" i="12"/>
  <c r="AI711" i="12"/>
  <c r="AH711" i="12"/>
  <c r="AG711" i="12"/>
  <c r="AF711" i="12"/>
  <c r="AE711" i="12"/>
  <c r="AD711" i="12"/>
  <c r="AC711" i="12"/>
  <c r="AB711" i="12"/>
  <c r="AI710" i="12"/>
  <c r="AH710" i="12"/>
  <c r="AG710" i="12"/>
  <c r="AF710" i="12"/>
  <c r="AE710" i="12"/>
  <c r="AD710" i="12"/>
  <c r="AC710" i="12"/>
  <c r="AB710" i="12"/>
  <c r="AI709" i="12"/>
  <c r="AH709" i="12"/>
  <c r="AG709" i="12"/>
  <c r="AF709" i="12"/>
  <c r="AE709" i="12"/>
  <c r="AD709" i="12"/>
  <c r="AC709" i="12"/>
  <c r="AB709" i="12"/>
  <c r="AI708" i="12"/>
  <c r="AH708" i="12"/>
  <c r="AG708" i="12"/>
  <c r="AF708" i="12"/>
  <c r="AE708" i="12"/>
  <c r="AD708" i="12"/>
  <c r="AC708" i="12"/>
  <c r="AB708" i="12"/>
  <c r="AI707" i="12"/>
  <c r="AH707" i="12"/>
  <c r="AG707" i="12"/>
  <c r="AF707" i="12"/>
  <c r="AE707" i="12"/>
  <c r="AD707" i="12"/>
  <c r="AC707" i="12"/>
  <c r="AB707" i="12"/>
  <c r="AI706" i="12"/>
  <c r="AH706" i="12"/>
  <c r="AG706" i="12"/>
  <c r="AF706" i="12"/>
  <c r="AE706" i="12"/>
  <c r="AD706" i="12"/>
  <c r="AC706" i="12"/>
  <c r="AB706" i="12"/>
  <c r="AI705" i="12"/>
  <c r="AH705" i="12"/>
  <c r="AG705" i="12"/>
  <c r="AF705" i="12"/>
  <c r="AE705" i="12"/>
  <c r="AD705" i="12"/>
  <c r="AC705" i="12"/>
  <c r="AB705" i="12"/>
  <c r="AI704" i="12"/>
  <c r="AH704" i="12"/>
  <c r="AG704" i="12"/>
  <c r="AF704" i="12"/>
  <c r="AE704" i="12"/>
  <c r="AD704" i="12"/>
  <c r="AC704" i="12"/>
  <c r="AB704" i="12"/>
  <c r="AI703" i="12"/>
  <c r="AH703" i="12"/>
  <c r="AG703" i="12"/>
  <c r="AF703" i="12"/>
  <c r="AE703" i="12"/>
  <c r="AD703" i="12"/>
  <c r="AC703" i="12"/>
  <c r="AB703" i="12"/>
  <c r="AI702" i="12"/>
  <c r="AH702" i="12"/>
  <c r="AG702" i="12"/>
  <c r="AF702" i="12"/>
  <c r="AE702" i="12"/>
  <c r="AD702" i="12"/>
  <c r="AC702" i="12"/>
  <c r="AB702" i="12"/>
  <c r="AI701" i="12"/>
  <c r="AH701" i="12"/>
  <c r="AG701" i="12"/>
  <c r="AF701" i="12"/>
  <c r="AE701" i="12"/>
  <c r="AD701" i="12"/>
  <c r="AC701" i="12"/>
  <c r="AB701" i="12"/>
  <c r="AI700" i="12"/>
  <c r="AH700" i="12"/>
  <c r="AG700" i="12"/>
  <c r="AF700" i="12"/>
  <c r="AE700" i="12"/>
  <c r="AD700" i="12"/>
  <c r="AC700" i="12"/>
  <c r="AB700" i="12"/>
  <c r="AI699" i="12"/>
  <c r="AH699" i="12"/>
  <c r="AG699" i="12"/>
  <c r="AF699" i="12"/>
  <c r="AE699" i="12"/>
  <c r="AD699" i="12"/>
  <c r="AC699" i="12"/>
  <c r="AB699" i="12"/>
  <c r="AI698" i="12"/>
  <c r="AH698" i="12"/>
  <c r="AG698" i="12"/>
  <c r="AF698" i="12"/>
  <c r="AE698" i="12"/>
  <c r="AD698" i="12"/>
  <c r="AC698" i="12"/>
  <c r="AB698" i="12"/>
  <c r="AI697" i="12"/>
  <c r="AH697" i="12"/>
  <c r="AG697" i="12"/>
  <c r="AF697" i="12"/>
  <c r="AE697" i="12"/>
  <c r="AD697" i="12"/>
  <c r="AC697" i="12"/>
  <c r="AB697" i="12"/>
  <c r="AI696" i="12"/>
  <c r="AH696" i="12"/>
  <c r="AG696" i="12"/>
  <c r="AF696" i="12"/>
  <c r="AE696" i="12"/>
  <c r="AD696" i="12"/>
  <c r="AC696" i="12"/>
  <c r="AB696" i="12"/>
  <c r="AI695" i="12"/>
  <c r="AH695" i="12"/>
  <c r="AG695" i="12"/>
  <c r="AF695" i="12"/>
  <c r="AE695" i="12"/>
  <c r="AD695" i="12"/>
  <c r="AC695" i="12"/>
  <c r="AB695" i="12"/>
  <c r="AI694" i="12"/>
  <c r="AH694" i="12"/>
  <c r="AG694" i="12"/>
  <c r="AF694" i="12"/>
  <c r="AE694" i="12"/>
  <c r="AD694" i="12"/>
  <c r="AC694" i="12"/>
  <c r="AB694" i="12"/>
  <c r="AI693" i="12"/>
  <c r="AH693" i="12"/>
  <c r="AG693" i="12"/>
  <c r="AF693" i="12"/>
  <c r="AE693" i="12"/>
  <c r="AD693" i="12"/>
  <c r="AC693" i="12"/>
  <c r="AB693" i="12"/>
  <c r="AI692" i="12"/>
  <c r="AH692" i="12"/>
  <c r="AG692" i="12"/>
  <c r="AF692" i="12"/>
  <c r="AE692" i="12"/>
  <c r="AD692" i="12"/>
  <c r="AC692" i="12"/>
  <c r="AB692" i="12"/>
  <c r="AI691" i="12"/>
  <c r="AH691" i="12"/>
  <c r="AG691" i="12"/>
  <c r="AF691" i="12"/>
  <c r="AE691" i="12"/>
  <c r="AD691" i="12"/>
  <c r="AC691" i="12"/>
  <c r="AB691" i="12"/>
  <c r="AI690" i="12"/>
  <c r="AH690" i="12"/>
  <c r="AG690" i="12"/>
  <c r="AF690" i="12"/>
  <c r="AE690" i="12"/>
  <c r="AD690" i="12"/>
  <c r="AC690" i="12"/>
  <c r="AB690" i="12"/>
  <c r="AI689" i="12"/>
  <c r="AH689" i="12"/>
  <c r="AG689" i="12"/>
  <c r="AF689" i="12"/>
  <c r="AE689" i="12"/>
  <c r="AD689" i="12"/>
  <c r="AC689" i="12"/>
  <c r="AB689" i="12"/>
  <c r="AI688" i="12"/>
  <c r="AH688" i="12"/>
  <c r="AG688" i="12"/>
  <c r="AF688" i="12"/>
  <c r="AE688" i="12"/>
  <c r="AD688" i="12"/>
  <c r="AC688" i="12"/>
  <c r="AB688" i="12"/>
  <c r="AI687" i="12"/>
  <c r="AH687" i="12"/>
  <c r="AG687" i="12"/>
  <c r="AF687" i="12"/>
  <c r="AE687" i="12"/>
  <c r="AD687" i="12"/>
  <c r="AC687" i="12"/>
  <c r="AB687" i="12"/>
  <c r="AI686" i="12"/>
  <c r="AH686" i="12"/>
  <c r="AG686" i="12"/>
  <c r="AF686" i="12"/>
  <c r="AE686" i="12"/>
  <c r="AD686" i="12"/>
  <c r="AC686" i="12"/>
  <c r="AB686" i="12"/>
  <c r="AI685" i="12"/>
  <c r="AH685" i="12"/>
  <c r="AG685" i="12"/>
  <c r="AF685" i="12"/>
  <c r="AE685" i="12"/>
  <c r="AD685" i="12"/>
  <c r="AC685" i="12"/>
  <c r="AB685" i="12"/>
  <c r="AI684" i="12"/>
  <c r="AH684" i="12"/>
  <c r="AG684" i="12"/>
  <c r="AF684" i="12"/>
  <c r="AE684" i="12"/>
  <c r="AD684" i="12"/>
  <c r="AC684" i="12"/>
  <c r="AB684" i="12"/>
  <c r="AI683" i="12"/>
  <c r="AH683" i="12"/>
  <c r="AG683" i="12"/>
  <c r="AF683" i="12"/>
  <c r="AE683" i="12"/>
  <c r="AD683" i="12"/>
  <c r="AC683" i="12"/>
  <c r="AB683" i="12"/>
  <c r="AI682" i="12"/>
  <c r="AH682" i="12"/>
  <c r="AG682" i="12"/>
  <c r="AF682" i="12"/>
  <c r="AE682" i="12"/>
  <c r="AD682" i="12"/>
  <c r="AC682" i="12"/>
  <c r="AB682" i="12"/>
  <c r="AI681" i="12"/>
  <c r="AH681" i="12"/>
  <c r="AG681" i="12"/>
  <c r="AF681" i="12"/>
  <c r="AE681" i="12"/>
  <c r="AD681" i="12"/>
  <c r="AC681" i="12"/>
  <c r="AB681" i="12"/>
  <c r="AI680" i="12"/>
  <c r="AH680" i="12"/>
  <c r="AG680" i="12"/>
  <c r="AF680" i="12"/>
  <c r="AE680" i="12"/>
  <c r="AD680" i="12"/>
  <c r="AC680" i="12"/>
  <c r="AB680" i="12"/>
  <c r="AI679" i="12"/>
  <c r="AH679" i="12"/>
  <c r="AG679" i="12"/>
  <c r="AF679" i="12"/>
  <c r="AE679" i="12"/>
  <c r="AD679" i="12"/>
  <c r="AC679" i="12"/>
  <c r="AB679" i="12"/>
  <c r="AI678" i="12"/>
  <c r="AH678" i="12"/>
  <c r="AG678" i="12"/>
  <c r="AF678" i="12"/>
  <c r="AE678" i="12"/>
  <c r="AD678" i="12"/>
  <c r="AC678" i="12"/>
  <c r="AB678" i="12"/>
  <c r="AI677" i="12"/>
  <c r="AH677" i="12"/>
  <c r="AG677" i="12"/>
  <c r="AF677" i="12"/>
  <c r="AE677" i="12"/>
  <c r="AD677" i="12"/>
  <c r="AC677" i="12"/>
  <c r="AB677" i="12"/>
  <c r="AI676" i="12"/>
  <c r="AH676" i="12"/>
  <c r="AG676" i="12"/>
  <c r="AF676" i="12"/>
  <c r="AE676" i="12"/>
  <c r="AD676" i="12"/>
  <c r="AC676" i="12"/>
  <c r="AB676" i="12"/>
  <c r="AI675" i="12"/>
  <c r="AH675" i="12"/>
  <c r="AG675" i="12"/>
  <c r="AF675" i="12"/>
  <c r="AE675" i="12"/>
  <c r="AD675" i="12"/>
  <c r="AC675" i="12"/>
  <c r="AB675" i="12"/>
  <c r="AI674" i="12"/>
  <c r="AH674" i="12"/>
  <c r="AG674" i="12"/>
  <c r="AF674" i="12"/>
  <c r="AE674" i="12"/>
  <c r="AD674" i="12"/>
  <c r="AC674" i="12"/>
  <c r="AB674" i="12"/>
  <c r="AI673" i="12"/>
  <c r="AH673" i="12"/>
  <c r="AG673" i="12"/>
  <c r="AF673" i="12"/>
  <c r="AE673" i="12"/>
  <c r="AD673" i="12"/>
  <c r="AC673" i="12"/>
  <c r="AB673" i="12"/>
  <c r="AI672" i="12"/>
  <c r="AH672" i="12"/>
  <c r="AG672" i="12"/>
  <c r="AF672" i="12"/>
  <c r="AE672" i="12"/>
  <c r="AD672" i="12"/>
  <c r="AC672" i="12"/>
  <c r="AB672" i="12"/>
  <c r="AI671" i="12"/>
  <c r="AH671" i="12"/>
  <c r="AG671" i="12"/>
  <c r="AF671" i="12"/>
  <c r="AE671" i="12"/>
  <c r="AD671" i="12"/>
  <c r="AC671" i="12"/>
  <c r="AB671" i="12"/>
  <c r="AI670" i="12"/>
  <c r="AH670" i="12"/>
  <c r="AG670" i="12"/>
  <c r="AF670" i="12"/>
  <c r="AE670" i="12"/>
  <c r="AD670" i="12"/>
  <c r="AC670" i="12"/>
  <c r="AB670" i="12"/>
  <c r="AI669" i="12"/>
  <c r="AH669" i="12"/>
  <c r="AG669" i="12"/>
  <c r="AF669" i="12"/>
  <c r="AE669" i="12"/>
  <c r="AD669" i="12"/>
  <c r="AC669" i="12"/>
  <c r="AB669" i="12"/>
  <c r="AI668" i="12"/>
  <c r="AH668" i="12"/>
  <c r="AG668" i="12"/>
  <c r="AF668" i="12"/>
  <c r="AE668" i="12"/>
  <c r="AD668" i="12"/>
  <c r="AC668" i="12"/>
  <c r="AB668" i="12"/>
  <c r="AI667" i="12"/>
  <c r="AH667" i="12"/>
  <c r="AG667" i="12"/>
  <c r="AF667" i="12"/>
  <c r="AE667" i="12"/>
  <c r="AD667" i="12"/>
  <c r="AC667" i="12"/>
  <c r="AB667" i="12"/>
  <c r="AI666" i="12"/>
  <c r="AH666" i="12"/>
  <c r="AG666" i="12"/>
  <c r="AF666" i="12"/>
  <c r="AE666" i="12"/>
  <c r="AD666" i="12"/>
  <c r="AC666" i="12"/>
  <c r="AB666" i="12"/>
  <c r="AI665" i="12"/>
  <c r="AH665" i="12"/>
  <c r="AG665" i="12"/>
  <c r="AF665" i="12"/>
  <c r="AE665" i="12"/>
  <c r="AD665" i="12"/>
  <c r="AC665" i="12"/>
  <c r="AB665" i="12"/>
  <c r="AI664" i="12"/>
  <c r="AH664" i="12"/>
  <c r="AG664" i="12"/>
  <c r="AF664" i="12"/>
  <c r="AE664" i="12"/>
  <c r="AD664" i="12"/>
  <c r="AC664" i="12"/>
  <c r="AB664" i="12"/>
  <c r="AI663" i="12"/>
  <c r="AH663" i="12"/>
  <c r="AG663" i="12"/>
  <c r="AF663" i="12"/>
  <c r="AE663" i="12"/>
  <c r="AD663" i="12"/>
  <c r="AC663" i="12"/>
  <c r="AB663" i="12"/>
  <c r="AI662" i="12"/>
  <c r="AH662" i="12"/>
  <c r="AG662" i="12"/>
  <c r="AF662" i="12"/>
  <c r="AE662" i="12"/>
  <c r="AD662" i="12"/>
  <c r="AC662" i="12"/>
  <c r="AB662" i="12"/>
  <c r="AI661" i="12"/>
  <c r="AH661" i="12"/>
  <c r="AG661" i="12"/>
  <c r="AF661" i="12"/>
  <c r="AE661" i="12"/>
  <c r="AD661" i="12"/>
  <c r="AC661" i="12"/>
  <c r="AB661" i="12"/>
  <c r="AI660" i="12"/>
  <c r="AH660" i="12"/>
  <c r="AG660" i="12"/>
  <c r="AF660" i="12"/>
  <c r="AE660" i="12"/>
  <c r="AD660" i="12"/>
  <c r="AC660" i="12"/>
  <c r="AB660" i="12"/>
  <c r="AI659" i="12"/>
  <c r="AH659" i="12"/>
  <c r="AG659" i="12"/>
  <c r="AF659" i="12"/>
  <c r="AE659" i="12"/>
  <c r="AD659" i="12"/>
  <c r="AC659" i="12"/>
  <c r="AB659" i="12"/>
  <c r="AI658" i="12"/>
  <c r="AH658" i="12"/>
  <c r="AG658" i="12"/>
  <c r="AF658" i="12"/>
  <c r="AE658" i="12"/>
  <c r="AD658" i="12"/>
  <c r="AC658" i="12"/>
  <c r="AB658" i="12"/>
  <c r="AI657" i="12"/>
  <c r="AH657" i="12"/>
  <c r="AG657" i="12"/>
  <c r="AF657" i="12"/>
  <c r="AE657" i="12"/>
  <c r="AD657" i="12"/>
  <c r="AC657" i="12"/>
  <c r="AB657" i="12"/>
  <c r="AI656" i="12"/>
  <c r="AH656" i="12"/>
  <c r="AG656" i="12"/>
  <c r="AF656" i="12"/>
  <c r="AE656" i="12"/>
  <c r="AD656" i="12"/>
  <c r="AC656" i="12"/>
  <c r="AB656" i="12"/>
  <c r="AI655" i="12"/>
  <c r="AH655" i="12"/>
  <c r="AG655" i="12"/>
  <c r="AF655" i="12"/>
  <c r="AE655" i="12"/>
  <c r="AD655" i="12"/>
  <c r="AC655" i="12"/>
  <c r="AB655" i="12"/>
  <c r="AI654" i="12"/>
  <c r="AH654" i="12"/>
  <c r="AG654" i="12"/>
  <c r="AF654" i="12"/>
  <c r="AE654" i="12"/>
  <c r="AD654" i="12"/>
  <c r="AC654" i="12"/>
  <c r="AB654" i="12"/>
  <c r="AI653" i="12"/>
  <c r="AH653" i="12"/>
  <c r="AG653" i="12"/>
  <c r="AF653" i="12"/>
  <c r="AE653" i="12"/>
  <c r="AD653" i="12"/>
  <c r="AC653" i="12"/>
  <c r="AB653" i="12"/>
  <c r="AI652" i="12"/>
  <c r="AH652" i="12"/>
  <c r="AG652" i="12"/>
  <c r="AF652" i="12"/>
  <c r="AE652" i="12"/>
  <c r="AD652" i="12"/>
  <c r="AC652" i="12"/>
  <c r="AB652" i="12"/>
  <c r="AI651" i="12"/>
  <c r="AH651" i="12"/>
  <c r="AG651" i="12"/>
  <c r="AF651" i="12"/>
  <c r="AE651" i="12"/>
  <c r="AD651" i="12"/>
  <c r="AC651" i="12"/>
  <c r="AB651" i="12"/>
  <c r="AI650" i="12"/>
  <c r="AH650" i="12"/>
  <c r="AG650" i="12"/>
  <c r="AF650" i="12"/>
  <c r="AE650" i="12"/>
  <c r="AD650" i="12"/>
  <c r="AC650" i="12"/>
  <c r="AB650" i="12"/>
  <c r="AI649" i="12"/>
  <c r="AH649" i="12"/>
  <c r="AG649" i="12"/>
  <c r="AF649" i="12"/>
  <c r="AE649" i="12"/>
  <c r="AD649" i="12"/>
  <c r="AC649" i="12"/>
  <c r="AB649" i="12"/>
  <c r="AI648" i="12"/>
  <c r="AH648" i="12"/>
  <c r="AG648" i="12"/>
  <c r="AF648" i="12"/>
  <c r="AE648" i="12"/>
  <c r="AD648" i="12"/>
  <c r="AC648" i="12"/>
  <c r="AB648" i="12"/>
  <c r="AI647" i="12"/>
  <c r="AH647" i="12"/>
  <c r="AG647" i="12"/>
  <c r="AF647" i="12"/>
  <c r="AE647" i="12"/>
  <c r="AD647" i="12"/>
  <c r="AC647" i="12"/>
  <c r="AB647" i="12"/>
  <c r="AI646" i="12"/>
  <c r="AH646" i="12"/>
  <c r="AG646" i="12"/>
  <c r="AF646" i="12"/>
  <c r="AE646" i="12"/>
  <c r="AD646" i="12"/>
  <c r="AC646" i="12"/>
  <c r="AB646" i="12"/>
  <c r="AI645" i="12"/>
  <c r="AH645" i="12"/>
  <c r="AG645" i="12"/>
  <c r="AF645" i="12"/>
  <c r="AE645" i="12"/>
  <c r="AD645" i="12"/>
  <c r="AC645" i="12"/>
  <c r="AB645" i="12"/>
  <c r="AI644" i="12"/>
  <c r="AH644" i="12"/>
  <c r="AG644" i="12"/>
  <c r="AF644" i="12"/>
  <c r="AE644" i="12"/>
  <c r="AD644" i="12"/>
  <c r="AC644" i="12"/>
  <c r="AB644" i="12"/>
  <c r="AI643" i="12"/>
  <c r="AH643" i="12"/>
  <c r="AG643" i="12"/>
  <c r="AF643" i="12"/>
  <c r="AE643" i="12"/>
  <c r="AD643" i="12"/>
  <c r="AC643" i="12"/>
  <c r="AB643" i="12"/>
  <c r="AI642" i="12"/>
  <c r="AH642" i="12"/>
  <c r="AG642" i="12"/>
  <c r="AF642" i="12"/>
  <c r="AE642" i="12"/>
  <c r="AD642" i="12"/>
  <c r="AC642" i="12"/>
  <c r="AB642" i="12"/>
  <c r="AI641" i="12"/>
  <c r="AH641" i="12"/>
  <c r="AG641" i="12"/>
  <c r="AF641" i="12"/>
  <c r="AE641" i="12"/>
  <c r="AD641" i="12"/>
  <c r="AC641" i="12"/>
  <c r="AB641" i="12"/>
  <c r="AI640" i="12"/>
  <c r="AH640" i="12"/>
  <c r="AG640" i="12"/>
  <c r="AF640" i="12"/>
  <c r="AE640" i="12"/>
  <c r="AD640" i="12"/>
  <c r="AC640" i="12"/>
  <c r="AB640" i="12"/>
  <c r="AI639" i="12"/>
  <c r="AH639" i="12"/>
  <c r="AG639" i="12"/>
  <c r="AF639" i="12"/>
  <c r="AE639" i="12"/>
  <c r="AD639" i="12"/>
  <c r="AC639" i="12"/>
  <c r="AB639" i="12"/>
  <c r="AI638" i="12"/>
  <c r="AH638" i="12"/>
  <c r="AG638" i="12"/>
  <c r="AF638" i="12"/>
  <c r="AE638" i="12"/>
  <c r="AD638" i="12"/>
  <c r="AC638" i="12"/>
  <c r="AB638" i="12"/>
  <c r="AI637" i="12"/>
  <c r="AH637" i="12"/>
  <c r="AG637" i="12"/>
  <c r="AF637" i="12"/>
  <c r="AE637" i="12"/>
  <c r="AD637" i="12"/>
  <c r="AC637" i="12"/>
  <c r="AB637" i="12"/>
  <c r="AI636" i="12"/>
  <c r="AH636" i="12"/>
  <c r="AG636" i="12"/>
  <c r="AF636" i="12"/>
  <c r="AE636" i="12"/>
  <c r="AD636" i="12"/>
  <c r="AC636" i="12"/>
  <c r="AB636" i="12"/>
  <c r="AI635" i="12"/>
  <c r="AH635" i="12"/>
  <c r="AG635" i="12"/>
  <c r="AF635" i="12"/>
  <c r="AE635" i="12"/>
  <c r="AD635" i="12"/>
  <c r="AC635" i="12"/>
  <c r="AB635" i="12"/>
  <c r="AI634" i="12"/>
  <c r="AH634" i="12"/>
  <c r="AG634" i="12"/>
  <c r="AF634" i="12"/>
  <c r="AE634" i="12"/>
  <c r="AD634" i="12"/>
  <c r="AC634" i="12"/>
  <c r="AB634" i="12"/>
  <c r="AI633" i="12"/>
  <c r="AH633" i="12"/>
  <c r="AG633" i="12"/>
  <c r="AF633" i="12"/>
  <c r="AE633" i="12"/>
  <c r="AD633" i="12"/>
  <c r="AC633" i="12"/>
  <c r="AB633" i="12"/>
  <c r="AI632" i="12"/>
  <c r="AH632" i="12"/>
  <c r="AG632" i="12"/>
  <c r="AF632" i="12"/>
  <c r="AE632" i="12"/>
  <c r="AD632" i="12"/>
  <c r="AC632" i="12"/>
  <c r="AB632" i="12"/>
  <c r="AI631" i="12"/>
  <c r="AH631" i="12"/>
  <c r="AG631" i="12"/>
  <c r="AF631" i="12"/>
  <c r="AE631" i="12"/>
  <c r="AD631" i="12"/>
  <c r="AC631" i="12"/>
  <c r="AB631" i="12"/>
  <c r="AI630" i="12"/>
  <c r="AH630" i="12"/>
  <c r="AG630" i="12"/>
  <c r="AF630" i="12"/>
  <c r="AE630" i="12"/>
  <c r="AD630" i="12"/>
  <c r="AC630" i="12"/>
  <c r="AB630" i="12"/>
  <c r="AI629" i="12"/>
  <c r="AH629" i="12"/>
  <c r="AG629" i="12"/>
  <c r="AF629" i="12"/>
  <c r="AE629" i="12"/>
  <c r="AD629" i="12"/>
  <c r="AC629" i="12"/>
  <c r="AB629" i="12"/>
  <c r="AI628" i="12"/>
  <c r="AH628" i="12"/>
  <c r="AG628" i="12"/>
  <c r="AF628" i="12"/>
  <c r="AE628" i="12"/>
  <c r="AD628" i="12"/>
  <c r="AC628" i="12"/>
  <c r="AB628" i="12"/>
  <c r="AI627" i="12"/>
  <c r="AH627" i="12"/>
  <c r="AG627" i="12"/>
  <c r="AF627" i="12"/>
  <c r="AE627" i="12"/>
  <c r="AD627" i="12"/>
  <c r="AC627" i="12"/>
  <c r="AB627" i="12"/>
  <c r="AI626" i="12"/>
  <c r="AH626" i="12"/>
  <c r="AG626" i="12"/>
  <c r="AF626" i="12"/>
  <c r="AE626" i="12"/>
  <c r="AD626" i="12"/>
  <c r="AC626" i="12"/>
  <c r="AB626" i="12"/>
  <c r="AI625" i="12"/>
  <c r="AH625" i="12"/>
  <c r="AG625" i="12"/>
  <c r="AF625" i="12"/>
  <c r="AE625" i="12"/>
  <c r="AD625" i="12"/>
  <c r="AC625" i="12"/>
  <c r="AB625" i="12"/>
  <c r="AI624" i="12"/>
  <c r="AH624" i="12"/>
  <c r="AG624" i="12"/>
  <c r="AF624" i="12"/>
  <c r="AE624" i="12"/>
  <c r="AD624" i="12"/>
  <c r="AC624" i="12"/>
  <c r="AB624" i="12"/>
  <c r="AI623" i="12"/>
  <c r="AH623" i="12"/>
  <c r="AG623" i="12"/>
  <c r="AF623" i="12"/>
  <c r="AE623" i="12"/>
  <c r="AD623" i="12"/>
  <c r="AC623" i="12"/>
  <c r="AB623" i="12"/>
  <c r="AI622" i="12"/>
  <c r="AH622" i="12"/>
  <c r="AG622" i="12"/>
  <c r="AF622" i="12"/>
  <c r="AE622" i="12"/>
  <c r="AD622" i="12"/>
  <c r="AC622" i="12"/>
  <c r="AB622" i="12"/>
  <c r="AI621" i="12"/>
  <c r="AH621" i="12"/>
  <c r="AG621" i="12"/>
  <c r="AF621" i="12"/>
  <c r="AE621" i="12"/>
  <c r="AD621" i="12"/>
  <c r="AC621" i="12"/>
  <c r="AB621" i="12"/>
  <c r="AI620" i="12"/>
  <c r="AH620" i="12"/>
  <c r="AG620" i="12"/>
  <c r="AF620" i="12"/>
  <c r="AE620" i="12"/>
  <c r="AD620" i="12"/>
  <c r="AC620" i="12"/>
  <c r="AB620" i="12"/>
  <c r="AI619" i="12"/>
  <c r="AH619" i="12"/>
  <c r="AG619" i="12"/>
  <c r="AF619" i="12"/>
  <c r="AE619" i="12"/>
  <c r="AD619" i="12"/>
  <c r="AC619" i="12"/>
  <c r="AB619" i="12"/>
  <c r="AI618" i="12"/>
  <c r="AH618" i="12"/>
  <c r="AG618" i="12"/>
  <c r="AF618" i="12"/>
  <c r="AE618" i="12"/>
  <c r="AD618" i="12"/>
  <c r="AC618" i="12"/>
  <c r="AB618" i="12"/>
  <c r="AI617" i="12"/>
  <c r="AH617" i="12"/>
  <c r="AG617" i="12"/>
  <c r="AF617" i="12"/>
  <c r="AE617" i="12"/>
  <c r="AD617" i="12"/>
  <c r="AC617" i="12"/>
  <c r="AB617" i="12"/>
  <c r="AI616" i="12"/>
  <c r="AH616" i="12"/>
  <c r="AG616" i="12"/>
  <c r="AF616" i="12"/>
  <c r="AE616" i="12"/>
  <c r="AD616" i="12"/>
  <c r="AC616" i="12"/>
  <c r="AB616" i="12"/>
  <c r="AI615" i="12"/>
  <c r="AH615" i="12"/>
  <c r="AG615" i="12"/>
  <c r="AF615" i="12"/>
  <c r="AE615" i="12"/>
  <c r="AD615" i="12"/>
  <c r="AC615" i="12"/>
  <c r="AB615" i="12"/>
  <c r="AI614" i="12"/>
  <c r="AH614" i="12"/>
  <c r="AG614" i="12"/>
  <c r="AF614" i="12"/>
  <c r="AE614" i="12"/>
  <c r="AD614" i="12"/>
  <c r="AC614" i="12"/>
  <c r="AB614" i="12"/>
  <c r="AI613" i="12"/>
  <c r="AH613" i="12"/>
  <c r="AG613" i="12"/>
  <c r="AF613" i="12"/>
  <c r="AE613" i="12"/>
  <c r="AD613" i="12"/>
  <c r="AC613" i="12"/>
  <c r="AB613" i="12"/>
  <c r="AI612" i="12"/>
  <c r="AH612" i="12"/>
  <c r="AG612" i="12"/>
  <c r="AF612" i="12"/>
  <c r="AE612" i="12"/>
  <c r="AD612" i="12"/>
  <c r="AC612" i="12"/>
  <c r="AB612" i="12"/>
  <c r="AI611" i="12"/>
  <c r="AH611" i="12"/>
  <c r="AG611" i="12"/>
  <c r="AF611" i="12"/>
  <c r="AE611" i="12"/>
  <c r="AD611" i="12"/>
  <c r="AC611" i="12"/>
  <c r="AB611" i="12"/>
  <c r="AI610" i="12"/>
  <c r="AH610" i="12"/>
  <c r="AG610" i="12"/>
  <c r="AF610" i="12"/>
  <c r="AE610" i="12"/>
  <c r="AD610" i="12"/>
  <c r="AC610" i="12"/>
  <c r="AB610" i="12"/>
  <c r="AI609" i="12"/>
  <c r="AH609" i="12"/>
  <c r="AG609" i="12"/>
  <c r="AF609" i="12"/>
  <c r="AE609" i="12"/>
  <c r="AD609" i="12"/>
  <c r="AC609" i="12"/>
  <c r="AB609" i="12"/>
  <c r="AI608" i="12"/>
  <c r="AH608" i="12"/>
  <c r="AG608" i="12"/>
  <c r="AF608" i="12"/>
  <c r="AE608" i="12"/>
  <c r="AD608" i="12"/>
  <c r="AC608" i="12"/>
  <c r="AB608" i="12"/>
  <c r="AI607" i="12"/>
  <c r="AH607" i="12"/>
  <c r="AG607" i="12"/>
  <c r="AF607" i="12"/>
  <c r="AE607" i="12"/>
  <c r="AD607" i="12"/>
  <c r="AC607" i="12"/>
  <c r="AB607" i="12"/>
  <c r="AI606" i="12"/>
  <c r="AH606" i="12"/>
  <c r="AG606" i="12"/>
  <c r="AF606" i="12"/>
  <c r="AE606" i="12"/>
  <c r="AD606" i="12"/>
  <c r="AC606" i="12"/>
  <c r="AB606" i="12"/>
  <c r="AI605" i="12"/>
  <c r="AH605" i="12"/>
  <c r="AG605" i="12"/>
  <c r="AF605" i="12"/>
  <c r="AE605" i="12"/>
  <c r="AD605" i="12"/>
  <c r="AC605" i="12"/>
  <c r="AB605" i="12"/>
  <c r="AI604" i="12"/>
  <c r="AH604" i="12"/>
  <c r="AG604" i="12"/>
  <c r="AF604" i="12"/>
  <c r="AE604" i="12"/>
  <c r="AD604" i="12"/>
  <c r="AC604" i="12"/>
  <c r="AB604" i="12"/>
  <c r="AI603" i="12"/>
  <c r="AH603" i="12"/>
  <c r="AG603" i="12"/>
  <c r="AF603" i="12"/>
  <c r="AE603" i="12"/>
  <c r="AD603" i="12"/>
  <c r="AC603" i="12"/>
  <c r="AB603" i="12"/>
  <c r="AI602" i="12"/>
  <c r="AH602" i="12"/>
  <c r="AG602" i="12"/>
  <c r="AF602" i="12"/>
  <c r="AE602" i="12"/>
  <c r="AD602" i="12"/>
  <c r="AC602" i="12"/>
  <c r="AB602" i="12"/>
  <c r="AI601" i="12"/>
  <c r="AH601" i="12"/>
  <c r="AG601" i="12"/>
  <c r="AF601" i="12"/>
  <c r="AE601" i="12"/>
  <c r="AD601" i="12"/>
  <c r="AC601" i="12"/>
  <c r="AB601" i="12"/>
  <c r="AI600" i="12"/>
  <c r="AH600" i="12"/>
  <c r="AG600" i="12"/>
  <c r="AF600" i="12"/>
  <c r="AE600" i="12"/>
  <c r="AD600" i="12"/>
  <c r="AC600" i="12"/>
  <c r="AB600" i="12"/>
  <c r="AI599" i="12"/>
  <c r="AH599" i="12"/>
  <c r="AG599" i="12"/>
  <c r="AF599" i="12"/>
  <c r="AE599" i="12"/>
  <c r="AD599" i="12"/>
  <c r="AC599" i="12"/>
  <c r="AB599" i="12"/>
  <c r="AI598" i="12"/>
  <c r="AH598" i="12"/>
  <c r="AG598" i="12"/>
  <c r="AF598" i="12"/>
  <c r="AE598" i="12"/>
  <c r="AD598" i="12"/>
  <c r="AC598" i="12"/>
  <c r="AB598" i="12"/>
  <c r="AI597" i="12"/>
  <c r="AH597" i="12"/>
  <c r="AG597" i="12"/>
  <c r="AF597" i="12"/>
  <c r="AE597" i="12"/>
  <c r="AD597" i="12"/>
  <c r="AC597" i="12"/>
  <c r="AB597" i="12"/>
  <c r="AI596" i="12"/>
  <c r="AH596" i="12"/>
  <c r="AG596" i="12"/>
  <c r="AF596" i="12"/>
  <c r="AE596" i="12"/>
  <c r="AD596" i="12"/>
  <c r="AC596" i="12"/>
  <c r="AB596" i="12"/>
  <c r="AI595" i="12"/>
  <c r="AH595" i="12"/>
  <c r="AG595" i="12"/>
  <c r="AF595" i="12"/>
  <c r="AE595" i="12"/>
  <c r="AD595" i="12"/>
  <c r="AC595" i="12"/>
  <c r="AB595" i="12"/>
  <c r="AI594" i="12"/>
  <c r="AH594" i="12"/>
  <c r="AG594" i="12"/>
  <c r="AF594" i="12"/>
  <c r="AE594" i="12"/>
  <c r="AD594" i="12"/>
  <c r="AC594" i="12"/>
  <c r="AB594" i="12"/>
  <c r="AI593" i="12"/>
  <c r="AH593" i="12"/>
  <c r="AG593" i="12"/>
  <c r="AF593" i="12"/>
  <c r="AE593" i="12"/>
  <c r="AD593" i="12"/>
  <c r="AC593" i="12"/>
  <c r="AB593" i="12"/>
  <c r="AI592" i="12"/>
  <c r="AH592" i="12"/>
  <c r="AG592" i="12"/>
  <c r="AF592" i="12"/>
  <c r="AE592" i="12"/>
  <c r="AD592" i="12"/>
  <c r="AC592" i="12"/>
  <c r="AB592" i="12"/>
  <c r="AI591" i="12"/>
  <c r="AH591" i="12"/>
  <c r="AG591" i="12"/>
  <c r="AF591" i="12"/>
  <c r="AE591" i="12"/>
  <c r="AD591" i="12"/>
  <c r="AC591" i="12"/>
  <c r="AB591" i="12"/>
  <c r="AI590" i="12"/>
  <c r="AH590" i="12"/>
  <c r="AG590" i="12"/>
  <c r="AF590" i="12"/>
  <c r="AE590" i="12"/>
  <c r="AD590" i="12"/>
  <c r="AC590" i="12"/>
  <c r="AB590" i="12"/>
  <c r="AI589" i="12"/>
  <c r="AH589" i="12"/>
  <c r="AG589" i="12"/>
  <c r="AF589" i="12"/>
  <c r="AE589" i="12"/>
  <c r="AD589" i="12"/>
  <c r="AC589" i="12"/>
  <c r="AB589" i="12"/>
  <c r="AI588" i="12"/>
  <c r="AH588" i="12"/>
  <c r="AG588" i="12"/>
  <c r="AF588" i="12"/>
  <c r="AE588" i="12"/>
  <c r="AD588" i="12"/>
  <c r="AC588" i="12"/>
  <c r="AB588" i="12"/>
  <c r="AI587" i="12"/>
  <c r="AH587" i="12"/>
  <c r="AG587" i="12"/>
  <c r="AF587" i="12"/>
  <c r="AE587" i="12"/>
  <c r="AD587" i="12"/>
  <c r="AC587" i="12"/>
  <c r="AB587" i="12"/>
  <c r="AI586" i="12"/>
  <c r="AH586" i="12"/>
  <c r="AG586" i="12"/>
  <c r="AF586" i="12"/>
  <c r="AE586" i="12"/>
  <c r="AD586" i="12"/>
  <c r="AC586" i="12"/>
  <c r="AB586" i="12"/>
  <c r="AI585" i="12"/>
  <c r="AH585" i="12"/>
  <c r="AG585" i="12"/>
  <c r="AF585" i="12"/>
  <c r="AE585" i="12"/>
  <c r="AD585" i="12"/>
  <c r="AC585" i="12"/>
  <c r="AB585" i="12"/>
  <c r="AI584" i="12"/>
  <c r="AH584" i="12"/>
  <c r="AG584" i="12"/>
  <c r="AF584" i="12"/>
  <c r="AE584" i="12"/>
  <c r="AD584" i="12"/>
  <c r="AC584" i="12"/>
  <c r="AB584" i="12"/>
  <c r="AI583" i="12"/>
  <c r="AH583" i="12"/>
  <c r="AG583" i="12"/>
  <c r="AF583" i="12"/>
  <c r="AE583" i="12"/>
  <c r="AD583" i="12"/>
  <c r="AC583" i="12"/>
  <c r="AB583" i="12"/>
  <c r="AI582" i="12"/>
  <c r="AH582" i="12"/>
  <c r="AG582" i="12"/>
  <c r="AF582" i="12"/>
  <c r="AE582" i="12"/>
  <c r="AD582" i="12"/>
  <c r="AC582" i="12"/>
  <c r="AB582" i="12"/>
  <c r="AI581" i="12"/>
  <c r="AH581" i="12"/>
  <c r="AG581" i="12"/>
  <c r="AF581" i="12"/>
  <c r="AE581" i="12"/>
  <c r="AD581" i="12"/>
  <c r="AC581" i="12"/>
  <c r="AB581" i="12"/>
  <c r="AI580" i="12"/>
  <c r="AH580" i="12"/>
  <c r="AG580" i="12"/>
  <c r="AF580" i="12"/>
  <c r="AE580" i="12"/>
  <c r="AD580" i="12"/>
  <c r="AC580" i="12"/>
  <c r="AB580" i="12"/>
  <c r="AI579" i="12"/>
  <c r="AH579" i="12"/>
  <c r="AG579" i="12"/>
  <c r="AF579" i="12"/>
  <c r="AE579" i="12"/>
  <c r="AD579" i="12"/>
  <c r="AC579" i="12"/>
  <c r="AB579" i="12"/>
  <c r="AI578" i="12"/>
  <c r="AH578" i="12"/>
  <c r="AG578" i="12"/>
  <c r="AF578" i="12"/>
  <c r="AE578" i="12"/>
  <c r="AD578" i="12"/>
  <c r="AC578" i="12"/>
  <c r="AB578" i="12"/>
  <c r="AI577" i="12"/>
  <c r="AH577" i="12"/>
  <c r="AG577" i="12"/>
  <c r="AF577" i="12"/>
  <c r="AE577" i="12"/>
  <c r="AD577" i="12"/>
  <c r="AC577" i="12"/>
  <c r="AB577" i="12"/>
  <c r="AI576" i="12"/>
  <c r="AH576" i="12"/>
  <c r="AG576" i="12"/>
  <c r="AF576" i="12"/>
  <c r="AE576" i="12"/>
  <c r="AD576" i="12"/>
  <c r="AC576" i="12"/>
  <c r="AB576" i="12"/>
  <c r="AI575" i="12"/>
  <c r="AH575" i="12"/>
  <c r="AG575" i="12"/>
  <c r="AF575" i="12"/>
  <c r="AE575" i="12"/>
  <c r="AD575" i="12"/>
  <c r="AC575" i="12"/>
  <c r="AB575" i="12"/>
  <c r="AI574" i="12"/>
  <c r="AH574" i="12"/>
  <c r="AG574" i="12"/>
  <c r="AF574" i="12"/>
  <c r="AE574" i="12"/>
  <c r="AD574" i="12"/>
  <c r="AC574" i="12"/>
  <c r="AB574" i="12"/>
  <c r="AI573" i="12"/>
  <c r="AH573" i="12"/>
  <c r="AG573" i="12"/>
  <c r="AF573" i="12"/>
  <c r="AE573" i="12"/>
  <c r="AD573" i="12"/>
  <c r="AC573" i="12"/>
  <c r="AB573" i="12"/>
  <c r="AI572" i="12"/>
  <c r="AH572" i="12"/>
  <c r="AG572" i="12"/>
  <c r="AF572" i="12"/>
  <c r="AE572" i="12"/>
  <c r="AD572" i="12"/>
  <c r="AC572" i="12"/>
  <c r="AB572" i="12"/>
  <c r="AI571" i="12"/>
  <c r="AH571" i="12"/>
  <c r="AG571" i="12"/>
  <c r="AF571" i="12"/>
  <c r="AE571" i="12"/>
  <c r="AD571" i="12"/>
  <c r="AC571" i="12"/>
  <c r="AB571" i="12"/>
  <c r="AI570" i="12"/>
  <c r="AH570" i="12"/>
  <c r="AG570" i="12"/>
  <c r="AF570" i="12"/>
  <c r="AE570" i="12"/>
  <c r="AD570" i="12"/>
  <c r="AC570" i="12"/>
  <c r="AB570" i="12"/>
  <c r="AI569" i="12"/>
  <c r="AH569" i="12"/>
  <c r="AG569" i="12"/>
  <c r="AF569" i="12"/>
  <c r="AE569" i="12"/>
  <c r="AD569" i="12"/>
  <c r="AC569" i="12"/>
  <c r="AB569" i="12"/>
  <c r="AI568" i="12"/>
  <c r="AH568" i="12"/>
  <c r="AG568" i="12"/>
  <c r="AF568" i="12"/>
  <c r="AE568" i="12"/>
  <c r="AD568" i="12"/>
  <c r="AC568" i="12"/>
  <c r="AB568" i="12"/>
  <c r="AI567" i="12"/>
  <c r="AH567" i="12"/>
  <c r="AG567" i="12"/>
  <c r="AF567" i="12"/>
  <c r="AE567" i="12"/>
  <c r="AD567" i="12"/>
  <c r="AC567" i="12"/>
  <c r="AB567" i="12"/>
  <c r="AI566" i="12"/>
  <c r="AH566" i="12"/>
  <c r="AG566" i="12"/>
  <c r="AF566" i="12"/>
  <c r="AE566" i="12"/>
  <c r="AD566" i="12"/>
  <c r="AC566" i="12"/>
  <c r="AB566" i="12"/>
  <c r="AI565" i="12"/>
  <c r="AH565" i="12"/>
  <c r="AG565" i="12"/>
  <c r="AF565" i="12"/>
  <c r="AE565" i="12"/>
  <c r="AD565" i="12"/>
  <c r="AC565" i="12"/>
  <c r="AB565" i="12"/>
  <c r="AI564" i="12"/>
  <c r="AH564" i="12"/>
  <c r="AG564" i="12"/>
  <c r="AF564" i="12"/>
  <c r="AE564" i="12"/>
  <c r="AD564" i="12"/>
  <c r="AC564" i="12"/>
  <c r="AB564" i="12"/>
  <c r="AI563" i="12"/>
  <c r="AH563" i="12"/>
  <c r="AG563" i="12"/>
  <c r="AF563" i="12"/>
  <c r="AE563" i="12"/>
  <c r="AD563" i="12"/>
  <c r="AC563" i="12"/>
  <c r="AB563" i="12"/>
  <c r="AI562" i="12"/>
  <c r="AH562" i="12"/>
  <c r="AG562" i="12"/>
  <c r="AF562" i="12"/>
  <c r="AE562" i="12"/>
  <c r="AD562" i="12"/>
  <c r="AC562" i="12"/>
  <c r="AB562" i="12"/>
  <c r="AI561" i="12"/>
  <c r="AH561" i="12"/>
  <c r="AG561" i="12"/>
  <c r="AF561" i="12"/>
  <c r="AE561" i="12"/>
  <c r="AD561" i="12"/>
  <c r="AC561" i="12"/>
  <c r="AB561" i="12"/>
  <c r="AI560" i="12"/>
  <c r="AH560" i="12"/>
  <c r="AG560" i="12"/>
  <c r="AF560" i="12"/>
  <c r="AE560" i="12"/>
  <c r="AD560" i="12"/>
  <c r="AC560" i="12"/>
  <c r="AB560" i="12"/>
  <c r="AI559" i="12"/>
  <c r="AH559" i="12"/>
  <c r="AG559" i="12"/>
  <c r="AF559" i="12"/>
  <c r="AE559" i="12"/>
  <c r="AD559" i="12"/>
  <c r="AC559" i="12"/>
  <c r="AB559" i="12"/>
  <c r="AI558" i="12"/>
  <c r="AH558" i="12"/>
  <c r="AG558" i="12"/>
  <c r="AF558" i="12"/>
  <c r="AE558" i="12"/>
  <c r="AD558" i="12"/>
  <c r="AC558" i="12"/>
  <c r="AB558" i="12"/>
  <c r="AI557" i="12"/>
  <c r="AH557" i="12"/>
  <c r="AG557" i="12"/>
  <c r="AF557" i="12"/>
  <c r="AE557" i="12"/>
  <c r="AD557" i="12"/>
  <c r="AC557" i="12"/>
  <c r="AB557" i="12"/>
  <c r="AI556" i="12"/>
  <c r="AH556" i="12"/>
  <c r="AG556" i="12"/>
  <c r="AF556" i="12"/>
  <c r="AE556" i="12"/>
  <c r="AD556" i="12"/>
  <c r="AC556" i="12"/>
  <c r="AB556" i="12"/>
  <c r="AI555" i="12"/>
  <c r="AH555" i="12"/>
  <c r="AG555" i="12"/>
  <c r="AF555" i="12"/>
  <c r="AE555" i="12"/>
  <c r="AD555" i="12"/>
  <c r="AC555" i="12"/>
  <c r="AB555" i="12"/>
  <c r="AI554" i="12"/>
  <c r="AH554" i="12"/>
  <c r="AG554" i="12"/>
  <c r="AF554" i="12"/>
  <c r="AE554" i="12"/>
  <c r="AD554" i="12"/>
  <c r="AC554" i="12"/>
  <c r="AB554" i="12"/>
  <c r="AI553" i="12"/>
  <c r="AH553" i="12"/>
  <c r="AG553" i="12"/>
  <c r="AF553" i="12"/>
  <c r="AE553" i="12"/>
  <c r="AD553" i="12"/>
  <c r="AC553" i="12"/>
  <c r="AB553" i="12"/>
  <c r="AI552" i="12"/>
  <c r="AH552" i="12"/>
  <c r="AG552" i="12"/>
  <c r="AF552" i="12"/>
  <c r="AE552" i="12"/>
  <c r="AD552" i="12"/>
  <c r="AC552" i="12"/>
  <c r="AB552" i="12"/>
  <c r="AI551" i="12"/>
  <c r="AH551" i="12"/>
  <c r="AG551" i="12"/>
  <c r="AF551" i="12"/>
  <c r="AE551" i="12"/>
  <c r="AD551" i="12"/>
  <c r="AC551" i="12"/>
  <c r="AB551" i="12"/>
  <c r="AI550" i="12"/>
  <c r="AH550" i="12"/>
  <c r="AG550" i="12"/>
  <c r="AF550" i="12"/>
  <c r="AE550" i="12"/>
  <c r="AD550" i="12"/>
  <c r="AC550" i="12"/>
  <c r="AB550" i="12"/>
  <c r="AI549" i="12"/>
  <c r="AH549" i="12"/>
  <c r="AG549" i="12"/>
  <c r="AF549" i="12"/>
  <c r="AE549" i="12"/>
  <c r="AD549" i="12"/>
  <c r="AC549" i="12"/>
  <c r="AB549" i="12"/>
  <c r="AI548" i="12"/>
  <c r="AH548" i="12"/>
  <c r="AG548" i="12"/>
  <c r="AF548" i="12"/>
  <c r="AE548" i="12"/>
  <c r="AD548" i="12"/>
  <c r="AC548" i="12"/>
  <c r="AB548" i="12"/>
  <c r="AI547" i="12"/>
  <c r="AH547" i="12"/>
  <c r="AG547" i="12"/>
  <c r="AF547" i="12"/>
  <c r="AE547" i="12"/>
  <c r="AD547" i="12"/>
  <c r="AC547" i="12"/>
  <c r="AB547" i="12"/>
  <c r="AI546" i="12"/>
  <c r="AH546" i="12"/>
  <c r="AG546" i="12"/>
  <c r="AF546" i="12"/>
  <c r="AE546" i="12"/>
  <c r="AD546" i="12"/>
  <c r="AC546" i="12"/>
  <c r="AB546" i="12"/>
  <c r="AI545" i="12"/>
  <c r="AH545" i="12"/>
  <c r="AG545" i="12"/>
  <c r="AF545" i="12"/>
  <c r="AE545" i="12"/>
  <c r="AD545" i="12"/>
  <c r="AC545" i="12"/>
  <c r="AB545" i="12"/>
  <c r="AI544" i="12"/>
  <c r="AH544" i="12"/>
  <c r="AG544" i="12"/>
  <c r="AF544" i="12"/>
  <c r="AE544" i="12"/>
  <c r="AD544" i="12"/>
  <c r="AC544" i="12"/>
  <c r="AB544" i="12"/>
  <c r="AI543" i="12"/>
  <c r="AH543" i="12"/>
  <c r="AG543" i="12"/>
  <c r="AF543" i="12"/>
  <c r="AE543" i="12"/>
  <c r="AD543" i="12"/>
  <c r="AC543" i="12"/>
  <c r="AB543" i="12"/>
  <c r="AI542" i="12"/>
  <c r="AH542" i="12"/>
  <c r="AG542" i="12"/>
  <c r="AF542" i="12"/>
  <c r="AE542" i="12"/>
  <c r="AD542" i="12"/>
  <c r="AC542" i="12"/>
  <c r="AB542" i="12"/>
  <c r="AI541" i="12"/>
  <c r="AH541" i="12"/>
  <c r="AG541" i="12"/>
  <c r="AF541" i="12"/>
  <c r="AE541" i="12"/>
  <c r="AD541" i="12"/>
  <c r="AC541" i="12"/>
  <c r="AB541" i="12"/>
  <c r="AI540" i="12"/>
  <c r="AH540" i="12"/>
  <c r="AG540" i="12"/>
  <c r="AF540" i="12"/>
  <c r="AE540" i="12"/>
  <c r="AD540" i="12"/>
  <c r="AC540" i="12"/>
  <c r="AB540" i="12"/>
  <c r="AI539" i="12"/>
  <c r="AH539" i="12"/>
  <c r="AG539" i="12"/>
  <c r="AF539" i="12"/>
  <c r="AE539" i="12"/>
  <c r="AD539" i="12"/>
  <c r="AC539" i="12"/>
  <c r="AB539" i="12"/>
  <c r="AI538" i="12"/>
  <c r="AH538" i="12"/>
  <c r="AG538" i="12"/>
  <c r="AF538" i="12"/>
  <c r="AE538" i="12"/>
  <c r="AD538" i="12"/>
  <c r="AC538" i="12"/>
  <c r="AB538" i="12"/>
  <c r="AI537" i="12"/>
  <c r="AH537" i="12"/>
  <c r="AG537" i="12"/>
  <c r="AF537" i="12"/>
  <c r="AE537" i="12"/>
  <c r="AD537" i="12"/>
  <c r="AC537" i="12"/>
  <c r="AB537" i="12"/>
  <c r="AI536" i="12"/>
  <c r="AH536" i="12"/>
  <c r="AG536" i="12"/>
  <c r="AF536" i="12"/>
  <c r="AE536" i="12"/>
  <c r="AD536" i="12"/>
  <c r="AC536" i="12"/>
  <c r="AB536" i="12"/>
  <c r="AI535" i="12"/>
  <c r="AH535" i="12"/>
  <c r="AG535" i="12"/>
  <c r="AF535" i="12"/>
  <c r="AE535" i="12"/>
  <c r="AD535" i="12"/>
  <c r="AC535" i="12"/>
  <c r="AB535" i="12"/>
  <c r="AI534" i="12"/>
  <c r="AH534" i="12"/>
  <c r="AG534" i="12"/>
  <c r="AF534" i="12"/>
  <c r="AE534" i="12"/>
  <c r="AD534" i="12"/>
  <c r="AC534" i="12"/>
  <c r="AB534" i="12"/>
  <c r="AI533" i="12"/>
  <c r="AH533" i="12"/>
  <c r="AG533" i="12"/>
  <c r="AF533" i="12"/>
  <c r="AE533" i="12"/>
  <c r="AD533" i="12"/>
  <c r="AC533" i="12"/>
  <c r="AB533" i="12"/>
  <c r="AI532" i="12"/>
  <c r="AH532" i="12"/>
  <c r="AG532" i="12"/>
  <c r="AF532" i="12"/>
  <c r="AE532" i="12"/>
  <c r="AD532" i="12"/>
  <c r="AC532" i="12"/>
  <c r="AB532" i="12"/>
  <c r="AI531" i="12"/>
  <c r="AH531" i="12"/>
  <c r="AG531" i="12"/>
  <c r="AF531" i="12"/>
  <c r="AE531" i="12"/>
  <c r="AD531" i="12"/>
  <c r="AC531" i="12"/>
  <c r="AB531" i="12"/>
  <c r="AI530" i="12"/>
  <c r="AH530" i="12"/>
  <c r="AG530" i="12"/>
  <c r="AF530" i="12"/>
  <c r="AE530" i="12"/>
  <c r="AD530" i="12"/>
  <c r="AC530" i="12"/>
  <c r="AB530" i="12"/>
  <c r="AI529" i="12"/>
  <c r="AH529" i="12"/>
  <c r="AG529" i="12"/>
  <c r="AF529" i="12"/>
  <c r="AE529" i="12"/>
  <c r="AD529" i="12"/>
  <c r="AC529" i="12"/>
  <c r="AB529" i="12"/>
  <c r="AI528" i="12"/>
  <c r="AH528" i="12"/>
  <c r="AG528" i="12"/>
  <c r="AF528" i="12"/>
  <c r="AE528" i="12"/>
  <c r="AD528" i="12"/>
  <c r="AC528" i="12"/>
  <c r="AB528" i="12"/>
  <c r="AI527" i="12"/>
  <c r="AH527" i="12"/>
  <c r="AG527" i="12"/>
  <c r="AF527" i="12"/>
  <c r="AE527" i="12"/>
  <c r="AD527" i="12"/>
  <c r="AC527" i="12"/>
  <c r="AB527" i="12"/>
  <c r="AI526" i="12"/>
  <c r="AH526" i="12"/>
  <c r="AG526" i="12"/>
  <c r="AF526" i="12"/>
  <c r="AE526" i="12"/>
  <c r="AD526" i="12"/>
  <c r="AC526" i="12"/>
  <c r="AB526" i="12"/>
  <c r="AI525" i="12"/>
  <c r="AH525" i="12"/>
  <c r="AG525" i="12"/>
  <c r="AF525" i="12"/>
  <c r="AE525" i="12"/>
  <c r="AD525" i="12"/>
  <c r="AC525" i="12"/>
  <c r="AB525" i="12"/>
  <c r="AI524" i="12"/>
  <c r="AH524" i="12"/>
  <c r="AG524" i="12"/>
  <c r="AF524" i="12"/>
  <c r="AE524" i="12"/>
  <c r="AD524" i="12"/>
  <c r="AC524" i="12"/>
  <c r="AB524" i="12"/>
  <c r="AI523" i="12"/>
  <c r="AH523" i="12"/>
  <c r="AG523" i="12"/>
  <c r="AF523" i="12"/>
  <c r="AE523" i="12"/>
  <c r="AD523" i="12"/>
  <c r="AC523" i="12"/>
  <c r="AB523" i="12"/>
  <c r="AI522" i="12"/>
  <c r="AH522" i="12"/>
  <c r="AG522" i="12"/>
  <c r="AF522" i="12"/>
  <c r="AE522" i="12"/>
  <c r="AD522" i="12"/>
  <c r="AC522" i="12"/>
  <c r="AB522" i="12"/>
  <c r="AI521" i="12"/>
  <c r="AH521" i="12"/>
  <c r="AG521" i="12"/>
  <c r="AF521" i="12"/>
  <c r="AE521" i="12"/>
  <c r="AD521" i="12"/>
  <c r="AC521" i="12"/>
  <c r="AB521" i="12"/>
  <c r="AI520" i="12"/>
  <c r="AH520" i="12"/>
  <c r="AG520" i="12"/>
  <c r="AF520" i="12"/>
  <c r="AE520" i="12"/>
  <c r="AD520" i="12"/>
  <c r="AC520" i="12"/>
  <c r="AB520" i="12"/>
  <c r="AI519" i="12"/>
  <c r="AH519" i="12"/>
  <c r="AG519" i="12"/>
  <c r="AF519" i="12"/>
  <c r="AE519" i="12"/>
  <c r="AD519" i="12"/>
  <c r="AC519" i="12"/>
  <c r="AB519" i="12"/>
  <c r="AI518" i="12"/>
  <c r="AH518" i="12"/>
  <c r="AG518" i="12"/>
  <c r="AF518" i="12"/>
  <c r="AE518" i="12"/>
  <c r="AD518" i="12"/>
  <c r="AC518" i="12"/>
  <c r="AB518" i="12"/>
  <c r="AI517" i="12"/>
  <c r="AH517" i="12"/>
  <c r="AG517" i="12"/>
  <c r="AF517" i="12"/>
  <c r="AE517" i="12"/>
  <c r="AD517" i="12"/>
  <c r="AC517" i="12"/>
  <c r="AB517" i="12"/>
  <c r="AI516" i="12"/>
  <c r="AH516" i="12"/>
  <c r="AG516" i="12"/>
  <c r="AF516" i="12"/>
  <c r="AE516" i="12"/>
  <c r="AD516" i="12"/>
  <c r="AC516" i="12"/>
  <c r="AB516" i="12"/>
  <c r="AI515" i="12"/>
  <c r="AH515" i="12"/>
  <c r="AG515" i="12"/>
  <c r="AF515" i="12"/>
  <c r="AE515" i="12"/>
  <c r="AD515" i="12"/>
  <c r="AC515" i="12"/>
  <c r="AB515" i="12"/>
  <c r="AI514" i="12"/>
  <c r="AH514" i="12"/>
  <c r="AG514" i="12"/>
  <c r="AF514" i="12"/>
  <c r="AE514" i="12"/>
  <c r="AD514" i="12"/>
  <c r="AC514" i="12"/>
  <c r="AB514" i="12"/>
  <c r="AI513" i="12"/>
  <c r="AH513" i="12"/>
  <c r="AG513" i="12"/>
  <c r="AF513" i="12"/>
  <c r="AE513" i="12"/>
  <c r="AD513" i="12"/>
  <c r="AC513" i="12"/>
  <c r="AB513" i="12"/>
  <c r="AI512" i="12"/>
  <c r="AH512" i="12"/>
  <c r="AG512" i="12"/>
  <c r="AF512" i="12"/>
  <c r="AE512" i="12"/>
  <c r="AD512" i="12"/>
  <c r="AC512" i="12"/>
  <c r="AB512" i="12"/>
  <c r="AI511" i="12"/>
  <c r="AH511" i="12"/>
  <c r="AG511" i="12"/>
  <c r="AF511" i="12"/>
  <c r="AE511" i="12"/>
  <c r="AD511" i="12"/>
  <c r="AC511" i="12"/>
  <c r="AB511" i="12"/>
  <c r="AI510" i="12"/>
  <c r="AH510" i="12"/>
  <c r="AG510" i="12"/>
  <c r="AF510" i="12"/>
  <c r="AE510" i="12"/>
  <c r="AD510" i="12"/>
  <c r="AC510" i="12"/>
  <c r="AB510" i="12"/>
  <c r="AI509" i="12"/>
  <c r="AH509" i="12"/>
  <c r="AG509" i="12"/>
  <c r="AF509" i="12"/>
  <c r="AE509" i="12"/>
  <c r="AD509" i="12"/>
  <c r="AC509" i="12"/>
  <c r="AB509" i="12"/>
  <c r="AI508" i="12"/>
  <c r="AH508" i="12"/>
  <c r="AG508" i="12"/>
  <c r="AF508" i="12"/>
  <c r="AE508" i="12"/>
  <c r="AD508" i="12"/>
  <c r="AC508" i="12"/>
  <c r="AB508" i="12"/>
  <c r="AI507" i="12"/>
  <c r="AH507" i="12"/>
  <c r="AG507" i="12"/>
  <c r="AF507" i="12"/>
  <c r="AE507" i="12"/>
  <c r="AD507" i="12"/>
  <c r="AC507" i="12"/>
  <c r="AB507" i="12"/>
  <c r="AI506" i="12"/>
  <c r="AH506" i="12"/>
  <c r="AG506" i="12"/>
  <c r="AF506" i="12"/>
  <c r="AE506" i="12"/>
  <c r="AD506" i="12"/>
  <c r="AC506" i="12"/>
  <c r="AB506" i="12"/>
  <c r="AI505" i="12"/>
  <c r="AH505" i="12"/>
  <c r="AG505" i="12"/>
  <c r="AF505" i="12"/>
  <c r="AE505" i="12"/>
  <c r="AD505" i="12"/>
  <c r="AC505" i="12"/>
  <c r="AB505" i="12"/>
  <c r="AI504" i="12"/>
  <c r="AH504" i="12"/>
  <c r="AG504" i="12"/>
  <c r="AF504" i="12"/>
  <c r="AE504" i="12"/>
  <c r="AD504" i="12"/>
  <c r="AC504" i="12"/>
  <c r="AB504" i="12"/>
  <c r="AI503" i="12"/>
  <c r="AH503" i="12"/>
  <c r="AG503" i="12"/>
  <c r="AF503" i="12"/>
  <c r="AE503" i="12"/>
  <c r="AD503" i="12"/>
  <c r="AC503" i="12"/>
  <c r="AB503" i="12"/>
  <c r="AI502" i="12"/>
  <c r="AH502" i="12"/>
  <c r="AG502" i="12"/>
  <c r="AF502" i="12"/>
  <c r="AE502" i="12"/>
  <c r="AD502" i="12"/>
  <c r="AC502" i="12"/>
  <c r="AB502" i="12"/>
  <c r="AI501" i="12"/>
  <c r="AH501" i="12"/>
  <c r="AG501" i="12"/>
  <c r="AF501" i="12"/>
  <c r="AE501" i="12"/>
  <c r="AD501" i="12"/>
  <c r="AC501" i="12"/>
  <c r="AB501" i="12"/>
  <c r="AI500" i="12"/>
  <c r="AH500" i="12"/>
  <c r="AG500" i="12"/>
  <c r="AF500" i="12"/>
  <c r="AE500" i="12"/>
  <c r="AD500" i="12"/>
  <c r="AC500" i="12"/>
  <c r="AB500" i="12"/>
  <c r="AI499" i="12"/>
  <c r="AH499" i="12"/>
  <c r="AG499" i="12"/>
  <c r="AF499" i="12"/>
  <c r="AE499" i="12"/>
  <c r="AD499" i="12"/>
  <c r="AC499" i="12"/>
  <c r="AB499" i="12"/>
  <c r="AI498" i="12"/>
  <c r="AH498" i="12"/>
  <c r="AG498" i="12"/>
  <c r="AF498" i="12"/>
  <c r="AE498" i="12"/>
  <c r="AD498" i="12"/>
  <c r="AC498" i="12"/>
  <c r="AB498" i="12"/>
  <c r="AI497" i="12"/>
  <c r="AH497" i="12"/>
  <c r="AG497" i="12"/>
  <c r="AF497" i="12"/>
  <c r="AE497" i="12"/>
  <c r="AD497" i="12"/>
  <c r="AC497" i="12"/>
  <c r="AB497" i="12"/>
  <c r="AI496" i="12"/>
  <c r="AH496" i="12"/>
  <c r="AG496" i="12"/>
  <c r="AF496" i="12"/>
  <c r="AE496" i="12"/>
  <c r="AD496" i="12"/>
  <c r="AC496" i="12"/>
  <c r="AB496" i="12"/>
  <c r="AI495" i="12"/>
  <c r="AH495" i="12"/>
  <c r="AG495" i="12"/>
  <c r="AF495" i="12"/>
  <c r="AE495" i="12"/>
  <c r="AD495" i="12"/>
  <c r="AC495" i="12"/>
  <c r="AB495" i="12"/>
  <c r="AI494" i="12"/>
  <c r="AH494" i="12"/>
  <c r="AG494" i="12"/>
  <c r="AF494" i="12"/>
  <c r="AE494" i="12"/>
  <c r="AD494" i="12"/>
  <c r="AC494" i="12"/>
  <c r="AB494" i="12"/>
  <c r="AI493" i="12"/>
  <c r="AH493" i="12"/>
  <c r="AG493" i="12"/>
  <c r="AF493" i="12"/>
  <c r="AE493" i="12"/>
  <c r="AD493" i="12"/>
  <c r="AC493" i="12"/>
  <c r="AB493" i="12"/>
  <c r="AI492" i="12"/>
  <c r="AH492" i="12"/>
  <c r="AG492" i="12"/>
  <c r="AF492" i="12"/>
  <c r="AE492" i="12"/>
  <c r="AD492" i="12"/>
  <c r="AC492" i="12"/>
  <c r="AB492" i="12"/>
  <c r="AI491" i="12"/>
  <c r="AH491" i="12"/>
  <c r="AG491" i="12"/>
  <c r="AF491" i="12"/>
  <c r="AE491" i="12"/>
  <c r="AD491" i="12"/>
  <c r="AC491" i="12"/>
  <c r="AB491" i="12"/>
  <c r="AI490" i="12"/>
  <c r="AH490" i="12"/>
  <c r="AG490" i="12"/>
  <c r="AF490" i="12"/>
  <c r="AE490" i="12"/>
  <c r="AD490" i="12"/>
  <c r="AC490" i="12"/>
  <c r="AB490" i="12"/>
  <c r="AI489" i="12"/>
  <c r="AH489" i="12"/>
  <c r="AG489" i="12"/>
  <c r="AF489" i="12"/>
  <c r="AE489" i="12"/>
  <c r="AD489" i="12"/>
  <c r="AC489" i="12"/>
  <c r="AB489" i="12"/>
  <c r="AI488" i="12"/>
  <c r="AH488" i="12"/>
  <c r="AG488" i="12"/>
  <c r="AF488" i="12"/>
  <c r="AE488" i="12"/>
  <c r="AD488" i="12"/>
  <c r="AC488" i="12"/>
  <c r="AB488" i="12"/>
  <c r="AI487" i="12"/>
  <c r="AH487" i="12"/>
  <c r="AG487" i="12"/>
  <c r="AF487" i="12"/>
  <c r="AE487" i="12"/>
  <c r="AD487" i="12"/>
  <c r="AC487" i="12"/>
  <c r="AB487" i="12"/>
  <c r="AI486" i="12"/>
  <c r="AH486" i="12"/>
  <c r="AG486" i="12"/>
  <c r="AF486" i="12"/>
  <c r="AE486" i="12"/>
  <c r="AD486" i="12"/>
  <c r="AC486" i="12"/>
  <c r="AB486" i="12"/>
  <c r="AI485" i="12"/>
  <c r="AH485" i="12"/>
  <c r="AG485" i="12"/>
  <c r="AF485" i="12"/>
  <c r="AE485" i="12"/>
  <c r="AD485" i="12"/>
  <c r="AC485" i="12"/>
  <c r="AB485" i="12"/>
  <c r="AI484" i="12"/>
  <c r="AH484" i="12"/>
  <c r="AG484" i="12"/>
  <c r="AF484" i="12"/>
  <c r="AE484" i="12"/>
  <c r="AD484" i="12"/>
  <c r="AC484" i="12"/>
  <c r="AB484" i="12"/>
  <c r="AI483" i="12"/>
  <c r="AH483" i="12"/>
  <c r="AG483" i="12"/>
  <c r="AF483" i="12"/>
  <c r="AE483" i="12"/>
  <c r="AD483" i="12"/>
  <c r="AC483" i="12"/>
  <c r="AB483" i="12"/>
  <c r="AI482" i="12"/>
  <c r="AH482" i="12"/>
  <c r="AG482" i="12"/>
  <c r="AF482" i="12"/>
  <c r="AE482" i="12"/>
  <c r="AD482" i="12"/>
  <c r="AC482" i="12"/>
  <c r="AB482" i="12"/>
  <c r="AI481" i="12"/>
  <c r="AH481" i="12"/>
  <c r="AG481" i="12"/>
  <c r="AF481" i="12"/>
  <c r="AE481" i="12"/>
  <c r="AD481" i="12"/>
  <c r="AC481" i="12"/>
  <c r="AB481" i="12"/>
  <c r="AI480" i="12"/>
  <c r="AH480" i="12"/>
  <c r="AG480" i="12"/>
  <c r="AF480" i="12"/>
  <c r="AE480" i="12"/>
  <c r="AD480" i="12"/>
  <c r="AC480" i="12"/>
  <c r="AB480" i="12"/>
  <c r="AI479" i="12"/>
  <c r="AH479" i="12"/>
  <c r="AG479" i="12"/>
  <c r="AF479" i="12"/>
  <c r="AE479" i="12"/>
  <c r="AD479" i="12"/>
  <c r="AC479" i="12"/>
  <c r="AB479" i="12"/>
  <c r="AI478" i="12"/>
  <c r="AH478" i="12"/>
  <c r="AG478" i="12"/>
  <c r="AF478" i="12"/>
  <c r="AE478" i="12"/>
  <c r="AD478" i="12"/>
  <c r="AC478" i="12"/>
  <c r="AB478" i="12"/>
  <c r="AI477" i="12"/>
  <c r="AH477" i="12"/>
  <c r="AG477" i="12"/>
  <c r="AF477" i="12"/>
  <c r="AE477" i="12"/>
  <c r="AD477" i="12"/>
  <c r="AC477" i="12"/>
  <c r="AB477" i="12"/>
  <c r="AI476" i="12"/>
  <c r="AH476" i="12"/>
  <c r="AG476" i="12"/>
  <c r="AF476" i="12"/>
  <c r="AE476" i="12"/>
  <c r="AD476" i="12"/>
  <c r="AC476" i="12"/>
  <c r="AB476" i="12"/>
  <c r="AI475" i="12"/>
  <c r="AH475" i="12"/>
  <c r="AG475" i="12"/>
  <c r="AF475" i="12"/>
  <c r="AE475" i="12"/>
  <c r="AD475" i="12"/>
  <c r="AC475" i="12"/>
  <c r="AB475" i="12"/>
  <c r="AI474" i="12"/>
  <c r="AH474" i="12"/>
  <c r="AG474" i="12"/>
  <c r="AF474" i="12"/>
  <c r="AE474" i="12"/>
  <c r="AD474" i="12"/>
  <c r="AC474" i="12"/>
  <c r="AB474" i="12"/>
  <c r="AI473" i="12"/>
  <c r="AH473" i="12"/>
  <c r="AG473" i="12"/>
  <c r="AF473" i="12"/>
  <c r="AE473" i="12"/>
  <c r="AD473" i="12"/>
  <c r="AC473" i="12"/>
  <c r="AB473" i="12"/>
  <c r="AI472" i="12"/>
  <c r="AH472" i="12"/>
  <c r="AG472" i="12"/>
  <c r="AF472" i="12"/>
  <c r="AE472" i="12"/>
  <c r="AD472" i="12"/>
  <c r="AC472" i="12"/>
  <c r="AB472" i="12"/>
  <c r="AI471" i="12"/>
  <c r="AH471" i="12"/>
  <c r="AG471" i="12"/>
  <c r="AF471" i="12"/>
  <c r="AE471" i="12"/>
  <c r="AD471" i="12"/>
  <c r="AC471" i="12"/>
  <c r="AB471" i="12"/>
  <c r="AI470" i="12"/>
  <c r="AH470" i="12"/>
  <c r="AG470" i="12"/>
  <c r="AF470" i="12"/>
  <c r="AE470" i="12"/>
  <c r="AD470" i="12"/>
  <c r="AC470" i="12"/>
  <c r="AB470" i="12"/>
  <c r="AI469" i="12"/>
  <c r="AH469" i="12"/>
  <c r="AG469" i="12"/>
  <c r="AF469" i="12"/>
  <c r="AE469" i="12"/>
  <c r="AD469" i="12"/>
  <c r="AC469" i="12"/>
  <c r="AB469" i="12"/>
  <c r="AI468" i="12"/>
  <c r="AH468" i="12"/>
  <c r="AG468" i="12"/>
  <c r="AF468" i="12"/>
  <c r="AE468" i="12"/>
  <c r="AD468" i="12"/>
  <c r="AC468" i="12"/>
  <c r="AB468" i="12"/>
  <c r="AI467" i="12"/>
  <c r="AH467" i="12"/>
  <c r="AG467" i="12"/>
  <c r="AF467" i="12"/>
  <c r="AE467" i="12"/>
  <c r="AD467" i="12"/>
  <c r="AC467" i="12"/>
  <c r="AB467" i="12"/>
  <c r="AI466" i="12"/>
  <c r="AH466" i="12"/>
  <c r="AG466" i="12"/>
  <c r="AF466" i="12"/>
  <c r="AE466" i="12"/>
  <c r="AD466" i="12"/>
  <c r="AC466" i="12"/>
  <c r="AB466" i="12"/>
  <c r="AI465" i="12"/>
  <c r="AH465" i="12"/>
  <c r="AG465" i="12"/>
  <c r="AF465" i="12"/>
  <c r="AE465" i="12"/>
  <c r="AD465" i="12"/>
  <c r="AC465" i="12"/>
  <c r="AB465" i="12"/>
  <c r="AI464" i="12"/>
  <c r="AH464" i="12"/>
  <c r="AG464" i="12"/>
  <c r="AF464" i="12"/>
  <c r="AE464" i="12"/>
  <c r="AD464" i="12"/>
  <c r="AC464" i="12"/>
  <c r="AB464" i="12"/>
  <c r="AI463" i="12"/>
  <c r="AH463" i="12"/>
  <c r="AG463" i="12"/>
  <c r="AF463" i="12"/>
  <c r="AE463" i="12"/>
  <c r="AD463" i="12"/>
  <c r="AC463" i="12"/>
  <c r="AB463" i="12"/>
  <c r="AI462" i="12"/>
  <c r="AH462" i="12"/>
  <c r="AG462" i="12"/>
  <c r="AF462" i="12"/>
  <c r="AE462" i="12"/>
  <c r="AD462" i="12"/>
  <c r="AC462" i="12"/>
  <c r="AB462" i="12"/>
  <c r="AI461" i="12"/>
  <c r="AH461" i="12"/>
  <c r="AG461" i="12"/>
  <c r="AF461" i="12"/>
  <c r="AE461" i="12"/>
  <c r="AD461" i="12"/>
  <c r="AC461" i="12"/>
  <c r="AB461" i="12"/>
  <c r="AI460" i="12"/>
  <c r="AH460" i="12"/>
  <c r="AG460" i="12"/>
  <c r="AF460" i="12"/>
  <c r="AE460" i="12"/>
  <c r="AD460" i="12"/>
  <c r="AC460" i="12"/>
  <c r="AB460" i="12"/>
  <c r="AI459" i="12"/>
  <c r="AH459" i="12"/>
  <c r="AG459" i="12"/>
  <c r="AF459" i="12"/>
  <c r="AE459" i="12"/>
  <c r="AD459" i="12"/>
  <c r="AC459" i="12"/>
  <c r="AB459" i="12"/>
  <c r="AI458" i="12"/>
  <c r="AH458" i="12"/>
  <c r="AG458" i="12"/>
  <c r="AF458" i="12"/>
  <c r="AE458" i="12"/>
  <c r="AD458" i="12"/>
  <c r="AC458" i="12"/>
  <c r="AB458" i="12"/>
  <c r="AI457" i="12"/>
  <c r="AH457" i="12"/>
  <c r="AG457" i="12"/>
  <c r="AF457" i="12"/>
  <c r="AE457" i="12"/>
  <c r="AD457" i="12"/>
  <c r="AC457" i="12"/>
  <c r="AB457" i="12"/>
  <c r="AI456" i="12"/>
  <c r="AH456" i="12"/>
  <c r="AG456" i="12"/>
  <c r="AF456" i="12"/>
  <c r="AE456" i="12"/>
  <c r="AD456" i="12"/>
  <c r="AC456" i="12"/>
  <c r="AB456" i="12"/>
  <c r="AI455" i="12"/>
  <c r="AH455" i="12"/>
  <c r="AG455" i="12"/>
  <c r="AF455" i="12"/>
  <c r="AE455" i="12"/>
  <c r="AD455" i="12"/>
  <c r="AC455" i="12"/>
  <c r="AB455" i="12"/>
  <c r="AI454" i="12"/>
  <c r="AH454" i="12"/>
  <c r="AG454" i="12"/>
  <c r="AF454" i="12"/>
  <c r="AE454" i="12"/>
  <c r="AD454" i="12"/>
  <c r="AC454" i="12"/>
  <c r="AB454" i="12"/>
  <c r="AI453" i="12"/>
  <c r="AH453" i="12"/>
  <c r="AG453" i="12"/>
  <c r="AF453" i="12"/>
  <c r="AE453" i="12"/>
  <c r="AD453" i="12"/>
  <c r="AC453" i="12"/>
  <c r="AB453" i="12"/>
  <c r="AI452" i="12"/>
  <c r="AH452" i="12"/>
  <c r="AG452" i="12"/>
  <c r="AF452" i="12"/>
  <c r="AE452" i="12"/>
  <c r="AD452" i="12"/>
  <c r="AC452" i="12"/>
  <c r="AB452" i="12"/>
  <c r="AI451" i="12"/>
  <c r="AH451" i="12"/>
  <c r="AG451" i="12"/>
  <c r="AF451" i="12"/>
  <c r="AE451" i="12"/>
  <c r="AD451" i="12"/>
  <c r="AC451" i="12"/>
  <c r="AB451" i="12"/>
  <c r="AI450" i="12"/>
  <c r="AH450" i="12"/>
  <c r="AG450" i="12"/>
  <c r="AF450" i="12"/>
  <c r="AE450" i="12"/>
  <c r="AD450" i="12"/>
  <c r="AC450" i="12"/>
  <c r="AB450" i="12"/>
  <c r="AI449" i="12"/>
  <c r="AH449" i="12"/>
  <c r="AG449" i="12"/>
  <c r="AF449" i="12"/>
  <c r="AE449" i="12"/>
  <c r="AD449" i="12"/>
  <c r="AC449" i="12"/>
  <c r="AB449" i="12"/>
  <c r="AI448" i="12"/>
  <c r="AH448" i="12"/>
  <c r="AG448" i="12"/>
  <c r="AF448" i="12"/>
  <c r="AE448" i="12"/>
  <c r="AD448" i="12"/>
  <c r="AC448" i="12"/>
  <c r="AB448" i="12"/>
  <c r="AI447" i="12"/>
  <c r="AH447" i="12"/>
  <c r="AG447" i="12"/>
  <c r="AF447" i="12"/>
  <c r="AE447" i="12"/>
  <c r="AD447" i="12"/>
  <c r="AC447" i="12"/>
  <c r="AB447" i="12"/>
  <c r="AI446" i="12"/>
  <c r="AH446" i="12"/>
  <c r="AG446" i="12"/>
  <c r="AF446" i="12"/>
  <c r="AE446" i="12"/>
  <c r="AD446" i="12"/>
  <c r="AC446" i="12"/>
  <c r="AB446" i="12"/>
  <c r="AI445" i="12"/>
  <c r="AH445" i="12"/>
  <c r="AG445" i="12"/>
  <c r="AF445" i="12"/>
  <c r="AE445" i="12"/>
  <c r="AD445" i="12"/>
  <c r="AC445" i="12"/>
  <c r="AB445" i="12"/>
  <c r="AI444" i="12"/>
  <c r="AH444" i="12"/>
  <c r="AG444" i="12"/>
  <c r="AF444" i="12"/>
  <c r="AE444" i="12"/>
  <c r="AD444" i="12"/>
  <c r="AC444" i="12"/>
  <c r="AB444" i="12"/>
  <c r="AI443" i="12"/>
  <c r="AH443" i="12"/>
  <c r="AG443" i="12"/>
  <c r="AF443" i="12"/>
  <c r="AE443" i="12"/>
  <c r="AD443" i="12"/>
  <c r="AC443" i="12"/>
  <c r="AB443" i="12"/>
  <c r="AI442" i="12"/>
  <c r="AH442" i="12"/>
  <c r="AG442" i="12"/>
  <c r="AF442" i="12"/>
  <c r="AE442" i="12"/>
  <c r="AD442" i="12"/>
  <c r="AC442" i="12"/>
  <c r="AB442" i="12"/>
  <c r="AI441" i="12"/>
  <c r="AH441" i="12"/>
  <c r="AG441" i="12"/>
  <c r="AF441" i="12"/>
  <c r="AE441" i="12"/>
  <c r="AD441" i="12"/>
  <c r="AC441" i="12"/>
  <c r="AB441" i="12"/>
  <c r="AI440" i="12"/>
  <c r="AH440" i="12"/>
  <c r="AG440" i="12"/>
  <c r="AF440" i="12"/>
  <c r="AE440" i="12"/>
  <c r="AD440" i="12"/>
  <c r="AC440" i="12"/>
  <c r="AB440" i="12"/>
  <c r="AI439" i="12"/>
  <c r="AH439" i="12"/>
  <c r="AG439" i="12"/>
  <c r="AF439" i="12"/>
  <c r="AE439" i="12"/>
  <c r="AD439" i="12"/>
  <c r="AC439" i="12"/>
  <c r="AB439" i="12"/>
  <c r="AI438" i="12"/>
  <c r="AH438" i="12"/>
  <c r="AG438" i="12"/>
  <c r="AF438" i="12"/>
  <c r="AE438" i="12"/>
  <c r="AD438" i="12"/>
  <c r="AC438" i="12"/>
  <c r="AB438" i="12"/>
  <c r="AI437" i="12"/>
  <c r="AH437" i="12"/>
  <c r="AG437" i="12"/>
  <c r="AF437" i="12"/>
  <c r="AE437" i="12"/>
  <c r="AD437" i="12"/>
  <c r="AC437" i="12"/>
  <c r="AB437" i="12"/>
  <c r="AI436" i="12"/>
  <c r="AH436" i="12"/>
  <c r="AG436" i="12"/>
  <c r="AF436" i="12"/>
  <c r="AE436" i="12"/>
  <c r="AD436" i="12"/>
  <c r="AC436" i="12"/>
  <c r="AB436" i="12"/>
  <c r="AI435" i="12"/>
  <c r="AH435" i="12"/>
  <c r="AG435" i="12"/>
  <c r="AF435" i="12"/>
  <c r="AE435" i="12"/>
  <c r="AD435" i="12"/>
  <c r="AC435" i="12"/>
  <c r="AB435" i="12"/>
  <c r="AI434" i="12"/>
  <c r="AH434" i="12"/>
  <c r="AG434" i="12"/>
  <c r="AF434" i="12"/>
  <c r="AE434" i="12"/>
  <c r="AD434" i="12"/>
  <c r="AC434" i="12"/>
  <c r="AB434" i="12"/>
  <c r="AI433" i="12"/>
  <c r="AH433" i="12"/>
  <c r="AG433" i="12"/>
  <c r="AF433" i="12"/>
  <c r="AE433" i="12"/>
  <c r="AD433" i="12"/>
  <c r="AC433" i="12"/>
  <c r="AB433" i="12"/>
  <c r="AI432" i="12"/>
  <c r="AH432" i="12"/>
  <c r="AG432" i="12"/>
  <c r="AF432" i="12"/>
  <c r="AE432" i="12"/>
  <c r="AD432" i="12"/>
  <c r="AC432" i="12"/>
  <c r="AB432" i="12"/>
  <c r="AI431" i="12"/>
  <c r="AH431" i="12"/>
  <c r="AG431" i="12"/>
  <c r="AF431" i="12"/>
  <c r="AE431" i="12"/>
  <c r="AD431" i="12"/>
  <c r="AC431" i="12"/>
  <c r="AB431" i="12"/>
  <c r="AI430" i="12"/>
  <c r="AH430" i="12"/>
  <c r="AG430" i="12"/>
  <c r="AF430" i="12"/>
  <c r="AE430" i="12"/>
  <c r="AD430" i="12"/>
  <c r="AC430" i="12"/>
  <c r="AB430" i="12"/>
  <c r="AI429" i="12"/>
  <c r="AH429" i="12"/>
  <c r="AG429" i="12"/>
  <c r="AF429" i="12"/>
  <c r="AE429" i="12"/>
  <c r="AD429" i="12"/>
  <c r="AC429" i="12"/>
  <c r="AB429" i="12"/>
  <c r="AI428" i="12"/>
  <c r="AH428" i="12"/>
  <c r="AG428" i="12"/>
  <c r="AF428" i="12"/>
  <c r="AE428" i="12"/>
  <c r="AD428" i="12"/>
  <c r="AC428" i="12"/>
  <c r="AB428" i="12"/>
  <c r="AI427" i="12"/>
  <c r="AH427" i="12"/>
  <c r="AG427" i="12"/>
  <c r="AF427" i="12"/>
  <c r="AE427" i="12"/>
  <c r="AD427" i="12"/>
  <c r="AC427" i="12"/>
  <c r="AB427" i="12"/>
  <c r="AI426" i="12"/>
  <c r="AH426" i="12"/>
  <c r="AG426" i="12"/>
  <c r="AF426" i="12"/>
  <c r="AE426" i="12"/>
  <c r="AD426" i="12"/>
  <c r="AC426" i="12"/>
  <c r="AB426" i="12"/>
  <c r="AI425" i="12"/>
  <c r="AH425" i="12"/>
  <c r="AG425" i="12"/>
  <c r="AF425" i="12"/>
  <c r="AE425" i="12"/>
  <c r="AD425" i="12"/>
  <c r="AC425" i="12"/>
  <c r="AB425" i="12"/>
  <c r="AI424" i="12"/>
  <c r="AH424" i="12"/>
  <c r="AG424" i="12"/>
  <c r="AF424" i="12"/>
  <c r="AE424" i="12"/>
  <c r="AD424" i="12"/>
  <c r="AC424" i="12"/>
  <c r="AB424" i="12"/>
  <c r="AI423" i="12"/>
  <c r="AH423" i="12"/>
  <c r="AG423" i="12"/>
  <c r="AF423" i="12"/>
  <c r="AE423" i="12"/>
  <c r="AD423" i="12"/>
  <c r="AC423" i="12"/>
  <c r="AB423" i="12"/>
  <c r="AI422" i="12"/>
  <c r="AH422" i="12"/>
  <c r="AG422" i="12"/>
  <c r="AF422" i="12"/>
  <c r="AE422" i="12"/>
  <c r="AD422" i="12"/>
  <c r="AC422" i="12"/>
  <c r="AB422" i="12"/>
  <c r="AI421" i="12"/>
  <c r="AH421" i="12"/>
  <c r="AG421" i="12"/>
  <c r="AF421" i="12"/>
  <c r="AE421" i="12"/>
  <c r="AD421" i="12"/>
  <c r="AC421" i="12"/>
  <c r="AB421" i="12"/>
  <c r="AI420" i="12"/>
  <c r="AH420" i="12"/>
  <c r="AG420" i="12"/>
  <c r="AF420" i="12"/>
  <c r="AE420" i="12"/>
  <c r="AD420" i="12"/>
  <c r="AC420" i="12"/>
  <c r="AB420" i="12"/>
  <c r="AI419" i="12"/>
  <c r="AH419" i="12"/>
  <c r="AG419" i="12"/>
  <c r="AF419" i="12"/>
  <c r="AE419" i="12"/>
  <c r="AD419" i="12"/>
  <c r="AC419" i="12"/>
  <c r="AB419" i="12"/>
  <c r="AI418" i="12"/>
  <c r="AH418" i="12"/>
  <c r="AG418" i="12"/>
  <c r="AF418" i="12"/>
  <c r="AE418" i="12"/>
  <c r="AD418" i="12"/>
  <c r="AC418" i="12"/>
  <c r="AB418" i="12"/>
  <c r="AI417" i="12"/>
  <c r="AH417" i="12"/>
  <c r="AG417" i="12"/>
  <c r="AF417" i="12"/>
  <c r="AE417" i="12"/>
  <c r="AD417" i="12"/>
  <c r="AC417" i="12"/>
  <c r="AB417" i="12"/>
  <c r="AI416" i="12"/>
  <c r="AH416" i="12"/>
  <c r="AG416" i="12"/>
  <c r="AF416" i="12"/>
  <c r="AE416" i="12"/>
  <c r="AD416" i="12"/>
  <c r="AC416" i="12"/>
  <c r="AB416" i="12"/>
  <c r="AI415" i="12"/>
  <c r="AH415" i="12"/>
  <c r="AG415" i="12"/>
  <c r="AF415" i="12"/>
  <c r="AE415" i="12"/>
  <c r="AD415" i="12"/>
  <c r="AC415" i="12"/>
  <c r="AB415" i="12"/>
  <c r="AI414" i="12"/>
  <c r="AH414" i="12"/>
  <c r="AG414" i="12"/>
  <c r="AF414" i="12"/>
  <c r="AE414" i="12"/>
  <c r="AD414" i="12"/>
  <c r="AC414" i="12"/>
  <c r="AB414" i="12"/>
  <c r="AI413" i="12"/>
  <c r="AH413" i="12"/>
  <c r="AG413" i="12"/>
  <c r="AF413" i="12"/>
  <c r="AE413" i="12"/>
  <c r="AD413" i="12"/>
  <c r="AC413" i="12"/>
  <c r="AB413" i="12"/>
  <c r="AI412" i="12"/>
  <c r="AH412" i="12"/>
  <c r="AG412" i="12"/>
  <c r="AF412" i="12"/>
  <c r="AE412" i="12"/>
  <c r="AD412" i="12"/>
  <c r="AC412" i="12"/>
  <c r="AB412" i="12"/>
  <c r="AI411" i="12"/>
  <c r="AH411" i="12"/>
  <c r="AG411" i="12"/>
  <c r="AF411" i="12"/>
  <c r="AE411" i="12"/>
  <c r="AD411" i="12"/>
  <c r="AC411" i="12"/>
  <c r="AB411" i="12"/>
  <c r="AI410" i="12"/>
  <c r="AH410" i="12"/>
  <c r="AG410" i="12"/>
  <c r="AF410" i="12"/>
  <c r="AE410" i="12"/>
  <c r="AD410" i="12"/>
  <c r="AC410" i="12"/>
  <c r="AB410" i="12"/>
  <c r="AI409" i="12"/>
  <c r="AH409" i="12"/>
  <c r="AG409" i="12"/>
  <c r="AF409" i="12"/>
  <c r="AE409" i="12"/>
  <c r="AD409" i="12"/>
  <c r="AC409" i="12"/>
  <c r="AB409" i="12"/>
  <c r="AI408" i="12"/>
  <c r="AH408" i="12"/>
  <c r="AG408" i="12"/>
  <c r="AF408" i="12"/>
  <c r="AE408" i="12"/>
  <c r="AD408" i="12"/>
  <c r="AC408" i="12"/>
  <c r="AB408" i="12"/>
  <c r="AI407" i="12"/>
  <c r="AH407" i="12"/>
  <c r="AG407" i="12"/>
  <c r="AF407" i="12"/>
  <c r="AE407" i="12"/>
  <c r="AD407" i="12"/>
  <c r="AC407" i="12"/>
  <c r="AB407" i="12"/>
  <c r="AI406" i="12"/>
  <c r="AH406" i="12"/>
  <c r="AG406" i="12"/>
  <c r="AF406" i="12"/>
  <c r="AE406" i="12"/>
  <c r="AD406" i="12"/>
  <c r="AC406" i="12"/>
  <c r="AB406" i="12"/>
  <c r="AI405" i="12"/>
  <c r="AH405" i="12"/>
  <c r="AG405" i="12"/>
  <c r="AF405" i="12"/>
  <c r="AE405" i="12"/>
  <c r="AD405" i="12"/>
  <c r="AC405" i="12"/>
  <c r="AB405" i="12"/>
  <c r="AI404" i="12"/>
  <c r="AH404" i="12"/>
  <c r="AG404" i="12"/>
  <c r="AF404" i="12"/>
  <c r="AE404" i="12"/>
  <c r="AD404" i="12"/>
  <c r="AC404" i="12"/>
  <c r="AB404" i="12"/>
  <c r="AI403" i="12"/>
  <c r="AH403" i="12"/>
  <c r="AG403" i="12"/>
  <c r="AF403" i="12"/>
  <c r="AE403" i="12"/>
  <c r="AD403" i="12"/>
  <c r="AC403" i="12"/>
  <c r="AB403" i="12"/>
  <c r="AI402" i="12"/>
  <c r="AH402" i="12"/>
  <c r="AG402" i="12"/>
  <c r="AF402" i="12"/>
  <c r="AE402" i="12"/>
  <c r="AD402" i="12"/>
  <c r="AC402" i="12"/>
  <c r="AB402" i="12"/>
  <c r="AI401" i="12"/>
  <c r="AH401" i="12"/>
  <c r="AG401" i="12"/>
  <c r="AF401" i="12"/>
  <c r="AE401" i="12"/>
  <c r="AD401" i="12"/>
  <c r="AC401" i="12"/>
  <c r="AB401" i="12"/>
  <c r="AI400" i="12"/>
  <c r="AH400" i="12"/>
  <c r="AG400" i="12"/>
  <c r="AF400" i="12"/>
  <c r="AE400" i="12"/>
  <c r="AD400" i="12"/>
  <c r="AC400" i="12"/>
  <c r="AB400" i="12"/>
  <c r="AI399" i="12"/>
  <c r="AH399" i="12"/>
  <c r="AG399" i="12"/>
  <c r="AF399" i="12"/>
  <c r="AE399" i="12"/>
  <c r="AD399" i="12"/>
  <c r="AC399" i="12"/>
  <c r="AB399" i="12"/>
  <c r="AI398" i="12"/>
  <c r="AH398" i="12"/>
  <c r="AG398" i="12"/>
  <c r="AF398" i="12"/>
  <c r="AE398" i="12"/>
  <c r="AD398" i="12"/>
  <c r="AC398" i="12"/>
  <c r="AB398" i="12"/>
  <c r="AI397" i="12"/>
  <c r="AH397" i="12"/>
  <c r="AG397" i="12"/>
  <c r="AF397" i="12"/>
  <c r="AE397" i="12"/>
  <c r="AD397" i="12"/>
  <c r="AC397" i="12"/>
  <c r="AB397" i="12"/>
  <c r="AI396" i="12"/>
  <c r="AH396" i="12"/>
  <c r="AG396" i="12"/>
  <c r="AF396" i="12"/>
  <c r="AE396" i="12"/>
  <c r="AD396" i="12"/>
  <c r="AC396" i="12"/>
  <c r="AB396" i="12"/>
  <c r="AI395" i="12"/>
  <c r="AH395" i="12"/>
  <c r="AG395" i="12"/>
  <c r="AF395" i="12"/>
  <c r="AE395" i="12"/>
  <c r="AD395" i="12"/>
  <c r="AC395" i="12"/>
  <c r="AB395" i="12"/>
  <c r="AI394" i="12"/>
  <c r="AH394" i="12"/>
  <c r="AG394" i="12"/>
  <c r="AF394" i="12"/>
  <c r="AE394" i="12"/>
  <c r="AD394" i="12"/>
  <c r="AC394" i="12"/>
  <c r="AB394" i="12"/>
  <c r="AI393" i="12"/>
  <c r="AH393" i="12"/>
  <c r="AG393" i="12"/>
  <c r="AF393" i="12"/>
  <c r="AE393" i="12"/>
  <c r="AD393" i="12"/>
  <c r="AC393" i="12"/>
  <c r="AB393" i="12"/>
  <c r="AI392" i="12"/>
  <c r="AH392" i="12"/>
  <c r="AG392" i="12"/>
  <c r="AF392" i="12"/>
  <c r="AE392" i="12"/>
  <c r="AD392" i="12"/>
  <c r="AC392" i="12"/>
  <c r="AB392" i="12"/>
  <c r="AI391" i="12"/>
  <c r="AH391" i="12"/>
  <c r="AG391" i="12"/>
  <c r="AF391" i="12"/>
  <c r="AE391" i="12"/>
  <c r="AD391" i="12"/>
  <c r="AC391" i="12"/>
  <c r="AB391" i="12"/>
  <c r="AI390" i="12"/>
  <c r="AH390" i="12"/>
  <c r="AG390" i="12"/>
  <c r="AF390" i="12"/>
  <c r="AE390" i="12"/>
  <c r="AD390" i="12"/>
  <c r="AC390" i="12"/>
  <c r="AB390" i="12"/>
  <c r="AI389" i="12"/>
  <c r="AH389" i="12"/>
  <c r="AG389" i="12"/>
  <c r="AF389" i="12"/>
  <c r="AE389" i="12"/>
  <c r="AD389" i="12"/>
  <c r="AC389" i="12"/>
  <c r="AB389" i="12"/>
  <c r="AI388" i="12"/>
  <c r="AH388" i="12"/>
  <c r="AG388" i="12"/>
  <c r="AF388" i="12"/>
  <c r="AE388" i="12"/>
  <c r="AD388" i="12"/>
  <c r="AC388" i="12"/>
  <c r="AB388" i="12"/>
  <c r="AI387" i="12"/>
  <c r="AH387" i="12"/>
  <c r="AG387" i="12"/>
  <c r="AF387" i="12"/>
  <c r="AE387" i="12"/>
  <c r="AD387" i="12"/>
  <c r="AC387" i="12"/>
  <c r="AB387" i="12"/>
  <c r="AI386" i="12"/>
  <c r="AH386" i="12"/>
  <c r="AG386" i="12"/>
  <c r="AF386" i="12"/>
  <c r="AE386" i="12"/>
  <c r="AD386" i="12"/>
  <c r="AC386" i="12"/>
  <c r="AB386" i="12"/>
  <c r="AI385" i="12"/>
  <c r="AH385" i="12"/>
  <c r="AG385" i="12"/>
  <c r="AF385" i="12"/>
  <c r="AE385" i="12"/>
  <c r="AD385" i="12"/>
  <c r="AC385" i="12"/>
  <c r="AB385" i="12"/>
  <c r="AI384" i="12"/>
  <c r="AH384" i="12"/>
  <c r="AG384" i="12"/>
  <c r="AF384" i="12"/>
  <c r="AE384" i="12"/>
  <c r="AD384" i="12"/>
  <c r="AC384" i="12"/>
  <c r="AB384" i="12"/>
  <c r="AI383" i="12"/>
  <c r="AH383" i="12"/>
  <c r="AG383" i="12"/>
  <c r="AF383" i="12"/>
  <c r="AE383" i="12"/>
  <c r="AD383" i="12"/>
  <c r="AC383" i="12"/>
  <c r="AB383" i="12"/>
  <c r="AI382" i="12"/>
  <c r="AH382" i="12"/>
  <c r="AG382" i="12"/>
  <c r="AF382" i="12"/>
  <c r="AE382" i="12"/>
  <c r="AD382" i="12"/>
  <c r="AC382" i="12"/>
  <c r="AB382" i="12"/>
  <c r="AI381" i="12"/>
  <c r="AH381" i="12"/>
  <c r="AG381" i="12"/>
  <c r="AF381" i="12"/>
  <c r="AE381" i="12"/>
  <c r="AD381" i="12"/>
  <c r="AC381" i="12"/>
  <c r="AB381" i="12"/>
  <c r="AI380" i="12"/>
  <c r="AH380" i="12"/>
  <c r="AG380" i="12"/>
  <c r="AF380" i="12"/>
  <c r="AE380" i="12"/>
  <c r="AD380" i="12"/>
  <c r="AC380" i="12"/>
  <c r="AB380" i="12"/>
  <c r="AI379" i="12"/>
  <c r="AH379" i="12"/>
  <c r="AG379" i="12"/>
  <c r="AF379" i="12"/>
  <c r="AE379" i="12"/>
  <c r="AD379" i="12"/>
  <c r="AC379" i="12"/>
  <c r="AB379" i="12"/>
  <c r="AI378" i="12"/>
  <c r="AH378" i="12"/>
  <c r="AG378" i="12"/>
  <c r="AF378" i="12"/>
  <c r="AE378" i="12"/>
  <c r="AD378" i="12"/>
  <c r="AC378" i="12"/>
  <c r="AB378" i="12"/>
  <c r="AI377" i="12"/>
  <c r="AH377" i="12"/>
  <c r="AG377" i="12"/>
  <c r="AF377" i="12"/>
  <c r="AE377" i="12"/>
  <c r="AD377" i="12"/>
  <c r="AC377" i="12"/>
  <c r="AB377" i="12"/>
  <c r="AI376" i="12"/>
  <c r="AH376" i="12"/>
  <c r="AG376" i="12"/>
  <c r="AF376" i="12"/>
  <c r="AE376" i="12"/>
  <c r="AD376" i="12"/>
  <c r="AC376" i="12"/>
  <c r="AB376" i="12"/>
  <c r="AI375" i="12"/>
  <c r="AH375" i="12"/>
  <c r="AG375" i="12"/>
  <c r="AF375" i="12"/>
  <c r="AE375" i="12"/>
  <c r="AD375" i="12"/>
  <c r="AC375" i="12"/>
  <c r="AB375" i="12"/>
  <c r="AI374" i="12"/>
  <c r="AH374" i="12"/>
  <c r="AG374" i="12"/>
  <c r="AF374" i="12"/>
  <c r="AE374" i="12"/>
  <c r="AD374" i="12"/>
  <c r="AC374" i="12"/>
  <c r="AB374" i="12"/>
  <c r="AI373" i="12"/>
  <c r="AH373" i="12"/>
  <c r="AG373" i="12"/>
  <c r="AF373" i="12"/>
  <c r="AE373" i="12"/>
  <c r="AD373" i="12"/>
  <c r="AC373" i="12"/>
  <c r="AB373" i="12"/>
  <c r="AI372" i="12"/>
  <c r="AH372" i="12"/>
  <c r="AG372" i="12"/>
  <c r="AF372" i="12"/>
  <c r="AE372" i="12"/>
  <c r="AD372" i="12"/>
  <c r="AC372" i="12"/>
  <c r="AB372" i="12"/>
  <c r="AI371" i="12"/>
  <c r="AH371" i="12"/>
  <c r="AG371" i="12"/>
  <c r="AF371" i="12"/>
  <c r="AE371" i="12"/>
  <c r="AD371" i="12"/>
  <c r="AC371" i="12"/>
  <c r="AB371" i="12"/>
  <c r="AI370" i="12"/>
  <c r="AH370" i="12"/>
  <c r="AG370" i="12"/>
  <c r="AF370" i="12"/>
  <c r="AE370" i="12"/>
  <c r="AD370" i="12"/>
  <c r="AC370" i="12"/>
  <c r="AB370" i="12"/>
  <c r="AI369" i="12"/>
  <c r="AH369" i="12"/>
  <c r="AG369" i="12"/>
  <c r="AF369" i="12"/>
  <c r="AE369" i="12"/>
  <c r="AD369" i="12"/>
  <c r="AC369" i="12"/>
  <c r="AB369" i="12"/>
  <c r="AI368" i="12"/>
  <c r="AH368" i="12"/>
  <c r="AG368" i="12"/>
  <c r="AF368" i="12"/>
  <c r="AE368" i="12"/>
  <c r="AD368" i="12"/>
  <c r="AC368" i="12"/>
  <c r="AB368" i="12"/>
  <c r="AI367" i="12"/>
  <c r="AH367" i="12"/>
  <c r="AG367" i="12"/>
  <c r="AF367" i="12"/>
  <c r="AE367" i="12"/>
  <c r="AD367" i="12"/>
  <c r="AC367" i="12"/>
  <c r="AB367" i="12"/>
  <c r="AI366" i="12"/>
  <c r="AH366" i="12"/>
  <c r="AG366" i="12"/>
  <c r="AF366" i="12"/>
  <c r="AE366" i="12"/>
  <c r="AD366" i="12"/>
  <c r="AC366" i="12"/>
  <c r="AB366" i="12"/>
  <c r="AI365" i="12"/>
  <c r="AH365" i="12"/>
  <c r="AG365" i="12"/>
  <c r="AF365" i="12"/>
  <c r="AE365" i="12"/>
  <c r="AD365" i="12"/>
  <c r="AC365" i="12"/>
  <c r="AB365" i="12"/>
  <c r="AI364" i="12"/>
  <c r="AH364" i="12"/>
  <c r="AG364" i="12"/>
  <c r="AF364" i="12"/>
  <c r="AE364" i="12"/>
  <c r="AD364" i="12"/>
  <c r="AC364" i="12"/>
  <c r="AB364" i="12"/>
  <c r="AI363" i="12"/>
  <c r="AH363" i="12"/>
  <c r="AG363" i="12"/>
  <c r="AF363" i="12"/>
  <c r="AE363" i="12"/>
  <c r="AD363" i="12"/>
  <c r="AC363" i="12"/>
  <c r="AB363" i="12"/>
  <c r="AI362" i="12"/>
  <c r="AH362" i="12"/>
  <c r="AG362" i="12"/>
  <c r="AF362" i="12"/>
  <c r="AE362" i="12"/>
  <c r="AD362" i="12"/>
  <c r="AC362" i="12"/>
  <c r="AB362" i="12"/>
  <c r="AI361" i="12"/>
  <c r="AH361" i="12"/>
  <c r="AG361" i="12"/>
  <c r="AF361" i="12"/>
  <c r="AE361" i="12"/>
  <c r="AD361" i="12"/>
  <c r="AC361" i="12"/>
  <c r="AB361" i="12"/>
  <c r="AI360" i="12"/>
  <c r="AH360" i="12"/>
  <c r="AG360" i="12"/>
  <c r="AF360" i="12"/>
  <c r="AE360" i="12"/>
  <c r="AD360" i="12"/>
  <c r="AC360" i="12"/>
  <c r="AB360" i="12"/>
  <c r="AI359" i="12"/>
  <c r="AH359" i="12"/>
  <c r="AG359" i="12"/>
  <c r="AF359" i="12"/>
  <c r="AE359" i="12"/>
  <c r="AD359" i="12"/>
  <c r="AC359" i="12"/>
  <c r="AB359" i="12"/>
  <c r="AI358" i="12"/>
  <c r="AH358" i="12"/>
  <c r="AG358" i="12"/>
  <c r="AF358" i="12"/>
  <c r="AE358" i="12"/>
  <c r="AD358" i="12"/>
  <c r="AC358" i="12"/>
  <c r="AB358" i="12"/>
  <c r="AI357" i="12"/>
  <c r="AH357" i="12"/>
  <c r="AG357" i="12"/>
  <c r="AF357" i="12"/>
  <c r="AE357" i="12"/>
  <c r="AD357" i="12"/>
  <c r="AC357" i="12"/>
  <c r="AB357" i="12"/>
  <c r="AI356" i="12"/>
  <c r="AH356" i="12"/>
  <c r="AG356" i="12"/>
  <c r="AF356" i="12"/>
  <c r="AE356" i="12"/>
  <c r="AD356" i="12"/>
  <c r="AC356" i="12"/>
  <c r="AB356" i="12"/>
  <c r="AI355" i="12"/>
  <c r="AH355" i="12"/>
  <c r="AG355" i="12"/>
  <c r="AF355" i="12"/>
  <c r="AE355" i="12"/>
  <c r="AD355" i="12"/>
  <c r="AC355" i="12"/>
  <c r="AB355" i="12"/>
  <c r="AI354" i="12"/>
  <c r="AH354" i="12"/>
  <c r="AG354" i="12"/>
  <c r="AF354" i="12"/>
  <c r="AE354" i="12"/>
  <c r="AD354" i="12"/>
  <c r="AC354" i="12"/>
  <c r="AB354" i="12"/>
  <c r="AI353" i="12"/>
  <c r="AH353" i="12"/>
  <c r="AG353" i="12"/>
  <c r="AF353" i="12"/>
  <c r="AE353" i="12"/>
  <c r="AD353" i="12"/>
  <c r="AC353" i="12"/>
  <c r="AB353" i="12"/>
  <c r="AI352" i="12"/>
  <c r="AH352" i="12"/>
  <c r="AG352" i="12"/>
  <c r="AF352" i="12"/>
  <c r="AE352" i="12"/>
  <c r="AD352" i="12"/>
  <c r="AC352" i="12"/>
  <c r="AB352" i="12"/>
  <c r="AI351" i="12"/>
  <c r="AH351" i="12"/>
  <c r="AG351" i="12"/>
  <c r="AF351" i="12"/>
  <c r="AE351" i="12"/>
  <c r="AD351" i="12"/>
  <c r="AC351" i="12"/>
  <c r="AB351" i="12"/>
  <c r="AI350" i="12"/>
  <c r="AH350" i="12"/>
  <c r="AG350" i="12"/>
  <c r="AF350" i="12"/>
  <c r="AE350" i="12"/>
  <c r="AD350" i="12"/>
  <c r="AC350" i="12"/>
  <c r="AB350" i="12"/>
  <c r="AI349" i="12"/>
  <c r="AH349" i="12"/>
  <c r="AG349" i="12"/>
  <c r="AF349" i="12"/>
  <c r="AE349" i="12"/>
  <c r="AD349" i="12"/>
  <c r="AC349" i="12"/>
  <c r="AB349" i="12"/>
  <c r="AI348" i="12"/>
  <c r="AH348" i="12"/>
  <c r="AG348" i="12"/>
  <c r="AF348" i="12"/>
  <c r="AE348" i="12"/>
  <c r="AD348" i="12"/>
  <c r="AC348" i="12"/>
  <c r="AB348" i="12"/>
  <c r="AI347" i="12"/>
  <c r="AH347" i="12"/>
  <c r="AG347" i="12"/>
  <c r="AF347" i="12"/>
  <c r="AE347" i="12"/>
  <c r="AD347" i="12"/>
  <c r="AC347" i="12"/>
  <c r="AB347" i="12"/>
  <c r="AI346" i="12"/>
  <c r="AH346" i="12"/>
  <c r="AG346" i="12"/>
  <c r="AF346" i="12"/>
  <c r="AE346" i="12"/>
  <c r="AD346" i="12"/>
  <c r="AC346" i="12"/>
  <c r="AB346" i="12"/>
  <c r="AI345" i="12"/>
  <c r="AH345" i="12"/>
  <c r="AG345" i="12"/>
  <c r="AF345" i="12"/>
  <c r="AE345" i="12"/>
  <c r="AD345" i="12"/>
  <c r="AC345" i="12"/>
  <c r="AB345" i="12"/>
  <c r="AI344" i="12"/>
  <c r="AH344" i="12"/>
  <c r="AG344" i="12"/>
  <c r="AF344" i="12"/>
  <c r="AE344" i="12"/>
  <c r="AD344" i="12"/>
  <c r="AC344" i="12"/>
  <c r="AB344" i="12"/>
  <c r="AI343" i="12"/>
  <c r="AH343" i="12"/>
  <c r="AG343" i="12"/>
  <c r="AF343" i="12"/>
  <c r="AE343" i="12"/>
  <c r="AD343" i="12"/>
  <c r="AC343" i="12"/>
  <c r="AB343" i="12"/>
  <c r="AI342" i="12"/>
  <c r="AH342" i="12"/>
  <c r="AG342" i="12"/>
  <c r="AF342" i="12"/>
  <c r="AE342" i="12"/>
  <c r="AD342" i="12"/>
  <c r="AC342" i="12"/>
  <c r="AB342" i="12"/>
  <c r="AI341" i="12"/>
  <c r="AH341" i="12"/>
  <c r="AG341" i="12"/>
  <c r="AF341" i="12"/>
  <c r="AE341" i="12"/>
  <c r="AD341" i="12"/>
  <c r="AC341" i="12"/>
  <c r="AB341" i="12"/>
  <c r="AI340" i="12"/>
  <c r="AH340" i="12"/>
  <c r="AG340" i="12"/>
  <c r="AF340" i="12"/>
  <c r="AE340" i="12"/>
  <c r="AD340" i="12"/>
  <c r="AC340" i="12"/>
  <c r="AB340" i="12"/>
  <c r="AI339" i="12"/>
  <c r="AH339" i="12"/>
  <c r="AG339" i="12"/>
  <c r="AF339" i="12"/>
  <c r="AE339" i="12"/>
  <c r="AD339" i="12"/>
  <c r="AC339" i="12"/>
  <c r="AB339" i="12"/>
  <c r="AI338" i="12"/>
  <c r="AH338" i="12"/>
  <c r="AG338" i="12"/>
  <c r="AF338" i="12"/>
  <c r="AE338" i="12"/>
  <c r="AD338" i="12"/>
  <c r="AC338" i="12"/>
  <c r="AB338" i="12"/>
  <c r="AI337" i="12"/>
  <c r="AH337" i="12"/>
  <c r="AG337" i="12"/>
  <c r="AF337" i="12"/>
  <c r="AE337" i="12"/>
  <c r="AD337" i="12"/>
  <c r="AC337" i="12"/>
  <c r="AB337" i="12"/>
  <c r="AI336" i="12"/>
  <c r="AH336" i="12"/>
  <c r="AG336" i="12"/>
  <c r="AF336" i="12"/>
  <c r="AE336" i="12"/>
  <c r="AD336" i="12"/>
  <c r="AC336" i="12"/>
  <c r="AB336" i="12"/>
  <c r="AI335" i="12"/>
  <c r="AH335" i="12"/>
  <c r="AG335" i="12"/>
  <c r="AF335" i="12"/>
  <c r="AE335" i="12"/>
  <c r="AD335" i="12"/>
  <c r="AC335" i="12"/>
  <c r="AB335" i="12"/>
  <c r="AI334" i="12"/>
  <c r="AH334" i="12"/>
  <c r="AG334" i="12"/>
  <c r="AF334" i="12"/>
  <c r="AE334" i="12"/>
  <c r="AD334" i="12"/>
  <c r="AC334" i="12"/>
  <c r="AB334" i="12"/>
  <c r="AI333" i="12"/>
  <c r="AH333" i="12"/>
  <c r="AG333" i="12"/>
  <c r="AF333" i="12"/>
  <c r="AE333" i="12"/>
  <c r="AD333" i="12"/>
  <c r="AC333" i="12"/>
  <c r="AB333" i="12"/>
  <c r="AI332" i="12"/>
  <c r="AH332" i="12"/>
  <c r="AG332" i="12"/>
  <c r="AF332" i="12"/>
  <c r="AE332" i="12"/>
  <c r="AD332" i="12"/>
  <c r="AC332" i="12"/>
  <c r="AB332" i="12"/>
  <c r="AI331" i="12"/>
  <c r="AH331" i="12"/>
  <c r="AG331" i="12"/>
  <c r="AF331" i="12"/>
  <c r="AE331" i="12"/>
  <c r="AD331" i="12"/>
  <c r="AC331" i="12"/>
  <c r="AB331" i="12"/>
  <c r="AI330" i="12"/>
  <c r="AH330" i="12"/>
  <c r="AG330" i="12"/>
  <c r="AF330" i="12"/>
  <c r="AE330" i="12"/>
  <c r="AD330" i="12"/>
  <c r="AC330" i="12"/>
  <c r="AB330" i="12"/>
  <c r="AI329" i="12"/>
  <c r="AH329" i="12"/>
  <c r="AG329" i="12"/>
  <c r="AF329" i="12"/>
  <c r="AE329" i="12"/>
  <c r="AD329" i="12"/>
  <c r="AC329" i="12"/>
  <c r="AB329" i="12"/>
  <c r="AI328" i="12"/>
  <c r="AH328" i="12"/>
  <c r="AG328" i="12"/>
  <c r="AF328" i="12"/>
  <c r="AE328" i="12"/>
  <c r="AD328" i="12"/>
  <c r="AC328" i="12"/>
  <c r="AB328" i="12"/>
  <c r="AI327" i="12"/>
  <c r="AH327" i="12"/>
  <c r="AG327" i="12"/>
  <c r="AF327" i="12"/>
  <c r="AE327" i="12"/>
  <c r="AD327" i="12"/>
  <c r="AC327" i="12"/>
  <c r="AB327" i="12"/>
  <c r="AI326" i="12"/>
  <c r="AH326" i="12"/>
  <c r="AG326" i="12"/>
  <c r="AF326" i="12"/>
  <c r="AE326" i="12"/>
  <c r="AD326" i="12"/>
  <c r="AC326" i="12"/>
  <c r="AB326" i="12"/>
  <c r="AI325" i="12"/>
  <c r="AH325" i="12"/>
  <c r="AG325" i="12"/>
  <c r="AF325" i="12"/>
  <c r="AE325" i="12"/>
  <c r="AD325" i="12"/>
  <c r="AC325" i="12"/>
  <c r="AB325" i="12"/>
  <c r="AI324" i="12"/>
  <c r="AH324" i="12"/>
  <c r="AG324" i="12"/>
  <c r="AF324" i="12"/>
  <c r="AE324" i="12"/>
  <c r="AD324" i="12"/>
  <c r="AC324" i="12"/>
  <c r="AB324" i="12"/>
  <c r="AI323" i="12"/>
  <c r="AH323" i="12"/>
  <c r="AG323" i="12"/>
  <c r="AF323" i="12"/>
  <c r="AE323" i="12"/>
  <c r="AD323" i="12"/>
  <c r="AC323" i="12"/>
  <c r="AB323" i="12"/>
  <c r="AI322" i="12"/>
  <c r="AH322" i="12"/>
  <c r="AG322" i="12"/>
  <c r="AF322" i="12"/>
  <c r="AE322" i="12"/>
  <c r="AD322" i="12"/>
  <c r="AC322" i="12"/>
  <c r="AB322" i="12"/>
  <c r="AI321" i="12"/>
  <c r="AH321" i="12"/>
  <c r="AG321" i="12"/>
  <c r="AF321" i="12"/>
  <c r="AE321" i="12"/>
  <c r="AD321" i="12"/>
  <c r="AC321" i="12"/>
  <c r="AB321" i="12"/>
  <c r="AI320" i="12"/>
  <c r="AH320" i="12"/>
  <c r="AG320" i="12"/>
  <c r="AF320" i="12"/>
  <c r="AE320" i="12"/>
  <c r="AD320" i="12"/>
  <c r="AC320" i="12"/>
  <c r="AB320" i="12"/>
  <c r="AI319" i="12"/>
  <c r="AH319" i="12"/>
  <c r="AG319" i="12"/>
  <c r="AF319" i="12"/>
  <c r="AE319" i="12"/>
  <c r="AD319" i="12"/>
  <c r="AC319" i="12"/>
  <c r="AB319" i="12"/>
  <c r="AI318" i="12"/>
  <c r="AH318" i="12"/>
  <c r="AG318" i="12"/>
  <c r="AF318" i="12"/>
  <c r="AE318" i="12"/>
  <c r="AD318" i="12"/>
  <c r="AC318" i="12"/>
  <c r="AB318" i="12"/>
  <c r="AI317" i="12"/>
  <c r="AH317" i="12"/>
  <c r="AG317" i="12"/>
  <c r="AF317" i="12"/>
  <c r="AE317" i="12"/>
  <c r="AD317" i="12"/>
  <c r="AC317" i="12"/>
  <c r="AB317" i="12"/>
  <c r="AI316" i="12"/>
  <c r="AH316" i="12"/>
  <c r="AG316" i="12"/>
  <c r="AF316" i="12"/>
  <c r="AE316" i="12"/>
  <c r="AD316" i="12"/>
  <c r="AC316" i="12"/>
  <c r="AB316" i="12"/>
  <c r="AI315" i="12"/>
  <c r="AH315" i="12"/>
  <c r="AG315" i="12"/>
  <c r="AF315" i="12"/>
  <c r="AE315" i="12"/>
  <c r="AD315" i="12"/>
  <c r="AC315" i="12"/>
  <c r="AB315" i="12"/>
  <c r="AI314" i="12"/>
  <c r="AH314" i="12"/>
  <c r="AG314" i="12"/>
  <c r="AF314" i="12"/>
  <c r="AE314" i="12"/>
  <c r="AD314" i="12"/>
  <c r="AC314" i="12"/>
  <c r="AB314" i="12"/>
  <c r="AI313" i="12"/>
  <c r="AH313" i="12"/>
  <c r="AG313" i="12"/>
  <c r="AF313" i="12"/>
  <c r="AE313" i="12"/>
  <c r="AD313" i="12"/>
  <c r="AC313" i="12"/>
  <c r="AB313" i="12"/>
  <c r="AI312" i="12"/>
  <c r="AH312" i="12"/>
  <c r="AG312" i="12"/>
  <c r="AF312" i="12"/>
  <c r="AE312" i="12"/>
  <c r="AD312" i="12"/>
  <c r="AC312" i="12"/>
  <c r="AB312" i="12"/>
  <c r="AI311" i="12"/>
  <c r="AH311" i="12"/>
  <c r="AG311" i="12"/>
  <c r="AF311" i="12"/>
  <c r="AE311" i="12"/>
  <c r="AD311" i="12"/>
  <c r="AC311" i="12"/>
  <c r="AB311" i="12"/>
  <c r="AI310" i="12"/>
  <c r="AH310" i="12"/>
  <c r="AG310" i="12"/>
  <c r="AF310" i="12"/>
  <c r="AE310" i="12"/>
  <c r="AD310" i="12"/>
  <c r="AC310" i="12"/>
  <c r="AB310" i="12"/>
  <c r="AI309" i="12"/>
  <c r="AH309" i="12"/>
  <c r="AG309" i="12"/>
  <c r="AF309" i="12"/>
  <c r="AE309" i="12"/>
  <c r="AD309" i="12"/>
  <c r="AC309" i="12"/>
  <c r="AB309" i="12"/>
  <c r="AI308" i="12"/>
  <c r="AH308" i="12"/>
  <c r="AG308" i="12"/>
  <c r="AF308" i="12"/>
  <c r="AE308" i="12"/>
  <c r="AD308" i="12"/>
  <c r="AC308" i="12"/>
  <c r="AB308" i="12"/>
  <c r="AI307" i="12"/>
  <c r="AH307" i="12"/>
  <c r="AG307" i="12"/>
  <c r="AF307" i="12"/>
  <c r="AE307" i="12"/>
  <c r="AD307" i="12"/>
  <c r="AC307" i="12"/>
  <c r="AB307" i="12"/>
  <c r="AI306" i="12"/>
  <c r="AH306" i="12"/>
  <c r="AG306" i="12"/>
  <c r="AF306" i="12"/>
  <c r="AE306" i="12"/>
  <c r="AD306" i="12"/>
  <c r="AC306" i="12"/>
  <c r="AB306" i="12"/>
  <c r="AI305" i="12"/>
  <c r="AH305" i="12"/>
  <c r="AG305" i="12"/>
  <c r="AF305" i="12"/>
  <c r="AE305" i="12"/>
  <c r="AD305" i="12"/>
  <c r="AC305" i="12"/>
  <c r="AB305" i="12"/>
  <c r="AI304" i="12"/>
  <c r="AH304" i="12"/>
  <c r="AG304" i="12"/>
  <c r="AF304" i="12"/>
  <c r="AE304" i="12"/>
  <c r="AD304" i="12"/>
  <c r="AC304" i="12"/>
  <c r="AB304" i="12"/>
  <c r="AI303" i="12"/>
  <c r="AH303" i="12"/>
  <c r="AG303" i="12"/>
  <c r="AF303" i="12"/>
  <c r="AE303" i="12"/>
  <c r="AD303" i="12"/>
  <c r="AC303" i="12"/>
  <c r="AB303" i="12"/>
  <c r="AI302" i="12"/>
  <c r="AH302" i="12"/>
  <c r="AG302" i="12"/>
  <c r="AF302" i="12"/>
  <c r="AE302" i="12"/>
  <c r="AD302" i="12"/>
  <c r="AC302" i="12"/>
  <c r="AB302" i="12"/>
  <c r="AI301" i="12"/>
  <c r="AH301" i="12"/>
  <c r="AG301" i="12"/>
  <c r="AF301" i="12"/>
  <c r="AE301" i="12"/>
  <c r="AD301" i="12"/>
  <c r="AC301" i="12"/>
  <c r="AB301" i="12"/>
  <c r="AI300" i="12"/>
  <c r="AH300" i="12"/>
  <c r="AG300" i="12"/>
  <c r="AF300" i="12"/>
  <c r="AE300" i="12"/>
  <c r="AD300" i="12"/>
  <c r="AC300" i="12"/>
  <c r="AB300" i="12"/>
  <c r="AI299" i="12"/>
  <c r="AH299" i="12"/>
  <c r="AG299" i="12"/>
  <c r="AF299" i="12"/>
  <c r="AE299" i="12"/>
  <c r="AD299" i="12"/>
  <c r="AC299" i="12"/>
  <c r="AB299" i="12"/>
  <c r="AI298" i="12"/>
  <c r="AH298" i="12"/>
  <c r="AG298" i="12"/>
  <c r="AF298" i="12"/>
  <c r="AE298" i="12"/>
  <c r="AD298" i="12"/>
  <c r="AC298" i="12"/>
  <c r="AB298" i="12"/>
  <c r="AI297" i="12"/>
  <c r="AH297" i="12"/>
  <c r="AG297" i="12"/>
  <c r="AF297" i="12"/>
  <c r="AE297" i="12"/>
  <c r="AD297" i="12"/>
  <c r="AC297" i="12"/>
  <c r="AB297" i="12"/>
  <c r="AI296" i="12"/>
  <c r="AH296" i="12"/>
  <c r="AG296" i="12"/>
  <c r="AF296" i="12"/>
  <c r="AE296" i="12"/>
  <c r="AD296" i="12"/>
  <c r="AC296" i="12"/>
  <c r="AB296" i="12"/>
  <c r="AI295" i="12"/>
  <c r="AH295" i="12"/>
  <c r="AG295" i="12"/>
  <c r="AF295" i="12"/>
  <c r="AE295" i="12"/>
  <c r="AD295" i="12"/>
  <c r="AC295" i="12"/>
  <c r="AB295" i="12"/>
  <c r="AI294" i="12"/>
  <c r="AH294" i="12"/>
  <c r="AG294" i="12"/>
  <c r="AF294" i="12"/>
  <c r="AE294" i="12"/>
  <c r="AD294" i="12"/>
  <c r="AC294" i="12"/>
  <c r="AB294" i="12"/>
  <c r="AI293" i="12"/>
  <c r="AH293" i="12"/>
  <c r="AG293" i="12"/>
  <c r="AF293" i="12"/>
  <c r="AE293" i="12"/>
  <c r="AD293" i="12"/>
  <c r="AC293" i="12"/>
  <c r="AB293" i="12"/>
  <c r="AI292" i="12"/>
  <c r="AH292" i="12"/>
  <c r="AG292" i="12"/>
  <c r="AF292" i="12"/>
  <c r="AE292" i="12"/>
  <c r="AD292" i="12"/>
  <c r="AC292" i="12"/>
  <c r="AB292" i="12"/>
  <c r="AI291" i="12"/>
  <c r="AH291" i="12"/>
  <c r="AG291" i="12"/>
  <c r="AF291" i="12"/>
  <c r="AE291" i="12"/>
  <c r="AD291" i="12"/>
  <c r="AC291" i="12"/>
  <c r="AB291" i="12"/>
  <c r="AI290" i="12"/>
  <c r="AH290" i="12"/>
  <c r="AG290" i="12"/>
  <c r="AF290" i="12"/>
  <c r="AE290" i="12"/>
  <c r="AD290" i="12"/>
  <c r="AC290" i="12"/>
  <c r="AB290" i="12"/>
  <c r="AI289" i="12"/>
  <c r="AH289" i="12"/>
  <c r="AG289" i="12"/>
  <c r="AF289" i="12"/>
  <c r="AE289" i="12"/>
  <c r="AD289" i="12"/>
  <c r="AC289" i="12"/>
  <c r="AB289" i="12"/>
  <c r="AI288" i="12"/>
  <c r="AH288" i="12"/>
  <c r="AG288" i="12"/>
  <c r="AF288" i="12"/>
  <c r="AE288" i="12"/>
  <c r="AD288" i="12"/>
  <c r="AC288" i="12"/>
  <c r="AB288" i="12"/>
  <c r="AI287" i="12"/>
  <c r="AH287" i="12"/>
  <c r="AG287" i="12"/>
  <c r="AF287" i="12"/>
  <c r="AE287" i="12"/>
  <c r="AD287" i="12"/>
  <c r="AC287" i="12"/>
  <c r="AB287" i="12"/>
  <c r="AI286" i="12"/>
  <c r="AH286" i="12"/>
  <c r="AG286" i="12"/>
  <c r="AF286" i="12"/>
  <c r="AE286" i="12"/>
  <c r="AD286" i="12"/>
  <c r="AC286" i="12"/>
  <c r="AB286" i="12"/>
  <c r="AI285" i="12"/>
  <c r="AH285" i="12"/>
  <c r="AG285" i="12"/>
  <c r="AF285" i="12"/>
  <c r="AE285" i="12"/>
  <c r="AD285" i="12"/>
  <c r="AC285" i="12"/>
  <c r="AB285" i="12"/>
  <c r="AI284" i="12"/>
  <c r="AH284" i="12"/>
  <c r="AG284" i="12"/>
  <c r="AF284" i="12"/>
  <c r="AE284" i="12"/>
  <c r="AD284" i="12"/>
  <c r="AC284" i="12"/>
  <c r="AB284" i="12"/>
  <c r="AI283" i="12"/>
  <c r="AH283" i="12"/>
  <c r="AG283" i="12"/>
  <c r="AF283" i="12"/>
  <c r="AE283" i="12"/>
  <c r="AD283" i="12"/>
  <c r="AC283" i="12"/>
  <c r="AB283" i="12"/>
  <c r="AI282" i="12"/>
  <c r="AH282" i="12"/>
  <c r="AG282" i="12"/>
  <c r="AF282" i="12"/>
  <c r="AE282" i="12"/>
  <c r="AD282" i="12"/>
  <c r="AC282" i="12"/>
  <c r="AB282" i="12"/>
  <c r="AI281" i="12"/>
  <c r="AH281" i="12"/>
  <c r="AG281" i="12"/>
  <c r="AF281" i="12"/>
  <c r="AE281" i="12"/>
  <c r="AD281" i="12"/>
  <c r="AC281" i="12"/>
  <c r="AB281" i="12"/>
  <c r="AI280" i="12"/>
  <c r="AH280" i="12"/>
  <c r="AG280" i="12"/>
  <c r="AF280" i="12"/>
  <c r="AE280" i="12"/>
  <c r="AD280" i="12"/>
  <c r="AC280" i="12"/>
  <c r="AB280" i="12"/>
  <c r="AI279" i="12"/>
  <c r="AH279" i="12"/>
  <c r="AG279" i="12"/>
  <c r="AF279" i="12"/>
  <c r="AE279" i="12"/>
  <c r="AD279" i="12"/>
  <c r="AC279" i="12"/>
  <c r="AB279" i="12"/>
  <c r="AI278" i="12"/>
  <c r="AH278" i="12"/>
  <c r="AG278" i="12"/>
  <c r="AF278" i="12"/>
  <c r="AE278" i="12"/>
  <c r="AD278" i="12"/>
  <c r="AC278" i="12"/>
  <c r="AB278" i="12"/>
  <c r="AI277" i="12"/>
  <c r="AH277" i="12"/>
  <c r="AG277" i="12"/>
  <c r="AF277" i="12"/>
  <c r="AE277" i="12"/>
  <c r="AD277" i="12"/>
  <c r="AC277" i="12"/>
  <c r="AB277" i="12"/>
  <c r="AI276" i="12"/>
  <c r="AH276" i="12"/>
  <c r="AG276" i="12"/>
  <c r="AF276" i="12"/>
  <c r="AE276" i="12"/>
  <c r="AD276" i="12"/>
  <c r="AC276" i="12"/>
  <c r="AB276" i="12"/>
  <c r="AI275" i="12"/>
  <c r="AH275" i="12"/>
  <c r="AG275" i="12"/>
  <c r="AF275" i="12"/>
  <c r="AE275" i="12"/>
  <c r="AD275" i="12"/>
  <c r="AC275" i="12"/>
  <c r="AB275" i="12"/>
  <c r="AI274" i="12"/>
  <c r="AH274" i="12"/>
  <c r="AG274" i="12"/>
  <c r="AF274" i="12"/>
  <c r="AE274" i="12"/>
  <c r="AD274" i="12"/>
  <c r="AC274" i="12"/>
  <c r="AB274" i="12"/>
  <c r="AI273" i="12"/>
  <c r="AH273" i="12"/>
  <c r="AG273" i="12"/>
  <c r="AF273" i="12"/>
  <c r="AE273" i="12"/>
  <c r="AD273" i="12"/>
  <c r="AC273" i="12"/>
  <c r="AB273" i="12"/>
  <c r="AI272" i="12"/>
  <c r="AH272" i="12"/>
  <c r="AG272" i="12"/>
  <c r="AF272" i="12"/>
  <c r="AE272" i="12"/>
  <c r="AD272" i="12"/>
  <c r="AC272" i="12"/>
  <c r="AB272" i="12"/>
  <c r="AI271" i="12"/>
  <c r="AH271" i="12"/>
  <c r="AG271" i="12"/>
  <c r="AF271" i="12"/>
  <c r="AE271" i="12"/>
  <c r="AD271" i="12"/>
  <c r="AC271" i="12"/>
  <c r="AB271" i="12"/>
  <c r="AI270" i="12"/>
  <c r="AH270" i="12"/>
  <c r="AG270" i="12"/>
  <c r="AF270" i="12"/>
  <c r="AE270" i="12"/>
  <c r="AD270" i="12"/>
  <c r="AC270" i="12"/>
  <c r="AB270" i="12"/>
  <c r="AI269" i="12"/>
  <c r="AH269" i="12"/>
  <c r="AG269" i="12"/>
  <c r="AF269" i="12"/>
  <c r="AE269" i="12"/>
  <c r="AD269" i="12"/>
  <c r="AC269" i="12"/>
  <c r="AB269" i="12"/>
  <c r="AI268" i="12"/>
  <c r="AH268" i="12"/>
  <c r="AG268" i="12"/>
  <c r="AF268" i="12"/>
  <c r="AE268" i="12"/>
  <c r="AD268" i="12"/>
  <c r="AC268" i="12"/>
  <c r="AB268" i="12"/>
  <c r="AI267" i="12"/>
  <c r="AH267" i="12"/>
  <c r="AG267" i="12"/>
  <c r="AF267" i="12"/>
  <c r="AE267" i="12"/>
  <c r="AD267" i="12"/>
  <c r="AC267" i="12"/>
  <c r="AB267" i="12"/>
  <c r="AI266" i="12"/>
  <c r="AH266" i="12"/>
  <c r="AG266" i="12"/>
  <c r="AF266" i="12"/>
  <c r="AE266" i="12"/>
  <c r="AD266" i="12"/>
  <c r="AC266" i="12"/>
  <c r="AB266" i="12"/>
  <c r="AI265" i="12"/>
  <c r="AH265" i="12"/>
  <c r="AG265" i="12"/>
  <c r="AF265" i="12"/>
  <c r="AE265" i="12"/>
  <c r="AD265" i="12"/>
  <c r="AC265" i="12"/>
  <c r="AB265" i="12"/>
  <c r="AI264" i="12"/>
  <c r="AH264" i="12"/>
  <c r="AG264" i="12"/>
  <c r="AF264" i="12"/>
  <c r="AE264" i="12"/>
  <c r="AD264" i="12"/>
  <c r="AC264" i="12"/>
  <c r="AB264" i="12"/>
  <c r="AI263" i="12"/>
  <c r="AH263" i="12"/>
  <c r="AG263" i="12"/>
  <c r="AF263" i="12"/>
  <c r="AE263" i="12"/>
  <c r="AD263" i="12"/>
  <c r="AC263" i="12"/>
  <c r="AB263" i="12"/>
  <c r="AI262" i="12"/>
  <c r="AH262" i="12"/>
  <c r="AG262" i="12"/>
  <c r="AF262" i="12"/>
  <c r="AE262" i="12"/>
  <c r="AD262" i="12"/>
  <c r="AC262" i="12"/>
  <c r="AB262" i="12"/>
  <c r="AI261" i="12"/>
  <c r="AH261" i="12"/>
  <c r="AG261" i="12"/>
  <c r="AF261" i="12"/>
  <c r="AE261" i="12"/>
  <c r="AD261" i="12"/>
  <c r="AC261" i="12"/>
  <c r="AB261" i="12"/>
  <c r="AI260" i="12"/>
  <c r="AH260" i="12"/>
  <c r="AG260" i="12"/>
  <c r="AF260" i="12"/>
  <c r="AE260" i="12"/>
  <c r="AD260" i="12"/>
  <c r="AC260" i="12"/>
  <c r="AB260" i="12"/>
  <c r="AI259" i="12"/>
  <c r="AH259" i="12"/>
  <c r="AG259" i="12"/>
  <c r="AF259" i="12"/>
  <c r="AE259" i="12"/>
  <c r="AD259" i="12"/>
  <c r="AC259" i="12"/>
  <c r="AB259" i="12"/>
  <c r="AI258" i="12"/>
  <c r="AH258" i="12"/>
  <c r="AG258" i="12"/>
  <c r="AF258" i="12"/>
  <c r="AE258" i="12"/>
  <c r="AD258" i="12"/>
  <c r="AC258" i="12"/>
  <c r="AB258" i="12"/>
  <c r="AI257" i="12"/>
  <c r="AH257" i="12"/>
  <c r="AG257" i="12"/>
  <c r="AF257" i="12"/>
  <c r="AE257" i="12"/>
  <c r="AD257" i="12"/>
  <c r="AC257" i="12"/>
  <c r="AB257" i="12"/>
  <c r="AI256" i="12"/>
  <c r="AH256" i="12"/>
  <c r="AG256" i="12"/>
  <c r="AF256" i="12"/>
  <c r="AE256" i="12"/>
  <c r="AD256" i="12"/>
  <c r="AC256" i="12"/>
  <c r="AB256" i="12"/>
  <c r="AI255" i="12"/>
  <c r="AH255" i="12"/>
  <c r="AG255" i="12"/>
  <c r="AF255" i="12"/>
  <c r="AE255" i="12"/>
  <c r="AD255" i="12"/>
  <c r="AC255" i="12"/>
  <c r="AB255" i="12"/>
  <c r="AI254" i="12"/>
  <c r="AH254" i="12"/>
  <c r="AG254" i="12"/>
  <c r="AF254" i="12"/>
  <c r="AE254" i="12"/>
  <c r="AD254" i="12"/>
  <c r="AC254" i="12"/>
  <c r="AB254" i="12"/>
  <c r="AI253" i="12"/>
  <c r="AH253" i="12"/>
  <c r="AG253" i="12"/>
  <c r="AF253" i="12"/>
  <c r="AE253" i="12"/>
  <c r="AD253" i="12"/>
  <c r="AC253" i="12"/>
  <c r="AB253" i="12"/>
  <c r="AI252" i="12"/>
  <c r="AH252" i="12"/>
  <c r="AG252" i="12"/>
  <c r="AF252" i="12"/>
  <c r="AE252" i="12"/>
  <c r="AD252" i="12"/>
  <c r="AC252" i="12"/>
  <c r="AB252" i="12"/>
  <c r="AI251" i="12"/>
  <c r="AH251" i="12"/>
  <c r="AG251" i="12"/>
  <c r="AF251" i="12"/>
  <c r="AE251" i="12"/>
  <c r="AD251" i="12"/>
  <c r="AC251" i="12"/>
  <c r="AB251" i="12"/>
  <c r="AI250" i="12"/>
  <c r="AH250" i="12"/>
  <c r="AG250" i="12"/>
  <c r="AF250" i="12"/>
  <c r="AE250" i="12"/>
  <c r="AD250" i="12"/>
  <c r="AC250" i="12"/>
  <c r="AB250" i="12"/>
  <c r="AI249" i="12"/>
  <c r="AH249" i="12"/>
  <c r="AG249" i="12"/>
  <c r="AF249" i="12"/>
  <c r="AE249" i="12"/>
  <c r="AD249" i="12"/>
  <c r="AC249" i="12"/>
  <c r="AB249" i="12"/>
  <c r="AI248" i="12"/>
  <c r="AH248" i="12"/>
  <c r="AG248" i="12"/>
  <c r="AF248" i="12"/>
  <c r="AE248" i="12"/>
  <c r="AD248" i="12"/>
  <c r="AC248" i="12"/>
  <c r="AB248" i="12"/>
  <c r="AI247" i="12"/>
  <c r="AH247" i="12"/>
  <c r="AG247" i="12"/>
  <c r="AF247" i="12"/>
  <c r="AE247" i="12"/>
  <c r="AD247" i="12"/>
  <c r="AC247" i="12"/>
  <c r="AB247" i="12"/>
  <c r="AI246" i="12"/>
  <c r="AH246" i="12"/>
  <c r="AG246" i="12"/>
  <c r="AF246" i="12"/>
  <c r="AE246" i="12"/>
  <c r="AD246" i="12"/>
  <c r="AC246" i="12"/>
  <c r="AB246" i="12"/>
  <c r="AI245" i="12"/>
  <c r="AH245" i="12"/>
  <c r="AG245" i="12"/>
  <c r="AF245" i="12"/>
  <c r="AE245" i="12"/>
  <c r="AD245" i="12"/>
  <c r="AC245" i="12"/>
  <c r="AB245" i="12"/>
  <c r="AI244" i="12"/>
  <c r="AH244" i="12"/>
  <c r="AG244" i="12"/>
  <c r="AF244" i="12"/>
  <c r="AE244" i="12"/>
  <c r="AD244" i="12"/>
  <c r="AC244" i="12"/>
  <c r="AB244" i="12"/>
  <c r="AI243" i="12"/>
  <c r="AH243" i="12"/>
  <c r="AG243" i="12"/>
  <c r="AF243" i="12"/>
  <c r="AE243" i="12"/>
  <c r="AD243" i="12"/>
  <c r="AC243" i="12"/>
  <c r="AB243" i="12"/>
  <c r="AI242" i="12"/>
  <c r="AH242" i="12"/>
  <c r="AG242" i="12"/>
  <c r="AF242" i="12"/>
  <c r="AE242" i="12"/>
  <c r="AD242" i="12"/>
  <c r="AC242" i="12"/>
  <c r="AB242" i="12"/>
  <c r="AI241" i="12"/>
  <c r="AH241" i="12"/>
  <c r="AG241" i="12"/>
  <c r="AF241" i="12"/>
  <c r="AE241" i="12"/>
  <c r="AD241" i="12"/>
  <c r="AC241" i="12"/>
  <c r="AB241" i="12"/>
  <c r="AI240" i="12"/>
  <c r="AH240" i="12"/>
  <c r="AG240" i="12"/>
  <c r="AF240" i="12"/>
  <c r="AE240" i="12"/>
  <c r="AD240" i="12"/>
  <c r="AC240" i="12"/>
  <c r="AB240" i="12"/>
  <c r="AI239" i="12"/>
  <c r="AH239" i="12"/>
  <c r="AG239" i="12"/>
  <c r="AF239" i="12"/>
  <c r="AE239" i="12"/>
  <c r="AD239" i="12"/>
  <c r="AC239" i="12"/>
  <c r="AB239" i="12"/>
  <c r="AI238" i="12"/>
  <c r="AH238" i="12"/>
  <c r="AG238" i="12"/>
  <c r="AF238" i="12"/>
  <c r="AE238" i="12"/>
  <c r="AD238" i="12"/>
  <c r="AC238" i="12"/>
  <c r="AB238" i="12"/>
  <c r="AI237" i="12"/>
  <c r="AH237" i="12"/>
  <c r="AG237" i="12"/>
  <c r="AF237" i="12"/>
  <c r="AE237" i="12"/>
  <c r="AD237" i="12"/>
  <c r="AC237" i="12"/>
  <c r="AB237" i="12"/>
  <c r="AI236" i="12"/>
  <c r="AH236" i="12"/>
  <c r="AG236" i="12"/>
  <c r="AF236" i="12"/>
  <c r="AE236" i="12"/>
  <c r="AD236" i="12"/>
  <c r="AC236" i="12"/>
  <c r="AB236" i="12"/>
  <c r="AI235" i="12"/>
  <c r="AH235" i="12"/>
  <c r="AG235" i="12"/>
  <c r="AF235" i="12"/>
  <c r="AE235" i="12"/>
  <c r="AD235" i="12"/>
  <c r="AC235" i="12"/>
  <c r="AB235" i="12"/>
  <c r="AI234" i="12"/>
  <c r="AH234" i="12"/>
  <c r="AG234" i="12"/>
  <c r="AF234" i="12"/>
  <c r="AE234" i="12"/>
  <c r="AD234" i="12"/>
  <c r="AC234" i="12"/>
  <c r="AB234" i="12"/>
  <c r="AI233" i="12"/>
  <c r="AH233" i="12"/>
  <c r="AG233" i="12"/>
  <c r="AF233" i="12"/>
  <c r="AE233" i="12"/>
  <c r="AD233" i="12"/>
  <c r="AC233" i="12"/>
  <c r="AB233" i="12"/>
  <c r="AI232" i="12"/>
  <c r="AH232" i="12"/>
  <c r="AG232" i="12"/>
  <c r="AF232" i="12"/>
  <c r="AE232" i="12"/>
  <c r="AD232" i="12"/>
  <c r="AC232" i="12"/>
  <c r="AB232" i="12"/>
  <c r="AI231" i="12"/>
  <c r="AH231" i="12"/>
  <c r="AG231" i="12"/>
  <c r="AF231" i="12"/>
  <c r="AE231" i="12"/>
  <c r="AD231" i="12"/>
  <c r="AC231" i="12"/>
  <c r="AB231" i="12"/>
  <c r="AI230" i="12"/>
  <c r="AH230" i="12"/>
  <c r="AG230" i="12"/>
  <c r="AF230" i="12"/>
  <c r="AE230" i="12"/>
  <c r="AD230" i="12"/>
  <c r="AC230" i="12"/>
  <c r="AB230" i="12"/>
  <c r="AI229" i="12"/>
  <c r="AH229" i="12"/>
  <c r="AG229" i="12"/>
  <c r="AF229" i="12"/>
  <c r="AE229" i="12"/>
  <c r="AD229" i="12"/>
  <c r="AC229" i="12"/>
  <c r="AB229" i="12"/>
  <c r="AI228" i="12"/>
  <c r="AH228" i="12"/>
  <c r="AG228" i="12"/>
  <c r="AF228" i="12"/>
  <c r="AE228" i="12"/>
  <c r="AD228" i="12"/>
  <c r="AC228" i="12"/>
  <c r="AB228" i="12"/>
  <c r="AI227" i="12"/>
  <c r="AH227" i="12"/>
  <c r="AG227" i="12"/>
  <c r="AF227" i="12"/>
  <c r="AE227" i="12"/>
  <c r="AD227" i="12"/>
  <c r="AC227" i="12"/>
  <c r="AB227" i="12"/>
  <c r="AI226" i="12"/>
  <c r="AH226" i="12"/>
  <c r="AG226" i="12"/>
  <c r="AF226" i="12"/>
  <c r="AE226" i="12"/>
  <c r="AD226" i="12"/>
  <c r="AC226" i="12"/>
  <c r="AB226" i="12"/>
  <c r="AI225" i="12"/>
  <c r="AH225" i="12"/>
  <c r="AG225" i="12"/>
  <c r="AF225" i="12"/>
  <c r="AE225" i="12"/>
  <c r="AD225" i="12"/>
  <c r="AC225" i="12"/>
  <c r="AB225" i="12"/>
  <c r="AI224" i="12"/>
  <c r="AH224" i="12"/>
  <c r="AG224" i="12"/>
  <c r="AF224" i="12"/>
  <c r="AE224" i="12"/>
  <c r="AD224" i="12"/>
  <c r="AC224" i="12"/>
  <c r="AB224" i="12"/>
  <c r="AI223" i="12"/>
  <c r="AH223" i="12"/>
  <c r="AG223" i="12"/>
  <c r="AF223" i="12"/>
  <c r="AE223" i="12"/>
  <c r="AD223" i="12"/>
  <c r="AC223" i="12"/>
  <c r="AB223" i="12"/>
  <c r="AI222" i="12"/>
  <c r="AH222" i="12"/>
  <c r="AG222" i="12"/>
  <c r="AF222" i="12"/>
  <c r="AE222" i="12"/>
  <c r="AD222" i="12"/>
  <c r="AC222" i="12"/>
  <c r="AB222" i="12"/>
  <c r="AI221" i="12"/>
  <c r="AH221" i="12"/>
  <c r="AG221" i="12"/>
  <c r="AF221" i="12"/>
  <c r="AE221" i="12"/>
  <c r="AD221" i="12"/>
  <c r="AC221" i="12"/>
  <c r="AB221" i="12"/>
  <c r="AI220" i="12"/>
  <c r="AH220" i="12"/>
  <c r="AG220" i="12"/>
  <c r="AF220" i="12"/>
  <c r="AE220" i="12"/>
  <c r="AD220" i="12"/>
  <c r="AC220" i="12"/>
  <c r="AB220" i="12"/>
  <c r="AI219" i="12"/>
  <c r="AH219" i="12"/>
  <c r="AG219" i="12"/>
  <c r="AF219" i="12"/>
  <c r="AE219" i="12"/>
  <c r="AD219" i="12"/>
  <c r="AC219" i="12"/>
  <c r="AB219" i="12"/>
  <c r="AI218" i="12"/>
  <c r="AH218" i="12"/>
  <c r="AG218" i="12"/>
  <c r="AF218" i="12"/>
  <c r="AE218" i="12"/>
  <c r="AD218" i="12"/>
  <c r="AC218" i="12"/>
  <c r="AB218" i="12"/>
  <c r="AI217" i="12"/>
  <c r="AH217" i="12"/>
  <c r="AG217" i="12"/>
  <c r="AF217" i="12"/>
  <c r="AE217" i="12"/>
  <c r="AD217" i="12"/>
  <c r="AC217" i="12"/>
  <c r="AB217" i="12"/>
  <c r="AI216" i="12"/>
  <c r="AH216" i="12"/>
  <c r="AG216" i="12"/>
  <c r="AF216" i="12"/>
  <c r="AE216" i="12"/>
  <c r="AD216" i="12"/>
  <c r="AC216" i="12"/>
  <c r="AB216" i="12"/>
  <c r="AI215" i="12"/>
  <c r="AH215" i="12"/>
  <c r="AG215" i="12"/>
  <c r="AF215" i="12"/>
  <c r="AE215" i="12"/>
  <c r="AD215" i="12"/>
  <c r="AC215" i="12"/>
  <c r="AB215" i="12"/>
  <c r="AI214" i="12"/>
  <c r="AH214" i="12"/>
  <c r="AG214" i="12"/>
  <c r="AF214" i="12"/>
  <c r="AE214" i="12"/>
  <c r="AD214" i="12"/>
  <c r="AC214" i="12"/>
  <c r="AB214" i="12"/>
  <c r="AI213" i="12"/>
  <c r="AH213" i="12"/>
  <c r="AG213" i="12"/>
  <c r="AF213" i="12"/>
  <c r="AE213" i="12"/>
  <c r="AD213" i="12"/>
  <c r="AC213" i="12"/>
  <c r="AB213" i="12"/>
  <c r="AI212" i="12"/>
  <c r="AH212" i="12"/>
  <c r="AG212" i="12"/>
  <c r="AF212" i="12"/>
  <c r="AE212" i="12"/>
  <c r="AD212" i="12"/>
  <c r="AC212" i="12"/>
  <c r="AB212" i="12"/>
  <c r="AI211" i="12"/>
  <c r="AH211" i="12"/>
  <c r="AG211" i="12"/>
  <c r="AF211" i="12"/>
  <c r="AE211" i="12"/>
  <c r="AD211" i="12"/>
  <c r="AC211" i="12"/>
  <c r="AB211" i="12"/>
  <c r="AI210" i="12"/>
  <c r="AH210" i="12"/>
  <c r="AG210" i="12"/>
  <c r="AF210" i="12"/>
  <c r="AE210" i="12"/>
  <c r="AD210" i="12"/>
  <c r="AC210" i="12"/>
  <c r="AB210" i="12"/>
  <c r="AI209" i="12"/>
  <c r="AH209" i="12"/>
  <c r="AG209" i="12"/>
  <c r="AF209" i="12"/>
  <c r="AE209" i="12"/>
  <c r="AD209" i="12"/>
  <c r="AC209" i="12"/>
  <c r="AB209" i="12"/>
  <c r="AI208" i="12"/>
  <c r="AH208" i="12"/>
  <c r="AG208" i="12"/>
  <c r="AF208" i="12"/>
  <c r="AE208" i="12"/>
  <c r="AD208" i="12"/>
  <c r="AC208" i="12"/>
  <c r="AB208" i="12"/>
  <c r="AI207" i="12"/>
  <c r="AH207" i="12"/>
  <c r="AG207" i="12"/>
  <c r="AF207" i="12"/>
  <c r="AE207" i="12"/>
  <c r="AD207" i="12"/>
  <c r="AC207" i="12"/>
  <c r="AB207" i="12"/>
  <c r="AI206" i="12"/>
  <c r="AH206" i="12"/>
  <c r="AG206" i="12"/>
  <c r="AF206" i="12"/>
  <c r="AE206" i="12"/>
  <c r="AD206" i="12"/>
  <c r="AC206" i="12"/>
  <c r="AB206" i="12"/>
  <c r="AI205" i="12"/>
  <c r="AH205" i="12"/>
  <c r="AG205" i="12"/>
  <c r="AF205" i="12"/>
  <c r="AE205" i="12"/>
  <c r="AD205" i="12"/>
  <c r="AC205" i="12"/>
  <c r="AB205" i="12"/>
  <c r="AI204" i="12"/>
  <c r="AH204" i="12"/>
  <c r="AG204" i="12"/>
  <c r="AF204" i="12"/>
  <c r="AE204" i="12"/>
  <c r="AD204" i="12"/>
  <c r="AC204" i="12"/>
  <c r="AB204" i="12"/>
  <c r="AI203" i="12"/>
  <c r="AH203" i="12"/>
  <c r="AG203" i="12"/>
  <c r="AF203" i="12"/>
  <c r="AE203" i="12"/>
  <c r="AD203" i="12"/>
  <c r="AC203" i="12"/>
  <c r="AB203" i="12"/>
  <c r="AI202" i="12"/>
  <c r="AH202" i="12"/>
  <c r="AG202" i="12"/>
  <c r="AF202" i="12"/>
  <c r="AE202" i="12"/>
  <c r="AD202" i="12"/>
  <c r="AC202" i="12"/>
  <c r="AB202" i="12"/>
  <c r="AI201" i="12"/>
  <c r="AH201" i="12"/>
  <c r="AG201" i="12"/>
  <c r="AF201" i="12"/>
  <c r="AE201" i="12"/>
  <c r="AD201" i="12"/>
  <c r="AC201" i="12"/>
  <c r="AB201" i="12"/>
  <c r="AI200" i="12"/>
  <c r="AH200" i="12"/>
  <c r="AG200" i="12"/>
  <c r="AF200" i="12"/>
  <c r="AE200" i="12"/>
  <c r="AD200" i="12"/>
  <c r="AC200" i="12"/>
  <c r="AB200" i="12"/>
  <c r="AI199" i="12"/>
  <c r="AH199" i="12"/>
  <c r="AG199" i="12"/>
  <c r="AF199" i="12"/>
  <c r="AE199" i="12"/>
  <c r="AD199" i="12"/>
  <c r="AC199" i="12"/>
  <c r="AB199" i="12"/>
  <c r="AI198" i="12"/>
  <c r="AH198" i="12"/>
  <c r="AG198" i="12"/>
  <c r="AF198" i="12"/>
  <c r="AE198" i="12"/>
  <c r="AD198" i="12"/>
  <c r="AC198" i="12"/>
  <c r="AB198" i="12"/>
  <c r="AI197" i="12"/>
  <c r="AH197" i="12"/>
  <c r="AG197" i="12"/>
  <c r="AF197" i="12"/>
  <c r="AE197" i="12"/>
  <c r="AD197" i="12"/>
  <c r="AC197" i="12"/>
  <c r="AB197" i="12"/>
  <c r="AI196" i="12"/>
  <c r="AH196" i="12"/>
  <c r="AG196" i="12"/>
  <c r="AF196" i="12"/>
  <c r="AE196" i="12"/>
  <c r="AD196" i="12"/>
  <c r="AC196" i="12"/>
  <c r="AB196" i="12"/>
  <c r="AI195" i="12"/>
  <c r="AH195" i="12"/>
  <c r="AG195" i="12"/>
  <c r="AF195" i="12"/>
  <c r="AE195" i="12"/>
  <c r="AD195" i="12"/>
  <c r="AC195" i="12"/>
  <c r="AB195" i="12"/>
  <c r="AI194" i="12"/>
  <c r="AH194" i="12"/>
  <c r="AG194" i="12"/>
  <c r="AF194" i="12"/>
  <c r="AE194" i="12"/>
  <c r="AD194" i="12"/>
  <c r="AC194" i="12"/>
  <c r="AB194" i="12"/>
  <c r="AI193" i="12"/>
  <c r="AH193" i="12"/>
  <c r="AG193" i="12"/>
  <c r="AF193" i="12"/>
  <c r="AE193" i="12"/>
  <c r="AD193" i="12"/>
  <c r="AC193" i="12"/>
  <c r="AB193" i="12"/>
  <c r="AI192" i="12"/>
  <c r="AH192" i="12"/>
  <c r="AG192" i="12"/>
  <c r="AF192" i="12"/>
  <c r="AE192" i="12"/>
  <c r="AD192" i="12"/>
  <c r="AC192" i="12"/>
  <c r="AB192" i="12"/>
  <c r="AI191" i="12"/>
  <c r="AH191" i="12"/>
  <c r="AG191" i="12"/>
  <c r="AF191" i="12"/>
  <c r="AE191" i="12"/>
  <c r="AD191" i="12"/>
  <c r="AC191" i="12"/>
  <c r="AB191" i="12"/>
  <c r="AI190" i="12"/>
  <c r="AH190" i="12"/>
  <c r="AG190" i="12"/>
  <c r="AF190" i="12"/>
  <c r="AE190" i="12"/>
  <c r="AD190" i="12"/>
  <c r="AC190" i="12"/>
  <c r="AB190" i="12"/>
  <c r="AI189" i="12"/>
  <c r="AH189" i="12"/>
  <c r="AG189" i="12"/>
  <c r="AF189" i="12"/>
  <c r="AE189" i="12"/>
  <c r="AD189" i="12"/>
  <c r="AC189" i="12"/>
  <c r="AB189" i="12"/>
  <c r="AI188" i="12"/>
  <c r="AH188" i="12"/>
  <c r="AG188" i="12"/>
  <c r="AF188" i="12"/>
  <c r="AE188" i="12"/>
  <c r="AD188" i="12"/>
  <c r="AC188" i="12"/>
  <c r="AB188" i="12"/>
  <c r="AI187" i="12"/>
  <c r="AH187" i="12"/>
  <c r="AG187" i="12"/>
  <c r="AF187" i="12"/>
  <c r="AE187" i="12"/>
  <c r="AD187" i="12"/>
  <c r="AC187" i="12"/>
  <c r="AB187" i="12"/>
  <c r="AI186" i="12"/>
  <c r="AH186" i="12"/>
  <c r="AG186" i="12"/>
  <c r="AF186" i="12"/>
  <c r="AE186" i="12"/>
  <c r="AD186" i="12"/>
  <c r="AC186" i="12"/>
  <c r="AB186" i="12"/>
  <c r="AI185" i="12"/>
  <c r="AH185" i="12"/>
  <c r="AG185" i="12"/>
  <c r="AF185" i="12"/>
  <c r="AE185" i="12"/>
  <c r="AD185" i="12"/>
  <c r="AC185" i="12"/>
  <c r="AB185" i="12"/>
  <c r="AI184" i="12"/>
  <c r="AH184" i="12"/>
  <c r="AG184" i="12"/>
  <c r="AF184" i="12"/>
  <c r="AE184" i="12"/>
  <c r="AD184" i="12"/>
  <c r="AC184" i="12"/>
  <c r="AB184" i="12"/>
  <c r="AI183" i="12"/>
  <c r="AH183" i="12"/>
  <c r="AG183" i="12"/>
  <c r="AF183" i="12"/>
  <c r="AE183" i="12"/>
  <c r="AD183" i="12"/>
  <c r="AC183" i="12"/>
  <c r="AB183" i="12"/>
  <c r="AI182" i="12"/>
  <c r="AH182" i="12"/>
  <c r="AG182" i="12"/>
  <c r="AF182" i="12"/>
  <c r="AE182" i="12"/>
  <c r="AD182" i="12"/>
  <c r="AC182" i="12"/>
  <c r="AB182" i="12"/>
  <c r="AI181" i="12"/>
  <c r="AH181" i="12"/>
  <c r="AG181" i="12"/>
  <c r="AF181" i="12"/>
  <c r="AE181" i="12"/>
  <c r="AD181" i="12"/>
  <c r="AC181" i="12"/>
  <c r="AB181" i="12"/>
  <c r="AI180" i="12"/>
  <c r="AH180" i="12"/>
  <c r="AG180" i="12"/>
  <c r="AF180" i="12"/>
  <c r="AE180" i="12"/>
  <c r="AD180" i="12"/>
  <c r="AC180" i="12"/>
  <c r="AB180" i="12"/>
  <c r="AI179" i="12"/>
  <c r="AH179" i="12"/>
  <c r="AG179" i="12"/>
  <c r="AF179" i="12"/>
  <c r="AE179" i="12"/>
  <c r="AD179" i="12"/>
  <c r="AC179" i="12"/>
  <c r="AB179" i="12"/>
  <c r="AI178" i="12"/>
  <c r="AH178" i="12"/>
  <c r="AG178" i="12"/>
  <c r="AF178" i="12"/>
  <c r="AE178" i="12"/>
  <c r="AD178" i="12"/>
  <c r="AC178" i="12"/>
  <c r="AB178" i="12"/>
  <c r="AI177" i="12"/>
  <c r="AH177" i="12"/>
  <c r="AG177" i="12"/>
  <c r="AF177" i="12"/>
  <c r="AE177" i="12"/>
  <c r="AD177" i="12"/>
  <c r="AC177" i="12"/>
  <c r="AB177" i="12"/>
  <c r="AI176" i="12"/>
  <c r="AH176" i="12"/>
  <c r="AG176" i="12"/>
  <c r="AF176" i="12"/>
  <c r="AE176" i="12"/>
  <c r="AD176" i="12"/>
  <c r="AC176" i="12"/>
  <c r="AB176" i="12"/>
  <c r="AI175" i="12"/>
  <c r="AH175" i="12"/>
  <c r="AG175" i="12"/>
  <c r="AF175" i="12"/>
  <c r="AE175" i="12"/>
  <c r="AD175" i="12"/>
  <c r="AC175" i="12"/>
  <c r="AB175" i="12"/>
  <c r="AI174" i="12"/>
  <c r="AH174" i="12"/>
  <c r="AG174" i="12"/>
  <c r="AF174" i="12"/>
  <c r="AE174" i="12"/>
  <c r="AD174" i="12"/>
  <c r="AC174" i="12"/>
  <c r="AB174" i="12"/>
  <c r="AI173" i="12"/>
  <c r="AH173" i="12"/>
  <c r="AG173" i="12"/>
  <c r="AF173" i="12"/>
  <c r="AE173" i="12"/>
  <c r="AD173" i="12"/>
  <c r="AC173" i="12"/>
  <c r="AB173" i="12"/>
  <c r="AI172" i="12"/>
  <c r="AH172" i="12"/>
  <c r="AG172" i="12"/>
  <c r="AF172" i="12"/>
  <c r="AE172" i="12"/>
  <c r="AD172" i="12"/>
  <c r="AC172" i="12"/>
  <c r="AB172" i="12"/>
  <c r="AI171" i="12"/>
  <c r="AH171" i="12"/>
  <c r="AG171" i="12"/>
  <c r="AF171" i="12"/>
  <c r="AE171" i="12"/>
  <c r="AD171" i="12"/>
  <c r="AC171" i="12"/>
  <c r="AB171" i="12"/>
  <c r="AI170" i="12"/>
  <c r="AH170" i="12"/>
  <c r="AG170" i="12"/>
  <c r="AF170" i="12"/>
  <c r="AE170" i="12"/>
  <c r="AD170" i="12"/>
  <c r="AC170" i="12"/>
  <c r="AB170" i="12"/>
  <c r="AI169" i="12"/>
  <c r="AH169" i="12"/>
  <c r="AG169" i="12"/>
  <c r="AF169" i="12"/>
  <c r="AE169" i="12"/>
  <c r="AD169" i="12"/>
  <c r="AC169" i="12"/>
  <c r="AB169" i="12"/>
  <c r="AI168" i="12"/>
  <c r="AH168" i="12"/>
  <c r="AG168" i="12"/>
  <c r="AF168" i="12"/>
  <c r="AE168" i="12"/>
  <c r="AD168" i="12"/>
  <c r="AC168" i="12"/>
  <c r="AB168" i="12"/>
  <c r="AI167" i="12"/>
  <c r="AH167" i="12"/>
  <c r="AG167" i="12"/>
  <c r="AF167" i="12"/>
  <c r="AE167" i="12"/>
  <c r="AD167" i="12"/>
  <c r="AC167" i="12"/>
  <c r="AB167" i="12"/>
  <c r="AI166" i="12"/>
  <c r="AH166" i="12"/>
  <c r="AG166" i="12"/>
  <c r="AF166" i="12"/>
  <c r="AE166" i="12"/>
  <c r="AD166" i="12"/>
  <c r="AC166" i="12"/>
  <c r="AB166" i="12"/>
  <c r="AI165" i="12"/>
  <c r="AH165" i="12"/>
  <c r="AG165" i="12"/>
  <c r="AF165" i="12"/>
  <c r="AE165" i="12"/>
  <c r="AD165" i="12"/>
  <c r="AC165" i="12"/>
  <c r="AB165" i="12"/>
  <c r="AI164" i="12"/>
  <c r="AH164" i="12"/>
  <c r="AG164" i="12"/>
  <c r="AF164" i="12"/>
  <c r="AE164" i="12"/>
  <c r="AD164" i="12"/>
  <c r="AC164" i="12"/>
  <c r="AB164" i="12"/>
  <c r="AI163" i="12"/>
  <c r="AH163" i="12"/>
  <c r="AG163" i="12"/>
  <c r="AF163" i="12"/>
  <c r="AE163" i="12"/>
  <c r="AD163" i="12"/>
  <c r="AC163" i="12"/>
  <c r="AB163" i="12"/>
  <c r="AI162" i="12"/>
  <c r="AH162" i="12"/>
  <c r="AG162" i="12"/>
  <c r="AF162" i="12"/>
  <c r="AE162" i="12"/>
  <c r="AD162" i="12"/>
  <c r="AC162" i="12"/>
  <c r="AB162" i="12"/>
  <c r="AI161" i="12"/>
  <c r="AH161" i="12"/>
  <c r="AG161" i="12"/>
  <c r="AF161" i="12"/>
  <c r="AE161" i="12"/>
  <c r="AD161" i="12"/>
  <c r="AC161" i="12"/>
  <c r="AB161" i="12"/>
  <c r="AI160" i="12"/>
  <c r="AH160" i="12"/>
  <c r="AG160" i="12"/>
  <c r="AF160" i="12"/>
  <c r="AE160" i="12"/>
  <c r="AD160" i="12"/>
  <c r="AC160" i="12"/>
  <c r="AB160" i="12"/>
  <c r="AI159" i="12"/>
  <c r="AH159" i="12"/>
  <c r="AG159" i="12"/>
  <c r="AF159" i="12"/>
  <c r="AE159" i="12"/>
  <c r="AD159" i="12"/>
  <c r="AC159" i="12"/>
  <c r="AB159" i="12"/>
  <c r="AI158" i="12"/>
  <c r="AH158" i="12"/>
  <c r="AG158" i="12"/>
  <c r="AF158" i="12"/>
  <c r="AE158" i="12"/>
  <c r="AD158" i="12"/>
  <c r="AC158" i="12"/>
  <c r="AB158" i="12"/>
  <c r="AI157" i="12"/>
  <c r="AH157" i="12"/>
  <c r="AG157" i="12"/>
  <c r="AF157" i="12"/>
  <c r="AE157" i="12"/>
  <c r="AD157" i="12"/>
  <c r="AC157" i="12"/>
  <c r="AB157" i="12"/>
  <c r="AI156" i="12"/>
  <c r="AH156" i="12"/>
  <c r="AG156" i="12"/>
  <c r="AF156" i="12"/>
  <c r="AE156" i="12"/>
  <c r="AD156" i="12"/>
  <c r="AC156" i="12"/>
  <c r="AB156" i="12"/>
  <c r="AI155" i="12"/>
  <c r="AH155" i="12"/>
  <c r="AG155" i="12"/>
  <c r="AF155" i="12"/>
  <c r="AE155" i="12"/>
  <c r="AD155" i="12"/>
  <c r="AC155" i="12"/>
  <c r="AB155" i="12"/>
  <c r="AI154" i="12"/>
  <c r="AH154" i="12"/>
  <c r="AG154" i="12"/>
  <c r="AF154" i="12"/>
  <c r="AE154" i="12"/>
  <c r="AD154" i="12"/>
  <c r="AC154" i="12"/>
  <c r="AB154" i="12"/>
  <c r="AI153" i="12"/>
  <c r="AH153" i="12"/>
  <c r="AG153" i="12"/>
  <c r="AF153" i="12"/>
  <c r="AE153" i="12"/>
  <c r="AD153" i="12"/>
  <c r="AC153" i="12"/>
  <c r="AB153" i="12"/>
  <c r="AI152" i="12"/>
  <c r="AH152" i="12"/>
  <c r="AG152" i="12"/>
  <c r="AF152" i="12"/>
  <c r="AE152" i="12"/>
  <c r="AD152" i="12"/>
  <c r="AC152" i="12"/>
  <c r="AB152" i="12"/>
  <c r="AI151" i="12"/>
  <c r="AH151" i="12"/>
  <c r="AG151" i="12"/>
  <c r="AF151" i="12"/>
  <c r="AE151" i="12"/>
  <c r="AD151" i="12"/>
  <c r="AC151" i="12"/>
  <c r="AB151" i="12"/>
  <c r="AI150" i="12"/>
  <c r="AH150" i="12"/>
  <c r="AG150" i="12"/>
  <c r="AF150" i="12"/>
  <c r="AE150" i="12"/>
  <c r="AD150" i="12"/>
  <c r="AC150" i="12"/>
  <c r="AB150" i="12"/>
  <c r="AI149" i="12"/>
  <c r="AH149" i="12"/>
  <c r="AG149" i="12"/>
  <c r="AF149" i="12"/>
  <c r="AE149" i="12"/>
  <c r="AD149" i="12"/>
  <c r="AC149" i="12"/>
  <c r="AB149" i="12"/>
  <c r="AI148" i="12"/>
  <c r="AH148" i="12"/>
  <c r="AG148" i="12"/>
  <c r="AF148" i="12"/>
  <c r="AE148" i="12"/>
  <c r="AD148" i="12"/>
  <c r="AC148" i="12"/>
  <c r="AB148" i="12"/>
  <c r="AI147" i="12"/>
  <c r="AH147" i="12"/>
  <c r="AG147" i="12"/>
  <c r="AF147" i="12"/>
  <c r="AE147" i="12"/>
  <c r="AD147" i="12"/>
  <c r="AC147" i="12"/>
  <c r="AB147" i="12"/>
  <c r="AI146" i="12"/>
  <c r="AH146" i="12"/>
  <c r="AG146" i="12"/>
  <c r="AF146" i="12"/>
  <c r="AE146" i="12"/>
  <c r="AD146" i="12"/>
  <c r="AC146" i="12"/>
  <c r="AB146" i="12"/>
  <c r="AI145" i="12"/>
  <c r="AH145" i="12"/>
  <c r="AG145" i="12"/>
  <c r="AF145" i="12"/>
  <c r="AE145" i="12"/>
  <c r="AD145" i="12"/>
  <c r="AC145" i="12"/>
  <c r="AB145" i="12"/>
  <c r="AI144" i="12"/>
  <c r="AH144" i="12"/>
  <c r="AG144" i="12"/>
  <c r="AF144" i="12"/>
  <c r="AE144" i="12"/>
  <c r="AD144" i="12"/>
  <c r="AC144" i="12"/>
  <c r="AB144" i="12"/>
  <c r="AI143" i="12"/>
  <c r="AH143" i="12"/>
  <c r="AG143" i="12"/>
  <c r="AF143" i="12"/>
  <c r="AE143" i="12"/>
  <c r="AD143" i="12"/>
  <c r="AC143" i="12"/>
  <c r="AB143" i="12"/>
  <c r="AI142" i="12"/>
  <c r="AH142" i="12"/>
  <c r="AG142" i="12"/>
  <c r="AF142" i="12"/>
  <c r="AE142" i="12"/>
  <c r="AD142" i="12"/>
  <c r="AC142" i="12"/>
  <c r="AB142" i="12"/>
  <c r="AI141" i="12"/>
  <c r="AH141" i="12"/>
  <c r="AG141" i="12"/>
  <c r="AF141" i="12"/>
  <c r="AE141" i="12"/>
  <c r="AD141" i="12"/>
  <c r="AC141" i="12"/>
  <c r="AB141" i="12"/>
  <c r="AI140" i="12"/>
  <c r="AH140" i="12"/>
  <c r="AG140" i="12"/>
  <c r="AF140" i="12"/>
  <c r="AE140" i="12"/>
  <c r="AD140" i="12"/>
  <c r="AC140" i="12"/>
  <c r="AB140" i="12"/>
  <c r="AI139" i="12"/>
  <c r="AH139" i="12"/>
  <c r="AG139" i="12"/>
  <c r="AF139" i="12"/>
  <c r="AE139" i="12"/>
  <c r="AD139" i="12"/>
  <c r="AC139" i="12"/>
  <c r="AB139" i="12"/>
  <c r="AI138" i="12"/>
  <c r="AH138" i="12"/>
  <c r="AG138" i="12"/>
  <c r="AF138" i="12"/>
  <c r="AE138" i="12"/>
  <c r="AD138" i="12"/>
  <c r="AC138" i="12"/>
  <c r="AB138" i="12"/>
  <c r="AI137" i="12"/>
  <c r="AH137" i="12"/>
  <c r="AG137" i="12"/>
  <c r="AF137" i="12"/>
  <c r="AE137" i="12"/>
  <c r="AD137" i="12"/>
  <c r="AC137" i="12"/>
  <c r="AB137" i="12"/>
  <c r="AI136" i="12"/>
  <c r="AH136" i="12"/>
  <c r="AG136" i="12"/>
  <c r="AF136" i="12"/>
  <c r="AE136" i="12"/>
  <c r="AD136" i="12"/>
  <c r="AC136" i="12"/>
  <c r="AB136" i="12"/>
  <c r="AI135" i="12"/>
  <c r="AH135" i="12"/>
  <c r="AG135" i="12"/>
  <c r="AF135" i="12"/>
  <c r="AE135" i="12"/>
  <c r="AD135" i="12"/>
  <c r="AC135" i="12"/>
  <c r="AB135" i="12"/>
  <c r="AI134" i="12"/>
  <c r="AH134" i="12"/>
  <c r="AG134" i="12"/>
  <c r="AF134" i="12"/>
  <c r="AE134" i="12"/>
  <c r="AD134" i="12"/>
  <c r="AC134" i="12"/>
  <c r="AB134" i="12"/>
  <c r="AI133" i="12"/>
  <c r="AH133" i="12"/>
  <c r="AG133" i="12"/>
  <c r="AF133" i="12"/>
  <c r="AE133" i="12"/>
  <c r="AD133" i="12"/>
  <c r="AC133" i="12"/>
  <c r="AB133" i="12"/>
  <c r="AI132" i="12"/>
  <c r="AH132" i="12"/>
  <c r="AG132" i="12"/>
  <c r="AF132" i="12"/>
  <c r="AE132" i="12"/>
  <c r="AD132" i="12"/>
  <c r="AC132" i="12"/>
  <c r="AB132" i="12"/>
  <c r="AI131" i="12"/>
  <c r="AH131" i="12"/>
  <c r="AG131" i="12"/>
  <c r="AF131" i="12"/>
  <c r="AE131" i="12"/>
  <c r="AD131" i="12"/>
  <c r="AC131" i="12"/>
  <c r="AB131" i="12"/>
  <c r="AI130" i="12"/>
  <c r="AH130" i="12"/>
  <c r="AG130" i="12"/>
  <c r="AF130" i="12"/>
  <c r="AE130" i="12"/>
  <c r="AD130" i="12"/>
  <c r="AC130" i="12"/>
  <c r="AB130" i="12"/>
  <c r="AI129" i="12"/>
  <c r="AH129" i="12"/>
  <c r="AG129" i="12"/>
  <c r="AF129" i="12"/>
  <c r="AE129" i="12"/>
  <c r="AD129" i="12"/>
  <c r="AC129" i="12"/>
  <c r="AB129" i="12"/>
  <c r="AI128" i="12"/>
  <c r="AH128" i="12"/>
  <c r="AG128" i="12"/>
  <c r="AF128" i="12"/>
  <c r="AE128" i="12"/>
  <c r="AD128" i="12"/>
  <c r="AC128" i="12"/>
  <c r="AB128" i="12"/>
  <c r="AI127" i="12"/>
  <c r="AH127" i="12"/>
  <c r="AG127" i="12"/>
  <c r="AF127" i="12"/>
  <c r="AE127" i="12"/>
  <c r="AD127" i="12"/>
  <c r="AC127" i="12"/>
  <c r="AB127" i="12"/>
  <c r="AI126" i="12"/>
  <c r="AH126" i="12"/>
  <c r="AG126" i="12"/>
  <c r="AF126" i="12"/>
  <c r="AE126" i="12"/>
  <c r="AD126" i="12"/>
  <c r="AC126" i="12"/>
  <c r="AB126" i="12"/>
  <c r="AI125" i="12"/>
  <c r="AH125" i="12"/>
  <c r="AG125" i="12"/>
  <c r="AF125" i="12"/>
  <c r="AE125" i="12"/>
  <c r="AD125" i="12"/>
  <c r="AC125" i="12"/>
  <c r="AB125" i="12"/>
  <c r="AI124" i="12"/>
  <c r="AH124" i="12"/>
  <c r="AG124" i="12"/>
  <c r="AF124" i="12"/>
  <c r="AE124" i="12"/>
  <c r="AD124" i="12"/>
  <c r="AC124" i="12"/>
  <c r="AB124" i="12"/>
  <c r="AI123" i="12"/>
  <c r="AH123" i="12"/>
  <c r="AG123" i="12"/>
  <c r="AF123" i="12"/>
  <c r="AE123" i="12"/>
  <c r="AD123" i="12"/>
  <c r="AC123" i="12"/>
  <c r="AB123" i="12"/>
  <c r="AI122" i="12"/>
  <c r="AH122" i="12"/>
  <c r="AG122" i="12"/>
  <c r="AF122" i="12"/>
  <c r="AE122" i="12"/>
  <c r="AD122" i="12"/>
  <c r="AC122" i="12"/>
  <c r="AB122" i="12"/>
  <c r="AI121" i="12"/>
  <c r="AH121" i="12"/>
  <c r="AG121" i="12"/>
  <c r="AF121" i="12"/>
  <c r="AE121" i="12"/>
  <c r="AD121" i="12"/>
  <c r="AC121" i="12"/>
  <c r="AB121" i="12"/>
  <c r="AI120" i="12"/>
  <c r="AH120" i="12"/>
  <c r="AG120" i="12"/>
  <c r="AF120" i="12"/>
  <c r="AE120" i="12"/>
  <c r="AD120" i="12"/>
  <c r="AC120" i="12"/>
  <c r="AB120" i="12"/>
  <c r="AI119" i="12"/>
  <c r="AH119" i="12"/>
  <c r="AG119" i="12"/>
  <c r="AF119" i="12"/>
  <c r="AE119" i="12"/>
  <c r="AD119" i="12"/>
  <c r="AC119" i="12"/>
  <c r="AB119" i="12"/>
  <c r="AI118" i="12"/>
  <c r="AH118" i="12"/>
  <c r="AG118" i="12"/>
  <c r="AF118" i="12"/>
  <c r="AE118" i="12"/>
  <c r="AD118" i="12"/>
  <c r="AC118" i="12"/>
  <c r="AB118" i="12"/>
  <c r="AI117" i="12"/>
  <c r="AH117" i="12"/>
  <c r="AG117" i="12"/>
  <c r="AF117" i="12"/>
  <c r="AE117" i="12"/>
  <c r="AD117" i="12"/>
  <c r="AC117" i="12"/>
  <c r="AB117" i="12"/>
  <c r="AI116" i="12"/>
  <c r="AH116" i="12"/>
  <c r="AG116" i="12"/>
  <c r="AF116" i="12"/>
  <c r="AE116" i="12"/>
  <c r="AD116" i="12"/>
  <c r="AC116" i="12"/>
  <c r="AB116" i="12"/>
  <c r="AI115" i="12"/>
  <c r="AH115" i="12"/>
  <c r="AG115" i="12"/>
  <c r="AF115" i="12"/>
  <c r="AE115" i="12"/>
  <c r="AD115" i="12"/>
  <c r="AC115" i="12"/>
  <c r="AB115" i="12"/>
  <c r="AI114" i="12"/>
  <c r="AH114" i="12"/>
  <c r="AG114" i="12"/>
  <c r="AF114" i="12"/>
  <c r="AE114" i="12"/>
  <c r="AD114" i="12"/>
  <c r="AC114" i="12"/>
  <c r="AB114" i="12"/>
  <c r="AI113" i="12"/>
  <c r="AH113" i="12"/>
  <c r="AG113" i="12"/>
  <c r="AF113" i="12"/>
  <c r="AE113" i="12"/>
  <c r="AD113" i="12"/>
  <c r="AC113" i="12"/>
  <c r="AB113" i="12"/>
  <c r="AI112" i="12"/>
  <c r="AH112" i="12"/>
  <c r="AG112" i="12"/>
  <c r="AF112" i="12"/>
  <c r="AE112" i="12"/>
  <c r="AD112" i="12"/>
  <c r="AC112" i="12"/>
  <c r="AB112" i="12"/>
  <c r="AI111" i="12"/>
  <c r="AH111" i="12"/>
  <c r="AG111" i="12"/>
  <c r="AF111" i="12"/>
  <c r="AE111" i="12"/>
  <c r="AD111" i="12"/>
  <c r="AC111" i="12"/>
  <c r="AB111" i="12"/>
  <c r="AI110" i="12"/>
  <c r="AH110" i="12"/>
  <c r="AG110" i="12"/>
  <c r="AF110" i="12"/>
  <c r="AE110" i="12"/>
  <c r="AD110" i="12"/>
  <c r="AC110" i="12"/>
  <c r="AB110" i="12"/>
  <c r="AI109" i="12"/>
  <c r="AH109" i="12"/>
  <c r="AG109" i="12"/>
  <c r="AF109" i="12"/>
  <c r="AE109" i="12"/>
  <c r="AD109" i="12"/>
  <c r="AC109" i="12"/>
  <c r="AB109" i="12"/>
  <c r="AI108" i="12"/>
  <c r="AH108" i="12"/>
  <c r="AG108" i="12"/>
  <c r="AF108" i="12"/>
  <c r="AE108" i="12"/>
  <c r="AD108" i="12"/>
  <c r="AC108" i="12"/>
  <c r="AB108" i="12"/>
  <c r="AI107" i="12"/>
  <c r="AH107" i="12"/>
  <c r="AG107" i="12"/>
  <c r="AF107" i="12"/>
  <c r="AE107" i="12"/>
  <c r="AD107" i="12"/>
  <c r="AC107" i="12"/>
  <c r="AB107" i="12"/>
  <c r="AI106" i="12"/>
  <c r="AH106" i="12"/>
  <c r="AG106" i="12"/>
  <c r="AF106" i="12"/>
  <c r="AE106" i="12"/>
  <c r="AD106" i="12"/>
  <c r="AC106" i="12"/>
  <c r="AB106" i="12"/>
  <c r="AI105" i="12"/>
  <c r="AH105" i="12"/>
  <c r="AG105" i="12"/>
  <c r="AF105" i="12"/>
  <c r="AE105" i="12"/>
  <c r="AD105" i="12"/>
  <c r="AC105" i="12"/>
  <c r="AB105" i="12"/>
  <c r="AI104" i="12"/>
  <c r="AH104" i="12"/>
  <c r="AG104" i="12"/>
  <c r="AF104" i="12"/>
  <c r="AE104" i="12"/>
  <c r="AD104" i="12"/>
  <c r="AC104" i="12"/>
  <c r="AB104" i="12"/>
  <c r="AI103" i="12"/>
  <c r="AH103" i="12"/>
  <c r="AG103" i="12"/>
  <c r="AF103" i="12"/>
  <c r="AE103" i="12"/>
  <c r="AD103" i="12"/>
  <c r="AC103" i="12"/>
  <c r="AB103" i="12"/>
  <c r="AI102" i="12"/>
  <c r="AH102" i="12"/>
  <c r="AG102" i="12"/>
  <c r="AF102" i="12"/>
  <c r="AE102" i="12"/>
  <c r="AD102" i="12"/>
  <c r="AC102" i="12"/>
  <c r="AB102" i="12"/>
  <c r="AI101" i="12"/>
  <c r="AH101" i="12"/>
  <c r="AG101" i="12"/>
  <c r="AF101" i="12"/>
  <c r="AE101" i="12"/>
  <c r="AD101" i="12"/>
  <c r="AC101" i="12"/>
  <c r="AB101" i="12"/>
  <c r="AI100" i="12"/>
  <c r="AH100" i="12"/>
  <c r="AG100" i="12"/>
  <c r="AF100" i="12"/>
  <c r="AE100" i="12"/>
  <c r="AD100" i="12"/>
  <c r="AC100" i="12"/>
  <c r="AB100" i="12"/>
  <c r="AI99" i="12"/>
  <c r="AH99" i="12"/>
  <c r="AG99" i="12"/>
  <c r="AF99" i="12"/>
  <c r="AE99" i="12"/>
  <c r="AD99" i="12"/>
  <c r="AC99" i="12"/>
  <c r="AB99" i="12"/>
  <c r="AI98" i="12"/>
  <c r="AH98" i="12"/>
  <c r="AG98" i="12"/>
  <c r="AF98" i="12"/>
  <c r="AE98" i="12"/>
  <c r="AD98" i="12"/>
  <c r="AC98" i="12"/>
  <c r="AB98" i="12"/>
  <c r="AI97" i="12"/>
  <c r="AH97" i="12"/>
  <c r="AG97" i="12"/>
  <c r="AF97" i="12"/>
  <c r="AE97" i="12"/>
  <c r="AD97" i="12"/>
  <c r="AC97" i="12"/>
  <c r="AB97" i="12"/>
  <c r="AI96" i="12"/>
  <c r="AH96" i="12"/>
  <c r="AG96" i="12"/>
  <c r="AF96" i="12"/>
  <c r="AE96" i="12"/>
  <c r="AD96" i="12"/>
  <c r="AC96" i="12"/>
  <c r="AB96" i="12"/>
  <c r="AI95" i="12"/>
  <c r="AH95" i="12"/>
  <c r="AG95" i="12"/>
  <c r="AF95" i="12"/>
  <c r="AE95" i="12"/>
  <c r="AD95" i="12"/>
  <c r="AC95" i="12"/>
  <c r="AB95" i="12"/>
  <c r="AI94" i="12"/>
  <c r="AH94" i="12"/>
  <c r="AG94" i="12"/>
  <c r="AF94" i="12"/>
  <c r="AE94" i="12"/>
  <c r="AD94" i="12"/>
  <c r="AC94" i="12"/>
  <c r="AB94" i="12"/>
  <c r="AI93" i="12"/>
  <c r="AH93" i="12"/>
  <c r="AG93" i="12"/>
  <c r="AF93" i="12"/>
  <c r="AE93" i="12"/>
  <c r="AD93" i="12"/>
  <c r="AC93" i="12"/>
  <c r="AB93" i="12"/>
  <c r="AI92" i="12"/>
  <c r="AH92" i="12"/>
  <c r="AG92" i="12"/>
  <c r="AF92" i="12"/>
  <c r="AE92" i="12"/>
  <c r="AD92" i="12"/>
  <c r="AC92" i="12"/>
  <c r="AB92" i="12"/>
  <c r="AI91" i="12"/>
  <c r="AH91" i="12"/>
  <c r="AG91" i="12"/>
  <c r="AF91" i="12"/>
  <c r="AE91" i="12"/>
  <c r="AD91" i="12"/>
  <c r="AC91" i="12"/>
  <c r="AB91" i="12"/>
  <c r="AI90" i="12"/>
  <c r="AH90" i="12"/>
  <c r="AG90" i="12"/>
  <c r="AF90" i="12"/>
  <c r="AE90" i="12"/>
  <c r="AD90" i="12"/>
  <c r="AC90" i="12"/>
  <c r="AB90" i="12"/>
  <c r="AI89" i="12"/>
  <c r="AH89" i="12"/>
  <c r="AG89" i="12"/>
  <c r="AF89" i="12"/>
  <c r="AE89" i="12"/>
  <c r="AD89" i="12"/>
  <c r="AC89" i="12"/>
  <c r="AB89" i="12"/>
  <c r="AI88" i="12"/>
  <c r="AH88" i="12"/>
  <c r="AG88" i="12"/>
  <c r="AF88" i="12"/>
  <c r="AE88" i="12"/>
  <c r="AD88" i="12"/>
  <c r="AC88" i="12"/>
  <c r="AB88" i="12"/>
  <c r="AI87" i="12"/>
  <c r="AH87" i="12"/>
  <c r="AG87" i="12"/>
  <c r="AF87" i="12"/>
  <c r="AE87" i="12"/>
  <c r="AD87" i="12"/>
  <c r="AC87" i="12"/>
  <c r="AB87" i="12"/>
  <c r="AI86" i="12"/>
  <c r="AH86" i="12"/>
  <c r="AG86" i="12"/>
  <c r="AF86" i="12"/>
  <c r="AE86" i="12"/>
  <c r="AD86" i="12"/>
  <c r="AC86" i="12"/>
  <c r="AB86" i="12"/>
  <c r="AI85" i="12"/>
  <c r="AH85" i="12"/>
  <c r="AG85" i="12"/>
  <c r="AF85" i="12"/>
  <c r="AE85" i="12"/>
  <c r="AD85" i="12"/>
  <c r="AC85" i="12"/>
  <c r="AB85" i="12"/>
  <c r="AI84" i="12"/>
  <c r="AH84" i="12"/>
  <c r="AG84" i="12"/>
  <c r="AF84" i="12"/>
  <c r="AE84" i="12"/>
  <c r="AD84" i="12"/>
  <c r="AC84" i="12"/>
  <c r="AB84" i="12"/>
  <c r="AI83" i="12"/>
  <c r="AH83" i="12"/>
  <c r="AG83" i="12"/>
  <c r="AF83" i="12"/>
  <c r="AE83" i="12"/>
  <c r="AD83" i="12"/>
  <c r="AC83" i="12"/>
  <c r="AB83" i="12"/>
  <c r="AI82" i="12"/>
  <c r="AH82" i="12"/>
  <c r="AG82" i="12"/>
  <c r="AF82" i="12"/>
  <c r="AE82" i="12"/>
  <c r="AD82" i="12"/>
  <c r="AC82" i="12"/>
  <c r="AB82" i="12"/>
  <c r="AI81" i="12"/>
  <c r="AH81" i="12"/>
  <c r="AG81" i="12"/>
  <c r="AF81" i="12"/>
  <c r="AE81" i="12"/>
  <c r="AD81" i="12"/>
  <c r="AC81" i="12"/>
  <c r="AB81" i="12"/>
  <c r="AI80" i="12"/>
  <c r="AH80" i="12"/>
  <c r="AG80" i="12"/>
  <c r="AF80" i="12"/>
  <c r="AE80" i="12"/>
  <c r="AD80" i="12"/>
  <c r="AC80" i="12"/>
  <c r="AB80" i="12"/>
  <c r="AI79" i="12"/>
  <c r="AH79" i="12"/>
  <c r="AG79" i="12"/>
  <c r="AF79" i="12"/>
  <c r="AE79" i="12"/>
  <c r="AD79" i="12"/>
  <c r="AC79" i="12"/>
  <c r="AB79" i="12"/>
  <c r="AI78" i="12"/>
  <c r="AH78" i="12"/>
  <c r="AG78" i="12"/>
  <c r="AF78" i="12"/>
  <c r="AE78" i="12"/>
  <c r="AD78" i="12"/>
  <c r="AC78" i="12"/>
  <c r="AB78" i="12"/>
  <c r="AI77" i="12"/>
  <c r="AH77" i="12"/>
  <c r="AG77" i="12"/>
  <c r="AF77" i="12"/>
  <c r="AE77" i="12"/>
  <c r="AD77" i="12"/>
  <c r="AC77" i="12"/>
  <c r="AB77" i="12"/>
  <c r="AI76" i="12"/>
  <c r="AH76" i="12"/>
  <c r="AG76" i="12"/>
  <c r="AF76" i="12"/>
  <c r="AE76" i="12"/>
  <c r="AD76" i="12"/>
  <c r="AC76" i="12"/>
  <c r="AB76" i="12"/>
  <c r="AI75" i="12"/>
  <c r="AH75" i="12"/>
  <c r="AG75" i="12"/>
  <c r="AF75" i="12"/>
  <c r="AE75" i="12"/>
  <c r="AD75" i="12"/>
  <c r="AC75" i="12"/>
  <c r="AB75" i="12"/>
  <c r="AI74" i="12"/>
  <c r="AH74" i="12"/>
  <c r="AG74" i="12"/>
  <c r="AF74" i="12"/>
  <c r="AE74" i="12"/>
  <c r="AD74" i="12"/>
  <c r="AC74" i="12"/>
  <c r="AB74" i="12"/>
  <c r="AI73" i="12"/>
  <c r="AH73" i="12"/>
  <c r="AG73" i="12"/>
  <c r="AF73" i="12"/>
  <c r="AE73" i="12"/>
  <c r="AD73" i="12"/>
  <c r="AC73" i="12"/>
  <c r="AB73" i="12"/>
  <c r="AI72" i="12"/>
  <c r="AH72" i="12"/>
  <c r="AG72" i="12"/>
  <c r="AF72" i="12"/>
  <c r="AE72" i="12"/>
  <c r="AD72" i="12"/>
  <c r="AC72" i="12"/>
  <c r="AB72" i="12"/>
  <c r="AI71" i="12"/>
  <c r="AH71" i="12"/>
  <c r="AG71" i="12"/>
  <c r="AF71" i="12"/>
  <c r="AE71" i="12"/>
  <c r="AD71" i="12"/>
  <c r="AC71" i="12"/>
  <c r="AB71" i="12"/>
  <c r="AI70" i="12"/>
  <c r="AH70" i="12"/>
  <c r="AG70" i="12"/>
  <c r="AF70" i="12"/>
  <c r="AE70" i="12"/>
  <c r="AD70" i="12"/>
  <c r="AC70" i="12"/>
  <c r="AB70" i="12"/>
  <c r="AI69" i="12"/>
  <c r="AH69" i="12"/>
  <c r="AG69" i="12"/>
  <c r="AF69" i="12"/>
  <c r="AE69" i="12"/>
  <c r="AD69" i="12"/>
  <c r="AC69" i="12"/>
  <c r="AB69" i="12"/>
  <c r="AI68" i="12"/>
  <c r="AH68" i="12"/>
  <c r="AG68" i="12"/>
  <c r="AF68" i="12"/>
  <c r="AE68" i="12"/>
  <c r="AD68" i="12"/>
  <c r="AC68" i="12"/>
  <c r="AB68" i="12"/>
  <c r="AI67" i="12"/>
  <c r="AH67" i="12"/>
  <c r="AG67" i="12"/>
  <c r="AF67" i="12"/>
  <c r="AE67" i="12"/>
  <c r="AD67" i="12"/>
  <c r="AC67" i="12"/>
  <c r="AB67" i="12"/>
  <c r="AI66" i="12"/>
  <c r="AH66" i="12"/>
  <c r="AG66" i="12"/>
  <c r="AF66" i="12"/>
  <c r="AE66" i="12"/>
  <c r="AD66" i="12"/>
  <c r="AC66" i="12"/>
  <c r="AB66" i="12"/>
  <c r="AI65" i="12"/>
  <c r="AH65" i="12"/>
  <c r="AG65" i="12"/>
  <c r="AF65" i="12"/>
  <c r="AE65" i="12"/>
  <c r="AD65" i="12"/>
  <c r="AC65" i="12"/>
  <c r="AB65" i="12"/>
  <c r="AI64" i="12"/>
  <c r="AH64" i="12"/>
  <c r="AG64" i="12"/>
  <c r="AF64" i="12"/>
  <c r="AE64" i="12"/>
  <c r="AD64" i="12"/>
  <c r="AC64" i="12"/>
  <c r="AB64" i="12"/>
  <c r="AI63" i="12"/>
  <c r="AH63" i="12"/>
  <c r="AG63" i="12"/>
  <c r="AF63" i="12"/>
  <c r="AE63" i="12"/>
  <c r="AD63" i="12"/>
  <c r="AC63" i="12"/>
  <c r="AB63" i="12"/>
  <c r="AI62" i="12"/>
  <c r="AH62" i="12"/>
  <c r="AG62" i="12"/>
  <c r="AF62" i="12"/>
  <c r="AE62" i="12"/>
  <c r="AD62" i="12"/>
  <c r="AC62" i="12"/>
  <c r="AB62" i="12"/>
  <c r="AI61" i="12"/>
  <c r="AH61" i="12"/>
  <c r="AG61" i="12"/>
  <c r="AF61" i="12"/>
  <c r="AE61" i="12"/>
  <c r="AD61" i="12"/>
  <c r="AC61" i="12"/>
  <c r="AB61" i="12"/>
  <c r="AI60" i="12"/>
  <c r="AH60" i="12"/>
  <c r="AG60" i="12"/>
  <c r="AF60" i="12"/>
  <c r="AE60" i="12"/>
  <c r="AD60" i="12"/>
  <c r="AC60" i="12"/>
  <c r="AB60" i="12"/>
  <c r="AI59" i="12"/>
  <c r="AH59" i="12"/>
  <c r="AG59" i="12"/>
  <c r="AF59" i="12"/>
  <c r="AE59" i="12"/>
  <c r="AD59" i="12"/>
  <c r="AC59" i="12"/>
  <c r="AB59" i="12"/>
  <c r="AI58" i="12"/>
  <c r="AH58" i="12"/>
  <c r="AG58" i="12"/>
  <c r="AF58" i="12"/>
  <c r="AE58" i="12"/>
  <c r="AD58" i="12"/>
  <c r="AC58" i="12"/>
  <c r="AB58" i="12"/>
  <c r="AI57" i="12"/>
  <c r="AH57" i="12"/>
  <c r="AG57" i="12"/>
  <c r="AF57" i="12"/>
  <c r="AE57" i="12"/>
  <c r="AD57" i="12"/>
  <c r="AC57" i="12"/>
  <c r="AB57" i="12"/>
  <c r="AI56" i="12"/>
  <c r="AH56" i="12"/>
  <c r="AG56" i="12"/>
  <c r="AF56" i="12"/>
  <c r="AE56" i="12"/>
  <c r="AD56" i="12"/>
  <c r="AC56" i="12"/>
  <c r="AB56" i="12"/>
  <c r="AI55" i="12"/>
  <c r="AH55" i="12"/>
  <c r="AG55" i="12"/>
  <c r="AF55" i="12"/>
  <c r="AE55" i="12"/>
  <c r="AD55" i="12"/>
  <c r="AC55" i="12"/>
  <c r="AB55" i="12"/>
  <c r="AI54" i="12"/>
  <c r="AH54" i="12"/>
  <c r="AG54" i="12"/>
  <c r="AF54" i="12"/>
  <c r="AE54" i="12"/>
  <c r="AD54" i="12"/>
  <c r="AC54" i="12"/>
  <c r="AB54" i="12"/>
  <c r="AI53" i="12"/>
  <c r="AH53" i="12"/>
  <c r="AG53" i="12"/>
  <c r="AF53" i="12"/>
  <c r="AE53" i="12"/>
  <c r="AD53" i="12"/>
  <c r="AC53" i="12"/>
  <c r="AB53" i="12"/>
  <c r="AI52" i="12"/>
  <c r="AH52" i="12"/>
  <c r="AG52" i="12"/>
  <c r="AF52" i="12"/>
  <c r="AE52" i="12"/>
  <c r="AD52" i="12"/>
  <c r="AC52" i="12"/>
  <c r="AB52" i="12"/>
  <c r="AI51" i="12"/>
  <c r="AH51" i="12"/>
  <c r="AG51" i="12"/>
  <c r="AF51" i="12"/>
  <c r="AE51" i="12"/>
  <c r="AD51" i="12"/>
  <c r="AC51" i="12"/>
  <c r="AB51" i="12"/>
  <c r="AI50" i="12"/>
  <c r="AH50" i="12"/>
  <c r="AG50" i="12"/>
  <c r="AF50" i="12"/>
  <c r="AE50" i="12"/>
  <c r="AD50" i="12"/>
  <c r="AC50" i="12"/>
  <c r="AB50" i="12"/>
  <c r="AI49" i="12"/>
  <c r="AH49" i="12"/>
  <c r="AG49" i="12"/>
  <c r="AF49" i="12"/>
  <c r="AE49" i="12"/>
  <c r="AD49" i="12"/>
  <c r="AC49" i="12"/>
  <c r="AB49" i="12"/>
  <c r="AI48" i="12"/>
  <c r="AH48" i="12"/>
  <c r="AG48" i="12"/>
  <c r="AF48" i="12"/>
  <c r="AE48" i="12"/>
  <c r="AD48" i="12"/>
  <c r="AC48" i="12"/>
  <c r="AB48" i="12"/>
  <c r="AI47" i="12"/>
  <c r="AH47" i="12"/>
  <c r="AG47" i="12"/>
  <c r="AF47" i="12"/>
  <c r="AE47" i="12"/>
  <c r="AD47" i="12"/>
  <c r="AC47" i="12"/>
  <c r="AB47" i="12"/>
  <c r="AI46" i="12"/>
  <c r="AH46" i="12"/>
  <c r="AG46" i="12"/>
  <c r="AF46" i="12"/>
  <c r="AE46" i="12"/>
  <c r="AD46" i="12"/>
  <c r="AC46" i="12"/>
  <c r="AB46" i="12"/>
  <c r="AI45" i="12"/>
  <c r="AH45" i="12"/>
  <c r="AG45" i="12"/>
  <c r="AF45" i="12"/>
  <c r="AE45" i="12"/>
  <c r="AD45" i="12"/>
  <c r="AC45" i="12"/>
  <c r="AB45" i="12"/>
  <c r="AI44" i="12"/>
  <c r="AH44" i="12"/>
  <c r="AG44" i="12"/>
  <c r="AF44" i="12"/>
  <c r="AE44" i="12"/>
  <c r="AD44" i="12"/>
  <c r="AC44" i="12"/>
  <c r="AB44" i="12"/>
  <c r="AI43" i="12"/>
  <c r="AH43" i="12"/>
  <c r="AG43" i="12"/>
  <c r="AF43" i="12"/>
  <c r="AE43" i="12"/>
  <c r="AD43" i="12"/>
  <c r="AC43" i="12"/>
  <c r="AB43" i="12"/>
  <c r="AI42" i="12"/>
  <c r="AH42" i="12"/>
  <c r="AG42" i="12"/>
  <c r="AF42" i="12"/>
  <c r="AE42" i="12"/>
  <c r="AD42" i="12"/>
  <c r="AC42" i="12"/>
  <c r="AB42" i="12"/>
  <c r="AI41" i="12"/>
  <c r="AH41" i="12"/>
  <c r="AG41" i="12"/>
  <c r="AF41" i="12"/>
  <c r="AE41" i="12"/>
  <c r="AD41" i="12"/>
  <c r="AC41" i="12"/>
  <c r="AB41" i="12"/>
  <c r="AI40" i="12"/>
  <c r="AH40" i="12"/>
  <c r="AG40" i="12"/>
  <c r="AF40" i="12"/>
  <c r="AE40" i="12"/>
  <c r="AD40" i="12"/>
  <c r="AC40" i="12"/>
  <c r="AB40" i="12"/>
  <c r="AI39" i="12"/>
  <c r="AH39" i="12"/>
  <c r="AG39" i="12"/>
  <c r="AF39" i="12"/>
  <c r="AE39" i="12"/>
  <c r="AD39" i="12"/>
  <c r="AC39" i="12"/>
  <c r="AB39" i="12"/>
  <c r="AI38" i="12"/>
  <c r="AH38" i="12"/>
  <c r="AG38" i="12"/>
  <c r="AF38" i="12"/>
  <c r="AE38" i="12"/>
  <c r="AD38" i="12"/>
  <c r="AC38" i="12"/>
  <c r="AB38" i="12"/>
  <c r="AI37" i="12"/>
  <c r="AH37" i="12"/>
  <c r="AG37" i="12"/>
  <c r="AF37" i="12"/>
  <c r="AE37" i="12"/>
  <c r="AD37" i="12"/>
  <c r="AC37" i="12"/>
  <c r="AB37" i="12"/>
  <c r="AI36" i="12"/>
  <c r="AH36" i="12"/>
  <c r="AG36" i="12"/>
  <c r="AF36" i="12"/>
  <c r="AE36" i="12"/>
  <c r="AD36" i="12"/>
  <c r="AC36" i="12"/>
  <c r="AB36" i="12"/>
  <c r="AI35" i="12"/>
  <c r="AH35" i="12"/>
  <c r="AG35" i="12"/>
  <c r="AF35" i="12"/>
  <c r="AE35" i="12"/>
  <c r="AD35" i="12"/>
  <c r="AC35" i="12"/>
  <c r="AB35" i="12"/>
  <c r="AI34" i="12"/>
  <c r="AH34" i="12"/>
  <c r="AG34" i="12"/>
  <c r="AF34" i="12"/>
  <c r="AE34" i="12"/>
  <c r="AD34" i="12"/>
  <c r="AC34" i="12"/>
  <c r="AB34" i="12"/>
  <c r="AI33" i="12"/>
  <c r="AH33" i="12"/>
  <c r="AG33" i="12"/>
  <c r="AF33" i="12"/>
  <c r="AE33" i="12"/>
  <c r="AD33" i="12"/>
  <c r="AC33" i="12"/>
  <c r="AB33" i="12"/>
  <c r="AI32" i="12"/>
  <c r="AH32" i="12"/>
  <c r="AG32" i="12"/>
  <c r="AF32" i="12"/>
  <c r="AE32" i="12"/>
  <c r="AD32" i="12"/>
  <c r="AC32" i="12"/>
  <c r="AB32" i="12"/>
  <c r="AI31" i="12"/>
  <c r="AH31" i="12"/>
  <c r="AG31" i="12"/>
  <c r="AF31" i="12"/>
  <c r="AE31" i="12"/>
  <c r="AD31" i="12"/>
  <c r="AC31" i="12"/>
  <c r="AB31" i="12"/>
  <c r="AI30" i="12"/>
  <c r="AH30" i="12"/>
  <c r="AG30" i="12"/>
  <c r="AF30" i="12"/>
  <c r="AE30" i="12"/>
  <c r="AD30" i="12"/>
  <c r="AC30" i="12"/>
  <c r="AB30" i="12"/>
  <c r="AI29" i="12"/>
  <c r="AH29" i="12"/>
  <c r="AG29" i="12"/>
  <c r="AF29" i="12"/>
  <c r="AE29" i="12"/>
  <c r="AD29" i="12"/>
  <c r="AC29" i="12"/>
  <c r="AB29" i="12"/>
  <c r="AI28" i="12"/>
  <c r="AH28" i="12"/>
  <c r="AG28" i="12"/>
  <c r="AF28" i="12"/>
  <c r="AE28" i="12"/>
  <c r="AD28" i="12"/>
  <c r="AC28" i="12"/>
  <c r="AB28" i="12"/>
  <c r="AI27" i="12"/>
  <c r="AH27" i="12"/>
  <c r="AG27" i="12"/>
  <c r="AF27" i="12"/>
  <c r="AE27" i="12"/>
  <c r="AD27" i="12"/>
  <c r="AC27" i="12"/>
  <c r="AB27" i="12"/>
  <c r="AI26" i="12"/>
  <c r="AH26" i="12"/>
  <c r="AG26" i="12"/>
  <c r="AF26" i="12"/>
  <c r="AE26" i="12"/>
  <c r="AD26" i="12"/>
  <c r="AC26" i="12"/>
  <c r="AB26" i="12"/>
  <c r="AI25" i="12"/>
  <c r="AH25" i="12"/>
  <c r="AG25" i="12"/>
  <c r="AF25" i="12"/>
  <c r="AE25" i="12"/>
  <c r="AD25" i="12"/>
  <c r="AC25" i="12"/>
  <c r="AB25" i="12"/>
  <c r="AI24" i="12"/>
  <c r="AH24" i="12"/>
  <c r="AG24" i="12"/>
  <c r="AF24" i="12"/>
  <c r="AE24" i="12"/>
  <c r="AD24" i="12"/>
  <c r="AC24" i="12"/>
  <c r="AB24" i="12"/>
  <c r="AI23" i="12"/>
  <c r="AH23" i="12"/>
  <c r="AG23" i="12"/>
  <c r="AF23" i="12"/>
  <c r="AE23" i="12"/>
  <c r="AD23" i="12"/>
  <c r="AC23" i="12"/>
  <c r="AB23" i="12"/>
  <c r="AI22" i="12"/>
  <c r="AH22" i="12"/>
  <c r="AG22" i="12"/>
  <c r="AF22" i="12"/>
  <c r="AE22" i="12"/>
  <c r="AD22" i="12"/>
  <c r="AC22" i="12"/>
  <c r="AB22" i="12"/>
  <c r="AI21" i="12"/>
  <c r="AH21" i="12"/>
  <c r="AG21" i="12"/>
  <c r="AF21" i="12"/>
  <c r="AE21" i="12"/>
  <c r="AD21" i="12"/>
  <c r="AC21" i="12"/>
  <c r="AB21" i="12"/>
  <c r="AI20" i="12"/>
  <c r="AH20" i="12"/>
  <c r="AG20" i="12"/>
  <c r="AF20" i="12"/>
  <c r="AE20" i="12"/>
  <c r="AD20" i="12"/>
  <c r="AC20" i="12"/>
  <c r="AB20" i="12"/>
  <c r="AI19" i="12"/>
  <c r="AH19" i="12"/>
  <c r="AG19" i="12"/>
  <c r="AF19" i="12"/>
  <c r="AE19" i="12"/>
  <c r="AD19" i="12"/>
  <c r="AC19" i="12"/>
  <c r="AB19" i="12"/>
  <c r="AI18" i="12"/>
  <c r="AH18" i="12"/>
  <c r="AG18" i="12"/>
  <c r="AF18" i="12"/>
  <c r="AE18" i="12"/>
  <c r="AD18" i="12"/>
  <c r="AC18" i="12"/>
  <c r="AB18" i="12"/>
  <c r="AI17" i="12"/>
  <c r="AH17" i="12"/>
  <c r="AG17" i="12"/>
  <c r="AF17" i="12"/>
  <c r="AE17" i="12"/>
  <c r="AD17" i="12"/>
  <c r="AC17" i="12"/>
  <c r="AB17" i="12"/>
  <c r="AI16" i="12"/>
  <c r="AH16" i="12"/>
  <c r="AG16" i="12"/>
  <c r="AF16" i="12"/>
  <c r="AE16" i="12"/>
  <c r="AD16" i="12"/>
  <c r="AC16" i="12"/>
  <c r="AB16" i="12"/>
  <c r="AI15" i="12"/>
  <c r="AH15" i="12"/>
  <c r="AG15" i="12"/>
  <c r="AF15" i="12"/>
  <c r="AE15" i="12"/>
  <c r="AD15" i="12"/>
  <c r="AC15" i="12"/>
  <c r="AB15" i="12"/>
  <c r="AI14" i="12"/>
  <c r="AH14" i="12"/>
  <c r="AG14" i="12"/>
  <c r="AF14" i="12"/>
  <c r="AE14" i="12"/>
  <c r="AD14" i="12"/>
  <c r="AC14" i="12"/>
  <c r="AB14" i="12"/>
  <c r="AI13" i="12"/>
  <c r="AH13" i="12"/>
  <c r="AG13" i="12"/>
  <c r="AF13" i="12"/>
  <c r="AE13" i="12"/>
  <c r="AD13" i="12"/>
  <c r="AC13" i="12"/>
  <c r="AB13" i="12"/>
  <c r="AI12" i="12"/>
  <c r="AH12" i="12"/>
  <c r="AG12" i="12"/>
  <c r="AF12" i="12"/>
  <c r="AE12" i="12"/>
  <c r="AD12" i="12"/>
  <c r="AC12" i="12"/>
  <c r="AB12" i="12"/>
  <c r="AI11" i="12"/>
  <c r="AH11" i="12"/>
  <c r="AG11" i="12"/>
  <c r="AF11" i="12"/>
  <c r="AE11" i="12"/>
  <c r="AD11" i="12"/>
  <c r="AC11" i="12"/>
  <c r="AB11" i="12"/>
  <c r="AI10" i="12"/>
  <c r="AH10" i="12"/>
  <c r="AG10" i="12"/>
  <c r="AF10" i="12"/>
  <c r="AE10" i="12"/>
  <c r="AD10" i="12"/>
  <c r="AC10" i="12"/>
  <c r="AB10" i="12"/>
  <c r="AI9" i="12"/>
  <c r="AH9" i="12"/>
  <c r="AG9" i="12"/>
  <c r="AF9" i="12"/>
  <c r="AE9" i="12"/>
  <c r="AD9" i="12"/>
  <c r="AC9" i="12"/>
  <c r="AB9" i="12"/>
  <c r="AI8" i="12"/>
  <c r="AH8" i="12"/>
  <c r="AG8" i="12"/>
  <c r="AF8" i="12"/>
  <c r="AE8" i="12"/>
  <c r="AD8" i="12"/>
  <c r="AC8" i="12"/>
  <c r="AB8" i="12"/>
  <c r="AI7" i="12"/>
  <c r="AH7" i="12"/>
  <c r="AG7" i="12"/>
  <c r="AF7" i="12"/>
  <c r="AE7" i="12"/>
  <c r="AD7" i="12"/>
  <c r="AC7" i="12"/>
  <c r="AB7" i="12"/>
  <c r="AI6" i="12"/>
  <c r="AH6" i="12"/>
  <c r="AG6" i="12"/>
  <c r="AF6" i="12"/>
  <c r="AE6" i="12"/>
  <c r="AD6" i="12"/>
  <c r="AC6" i="12"/>
  <c r="AB6" i="12"/>
  <c r="A6" i="12"/>
  <c r="A9" i="12" s="1"/>
  <c r="A12" i="12" s="1"/>
  <c r="A15" i="12" s="1"/>
  <c r="A18" i="12" s="1"/>
  <c r="A21" i="12" s="1"/>
  <c r="A24" i="12" s="1"/>
  <c r="A27" i="12" s="1"/>
  <c r="A30" i="12" s="1"/>
  <c r="A33" i="12" s="1"/>
  <c r="A36" i="12" s="1"/>
  <c r="A39" i="12" s="1"/>
  <c r="A42" i="12" s="1"/>
  <c r="A45" i="12" s="1"/>
  <c r="A48" i="12" s="1"/>
  <c r="A51" i="12" s="1"/>
  <c r="A54" i="12" s="1"/>
  <c r="A57" i="12" s="1"/>
  <c r="A60" i="12" s="1"/>
  <c r="A63" i="12" s="1"/>
  <c r="A66" i="12" s="1"/>
  <c r="A69" i="12" s="1"/>
  <c r="A72" i="12" s="1"/>
  <c r="A75" i="12" s="1"/>
  <c r="A78" i="12" s="1"/>
  <c r="A81" i="12" s="1"/>
  <c r="A84" i="12" s="1"/>
  <c r="AI5" i="12"/>
  <c r="AH5" i="12"/>
  <c r="AG5" i="12"/>
  <c r="AF5" i="12"/>
  <c r="AE5" i="12"/>
  <c r="AD5" i="12"/>
  <c r="AC5" i="12"/>
  <c r="AB5" i="12"/>
  <c r="AI4" i="12"/>
  <c r="AH4" i="12"/>
  <c r="AG4" i="12"/>
  <c r="AF4" i="12"/>
  <c r="AE4" i="12"/>
  <c r="AD4" i="12"/>
  <c r="AC4" i="12"/>
  <c r="AB4" i="12"/>
  <c r="AI3" i="12"/>
  <c r="AH3" i="12"/>
  <c r="AG3" i="12"/>
  <c r="AF3" i="12"/>
  <c r="AE3" i="12"/>
  <c r="AD3" i="12"/>
  <c r="AC3" i="12"/>
  <c r="AB3" i="12"/>
  <c r="G1000" i="11"/>
  <c r="G999" i="11"/>
  <c r="G998" i="11"/>
  <c r="G997" i="11"/>
  <c r="G996" i="11"/>
  <c r="G995" i="11"/>
  <c r="G994" i="11"/>
  <c r="G993" i="11"/>
  <c r="G992" i="11"/>
  <c r="G991" i="11"/>
  <c r="G990" i="11"/>
  <c r="G989" i="11"/>
  <c r="G988" i="11"/>
  <c r="G987" i="11"/>
  <c r="G986" i="11"/>
  <c r="G985" i="11"/>
  <c r="G984" i="11"/>
  <c r="G983" i="11"/>
  <c r="G982" i="11"/>
  <c r="G981" i="11"/>
  <c r="G980" i="11"/>
  <c r="G979" i="11"/>
  <c r="G978" i="11"/>
  <c r="G977" i="11"/>
  <c r="G976" i="11"/>
  <c r="G975" i="11"/>
  <c r="G974" i="11"/>
  <c r="G973" i="11"/>
  <c r="G972" i="11"/>
  <c r="G971" i="11"/>
  <c r="G970" i="11"/>
  <c r="G969" i="11"/>
  <c r="G968" i="11"/>
  <c r="G967" i="11"/>
  <c r="G966" i="11"/>
  <c r="G965" i="11"/>
  <c r="G964" i="11"/>
  <c r="G963" i="11"/>
  <c r="G962" i="11"/>
  <c r="G961" i="11"/>
  <c r="G960" i="11"/>
  <c r="G959" i="11"/>
  <c r="G958" i="11"/>
  <c r="G957" i="11"/>
  <c r="G956" i="11"/>
  <c r="G955" i="11"/>
  <c r="G954" i="11"/>
  <c r="G953" i="11"/>
  <c r="G952" i="11"/>
  <c r="G951" i="11"/>
  <c r="G950" i="11"/>
  <c r="G949" i="11"/>
  <c r="G948" i="11"/>
  <c r="G947" i="11"/>
  <c r="G946" i="11"/>
  <c r="G945" i="11"/>
  <c r="G944" i="11"/>
  <c r="G943" i="11"/>
  <c r="G942" i="11"/>
  <c r="G941" i="11"/>
  <c r="G940" i="11"/>
  <c r="G939" i="11"/>
  <c r="G938" i="11"/>
  <c r="G937" i="11"/>
  <c r="G936" i="11"/>
  <c r="G935" i="11"/>
  <c r="G934" i="11"/>
  <c r="G933" i="11"/>
  <c r="G932" i="11"/>
  <c r="G931" i="11"/>
  <c r="G930" i="11"/>
  <c r="G929" i="11"/>
  <c r="G928" i="11"/>
  <c r="G927" i="11"/>
  <c r="G926" i="11"/>
  <c r="G925" i="11"/>
  <c r="G924" i="11"/>
  <c r="G923" i="11"/>
  <c r="G922" i="11"/>
  <c r="G921" i="11"/>
  <c r="G920" i="11"/>
  <c r="G919" i="11"/>
  <c r="G918" i="11"/>
  <c r="G917" i="11"/>
  <c r="G916" i="11"/>
  <c r="G915" i="11"/>
  <c r="G914" i="11"/>
  <c r="G913" i="11"/>
  <c r="G912" i="11"/>
  <c r="G911" i="11"/>
  <c r="G910" i="11"/>
  <c r="G909" i="11"/>
  <c r="G908" i="11"/>
  <c r="G907" i="11"/>
  <c r="G906" i="11"/>
  <c r="G905" i="11"/>
  <c r="G904" i="11"/>
  <c r="G903" i="11"/>
  <c r="G902" i="11"/>
  <c r="G901" i="11"/>
  <c r="G900" i="11"/>
  <c r="G899" i="11"/>
  <c r="G898" i="11"/>
  <c r="G897" i="11"/>
  <c r="G896" i="11"/>
  <c r="G895" i="11"/>
  <c r="G894" i="11"/>
  <c r="G893" i="11"/>
  <c r="G892" i="11"/>
  <c r="G891" i="11"/>
  <c r="G890" i="11"/>
  <c r="G889" i="11"/>
  <c r="G888" i="11"/>
  <c r="G887" i="11"/>
  <c r="G886" i="11"/>
  <c r="G885" i="11"/>
  <c r="G884" i="11"/>
  <c r="G883" i="11"/>
  <c r="G882" i="11"/>
  <c r="G881" i="11"/>
  <c r="G880" i="11"/>
  <c r="G879" i="11"/>
  <c r="G878" i="11"/>
  <c r="G877" i="11"/>
  <c r="G876" i="11"/>
  <c r="G875" i="11"/>
  <c r="G874" i="11"/>
  <c r="G873" i="11"/>
  <c r="G872" i="11"/>
  <c r="G871" i="11"/>
  <c r="G870" i="11"/>
  <c r="G869" i="11"/>
  <c r="G868" i="11"/>
  <c r="G867" i="11"/>
  <c r="G866" i="11"/>
  <c r="G865" i="11"/>
  <c r="G864" i="11"/>
  <c r="G863" i="11"/>
  <c r="G862" i="11"/>
  <c r="G861" i="11"/>
  <c r="G860" i="11"/>
  <c r="G859" i="11"/>
  <c r="G858" i="11"/>
  <c r="G857" i="11"/>
  <c r="G856" i="11"/>
  <c r="G855" i="11"/>
  <c r="G854" i="11"/>
  <c r="G853" i="11"/>
  <c r="G852" i="11"/>
  <c r="G851" i="11"/>
  <c r="G850" i="11"/>
  <c r="G849" i="11"/>
  <c r="G848" i="11"/>
  <c r="G847" i="11"/>
  <c r="G846" i="11"/>
  <c r="G845" i="11"/>
  <c r="G844" i="11"/>
  <c r="G843" i="11"/>
  <c r="G842" i="11"/>
  <c r="G841" i="11"/>
  <c r="G840" i="11"/>
  <c r="G839" i="11"/>
  <c r="G838" i="11"/>
  <c r="G837" i="11"/>
  <c r="G836" i="11"/>
  <c r="G835" i="11"/>
  <c r="G834" i="11"/>
  <c r="G833" i="11"/>
  <c r="G832" i="11"/>
  <c r="G831" i="11"/>
  <c r="G830" i="11"/>
  <c r="G829" i="11"/>
  <c r="G828" i="11"/>
  <c r="G827" i="11"/>
  <c r="G826" i="11"/>
  <c r="G825" i="11"/>
  <c r="G824" i="11"/>
  <c r="G823" i="11"/>
  <c r="G822" i="11"/>
  <c r="G821" i="11"/>
  <c r="G820" i="11"/>
  <c r="G819" i="11"/>
  <c r="G818" i="11"/>
  <c r="G817" i="11"/>
  <c r="G816" i="11"/>
  <c r="G815" i="11"/>
  <c r="G814" i="11"/>
  <c r="G813" i="11"/>
  <c r="G812" i="11"/>
  <c r="G811" i="11"/>
  <c r="G810" i="11"/>
  <c r="G809" i="11"/>
  <c r="G808" i="11"/>
  <c r="G807" i="11"/>
  <c r="G806" i="11"/>
  <c r="G805" i="11"/>
  <c r="G804" i="11"/>
  <c r="G803" i="11"/>
  <c r="G802" i="11"/>
  <c r="G801" i="11"/>
  <c r="G800" i="11"/>
  <c r="G799" i="11"/>
  <c r="G798" i="11"/>
  <c r="G797" i="11"/>
  <c r="G796" i="11"/>
  <c r="G795" i="11"/>
  <c r="G794" i="11"/>
  <c r="G793" i="11"/>
  <c r="G792" i="11"/>
  <c r="G791" i="11"/>
  <c r="G790" i="11"/>
  <c r="G789" i="11"/>
  <c r="G788" i="11"/>
  <c r="G787" i="11"/>
  <c r="G786" i="11"/>
  <c r="G785" i="11"/>
  <c r="G784" i="11"/>
  <c r="G783" i="11"/>
  <c r="G782" i="11"/>
  <c r="G781" i="11"/>
  <c r="G780" i="11"/>
  <c r="G779" i="11"/>
  <c r="G778" i="11"/>
  <c r="G777" i="11"/>
  <c r="G776" i="11"/>
  <c r="G775" i="11"/>
  <c r="G774" i="11"/>
  <c r="G773" i="11"/>
  <c r="G772" i="11"/>
  <c r="G771" i="11"/>
  <c r="G770" i="11"/>
  <c r="G769" i="11"/>
  <c r="G768" i="11"/>
  <c r="G767" i="11"/>
  <c r="G766" i="11"/>
  <c r="G765" i="11"/>
  <c r="G764" i="11"/>
  <c r="G763" i="11"/>
  <c r="G762" i="11"/>
  <c r="G761" i="11"/>
  <c r="G760" i="11"/>
  <c r="G759" i="11"/>
  <c r="G758" i="11"/>
  <c r="G757" i="11"/>
  <c r="G756" i="11"/>
  <c r="G755" i="11"/>
  <c r="G754" i="11"/>
  <c r="G753" i="11"/>
  <c r="G752" i="11"/>
  <c r="G751" i="11"/>
  <c r="G750" i="11"/>
  <c r="G749" i="11"/>
  <c r="G748" i="11"/>
  <c r="G747" i="11"/>
  <c r="G746" i="11"/>
  <c r="G745" i="11"/>
  <c r="G744" i="11"/>
  <c r="G743" i="11"/>
  <c r="G742" i="11"/>
  <c r="G741" i="11"/>
  <c r="G740" i="11"/>
  <c r="G739" i="11"/>
  <c r="G738" i="11"/>
  <c r="G737" i="11"/>
  <c r="G736" i="11"/>
  <c r="G735" i="11"/>
  <c r="G734" i="11"/>
  <c r="G733" i="11"/>
  <c r="G732" i="11"/>
  <c r="G731" i="11"/>
  <c r="G730" i="11"/>
  <c r="G729" i="11"/>
  <c r="G728" i="11"/>
  <c r="G727" i="11"/>
  <c r="G726" i="11"/>
  <c r="G725" i="11"/>
  <c r="G724" i="11"/>
  <c r="G723" i="11"/>
  <c r="G722" i="11"/>
  <c r="G721" i="11"/>
  <c r="G720" i="11"/>
  <c r="G719" i="11"/>
  <c r="G718" i="11"/>
  <c r="G717" i="11"/>
  <c r="G716" i="11"/>
  <c r="G715" i="11"/>
  <c r="G714" i="11"/>
  <c r="G713" i="11"/>
  <c r="G712" i="11"/>
  <c r="G711" i="11"/>
  <c r="G710" i="11"/>
  <c r="G709" i="11"/>
  <c r="G708" i="11"/>
  <c r="G707" i="11"/>
  <c r="G706" i="11"/>
  <c r="G705" i="11"/>
  <c r="G704" i="11"/>
  <c r="G703" i="11"/>
  <c r="G702" i="11"/>
  <c r="G701" i="11"/>
  <c r="G700" i="11"/>
  <c r="G699" i="11"/>
  <c r="G698" i="11"/>
  <c r="G697" i="11"/>
  <c r="G696" i="11"/>
  <c r="G695" i="11"/>
  <c r="G694" i="11"/>
  <c r="G693" i="11"/>
  <c r="G692" i="11"/>
  <c r="G691" i="11"/>
  <c r="G690" i="11"/>
  <c r="G689" i="11"/>
  <c r="G688" i="11"/>
  <c r="G687" i="11"/>
  <c r="G686" i="11"/>
  <c r="G685" i="11"/>
  <c r="G684" i="11"/>
  <c r="G683" i="11"/>
  <c r="G682" i="11"/>
  <c r="G681" i="11"/>
  <c r="G680" i="11"/>
  <c r="G679" i="11"/>
  <c r="G678" i="11"/>
  <c r="G677" i="11"/>
  <c r="G676" i="11"/>
  <c r="G675" i="11"/>
  <c r="G674" i="11"/>
  <c r="G673" i="11"/>
  <c r="G672" i="11"/>
  <c r="G671" i="11"/>
  <c r="G670" i="11"/>
  <c r="G669" i="11"/>
  <c r="G668" i="11"/>
  <c r="G667" i="11"/>
  <c r="G666" i="11"/>
  <c r="G665" i="11"/>
  <c r="G664" i="11"/>
  <c r="G663" i="11"/>
  <c r="G662" i="11"/>
  <c r="G661" i="11"/>
  <c r="G660" i="11"/>
  <c r="G659" i="11"/>
  <c r="G658" i="11"/>
  <c r="G657" i="11"/>
  <c r="G656" i="11"/>
  <c r="G655" i="11"/>
  <c r="G654" i="11"/>
  <c r="G653" i="11"/>
  <c r="G652" i="11"/>
  <c r="G651" i="11"/>
  <c r="G650" i="11"/>
  <c r="G649" i="11"/>
  <c r="G648" i="11"/>
  <c r="G647" i="11"/>
  <c r="G646" i="11"/>
  <c r="G645" i="11"/>
  <c r="G644" i="11"/>
  <c r="G643" i="11"/>
  <c r="G642" i="11"/>
  <c r="G641" i="11"/>
  <c r="G640" i="11"/>
  <c r="G639" i="11"/>
  <c r="G638" i="11"/>
  <c r="G637" i="11"/>
  <c r="G636" i="11"/>
  <c r="G635" i="11"/>
  <c r="G634" i="11"/>
  <c r="G633" i="11"/>
  <c r="G632" i="11"/>
  <c r="G631" i="11"/>
  <c r="G630" i="11"/>
  <c r="G629" i="11"/>
  <c r="G628" i="11"/>
  <c r="G627" i="11"/>
  <c r="G626" i="11"/>
  <c r="G625" i="11"/>
  <c r="G624" i="11"/>
  <c r="G623" i="11"/>
  <c r="G622" i="11"/>
  <c r="G621" i="11"/>
  <c r="G620" i="11"/>
  <c r="G619" i="11"/>
  <c r="G618" i="11"/>
  <c r="G617" i="11"/>
  <c r="G616" i="11"/>
  <c r="G615" i="11"/>
  <c r="G614" i="11"/>
  <c r="G613" i="11"/>
  <c r="G612" i="11"/>
  <c r="G611" i="11"/>
  <c r="G610" i="11"/>
  <c r="G609" i="11"/>
  <c r="G608" i="11"/>
  <c r="G607" i="11"/>
  <c r="G606" i="11"/>
  <c r="G605" i="11"/>
  <c r="G604" i="11"/>
  <c r="G603" i="11"/>
  <c r="G602" i="11"/>
  <c r="G601" i="11"/>
  <c r="G600" i="11"/>
  <c r="G599" i="11"/>
  <c r="G598" i="11"/>
  <c r="G597" i="11"/>
  <c r="G596" i="11"/>
  <c r="G595" i="11"/>
  <c r="G594" i="11"/>
  <c r="G593" i="11"/>
  <c r="G592" i="11"/>
  <c r="G591" i="11"/>
  <c r="G590" i="11"/>
  <c r="G589" i="11"/>
  <c r="G588" i="11"/>
  <c r="G587" i="11"/>
  <c r="G586" i="11"/>
  <c r="G585" i="11"/>
  <c r="G584" i="11"/>
  <c r="G583" i="11"/>
  <c r="G582" i="11"/>
  <c r="G581" i="11"/>
  <c r="G580" i="11"/>
  <c r="G579" i="11"/>
  <c r="G578" i="11"/>
  <c r="G577" i="11"/>
  <c r="G576" i="11"/>
  <c r="G575" i="11"/>
  <c r="G574" i="11"/>
  <c r="G573" i="11"/>
  <c r="G572" i="11"/>
  <c r="G571" i="11"/>
  <c r="G570" i="11"/>
  <c r="G569" i="11"/>
  <c r="G568" i="11"/>
  <c r="G567" i="11"/>
  <c r="G566" i="11"/>
  <c r="G565" i="11"/>
  <c r="G564" i="11"/>
  <c r="G563" i="11"/>
  <c r="G562" i="11"/>
  <c r="G561" i="11"/>
  <c r="G560" i="11"/>
  <c r="G559" i="11"/>
  <c r="G558" i="11"/>
  <c r="G557" i="11"/>
  <c r="G556" i="11"/>
  <c r="G555" i="11"/>
  <c r="G554" i="11"/>
  <c r="G553" i="11"/>
  <c r="G552" i="11"/>
  <c r="G551" i="11"/>
  <c r="G550" i="11"/>
  <c r="G549" i="11"/>
  <c r="G548" i="11"/>
  <c r="G547" i="11"/>
  <c r="G546" i="11"/>
  <c r="G545" i="11"/>
  <c r="G544" i="11"/>
  <c r="G543" i="11"/>
  <c r="G542" i="11"/>
  <c r="G541" i="11"/>
  <c r="G540" i="11"/>
  <c r="G539" i="11"/>
  <c r="G538" i="11"/>
  <c r="G537" i="11"/>
  <c r="G536" i="11"/>
  <c r="G535" i="11"/>
  <c r="G534" i="11"/>
  <c r="G533" i="11"/>
  <c r="G532" i="11"/>
  <c r="G531" i="11"/>
  <c r="G530" i="11"/>
  <c r="G529" i="11"/>
  <c r="G528" i="11"/>
  <c r="G527" i="11"/>
  <c r="G526" i="11"/>
  <c r="G525" i="11"/>
  <c r="G524" i="11"/>
  <c r="G523" i="11"/>
  <c r="G522" i="11"/>
  <c r="G521" i="11"/>
  <c r="G520" i="11"/>
  <c r="G519" i="11"/>
  <c r="G518" i="11"/>
  <c r="G517" i="11"/>
  <c r="G516" i="11"/>
  <c r="G515" i="11"/>
  <c r="G514" i="11"/>
  <c r="G513" i="11"/>
  <c r="G512" i="11"/>
  <c r="G511" i="11"/>
  <c r="G510" i="11"/>
  <c r="G509" i="11"/>
  <c r="G508" i="11"/>
  <c r="G507" i="11"/>
  <c r="G506" i="11"/>
  <c r="G505" i="11"/>
  <c r="G504" i="11"/>
  <c r="G503" i="11"/>
  <c r="G502" i="11"/>
  <c r="G501" i="11"/>
  <c r="G500" i="11"/>
  <c r="G499" i="11"/>
  <c r="G498" i="11"/>
  <c r="G497" i="11"/>
  <c r="G496" i="11"/>
  <c r="G495" i="11"/>
  <c r="G494" i="11"/>
  <c r="G493" i="11"/>
  <c r="G492" i="11"/>
  <c r="G491" i="11"/>
  <c r="G490" i="11"/>
  <c r="G489" i="11"/>
  <c r="G488" i="11"/>
  <c r="G487" i="11"/>
  <c r="G486" i="11"/>
  <c r="G485" i="11"/>
  <c r="G484" i="11"/>
  <c r="G483" i="11"/>
  <c r="G482" i="11"/>
  <c r="G481" i="11"/>
  <c r="G480" i="11"/>
  <c r="G479" i="11"/>
  <c r="G478" i="11"/>
  <c r="G477" i="11"/>
  <c r="G476" i="11"/>
  <c r="G475" i="11"/>
  <c r="G474" i="11"/>
  <c r="G473" i="11"/>
  <c r="G472" i="11"/>
  <c r="G471" i="11"/>
  <c r="G470" i="11"/>
  <c r="G469" i="11"/>
  <c r="G468" i="11"/>
  <c r="G467" i="11"/>
  <c r="G466" i="11"/>
  <c r="G465" i="11"/>
  <c r="G464" i="11"/>
  <c r="G463" i="11"/>
  <c r="G462" i="11"/>
  <c r="G461" i="11"/>
  <c r="G460" i="11"/>
  <c r="G459" i="11"/>
  <c r="G458" i="11"/>
  <c r="G457" i="11"/>
  <c r="G456" i="11"/>
  <c r="G455" i="11"/>
  <c r="G454" i="11"/>
  <c r="G453" i="11"/>
  <c r="G452" i="11"/>
  <c r="G451" i="11"/>
  <c r="G450" i="11"/>
  <c r="G449" i="11"/>
  <c r="G448" i="11"/>
  <c r="G447" i="11"/>
  <c r="G446" i="11"/>
  <c r="G445" i="11"/>
  <c r="G444" i="11"/>
  <c r="G443" i="11"/>
  <c r="G442" i="11"/>
  <c r="G441" i="11"/>
  <c r="G440" i="11"/>
  <c r="G439" i="11"/>
  <c r="G438" i="11"/>
  <c r="G437" i="11"/>
  <c r="G436" i="11"/>
  <c r="G435" i="11"/>
  <c r="G434" i="11"/>
  <c r="G433" i="11"/>
  <c r="G432" i="11"/>
  <c r="G431" i="11"/>
  <c r="G430" i="11"/>
  <c r="G429" i="11"/>
  <c r="G428" i="11"/>
  <c r="G427" i="11"/>
  <c r="G426" i="11"/>
  <c r="G425" i="11"/>
  <c r="G424" i="11"/>
  <c r="G423" i="11"/>
  <c r="G422" i="11"/>
  <c r="G421" i="11"/>
  <c r="G420" i="11"/>
  <c r="G419" i="11"/>
  <c r="G418" i="11"/>
  <c r="G417" i="11"/>
  <c r="G416" i="11"/>
  <c r="G415" i="11"/>
  <c r="G414" i="11"/>
  <c r="G413" i="11"/>
  <c r="G412" i="11"/>
  <c r="G411" i="11"/>
  <c r="G410" i="11"/>
  <c r="G409" i="11"/>
  <c r="G408" i="11"/>
  <c r="G407" i="11"/>
  <c r="G406" i="11"/>
  <c r="G405" i="11"/>
  <c r="G404" i="11"/>
  <c r="G403" i="11"/>
  <c r="G402" i="11"/>
  <c r="G401" i="11"/>
  <c r="G400" i="11"/>
  <c r="G399" i="11"/>
  <c r="G398" i="11"/>
  <c r="G397" i="11"/>
  <c r="G396" i="11"/>
  <c r="G395" i="11"/>
  <c r="G394" i="11"/>
  <c r="G393" i="11"/>
  <c r="G392" i="11"/>
  <c r="G391" i="11"/>
  <c r="G390" i="11"/>
  <c r="G389" i="11"/>
  <c r="G388" i="11"/>
  <c r="G387" i="11"/>
  <c r="G386" i="11"/>
  <c r="G385" i="11"/>
  <c r="G384" i="11"/>
  <c r="G383" i="11"/>
  <c r="G382" i="11"/>
  <c r="G381" i="11"/>
  <c r="G380" i="11"/>
  <c r="G379" i="11"/>
  <c r="G378" i="11"/>
  <c r="G377" i="11"/>
  <c r="G376" i="11"/>
  <c r="G375" i="11"/>
  <c r="G374" i="11"/>
  <c r="G373" i="11"/>
  <c r="G372" i="11"/>
  <c r="G371" i="11"/>
  <c r="G370" i="11"/>
  <c r="G369" i="11"/>
  <c r="G368" i="11"/>
  <c r="G367" i="11"/>
  <c r="G366" i="11"/>
  <c r="G365" i="11"/>
  <c r="G364" i="11"/>
  <c r="G363" i="11"/>
  <c r="G362" i="11"/>
  <c r="G361" i="11"/>
  <c r="G360" i="11"/>
  <c r="G359" i="11"/>
  <c r="G358" i="11"/>
  <c r="G357" i="11"/>
  <c r="G356" i="11"/>
  <c r="G355" i="11"/>
  <c r="G354" i="11"/>
  <c r="G353" i="11"/>
  <c r="G352" i="11"/>
  <c r="G351" i="11"/>
  <c r="G350" i="11"/>
  <c r="G349" i="11"/>
  <c r="G348" i="11"/>
  <c r="G347" i="11"/>
  <c r="G346" i="11"/>
  <c r="G345" i="11"/>
  <c r="G344" i="11"/>
  <c r="G343" i="11"/>
  <c r="G342" i="11"/>
  <c r="G341" i="11"/>
  <c r="G340" i="11"/>
  <c r="G339" i="11"/>
  <c r="G338" i="11"/>
  <c r="G337" i="11"/>
  <c r="G336" i="11"/>
  <c r="G335" i="11"/>
  <c r="G334" i="11"/>
  <c r="G333" i="11"/>
  <c r="G332" i="11"/>
  <c r="G331" i="11"/>
  <c r="G330" i="11"/>
  <c r="G329" i="11"/>
  <c r="G328" i="11"/>
  <c r="G327" i="11"/>
  <c r="G326" i="11"/>
  <c r="G325" i="11"/>
  <c r="G324" i="11"/>
  <c r="G323" i="11"/>
  <c r="G322" i="11"/>
  <c r="G321" i="11"/>
  <c r="G320" i="11"/>
  <c r="G319" i="11"/>
  <c r="G318" i="11"/>
  <c r="G317" i="11"/>
  <c r="G316" i="11"/>
  <c r="G315" i="11"/>
  <c r="G314" i="11"/>
  <c r="G313" i="11"/>
  <c r="G312" i="11"/>
  <c r="G311" i="11"/>
  <c r="G310" i="11"/>
  <c r="G309" i="11"/>
  <c r="G308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5" i="11"/>
  <c r="G294" i="11"/>
  <c r="G293" i="11"/>
  <c r="G292" i="11"/>
  <c r="G291" i="11"/>
  <c r="G290" i="11"/>
  <c r="G289" i="11"/>
  <c r="G288" i="11"/>
  <c r="G287" i="11"/>
  <c r="G286" i="11"/>
  <c r="G285" i="11"/>
  <c r="G284" i="11"/>
  <c r="G283" i="11"/>
  <c r="G282" i="11"/>
  <c r="G281" i="11"/>
  <c r="G280" i="11"/>
  <c r="G279" i="11"/>
  <c r="G278" i="11"/>
  <c r="G277" i="11"/>
  <c r="G276" i="11"/>
  <c r="G275" i="11"/>
  <c r="G274" i="11"/>
  <c r="G273" i="11"/>
  <c r="G272" i="11"/>
  <c r="G271" i="11"/>
  <c r="G270" i="11"/>
  <c r="G269" i="11"/>
  <c r="G268" i="11"/>
  <c r="G267" i="11"/>
  <c r="G266" i="11"/>
  <c r="G265" i="11"/>
  <c r="G264" i="11"/>
  <c r="G263" i="11"/>
  <c r="G262" i="11"/>
  <c r="G261" i="11"/>
  <c r="G260" i="11"/>
  <c r="G259" i="11"/>
  <c r="G258" i="11"/>
  <c r="G257" i="11"/>
  <c r="G256" i="1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H2" i="11" s="1"/>
  <c r="A57" i="7" s="1"/>
  <c r="G4" i="11"/>
  <c r="G3" i="11"/>
  <c r="P300" i="10"/>
  <c r="P299" i="10"/>
  <c r="P298" i="10"/>
  <c r="P297" i="10"/>
  <c r="P296" i="10"/>
  <c r="P295" i="10"/>
  <c r="P294" i="10"/>
  <c r="P293" i="10"/>
  <c r="P292" i="10"/>
  <c r="P291" i="10"/>
  <c r="P290" i="10"/>
  <c r="P289" i="10"/>
  <c r="P288" i="10"/>
  <c r="P287" i="10"/>
  <c r="P286" i="10"/>
  <c r="P285" i="10"/>
  <c r="P284" i="10"/>
  <c r="P283" i="10"/>
  <c r="P282" i="10"/>
  <c r="P281" i="10"/>
  <c r="P280" i="10"/>
  <c r="P279" i="10"/>
  <c r="P278" i="10"/>
  <c r="P277" i="10"/>
  <c r="P276" i="10"/>
  <c r="P275" i="10"/>
  <c r="P274" i="10"/>
  <c r="P273" i="10"/>
  <c r="P272" i="10"/>
  <c r="P271" i="10"/>
  <c r="P270" i="10"/>
  <c r="P269" i="10"/>
  <c r="P268" i="10"/>
  <c r="P267" i="10"/>
  <c r="P266" i="10"/>
  <c r="P265" i="10"/>
  <c r="P264" i="10"/>
  <c r="P263" i="10"/>
  <c r="P262" i="10"/>
  <c r="P261" i="10"/>
  <c r="P260" i="10"/>
  <c r="P259" i="10"/>
  <c r="P258" i="10"/>
  <c r="P257" i="10"/>
  <c r="P256" i="10"/>
  <c r="P255" i="10"/>
  <c r="P254" i="10"/>
  <c r="P253" i="10"/>
  <c r="P252" i="10"/>
  <c r="P251" i="10"/>
  <c r="P250" i="10"/>
  <c r="P249" i="10"/>
  <c r="P248" i="10"/>
  <c r="P247" i="10"/>
  <c r="P246" i="10"/>
  <c r="P245" i="10"/>
  <c r="P244" i="10"/>
  <c r="P243" i="10"/>
  <c r="P242" i="10"/>
  <c r="P241" i="10"/>
  <c r="P240" i="10"/>
  <c r="P239" i="10"/>
  <c r="P238" i="10"/>
  <c r="P237" i="10"/>
  <c r="P236" i="10"/>
  <c r="P235" i="10"/>
  <c r="P234" i="10"/>
  <c r="P233" i="10"/>
  <c r="P232" i="10"/>
  <c r="P231" i="10"/>
  <c r="P230" i="10"/>
  <c r="P229" i="10"/>
  <c r="P228" i="10"/>
  <c r="P227" i="10"/>
  <c r="P226" i="10"/>
  <c r="P225" i="10"/>
  <c r="P224" i="10"/>
  <c r="P223" i="10"/>
  <c r="P222" i="10"/>
  <c r="P221" i="10"/>
  <c r="P220" i="10"/>
  <c r="P219" i="10"/>
  <c r="P218" i="10"/>
  <c r="P217" i="10"/>
  <c r="P216" i="10"/>
  <c r="P215" i="10"/>
  <c r="P214" i="10"/>
  <c r="P213" i="10"/>
  <c r="P212" i="10"/>
  <c r="P211" i="10"/>
  <c r="P210" i="10"/>
  <c r="P209" i="10"/>
  <c r="P208" i="10"/>
  <c r="P207" i="10"/>
  <c r="P206" i="10"/>
  <c r="P205" i="10"/>
  <c r="P204" i="10"/>
  <c r="P203" i="10"/>
  <c r="P202" i="10"/>
  <c r="P201" i="10"/>
  <c r="P200" i="10"/>
  <c r="P199" i="10"/>
  <c r="P198" i="10"/>
  <c r="P197" i="10"/>
  <c r="P196" i="10"/>
  <c r="P195" i="10"/>
  <c r="P194" i="10"/>
  <c r="P193" i="10"/>
  <c r="P192" i="10"/>
  <c r="P191" i="10"/>
  <c r="P190" i="10"/>
  <c r="P189" i="10"/>
  <c r="P188" i="10"/>
  <c r="P187" i="10"/>
  <c r="P186" i="10"/>
  <c r="P185" i="10"/>
  <c r="P184" i="10"/>
  <c r="P183" i="10"/>
  <c r="P182" i="10"/>
  <c r="P181" i="10"/>
  <c r="P180" i="10"/>
  <c r="P179" i="10"/>
  <c r="P178" i="10"/>
  <c r="P177" i="10"/>
  <c r="P176" i="10"/>
  <c r="P175" i="10"/>
  <c r="P174" i="10"/>
  <c r="P173" i="10"/>
  <c r="P172" i="10"/>
  <c r="P171" i="10"/>
  <c r="P170" i="10"/>
  <c r="P169" i="10"/>
  <c r="P168" i="10"/>
  <c r="P167" i="10"/>
  <c r="P166" i="10"/>
  <c r="P165" i="10"/>
  <c r="P164" i="10"/>
  <c r="P163" i="10"/>
  <c r="P162" i="10"/>
  <c r="P161" i="10"/>
  <c r="P160" i="10"/>
  <c r="P159" i="10"/>
  <c r="P158" i="10"/>
  <c r="P157" i="10"/>
  <c r="P156" i="10"/>
  <c r="P155" i="10"/>
  <c r="P154" i="10"/>
  <c r="P153" i="10"/>
  <c r="P152" i="10"/>
  <c r="P151" i="10"/>
  <c r="P150" i="10"/>
  <c r="P149" i="10"/>
  <c r="P148" i="10"/>
  <c r="P147" i="10"/>
  <c r="P146" i="10"/>
  <c r="P145" i="10"/>
  <c r="P144" i="10"/>
  <c r="P143" i="10"/>
  <c r="P142" i="10"/>
  <c r="P141" i="10"/>
  <c r="P140" i="10"/>
  <c r="P139" i="10"/>
  <c r="P138" i="10"/>
  <c r="P137" i="10"/>
  <c r="P136" i="10"/>
  <c r="P135" i="10"/>
  <c r="P134" i="10"/>
  <c r="P133" i="10"/>
  <c r="P132" i="10"/>
  <c r="P131" i="10"/>
  <c r="P130" i="10"/>
  <c r="P129" i="10"/>
  <c r="P128" i="10"/>
  <c r="P127" i="10"/>
  <c r="P126" i="10"/>
  <c r="P125" i="10"/>
  <c r="P124" i="10"/>
  <c r="P123" i="10"/>
  <c r="P122" i="10"/>
  <c r="P121" i="10"/>
  <c r="P120" i="10"/>
  <c r="P119" i="10"/>
  <c r="P118" i="10"/>
  <c r="P117" i="10"/>
  <c r="P116" i="10"/>
  <c r="P115" i="10"/>
  <c r="P114" i="10"/>
  <c r="P113" i="10"/>
  <c r="P112" i="10"/>
  <c r="P111" i="10"/>
  <c r="P110" i="10"/>
  <c r="P109" i="10"/>
  <c r="P108" i="10"/>
  <c r="P107" i="10"/>
  <c r="P106" i="10"/>
  <c r="P105" i="10"/>
  <c r="P104" i="10"/>
  <c r="P103" i="10"/>
  <c r="P102" i="10"/>
  <c r="P101" i="10"/>
  <c r="P100" i="10"/>
  <c r="P99" i="10"/>
  <c r="P98" i="10"/>
  <c r="P97" i="10"/>
  <c r="P96" i="10"/>
  <c r="P95" i="10"/>
  <c r="P94" i="10"/>
  <c r="P93" i="10"/>
  <c r="P92" i="10"/>
  <c r="P91" i="10"/>
  <c r="P90" i="10"/>
  <c r="P89" i="10"/>
  <c r="P88" i="10"/>
  <c r="P87" i="10"/>
  <c r="P86" i="10"/>
  <c r="P85" i="10"/>
  <c r="P84" i="10"/>
  <c r="P83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A6" i="10"/>
  <c r="A5" i="10"/>
  <c r="A4" i="10"/>
  <c r="G4" i="10" s="1"/>
  <c r="V3" i="10"/>
  <c r="U3" i="10"/>
  <c r="T3" i="10"/>
  <c r="S3" i="10"/>
  <c r="R3" i="10"/>
  <c r="Q3" i="10"/>
  <c r="O3" i="10"/>
  <c r="N3" i="10"/>
  <c r="M3" i="10"/>
  <c r="L3" i="10"/>
  <c r="K3" i="10"/>
  <c r="J3" i="10"/>
  <c r="K17" i="9"/>
  <c r="K16" i="9"/>
  <c r="K15" i="9"/>
  <c r="K14" i="9"/>
  <c r="L13" i="9"/>
  <c r="K13" i="9"/>
  <c r="K12" i="9"/>
  <c r="C12" i="9"/>
  <c r="K11" i="9"/>
  <c r="C11" i="9"/>
  <c r="K10" i="9"/>
  <c r="J10" i="9"/>
  <c r="C10" i="9"/>
  <c r="K9" i="9"/>
  <c r="C9" i="9"/>
  <c r="K8" i="9"/>
  <c r="C8" i="9"/>
  <c r="K7" i="9"/>
  <c r="C7" i="9"/>
  <c r="K6" i="9"/>
  <c r="C6" i="9"/>
  <c r="K5" i="9"/>
  <c r="C5" i="9"/>
  <c r="L4" i="9"/>
  <c r="K4" i="9"/>
  <c r="C4" i="9"/>
  <c r="K3" i="9"/>
  <c r="C3" i="9"/>
  <c r="Z401" i="8"/>
  <c r="Y401" i="8"/>
  <c r="X401" i="8"/>
  <c r="W401" i="8"/>
  <c r="V401" i="8"/>
  <c r="U401" i="8"/>
  <c r="Z400" i="8"/>
  <c r="Y400" i="8"/>
  <c r="X400" i="8"/>
  <c r="W400" i="8"/>
  <c r="V400" i="8"/>
  <c r="U400" i="8"/>
  <c r="Z399" i="8"/>
  <c r="Y399" i="8"/>
  <c r="X399" i="8"/>
  <c r="W399" i="8"/>
  <c r="V399" i="8"/>
  <c r="U399" i="8"/>
  <c r="Z398" i="8"/>
  <c r="Y398" i="8"/>
  <c r="X398" i="8"/>
  <c r="W398" i="8"/>
  <c r="V398" i="8"/>
  <c r="U398" i="8"/>
  <c r="Z397" i="8"/>
  <c r="Y397" i="8"/>
  <c r="X397" i="8"/>
  <c r="W397" i="8"/>
  <c r="V397" i="8"/>
  <c r="U397" i="8"/>
  <c r="Z396" i="8"/>
  <c r="Y396" i="8"/>
  <c r="X396" i="8"/>
  <c r="W396" i="8"/>
  <c r="V396" i="8"/>
  <c r="U396" i="8"/>
  <c r="Z395" i="8"/>
  <c r="Y395" i="8"/>
  <c r="X395" i="8"/>
  <c r="W395" i="8"/>
  <c r="V395" i="8"/>
  <c r="U395" i="8"/>
  <c r="Z394" i="8"/>
  <c r="Y394" i="8"/>
  <c r="X394" i="8"/>
  <c r="W394" i="8"/>
  <c r="V394" i="8"/>
  <c r="U394" i="8"/>
  <c r="Z393" i="8"/>
  <c r="Y393" i="8"/>
  <c r="X393" i="8"/>
  <c r="W393" i="8"/>
  <c r="V393" i="8"/>
  <c r="U393" i="8"/>
  <c r="Z392" i="8"/>
  <c r="Y392" i="8"/>
  <c r="X392" i="8"/>
  <c r="W392" i="8"/>
  <c r="V392" i="8"/>
  <c r="U392" i="8"/>
  <c r="Z391" i="8"/>
  <c r="Y391" i="8"/>
  <c r="X391" i="8"/>
  <c r="W391" i="8"/>
  <c r="V391" i="8"/>
  <c r="U391" i="8"/>
  <c r="Z390" i="8"/>
  <c r="Y390" i="8"/>
  <c r="X390" i="8"/>
  <c r="W390" i="8"/>
  <c r="V390" i="8"/>
  <c r="U390" i="8"/>
  <c r="Z389" i="8"/>
  <c r="Y389" i="8"/>
  <c r="X389" i="8"/>
  <c r="W389" i="8"/>
  <c r="V389" i="8"/>
  <c r="U389" i="8"/>
  <c r="Z388" i="8"/>
  <c r="Y388" i="8"/>
  <c r="X388" i="8"/>
  <c r="W388" i="8"/>
  <c r="V388" i="8"/>
  <c r="U388" i="8"/>
  <c r="Z387" i="8"/>
  <c r="Y387" i="8"/>
  <c r="X387" i="8"/>
  <c r="W387" i="8"/>
  <c r="V387" i="8"/>
  <c r="U387" i="8"/>
  <c r="Z386" i="8"/>
  <c r="Y386" i="8"/>
  <c r="X386" i="8"/>
  <c r="W386" i="8"/>
  <c r="V386" i="8"/>
  <c r="U386" i="8"/>
  <c r="Z385" i="8"/>
  <c r="Y385" i="8"/>
  <c r="X385" i="8"/>
  <c r="W385" i="8"/>
  <c r="V385" i="8"/>
  <c r="U385" i="8"/>
  <c r="Z384" i="8"/>
  <c r="Y384" i="8"/>
  <c r="X384" i="8"/>
  <c r="W384" i="8"/>
  <c r="V384" i="8"/>
  <c r="U384" i="8"/>
  <c r="Z383" i="8"/>
  <c r="Y383" i="8"/>
  <c r="X383" i="8"/>
  <c r="W383" i="8"/>
  <c r="V383" i="8"/>
  <c r="U383" i="8"/>
  <c r="Z382" i="8"/>
  <c r="Y382" i="8"/>
  <c r="X382" i="8"/>
  <c r="W382" i="8"/>
  <c r="V382" i="8"/>
  <c r="U382" i="8"/>
  <c r="Z381" i="8"/>
  <c r="Y381" i="8"/>
  <c r="X381" i="8"/>
  <c r="W381" i="8"/>
  <c r="V381" i="8"/>
  <c r="U381" i="8"/>
  <c r="Z380" i="8"/>
  <c r="Y380" i="8"/>
  <c r="X380" i="8"/>
  <c r="W380" i="8"/>
  <c r="V380" i="8"/>
  <c r="U380" i="8"/>
  <c r="Z379" i="8"/>
  <c r="Y379" i="8"/>
  <c r="X379" i="8"/>
  <c r="W379" i="8"/>
  <c r="V379" i="8"/>
  <c r="U379" i="8"/>
  <c r="Z378" i="8"/>
  <c r="Y378" i="8"/>
  <c r="X378" i="8"/>
  <c r="W378" i="8"/>
  <c r="V378" i="8"/>
  <c r="U378" i="8"/>
  <c r="Z377" i="8"/>
  <c r="Y377" i="8"/>
  <c r="X377" i="8"/>
  <c r="W377" i="8"/>
  <c r="V377" i="8"/>
  <c r="U377" i="8"/>
  <c r="Z376" i="8"/>
  <c r="Y376" i="8"/>
  <c r="X376" i="8"/>
  <c r="W376" i="8"/>
  <c r="V376" i="8"/>
  <c r="U376" i="8"/>
  <c r="Z375" i="8"/>
  <c r="Y375" i="8"/>
  <c r="X375" i="8"/>
  <c r="W375" i="8"/>
  <c r="V375" i="8"/>
  <c r="U375" i="8"/>
  <c r="Z374" i="8"/>
  <c r="Y374" i="8"/>
  <c r="X374" i="8"/>
  <c r="W374" i="8"/>
  <c r="V374" i="8"/>
  <c r="U374" i="8"/>
  <c r="Z373" i="8"/>
  <c r="Y373" i="8"/>
  <c r="X373" i="8"/>
  <c r="W373" i="8"/>
  <c r="V373" i="8"/>
  <c r="U373" i="8"/>
  <c r="Z372" i="8"/>
  <c r="Y372" i="8"/>
  <c r="X372" i="8"/>
  <c r="W372" i="8"/>
  <c r="V372" i="8"/>
  <c r="U372" i="8"/>
  <c r="Z371" i="8"/>
  <c r="Y371" i="8"/>
  <c r="X371" i="8"/>
  <c r="W371" i="8"/>
  <c r="V371" i="8"/>
  <c r="U371" i="8"/>
  <c r="Z370" i="8"/>
  <c r="Y370" i="8"/>
  <c r="X370" i="8"/>
  <c r="W370" i="8"/>
  <c r="V370" i="8"/>
  <c r="U370" i="8"/>
  <c r="Z369" i="8"/>
  <c r="Y369" i="8"/>
  <c r="X369" i="8"/>
  <c r="W369" i="8"/>
  <c r="V369" i="8"/>
  <c r="U369" i="8"/>
  <c r="Z368" i="8"/>
  <c r="Y368" i="8"/>
  <c r="X368" i="8"/>
  <c r="W368" i="8"/>
  <c r="V368" i="8"/>
  <c r="U368" i="8"/>
  <c r="Z367" i="8"/>
  <c r="Y367" i="8"/>
  <c r="X367" i="8"/>
  <c r="W367" i="8"/>
  <c r="V367" i="8"/>
  <c r="U367" i="8"/>
  <c r="Z366" i="8"/>
  <c r="Y366" i="8"/>
  <c r="X366" i="8"/>
  <c r="W366" i="8"/>
  <c r="V366" i="8"/>
  <c r="U366" i="8"/>
  <c r="Z365" i="8"/>
  <c r="Y365" i="8"/>
  <c r="X365" i="8"/>
  <c r="W365" i="8"/>
  <c r="V365" i="8"/>
  <c r="U365" i="8"/>
  <c r="Z364" i="8"/>
  <c r="Y364" i="8"/>
  <c r="X364" i="8"/>
  <c r="W364" i="8"/>
  <c r="V364" i="8"/>
  <c r="U364" i="8"/>
  <c r="Z363" i="8"/>
  <c r="Y363" i="8"/>
  <c r="X363" i="8"/>
  <c r="W363" i="8"/>
  <c r="V363" i="8"/>
  <c r="U363" i="8"/>
  <c r="Z362" i="8"/>
  <c r="Y362" i="8"/>
  <c r="X362" i="8"/>
  <c r="W362" i="8"/>
  <c r="V362" i="8"/>
  <c r="U362" i="8"/>
  <c r="Z361" i="8"/>
  <c r="Y361" i="8"/>
  <c r="X361" i="8"/>
  <c r="W361" i="8"/>
  <c r="V361" i="8"/>
  <c r="U361" i="8"/>
  <c r="Z360" i="8"/>
  <c r="Y360" i="8"/>
  <c r="X360" i="8"/>
  <c r="W360" i="8"/>
  <c r="V360" i="8"/>
  <c r="U360" i="8"/>
  <c r="Z359" i="8"/>
  <c r="Y359" i="8"/>
  <c r="X359" i="8"/>
  <c r="W359" i="8"/>
  <c r="V359" i="8"/>
  <c r="U359" i="8"/>
  <c r="Z358" i="8"/>
  <c r="Y358" i="8"/>
  <c r="X358" i="8"/>
  <c r="W358" i="8"/>
  <c r="V358" i="8"/>
  <c r="U358" i="8"/>
  <c r="Z357" i="8"/>
  <c r="Y357" i="8"/>
  <c r="X357" i="8"/>
  <c r="W357" i="8"/>
  <c r="V357" i="8"/>
  <c r="U357" i="8"/>
  <c r="Z356" i="8"/>
  <c r="Y356" i="8"/>
  <c r="X356" i="8"/>
  <c r="W356" i="8"/>
  <c r="V356" i="8"/>
  <c r="U356" i="8"/>
  <c r="Z355" i="8"/>
  <c r="Y355" i="8"/>
  <c r="X355" i="8"/>
  <c r="W355" i="8"/>
  <c r="V355" i="8"/>
  <c r="U355" i="8"/>
  <c r="Z354" i="8"/>
  <c r="Y354" i="8"/>
  <c r="X354" i="8"/>
  <c r="W354" i="8"/>
  <c r="V354" i="8"/>
  <c r="U354" i="8"/>
  <c r="Z353" i="8"/>
  <c r="Y353" i="8"/>
  <c r="X353" i="8"/>
  <c r="W353" i="8"/>
  <c r="V353" i="8"/>
  <c r="U353" i="8"/>
  <c r="Z352" i="8"/>
  <c r="Y352" i="8"/>
  <c r="X352" i="8"/>
  <c r="W352" i="8"/>
  <c r="V352" i="8"/>
  <c r="U352" i="8"/>
  <c r="Z351" i="8"/>
  <c r="Y351" i="8"/>
  <c r="X351" i="8"/>
  <c r="W351" i="8"/>
  <c r="V351" i="8"/>
  <c r="U351" i="8"/>
  <c r="Z350" i="8"/>
  <c r="Y350" i="8"/>
  <c r="X350" i="8"/>
  <c r="W350" i="8"/>
  <c r="V350" i="8"/>
  <c r="U350" i="8"/>
  <c r="Z349" i="8"/>
  <c r="Y349" i="8"/>
  <c r="X349" i="8"/>
  <c r="W349" i="8"/>
  <c r="V349" i="8"/>
  <c r="U349" i="8"/>
  <c r="Z348" i="8"/>
  <c r="Y348" i="8"/>
  <c r="X348" i="8"/>
  <c r="W348" i="8"/>
  <c r="V348" i="8"/>
  <c r="U348" i="8"/>
  <c r="Z347" i="8"/>
  <c r="Y347" i="8"/>
  <c r="X347" i="8"/>
  <c r="W347" i="8"/>
  <c r="V347" i="8"/>
  <c r="U347" i="8"/>
  <c r="Z346" i="8"/>
  <c r="Y346" i="8"/>
  <c r="X346" i="8"/>
  <c r="W346" i="8"/>
  <c r="V346" i="8"/>
  <c r="U346" i="8"/>
  <c r="Z345" i="8"/>
  <c r="Y345" i="8"/>
  <c r="X345" i="8"/>
  <c r="W345" i="8"/>
  <c r="V345" i="8"/>
  <c r="U345" i="8"/>
  <c r="Z344" i="8"/>
  <c r="Y344" i="8"/>
  <c r="X344" i="8"/>
  <c r="W344" i="8"/>
  <c r="V344" i="8"/>
  <c r="U344" i="8"/>
  <c r="Z343" i="8"/>
  <c r="Y343" i="8"/>
  <c r="X343" i="8"/>
  <c r="W343" i="8"/>
  <c r="V343" i="8"/>
  <c r="U343" i="8"/>
  <c r="Z342" i="8"/>
  <c r="Y342" i="8"/>
  <c r="X342" i="8"/>
  <c r="W342" i="8"/>
  <c r="V342" i="8"/>
  <c r="U342" i="8"/>
  <c r="Z341" i="8"/>
  <c r="Y341" i="8"/>
  <c r="X341" i="8"/>
  <c r="W341" i="8"/>
  <c r="V341" i="8"/>
  <c r="U341" i="8"/>
  <c r="Z340" i="8"/>
  <c r="Y340" i="8"/>
  <c r="X340" i="8"/>
  <c r="W340" i="8"/>
  <c r="V340" i="8"/>
  <c r="U340" i="8"/>
  <c r="Z339" i="8"/>
  <c r="Y339" i="8"/>
  <c r="X339" i="8"/>
  <c r="W339" i="8"/>
  <c r="V339" i="8"/>
  <c r="U339" i="8"/>
  <c r="Z338" i="8"/>
  <c r="Y338" i="8"/>
  <c r="X338" i="8"/>
  <c r="W338" i="8"/>
  <c r="V338" i="8"/>
  <c r="U338" i="8"/>
  <c r="Z337" i="8"/>
  <c r="Y337" i="8"/>
  <c r="X337" i="8"/>
  <c r="W337" i="8"/>
  <c r="V337" i="8"/>
  <c r="U337" i="8"/>
  <c r="Z336" i="8"/>
  <c r="Y336" i="8"/>
  <c r="X336" i="8"/>
  <c r="W336" i="8"/>
  <c r="V336" i="8"/>
  <c r="U336" i="8"/>
  <c r="Z335" i="8"/>
  <c r="Y335" i="8"/>
  <c r="X335" i="8"/>
  <c r="W335" i="8"/>
  <c r="V335" i="8"/>
  <c r="U335" i="8"/>
  <c r="Z334" i="8"/>
  <c r="Y334" i="8"/>
  <c r="X334" i="8"/>
  <c r="W334" i="8"/>
  <c r="V334" i="8"/>
  <c r="U334" i="8"/>
  <c r="Z333" i="8"/>
  <c r="Y333" i="8"/>
  <c r="X333" i="8"/>
  <c r="W333" i="8"/>
  <c r="V333" i="8"/>
  <c r="U333" i="8"/>
  <c r="Z332" i="8"/>
  <c r="Y332" i="8"/>
  <c r="X332" i="8"/>
  <c r="W332" i="8"/>
  <c r="V332" i="8"/>
  <c r="U332" i="8"/>
  <c r="Z331" i="8"/>
  <c r="Y331" i="8"/>
  <c r="X331" i="8"/>
  <c r="W331" i="8"/>
  <c r="V331" i="8"/>
  <c r="U331" i="8"/>
  <c r="Z330" i="8"/>
  <c r="Y330" i="8"/>
  <c r="X330" i="8"/>
  <c r="W330" i="8"/>
  <c r="V330" i="8"/>
  <c r="U330" i="8"/>
  <c r="Z329" i="8"/>
  <c r="Y329" i="8"/>
  <c r="X329" i="8"/>
  <c r="W329" i="8"/>
  <c r="V329" i="8"/>
  <c r="U329" i="8"/>
  <c r="Z328" i="8"/>
  <c r="Y328" i="8"/>
  <c r="X328" i="8"/>
  <c r="W328" i="8"/>
  <c r="V328" i="8"/>
  <c r="U328" i="8"/>
  <c r="Z327" i="8"/>
  <c r="Y327" i="8"/>
  <c r="X327" i="8"/>
  <c r="W327" i="8"/>
  <c r="V327" i="8"/>
  <c r="U327" i="8"/>
  <c r="Z326" i="8"/>
  <c r="Y326" i="8"/>
  <c r="X326" i="8"/>
  <c r="W326" i="8"/>
  <c r="V326" i="8"/>
  <c r="U326" i="8"/>
  <c r="Z325" i="8"/>
  <c r="Y325" i="8"/>
  <c r="X325" i="8"/>
  <c r="W325" i="8"/>
  <c r="V325" i="8"/>
  <c r="U325" i="8"/>
  <c r="Z324" i="8"/>
  <c r="Y324" i="8"/>
  <c r="X324" i="8"/>
  <c r="W324" i="8"/>
  <c r="V324" i="8"/>
  <c r="U324" i="8"/>
  <c r="Z323" i="8"/>
  <c r="Y323" i="8"/>
  <c r="X323" i="8"/>
  <c r="W323" i="8"/>
  <c r="V323" i="8"/>
  <c r="U323" i="8"/>
  <c r="Z322" i="8"/>
  <c r="Y322" i="8"/>
  <c r="X322" i="8"/>
  <c r="W322" i="8"/>
  <c r="V322" i="8"/>
  <c r="U322" i="8"/>
  <c r="Z321" i="8"/>
  <c r="Y321" i="8"/>
  <c r="X321" i="8"/>
  <c r="W321" i="8"/>
  <c r="V321" i="8"/>
  <c r="U321" i="8"/>
  <c r="Z320" i="8"/>
  <c r="Y320" i="8"/>
  <c r="X320" i="8"/>
  <c r="W320" i="8"/>
  <c r="V320" i="8"/>
  <c r="U320" i="8"/>
  <c r="Z319" i="8"/>
  <c r="Y319" i="8"/>
  <c r="X319" i="8"/>
  <c r="W319" i="8"/>
  <c r="V319" i="8"/>
  <c r="U319" i="8"/>
  <c r="Z318" i="8"/>
  <c r="Y318" i="8"/>
  <c r="X318" i="8"/>
  <c r="W318" i="8"/>
  <c r="V318" i="8"/>
  <c r="U318" i="8"/>
  <c r="Z317" i="8"/>
  <c r="Y317" i="8"/>
  <c r="X317" i="8"/>
  <c r="W317" i="8"/>
  <c r="V317" i="8"/>
  <c r="U317" i="8"/>
  <c r="Z316" i="8"/>
  <c r="Y316" i="8"/>
  <c r="X316" i="8"/>
  <c r="W316" i="8"/>
  <c r="V316" i="8"/>
  <c r="U316" i="8"/>
  <c r="Z315" i="8"/>
  <c r="Y315" i="8"/>
  <c r="X315" i="8"/>
  <c r="W315" i="8"/>
  <c r="V315" i="8"/>
  <c r="U315" i="8"/>
  <c r="Z314" i="8"/>
  <c r="Y314" i="8"/>
  <c r="X314" i="8"/>
  <c r="W314" i="8"/>
  <c r="V314" i="8"/>
  <c r="U314" i="8"/>
  <c r="Z313" i="8"/>
  <c r="Y313" i="8"/>
  <c r="X313" i="8"/>
  <c r="W313" i="8"/>
  <c r="V313" i="8"/>
  <c r="U313" i="8"/>
  <c r="Z312" i="8"/>
  <c r="Y312" i="8"/>
  <c r="X312" i="8"/>
  <c r="W312" i="8"/>
  <c r="V312" i="8"/>
  <c r="U312" i="8"/>
  <c r="Z311" i="8"/>
  <c r="Y311" i="8"/>
  <c r="X311" i="8"/>
  <c r="W311" i="8"/>
  <c r="V311" i="8"/>
  <c r="U311" i="8"/>
  <c r="Z310" i="8"/>
  <c r="Y310" i="8"/>
  <c r="X310" i="8"/>
  <c r="W310" i="8"/>
  <c r="V310" i="8"/>
  <c r="U310" i="8"/>
  <c r="Z309" i="8"/>
  <c r="Y309" i="8"/>
  <c r="X309" i="8"/>
  <c r="W309" i="8"/>
  <c r="V309" i="8"/>
  <c r="U309" i="8"/>
  <c r="Z308" i="8"/>
  <c r="Y308" i="8"/>
  <c r="X308" i="8"/>
  <c r="W308" i="8"/>
  <c r="V308" i="8"/>
  <c r="U308" i="8"/>
  <c r="Z307" i="8"/>
  <c r="Y307" i="8"/>
  <c r="X307" i="8"/>
  <c r="W307" i="8"/>
  <c r="V307" i="8"/>
  <c r="U307" i="8"/>
  <c r="Z306" i="8"/>
  <c r="Y306" i="8"/>
  <c r="X306" i="8"/>
  <c r="W306" i="8"/>
  <c r="V306" i="8"/>
  <c r="U306" i="8"/>
  <c r="Z305" i="8"/>
  <c r="Y305" i="8"/>
  <c r="X305" i="8"/>
  <c r="W305" i="8"/>
  <c r="V305" i="8"/>
  <c r="U305" i="8"/>
  <c r="Z304" i="8"/>
  <c r="Y304" i="8"/>
  <c r="X304" i="8"/>
  <c r="W304" i="8"/>
  <c r="V304" i="8"/>
  <c r="U304" i="8"/>
  <c r="Z303" i="8"/>
  <c r="Y303" i="8"/>
  <c r="X303" i="8"/>
  <c r="W303" i="8"/>
  <c r="V303" i="8"/>
  <c r="U303" i="8"/>
  <c r="Z302" i="8"/>
  <c r="Y302" i="8"/>
  <c r="X302" i="8"/>
  <c r="W302" i="8"/>
  <c r="V302" i="8"/>
  <c r="U302" i="8"/>
  <c r="Z301" i="8"/>
  <c r="Y301" i="8"/>
  <c r="X301" i="8"/>
  <c r="W301" i="8"/>
  <c r="V301" i="8"/>
  <c r="U301" i="8"/>
  <c r="Z300" i="8"/>
  <c r="Y300" i="8"/>
  <c r="X300" i="8"/>
  <c r="W300" i="8"/>
  <c r="V300" i="8"/>
  <c r="U300" i="8"/>
  <c r="Z299" i="8"/>
  <c r="Y299" i="8"/>
  <c r="X299" i="8"/>
  <c r="W299" i="8"/>
  <c r="V299" i="8"/>
  <c r="U299" i="8"/>
  <c r="Z298" i="8"/>
  <c r="Y298" i="8"/>
  <c r="X298" i="8"/>
  <c r="W298" i="8"/>
  <c r="V298" i="8"/>
  <c r="U298" i="8"/>
  <c r="Z297" i="8"/>
  <c r="Y297" i="8"/>
  <c r="X297" i="8"/>
  <c r="W297" i="8"/>
  <c r="V297" i="8"/>
  <c r="U297" i="8"/>
  <c r="Z296" i="8"/>
  <c r="Y296" i="8"/>
  <c r="X296" i="8"/>
  <c r="W296" i="8"/>
  <c r="V296" i="8"/>
  <c r="U296" i="8"/>
  <c r="Z295" i="8"/>
  <c r="Y295" i="8"/>
  <c r="X295" i="8"/>
  <c r="W295" i="8"/>
  <c r="V295" i="8"/>
  <c r="U295" i="8"/>
  <c r="Z294" i="8"/>
  <c r="Y294" i="8"/>
  <c r="X294" i="8"/>
  <c r="W294" i="8"/>
  <c r="V294" i="8"/>
  <c r="U294" i="8"/>
  <c r="Z293" i="8"/>
  <c r="Y293" i="8"/>
  <c r="X293" i="8"/>
  <c r="W293" i="8"/>
  <c r="V293" i="8"/>
  <c r="U293" i="8"/>
  <c r="Z292" i="8"/>
  <c r="Y292" i="8"/>
  <c r="X292" i="8"/>
  <c r="W292" i="8"/>
  <c r="V292" i="8"/>
  <c r="U292" i="8"/>
  <c r="Z291" i="8"/>
  <c r="Y291" i="8"/>
  <c r="X291" i="8"/>
  <c r="W291" i="8"/>
  <c r="V291" i="8"/>
  <c r="U291" i="8"/>
  <c r="Z290" i="8"/>
  <c r="Y290" i="8"/>
  <c r="X290" i="8"/>
  <c r="W290" i="8"/>
  <c r="V290" i="8"/>
  <c r="U290" i="8"/>
  <c r="Z289" i="8"/>
  <c r="Y289" i="8"/>
  <c r="X289" i="8"/>
  <c r="W289" i="8"/>
  <c r="V289" i="8"/>
  <c r="U289" i="8"/>
  <c r="Z288" i="8"/>
  <c r="Y288" i="8"/>
  <c r="X288" i="8"/>
  <c r="W288" i="8"/>
  <c r="V288" i="8"/>
  <c r="U288" i="8"/>
  <c r="Z287" i="8"/>
  <c r="Y287" i="8"/>
  <c r="X287" i="8"/>
  <c r="W287" i="8"/>
  <c r="V287" i="8"/>
  <c r="U287" i="8"/>
  <c r="Z286" i="8"/>
  <c r="Y286" i="8"/>
  <c r="X286" i="8"/>
  <c r="W286" i="8"/>
  <c r="V286" i="8"/>
  <c r="U286" i="8"/>
  <c r="Z285" i="8"/>
  <c r="Y285" i="8"/>
  <c r="X285" i="8"/>
  <c r="W285" i="8"/>
  <c r="V285" i="8"/>
  <c r="U285" i="8"/>
  <c r="Z284" i="8"/>
  <c r="Y284" i="8"/>
  <c r="X284" i="8"/>
  <c r="W284" i="8"/>
  <c r="V284" i="8"/>
  <c r="U284" i="8"/>
  <c r="Z283" i="8"/>
  <c r="Y283" i="8"/>
  <c r="X283" i="8"/>
  <c r="W283" i="8"/>
  <c r="V283" i="8"/>
  <c r="U283" i="8"/>
  <c r="Z282" i="8"/>
  <c r="Y282" i="8"/>
  <c r="X282" i="8"/>
  <c r="W282" i="8"/>
  <c r="V282" i="8"/>
  <c r="U282" i="8"/>
  <c r="Z281" i="8"/>
  <c r="Y281" i="8"/>
  <c r="X281" i="8"/>
  <c r="W281" i="8"/>
  <c r="V281" i="8"/>
  <c r="U281" i="8"/>
  <c r="Z280" i="8"/>
  <c r="Y280" i="8"/>
  <c r="X280" i="8"/>
  <c r="W280" i="8"/>
  <c r="V280" i="8"/>
  <c r="U280" i="8"/>
  <c r="Z279" i="8"/>
  <c r="Y279" i="8"/>
  <c r="X279" i="8"/>
  <c r="W279" i="8"/>
  <c r="V279" i="8"/>
  <c r="U279" i="8"/>
  <c r="Z278" i="8"/>
  <c r="Y278" i="8"/>
  <c r="X278" i="8"/>
  <c r="W278" i="8"/>
  <c r="V278" i="8"/>
  <c r="U278" i="8"/>
  <c r="Z277" i="8"/>
  <c r="Y277" i="8"/>
  <c r="X277" i="8"/>
  <c r="W277" i="8"/>
  <c r="V277" i="8"/>
  <c r="U277" i="8"/>
  <c r="Z276" i="8"/>
  <c r="Y276" i="8"/>
  <c r="X276" i="8"/>
  <c r="W276" i="8"/>
  <c r="V276" i="8"/>
  <c r="U276" i="8"/>
  <c r="Z275" i="8"/>
  <c r="Y275" i="8"/>
  <c r="X275" i="8"/>
  <c r="W275" i="8"/>
  <c r="V275" i="8"/>
  <c r="U275" i="8"/>
  <c r="Z274" i="8"/>
  <c r="Y274" i="8"/>
  <c r="X274" i="8"/>
  <c r="W274" i="8"/>
  <c r="V274" i="8"/>
  <c r="U274" i="8"/>
  <c r="Z273" i="8"/>
  <c r="Y273" i="8"/>
  <c r="X273" i="8"/>
  <c r="W273" i="8"/>
  <c r="V273" i="8"/>
  <c r="U273" i="8"/>
  <c r="Z272" i="8"/>
  <c r="Y272" i="8"/>
  <c r="X272" i="8"/>
  <c r="W272" i="8"/>
  <c r="V272" i="8"/>
  <c r="U272" i="8"/>
  <c r="Z271" i="8"/>
  <c r="Y271" i="8"/>
  <c r="X271" i="8"/>
  <c r="W271" i="8"/>
  <c r="V271" i="8"/>
  <c r="U271" i="8"/>
  <c r="Z270" i="8"/>
  <c r="Y270" i="8"/>
  <c r="X270" i="8"/>
  <c r="W270" i="8"/>
  <c r="V270" i="8"/>
  <c r="U270" i="8"/>
  <c r="Z269" i="8"/>
  <c r="Y269" i="8"/>
  <c r="X269" i="8"/>
  <c r="W269" i="8"/>
  <c r="V269" i="8"/>
  <c r="U269" i="8"/>
  <c r="Z268" i="8"/>
  <c r="Y268" i="8"/>
  <c r="X268" i="8"/>
  <c r="W268" i="8"/>
  <c r="V268" i="8"/>
  <c r="U268" i="8"/>
  <c r="Z267" i="8"/>
  <c r="Y267" i="8"/>
  <c r="X267" i="8"/>
  <c r="W267" i="8"/>
  <c r="V267" i="8"/>
  <c r="U267" i="8"/>
  <c r="Z266" i="8"/>
  <c r="Y266" i="8"/>
  <c r="X266" i="8"/>
  <c r="W266" i="8"/>
  <c r="V266" i="8"/>
  <c r="U266" i="8"/>
  <c r="Z265" i="8"/>
  <c r="Y265" i="8"/>
  <c r="X265" i="8"/>
  <c r="W265" i="8"/>
  <c r="V265" i="8"/>
  <c r="U265" i="8"/>
  <c r="Z264" i="8"/>
  <c r="Y264" i="8"/>
  <c r="X264" i="8"/>
  <c r="W264" i="8"/>
  <c r="V264" i="8"/>
  <c r="U264" i="8"/>
  <c r="Z263" i="8"/>
  <c r="Y263" i="8"/>
  <c r="X263" i="8"/>
  <c r="W263" i="8"/>
  <c r="V263" i="8"/>
  <c r="U263" i="8"/>
  <c r="Z262" i="8"/>
  <c r="Y262" i="8"/>
  <c r="X262" i="8"/>
  <c r="W262" i="8"/>
  <c r="V262" i="8"/>
  <c r="U262" i="8"/>
  <c r="Z261" i="8"/>
  <c r="Y261" i="8"/>
  <c r="X261" i="8"/>
  <c r="W261" i="8"/>
  <c r="V261" i="8"/>
  <c r="U261" i="8"/>
  <c r="Z260" i="8"/>
  <c r="Y260" i="8"/>
  <c r="X260" i="8"/>
  <c r="W260" i="8"/>
  <c r="V260" i="8"/>
  <c r="U260" i="8"/>
  <c r="Z259" i="8"/>
  <c r="Y259" i="8"/>
  <c r="X259" i="8"/>
  <c r="W259" i="8"/>
  <c r="V259" i="8"/>
  <c r="U259" i="8"/>
  <c r="Z258" i="8"/>
  <c r="Y258" i="8"/>
  <c r="X258" i="8"/>
  <c r="W258" i="8"/>
  <c r="V258" i="8"/>
  <c r="U258" i="8"/>
  <c r="Z257" i="8"/>
  <c r="Y257" i="8"/>
  <c r="X257" i="8"/>
  <c r="W257" i="8"/>
  <c r="V257" i="8"/>
  <c r="U257" i="8"/>
  <c r="Z256" i="8"/>
  <c r="Y256" i="8"/>
  <c r="X256" i="8"/>
  <c r="W256" i="8"/>
  <c r="V256" i="8"/>
  <c r="U256" i="8"/>
  <c r="Z255" i="8"/>
  <c r="Y255" i="8"/>
  <c r="X255" i="8"/>
  <c r="W255" i="8"/>
  <c r="V255" i="8"/>
  <c r="U255" i="8"/>
  <c r="Z254" i="8"/>
  <c r="Y254" i="8"/>
  <c r="X254" i="8"/>
  <c r="W254" i="8"/>
  <c r="V254" i="8"/>
  <c r="U254" i="8"/>
  <c r="Z253" i="8"/>
  <c r="Y253" i="8"/>
  <c r="X253" i="8"/>
  <c r="W253" i="8"/>
  <c r="V253" i="8"/>
  <c r="U253" i="8"/>
  <c r="Z252" i="8"/>
  <c r="Y252" i="8"/>
  <c r="X252" i="8"/>
  <c r="W252" i="8"/>
  <c r="V252" i="8"/>
  <c r="U252" i="8"/>
  <c r="Z251" i="8"/>
  <c r="Y251" i="8"/>
  <c r="X251" i="8"/>
  <c r="W251" i="8"/>
  <c r="V251" i="8"/>
  <c r="U251" i="8"/>
  <c r="Z250" i="8"/>
  <c r="Y250" i="8"/>
  <c r="X250" i="8"/>
  <c r="W250" i="8"/>
  <c r="V250" i="8"/>
  <c r="U250" i="8"/>
  <c r="Z249" i="8"/>
  <c r="Y249" i="8"/>
  <c r="X249" i="8"/>
  <c r="W249" i="8"/>
  <c r="V249" i="8"/>
  <c r="U249" i="8"/>
  <c r="Z248" i="8"/>
  <c r="Y248" i="8"/>
  <c r="X248" i="8"/>
  <c r="W248" i="8"/>
  <c r="V248" i="8"/>
  <c r="U248" i="8"/>
  <c r="Z247" i="8"/>
  <c r="Y247" i="8"/>
  <c r="X247" i="8"/>
  <c r="W247" i="8"/>
  <c r="V247" i="8"/>
  <c r="U247" i="8"/>
  <c r="Z246" i="8"/>
  <c r="Y246" i="8"/>
  <c r="X246" i="8"/>
  <c r="W246" i="8"/>
  <c r="V246" i="8"/>
  <c r="U246" i="8"/>
  <c r="Z245" i="8"/>
  <c r="Y245" i="8"/>
  <c r="X245" i="8"/>
  <c r="W245" i="8"/>
  <c r="V245" i="8"/>
  <c r="U245" i="8"/>
  <c r="Z244" i="8"/>
  <c r="Y244" i="8"/>
  <c r="X244" i="8"/>
  <c r="W244" i="8"/>
  <c r="V244" i="8"/>
  <c r="U244" i="8"/>
  <c r="Z243" i="8"/>
  <c r="Y243" i="8"/>
  <c r="X243" i="8"/>
  <c r="W243" i="8"/>
  <c r="V243" i="8"/>
  <c r="U243" i="8"/>
  <c r="Z242" i="8"/>
  <c r="Y242" i="8"/>
  <c r="X242" i="8"/>
  <c r="W242" i="8"/>
  <c r="V242" i="8"/>
  <c r="U242" i="8"/>
  <c r="Z241" i="8"/>
  <c r="Y241" i="8"/>
  <c r="X241" i="8"/>
  <c r="W241" i="8"/>
  <c r="V241" i="8"/>
  <c r="U241" i="8"/>
  <c r="Z240" i="8"/>
  <c r="Y240" i="8"/>
  <c r="X240" i="8"/>
  <c r="W240" i="8"/>
  <c r="V240" i="8"/>
  <c r="U240" i="8"/>
  <c r="Z239" i="8"/>
  <c r="Y239" i="8"/>
  <c r="X239" i="8"/>
  <c r="W239" i="8"/>
  <c r="V239" i="8"/>
  <c r="U239" i="8"/>
  <c r="Z238" i="8"/>
  <c r="Y238" i="8"/>
  <c r="X238" i="8"/>
  <c r="W238" i="8"/>
  <c r="V238" i="8"/>
  <c r="U238" i="8"/>
  <c r="Z237" i="8"/>
  <c r="Y237" i="8"/>
  <c r="X237" i="8"/>
  <c r="W237" i="8"/>
  <c r="V237" i="8"/>
  <c r="U237" i="8"/>
  <c r="Z236" i="8"/>
  <c r="Y236" i="8"/>
  <c r="X236" i="8"/>
  <c r="W236" i="8"/>
  <c r="V236" i="8"/>
  <c r="U236" i="8"/>
  <c r="Z235" i="8"/>
  <c r="Y235" i="8"/>
  <c r="X235" i="8"/>
  <c r="W235" i="8"/>
  <c r="V235" i="8"/>
  <c r="U235" i="8"/>
  <c r="Z234" i="8"/>
  <c r="Y234" i="8"/>
  <c r="X234" i="8"/>
  <c r="W234" i="8"/>
  <c r="V234" i="8"/>
  <c r="U234" i="8"/>
  <c r="Z233" i="8"/>
  <c r="Y233" i="8"/>
  <c r="X233" i="8"/>
  <c r="W233" i="8"/>
  <c r="V233" i="8"/>
  <c r="U233" i="8"/>
  <c r="Z232" i="8"/>
  <c r="Y232" i="8"/>
  <c r="X232" i="8"/>
  <c r="W232" i="8"/>
  <c r="V232" i="8"/>
  <c r="U232" i="8"/>
  <c r="Z231" i="8"/>
  <c r="Y231" i="8"/>
  <c r="X231" i="8"/>
  <c r="W231" i="8"/>
  <c r="V231" i="8"/>
  <c r="U231" i="8"/>
  <c r="Z230" i="8"/>
  <c r="Y230" i="8"/>
  <c r="X230" i="8"/>
  <c r="W230" i="8"/>
  <c r="V230" i="8"/>
  <c r="U230" i="8"/>
  <c r="Z229" i="8"/>
  <c r="Y229" i="8"/>
  <c r="X229" i="8"/>
  <c r="W229" i="8"/>
  <c r="V229" i="8"/>
  <c r="U229" i="8"/>
  <c r="Z228" i="8"/>
  <c r="Y228" i="8"/>
  <c r="X228" i="8"/>
  <c r="W228" i="8"/>
  <c r="V228" i="8"/>
  <c r="U228" i="8"/>
  <c r="Z227" i="8"/>
  <c r="Y227" i="8"/>
  <c r="X227" i="8"/>
  <c r="W227" i="8"/>
  <c r="V227" i="8"/>
  <c r="U227" i="8"/>
  <c r="Z226" i="8"/>
  <c r="Y226" i="8"/>
  <c r="X226" i="8"/>
  <c r="W226" i="8"/>
  <c r="V226" i="8"/>
  <c r="U226" i="8"/>
  <c r="Z225" i="8"/>
  <c r="Y225" i="8"/>
  <c r="X225" i="8"/>
  <c r="W225" i="8"/>
  <c r="V225" i="8"/>
  <c r="U225" i="8"/>
  <c r="Z224" i="8"/>
  <c r="Y224" i="8"/>
  <c r="X224" i="8"/>
  <c r="W224" i="8"/>
  <c r="V224" i="8"/>
  <c r="U224" i="8"/>
  <c r="Z223" i="8"/>
  <c r="Y223" i="8"/>
  <c r="X223" i="8"/>
  <c r="W223" i="8"/>
  <c r="V223" i="8"/>
  <c r="U223" i="8"/>
  <c r="Z222" i="8"/>
  <c r="Y222" i="8"/>
  <c r="X222" i="8"/>
  <c r="W222" i="8"/>
  <c r="V222" i="8"/>
  <c r="U222" i="8"/>
  <c r="Z221" i="8"/>
  <c r="Y221" i="8"/>
  <c r="X221" i="8"/>
  <c r="W221" i="8"/>
  <c r="V221" i="8"/>
  <c r="U221" i="8"/>
  <c r="Z220" i="8"/>
  <c r="Y220" i="8"/>
  <c r="X220" i="8"/>
  <c r="W220" i="8"/>
  <c r="V220" i="8"/>
  <c r="U220" i="8"/>
  <c r="Z219" i="8"/>
  <c r="Y219" i="8"/>
  <c r="X219" i="8"/>
  <c r="W219" i="8"/>
  <c r="V219" i="8"/>
  <c r="U219" i="8"/>
  <c r="Z218" i="8"/>
  <c r="Y218" i="8"/>
  <c r="X218" i="8"/>
  <c r="W218" i="8"/>
  <c r="V218" i="8"/>
  <c r="U218" i="8"/>
  <c r="Z217" i="8"/>
  <c r="Y217" i="8"/>
  <c r="X217" i="8"/>
  <c r="W217" i="8"/>
  <c r="V217" i="8"/>
  <c r="U217" i="8"/>
  <c r="Z216" i="8"/>
  <c r="Y216" i="8"/>
  <c r="X216" i="8"/>
  <c r="W216" i="8"/>
  <c r="V216" i="8"/>
  <c r="U216" i="8"/>
  <c r="Z215" i="8"/>
  <c r="Y215" i="8"/>
  <c r="X215" i="8"/>
  <c r="W215" i="8"/>
  <c r="V215" i="8"/>
  <c r="U215" i="8"/>
  <c r="Z214" i="8"/>
  <c r="Y214" i="8"/>
  <c r="X214" i="8"/>
  <c r="W214" i="8"/>
  <c r="V214" i="8"/>
  <c r="U214" i="8"/>
  <c r="Z213" i="8"/>
  <c r="Y213" i="8"/>
  <c r="X213" i="8"/>
  <c r="W213" i="8"/>
  <c r="V213" i="8"/>
  <c r="U213" i="8"/>
  <c r="Z212" i="8"/>
  <c r="Y212" i="8"/>
  <c r="X212" i="8"/>
  <c r="W212" i="8"/>
  <c r="V212" i="8"/>
  <c r="U212" i="8"/>
  <c r="Z211" i="8"/>
  <c r="Y211" i="8"/>
  <c r="X211" i="8"/>
  <c r="W211" i="8"/>
  <c r="V211" i="8"/>
  <c r="U211" i="8"/>
  <c r="Z210" i="8"/>
  <c r="Y210" i="8"/>
  <c r="X210" i="8"/>
  <c r="W210" i="8"/>
  <c r="V210" i="8"/>
  <c r="U210" i="8"/>
  <c r="Z209" i="8"/>
  <c r="Y209" i="8"/>
  <c r="X209" i="8"/>
  <c r="W209" i="8"/>
  <c r="V209" i="8"/>
  <c r="U209" i="8"/>
  <c r="Z208" i="8"/>
  <c r="Y208" i="8"/>
  <c r="X208" i="8"/>
  <c r="W208" i="8"/>
  <c r="V208" i="8"/>
  <c r="U208" i="8"/>
  <c r="Z207" i="8"/>
  <c r="Y207" i="8"/>
  <c r="X207" i="8"/>
  <c r="W207" i="8"/>
  <c r="V207" i="8"/>
  <c r="U207" i="8"/>
  <c r="Z206" i="8"/>
  <c r="Y206" i="8"/>
  <c r="X206" i="8"/>
  <c r="W206" i="8"/>
  <c r="V206" i="8"/>
  <c r="U206" i="8"/>
  <c r="Z205" i="8"/>
  <c r="Y205" i="8"/>
  <c r="X205" i="8"/>
  <c r="W205" i="8"/>
  <c r="V205" i="8"/>
  <c r="U205" i="8"/>
  <c r="Z204" i="8"/>
  <c r="Y204" i="8"/>
  <c r="X204" i="8"/>
  <c r="W204" i="8"/>
  <c r="V204" i="8"/>
  <c r="U204" i="8"/>
  <c r="Z203" i="8"/>
  <c r="Y203" i="8"/>
  <c r="X203" i="8"/>
  <c r="W203" i="8"/>
  <c r="V203" i="8"/>
  <c r="U203" i="8"/>
  <c r="Z202" i="8"/>
  <c r="Y202" i="8"/>
  <c r="X202" i="8"/>
  <c r="W202" i="8"/>
  <c r="V202" i="8"/>
  <c r="U202" i="8"/>
  <c r="Z201" i="8"/>
  <c r="Y201" i="8"/>
  <c r="X201" i="8"/>
  <c r="W201" i="8"/>
  <c r="V201" i="8"/>
  <c r="U201" i="8"/>
  <c r="Z200" i="8"/>
  <c r="Y200" i="8"/>
  <c r="X200" i="8"/>
  <c r="W200" i="8"/>
  <c r="V200" i="8"/>
  <c r="U200" i="8"/>
  <c r="Z199" i="8"/>
  <c r="Y199" i="8"/>
  <c r="X199" i="8"/>
  <c r="W199" i="8"/>
  <c r="V199" i="8"/>
  <c r="U199" i="8"/>
  <c r="Z198" i="8"/>
  <c r="Y198" i="8"/>
  <c r="X198" i="8"/>
  <c r="W198" i="8"/>
  <c r="V198" i="8"/>
  <c r="U198" i="8"/>
  <c r="Z197" i="8"/>
  <c r="Y197" i="8"/>
  <c r="X197" i="8"/>
  <c r="W197" i="8"/>
  <c r="V197" i="8"/>
  <c r="U197" i="8"/>
  <c r="Z196" i="8"/>
  <c r="Y196" i="8"/>
  <c r="X196" i="8"/>
  <c r="W196" i="8"/>
  <c r="V196" i="8"/>
  <c r="U196" i="8"/>
  <c r="Z195" i="8"/>
  <c r="Y195" i="8"/>
  <c r="X195" i="8"/>
  <c r="W195" i="8"/>
  <c r="V195" i="8"/>
  <c r="U195" i="8"/>
  <c r="Z194" i="8"/>
  <c r="Y194" i="8"/>
  <c r="X194" i="8"/>
  <c r="W194" i="8"/>
  <c r="V194" i="8"/>
  <c r="U194" i="8"/>
  <c r="Z193" i="8"/>
  <c r="Y193" i="8"/>
  <c r="X193" i="8"/>
  <c r="W193" i="8"/>
  <c r="V193" i="8"/>
  <c r="U193" i="8"/>
  <c r="Z192" i="8"/>
  <c r="Y192" i="8"/>
  <c r="X192" i="8"/>
  <c r="W192" i="8"/>
  <c r="V192" i="8"/>
  <c r="U192" i="8"/>
  <c r="Z191" i="8"/>
  <c r="Y191" i="8"/>
  <c r="X191" i="8"/>
  <c r="W191" i="8"/>
  <c r="V191" i="8"/>
  <c r="U191" i="8"/>
  <c r="Z190" i="8"/>
  <c r="Y190" i="8"/>
  <c r="X190" i="8"/>
  <c r="W190" i="8"/>
  <c r="V190" i="8"/>
  <c r="U190" i="8"/>
  <c r="Z189" i="8"/>
  <c r="Y189" i="8"/>
  <c r="X189" i="8"/>
  <c r="W189" i="8"/>
  <c r="V189" i="8"/>
  <c r="U189" i="8"/>
  <c r="Z188" i="8"/>
  <c r="Y188" i="8"/>
  <c r="X188" i="8"/>
  <c r="W188" i="8"/>
  <c r="V188" i="8"/>
  <c r="U188" i="8"/>
  <c r="Z187" i="8"/>
  <c r="Y187" i="8"/>
  <c r="X187" i="8"/>
  <c r="W187" i="8"/>
  <c r="V187" i="8"/>
  <c r="U187" i="8"/>
  <c r="Z186" i="8"/>
  <c r="Y186" i="8"/>
  <c r="X186" i="8"/>
  <c r="W186" i="8"/>
  <c r="V186" i="8"/>
  <c r="U186" i="8"/>
  <c r="Z185" i="8"/>
  <c r="Y185" i="8"/>
  <c r="X185" i="8"/>
  <c r="W185" i="8"/>
  <c r="V185" i="8"/>
  <c r="U185" i="8"/>
  <c r="Z184" i="8"/>
  <c r="Y184" i="8"/>
  <c r="X184" i="8"/>
  <c r="W184" i="8"/>
  <c r="V184" i="8"/>
  <c r="U184" i="8"/>
  <c r="Z183" i="8"/>
  <c r="Y183" i="8"/>
  <c r="X183" i="8"/>
  <c r="W183" i="8"/>
  <c r="V183" i="8"/>
  <c r="U183" i="8"/>
  <c r="Z182" i="8"/>
  <c r="Y182" i="8"/>
  <c r="X182" i="8"/>
  <c r="W182" i="8"/>
  <c r="V182" i="8"/>
  <c r="U182" i="8"/>
  <c r="Z181" i="8"/>
  <c r="Y181" i="8"/>
  <c r="X181" i="8"/>
  <c r="W181" i="8"/>
  <c r="V181" i="8"/>
  <c r="U181" i="8"/>
  <c r="Z180" i="8"/>
  <c r="Y180" i="8"/>
  <c r="X180" i="8"/>
  <c r="W180" i="8"/>
  <c r="V180" i="8"/>
  <c r="U180" i="8"/>
  <c r="Z179" i="8"/>
  <c r="Y179" i="8"/>
  <c r="X179" i="8"/>
  <c r="W179" i="8"/>
  <c r="V179" i="8"/>
  <c r="U179" i="8"/>
  <c r="Z178" i="8"/>
  <c r="Y178" i="8"/>
  <c r="X178" i="8"/>
  <c r="W178" i="8"/>
  <c r="V178" i="8"/>
  <c r="U178" i="8"/>
  <c r="Z177" i="8"/>
  <c r="Y177" i="8"/>
  <c r="X177" i="8"/>
  <c r="W177" i="8"/>
  <c r="V177" i="8"/>
  <c r="U177" i="8"/>
  <c r="Z176" i="8"/>
  <c r="Y176" i="8"/>
  <c r="X176" i="8"/>
  <c r="W176" i="8"/>
  <c r="V176" i="8"/>
  <c r="U176" i="8"/>
  <c r="Z175" i="8"/>
  <c r="Y175" i="8"/>
  <c r="X175" i="8"/>
  <c r="W175" i="8"/>
  <c r="V175" i="8"/>
  <c r="U175" i="8"/>
  <c r="Z174" i="8"/>
  <c r="Y174" i="8"/>
  <c r="X174" i="8"/>
  <c r="W174" i="8"/>
  <c r="V174" i="8"/>
  <c r="U174" i="8"/>
  <c r="Z173" i="8"/>
  <c r="Y173" i="8"/>
  <c r="X173" i="8"/>
  <c r="W173" i="8"/>
  <c r="V173" i="8"/>
  <c r="U173" i="8"/>
  <c r="Z172" i="8"/>
  <c r="Y172" i="8"/>
  <c r="X172" i="8"/>
  <c r="W172" i="8"/>
  <c r="V172" i="8"/>
  <c r="U172" i="8"/>
  <c r="Z171" i="8"/>
  <c r="Y171" i="8"/>
  <c r="X171" i="8"/>
  <c r="W171" i="8"/>
  <c r="V171" i="8"/>
  <c r="U171" i="8"/>
  <c r="Z170" i="8"/>
  <c r="Y170" i="8"/>
  <c r="X170" i="8"/>
  <c r="W170" i="8"/>
  <c r="V170" i="8"/>
  <c r="U170" i="8"/>
  <c r="Z169" i="8"/>
  <c r="Y169" i="8"/>
  <c r="X169" i="8"/>
  <c r="W169" i="8"/>
  <c r="V169" i="8"/>
  <c r="U169" i="8"/>
  <c r="Z168" i="8"/>
  <c r="Y168" i="8"/>
  <c r="X168" i="8"/>
  <c r="W168" i="8"/>
  <c r="V168" i="8"/>
  <c r="U168" i="8"/>
  <c r="Z167" i="8"/>
  <c r="Y167" i="8"/>
  <c r="X167" i="8"/>
  <c r="W167" i="8"/>
  <c r="V167" i="8"/>
  <c r="U167" i="8"/>
  <c r="Z166" i="8"/>
  <c r="Y166" i="8"/>
  <c r="X166" i="8"/>
  <c r="W166" i="8"/>
  <c r="V166" i="8"/>
  <c r="U166" i="8"/>
  <c r="Z165" i="8"/>
  <c r="Y165" i="8"/>
  <c r="X165" i="8"/>
  <c r="W165" i="8"/>
  <c r="V165" i="8"/>
  <c r="U165" i="8"/>
  <c r="Z164" i="8"/>
  <c r="Y164" i="8"/>
  <c r="X164" i="8"/>
  <c r="W164" i="8"/>
  <c r="V164" i="8"/>
  <c r="U164" i="8"/>
  <c r="Z163" i="8"/>
  <c r="Y163" i="8"/>
  <c r="X163" i="8"/>
  <c r="W163" i="8"/>
  <c r="V163" i="8"/>
  <c r="U163" i="8"/>
  <c r="Z162" i="8"/>
  <c r="Y162" i="8"/>
  <c r="X162" i="8"/>
  <c r="W162" i="8"/>
  <c r="V162" i="8"/>
  <c r="U162" i="8"/>
  <c r="Z161" i="8"/>
  <c r="Y161" i="8"/>
  <c r="X161" i="8"/>
  <c r="W161" i="8"/>
  <c r="V161" i="8"/>
  <c r="U161" i="8"/>
  <c r="Z160" i="8"/>
  <c r="Y160" i="8"/>
  <c r="X160" i="8"/>
  <c r="W160" i="8"/>
  <c r="V160" i="8"/>
  <c r="U160" i="8"/>
  <c r="Z159" i="8"/>
  <c r="Y159" i="8"/>
  <c r="X159" i="8"/>
  <c r="W159" i="8"/>
  <c r="V159" i="8"/>
  <c r="U159" i="8"/>
  <c r="Z158" i="8"/>
  <c r="Y158" i="8"/>
  <c r="X158" i="8"/>
  <c r="W158" i="8"/>
  <c r="V158" i="8"/>
  <c r="U158" i="8"/>
  <c r="Z157" i="8"/>
  <c r="Y157" i="8"/>
  <c r="X157" i="8"/>
  <c r="W157" i="8"/>
  <c r="V157" i="8"/>
  <c r="U157" i="8"/>
  <c r="Z156" i="8"/>
  <c r="Y156" i="8"/>
  <c r="X156" i="8"/>
  <c r="W156" i="8"/>
  <c r="V156" i="8"/>
  <c r="U156" i="8"/>
  <c r="Z155" i="8"/>
  <c r="Y155" i="8"/>
  <c r="X155" i="8"/>
  <c r="W155" i="8"/>
  <c r="V155" i="8"/>
  <c r="U155" i="8"/>
  <c r="Z154" i="8"/>
  <c r="Y154" i="8"/>
  <c r="X154" i="8"/>
  <c r="W154" i="8"/>
  <c r="V154" i="8"/>
  <c r="U154" i="8"/>
  <c r="Z153" i="8"/>
  <c r="Y153" i="8"/>
  <c r="X153" i="8"/>
  <c r="W153" i="8"/>
  <c r="V153" i="8"/>
  <c r="U153" i="8"/>
  <c r="Z152" i="8"/>
  <c r="Y152" i="8"/>
  <c r="X152" i="8"/>
  <c r="W152" i="8"/>
  <c r="V152" i="8"/>
  <c r="U152" i="8"/>
  <c r="Z151" i="8"/>
  <c r="Y151" i="8"/>
  <c r="X151" i="8"/>
  <c r="W151" i="8"/>
  <c r="V151" i="8"/>
  <c r="U151" i="8"/>
  <c r="Z150" i="8"/>
  <c r="Y150" i="8"/>
  <c r="X150" i="8"/>
  <c r="W150" i="8"/>
  <c r="V150" i="8"/>
  <c r="U150" i="8"/>
  <c r="Z149" i="8"/>
  <c r="Y149" i="8"/>
  <c r="X149" i="8"/>
  <c r="W149" i="8"/>
  <c r="V149" i="8"/>
  <c r="U149" i="8"/>
  <c r="Z148" i="8"/>
  <c r="Y148" i="8"/>
  <c r="X148" i="8"/>
  <c r="W148" i="8"/>
  <c r="V148" i="8"/>
  <c r="U148" i="8"/>
  <c r="Z147" i="8"/>
  <c r="Y147" i="8"/>
  <c r="X147" i="8"/>
  <c r="W147" i="8"/>
  <c r="V147" i="8"/>
  <c r="U147" i="8"/>
  <c r="Z146" i="8"/>
  <c r="Y146" i="8"/>
  <c r="X146" i="8"/>
  <c r="W146" i="8"/>
  <c r="V146" i="8"/>
  <c r="U146" i="8"/>
  <c r="Z145" i="8"/>
  <c r="Y145" i="8"/>
  <c r="X145" i="8"/>
  <c r="W145" i="8"/>
  <c r="V145" i="8"/>
  <c r="U145" i="8"/>
  <c r="Z144" i="8"/>
  <c r="Y144" i="8"/>
  <c r="X144" i="8"/>
  <c r="W144" i="8"/>
  <c r="V144" i="8"/>
  <c r="U144" i="8"/>
  <c r="Z143" i="8"/>
  <c r="Y143" i="8"/>
  <c r="X143" i="8"/>
  <c r="W143" i="8"/>
  <c r="V143" i="8"/>
  <c r="U143" i="8"/>
  <c r="Z142" i="8"/>
  <c r="Y142" i="8"/>
  <c r="X142" i="8"/>
  <c r="W142" i="8"/>
  <c r="V142" i="8"/>
  <c r="U142" i="8"/>
  <c r="Z141" i="8"/>
  <c r="Y141" i="8"/>
  <c r="X141" i="8"/>
  <c r="W141" i="8"/>
  <c r="V141" i="8"/>
  <c r="U141" i="8"/>
  <c r="Z140" i="8"/>
  <c r="Y140" i="8"/>
  <c r="X140" i="8"/>
  <c r="W140" i="8"/>
  <c r="V140" i="8"/>
  <c r="U140" i="8"/>
  <c r="Z139" i="8"/>
  <c r="Y139" i="8"/>
  <c r="X139" i="8"/>
  <c r="W139" i="8"/>
  <c r="V139" i="8"/>
  <c r="U139" i="8"/>
  <c r="Z138" i="8"/>
  <c r="Y138" i="8"/>
  <c r="X138" i="8"/>
  <c r="W138" i="8"/>
  <c r="V138" i="8"/>
  <c r="U138" i="8"/>
  <c r="Z137" i="8"/>
  <c r="Y137" i="8"/>
  <c r="X137" i="8"/>
  <c r="W137" i="8"/>
  <c r="V137" i="8"/>
  <c r="U137" i="8"/>
  <c r="Z136" i="8"/>
  <c r="Y136" i="8"/>
  <c r="X136" i="8"/>
  <c r="W136" i="8"/>
  <c r="V136" i="8"/>
  <c r="U136" i="8"/>
  <c r="Z135" i="8"/>
  <c r="Y135" i="8"/>
  <c r="X135" i="8"/>
  <c r="W135" i="8"/>
  <c r="V135" i="8"/>
  <c r="U135" i="8"/>
  <c r="Z134" i="8"/>
  <c r="Y134" i="8"/>
  <c r="X134" i="8"/>
  <c r="W134" i="8"/>
  <c r="V134" i="8"/>
  <c r="U134" i="8"/>
  <c r="Z133" i="8"/>
  <c r="Y133" i="8"/>
  <c r="X133" i="8"/>
  <c r="W133" i="8"/>
  <c r="V133" i="8"/>
  <c r="U133" i="8"/>
  <c r="Z132" i="8"/>
  <c r="Y132" i="8"/>
  <c r="X132" i="8"/>
  <c r="W132" i="8"/>
  <c r="V132" i="8"/>
  <c r="U132" i="8"/>
  <c r="Z131" i="8"/>
  <c r="Y131" i="8"/>
  <c r="X131" i="8"/>
  <c r="W131" i="8"/>
  <c r="V131" i="8"/>
  <c r="U131" i="8"/>
  <c r="Z130" i="8"/>
  <c r="Y130" i="8"/>
  <c r="X130" i="8"/>
  <c r="W130" i="8"/>
  <c r="V130" i="8"/>
  <c r="U130" i="8"/>
  <c r="Z129" i="8"/>
  <c r="Y129" i="8"/>
  <c r="X129" i="8"/>
  <c r="W129" i="8"/>
  <c r="V129" i="8"/>
  <c r="U129" i="8"/>
  <c r="Z128" i="8"/>
  <c r="Y128" i="8"/>
  <c r="X128" i="8"/>
  <c r="W128" i="8"/>
  <c r="V128" i="8"/>
  <c r="U128" i="8"/>
  <c r="Z127" i="8"/>
  <c r="Y127" i="8"/>
  <c r="X127" i="8"/>
  <c r="W127" i="8"/>
  <c r="V127" i="8"/>
  <c r="U127" i="8"/>
  <c r="Z126" i="8"/>
  <c r="Y126" i="8"/>
  <c r="X126" i="8"/>
  <c r="W126" i="8"/>
  <c r="V126" i="8"/>
  <c r="U126" i="8"/>
  <c r="Z125" i="8"/>
  <c r="Y125" i="8"/>
  <c r="X125" i="8"/>
  <c r="W125" i="8"/>
  <c r="V125" i="8"/>
  <c r="U125" i="8"/>
  <c r="Z124" i="8"/>
  <c r="Y124" i="8"/>
  <c r="X124" i="8"/>
  <c r="W124" i="8"/>
  <c r="V124" i="8"/>
  <c r="U124" i="8"/>
  <c r="Z123" i="8"/>
  <c r="Y123" i="8"/>
  <c r="X123" i="8"/>
  <c r="W123" i="8"/>
  <c r="V123" i="8"/>
  <c r="U123" i="8"/>
  <c r="Z122" i="8"/>
  <c r="Y122" i="8"/>
  <c r="X122" i="8"/>
  <c r="W122" i="8"/>
  <c r="V122" i="8"/>
  <c r="U122" i="8"/>
  <c r="Z121" i="8"/>
  <c r="Y121" i="8"/>
  <c r="X121" i="8"/>
  <c r="W121" i="8"/>
  <c r="V121" i="8"/>
  <c r="U121" i="8"/>
  <c r="Z120" i="8"/>
  <c r="Y120" i="8"/>
  <c r="X120" i="8"/>
  <c r="W120" i="8"/>
  <c r="V120" i="8"/>
  <c r="U120" i="8"/>
  <c r="Z119" i="8"/>
  <c r="Y119" i="8"/>
  <c r="X119" i="8"/>
  <c r="W119" i="8"/>
  <c r="V119" i="8"/>
  <c r="U119" i="8"/>
  <c r="Z118" i="8"/>
  <c r="Y118" i="8"/>
  <c r="X118" i="8"/>
  <c r="W118" i="8"/>
  <c r="V118" i="8"/>
  <c r="U118" i="8"/>
  <c r="Z117" i="8"/>
  <c r="Y117" i="8"/>
  <c r="X117" i="8"/>
  <c r="W117" i="8"/>
  <c r="V117" i="8"/>
  <c r="U117" i="8"/>
  <c r="Z116" i="8"/>
  <c r="Y116" i="8"/>
  <c r="X116" i="8"/>
  <c r="W116" i="8"/>
  <c r="V116" i="8"/>
  <c r="U116" i="8"/>
  <c r="Z115" i="8"/>
  <c r="Y115" i="8"/>
  <c r="X115" i="8"/>
  <c r="W115" i="8"/>
  <c r="V115" i="8"/>
  <c r="U115" i="8"/>
  <c r="Z114" i="8"/>
  <c r="Y114" i="8"/>
  <c r="X114" i="8"/>
  <c r="W114" i="8"/>
  <c r="V114" i="8"/>
  <c r="U114" i="8"/>
  <c r="Z113" i="8"/>
  <c r="Y113" i="8"/>
  <c r="X113" i="8"/>
  <c r="W113" i="8"/>
  <c r="V113" i="8"/>
  <c r="U113" i="8"/>
  <c r="Z112" i="8"/>
  <c r="Y112" i="8"/>
  <c r="X112" i="8"/>
  <c r="W112" i="8"/>
  <c r="V112" i="8"/>
  <c r="U112" i="8"/>
  <c r="Z111" i="8"/>
  <c r="Y111" i="8"/>
  <c r="X111" i="8"/>
  <c r="W111" i="8"/>
  <c r="V111" i="8"/>
  <c r="U111" i="8"/>
  <c r="Z110" i="8"/>
  <c r="Y110" i="8"/>
  <c r="X110" i="8"/>
  <c r="W110" i="8"/>
  <c r="V110" i="8"/>
  <c r="U110" i="8"/>
  <c r="Z109" i="8"/>
  <c r="Y109" i="8"/>
  <c r="X109" i="8"/>
  <c r="W109" i="8"/>
  <c r="V109" i="8"/>
  <c r="U109" i="8"/>
  <c r="Z108" i="8"/>
  <c r="Y108" i="8"/>
  <c r="X108" i="8"/>
  <c r="W108" i="8"/>
  <c r="V108" i="8"/>
  <c r="U108" i="8"/>
  <c r="Z107" i="8"/>
  <c r="Y107" i="8"/>
  <c r="X107" i="8"/>
  <c r="W107" i="8"/>
  <c r="V107" i="8"/>
  <c r="U107" i="8"/>
  <c r="Z106" i="8"/>
  <c r="Y106" i="8"/>
  <c r="X106" i="8"/>
  <c r="W106" i="8"/>
  <c r="V106" i="8"/>
  <c r="U106" i="8"/>
  <c r="Z105" i="8"/>
  <c r="Y105" i="8"/>
  <c r="X105" i="8"/>
  <c r="W105" i="8"/>
  <c r="V105" i="8"/>
  <c r="U105" i="8"/>
  <c r="Z104" i="8"/>
  <c r="Y104" i="8"/>
  <c r="X104" i="8"/>
  <c r="W104" i="8"/>
  <c r="V104" i="8"/>
  <c r="U104" i="8"/>
  <c r="Z103" i="8"/>
  <c r="Y103" i="8"/>
  <c r="X103" i="8"/>
  <c r="W103" i="8"/>
  <c r="V103" i="8"/>
  <c r="U103" i="8"/>
  <c r="Z102" i="8"/>
  <c r="Y102" i="8"/>
  <c r="X102" i="8"/>
  <c r="W102" i="8"/>
  <c r="V102" i="8"/>
  <c r="U102" i="8"/>
  <c r="Z101" i="8"/>
  <c r="Y101" i="8"/>
  <c r="X101" i="8"/>
  <c r="W101" i="8"/>
  <c r="V101" i="8"/>
  <c r="U101" i="8"/>
  <c r="Z100" i="8"/>
  <c r="Y100" i="8"/>
  <c r="X100" i="8"/>
  <c r="W100" i="8"/>
  <c r="V100" i="8"/>
  <c r="U100" i="8"/>
  <c r="Z99" i="8"/>
  <c r="Y99" i="8"/>
  <c r="X99" i="8"/>
  <c r="W99" i="8"/>
  <c r="V99" i="8"/>
  <c r="U99" i="8"/>
  <c r="Z98" i="8"/>
  <c r="Y98" i="8"/>
  <c r="X98" i="8"/>
  <c r="W98" i="8"/>
  <c r="V98" i="8"/>
  <c r="U98" i="8"/>
  <c r="Z97" i="8"/>
  <c r="Y97" i="8"/>
  <c r="X97" i="8"/>
  <c r="W97" i="8"/>
  <c r="V97" i="8"/>
  <c r="U97" i="8"/>
  <c r="Z96" i="8"/>
  <c r="Y96" i="8"/>
  <c r="X96" i="8"/>
  <c r="W96" i="8"/>
  <c r="V96" i="8"/>
  <c r="U96" i="8"/>
  <c r="Z95" i="8"/>
  <c r="Y95" i="8"/>
  <c r="X95" i="8"/>
  <c r="W95" i="8"/>
  <c r="V95" i="8"/>
  <c r="U95" i="8"/>
  <c r="Z94" i="8"/>
  <c r="Y94" i="8"/>
  <c r="X94" i="8"/>
  <c r="W94" i="8"/>
  <c r="V94" i="8"/>
  <c r="U94" i="8"/>
  <c r="Z93" i="8"/>
  <c r="Y93" i="8"/>
  <c r="X93" i="8"/>
  <c r="W93" i="8"/>
  <c r="V93" i="8"/>
  <c r="U93" i="8"/>
  <c r="Z92" i="8"/>
  <c r="Y92" i="8"/>
  <c r="X92" i="8"/>
  <c r="W92" i="8"/>
  <c r="V92" i="8"/>
  <c r="U92" i="8"/>
  <c r="Z91" i="8"/>
  <c r="Y91" i="8"/>
  <c r="X91" i="8"/>
  <c r="W91" i="8"/>
  <c r="V91" i="8"/>
  <c r="U91" i="8"/>
  <c r="Z90" i="8"/>
  <c r="Y90" i="8"/>
  <c r="X90" i="8"/>
  <c r="W90" i="8"/>
  <c r="V90" i="8"/>
  <c r="U90" i="8"/>
  <c r="Z89" i="8"/>
  <c r="Y89" i="8"/>
  <c r="X89" i="8"/>
  <c r="W89" i="8"/>
  <c r="V89" i="8"/>
  <c r="U89" i="8"/>
  <c r="Z88" i="8"/>
  <c r="Y88" i="8"/>
  <c r="X88" i="8"/>
  <c r="W88" i="8"/>
  <c r="V88" i="8"/>
  <c r="U88" i="8"/>
  <c r="Z87" i="8"/>
  <c r="Y87" i="8"/>
  <c r="X87" i="8"/>
  <c r="W87" i="8"/>
  <c r="V87" i="8"/>
  <c r="U87" i="8"/>
  <c r="Z86" i="8"/>
  <c r="Y86" i="8"/>
  <c r="X86" i="8"/>
  <c r="W86" i="8"/>
  <c r="V86" i="8"/>
  <c r="U86" i="8"/>
  <c r="Z85" i="8"/>
  <c r="Y85" i="8"/>
  <c r="X85" i="8"/>
  <c r="W85" i="8"/>
  <c r="V85" i="8"/>
  <c r="U85" i="8"/>
  <c r="Z84" i="8"/>
  <c r="Y84" i="8"/>
  <c r="X84" i="8"/>
  <c r="W84" i="8"/>
  <c r="V84" i="8"/>
  <c r="U84" i="8"/>
  <c r="Z83" i="8"/>
  <c r="Y83" i="8"/>
  <c r="X83" i="8"/>
  <c r="W83" i="8"/>
  <c r="V83" i="8"/>
  <c r="U83" i="8"/>
  <c r="Z82" i="8"/>
  <c r="Y82" i="8"/>
  <c r="X82" i="8"/>
  <c r="W82" i="8"/>
  <c r="V82" i="8"/>
  <c r="U82" i="8"/>
  <c r="Z81" i="8"/>
  <c r="Y81" i="8"/>
  <c r="X81" i="8"/>
  <c r="W81" i="8"/>
  <c r="V81" i="8"/>
  <c r="U81" i="8"/>
  <c r="Z80" i="8"/>
  <c r="Y80" i="8"/>
  <c r="X80" i="8"/>
  <c r="W80" i="8"/>
  <c r="V80" i="8"/>
  <c r="U80" i="8"/>
  <c r="Z79" i="8"/>
  <c r="Y79" i="8"/>
  <c r="X79" i="8"/>
  <c r="W79" i="8"/>
  <c r="V79" i="8"/>
  <c r="U79" i="8"/>
  <c r="Z78" i="8"/>
  <c r="Y78" i="8"/>
  <c r="X78" i="8"/>
  <c r="W78" i="8"/>
  <c r="V78" i="8"/>
  <c r="U78" i="8"/>
  <c r="Z77" i="8"/>
  <c r="Y77" i="8"/>
  <c r="X77" i="8"/>
  <c r="W77" i="8"/>
  <c r="V77" i="8"/>
  <c r="U77" i="8"/>
  <c r="Z76" i="8"/>
  <c r="Y76" i="8"/>
  <c r="X76" i="8"/>
  <c r="W76" i="8"/>
  <c r="V76" i="8"/>
  <c r="U76" i="8"/>
  <c r="Z75" i="8"/>
  <c r="Y75" i="8"/>
  <c r="X75" i="8"/>
  <c r="W75" i="8"/>
  <c r="V75" i="8"/>
  <c r="U75" i="8"/>
  <c r="Z74" i="8"/>
  <c r="Y74" i="8"/>
  <c r="X74" i="8"/>
  <c r="W74" i="8"/>
  <c r="V74" i="8"/>
  <c r="U74" i="8"/>
  <c r="Z73" i="8"/>
  <c r="Y73" i="8"/>
  <c r="X73" i="8"/>
  <c r="W73" i="8"/>
  <c r="V73" i="8"/>
  <c r="U73" i="8"/>
  <c r="Z72" i="8"/>
  <c r="Y72" i="8"/>
  <c r="X72" i="8"/>
  <c r="W72" i="8"/>
  <c r="V72" i="8"/>
  <c r="U72" i="8"/>
  <c r="Z71" i="8"/>
  <c r="Y71" i="8"/>
  <c r="X71" i="8"/>
  <c r="W71" i="8"/>
  <c r="V71" i="8"/>
  <c r="U71" i="8"/>
  <c r="Z70" i="8"/>
  <c r="Y70" i="8"/>
  <c r="X70" i="8"/>
  <c r="W70" i="8"/>
  <c r="V70" i="8"/>
  <c r="U70" i="8"/>
  <c r="Z69" i="8"/>
  <c r="Y69" i="8"/>
  <c r="X69" i="8"/>
  <c r="W69" i="8"/>
  <c r="V69" i="8"/>
  <c r="U69" i="8"/>
  <c r="Z68" i="8"/>
  <c r="Y68" i="8"/>
  <c r="X68" i="8"/>
  <c r="W68" i="8"/>
  <c r="V68" i="8"/>
  <c r="U68" i="8"/>
  <c r="Z67" i="8"/>
  <c r="Y67" i="8"/>
  <c r="X67" i="8"/>
  <c r="W67" i="8"/>
  <c r="V67" i="8"/>
  <c r="U67" i="8"/>
  <c r="Z66" i="8"/>
  <c r="Y66" i="8"/>
  <c r="X66" i="8"/>
  <c r="W66" i="8"/>
  <c r="V66" i="8"/>
  <c r="U66" i="8"/>
  <c r="Z65" i="8"/>
  <c r="Y65" i="8"/>
  <c r="X65" i="8"/>
  <c r="W65" i="8"/>
  <c r="V65" i="8"/>
  <c r="U65" i="8"/>
  <c r="Z64" i="8"/>
  <c r="Y64" i="8"/>
  <c r="X64" i="8"/>
  <c r="W64" i="8"/>
  <c r="V64" i="8"/>
  <c r="U64" i="8"/>
  <c r="Z63" i="8"/>
  <c r="Y63" i="8"/>
  <c r="X63" i="8"/>
  <c r="W63" i="8"/>
  <c r="V63" i="8"/>
  <c r="U63" i="8"/>
  <c r="Z62" i="8"/>
  <c r="Y62" i="8"/>
  <c r="X62" i="8"/>
  <c r="W62" i="8"/>
  <c r="V62" i="8"/>
  <c r="U62" i="8"/>
  <c r="Z61" i="8"/>
  <c r="Y61" i="8"/>
  <c r="X61" i="8"/>
  <c r="W61" i="8"/>
  <c r="V61" i="8"/>
  <c r="U61" i="8"/>
  <c r="Z60" i="8"/>
  <c r="Y60" i="8"/>
  <c r="X60" i="8"/>
  <c r="W60" i="8"/>
  <c r="V60" i="8"/>
  <c r="U60" i="8"/>
  <c r="Z59" i="8"/>
  <c r="Y59" i="8"/>
  <c r="X59" i="8"/>
  <c r="W59" i="8"/>
  <c r="V59" i="8"/>
  <c r="U59" i="8"/>
  <c r="Z58" i="8"/>
  <c r="Y58" i="8"/>
  <c r="X58" i="8"/>
  <c r="W58" i="8"/>
  <c r="V58" i="8"/>
  <c r="U58" i="8"/>
  <c r="Z57" i="8"/>
  <c r="Y57" i="8"/>
  <c r="X57" i="8"/>
  <c r="W57" i="8"/>
  <c r="V57" i="8"/>
  <c r="U57" i="8"/>
  <c r="Z56" i="8"/>
  <c r="Y56" i="8"/>
  <c r="X56" i="8"/>
  <c r="W56" i="8"/>
  <c r="V56" i="8"/>
  <c r="U56" i="8"/>
  <c r="B56" i="8"/>
  <c r="Z55" i="8"/>
  <c r="Y55" i="8"/>
  <c r="X55" i="8"/>
  <c r="W55" i="8"/>
  <c r="V55" i="8"/>
  <c r="U55" i="8"/>
  <c r="B55" i="8"/>
  <c r="Z54" i="8"/>
  <c r="Y54" i="8"/>
  <c r="X54" i="8"/>
  <c r="W54" i="8"/>
  <c r="V54" i="8"/>
  <c r="U54" i="8"/>
  <c r="B54" i="8"/>
  <c r="Z53" i="8"/>
  <c r="Y53" i="8"/>
  <c r="X53" i="8"/>
  <c r="W53" i="8"/>
  <c r="V53" i="8"/>
  <c r="U53" i="8"/>
  <c r="B53" i="8"/>
  <c r="Z52" i="8"/>
  <c r="Y52" i="8"/>
  <c r="X52" i="8"/>
  <c r="W52" i="8"/>
  <c r="V52" i="8"/>
  <c r="U52" i="8"/>
  <c r="B52" i="8"/>
  <c r="Z51" i="8"/>
  <c r="Y51" i="8"/>
  <c r="X51" i="8"/>
  <c r="W51" i="8"/>
  <c r="V51" i="8"/>
  <c r="U51" i="8"/>
  <c r="B51" i="8"/>
  <c r="Z50" i="8"/>
  <c r="Y50" i="8"/>
  <c r="X50" i="8"/>
  <c r="W50" i="8"/>
  <c r="V50" i="8"/>
  <c r="U50" i="8"/>
  <c r="Z49" i="8"/>
  <c r="Y49" i="8"/>
  <c r="X49" i="8"/>
  <c r="W49" i="8"/>
  <c r="V49" i="8"/>
  <c r="U49" i="8"/>
  <c r="B49" i="8"/>
  <c r="Z48" i="8"/>
  <c r="Y48" i="8"/>
  <c r="X48" i="8"/>
  <c r="W48" i="8"/>
  <c r="V48" i="8"/>
  <c r="U48" i="8"/>
  <c r="B48" i="8"/>
  <c r="Z47" i="8"/>
  <c r="Y47" i="8"/>
  <c r="X47" i="8"/>
  <c r="W47" i="8"/>
  <c r="V47" i="8"/>
  <c r="U47" i="8"/>
  <c r="B47" i="8"/>
  <c r="Z46" i="8"/>
  <c r="Y46" i="8"/>
  <c r="X46" i="8"/>
  <c r="W46" i="8"/>
  <c r="V46" i="8"/>
  <c r="U46" i="8"/>
  <c r="B46" i="8"/>
  <c r="Z45" i="8"/>
  <c r="Y45" i="8"/>
  <c r="X45" i="8"/>
  <c r="W45" i="8"/>
  <c r="V45" i="8"/>
  <c r="U45" i="8"/>
  <c r="B45" i="8"/>
  <c r="Z44" i="8"/>
  <c r="Y44" i="8"/>
  <c r="X44" i="8"/>
  <c r="W44" i="8"/>
  <c r="V44" i="8"/>
  <c r="U44" i="8"/>
  <c r="B44" i="8"/>
  <c r="Z43" i="8"/>
  <c r="Y43" i="8"/>
  <c r="X43" i="8"/>
  <c r="W43" i="8"/>
  <c r="V43" i="8"/>
  <c r="U43" i="8"/>
  <c r="Z42" i="8"/>
  <c r="Y42" i="8"/>
  <c r="X42" i="8"/>
  <c r="W42" i="8"/>
  <c r="V42" i="8"/>
  <c r="U42" i="8"/>
  <c r="B42" i="8"/>
  <c r="Z41" i="8"/>
  <c r="Y41" i="8"/>
  <c r="X41" i="8"/>
  <c r="W41" i="8"/>
  <c r="V41" i="8"/>
  <c r="U41" i="8"/>
  <c r="B41" i="8"/>
  <c r="Z40" i="8"/>
  <c r="Y40" i="8"/>
  <c r="X40" i="8"/>
  <c r="W40" i="8"/>
  <c r="V40" i="8"/>
  <c r="U40" i="8"/>
  <c r="B40" i="8"/>
  <c r="Z39" i="8"/>
  <c r="Y39" i="8"/>
  <c r="X39" i="8"/>
  <c r="W39" i="8"/>
  <c r="V39" i="8"/>
  <c r="U39" i="8"/>
  <c r="B39" i="8"/>
  <c r="Z38" i="8"/>
  <c r="Y38" i="8"/>
  <c r="X38" i="8"/>
  <c r="W38" i="8"/>
  <c r="V38" i="8"/>
  <c r="U38" i="8"/>
  <c r="B38" i="8"/>
  <c r="Z37" i="8"/>
  <c r="Y37" i="8"/>
  <c r="X37" i="8"/>
  <c r="W37" i="8"/>
  <c r="V37" i="8"/>
  <c r="U37" i="8"/>
  <c r="B37" i="8"/>
  <c r="Z36" i="8"/>
  <c r="Y36" i="8"/>
  <c r="X36" i="8"/>
  <c r="W36" i="8"/>
  <c r="V36" i="8"/>
  <c r="U36" i="8"/>
  <c r="Z35" i="8"/>
  <c r="Y35" i="8"/>
  <c r="X35" i="8"/>
  <c r="W35" i="8"/>
  <c r="V35" i="8"/>
  <c r="U35" i="8"/>
  <c r="B35" i="8"/>
  <c r="Z34" i="8"/>
  <c r="Y34" i="8"/>
  <c r="X34" i="8"/>
  <c r="W34" i="8"/>
  <c r="V34" i="8"/>
  <c r="U34" i="8"/>
  <c r="B34" i="8"/>
  <c r="Z33" i="8"/>
  <c r="Y33" i="8"/>
  <c r="X33" i="8"/>
  <c r="W33" i="8"/>
  <c r="V33" i="8"/>
  <c r="U33" i="8"/>
  <c r="B33" i="8"/>
  <c r="Z32" i="8"/>
  <c r="Y32" i="8"/>
  <c r="X32" i="8"/>
  <c r="W32" i="8"/>
  <c r="V32" i="8"/>
  <c r="U32" i="8"/>
  <c r="B32" i="8"/>
  <c r="Z31" i="8"/>
  <c r="Y31" i="8"/>
  <c r="X31" i="8"/>
  <c r="W31" i="8"/>
  <c r="V31" i="8"/>
  <c r="U31" i="8"/>
  <c r="B31" i="8"/>
  <c r="Z30" i="8"/>
  <c r="Y30" i="8"/>
  <c r="X30" i="8"/>
  <c r="W30" i="8"/>
  <c r="V30" i="8"/>
  <c r="U30" i="8"/>
  <c r="B30" i="8"/>
  <c r="Z29" i="8"/>
  <c r="Y29" i="8"/>
  <c r="X29" i="8"/>
  <c r="W29" i="8"/>
  <c r="V29" i="8"/>
  <c r="U29" i="8"/>
  <c r="Z28" i="8"/>
  <c r="Y28" i="8"/>
  <c r="X28" i="8"/>
  <c r="W28" i="8"/>
  <c r="V28" i="8"/>
  <c r="U28" i="8"/>
  <c r="C28" i="8"/>
  <c r="Z27" i="8"/>
  <c r="Y27" i="8"/>
  <c r="X27" i="8"/>
  <c r="W27" i="8"/>
  <c r="V27" i="8"/>
  <c r="U27" i="8"/>
  <c r="C27" i="8"/>
  <c r="Z26" i="8"/>
  <c r="Y26" i="8"/>
  <c r="X26" i="8"/>
  <c r="W26" i="8"/>
  <c r="V26" i="8"/>
  <c r="U26" i="8"/>
  <c r="C26" i="8"/>
  <c r="Z25" i="8"/>
  <c r="Y25" i="8"/>
  <c r="X25" i="8"/>
  <c r="W25" i="8"/>
  <c r="V25" i="8"/>
  <c r="U25" i="8"/>
  <c r="C25" i="8"/>
  <c r="Z24" i="8"/>
  <c r="Y24" i="8"/>
  <c r="X24" i="8"/>
  <c r="W24" i="8"/>
  <c r="V24" i="8"/>
  <c r="U24" i="8"/>
  <c r="C24" i="8"/>
  <c r="Z23" i="8"/>
  <c r="Y23" i="8"/>
  <c r="X23" i="8"/>
  <c r="W23" i="8"/>
  <c r="V23" i="8"/>
  <c r="U23" i="8"/>
  <c r="C23" i="8"/>
  <c r="Z22" i="8"/>
  <c r="Y22" i="8"/>
  <c r="X22" i="8"/>
  <c r="W22" i="8"/>
  <c r="V22" i="8"/>
  <c r="U22" i="8"/>
  <c r="Z21" i="8"/>
  <c r="Y21" i="8"/>
  <c r="X21" i="8"/>
  <c r="W21" i="8"/>
  <c r="V21" i="8"/>
  <c r="U21" i="8"/>
  <c r="C21" i="8"/>
  <c r="Z20" i="8"/>
  <c r="Y20" i="8"/>
  <c r="X20" i="8"/>
  <c r="W20" i="8"/>
  <c r="V20" i="8"/>
  <c r="U20" i="8"/>
  <c r="N20" i="8"/>
  <c r="C20" i="8"/>
  <c r="AB19" i="8"/>
  <c r="AA19" i="8"/>
  <c r="Z19" i="8"/>
  <c r="Y19" i="8"/>
  <c r="X19" i="8"/>
  <c r="W19" i="8"/>
  <c r="V19" i="8"/>
  <c r="U19" i="8"/>
  <c r="N19" i="8"/>
  <c r="C19" i="8"/>
  <c r="AB18" i="8"/>
  <c r="AA18" i="8"/>
  <c r="Z18" i="8"/>
  <c r="Y18" i="8"/>
  <c r="X18" i="8"/>
  <c r="W18" i="8"/>
  <c r="V18" i="8"/>
  <c r="U18" i="8"/>
  <c r="N18" i="8"/>
  <c r="L18" i="8"/>
  <c r="C18" i="8"/>
  <c r="AB17" i="8"/>
  <c r="AA17" i="8"/>
  <c r="Z17" i="8"/>
  <c r="Y17" i="8"/>
  <c r="X17" i="8"/>
  <c r="W17" i="8"/>
  <c r="V17" i="8"/>
  <c r="U17" i="8"/>
  <c r="N17" i="8"/>
  <c r="L17" i="8"/>
  <c r="C17" i="8"/>
  <c r="AB16" i="8"/>
  <c r="AA16" i="8"/>
  <c r="AC16" i="8" s="1"/>
  <c r="AI13" i="8" s="1"/>
  <c r="AI10" i="8" s="1"/>
  <c r="Z16" i="8"/>
  <c r="Y16" i="8"/>
  <c r="X16" i="8"/>
  <c r="W16" i="8"/>
  <c r="V16" i="8"/>
  <c r="U16" i="8"/>
  <c r="N16" i="8"/>
  <c r="L16" i="8"/>
  <c r="C16" i="8"/>
  <c r="AB15" i="8"/>
  <c r="AA15" i="8"/>
  <c r="Z15" i="8"/>
  <c r="Y15" i="8"/>
  <c r="X15" i="8"/>
  <c r="W15" i="8"/>
  <c r="V15" i="8"/>
  <c r="U15" i="8"/>
  <c r="N15" i="8"/>
  <c r="L15" i="8"/>
  <c r="AB14" i="8"/>
  <c r="AA14" i="8"/>
  <c r="AC14" i="8" s="1"/>
  <c r="AE13" i="8" s="1"/>
  <c r="AE10" i="8" s="1"/>
  <c r="Z14" i="8"/>
  <c r="Y14" i="8"/>
  <c r="X14" i="8"/>
  <c r="W14" i="8"/>
  <c r="V14" i="8"/>
  <c r="U14" i="8"/>
  <c r="C14" i="8"/>
  <c r="AB13" i="8"/>
  <c r="AA13" i="8"/>
  <c r="AC13" i="8" s="1"/>
  <c r="AO12" i="8" s="1"/>
  <c r="AO9" i="8" s="1"/>
  <c r="Z13" i="8"/>
  <c r="Y13" i="8"/>
  <c r="X13" i="8"/>
  <c r="W13" i="8"/>
  <c r="V13" i="8"/>
  <c r="U13" i="8"/>
  <c r="C13" i="8"/>
  <c r="AB12" i="8"/>
  <c r="AA12" i="8"/>
  <c r="AC12" i="8" s="1"/>
  <c r="AM12" i="8" s="1"/>
  <c r="AM9" i="8" s="1"/>
  <c r="Z12" i="8"/>
  <c r="Y12" i="8"/>
  <c r="X12" i="8"/>
  <c r="W12" i="8"/>
  <c r="V12" i="8"/>
  <c r="U12" i="8"/>
  <c r="C12" i="8"/>
  <c r="AB11" i="8"/>
  <c r="AA11" i="8"/>
  <c r="Z11" i="8"/>
  <c r="Y11" i="8"/>
  <c r="X11" i="8"/>
  <c r="W11" i="8"/>
  <c r="V11" i="8"/>
  <c r="U11" i="8"/>
  <c r="C11" i="8"/>
  <c r="AP10" i="8"/>
  <c r="AN10" i="8"/>
  <c r="AL10" i="8"/>
  <c r="AJ10" i="8"/>
  <c r="AH10" i="8"/>
  <c r="AF10" i="8"/>
  <c r="AD10" i="8"/>
  <c r="AB10" i="8"/>
  <c r="AA10" i="8"/>
  <c r="AC10" i="8" s="1"/>
  <c r="AI12" i="8" s="1"/>
  <c r="AI9" i="8" s="1"/>
  <c r="Z10" i="8"/>
  <c r="Y10" i="8"/>
  <c r="X10" i="8"/>
  <c r="W10" i="8"/>
  <c r="V10" i="8"/>
  <c r="U10" i="8"/>
  <c r="P10" i="8"/>
  <c r="C10" i="8"/>
  <c r="AP9" i="8"/>
  <c r="AN9" i="8"/>
  <c r="AL9" i="8"/>
  <c r="AJ9" i="8"/>
  <c r="AH9" i="8"/>
  <c r="AF9" i="8"/>
  <c r="AD9" i="8"/>
  <c r="AB9" i="8"/>
  <c r="AA9" i="8"/>
  <c r="AC9" i="8" s="1"/>
  <c r="AG12" i="8" s="1"/>
  <c r="AG9" i="8" s="1"/>
  <c r="Z9" i="8"/>
  <c r="Y9" i="8"/>
  <c r="X9" i="8"/>
  <c r="W9" i="8"/>
  <c r="V9" i="8"/>
  <c r="U9" i="8"/>
  <c r="P9" i="8"/>
  <c r="C9" i="8"/>
  <c r="AP8" i="8"/>
  <c r="AN8" i="8"/>
  <c r="AL8" i="8"/>
  <c r="AJ8" i="8"/>
  <c r="AH8" i="8"/>
  <c r="AF8" i="8"/>
  <c r="AD8" i="8"/>
  <c r="AB8" i="8"/>
  <c r="AA8" i="8"/>
  <c r="AC8" i="8" s="1"/>
  <c r="AE12" i="8" s="1"/>
  <c r="AE9" i="8" s="1"/>
  <c r="Z8" i="8"/>
  <c r="Y8" i="8"/>
  <c r="X8" i="8"/>
  <c r="W8" i="8"/>
  <c r="V8" i="8"/>
  <c r="U8" i="8"/>
  <c r="P8" i="8"/>
  <c r="AB7" i="8"/>
  <c r="AA7" i="8"/>
  <c r="AC7" i="8" s="1"/>
  <c r="AO11" i="8" s="1"/>
  <c r="AO8" i="8" s="1"/>
  <c r="Z7" i="8"/>
  <c r="Y7" i="8"/>
  <c r="X7" i="8"/>
  <c r="W7" i="8"/>
  <c r="V7" i="8"/>
  <c r="U7" i="8"/>
  <c r="C7" i="8"/>
  <c r="AB6" i="8"/>
  <c r="AA6" i="8"/>
  <c r="Z6" i="8"/>
  <c r="Y6" i="8"/>
  <c r="X6" i="8"/>
  <c r="W6" i="8"/>
  <c r="V6" i="8"/>
  <c r="U6" i="8"/>
  <c r="C6" i="8"/>
  <c r="AD5" i="8"/>
  <c r="AB5" i="8"/>
  <c r="AC5" i="8" s="1"/>
  <c r="AK11" i="8" s="1"/>
  <c r="AK8" i="8" s="1"/>
  <c r="AA5" i="8"/>
  <c r="Z5" i="8"/>
  <c r="Y5" i="8"/>
  <c r="X5" i="8"/>
  <c r="W5" i="8"/>
  <c r="V5" i="8"/>
  <c r="U5" i="8"/>
  <c r="Q5" i="8"/>
  <c r="P11" i="8" s="1"/>
  <c r="C5" i="8"/>
  <c r="AD4" i="8"/>
  <c r="AB4" i="8"/>
  <c r="AC4" i="8" s="1"/>
  <c r="AI11" i="8" s="1"/>
  <c r="AI8" i="8" s="1"/>
  <c r="AA4" i="8"/>
  <c r="Z4" i="8"/>
  <c r="Y4" i="8"/>
  <c r="X4" i="8"/>
  <c r="W4" i="8"/>
  <c r="V4" i="8"/>
  <c r="U4" i="8"/>
  <c r="Q4" i="8"/>
  <c r="C4" i="8"/>
  <c r="AD3" i="8"/>
  <c r="AB3" i="8"/>
  <c r="AA3" i="8"/>
  <c r="AC3" i="8" s="1"/>
  <c r="AG11" i="8" s="1"/>
  <c r="AG8" i="8" s="1"/>
  <c r="Z3" i="8"/>
  <c r="Y3" i="8"/>
  <c r="X3" i="8"/>
  <c r="W3" i="8"/>
  <c r="V3" i="8"/>
  <c r="U3" i="8"/>
  <c r="C3" i="8"/>
  <c r="AB2" i="8"/>
  <c r="AA2" i="8"/>
  <c r="AC2" i="8" s="1"/>
  <c r="AE11" i="8" s="1"/>
  <c r="AE8" i="8" s="1"/>
  <c r="Z2" i="8"/>
  <c r="Y2" i="8"/>
  <c r="X2" i="8"/>
  <c r="W2" i="8"/>
  <c r="V2" i="8"/>
  <c r="U2" i="8"/>
  <c r="AC6" i="8" s="1"/>
  <c r="AM11" i="8" s="1"/>
  <c r="AM8" i="8" s="1"/>
  <c r="C2" i="8"/>
  <c r="AB23" i="2" s="1"/>
  <c r="AO1" i="8"/>
  <c r="AM1" i="8"/>
  <c r="AK1" i="8"/>
  <c r="AI1" i="8"/>
  <c r="AG1" i="8"/>
  <c r="AE1" i="8"/>
  <c r="Z74" i="7"/>
  <c r="Y74" i="7"/>
  <c r="Z73" i="7"/>
  <c r="Y73" i="7"/>
  <c r="M73" i="7"/>
  <c r="L73" i="7"/>
  <c r="Z72" i="7"/>
  <c r="Y72" i="7"/>
  <c r="AA71" i="7"/>
  <c r="Z71" i="7"/>
  <c r="Y71" i="7"/>
  <c r="Z70" i="7"/>
  <c r="Y70" i="7"/>
  <c r="Z69" i="7"/>
  <c r="AB51" i="7" s="1"/>
  <c r="G61" i="5" s="1"/>
  <c r="Y69" i="7"/>
  <c r="Z68" i="7"/>
  <c r="Y68" i="7"/>
  <c r="AD67" i="7"/>
  <c r="AA67" i="7"/>
  <c r="Z67" i="7"/>
  <c r="Y67" i="7"/>
  <c r="Z66" i="7"/>
  <c r="AB48" i="7" s="1"/>
  <c r="G58" i="5" s="1"/>
  <c r="Y66" i="7"/>
  <c r="AD65" i="7"/>
  <c r="AA65" i="7"/>
  <c r="Z65" i="7"/>
  <c r="Y65" i="7"/>
  <c r="Z64" i="7"/>
  <c r="Y64" i="7"/>
  <c r="Z63" i="7"/>
  <c r="Y63" i="7"/>
  <c r="AE62" i="7"/>
  <c r="AD62" i="7"/>
  <c r="Z62" i="7"/>
  <c r="AB44" i="7" s="1"/>
  <c r="G54" i="5" s="1"/>
  <c r="Y62" i="7"/>
  <c r="AA61" i="7"/>
  <c r="Z61" i="7"/>
  <c r="Y61" i="7"/>
  <c r="AB43" i="7" s="1"/>
  <c r="G53" i="5" s="1"/>
  <c r="AA60" i="7"/>
  <c r="Z60" i="7"/>
  <c r="Y60" i="7"/>
  <c r="AD59" i="7"/>
  <c r="Z59" i="7"/>
  <c r="Y59" i="7"/>
  <c r="AD58" i="7"/>
  <c r="Z58" i="7"/>
  <c r="Y58" i="7"/>
  <c r="AG54" i="7"/>
  <c r="Q46" i="5" s="1"/>
  <c r="AF54" i="7"/>
  <c r="AE54" i="7"/>
  <c r="X54" i="7"/>
  <c r="K64" i="5" s="1"/>
  <c r="L17" i="9" s="1"/>
  <c r="W54" i="7"/>
  <c r="V54" i="7"/>
  <c r="U54" i="7"/>
  <c r="T54" i="7"/>
  <c r="S54" i="7"/>
  <c r="R54" i="7"/>
  <c r="Q54" i="7"/>
  <c r="P54" i="7"/>
  <c r="AC54" i="7" s="1"/>
  <c r="N54" i="7"/>
  <c r="O54" i="7" s="1"/>
  <c r="M54" i="7"/>
  <c r="L54" i="7"/>
  <c r="I54" i="7"/>
  <c r="O46" i="5" s="1"/>
  <c r="G54" i="7"/>
  <c r="H54" i="7" s="1"/>
  <c r="N46" i="5" s="1"/>
  <c r="F54" i="7"/>
  <c r="E54" i="7"/>
  <c r="D54" i="7"/>
  <c r="C54" i="7"/>
  <c r="B54" i="7"/>
  <c r="A54" i="7"/>
  <c r="AG53" i="7"/>
  <c r="Q45" i="5" s="1"/>
  <c r="AF53" i="7"/>
  <c r="AE53" i="7"/>
  <c r="AB53" i="7"/>
  <c r="X53" i="7"/>
  <c r="K63" i="5" s="1"/>
  <c r="L16" i="9" s="1"/>
  <c r="W53" i="7"/>
  <c r="R45" i="5" s="1"/>
  <c r="V53" i="7"/>
  <c r="U53" i="7"/>
  <c r="T53" i="7"/>
  <c r="S53" i="7"/>
  <c r="R53" i="7"/>
  <c r="Q53" i="7"/>
  <c r="P53" i="7"/>
  <c r="O53" i="7"/>
  <c r="N53" i="7"/>
  <c r="M53" i="7"/>
  <c r="L53" i="7"/>
  <c r="I53" i="7"/>
  <c r="H53" i="7"/>
  <c r="N45" i="5" s="1"/>
  <c r="G53" i="7"/>
  <c r="F53" i="7"/>
  <c r="E53" i="7"/>
  <c r="D53" i="7"/>
  <c r="C53" i="7"/>
  <c r="B53" i="7"/>
  <c r="A53" i="7"/>
  <c r="AG52" i="7"/>
  <c r="Q44" i="5" s="1"/>
  <c r="AF52" i="7"/>
  <c r="AE52" i="7"/>
  <c r="AB52" i="7"/>
  <c r="X52" i="7"/>
  <c r="K62" i="5" s="1"/>
  <c r="L15" i="9" s="1"/>
  <c r="W52" i="7"/>
  <c r="V52" i="7"/>
  <c r="U52" i="7"/>
  <c r="T52" i="7"/>
  <c r="S52" i="7"/>
  <c r="R52" i="7"/>
  <c r="Q52" i="7"/>
  <c r="P52" i="7"/>
  <c r="AC52" i="7" s="1"/>
  <c r="N52" i="7"/>
  <c r="M52" i="7"/>
  <c r="L52" i="7"/>
  <c r="I52" i="7"/>
  <c r="O44" i="5" s="1"/>
  <c r="H52" i="7"/>
  <c r="N44" i="5" s="1"/>
  <c r="G52" i="7"/>
  <c r="F52" i="7"/>
  <c r="E52" i="7"/>
  <c r="D52" i="7"/>
  <c r="C52" i="7"/>
  <c r="B52" i="7"/>
  <c r="A52" i="7"/>
  <c r="AG51" i="7"/>
  <c r="Q43" i="5" s="1"/>
  <c r="C48" i="13" s="1"/>
  <c r="AF51" i="7"/>
  <c r="AE51" i="7"/>
  <c r="X51" i="7"/>
  <c r="AD68" i="7" s="1"/>
  <c r="W51" i="7"/>
  <c r="V51" i="7"/>
  <c r="U51" i="7"/>
  <c r="T51" i="7"/>
  <c r="S51" i="7"/>
  <c r="R51" i="7"/>
  <c r="Q51" i="7"/>
  <c r="P51" i="7"/>
  <c r="N51" i="7"/>
  <c r="M51" i="7"/>
  <c r="L51" i="7"/>
  <c r="I51" i="7"/>
  <c r="H51" i="7"/>
  <c r="G51" i="7"/>
  <c r="F51" i="7"/>
  <c r="E51" i="7"/>
  <c r="D51" i="7"/>
  <c r="C51" i="7"/>
  <c r="B51" i="7"/>
  <c r="A51" i="7"/>
  <c r="AG50" i="7"/>
  <c r="AF50" i="7"/>
  <c r="AE50" i="7"/>
  <c r="AB50" i="7"/>
  <c r="G60" i="5" s="1"/>
  <c r="X50" i="7"/>
  <c r="W50" i="7"/>
  <c r="R42" i="5" s="1"/>
  <c r="V50" i="7"/>
  <c r="U50" i="7"/>
  <c r="T50" i="7"/>
  <c r="AC50" i="7" s="1"/>
  <c r="S50" i="7"/>
  <c r="R50" i="7"/>
  <c r="Q50" i="7"/>
  <c r="P50" i="7"/>
  <c r="O50" i="7"/>
  <c r="N50" i="7"/>
  <c r="M50" i="7"/>
  <c r="L50" i="7"/>
  <c r="I50" i="7"/>
  <c r="G50" i="7"/>
  <c r="H50" i="7" s="1"/>
  <c r="N42" i="5" s="1"/>
  <c r="F50" i="7"/>
  <c r="E50" i="7"/>
  <c r="D50" i="7"/>
  <c r="C50" i="7"/>
  <c r="B50" i="7"/>
  <c r="A50" i="7"/>
  <c r="AG49" i="7"/>
  <c r="AF49" i="7"/>
  <c r="AE49" i="7"/>
  <c r="AB49" i="7"/>
  <c r="X49" i="7"/>
  <c r="S41" i="5" s="1"/>
  <c r="R59" i="5" s="1"/>
  <c r="W49" i="7"/>
  <c r="R41" i="5" s="1"/>
  <c r="V49" i="7"/>
  <c r="AC49" i="7" s="1"/>
  <c r="U49" i="7"/>
  <c r="T49" i="7"/>
  <c r="S49" i="7"/>
  <c r="R49" i="7"/>
  <c r="Q49" i="7"/>
  <c r="P49" i="7"/>
  <c r="N49" i="7"/>
  <c r="M49" i="7"/>
  <c r="L49" i="7"/>
  <c r="I49" i="7"/>
  <c r="G49" i="7"/>
  <c r="H49" i="7" s="1"/>
  <c r="N41" i="5" s="1"/>
  <c r="F49" i="7"/>
  <c r="E49" i="7"/>
  <c r="O49" i="7" s="1"/>
  <c r="D49" i="7"/>
  <c r="C49" i="7"/>
  <c r="B49" i="7"/>
  <c r="A49" i="7"/>
  <c r="AG48" i="7"/>
  <c r="Q40" i="5" s="1"/>
  <c r="AF48" i="7"/>
  <c r="AE48" i="7"/>
  <c r="X48" i="7"/>
  <c r="W48" i="7"/>
  <c r="V48" i="7"/>
  <c r="U48" i="7"/>
  <c r="T48" i="7"/>
  <c r="AC48" i="7" s="1"/>
  <c r="S48" i="7"/>
  <c r="R48" i="7"/>
  <c r="Q48" i="7"/>
  <c r="P48" i="7"/>
  <c r="O48" i="7"/>
  <c r="N48" i="7"/>
  <c r="M48" i="7"/>
  <c r="L48" i="7"/>
  <c r="I48" i="7"/>
  <c r="H48" i="7"/>
  <c r="G48" i="7"/>
  <c r="F48" i="7"/>
  <c r="E48" i="7"/>
  <c r="D48" i="7"/>
  <c r="L40" i="5" s="1"/>
  <c r="C48" i="7"/>
  <c r="B48" i="7"/>
  <c r="A48" i="7"/>
  <c r="AG47" i="7"/>
  <c r="Q39" i="5" s="1"/>
  <c r="AF47" i="7"/>
  <c r="AE47" i="7"/>
  <c r="X47" i="7"/>
  <c r="W47" i="7"/>
  <c r="R39" i="5" s="1"/>
  <c r="V47" i="7"/>
  <c r="U47" i="7"/>
  <c r="T47" i="7"/>
  <c r="S47" i="7"/>
  <c r="R47" i="7"/>
  <c r="Q47" i="7"/>
  <c r="P47" i="7"/>
  <c r="AC47" i="7" s="1"/>
  <c r="N47" i="7"/>
  <c r="M47" i="7"/>
  <c r="L47" i="7"/>
  <c r="I47" i="7"/>
  <c r="O39" i="5" s="1"/>
  <c r="G47" i="7"/>
  <c r="H47" i="7" s="1"/>
  <c r="N39" i="5" s="1"/>
  <c r="F47" i="7"/>
  <c r="E47" i="7"/>
  <c r="O47" i="7" s="1"/>
  <c r="D47" i="7"/>
  <c r="C47" i="7"/>
  <c r="B47" i="7"/>
  <c r="A47" i="7"/>
  <c r="AG46" i="7"/>
  <c r="Q38" i="5" s="1"/>
  <c r="AF46" i="7"/>
  <c r="AE46" i="7"/>
  <c r="X46" i="7"/>
  <c r="K56" i="5" s="1"/>
  <c r="L9" i="9" s="1"/>
  <c r="W46" i="7"/>
  <c r="V46" i="7"/>
  <c r="U46" i="7"/>
  <c r="T46" i="7"/>
  <c r="S46" i="7"/>
  <c r="R46" i="7"/>
  <c r="Q46" i="7"/>
  <c r="P46" i="7"/>
  <c r="O46" i="7"/>
  <c r="N46" i="7"/>
  <c r="M46" i="7"/>
  <c r="L46" i="7"/>
  <c r="I46" i="7"/>
  <c r="H46" i="7"/>
  <c r="G46" i="7"/>
  <c r="F46" i="7"/>
  <c r="E46" i="7"/>
  <c r="D46" i="7"/>
  <c r="C46" i="7"/>
  <c r="B46" i="7"/>
  <c r="A46" i="7"/>
  <c r="AG45" i="7"/>
  <c r="Q37" i="5" s="1"/>
  <c r="AF45" i="7"/>
  <c r="P37" i="5" s="1"/>
  <c r="AE45" i="7"/>
  <c r="AB45" i="7"/>
  <c r="G55" i="5" s="1"/>
  <c r="X45" i="7"/>
  <c r="AA62" i="7" s="1"/>
  <c r="W45" i="7"/>
  <c r="R37" i="5" s="1"/>
  <c r="V45" i="7"/>
  <c r="U45" i="7"/>
  <c r="T45" i="7"/>
  <c r="S45" i="7"/>
  <c r="R45" i="7"/>
  <c r="Q45" i="7"/>
  <c r="P45" i="7"/>
  <c r="O45" i="7"/>
  <c r="N45" i="7"/>
  <c r="M45" i="7"/>
  <c r="L45" i="7"/>
  <c r="I45" i="7"/>
  <c r="O37" i="5" s="1"/>
  <c r="G45" i="7"/>
  <c r="H45" i="7" s="1"/>
  <c r="N37" i="5" s="1"/>
  <c r="F45" i="7"/>
  <c r="E45" i="7"/>
  <c r="D45" i="7"/>
  <c r="C45" i="7"/>
  <c r="B45" i="7"/>
  <c r="A45" i="7"/>
  <c r="AG44" i="7"/>
  <c r="Q36" i="5" s="1"/>
  <c r="AF44" i="7"/>
  <c r="P36" i="5" s="1"/>
  <c r="AE44" i="7"/>
  <c r="X44" i="7"/>
  <c r="AD61" i="7" s="1"/>
  <c r="W44" i="7"/>
  <c r="V44" i="7"/>
  <c r="U44" i="7"/>
  <c r="T44" i="7"/>
  <c r="AC44" i="7" s="1"/>
  <c r="S44" i="7"/>
  <c r="R44" i="7"/>
  <c r="Q44" i="7"/>
  <c r="P44" i="7"/>
  <c r="N44" i="7"/>
  <c r="M44" i="7"/>
  <c r="L44" i="7"/>
  <c r="I44" i="7"/>
  <c r="H44" i="7"/>
  <c r="G44" i="7"/>
  <c r="F44" i="7"/>
  <c r="E44" i="7"/>
  <c r="D44" i="7"/>
  <c r="L36" i="5" s="1"/>
  <c r="C44" i="7"/>
  <c r="B44" i="7"/>
  <c r="A44" i="7"/>
  <c r="AG43" i="7"/>
  <c r="Q35" i="5" s="1"/>
  <c r="AF43" i="7"/>
  <c r="AE43" i="7"/>
  <c r="AC43" i="7"/>
  <c r="X43" i="7"/>
  <c r="AD60" i="7" s="1"/>
  <c r="W43" i="7"/>
  <c r="V43" i="7"/>
  <c r="U43" i="7"/>
  <c r="T43" i="7"/>
  <c r="S43" i="7"/>
  <c r="R43" i="7"/>
  <c r="Q43" i="7"/>
  <c r="P43" i="7"/>
  <c r="N43" i="7"/>
  <c r="M43" i="7"/>
  <c r="L43" i="7"/>
  <c r="I43" i="7"/>
  <c r="G43" i="7"/>
  <c r="H43" i="7" s="1"/>
  <c r="F43" i="7"/>
  <c r="E43" i="7"/>
  <c r="D43" i="7"/>
  <c r="C43" i="7"/>
  <c r="B43" i="7"/>
  <c r="A43" i="7"/>
  <c r="AG42" i="7"/>
  <c r="AF42" i="7"/>
  <c r="AE42" i="7"/>
  <c r="AC42" i="7"/>
  <c r="AB42" i="7"/>
  <c r="G52" i="5" s="1"/>
  <c r="X42" i="7"/>
  <c r="AA59" i="7" s="1"/>
  <c r="W42" i="7"/>
  <c r="V42" i="7"/>
  <c r="U42" i="7"/>
  <c r="T42" i="7"/>
  <c r="S42" i="7"/>
  <c r="R42" i="7"/>
  <c r="Q42" i="7"/>
  <c r="P42" i="7"/>
  <c r="N42" i="7"/>
  <c r="M42" i="7"/>
  <c r="L42" i="7"/>
  <c r="O42" i="7" s="1"/>
  <c r="I42" i="7"/>
  <c r="O34" i="5" s="1"/>
  <c r="G42" i="7"/>
  <c r="H42" i="7" s="1"/>
  <c r="F42" i="7"/>
  <c r="E42" i="7"/>
  <c r="D42" i="7"/>
  <c r="C42" i="7"/>
  <c r="B42" i="7"/>
  <c r="A42" i="7"/>
  <c r="AG41" i="7"/>
  <c r="AF41" i="7"/>
  <c r="AE41" i="7"/>
  <c r="AB41" i="7"/>
  <c r="G51" i="5" s="1"/>
  <c r="X41" i="7"/>
  <c r="AA58" i="7" s="1"/>
  <c r="W41" i="7"/>
  <c r="R33" i="5" s="1"/>
  <c r="V41" i="7"/>
  <c r="U41" i="7"/>
  <c r="T41" i="7"/>
  <c r="AC41" i="7" s="1"/>
  <c r="S41" i="7"/>
  <c r="R41" i="7"/>
  <c r="Q41" i="7"/>
  <c r="P41" i="7"/>
  <c r="N41" i="7"/>
  <c r="M41" i="7"/>
  <c r="L41" i="7"/>
  <c r="O41" i="7" s="1"/>
  <c r="I41" i="7"/>
  <c r="H41" i="7"/>
  <c r="N33" i="5" s="1"/>
  <c r="G41" i="7"/>
  <c r="F41" i="7"/>
  <c r="E41" i="7"/>
  <c r="D41" i="7"/>
  <c r="L33" i="5" s="1"/>
  <c r="C41" i="7"/>
  <c r="B41" i="7"/>
  <c r="A41" i="7"/>
  <c r="AG40" i="7"/>
  <c r="Q32" i="5" s="1"/>
  <c r="A37" i="13" s="1"/>
  <c r="AF40" i="7"/>
  <c r="AE40" i="7"/>
  <c r="AC40" i="7"/>
  <c r="AB40" i="7"/>
  <c r="X40" i="7"/>
  <c r="AA57" i="7" s="1"/>
  <c r="W40" i="7"/>
  <c r="R32" i="5" s="1"/>
  <c r="V40" i="7"/>
  <c r="U40" i="7"/>
  <c r="T40" i="7"/>
  <c r="S40" i="7"/>
  <c r="R40" i="7"/>
  <c r="Q40" i="7"/>
  <c r="P40" i="7"/>
  <c r="N40" i="7"/>
  <c r="M40" i="7"/>
  <c r="L40" i="7"/>
  <c r="I40" i="7"/>
  <c r="G40" i="7"/>
  <c r="H40" i="7" s="1"/>
  <c r="N32" i="5" s="1"/>
  <c r="F40" i="7"/>
  <c r="E40" i="7"/>
  <c r="M32" i="5" s="1"/>
  <c r="N7" i="5" s="1" a="1"/>
  <c r="D40" i="7"/>
  <c r="C40" i="7"/>
  <c r="B40" i="7"/>
  <c r="A40" i="7"/>
  <c r="H36" i="7"/>
  <c r="G36" i="7"/>
  <c r="F36" i="7"/>
  <c r="E36" i="7"/>
  <c r="B36" i="7"/>
  <c r="I36" i="7" s="1"/>
  <c r="A36" i="7"/>
  <c r="I35" i="7"/>
  <c r="H35" i="7"/>
  <c r="G35" i="7"/>
  <c r="E35" i="7"/>
  <c r="B35" i="7"/>
  <c r="I34" i="7"/>
  <c r="H34" i="7"/>
  <c r="G34" i="7"/>
  <c r="E34" i="7"/>
  <c r="B34" i="7"/>
  <c r="I33" i="7"/>
  <c r="H33" i="7"/>
  <c r="G33" i="7"/>
  <c r="E33" i="7"/>
  <c r="B33" i="7"/>
  <c r="A33" i="7"/>
  <c r="I32" i="7"/>
  <c r="H32" i="7"/>
  <c r="G32" i="7"/>
  <c r="E32" i="7"/>
  <c r="B32" i="7"/>
  <c r="H31" i="7"/>
  <c r="G31" i="7"/>
  <c r="E31" i="7"/>
  <c r="B31" i="7"/>
  <c r="I31" i="7" s="1"/>
  <c r="B27" i="7"/>
  <c r="I27" i="7" s="1"/>
  <c r="A27" i="7"/>
  <c r="E27" i="7" s="1"/>
  <c r="K26" i="7"/>
  <c r="I26" i="7"/>
  <c r="L26" i="7" s="1"/>
  <c r="H26" i="7"/>
  <c r="B26" i="7"/>
  <c r="I25" i="7"/>
  <c r="H25" i="7"/>
  <c r="B25" i="7"/>
  <c r="B24" i="7"/>
  <c r="B23" i="7"/>
  <c r="I23" i="7" s="1"/>
  <c r="U21" i="7"/>
  <c r="U15" i="7"/>
  <c r="S15" i="7"/>
  <c r="A15" i="7"/>
  <c r="C9" i="7"/>
  <c r="B9" i="7"/>
  <c r="A9" i="7"/>
  <c r="A6" i="7"/>
  <c r="A5" i="7"/>
  <c r="Q101" i="6"/>
  <c r="P101" i="6"/>
  <c r="F101" i="6"/>
  <c r="H101" i="6" s="1"/>
  <c r="C101" i="6"/>
  <c r="Q100" i="6"/>
  <c r="P100" i="6"/>
  <c r="H100" i="6"/>
  <c r="F100" i="6"/>
  <c r="C100" i="6"/>
  <c r="Q99" i="6"/>
  <c r="P99" i="6"/>
  <c r="F99" i="6"/>
  <c r="H99" i="6" s="1"/>
  <c r="C99" i="6"/>
  <c r="Q98" i="6"/>
  <c r="P98" i="6"/>
  <c r="H98" i="6"/>
  <c r="F98" i="6"/>
  <c r="C98" i="6"/>
  <c r="Q97" i="6"/>
  <c r="P97" i="6"/>
  <c r="F97" i="6"/>
  <c r="H97" i="6" s="1"/>
  <c r="C97" i="6"/>
  <c r="Q96" i="6"/>
  <c r="P96" i="6"/>
  <c r="H96" i="6"/>
  <c r="F96" i="6"/>
  <c r="C96" i="6"/>
  <c r="Q95" i="6"/>
  <c r="P95" i="6"/>
  <c r="F95" i="6"/>
  <c r="H95" i="6" s="1"/>
  <c r="C95" i="6"/>
  <c r="Q94" i="6"/>
  <c r="P94" i="6"/>
  <c r="H94" i="6"/>
  <c r="F94" i="6"/>
  <c r="C94" i="6"/>
  <c r="Q93" i="6"/>
  <c r="P93" i="6"/>
  <c r="F93" i="6"/>
  <c r="H93" i="6" s="1"/>
  <c r="C93" i="6"/>
  <c r="Q92" i="6"/>
  <c r="P92" i="6"/>
  <c r="F92" i="6"/>
  <c r="H92" i="6" s="1"/>
  <c r="C92" i="6"/>
  <c r="Q91" i="6"/>
  <c r="P91" i="6"/>
  <c r="F91" i="6"/>
  <c r="H91" i="6" s="1"/>
  <c r="C91" i="6"/>
  <c r="Q90" i="6"/>
  <c r="P90" i="6"/>
  <c r="F90" i="6"/>
  <c r="H90" i="6" s="1"/>
  <c r="C90" i="6"/>
  <c r="Q89" i="6"/>
  <c r="P89" i="6"/>
  <c r="H89" i="6"/>
  <c r="F89" i="6"/>
  <c r="C89" i="6"/>
  <c r="Q88" i="6"/>
  <c r="P88" i="6"/>
  <c r="H88" i="6"/>
  <c r="F88" i="6"/>
  <c r="C88" i="6"/>
  <c r="Q87" i="6"/>
  <c r="P87" i="6"/>
  <c r="F87" i="6"/>
  <c r="H87" i="6" s="1"/>
  <c r="C87" i="6"/>
  <c r="Q86" i="6"/>
  <c r="P86" i="6"/>
  <c r="H86" i="6"/>
  <c r="F86" i="6"/>
  <c r="C86" i="6"/>
  <c r="Q85" i="6"/>
  <c r="P85" i="6"/>
  <c r="H85" i="6"/>
  <c r="F85" i="6"/>
  <c r="C85" i="6"/>
  <c r="Q84" i="6"/>
  <c r="P84" i="6"/>
  <c r="H84" i="6"/>
  <c r="F84" i="6"/>
  <c r="C84" i="6"/>
  <c r="Q83" i="6"/>
  <c r="P83" i="6"/>
  <c r="F83" i="6"/>
  <c r="H83" i="6" s="1"/>
  <c r="C83" i="6"/>
  <c r="Q82" i="6"/>
  <c r="P82" i="6"/>
  <c r="F82" i="6"/>
  <c r="H82" i="6" s="1"/>
  <c r="C82" i="6"/>
  <c r="Q81" i="6"/>
  <c r="P81" i="6"/>
  <c r="H81" i="6"/>
  <c r="F81" i="6"/>
  <c r="C81" i="6"/>
  <c r="Q80" i="6"/>
  <c r="P80" i="6"/>
  <c r="F80" i="6"/>
  <c r="H80" i="6" s="1"/>
  <c r="C80" i="6"/>
  <c r="Q79" i="6"/>
  <c r="P79" i="6"/>
  <c r="F79" i="6"/>
  <c r="H79" i="6" s="1"/>
  <c r="C79" i="6"/>
  <c r="Q78" i="6"/>
  <c r="P78" i="6"/>
  <c r="H78" i="6"/>
  <c r="F78" i="6"/>
  <c r="C78" i="6"/>
  <c r="Q77" i="6"/>
  <c r="P77" i="6"/>
  <c r="F77" i="6"/>
  <c r="H77" i="6" s="1"/>
  <c r="C77" i="6"/>
  <c r="Q76" i="6"/>
  <c r="P76" i="6"/>
  <c r="F76" i="6"/>
  <c r="H76" i="6" s="1"/>
  <c r="C76" i="6"/>
  <c r="Q75" i="6"/>
  <c r="P75" i="6"/>
  <c r="H75" i="6"/>
  <c r="F75" i="6"/>
  <c r="C75" i="6"/>
  <c r="Q74" i="6"/>
  <c r="P74" i="6"/>
  <c r="H74" i="6"/>
  <c r="F74" i="6"/>
  <c r="C74" i="6"/>
  <c r="Q73" i="6"/>
  <c r="P73" i="6"/>
  <c r="H73" i="6"/>
  <c r="F73" i="6"/>
  <c r="C73" i="6"/>
  <c r="Q72" i="6"/>
  <c r="P72" i="6"/>
  <c r="F72" i="6"/>
  <c r="H72" i="6" s="1"/>
  <c r="C72" i="6"/>
  <c r="Q71" i="6"/>
  <c r="P71" i="6"/>
  <c r="F71" i="6"/>
  <c r="H71" i="6" s="1"/>
  <c r="C71" i="6"/>
  <c r="Q70" i="6"/>
  <c r="P70" i="6"/>
  <c r="F70" i="6"/>
  <c r="H70" i="6" s="1"/>
  <c r="C70" i="6"/>
  <c r="Q69" i="6"/>
  <c r="P69" i="6"/>
  <c r="F69" i="6"/>
  <c r="H69" i="6" s="1"/>
  <c r="C69" i="6"/>
  <c r="Q68" i="6"/>
  <c r="P68" i="6"/>
  <c r="H68" i="6"/>
  <c r="F68" i="6"/>
  <c r="C68" i="6"/>
  <c r="Q67" i="6"/>
  <c r="P67" i="6"/>
  <c r="F67" i="6"/>
  <c r="H67" i="6" s="1"/>
  <c r="C67" i="6"/>
  <c r="Q66" i="6"/>
  <c r="P66" i="6"/>
  <c r="H66" i="6"/>
  <c r="F66" i="6"/>
  <c r="C66" i="6"/>
  <c r="Q65" i="6"/>
  <c r="P65" i="6"/>
  <c r="F65" i="6"/>
  <c r="H65" i="6" s="1"/>
  <c r="C65" i="6"/>
  <c r="Q64" i="6"/>
  <c r="P64" i="6"/>
  <c r="H64" i="6"/>
  <c r="F64" i="6"/>
  <c r="C64" i="6"/>
  <c r="Q63" i="6"/>
  <c r="P63" i="6"/>
  <c r="F63" i="6"/>
  <c r="H63" i="6" s="1"/>
  <c r="C63" i="6"/>
  <c r="Q62" i="6"/>
  <c r="P62" i="6"/>
  <c r="F62" i="6"/>
  <c r="H62" i="6" s="1"/>
  <c r="C62" i="6"/>
  <c r="Q61" i="6"/>
  <c r="P61" i="6"/>
  <c r="H61" i="6"/>
  <c r="F61" i="6"/>
  <c r="C61" i="6"/>
  <c r="Q60" i="6"/>
  <c r="P60" i="6"/>
  <c r="F60" i="6"/>
  <c r="H60" i="6" s="1"/>
  <c r="C60" i="6"/>
  <c r="Q59" i="6"/>
  <c r="P59" i="6"/>
  <c r="F59" i="6"/>
  <c r="H59" i="6" s="1"/>
  <c r="C59" i="6"/>
  <c r="Q58" i="6"/>
  <c r="P58" i="6"/>
  <c r="H58" i="6"/>
  <c r="F58" i="6"/>
  <c r="C58" i="6"/>
  <c r="Q57" i="6"/>
  <c r="P57" i="6"/>
  <c r="H57" i="6"/>
  <c r="F57" i="6"/>
  <c r="C57" i="6"/>
  <c r="Q56" i="6"/>
  <c r="P56" i="6"/>
  <c r="H56" i="6"/>
  <c r="F56" i="6"/>
  <c r="C56" i="6"/>
  <c r="Q55" i="6"/>
  <c r="P55" i="6"/>
  <c r="F55" i="6"/>
  <c r="H55" i="6" s="1"/>
  <c r="C55" i="6"/>
  <c r="Q54" i="6"/>
  <c r="P54" i="6"/>
  <c r="H54" i="6"/>
  <c r="F54" i="6"/>
  <c r="C54" i="6"/>
  <c r="Q53" i="6"/>
  <c r="P53" i="6"/>
  <c r="F53" i="6"/>
  <c r="H53" i="6" s="1"/>
  <c r="C53" i="6"/>
  <c r="Q52" i="6"/>
  <c r="P52" i="6"/>
  <c r="H52" i="6"/>
  <c r="F52" i="6"/>
  <c r="C52" i="6"/>
  <c r="Q51" i="6"/>
  <c r="P51" i="6"/>
  <c r="H51" i="6"/>
  <c r="F51" i="6"/>
  <c r="C51" i="6"/>
  <c r="Q50" i="6"/>
  <c r="P50" i="6"/>
  <c r="F50" i="6"/>
  <c r="H50" i="6" s="1"/>
  <c r="C50" i="6"/>
  <c r="Q49" i="6"/>
  <c r="P49" i="6"/>
  <c r="H49" i="6"/>
  <c r="F49" i="6"/>
  <c r="C49" i="6"/>
  <c r="Q48" i="6"/>
  <c r="P48" i="6"/>
  <c r="F48" i="6"/>
  <c r="H48" i="6" s="1"/>
  <c r="C48" i="6"/>
  <c r="Q47" i="6"/>
  <c r="P47" i="6"/>
  <c r="F47" i="6"/>
  <c r="H47" i="6" s="1"/>
  <c r="C47" i="6"/>
  <c r="Q46" i="6"/>
  <c r="P46" i="6"/>
  <c r="H46" i="6"/>
  <c r="F46" i="6"/>
  <c r="C46" i="6"/>
  <c r="Q45" i="6"/>
  <c r="P45" i="6"/>
  <c r="F45" i="6"/>
  <c r="H45" i="6" s="1"/>
  <c r="C45" i="6"/>
  <c r="Q44" i="6"/>
  <c r="P44" i="6"/>
  <c r="F44" i="6"/>
  <c r="H44" i="6" s="1"/>
  <c r="C44" i="6"/>
  <c r="Q43" i="6"/>
  <c r="P43" i="6"/>
  <c r="F43" i="6"/>
  <c r="H43" i="6" s="1"/>
  <c r="C43" i="6"/>
  <c r="Q42" i="6"/>
  <c r="P42" i="6"/>
  <c r="F42" i="6"/>
  <c r="H42" i="6" s="1"/>
  <c r="C42" i="6"/>
  <c r="Q41" i="6"/>
  <c r="P41" i="6"/>
  <c r="H41" i="6"/>
  <c r="F41" i="6"/>
  <c r="C41" i="6"/>
  <c r="Q40" i="6"/>
  <c r="P40" i="6"/>
  <c r="F40" i="6"/>
  <c r="H40" i="6" s="1"/>
  <c r="C40" i="6"/>
  <c r="Q39" i="6"/>
  <c r="P39" i="6"/>
  <c r="F39" i="6"/>
  <c r="H39" i="6" s="1"/>
  <c r="C39" i="6"/>
  <c r="Q38" i="6"/>
  <c r="P38" i="6"/>
  <c r="H38" i="6"/>
  <c r="F38" i="6"/>
  <c r="C38" i="6"/>
  <c r="Q37" i="6"/>
  <c r="P37" i="6"/>
  <c r="F37" i="6"/>
  <c r="H37" i="6" s="1"/>
  <c r="C37" i="6"/>
  <c r="Q36" i="6"/>
  <c r="P36" i="6"/>
  <c r="H36" i="6"/>
  <c r="F36" i="6"/>
  <c r="C36" i="6"/>
  <c r="Q35" i="6"/>
  <c r="P35" i="6"/>
  <c r="F35" i="6"/>
  <c r="H35" i="6" s="1"/>
  <c r="C35" i="6"/>
  <c r="Q34" i="6"/>
  <c r="P34" i="6"/>
  <c r="H34" i="6"/>
  <c r="F34" i="6"/>
  <c r="C34" i="6"/>
  <c r="Q33" i="6"/>
  <c r="P33" i="6"/>
  <c r="H33" i="6"/>
  <c r="F33" i="6"/>
  <c r="C33" i="6"/>
  <c r="Q32" i="6"/>
  <c r="P32" i="6"/>
  <c r="H32" i="6"/>
  <c r="F32" i="6"/>
  <c r="C32" i="6"/>
  <c r="Q31" i="6"/>
  <c r="P31" i="6"/>
  <c r="F31" i="6"/>
  <c r="H31" i="6" s="1"/>
  <c r="C31" i="6"/>
  <c r="Q30" i="6"/>
  <c r="P30" i="6"/>
  <c r="F30" i="6"/>
  <c r="H30" i="6" s="1"/>
  <c r="C30" i="6"/>
  <c r="Q29" i="6"/>
  <c r="P29" i="6"/>
  <c r="H29" i="6"/>
  <c r="F29" i="6"/>
  <c r="C29" i="6"/>
  <c r="Q28" i="6"/>
  <c r="P28" i="6"/>
  <c r="F28" i="6"/>
  <c r="H28" i="6" s="1"/>
  <c r="C28" i="6"/>
  <c r="Q27" i="6"/>
  <c r="P27" i="6"/>
  <c r="F27" i="6"/>
  <c r="H27" i="6" s="1"/>
  <c r="C27" i="6"/>
  <c r="Q26" i="6"/>
  <c r="P26" i="6"/>
  <c r="H26" i="6"/>
  <c r="F26" i="6"/>
  <c r="C26" i="6"/>
  <c r="Q25" i="6"/>
  <c r="P25" i="6"/>
  <c r="H25" i="6"/>
  <c r="F25" i="6"/>
  <c r="C25" i="6"/>
  <c r="Q24" i="6"/>
  <c r="P24" i="6"/>
  <c r="H24" i="6"/>
  <c r="F24" i="6"/>
  <c r="C24" i="6"/>
  <c r="Q23" i="6"/>
  <c r="P23" i="6"/>
  <c r="F23" i="6"/>
  <c r="H23" i="6" s="1"/>
  <c r="C23" i="6"/>
  <c r="V22" i="6"/>
  <c r="U22" i="6"/>
  <c r="W22" i="6" s="1"/>
  <c r="Q22" i="6"/>
  <c r="P22" i="6"/>
  <c r="F22" i="6"/>
  <c r="H22" i="6" s="1"/>
  <c r="C22" i="6"/>
  <c r="W21" i="6"/>
  <c r="V21" i="6"/>
  <c r="U21" i="6"/>
  <c r="Q21" i="6"/>
  <c r="P21" i="6"/>
  <c r="F21" i="6"/>
  <c r="H21" i="6" s="1"/>
  <c r="C21" i="6"/>
  <c r="W20" i="6"/>
  <c r="V20" i="6"/>
  <c r="U20" i="6"/>
  <c r="Q20" i="6"/>
  <c r="P20" i="6"/>
  <c r="F20" i="6"/>
  <c r="H20" i="6" s="1"/>
  <c r="C20" i="6"/>
  <c r="V19" i="6"/>
  <c r="U19" i="6"/>
  <c r="W19" i="6" s="1"/>
  <c r="Q19" i="6"/>
  <c r="P19" i="6"/>
  <c r="F19" i="6"/>
  <c r="H19" i="6" s="1"/>
  <c r="C19" i="6"/>
  <c r="V18" i="6"/>
  <c r="U18" i="6"/>
  <c r="W18" i="6" s="1"/>
  <c r="Q18" i="6"/>
  <c r="P18" i="6"/>
  <c r="F18" i="6"/>
  <c r="H18" i="6" s="1"/>
  <c r="C18" i="6"/>
  <c r="W17" i="6"/>
  <c r="V17" i="6"/>
  <c r="U17" i="6"/>
  <c r="Q17" i="6"/>
  <c r="P17" i="6"/>
  <c r="F17" i="6"/>
  <c r="H17" i="6" s="1"/>
  <c r="C17" i="6"/>
  <c r="V16" i="6"/>
  <c r="U16" i="6"/>
  <c r="W16" i="6" s="1"/>
  <c r="Q16" i="6"/>
  <c r="P16" i="6"/>
  <c r="F16" i="6"/>
  <c r="H16" i="6" s="1"/>
  <c r="C16" i="6"/>
  <c r="V15" i="6"/>
  <c r="U15" i="6"/>
  <c r="W15" i="6" s="1"/>
  <c r="Q15" i="6"/>
  <c r="P15" i="6"/>
  <c r="F15" i="6"/>
  <c r="H15" i="6" s="1"/>
  <c r="C15" i="6"/>
  <c r="W14" i="6"/>
  <c r="V14" i="6"/>
  <c r="U14" i="6"/>
  <c r="Q14" i="6"/>
  <c r="P14" i="6"/>
  <c r="F14" i="6"/>
  <c r="H14" i="6" s="1"/>
  <c r="C14" i="6"/>
  <c r="W13" i="6"/>
  <c r="V13" i="6"/>
  <c r="U13" i="6"/>
  <c r="Q13" i="6"/>
  <c r="P13" i="6"/>
  <c r="F13" i="6"/>
  <c r="H13" i="6" s="1"/>
  <c r="C13" i="6"/>
  <c r="V12" i="6"/>
  <c r="U12" i="6"/>
  <c r="W12" i="6" s="1"/>
  <c r="Q12" i="6"/>
  <c r="P12" i="6"/>
  <c r="F12" i="6"/>
  <c r="H12" i="6" s="1"/>
  <c r="C12" i="6"/>
  <c r="V11" i="6"/>
  <c r="U11" i="6"/>
  <c r="W11" i="6" s="1"/>
  <c r="Q11" i="6"/>
  <c r="P11" i="6"/>
  <c r="F11" i="6"/>
  <c r="H11" i="6" s="1"/>
  <c r="C11" i="6"/>
  <c r="V10" i="6"/>
  <c r="W10" i="6" s="1"/>
  <c r="U10" i="6"/>
  <c r="Q10" i="6"/>
  <c r="P10" i="6"/>
  <c r="F10" i="6"/>
  <c r="H10" i="6" s="1"/>
  <c r="C10" i="6"/>
  <c r="V9" i="6"/>
  <c r="U9" i="6"/>
  <c r="W9" i="6" s="1"/>
  <c r="Q9" i="6"/>
  <c r="P9" i="6"/>
  <c r="F9" i="6"/>
  <c r="H9" i="6" s="1"/>
  <c r="C9" i="6"/>
  <c r="V8" i="6"/>
  <c r="W8" i="6" s="1"/>
  <c r="U8" i="6"/>
  <c r="Q8" i="6"/>
  <c r="P8" i="6"/>
  <c r="F8" i="6"/>
  <c r="H8" i="6" s="1"/>
  <c r="C8" i="6"/>
  <c r="W7" i="6"/>
  <c r="V7" i="6"/>
  <c r="U7" i="6"/>
  <c r="Q7" i="6"/>
  <c r="P7" i="6"/>
  <c r="F7" i="6"/>
  <c r="H7" i="6" s="1"/>
  <c r="C7" i="6"/>
  <c r="V6" i="6"/>
  <c r="U6" i="6"/>
  <c r="W6" i="6" s="1"/>
  <c r="Q6" i="6"/>
  <c r="P6" i="6"/>
  <c r="F6" i="6"/>
  <c r="H6" i="6" s="1"/>
  <c r="C6" i="6"/>
  <c r="W5" i="6"/>
  <c r="V5" i="6"/>
  <c r="U5" i="6"/>
  <c r="Q5" i="6"/>
  <c r="P5" i="6"/>
  <c r="F5" i="6"/>
  <c r="H5" i="6" s="1"/>
  <c r="C5" i="6"/>
  <c r="W4" i="6"/>
  <c r="V4" i="6"/>
  <c r="U4" i="6"/>
  <c r="Q4" i="6"/>
  <c r="P4" i="6"/>
  <c r="F4" i="6"/>
  <c r="H4" i="6" s="1"/>
  <c r="C4" i="6"/>
  <c r="V3" i="6"/>
  <c r="U3" i="6"/>
  <c r="W3" i="6" s="1"/>
  <c r="Q3" i="6"/>
  <c r="P3" i="6"/>
  <c r="F3" i="6"/>
  <c r="H3" i="6" s="1"/>
  <c r="C3" i="6"/>
  <c r="V2" i="6"/>
  <c r="U2" i="6"/>
  <c r="W2" i="6" s="1"/>
  <c r="Q2" i="6"/>
  <c r="P2" i="6"/>
  <c r="F2" i="6"/>
  <c r="H2" i="6" s="1"/>
  <c r="C2" i="6"/>
  <c r="L97" i="5"/>
  <c r="L94" i="5"/>
  <c r="R64" i="5"/>
  <c r="H64" i="5"/>
  <c r="J17" i="9" s="1"/>
  <c r="E64" i="5"/>
  <c r="D64" i="5"/>
  <c r="C64" i="5"/>
  <c r="B64" i="5"/>
  <c r="A64" i="5"/>
  <c r="H63" i="5"/>
  <c r="J16" i="9" s="1"/>
  <c r="M16" i="9" s="1"/>
  <c r="N16" i="9" s="1"/>
  <c r="G63" i="5"/>
  <c r="E63" i="5"/>
  <c r="D63" i="5"/>
  <c r="C63" i="5"/>
  <c r="B63" i="5"/>
  <c r="A63" i="5"/>
  <c r="H62" i="5"/>
  <c r="J15" i="9" s="1"/>
  <c r="G62" i="5"/>
  <c r="E62" i="5"/>
  <c r="D62" i="5"/>
  <c r="C62" i="5"/>
  <c r="B62" i="5"/>
  <c r="A62" i="5"/>
  <c r="R61" i="5"/>
  <c r="K61" i="5"/>
  <c r="L14" i="9" s="1"/>
  <c r="H61" i="5"/>
  <c r="J14" i="9" s="1"/>
  <c r="E61" i="5"/>
  <c r="D61" i="5"/>
  <c r="C61" i="5"/>
  <c r="B61" i="5"/>
  <c r="A61" i="5"/>
  <c r="R60" i="5"/>
  <c r="K60" i="5"/>
  <c r="H60" i="5"/>
  <c r="J13" i="9" s="1"/>
  <c r="E60" i="5"/>
  <c r="D60" i="5"/>
  <c r="C60" i="5"/>
  <c r="B60" i="5"/>
  <c r="A60" i="5"/>
  <c r="H59" i="5"/>
  <c r="J12" i="9" s="1"/>
  <c r="M12" i="9" s="1"/>
  <c r="N12" i="9" s="1"/>
  <c r="G59" i="5"/>
  <c r="E59" i="5"/>
  <c r="D59" i="5"/>
  <c r="C59" i="5"/>
  <c r="B59" i="5"/>
  <c r="A59" i="5"/>
  <c r="K58" i="5"/>
  <c r="L11" i="9" s="1"/>
  <c r="H58" i="5"/>
  <c r="J11" i="9" s="1"/>
  <c r="M11" i="9" s="1"/>
  <c r="N11" i="9" s="1"/>
  <c r="E58" i="5"/>
  <c r="D58" i="5"/>
  <c r="C58" i="5"/>
  <c r="B58" i="5"/>
  <c r="A58" i="5"/>
  <c r="H57" i="5"/>
  <c r="E57" i="5"/>
  <c r="D57" i="5"/>
  <c r="C57" i="5"/>
  <c r="B57" i="5"/>
  <c r="A57" i="5"/>
  <c r="H56" i="5"/>
  <c r="J9" i="9" s="1"/>
  <c r="E56" i="5"/>
  <c r="D56" i="5"/>
  <c r="C56" i="5"/>
  <c r="B56" i="5"/>
  <c r="A56" i="5"/>
  <c r="R55" i="5"/>
  <c r="K55" i="5"/>
  <c r="L8" i="9" s="1"/>
  <c r="H55" i="5"/>
  <c r="J8" i="9" s="1"/>
  <c r="E55" i="5"/>
  <c r="D55" i="5"/>
  <c r="C55" i="5"/>
  <c r="B55" i="5"/>
  <c r="A55" i="5"/>
  <c r="R54" i="5"/>
  <c r="K54" i="5"/>
  <c r="L7" i="9" s="1"/>
  <c r="H54" i="5"/>
  <c r="J7" i="9" s="1"/>
  <c r="M7" i="9" s="1"/>
  <c r="N7" i="9" s="1"/>
  <c r="E54" i="5"/>
  <c r="D54" i="5"/>
  <c r="C54" i="5"/>
  <c r="B54" i="5"/>
  <c r="A54" i="5"/>
  <c r="R53" i="5"/>
  <c r="K53" i="5"/>
  <c r="L6" i="9" s="1"/>
  <c r="H53" i="5"/>
  <c r="J6" i="9" s="1"/>
  <c r="M6" i="9" s="1"/>
  <c r="N6" i="9" s="1"/>
  <c r="E53" i="5"/>
  <c r="D53" i="5"/>
  <c r="C53" i="5"/>
  <c r="B53" i="5"/>
  <c r="A53" i="5"/>
  <c r="K52" i="5"/>
  <c r="L5" i="9" s="1"/>
  <c r="H52" i="5"/>
  <c r="J5" i="9" s="1"/>
  <c r="M5" i="9" s="1"/>
  <c r="N5" i="9" s="1"/>
  <c r="E52" i="5"/>
  <c r="D52" i="5"/>
  <c r="C52" i="5"/>
  <c r="B52" i="5"/>
  <c r="A52" i="5"/>
  <c r="K51" i="5"/>
  <c r="H51" i="5"/>
  <c r="J4" i="9" s="1"/>
  <c r="E51" i="5"/>
  <c r="D51" i="5"/>
  <c r="C51" i="5"/>
  <c r="B51" i="5"/>
  <c r="A51" i="5"/>
  <c r="H50" i="5"/>
  <c r="G50" i="5"/>
  <c r="E50" i="5"/>
  <c r="D50" i="5"/>
  <c r="C50" i="5"/>
  <c r="B50" i="5"/>
  <c r="M7" i="5" s="1"/>
  <c r="Q7" i="5" s="1"/>
  <c r="A50" i="5"/>
  <c r="I49" i="5"/>
  <c r="F49" i="5"/>
  <c r="S46" i="5"/>
  <c r="R46" i="5"/>
  <c r="P46" i="5"/>
  <c r="M46" i="5"/>
  <c r="L46" i="5"/>
  <c r="P45" i="5"/>
  <c r="O45" i="5"/>
  <c r="M45" i="5"/>
  <c r="L45" i="5"/>
  <c r="R44" i="5"/>
  <c r="P44" i="5"/>
  <c r="M44" i="5"/>
  <c r="L44" i="5"/>
  <c r="S43" i="5"/>
  <c r="R43" i="5"/>
  <c r="P43" i="5"/>
  <c r="O43" i="5"/>
  <c r="N43" i="5"/>
  <c r="M43" i="5"/>
  <c r="L43" i="5"/>
  <c r="S42" i="5"/>
  <c r="Q42" i="5"/>
  <c r="F47" i="13" s="1"/>
  <c r="P42" i="5"/>
  <c r="O42" i="5"/>
  <c r="M42" i="5"/>
  <c r="L42" i="5"/>
  <c r="Q41" i="5"/>
  <c r="B63" i="13" s="1"/>
  <c r="P41" i="5"/>
  <c r="O41" i="5"/>
  <c r="M41" i="5"/>
  <c r="L41" i="5"/>
  <c r="S40" i="5"/>
  <c r="R58" i="5" s="1"/>
  <c r="R40" i="5"/>
  <c r="P40" i="5"/>
  <c r="O40" i="5"/>
  <c r="N40" i="5"/>
  <c r="M40" i="5"/>
  <c r="S39" i="5"/>
  <c r="R57" i="5" s="1"/>
  <c r="P39" i="5"/>
  <c r="M39" i="5"/>
  <c r="L39" i="5"/>
  <c r="S38" i="5"/>
  <c r="R56" i="5" s="1"/>
  <c r="R38" i="5"/>
  <c r="P38" i="5"/>
  <c r="O38" i="5"/>
  <c r="N38" i="5"/>
  <c r="M38" i="5"/>
  <c r="L38" i="5"/>
  <c r="S37" i="5"/>
  <c r="M37" i="5"/>
  <c r="L37" i="5"/>
  <c r="S36" i="5"/>
  <c r="R36" i="5"/>
  <c r="O36" i="5"/>
  <c r="N36" i="5"/>
  <c r="M36" i="5"/>
  <c r="S35" i="5"/>
  <c r="R35" i="5"/>
  <c r="P35" i="5"/>
  <c r="O35" i="5"/>
  <c r="N35" i="5"/>
  <c r="M35" i="5"/>
  <c r="L35" i="5"/>
  <c r="S34" i="5"/>
  <c r="R52" i="5" s="1"/>
  <c r="R34" i="5"/>
  <c r="Q34" i="5"/>
  <c r="P34" i="5"/>
  <c r="N34" i="5"/>
  <c r="M34" i="5"/>
  <c r="L34" i="5"/>
  <c r="S33" i="5"/>
  <c r="R51" i="5" s="1"/>
  <c r="Q33" i="5"/>
  <c r="F21" i="13" s="1"/>
  <c r="P33" i="5"/>
  <c r="O33" i="5"/>
  <c r="M33" i="5"/>
  <c r="P32" i="5"/>
  <c r="O32" i="5"/>
  <c r="L32" i="5"/>
  <c r="O28" i="5"/>
  <c r="O27" i="5"/>
  <c r="M27" i="5"/>
  <c r="I27" i="5"/>
  <c r="H27" i="5"/>
  <c r="G27" i="5"/>
  <c r="Q27" i="5" s="1"/>
  <c r="Q26" i="5"/>
  <c r="O26" i="5"/>
  <c r="M26" i="5"/>
  <c r="I26" i="5"/>
  <c r="H26" i="5"/>
  <c r="G26" i="5"/>
  <c r="Q25" i="5"/>
  <c r="M25" i="5"/>
  <c r="I25" i="5"/>
  <c r="O25" i="5" s="1"/>
  <c r="H25" i="5"/>
  <c r="G25" i="5"/>
  <c r="M24" i="5"/>
  <c r="I24" i="5"/>
  <c r="H24" i="5"/>
  <c r="O24" i="5" s="1"/>
  <c r="G24" i="5"/>
  <c r="Q24" i="5" s="1"/>
  <c r="A24" i="5"/>
  <c r="Q23" i="5"/>
  <c r="M23" i="5"/>
  <c r="I23" i="5"/>
  <c r="H23" i="5"/>
  <c r="O23" i="5" s="1"/>
  <c r="G23" i="5"/>
  <c r="A23" i="5"/>
  <c r="M22" i="5"/>
  <c r="I22" i="5"/>
  <c r="O22" i="5" s="1"/>
  <c r="H22" i="5"/>
  <c r="G22" i="5"/>
  <c r="M68" i="5" s="1"/>
  <c r="A16" i="5"/>
  <c r="I14" i="5"/>
  <c r="K8" i="5" s="1"/>
  <c r="C27" i="7" s="1"/>
  <c r="A13" i="5"/>
  <c r="K12" i="5"/>
  <c r="K11" i="5"/>
  <c r="K10" i="5"/>
  <c r="AC8" i="5"/>
  <c r="AB8" i="5"/>
  <c r="AA8" i="5"/>
  <c r="Z8" i="5"/>
  <c r="Y8" i="5"/>
  <c r="X8" i="5"/>
  <c r="I8" i="5"/>
  <c r="E9" i="7" s="1"/>
  <c r="H8" i="5"/>
  <c r="D9" i="7" s="1"/>
  <c r="G8" i="5"/>
  <c r="F8" i="5"/>
  <c r="E8" i="5"/>
  <c r="B18" i="7" s="1"/>
  <c r="B16" i="5" s="1"/>
  <c r="A8" i="5"/>
  <c r="AL14" i="17" s="1"/>
  <c r="B7" i="5"/>
  <c r="A7" i="5"/>
  <c r="AD6" i="5"/>
  <c r="AC6" i="5"/>
  <c r="AB6" i="5"/>
  <c r="AA6" i="5"/>
  <c r="Z6" i="5"/>
  <c r="Y6" i="5"/>
  <c r="X6" i="5"/>
  <c r="C6" i="5"/>
  <c r="B6" i="5"/>
  <c r="B8" i="5" s="1"/>
  <c r="A6" i="5"/>
  <c r="A34" i="7" s="1"/>
  <c r="G5" i="5"/>
  <c r="D5" i="5"/>
  <c r="K5" i="5" s="1"/>
  <c r="C24" i="7" s="1"/>
  <c r="A5" i="5"/>
  <c r="AL11" i="17" s="1"/>
  <c r="K4" i="5"/>
  <c r="C23" i="7" s="1"/>
  <c r="H4" i="5"/>
  <c r="D5" i="7" s="1"/>
  <c r="G4" i="5"/>
  <c r="D4" i="5"/>
  <c r="A4" i="5"/>
  <c r="A23" i="7" s="1"/>
  <c r="E23" i="7" s="1"/>
  <c r="D3" i="5"/>
  <c r="B22" i="7" s="1"/>
  <c r="A3" i="5"/>
  <c r="AB34" i="4"/>
  <c r="X34" i="4"/>
  <c r="W34" i="4"/>
  <c r="AB29" i="4"/>
  <c r="S29" i="4"/>
  <c r="R29" i="4"/>
  <c r="Q29" i="4"/>
  <c r="N29" i="4"/>
  <c r="L29" i="4"/>
  <c r="AC28" i="4"/>
  <c r="AB28" i="4"/>
  <c r="AA28" i="4"/>
  <c r="R28" i="4"/>
  <c r="Q28" i="4"/>
  <c r="N28" i="4"/>
  <c r="L28" i="4"/>
  <c r="Q27" i="4"/>
  <c r="N27" i="4"/>
  <c r="L27" i="4"/>
  <c r="N26" i="4"/>
  <c r="L26" i="4"/>
  <c r="S25" i="4"/>
  <c r="L25" i="4"/>
  <c r="AA24" i="4"/>
  <c r="Z24" i="4"/>
  <c r="S24" i="4"/>
  <c r="R24" i="4"/>
  <c r="R23" i="4"/>
  <c r="Q23" i="4"/>
  <c r="AB20" i="4"/>
  <c r="AA20" i="4"/>
  <c r="H19" i="4"/>
  <c r="G19" i="4"/>
  <c r="F19" i="4"/>
  <c r="E19" i="4"/>
  <c r="D19" i="4"/>
  <c r="C19" i="4"/>
  <c r="M16" i="4"/>
  <c r="L16" i="4" s="1"/>
  <c r="H14" i="4"/>
  <c r="G14" i="4"/>
  <c r="F5" i="5" s="1"/>
  <c r="F14" i="4"/>
  <c r="E5" i="5" s="1"/>
  <c r="B15" i="7" s="1"/>
  <c r="AC13" i="4"/>
  <c r="AC25" i="4" s="1"/>
  <c r="AB13" i="4"/>
  <c r="AB12" i="4" s="1"/>
  <c r="AA13" i="4"/>
  <c r="Z13" i="4"/>
  <c r="Z22" i="4" s="1"/>
  <c r="Y13" i="4"/>
  <c r="Y29" i="4" s="1"/>
  <c r="X13" i="4"/>
  <c r="X24" i="4" s="1"/>
  <c r="AC12" i="4"/>
  <c r="M11" i="4"/>
  <c r="L11" i="4"/>
  <c r="I5" i="5" s="1"/>
  <c r="AC10" i="4"/>
  <c r="AB10" i="4"/>
  <c r="AA10" i="4"/>
  <c r="Z10" i="4"/>
  <c r="Y10" i="4"/>
  <c r="X10" i="4"/>
  <c r="M6" i="4"/>
  <c r="L6" i="4"/>
  <c r="H5" i="5" s="1"/>
  <c r="E6" i="4"/>
  <c r="X4" i="4"/>
  <c r="AB34" i="3"/>
  <c r="X34" i="3"/>
  <c r="W34" i="3"/>
  <c r="Z29" i="3"/>
  <c r="Y29" i="3"/>
  <c r="X29" i="3"/>
  <c r="S29" i="3"/>
  <c r="R29" i="3"/>
  <c r="Q29" i="3"/>
  <c r="N29" i="3"/>
  <c r="L29" i="3"/>
  <c r="AC28" i="3"/>
  <c r="Z28" i="3"/>
  <c r="X28" i="3"/>
  <c r="S28" i="3"/>
  <c r="R28" i="3"/>
  <c r="Q28" i="3"/>
  <c r="N28" i="3"/>
  <c r="L28" i="3"/>
  <c r="S27" i="3"/>
  <c r="R27" i="3"/>
  <c r="Q27" i="3"/>
  <c r="N27" i="3"/>
  <c r="L27" i="3"/>
  <c r="S26" i="3"/>
  <c r="R26" i="3"/>
  <c r="Q26" i="3"/>
  <c r="N26" i="3"/>
  <c r="L26" i="3"/>
  <c r="S25" i="3"/>
  <c r="R25" i="3"/>
  <c r="Q25" i="3"/>
  <c r="N25" i="3"/>
  <c r="L25" i="3"/>
  <c r="AC24" i="3"/>
  <c r="S24" i="3"/>
  <c r="R24" i="3"/>
  <c r="Q24" i="3"/>
  <c r="N24" i="3"/>
  <c r="L24" i="3"/>
  <c r="X23" i="3"/>
  <c r="R23" i="3"/>
  <c r="Q23" i="3"/>
  <c r="N23" i="3"/>
  <c r="L23" i="3"/>
  <c r="Y21" i="3"/>
  <c r="X21" i="3"/>
  <c r="AC20" i="3"/>
  <c r="H19" i="3"/>
  <c r="G19" i="3"/>
  <c r="F19" i="3"/>
  <c r="E19" i="3"/>
  <c r="D19" i="3"/>
  <c r="C19" i="3"/>
  <c r="M16" i="3"/>
  <c r="L16" i="3" s="1"/>
  <c r="H14" i="3"/>
  <c r="G14" i="3"/>
  <c r="F4" i="5" s="1"/>
  <c r="F14" i="3"/>
  <c r="E4" i="5" s="1"/>
  <c r="B14" i="7" s="1"/>
  <c r="AC13" i="3"/>
  <c r="AC25" i="3" s="1"/>
  <c r="AB13" i="3"/>
  <c r="AA13" i="3"/>
  <c r="AA28" i="3" s="1"/>
  <c r="Z13" i="3"/>
  <c r="Z24" i="3" s="1"/>
  <c r="Y13" i="3"/>
  <c r="Y24" i="3" s="1"/>
  <c r="X13" i="3"/>
  <c r="X24" i="3" s="1"/>
  <c r="Y12" i="3"/>
  <c r="X12" i="3"/>
  <c r="M11" i="3"/>
  <c r="L11" i="3" s="1"/>
  <c r="AC10" i="3"/>
  <c r="AB10" i="3"/>
  <c r="AA10" i="3"/>
  <c r="Z10" i="3"/>
  <c r="Y10" i="3"/>
  <c r="X10" i="3"/>
  <c r="R6" i="3"/>
  <c r="P6" i="3"/>
  <c r="O6" i="3"/>
  <c r="N6" i="3"/>
  <c r="M6" i="3"/>
  <c r="L6" i="3"/>
  <c r="E6" i="3"/>
  <c r="X4" i="3"/>
  <c r="AB34" i="2"/>
  <c r="X34" i="2"/>
  <c r="W34" i="2"/>
  <c r="AA29" i="2"/>
  <c r="Z29" i="2"/>
  <c r="Y29" i="2"/>
  <c r="X29" i="2"/>
  <c r="R29" i="2"/>
  <c r="Q29" i="2"/>
  <c r="S28" i="2"/>
  <c r="Q28" i="2"/>
  <c r="N28" i="2"/>
  <c r="S27" i="2"/>
  <c r="R27" i="2"/>
  <c r="N27" i="2"/>
  <c r="L27" i="2"/>
  <c r="S26" i="2"/>
  <c r="R26" i="2"/>
  <c r="Q26" i="2"/>
  <c r="L26" i="2"/>
  <c r="Y25" i="2"/>
  <c r="X25" i="2"/>
  <c r="S25" i="2"/>
  <c r="R25" i="2"/>
  <c r="Q25" i="2"/>
  <c r="N25" i="2"/>
  <c r="S24" i="2"/>
  <c r="R24" i="2"/>
  <c r="Q24" i="2"/>
  <c r="N24" i="2"/>
  <c r="L24" i="2"/>
  <c r="AC23" i="2"/>
  <c r="S23" i="2"/>
  <c r="R23" i="2"/>
  <c r="Q23" i="2"/>
  <c r="N23" i="2"/>
  <c r="L23" i="2"/>
  <c r="Z22" i="2"/>
  <c r="Y22" i="2"/>
  <c r="X22" i="2"/>
  <c r="H20" i="2"/>
  <c r="H19" i="2"/>
  <c r="G19" i="2"/>
  <c r="F19" i="2"/>
  <c r="E19" i="2"/>
  <c r="D19" i="2"/>
  <c r="C19" i="2"/>
  <c r="M16" i="2"/>
  <c r="L16" i="2" s="1"/>
  <c r="H14" i="2"/>
  <c r="G3" i="5" s="1"/>
  <c r="G14" i="2"/>
  <c r="F3" i="5" s="1"/>
  <c r="F14" i="2"/>
  <c r="E3" i="5" s="1"/>
  <c r="B13" i="7" s="1"/>
  <c r="AC13" i="2"/>
  <c r="AC28" i="2" s="1"/>
  <c r="AB13" i="2"/>
  <c r="AB28" i="2" s="1"/>
  <c r="AA13" i="2"/>
  <c r="AA28" i="2" s="1"/>
  <c r="Z13" i="2"/>
  <c r="Z23" i="2" s="1"/>
  <c r="Y13" i="2"/>
  <c r="Y21" i="2" s="1"/>
  <c r="X13" i="2"/>
  <c r="X28" i="2" s="1"/>
  <c r="AA12" i="2"/>
  <c r="Z12" i="2"/>
  <c r="Y12" i="2"/>
  <c r="X12" i="2"/>
  <c r="M11" i="2"/>
  <c r="L11" i="2" s="1"/>
  <c r="AC10" i="2"/>
  <c r="AB10" i="2"/>
  <c r="AA10" i="2"/>
  <c r="Z10" i="2"/>
  <c r="Y10" i="2"/>
  <c r="X10" i="2"/>
  <c r="M6" i="2"/>
  <c r="L6" i="2" s="1"/>
  <c r="E6" i="2"/>
  <c r="X4" i="2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F8" i="1"/>
  <c r="C8" i="1"/>
  <c r="F7" i="1"/>
  <c r="F6" i="1"/>
  <c r="F5" i="1"/>
  <c r="C5" i="1"/>
  <c r="F4" i="1"/>
  <c r="C4" i="1"/>
  <c r="B3" i="1"/>
  <c r="AC45" i="7" l="1"/>
  <c r="AC51" i="7"/>
  <c r="AC53" i="7"/>
  <c r="AC46" i="7"/>
  <c r="O16" i="2"/>
  <c r="J3" i="5"/>
  <c r="R16" i="2"/>
  <c r="P16" i="2"/>
  <c r="N16" i="2"/>
  <c r="D6" i="7"/>
  <c r="C6" i="7"/>
  <c r="B6" i="7"/>
  <c r="C13" i="7"/>
  <c r="B11" i="5"/>
  <c r="B13" i="5"/>
  <c r="C15" i="7"/>
  <c r="N24" i="7"/>
  <c r="M24" i="7"/>
  <c r="Q11" i="9"/>
  <c r="P11" i="9"/>
  <c r="O11" i="9"/>
  <c r="P7" i="9"/>
  <c r="O7" i="9"/>
  <c r="Q7" i="9"/>
  <c r="Q16" i="9"/>
  <c r="P16" i="9"/>
  <c r="O16" i="9"/>
  <c r="B12" i="5"/>
  <c r="F34" i="7"/>
  <c r="S21" i="7"/>
  <c r="E6" i="7"/>
  <c r="G6" i="7"/>
  <c r="T15" i="7" s="1"/>
  <c r="R12" i="4" s="1"/>
  <c r="F6" i="7"/>
  <c r="R15" i="7" s="1"/>
  <c r="P12" i="4" s="1"/>
  <c r="F27" i="7"/>
  <c r="D16" i="5"/>
  <c r="Q5" i="9"/>
  <c r="P5" i="9"/>
  <c r="O5" i="9"/>
  <c r="Q12" i="9"/>
  <c r="P12" i="9"/>
  <c r="O12" i="9"/>
  <c r="N11" i="3"/>
  <c r="I4" i="5"/>
  <c r="R11" i="3"/>
  <c r="P11" i="3"/>
  <c r="O11" i="3"/>
  <c r="D22" i="7"/>
  <c r="H22" i="7"/>
  <c r="I22" i="7"/>
  <c r="F23" i="7"/>
  <c r="D12" i="5"/>
  <c r="I3" i="5"/>
  <c r="R11" i="2"/>
  <c r="P11" i="2"/>
  <c r="N11" i="2"/>
  <c r="O11" i="2"/>
  <c r="Q6" i="9"/>
  <c r="P6" i="9"/>
  <c r="O6" i="9"/>
  <c r="P16" i="4"/>
  <c r="J5" i="5"/>
  <c r="R16" i="4"/>
  <c r="O16" i="4"/>
  <c r="N16" i="4"/>
  <c r="R16" i="3"/>
  <c r="P16" i="3"/>
  <c r="O16" i="3"/>
  <c r="N16" i="3"/>
  <c r="J4" i="5"/>
  <c r="N9" i="5"/>
  <c r="N8" i="5"/>
  <c r="N7" i="5"/>
  <c r="L7" i="5" s="1" a="1"/>
  <c r="L7" i="5" s="1"/>
  <c r="H3" i="5"/>
  <c r="R6" i="2"/>
  <c r="P6" i="2"/>
  <c r="O6" i="2"/>
  <c r="N6" i="2"/>
  <c r="N23" i="7"/>
  <c r="M23" i="7"/>
  <c r="N27" i="7"/>
  <c r="M27" i="7"/>
  <c r="O2" i="11"/>
  <c r="B3" i="5"/>
  <c r="C3" i="5"/>
  <c r="AA24" i="3"/>
  <c r="AL9" i="17"/>
  <c r="A31" i="7"/>
  <c r="A4" i="7"/>
  <c r="AL13" i="17"/>
  <c r="A15" i="5"/>
  <c r="M2" i="11"/>
  <c r="A17" i="7"/>
  <c r="A8" i="7"/>
  <c r="Z7" i="5"/>
  <c r="A22" i="5"/>
  <c r="A16" i="7"/>
  <c r="C7" i="1"/>
  <c r="AA7" i="5"/>
  <c r="A26" i="5"/>
  <c r="E26" i="13"/>
  <c r="F43" i="13"/>
  <c r="B60" i="13"/>
  <c r="F60" i="13"/>
  <c r="E60" i="13"/>
  <c r="D60" i="13"/>
  <c r="C60" i="13"/>
  <c r="E43" i="13"/>
  <c r="A60" i="13"/>
  <c r="D43" i="13"/>
  <c r="C43" i="13"/>
  <c r="B43" i="13"/>
  <c r="A43" i="13"/>
  <c r="F26" i="13"/>
  <c r="D26" i="13"/>
  <c r="C26" i="13"/>
  <c r="B26" i="13"/>
  <c r="I24" i="7"/>
  <c r="H24" i="7"/>
  <c r="E25" i="13"/>
  <c r="F42" i="13"/>
  <c r="D25" i="13"/>
  <c r="E42" i="13"/>
  <c r="C25" i="13"/>
  <c r="F59" i="13"/>
  <c r="D42" i="13"/>
  <c r="B25" i="13"/>
  <c r="E59" i="13"/>
  <c r="D59" i="13"/>
  <c r="B42" i="13"/>
  <c r="C59" i="13"/>
  <c r="A42" i="13"/>
  <c r="B59" i="13"/>
  <c r="C42" i="13"/>
  <c r="A25" i="13"/>
  <c r="AB28" i="3"/>
  <c r="AB24" i="3"/>
  <c r="S45" i="5"/>
  <c r="R63" i="5" s="1"/>
  <c r="X21" i="4"/>
  <c r="M8" i="9"/>
  <c r="N8" i="9" s="1"/>
  <c r="AM15" i="7"/>
  <c r="AL15" i="7" s="1"/>
  <c r="W15" i="7"/>
  <c r="G15" i="7"/>
  <c r="F15" i="7" s="1"/>
  <c r="AE15" i="7"/>
  <c r="AD15" i="7" s="1"/>
  <c r="O15" i="7"/>
  <c r="M14" i="9"/>
  <c r="N14" i="9" s="1"/>
  <c r="U301" i="13"/>
  <c r="U297" i="13"/>
  <c r="U293" i="13"/>
  <c r="U289" i="13"/>
  <c r="U285" i="13"/>
  <c r="U281" i="13"/>
  <c r="U277" i="13"/>
  <c r="U273" i="13"/>
  <c r="U269" i="13"/>
  <c r="U265" i="13"/>
  <c r="U261" i="13"/>
  <c r="U257" i="13"/>
  <c r="U253" i="13"/>
  <c r="U249" i="13"/>
  <c r="U245" i="13"/>
  <c r="U241" i="13"/>
  <c r="U237" i="13"/>
  <c r="U233" i="13"/>
  <c r="U229" i="13"/>
  <c r="U225" i="13"/>
  <c r="U221" i="13"/>
  <c r="U217" i="13"/>
  <c r="U213" i="13"/>
  <c r="U209" i="13"/>
  <c r="U205" i="13"/>
  <c r="U201" i="13"/>
  <c r="U197" i="13"/>
  <c r="U193" i="13"/>
  <c r="U189" i="13"/>
  <c r="U300" i="13"/>
  <c r="U296" i="13"/>
  <c r="U292" i="13"/>
  <c r="U288" i="13"/>
  <c r="U284" i="13"/>
  <c r="U280" i="13"/>
  <c r="U276" i="13"/>
  <c r="U272" i="13"/>
  <c r="U268" i="13"/>
  <c r="U264" i="13"/>
  <c r="U260" i="13"/>
  <c r="U256" i="13"/>
  <c r="U252" i="13"/>
  <c r="U248" i="13"/>
  <c r="U244" i="13"/>
  <c r="U240" i="13"/>
  <c r="U236" i="13"/>
  <c r="U232" i="13"/>
  <c r="U228" i="13"/>
  <c r="U224" i="13"/>
  <c r="U220" i="13"/>
  <c r="U216" i="13"/>
  <c r="U212" i="13"/>
  <c r="U208" i="13"/>
  <c r="U204" i="13"/>
  <c r="U200" i="13"/>
  <c r="U196" i="13"/>
  <c r="U192" i="13"/>
  <c r="U299" i="13"/>
  <c r="U295" i="13"/>
  <c r="U291" i="13"/>
  <c r="U287" i="13"/>
  <c r="U283" i="13"/>
  <c r="U279" i="13"/>
  <c r="U298" i="13"/>
  <c r="U294" i="13"/>
  <c r="U290" i="13"/>
  <c r="U286" i="13"/>
  <c r="U282" i="13"/>
  <c r="U278" i="13"/>
  <c r="U274" i="13"/>
  <c r="U270" i="13"/>
  <c r="U266" i="13"/>
  <c r="U262" i="13"/>
  <c r="U258" i="13"/>
  <c r="U254" i="13"/>
  <c r="U250" i="13"/>
  <c r="U246" i="13"/>
  <c r="U242" i="13"/>
  <c r="U238" i="13"/>
  <c r="U234" i="13"/>
  <c r="U230" i="13"/>
  <c r="U219" i="13"/>
  <c r="U214" i="13"/>
  <c r="U271" i="13"/>
  <c r="U259" i="13"/>
  <c r="U215" i="13"/>
  <c r="U210" i="13"/>
  <c r="U188" i="13"/>
  <c r="U184" i="13"/>
  <c r="U180" i="13"/>
  <c r="U176" i="13"/>
  <c r="U172" i="13"/>
  <c r="U168" i="13"/>
  <c r="U164" i="13"/>
  <c r="U160" i="13"/>
  <c r="U156" i="13"/>
  <c r="U152" i="13"/>
  <c r="U148" i="13"/>
  <c r="U144" i="13"/>
  <c r="U140" i="13"/>
  <c r="U136" i="13"/>
  <c r="U132" i="13"/>
  <c r="U128" i="13"/>
  <c r="U124" i="13"/>
  <c r="U120" i="13"/>
  <c r="U116" i="13"/>
  <c r="U112" i="13"/>
  <c r="U108" i="13"/>
  <c r="U104" i="13"/>
  <c r="U211" i="13"/>
  <c r="U206" i="13"/>
  <c r="U239" i="13"/>
  <c r="U231" i="13"/>
  <c r="U275" i="13"/>
  <c r="U207" i="13"/>
  <c r="U202" i="13"/>
  <c r="U263" i="13"/>
  <c r="U187" i="13"/>
  <c r="U183" i="13"/>
  <c r="U179" i="13"/>
  <c r="U175" i="13"/>
  <c r="U171" i="13"/>
  <c r="U167" i="13"/>
  <c r="U163" i="13"/>
  <c r="U159" i="13"/>
  <c r="U155" i="13"/>
  <c r="U151" i="13"/>
  <c r="U147" i="13"/>
  <c r="U143" i="13"/>
  <c r="U139" i="13"/>
  <c r="U135" i="13"/>
  <c r="U131" i="13"/>
  <c r="U127" i="13"/>
  <c r="U123" i="13"/>
  <c r="U226" i="13"/>
  <c r="U199" i="13"/>
  <c r="U194" i="13"/>
  <c r="U247" i="13"/>
  <c r="U186" i="13"/>
  <c r="U182" i="13"/>
  <c r="U178" i="13"/>
  <c r="U267" i="13"/>
  <c r="U251" i="13"/>
  <c r="U222" i="13"/>
  <c r="U255" i="13"/>
  <c r="U235" i="13"/>
  <c r="U227" i="13"/>
  <c r="U243" i="13"/>
  <c r="U185" i="13"/>
  <c r="U174" i="13"/>
  <c r="U141" i="13"/>
  <c r="U134" i="13"/>
  <c r="U129" i="13"/>
  <c r="U118" i="13"/>
  <c r="U223" i="13"/>
  <c r="U169" i="13"/>
  <c r="U161" i="13"/>
  <c r="U145" i="13"/>
  <c r="U138" i="13"/>
  <c r="U130" i="13"/>
  <c r="U119" i="13"/>
  <c r="U117" i="13"/>
  <c r="U65" i="13"/>
  <c r="U57" i="13"/>
  <c r="U51" i="13"/>
  <c r="U43" i="13"/>
  <c r="U29" i="13"/>
  <c r="U21" i="13"/>
  <c r="U15" i="13"/>
  <c r="U218" i="13"/>
  <c r="U149" i="13"/>
  <c r="U142" i="13"/>
  <c r="U100" i="13"/>
  <c r="U96" i="13"/>
  <c r="U92" i="13"/>
  <c r="U88" i="13"/>
  <c r="U84" i="13"/>
  <c r="U80" i="13"/>
  <c r="U76" i="13"/>
  <c r="U146" i="13"/>
  <c r="U72" i="13"/>
  <c r="U68" i="13"/>
  <c r="U60" i="13"/>
  <c r="U46" i="13"/>
  <c r="U38" i="13"/>
  <c r="U32" i="13"/>
  <c r="U24" i="13"/>
  <c r="U162" i="13"/>
  <c r="U150" i="13"/>
  <c r="U125" i="13"/>
  <c r="U103" i="13"/>
  <c r="U102" i="13"/>
  <c r="U203" i="13"/>
  <c r="U170" i="13"/>
  <c r="U153" i="13"/>
  <c r="U126" i="13"/>
  <c r="U101" i="13"/>
  <c r="U63" i="13"/>
  <c r="U55" i="13"/>
  <c r="U49" i="13"/>
  <c r="U41" i="13"/>
  <c r="U195" i="13"/>
  <c r="U99" i="13"/>
  <c r="U95" i="13"/>
  <c r="U91" i="13"/>
  <c r="U87" i="13"/>
  <c r="U83" i="13"/>
  <c r="U79" i="13"/>
  <c r="U75" i="13"/>
  <c r="U177" i="13"/>
  <c r="U165" i="13"/>
  <c r="U107" i="13"/>
  <c r="U106" i="13"/>
  <c r="U71" i="13"/>
  <c r="U66" i="13"/>
  <c r="U58" i="13"/>
  <c r="U44" i="13"/>
  <c r="U36" i="13"/>
  <c r="U30" i="13"/>
  <c r="U154" i="13"/>
  <c r="U198" i="13"/>
  <c r="U191" i="13"/>
  <c r="U122" i="13"/>
  <c r="U166" i="13"/>
  <c r="U111" i="13"/>
  <c r="U110" i="13"/>
  <c r="U98" i="13"/>
  <c r="U94" i="13"/>
  <c r="U90" i="13"/>
  <c r="U86" i="13"/>
  <c r="U82" i="13"/>
  <c r="U78" i="13"/>
  <c r="U74" i="13"/>
  <c r="U181" i="13"/>
  <c r="U157" i="13"/>
  <c r="U109" i="13"/>
  <c r="U70" i="13"/>
  <c r="U173" i="13"/>
  <c r="U115" i="13"/>
  <c r="U114" i="13"/>
  <c r="U67" i="13"/>
  <c r="U59" i="13"/>
  <c r="U52" i="13"/>
  <c r="U97" i="13"/>
  <c r="U89" i="13"/>
  <c r="U81" i="13"/>
  <c r="U73" i="13"/>
  <c r="U31" i="13"/>
  <c r="U19" i="13"/>
  <c r="U8" i="13"/>
  <c r="U45" i="13"/>
  <c r="U18" i="13"/>
  <c r="U121" i="13"/>
  <c r="U64" i="13"/>
  <c r="U61" i="13"/>
  <c r="U53" i="13"/>
  <c r="U34" i="13"/>
  <c r="U28" i="13"/>
  <c r="U22" i="13"/>
  <c r="U17" i="13"/>
  <c r="U11" i="13"/>
  <c r="U3" i="13"/>
  <c r="U158" i="13"/>
  <c r="U50" i="13"/>
  <c r="U35" i="13"/>
  <c r="U27" i="13"/>
  <c r="U6" i="13"/>
  <c r="U14" i="13"/>
  <c r="U47" i="13"/>
  <c r="U9" i="13"/>
  <c r="U16" i="13"/>
  <c r="U113" i="13"/>
  <c r="U93" i="13"/>
  <c r="U85" i="13"/>
  <c r="U77" i="13"/>
  <c r="U54" i="13"/>
  <c r="U26" i="13"/>
  <c r="U25" i="13"/>
  <c r="U12" i="13"/>
  <c r="U4" i="13"/>
  <c r="U69" i="13"/>
  <c r="U62" i="13"/>
  <c r="U133" i="13"/>
  <c r="U37" i="13"/>
  <c r="U7" i="13"/>
  <c r="U190" i="13"/>
  <c r="U105" i="13"/>
  <c r="U39" i="13"/>
  <c r="U20" i="13"/>
  <c r="U48" i="13"/>
  <c r="U10" i="13"/>
  <c r="U2" i="13"/>
  <c r="AK299" i="13"/>
  <c r="AK295" i="13"/>
  <c r="AK291" i="13"/>
  <c r="AK287" i="13"/>
  <c r="AK283" i="13"/>
  <c r="AK279" i="13"/>
  <c r="AK275" i="13"/>
  <c r="AK271" i="13"/>
  <c r="AK267" i="13"/>
  <c r="AK263" i="13"/>
  <c r="AK259" i="13"/>
  <c r="AK255" i="13"/>
  <c r="AK251" i="13"/>
  <c r="AK247" i="13"/>
  <c r="AK243" i="13"/>
  <c r="AK239" i="13"/>
  <c r="AK235" i="13"/>
  <c r="AK231" i="13"/>
  <c r="AK227" i="13"/>
  <c r="AK223" i="13"/>
  <c r="AK219" i="13"/>
  <c r="AK215" i="13"/>
  <c r="AK211" i="13"/>
  <c r="AK207" i="13"/>
  <c r="AK203" i="13"/>
  <c r="AK199" i="13"/>
  <c r="AK195" i="13"/>
  <c r="AK191" i="13"/>
  <c r="AK298" i="13"/>
  <c r="AK294" i="13"/>
  <c r="AK290" i="13"/>
  <c r="AK286" i="13"/>
  <c r="AK282" i="13"/>
  <c r="AK278" i="13"/>
  <c r="AK274" i="13"/>
  <c r="AK270" i="13"/>
  <c r="AK266" i="13"/>
  <c r="AK262" i="13"/>
  <c r="AK258" i="13"/>
  <c r="AK254" i="13"/>
  <c r="AK250" i="13"/>
  <c r="AK246" i="13"/>
  <c r="AK242" i="13"/>
  <c r="AK238" i="13"/>
  <c r="AK234" i="13"/>
  <c r="AK230" i="13"/>
  <c r="AK226" i="13"/>
  <c r="AK222" i="13"/>
  <c r="AK218" i="13"/>
  <c r="AK214" i="13"/>
  <c r="AK210" i="13"/>
  <c r="AK206" i="13"/>
  <c r="AK202" i="13"/>
  <c r="AK198" i="13"/>
  <c r="AK194" i="13"/>
  <c r="AK190" i="13"/>
  <c r="AK301" i="13"/>
  <c r="AK297" i="13"/>
  <c r="AK293" i="13"/>
  <c r="AK289" i="13"/>
  <c r="AK285" i="13"/>
  <c r="AK281" i="13"/>
  <c r="AK277" i="13"/>
  <c r="AK300" i="13"/>
  <c r="AK296" i="13"/>
  <c r="AK292" i="13"/>
  <c r="AK288" i="13"/>
  <c r="AK284" i="13"/>
  <c r="AK280" i="13"/>
  <c r="AK276" i="13"/>
  <c r="AK272" i="13"/>
  <c r="AK268" i="13"/>
  <c r="AK264" i="13"/>
  <c r="AK260" i="13"/>
  <c r="AK256" i="13"/>
  <c r="AK252" i="13"/>
  <c r="AK248" i="13"/>
  <c r="AK244" i="13"/>
  <c r="AK240" i="13"/>
  <c r="AK236" i="13"/>
  <c r="AK232" i="13"/>
  <c r="AK228" i="13"/>
  <c r="AK225" i="13"/>
  <c r="AK220" i="13"/>
  <c r="AK193" i="13"/>
  <c r="AK273" i="13"/>
  <c r="AK261" i="13"/>
  <c r="AK221" i="13"/>
  <c r="AK216" i="13"/>
  <c r="AK186" i="13"/>
  <c r="AK182" i="13"/>
  <c r="AK178" i="13"/>
  <c r="AK174" i="13"/>
  <c r="AK170" i="13"/>
  <c r="AK166" i="13"/>
  <c r="AK162" i="13"/>
  <c r="AK158" i="13"/>
  <c r="AK154" i="13"/>
  <c r="AK150" i="13"/>
  <c r="AK146" i="13"/>
  <c r="AK142" i="13"/>
  <c r="AK138" i="13"/>
  <c r="AK134" i="13"/>
  <c r="AK130" i="13"/>
  <c r="AK126" i="13"/>
  <c r="AK122" i="13"/>
  <c r="AK118" i="13"/>
  <c r="AK114" i="13"/>
  <c r="AK110" i="13"/>
  <c r="AK106" i="13"/>
  <c r="AK102" i="13"/>
  <c r="AK217" i="13"/>
  <c r="AK212" i="13"/>
  <c r="AK237" i="13"/>
  <c r="AK229" i="13"/>
  <c r="AK213" i="13"/>
  <c r="AK208" i="13"/>
  <c r="AK265" i="13"/>
  <c r="AK185" i="13"/>
  <c r="AK181" i="13"/>
  <c r="AK177" i="13"/>
  <c r="AK173" i="13"/>
  <c r="AK169" i="13"/>
  <c r="AK165" i="13"/>
  <c r="AK161" i="13"/>
  <c r="AK157" i="13"/>
  <c r="AK153" i="13"/>
  <c r="AK149" i="13"/>
  <c r="AK145" i="13"/>
  <c r="AK141" i="13"/>
  <c r="AK137" i="13"/>
  <c r="AK133" i="13"/>
  <c r="AK129" i="13"/>
  <c r="AK125" i="13"/>
  <c r="AK121" i="13"/>
  <c r="AK249" i="13"/>
  <c r="AK245" i="13"/>
  <c r="AK253" i="13"/>
  <c r="AK205" i="13"/>
  <c r="AK200" i="13"/>
  <c r="AK188" i="13"/>
  <c r="AK184" i="13"/>
  <c r="AK180" i="13"/>
  <c r="AK269" i="13"/>
  <c r="AK257" i="13"/>
  <c r="AK241" i="13"/>
  <c r="AK233" i="13"/>
  <c r="AK196" i="13"/>
  <c r="AK187" i="13"/>
  <c r="AK172" i="13"/>
  <c r="AK167" i="13"/>
  <c r="AK156" i="13"/>
  <c r="AK105" i="13"/>
  <c r="AK104" i="13"/>
  <c r="AK103" i="13"/>
  <c r="AK204" i="13"/>
  <c r="AK189" i="13"/>
  <c r="AK131" i="13"/>
  <c r="AK61" i="13"/>
  <c r="AK53" i="13"/>
  <c r="AK47" i="13"/>
  <c r="AK39" i="13"/>
  <c r="AK33" i="13"/>
  <c r="AK25" i="13"/>
  <c r="AK18" i="13"/>
  <c r="AK192" i="13"/>
  <c r="AK159" i="13"/>
  <c r="AK135" i="13"/>
  <c r="AK98" i="13"/>
  <c r="AK94" i="13"/>
  <c r="AK90" i="13"/>
  <c r="AK86" i="13"/>
  <c r="AK82" i="13"/>
  <c r="AK78" i="13"/>
  <c r="AK74" i="13"/>
  <c r="AK139" i="13"/>
  <c r="AK109" i="13"/>
  <c r="AK108" i="13"/>
  <c r="AK107" i="13"/>
  <c r="AK70" i="13"/>
  <c r="AK64" i="13"/>
  <c r="AK56" i="13"/>
  <c r="AK50" i="13"/>
  <c r="AK42" i="13"/>
  <c r="AK35" i="13"/>
  <c r="AK28" i="13"/>
  <c r="AK20" i="13"/>
  <c r="AK143" i="13"/>
  <c r="AK132" i="13"/>
  <c r="AK168" i="13"/>
  <c r="AK147" i="13"/>
  <c r="AK136" i="13"/>
  <c r="AK127" i="13"/>
  <c r="AK67" i="13"/>
  <c r="AK59" i="13"/>
  <c r="AK52" i="13"/>
  <c r="AK45" i="13"/>
  <c r="AK37" i="13"/>
  <c r="AK179" i="13"/>
  <c r="AK175" i="13"/>
  <c r="AK160" i="13"/>
  <c r="AK151" i="13"/>
  <c r="AK140" i="13"/>
  <c r="AK113" i="13"/>
  <c r="AK112" i="13"/>
  <c r="AK111" i="13"/>
  <c r="AK97" i="13"/>
  <c r="AK93" i="13"/>
  <c r="AK89" i="13"/>
  <c r="AK85" i="13"/>
  <c r="AK81" i="13"/>
  <c r="AK77" i="13"/>
  <c r="AK73" i="13"/>
  <c r="AK144" i="13"/>
  <c r="AK128" i="13"/>
  <c r="AK69" i="13"/>
  <c r="AK62" i="13"/>
  <c r="AK54" i="13"/>
  <c r="AK48" i="13"/>
  <c r="AK40" i="13"/>
  <c r="AK34" i="13"/>
  <c r="AK163" i="13"/>
  <c r="AK148" i="13"/>
  <c r="AK123" i="13"/>
  <c r="AK152" i="13"/>
  <c r="AK96" i="13"/>
  <c r="AK92" i="13"/>
  <c r="AK88" i="13"/>
  <c r="AK84" i="13"/>
  <c r="AK80" i="13"/>
  <c r="AK76" i="13"/>
  <c r="AK183" i="13"/>
  <c r="AK176" i="13"/>
  <c r="AK171" i="13"/>
  <c r="AK124" i="13"/>
  <c r="AK72" i="13"/>
  <c r="AK68" i="13"/>
  <c r="AK201" i="13"/>
  <c r="AK197" i="13"/>
  <c r="AK164" i="13"/>
  <c r="AK155" i="13"/>
  <c r="AK224" i="13"/>
  <c r="AK101" i="13"/>
  <c r="AK100" i="13"/>
  <c r="AK63" i="13"/>
  <c r="AK55" i="13"/>
  <c r="AK49" i="13"/>
  <c r="AK27" i="13"/>
  <c r="AK26" i="13"/>
  <c r="AK21" i="13"/>
  <c r="AK12" i="13"/>
  <c r="AK4" i="13"/>
  <c r="AK51" i="13"/>
  <c r="AK117" i="13"/>
  <c r="AK16" i="13"/>
  <c r="AK7" i="13"/>
  <c r="AK99" i="13"/>
  <c r="AK91" i="13"/>
  <c r="AK83" i="13"/>
  <c r="AK75" i="13"/>
  <c r="AK65" i="13"/>
  <c r="AK58" i="13"/>
  <c r="AK10" i="13"/>
  <c r="AK2" i="13"/>
  <c r="AK120" i="13"/>
  <c r="AK24" i="13"/>
  <c r="AK38" i="13"/>
  <c r="AK36" i="13"/>
  <c r="AK5" i="13"/>
  <c r="AK116" i="13"/>
  <c r="AK23" i="13"/>
  <c r="AK13" i="13"/>
  <c r="AK119" i="13"/>
  <c r="AK15" i="13"/>
  <c r="AK8" i="13"/>
  <c r="AK43" i="13"/>
  <c r="AK32" i="13"/>
  <c r="AK31" i="13"/>
  <c r="AK17" i="13"/>
  <c r="AK11" i="13"/>
  <c r="AK3" i="13"/>
  <c r="AK95" i="13"/>
  <c r="AK87" i="13"/>
  <c r="AK79" i="13"/>
  <c r="AK71" i="13"/>
  <c r="AK60" i="13"/>
  <c r="AK41" i="13"/>
  <c r="AK29" i="13"/>
  <c r="AK19" i="13"/>
  <c r="AK115" i="13"/>
  <c r="AK6" i="13"/>
  <c r="AK66" i="13"/>
  <c r="AK57" i="13"/>
  <c r="AK44" i="13"/>
  <c r="AK30" i="13"/>
  <c r="AK14" i="13"/>
  <c r="F25" i="13"/>
  <c r="AB7" i="5"/>
  <c r="L92" i="5"/>
  <c r="AC7" i="5"/>
  <c r="C58" i="13"/>
  <c r="A41" i="13"/>
  <c r="B58" i="13"/>
  <c r="A58" i="13"/>
  <c r="F58" i="13"/>
  <c r="E24" i="13"/>
  <c r="D24" i="13"/>
  <c r="F41" i="13"/>
  <c r="C24" i="13"/>
  <c r="E41" i="13"/>
  <c r="B24" i="13"/>
  <c r="D41" i="13"/>
  <c r="A24" i="13"/>
  <c r="C41" i="13"/>
  <c r="B41" i="13"/>
  <c r="E58" i="13"/>
  <c r="D58" i="13"/>
  <c r="AB54" i="7"/>
  <c r="G64" i="5" s="1"/>
  <c r="N11" i="4"/>
  <c r="AA22" i="4"/>
  <c r="AA12" i="4"/>
  <c r="Y21" i="4"/>
  <c r="Y23" i="4"/>
  <c r="G6" i="5"/>
  <c r="H7" i="5"/>
  <c r="AD7" i="5"/>
  <c r="A11" i="5"/>
  <c r="M4" i="9"/>
  <c r="N4" i="9" s="1"/>
  <c r="M67" i="5"/>
  <c r="L93" i="5"/>
  <c r="B5" i="7"/>
  <c r="D24" i="7"/>
  <c r="K25" i="7"/>
  <c r="J25" i="7"/>
  <c r="A32" i="7"/>
  <c r="F23" i="13"/>
  <c r="F40" i="13"/>
  <c r="E40" i="13"/>
  <c r="F57" i="13"/>
  <c r="D40" i="13"/>
  <c r="C40" i="13"/>
  <c r="B40" i="13"/>
  <c r="A40" i="13"/>
  <c r="E23" i="13"/>
  <c r="D23" i="13"/>
  <c r="E57" i="13"/>
  <c r="C23" i="13"/>
  <c r="D57" i="13"/>
  <c r="B23" i="13"/>
  <c r="C57" i="13"/>
  <c r="A23" i="13"/>
  <c r="B57" i="13"/>
  <c r="A57" i="13"/>
  <c r="AA66" i="7"/>
  <c r="AA69" i="7"/>
  <c r="AC20" i="4"/>
  <c r="C7" i="5"/>
  <c r="K2" i="11"/>
  <c r="A7" i="7"/>
  <c r="AB12" i="2"/>
  <c r="X20" i="2"/>
  <c r="AB22" i="2"/>
  <c r="AA25" i="2"/>
  <c r="AA21" i="3"/>
  <c r="Z23" i="3"/>
  <c r="F3" i="1"/>
  <c r="C6" i="1"/>
  <c r="AC12" i="2"/>
  <c r="Y20" i="2"/>
  <c r="AC22" i="2"/>
  <c r="AB25" i="2"/>
  <c r="AB29" i="2"/>
  <c r="AB21" i="3"/>
  <c r="AA23" i="3"/>
  <c r="N6" i="4"/>
  <c r="O11" i="4"/>
  <c r="Z21" i="4"/>
  <c r="Z23" i="4"/>
  <c r="H6" i="5"/>
  <c r="I7" i="5"/>
  <c r="M9" i="9"/>
  <c r="N9" i="9" s="1"/>
  <c r="M71" i="5"/>
  <c r="C5" i="7"/>
  <c r="Y15" i="7"/>
  <c r="L25" i="7"/>
  <c r="D27" i="7"/>
  <c r="AD66" i="7"/>
  <c r="AD69" i="7"/>
  <c r="AC19" i="8"/>
  <c r="AO13" i="8" s="1"/>
  <c r="AO10" i="8" s="1"/>
  <c r="M10" i="9"/>
  <c r="N10" i="9" s="1"/>
  <c r="U13" i="13"/>
  <c r="AK22" i="13"/>
  <c r="U40" i="13"/>
  <c r="B48" i="13"/>
  <c r="F152" i="17"/>
  <c r="E152" i="17"/>
  <c r="D152" i="17"/>
  <c r="C152" i="17"/>
  <c r="B152" i="17"/>
  <c r="A152" i="17"/>
  <c r="N148" i="13"/>
  <c r="AL12" i="17"/>
  <c r="E6" i="5"/>
  <c r="B16" i="7" s="1"/>
  <c r="L2" i="11"/>
  <c r="L95" i="5"/>
  <c r="D6" i="1"/>
  <c r="Z20" i="2"/>
  <c r="X24" i="2"/>
  <c r="AC25" i="2"/>
  <c r="AC29" i="2"/>
  <c r="AC21" i="3"/>
  <c r="AB23" i="3"/>
  <c r="O6" i="4"/>
  <c r="P11" i="4"/>
  <c r="AA21" i="4"/>
  <c r="AA23" i="4"/>
  <c r="I6" i="5"/>
  <c r="J7" i="5"/>
  <c r="K50" i="5"/>
  <c r="L3" i="9" s="1"/>
  <c r="A14" i="7"/>
  <c r="F34" i="13"/>
  <c r="E34" i="13"/>
  <c r="F51" i="13"/>
  <c r="D34" i="13"/>
  <c r="E68" i="13"/>
  <c r="D68" i="13"/>
  <c r="C68" i="13"/>
  <c r="B68" i="13"/>
  <c r="F68" i="13"/>
  <c r="A68" i="13"/>
  <c r="C34" i="13"/>
  <c r="B34" i="13"/>
  <c r="A34" i="13"/>
  <c r="E51" i="13"/>
  <c r="D51" i="13"/>
  <c r="C51" i="13"/>
  <c r="B51" i="13"/>
  <c r="A51" i="13"/>
  <c r="AA63" i="7"/>
  <c r="AK209" i="13"/>
  <c r="Z21" i="3"/>
  <c r="E6" i="1"/>
  <c r="X22" i="3"/>
  <c r="AB23" i="4"/>
  <c r="J6" i="5"/>
  <c r="K7" i="5"/>
  <c r="C26" i="7" s="1"/>
  <c r="D26" i="7" s="1"/>
  <c r="C8" i="5"/>
  <c r="Q22" i="5"/>
  <c r="M13" i="9"/>
  <c r="N13" i="9" s="1"/>
  <c r="E15" i="7"/>
  <c r="D15" i="7" s="1"/>
  <c r="AA15" i="7"/>
  <c r="H27" i="7"/>
  <c r="K27" i="7" s="1"/>
  <c r="E33" i="13"/>
  <c r="F50" i="13"/>
  <c r="D33" i="13"/>
  <c r="E50" i="13"/>
  <c r="C33" i="13"/>
  <c r="F67" i="13"/>
  <c r="D50" i="13"/>
  <c r="B33" i="13"/>
  <c r="E67" i="13"/>
  <c r="C50" i="13"/>
  <c r="D67" i="13"/>
  <c r="B50" i="13"/>
  <c r="C67" i="13"/>
  <c r="A50" i="13"/>
  <c r="B67" i="13"/>
  <c r="F33" i="13"/>
  <c r="A33" i="13"/>
  <c r="A67" i="13"/>
  <c r="AD63" i="7"/>
  <c r="A26" i="13"/>
  <c r="AB24" i="4"/>
  <c r="X23" i="4"/>
  <c r="M72" i="5"/>
  <c r="A26" i="7"/>
  <c r="E26" i="7" s="1"/>
  <c r="O40" i="7"/>
  <c r="AD64" i="7"/>
  <c r="AA64" i="7"/>
  <c r="C66" i="13"/>
  <c r="A49" i="13"/>
  <c r="B66" i="13"/>
  <c r="A66" i="13"/>
  <c r="F66" i="13"/>
  <c r="D49" i="13"/>
  <c r="E66" i="13"/>
  <c r="D66" i="13"/>
  <c r="F49" i="13"/>
  <c r="F32" i="13"/>
  <c r="E49" i="13"/>
  <c r="E32" i="13"/>
  <c r="C49" i="13"/>
  <c r="D32" i="13"/>
  <c r="B49" i="13"/>
  <c r="C32" i="13"/>
  <c r="B32" i="13"/>
  <c r="A32" i="13"/>
  <c r="AA70" i="7"/>
  <c r="AC11" i="8"/>
  <c r="AK12" i="8" s="1"/>
  <c r="AK9" i="8" s="1"/>
  <c r="AC15" i="8"/>
  <c r="AG13" i="8" s="1"/>
  <c r="AG10" i="8" s="1"/>
  <c r="AC24" i="4"/>
  <c r="Z24" i="2"/>
  <c r="Y22" i="3"/>
  <c r="Y25" i="3"/>
  <c r="R6" i="4"/>
  <c r="AC21" i="4"/>
  <c r="AC23" i="4"/>
  <c r="X29" i="4"/>
  <c r="K3" i="5"/>
  <c r="C22" i="7" s="1"/>
  <c r="K6" i="5"/>
  <c r="C25" i="7" s="1"/>
  <c r="A25" i="5"/>
  <c r="S32" i="5"/>
  <c r="R50" i="5" s="1"/>
  <c r="F20" i="13"/>
  <c r="F37" i="13"/>
  <c r="D20" i="13"/>
  <c r="F54" i="13"/>
  <c r="D37" i="13"/>
  <c r="E54" i="13"/>
  <c r="C37" i="13"/>
  <c r="D54" i="13"/>
  <c r="B37" i="13"/>
  <c r="E20" i="13"/>
  <c r="C20" i="13"/>
  <c r="B20" i="13"/>
  <c r="A20" i="13"/>
  <c r="E73" i="13" s="1"/>
  <c r="C54" i="13"/>
  <c r="B54" i="13"/>
  <c r="A54" i="13"/>
  <c r="AC20" i="2"/>
  <c r="AA24" i="2"/>
  <c r="Z12" i="3"/>
  <c r="Z22" i="3"/>
  <c r="Z25" i="3"/>
  <c r="AA29" i="3"/>
  <c r="X22" i="4"/>
  <c r="X25" i="4"/>
  <c r="AA29" i="4"/>
  <c r="K57" i="5"/>
  <c r="L10" i="9" s="1"/>
  <c r="L96" i="5"/>
  <c r="A13" i="7"/>
  <c r="Y42" i="7" s="1"/>
  <c r="I15" i="7"/>
  <c r="H15" i="7" s="1"/>
  <c r="C33" i="7" s="1"/>
  <c r="D33" i="7" s="1"/>
  <c r="AC15" i="7"/>
  <c r="AB15" i="7" s="1"/>
  <c r="O44" i="7"/>
  <c r="F31" i="13"/>
  <c r="F48" i="13"/>
  <c r="E48" i="13"/>
  <c r="C31" i="13"/>
  <c r="F65" i="13"/>
  <c r="D48" i="13"/>
  <c r="B31" i="13"/>
  <c r="C65" i="13"/>
  <c r="A48" i="13"/>
  <c r="E31" i="13"/>
  <c r="D31" i="13"/>
  <c r="A31" i="13"/>
  <c r="E65" i="13"/>
  <c r="D65" i="13"/>
  <c r="B65" i="13"/>
  <c r="A65" i="13"/>
  <c r="AD70" i="7"/>
  <c r="U23" i="13"/>
  <c r="E37" i="13"/>
  <c r="A59" i="13"/>
  <c r="AB21" i="4"/>
  <c r="X21" i="2"/>
  <c r="AB24" i="2"/>
  <c r="AA12" i="3"/>
  <c r="AA22" i="3"/>
  <c r="AA25" i="3"/>
  <c r="AB29" i="3"/>
  <c r="Y22" i="4"/>
  <c r="Y25" i="4"/>
  <c r="AL10" i="17"/>
  <c r="A12" i="5"/>
  <c r="D23" i="7"/>
  <c r="O43" i="7"/>
  <c r="F5" i="10"/>
  <c r="G20" i="3" s="1"/>
  <c r="E5" i="10"/>
  <c r="F20" i="3" s="1"/>
  <c r="D5" i="10"/>
  <c r="E20" i="3" s="1"/>
  <c r="C5" i="10"/>
  <c r="D20" i="3" s="1"/>
  <c r="B5" i="10"/>
  <c r="U33" i="13"/>
  <c r="A14" i="5"/>
  <c r="Z25" i="2"/>
  <c r="Y28" i="2"/>
  <c r="X25" i="3"/>
  <c r="R11" i="4"/>
  <c r="AA25" i="4"/>
  <c r="AC29" i="4"/>
  <c r="M15" i="9"/>
  <c r="N15" i="9" s="1"/>
  <c r="M17" i="9"/>
  <c r="N17" i="9" s="1"/>
  <c r="K15" i="7"/>
  <c r="AG15" i="7"/>
  <c r="AF15" i="7" s="1"/>
  <c r="AB46" i="7"/>
  <c r="G56" i="5" s="1"/>
  <c r="G5" i="10"/>
  <c r="H20" i="3" s="1"/>
  <c r="F11" i="17"/>
  <c r="E11" i="17"/>
  <c r="D11" i="17"/>
  <c r="C11" i="17"/>
  <c r="B11" i="17"/>
  <c r="A11" i="17"/>
  <c r="M70" i="5"/>
  <c r="M50" i="5"/>
  <c r="AD57" i="7"/>
  <c r="G7" i="5"/>
  <c r="R7" i="5"/>
  <c r="J3" i="9"/>
  <c r="M3" i="9" s="1"/>
  <c r="N3" i="9" s="1"/>
  <c r="AA20" i="2"/>
  <c r="AC23" i="3"/>
  <c r="P6" i="4"/>
  <c r="X23" i="2"/>
  <c r="AC24" i="2"/>
  <c r="AB12" i="3"/>
  <c r="AC29" i="3"/>
  <c r="Y23" i="2"/>
  <c r="AC12" i="3"/>
  <c r="AC22" i="3"/>
  <c r="AB22" i="4"/>
  <c r="G9" i="7"/>
  <c r="F9" i="7"/>
  <c r="S44" i="5"/>
  <c r="R62" i="5" s="1"/>
  <c r="M69" i="5"/>
  <c r="H23" i="7"/>
  <c r="K23" i="7" s="1"/>
  <c r="F28" i="13"/>
  <c r="E28" i="13"/>
  <c r="F45" i="13"/>
  <c r="D28" i="13"/>
  <c r="F62" i="13"/>
  <c r="D45" i="13"/>
  <c r="E62" i="13"/>
  <c r="C45" i="13"/>
  <c r="A28" i="13"/>
  <c r="D62" i="13"/>
  <c r="B45" i="13"/>
  <c r="A62" i="13"/>
  <c r="E45" i="13"/>
  <c r="A45" i="13"/>
  <c r="C28" i="13"/>
  <c r="B28" i="13"/>
  <c r="C62" i="13"/>
  <c r="B62" i="13"/>
  <c r="AC18" i="8"/>
  <c r="AM13" i="8" s="1"/>
  <c r="AM10" i="8" s="1"/>
  <c r="G6" i="10"/>
  <c r="H20" i="4" s="1"/>
  <c r="N7" i="13"/>
  <c r="AK9" i="13"/>
  <c r="A64" i="17"/>
  <c r="B64" i="17"/>
  <c r="F64" i="17"/>
  <c r="E64" i="17"/>
  <c r="D64" i="17"/>
  <c r="C64" i="17"/>
  <c r="N60" i="13"/>
  <c r="Z29" i="4"/>
  <c r="Z25" i="4"/>
  <c r="Y24" i="2"/>
  <c r="AB20" i="2"/>
  <c r="Z28" i="2"/>
  <c r="X20" i="3"/>
  <c r="AB22" i="3"/>
  <c r="AB25" i="3"/>
  <c r="Z21" i="2"/>
  <c r="Y20" i="3"/>
  <c r="X12" i="4"/>
  <c r="AB25" i="4"/>
  <c r="AA21" i="2"/>
  <c r="Z20" i="3"/>
  <c r="Y28" i="3"/>
  <c r="Y12" i="4"/>
  <c r="X20" i="4"/>
  <c r="AC22" i="4"/>
  <c r="X28" i="4"/>
  <c r="M15" i="7"/>
  <c r="AI15" i="7"/>
  <c r="AH15" i="7" s="1"/>
  <c r="A22" i="7"/>
  <c r="AA40" i="7" s="1"/>
  <c r="I50" i="5" s="1"/>
  <c r="A25" i="7"/>
  <c r="E25" i="7" s="1"/>
  <c r="R21" i="7"/>
  <c r="F33" i="7"/>
  <c r="A35" i="7"/>
  <c r="F24" i="13"/>
  <c r="F7" i="5"/>
  <c r="Y23" i="3"/>
  <c r="K59" i="5"/>
  <c r="L12" i="9" s="1"/>
  <c r="AB21" i="2"/>
  <c r="AA23" i="2"/>
  <c r="AA20" i="3"/>
  <c r="Z12" i="4"/>
  <c r="Y20" i="4"/>
  <c r="Y28" i="4"/>
  <c r="O51" i="7"/>
  <c r="O52" i="7"/>
  <c r="F28" i="17"/>
  <c r="E28" i="17"/>
  <c r="D28" i="17"/>
  <c r="C28" i="17"/>
  <c r="B28" i="17"/>
  <c r="A28" i="17"/>
  <c r="N24" i="13"/>
  <c r="C3" i="1"/>
  <c r="AA22" i="2"/>
  <c r="AC21" i="2"/>
  <c r="AB20" i="3"/>
  <c r="Z20" i="4"/>
  <c r="Y24" i="4"/>
  <c r="Z28" i="4"/>
  <c r="Y7" i="5"/>
  <c r="Q15" i="7"/>
  <c r="AK15" i="7"/>
  <c r="AJ15" i="7" s="1"/>
  <c r="J26" i="7"/>
  <c r="E61" i="13"/>
  <c r="C44" i="13"/>
  <c r="A27" i="13"/>
  <c r="D61" i="13"/>
  <c r="B44" i="13"/>
  <c r="C61" i="13"/>
  <c r="A44" i="13"/>
  <c r="B61" i="13"/>
  <c r="A61" i="13"/>
  <c r="F44" i="13"/>
  <c r="E44" i="13"/>
  <c r="D44" i="13"/>
  <c r="F61" i="13"/>
  <c r="F27" i="13"/>
  <c r="E27" i="13"/>
  <c r="D27" i="13"/>
  <c r="C27" i="13"/>
  <c r="B27" i="13"/>
  <c r="AB47" i="7"/>
  <c r="G57" i="5" s="1"/>
  <c r="AD71" i="7"/>
  <c r="AC17" i="8"/>
  <c r="AK13" i="8" s="1"/>
  <c r="AK10" i="8" s="1"/>
  <c r="U42" i="13"/>
  <c r="F72" i="17"/>
  <c r="E72" i="17"/>
  <c r="D72" i="17"/>
  <c r="C72" i="17"/>
  <c r="B72" i="17"/>
  <c r="A72" i="17"/>
  <c r="N68" i="13"/>
  <c r="F8" i="17"/>
  <c r="E8" i="17"/>
  <c r="D8" i="17"/>
  <c r="C8" i="17"/>
  <c r="B8" i="17"/>
  <c r="A8" i="17"/>
  <c r="AQ4" i="13"/>
  <c r="W5" i="13"/>
  <c r="AA8" i="13"/>
  <c r="AM9" i="13"/>
  <c r="E16" i="17"/>
  <c r="D16" i="17"/>
  <c r="C16" i="17"/>
  <c r="B16" i="17"/>
  <c r="A16" i="17"/>
  <c r="F16" i="17"/>
  <c r="AQ12" i="13"/>
  <c r="W13" i="13"/>
  <c r="AA15" i="13"/>
  <c r="AE17" i="13"/>
  <c r="AC18" i="13"/>
  <c r="C21" i="13"/>
  <c r="AQ21" i="13"/>
  <c r="AM22" i="13"/>
  <c r="Y23" i="13"/>
  <c r="D29" i="17"/>
  <c r="C29" i="17"/>
  <c r="B29" i="17"/>
  <c r="A29" i="17"/>
  <c r="F29" i="17"/>
  <c r="E29" i="17"/>
  <c r="AQ27" i="13"/>
  <c r="AI28" i="13"/>
  <c r="AA31" i="13"/>
  <c r="AE32" i="13"/>
  <c r="AE34" i="13"/>
  <c r="F38" i="13"/>
  <c r="Q39" i="13"/>
  <c r="Y40" i="13"/>
  <c r="AG41" i="13"/>
  <c r="Y42" i="13"/>
  <c r="AC43" i="13"/>
  <c r="AC45" i="13"/>
  <c r="AO46" i="13"/>
  <c r="AI49" i="13"/>
  <c r="S52" i="13"/>
  <c r="AW53" i="13"/>
  <c r="F59" i="17"/>
  <c r="E59" i="17"/>
  <c r="D59" i="17"/>
  <c r="C59" i="17"/>
  <c r="B59" i="17"/>
  <c r="A59" i="17"/>
  <c r="Y56" i="13"/>
  <c r="AE60" i="13"/>
  <c r="AW61" i="13"/>
  <c r="O63" i="13"/>
  <c r="AE68" i="13"/>
  <c r="Q71" i="13"/>
  <c r="F78" i="17"/>
  <c r="E78" i="17"/>
  <c r="D78" i="17"/>
  <c r="C78" i="17"/>
  <c r="A78" i="17"/>
  <c r="B78" i="17"/>
  <c r="AM76" i="13"/>
  <c r="Q79" i="13"/>
  <c r="C86" i="17"/>
  <c r="B86" i="17"/>
  <c r="A86" i="17"/>
  <c r="F86" i="17"/>
  <c r="E86" i="17"/>
  <c r="D86" i="17"/>
  <c r="AM84" i="13"/>
  <c r="Q87" i="13"/>
  <c r="F94" i="17"/>
  <c r="E94" i="17"/>
  <c r="D94" i="17"/>
  <c r="C94" i="17"/>
  <c r="A94" i="17"/>
  <c r="B94" i="17"/>
  <c r="Q95" i="13"/>
  <c r="C102" i="17"/>
  <c r="B102" i="17"/>
  <c r="A102" i="17"/>
  <c r="F102" i="17"/>
  <c r="E102" i="17"/>
  <c r="D102" i="17"/>
  <c r="AS100" i="13"/>
  <c r="AO104" i="13"/>
  <c r="F116" i="17"/>
  <c r="E116" i="17"/>
  <c r="D116" i="17"/>
  <c r="C116" i="17"/>
  <c r="B116" i="17"/>
  <c r="A116" i="17"/>
  <c r="S115" i="13"/>
  <c r="Y118" i="13"/>
  <c r="Y161" i="13"/>
  <c r="AO167" i="13"/>
  <c r="AA174" i="13"/>
  <c r="W301" i="13"/>
  <c r="W297" i="13"/>
  <c r="W293" i="13"/>
  <c r="W289" i="13"/>
  <c r="W285" i="13"/>
  <c r="W281" i="13"/>
  <c r="W277" i="13"/>
  <c r="W273" i="13"/>
  <c r="W269" i="13"/>
  <c r="W265" i="13"/>
  <c r="W261" i="13"/>
  <c r="W257" i="13"/>
  <c r="W253" i="13"/>
  <c r="W249" i="13"/>
  <c r="W245" i="13"/>
  <c r="W241" i="13"/>
  <c r="W237" i="13"/>
  <c r="W233" i="13"/>
  <c r="W229" i="13"/>
  <c r="W225" i="13"/>
  <c r="W221" i="13"/>
  <c r="W217" i="13"/>
  <c r="W213" i="13"/>
  <c r="W209" i="13"/>
  <c r="W205" i="13"/>
  <c r="W201" i="13"/>
  <c r="W197" i="13"/>
  <c r="W193" i="13"/>
  <c r="W300" i="13"/>
  <c r="W296" i="13"/>
  <c r="W292" i="13"/>
  <c r="W288" i="13"/>
  <c r="W284" i="13"/>
  <c r="W280" i="13"/>
  <c r="W276" i="13"/>
  <c r="W272" i="13"/>
  <c r="W268" i="13"/>
  <c r="W264" i="13"/>
  <c r="W260" i="13"/>
  <c r="W256" i="13"/>
  <c r="W252" i="13"/>
  <c r="W248" i="13"/>
  <c r="W244" i="13"/>
  <c r="W240" i="13"/>
  <c r="W236" i="13"/>
  <c r="W232" i="13"/>
  <c r="W228" i="13"/>
  <c r="W224" i="13"/>
  <c r="W220" i="13"/>
  <c r="W216" i="13"/>
  <c r="W212" i="13"/>
  <c r="W208" i="13"/>
  <c r="W204" i="13"/>
  <c r="W200" i="13"/>
  <c r="W196" i="13"/>
  <c r="W192" i="13"/>
  <c r="W299" i="13"/>
  <c r="W295" i="13"/>
  <c r="W291" i="13"/>
  <c r="W298" i="13"/>
  <c r="W294" i="13"/>
  <c r="W290" i="13"/>
  <c r="W286" i="13"/>
  <c r="W282" i="13"/>
  <c r="W278" i="13"/>
  <c r="W274" i="13"/>
  <c r="W270" i="13"/>
  <c r="W266" i="13"/>
  <c r="W262" i="13"/>
  <c r="W258" i="13"/>
  <c r="W254" i="13"/>
  <c r="W250" i="13"/>
  <c r="W271" i="13"/>
  <c r="W259" i="13"/>
  <c r="W215" i="13"/>
  <c r="W210" i="13"/>
  <c r="W287" i="13"/>
  <c r="W188" i="13"/>
  <c r="W184" i="13"/>
  <c r="W180" i="13"/>
  <c r="W176" i="13"/>
  <c r="W172" i="13"/>
  <c r="W168" i="13"/>
  <c r="W164" i="13"/>
  <c r="W160" i="13"/>
  <c r="W156" i="13"/>
  <c r="W152" i="13"/>
  <c r="W148" i="13"/>
  <c r="W144" i="13"/>
  <c r="W140" i="13"/>
  <c r="W136" i="13"/>
  <c r="W132" i="13"/>
  <c r="W128" i="13"/>
  <c r="W124" i="13"/>
  <c r="W120" i="13"/>
  <c r="W116" i="13"/>
  <c r="W112" i="13"/>
  <c r="W108" i="13"/>
  <c r="W104" i="13"/>
  <c r="W100" i="13"/>
  <c r="W246" i="13"/>
  <c r="W211" i="13"/>
  <c r="W206" i="13"/>
  <c r="W239" i="13"/>
  <c r="W231" i="13"/>
  <c r="W275" i="13"/>
  <c r="W207" i="13"/>
  <c r="W202" i="13"/>
  <c r="W263" i="13"/>
  <c r="W187" i="13"/>
  <c r="W183" i="13"/>
  <c r="W179" i="13"/>
  <c r="W175" i="13"/>
  <c r="W171" i="13"/>
  <c r="W167" i="13"/>
  <c r="W163" i="13"/>
  <c r="W159" i="13"/>
  <c r="W155" i="13"/>
  <c r="W151" i="13"/>
  <c r="W147" i="13"/>
  <c r="W143" i="13"/>
  <c r="W139" i="13"/>
  <c r="W135" i="13"/>
  <c r="W242" i="13"/>
  <c r="W234" i="13"/>
  <c r="W203" i="13"/>
  <c r="W198" i="13"/>
  <c r="W283" i="13"/>
  <c r="W226" i="13"/>
  <c r="W199" i="13"/>
  <c r="W194" i="13"/>
  <c r="W247" i="13"/>
  <c r="W186" i="13"/>
  <c r="W182" i="13"/>
  <c r="W178" i="13"/>
  <c r="W174" i="13"/>
  <c r="W170" i="13"/>
  <c r="W166" i="13"/>
  <c r="W267" i="13"/>
  <c r="W251" i="13"/>
  <c r="W222" i="13"/>
  <c r="W195" i="13"/>
  <c r="W255" i="13"/>
  <c r="W235" i="13"/>
  <c r="W227" i="13"/>
  <c r="W243" i="13"/>
  <c r="W223" i="13"/>
  <c r="W218" i="13"/>
  <c r="W169" i="13"/>
  <c r="W161" i="13"/>
  <c r="W145" i="13"/>
  <c r="W138" i="13"/>
  <c r="W130" i="13"/>
  <c r="W119" i="13"/>
  <c r="W117" i="13"/>
  <c r="W65" i="13"/>
  <c r="W57" i="13"/>
  <c r="W51" i="13"/>
  <c r="W43" i="13"/>
  <c r="W29" i="13"/>
  <c r="W21" i="13"/>
  <c r="W15" i="13"/>
  <c r="W214" i="13"/>
  <c r="W149" i="13"/>
  <c r="W142" i="13"/>
  <c r="W96" i="13"/>
  <c r="W92" i="13"/>
  <c r="W88" i="13"/>
  <c r="W84" i="13"/>
  <c r="W80" i="13"/>
  <c r="W76" i="13"/>
  <c r="W146" i="13"/>
  <c r="W72" i="13"/>
  <c r="W68" i="13"/>
  <c r="W60" i="13"/>
  <c r="W46" i="13"/>
  <c r="W38" i="13"/>
  <c r="W32" i="13"/>
  <c r="W24" i="13"/>
  <c r="W162" i="13"/>
  <c r="W150" i="13"/>
  <c r="W131" i="13"/>
  <c r="W125" i="13"/>
  <c r="W103" i="13"/>
  <c r="W102" i="13"/>
  <c r="W153" i="13"/>
  <c r="W126" i="13"/>
  <c r="W101" i="13"/>
  <c r="W63" i="13"/>
  <c r="W55" i="13"/>
  <c r="W49" i="13"/>
  <c r="W189" i="13"/>
  <c r="W99" i="13"/>
  <c r="W95" i="13"/>
  <c r="W91" i="13"/>
  <c r="W87" i="13"/>
  <c r="W83" i="13"/>
  <c r="W79" i="13"/>
  <c r="W75" i="13"/>
  <c r="W177" i="13"/>
  <c r="W165" i="13"/>
  <c r="W107" i="13"/>
  <c r="W106" i="13"/>
  <c r="W71" i="13"/>
  <c r="W66" i="13"/>
  <c r="W58" i="13"/>
  <c r="W44" i="13"/>
  <c r="W36" i="13"/>
  <c r="W30" i="13"/>
  <c r="W154" i="13"/>
  <c r="W127" i="13"/>
  <c r="W121" i="13"/>
  <c r="W105" i="13"/>
  <c r="W191" i="13"/>
  <c r="W181" i="13"/>
  <c r="W157" i="13"/>
  <c r="W109" i="13"/>
  <c r="W70" i="13"/>
  <c r="W64" i="13"/>
  <c r="W238" i="13"/>
  <c r="W173" i="13"/>
  <c r="W123" i="13"/>
  <c r="W115" i="13"/>
  <c r="W114" i="13"/>
  <c r="W279" i="13"/>
  <c r="W230" i="13"/>
  <c r="W190" i="13"/>
  <c r="W158" i="13"/>
  <c r="W133" i="13"/>
  <c r="W113" i="13"/>
  <c r="W97" i="13"/>
  <c r="W93" i="13"/>
  <c r="W89" i="13"/>
  <c r="W85" i="13"/>
  <c r="W81" i="13"/>
  <c r="W77" i="13"/>
  <c r="W73" i="13"/>
  <c r="AM299" i="13"/>
  <c r="AM295" i="13"/>
  <c r="AM291" i="13"/>
  <c r="AM287" i="13"/>
  <c r="AM283" i="13"/>
  <c r="AM279" i="13"/>
  <c r="AM275" i="13"/>
  <c r="AM271" i="13"/>
  <c r="AM267" i="13"/>
  <c r="AM263" i="13"/>
  <c r="AM259" i="13"/>
  <c r="AM255" i="13"/>
  <c r="AM251" i="13"/>
  <c r="AM247" i="13"/>
  <c r="AM243" i="13"/>
  <c r="AM239" i="13"/>
  <c r="AM235" i="13"/>
  <c r="AM231" i="13"/>
  <c r="AM227" i="13"/>
  <c r="AM223" i="13"/>
  <c r="AM219" i="13"/>
  <c r="AM215" i="13"/>
  <c r="AM211" i="13"/>
  <c r="AM207" i="13"/>
  <c r="AM203" i="13"/>
  <c r="AM199" i="13"/>
  <c r="AM195" i="13"/>
  <c r="AM298" i="13"/>
  <c r="AM294" i="13"/>
  <c r="AM290" i="13"/>
  <c r="AM286" i="13"/>
  <c r="AM282" i="13"/>
  <c r="AM278" i="13"/>
  <c r="AM274" i="13"/>
  <c r="AM270" i="13"/>
  <c r="AM266" i="13"/>
  <c r="AM262" i="13"/>
  <c r="AM258" i="13"/>
  <c r="AM254" i="13"/>
  <c r="AM250" i="13"/>
  <c r="AM246" i="13"/>
  <c r="AM242" i="13"/>
  <c r="AM238" i="13"/>
  <c r="AM234" i="13"/>
  <c r="AM230" i="13"/>
  <c r="AM226" i="13"/>
  <c r="AM222" i="13"/>
  <c r="AM218" i="13"/>
  <c r="AM214" i="13"/>
  <c r="AM210" i="13"/>
  <c r="AM206" i="13"/>
  <c r="AM202" i="13"/>
  <c r="AM198" i="13"/>
  <c r="AM194" i="13"/>
  <c r="AM190" i="13"/>
  <c r="AM301" i="13"/>
  <c r="AM297" i="13"/>
  <c r="AM293" i="13"/>
  <c r="AM289" i="13"/>
  <c r="AM300" i="13"/>
  <c r="AM296" i="13"/>
  <c r="AM292" i="13"/>
  <c r="AM288" i="13"/>
  <c r="AM284" i="13"/>
  <c r="AM280" i="13"/>
  <c r="AM276" i="13"/>
  <c r="AM272" i="13"/>
  <c r="AM268" i="13"/>
  <c r="AM264" i="13"/>
  <c r="AM260" i="13"/>
  <c r="AM256" i="13"/>
  <c r="AM252" i="13"/>
  <c r="AM248" i="13"/>
  <c r="AM273" i="13"/>
  <c r="AM281" i="13"/>
  <c r="AM261" i="13"/>
  <c r="AM221" i="13"/>
  <c r="AM216" i="13"/>
  <c r="AM244" i="13"/>
  <c r="AM186" i="13"/>
  <c r="AM182" i="13"/>
  <c r="AM178" i="13"/>
  <c r="AM174" i="13"/>
  <c r="AM170" i="13"/>
  <c r="AM166" i="13"/>
  <c r="AM162" i="13"/>
  <c r="AM158" i="13"/>
  <c r="AM154" i="13"/>
  <c r="AM150" i="13"/>
  <c r="AM146" i="13"/>
  <c r="AM142" i="13"/>
  <c r="AM138" i="13"/>
  <c r="AM134" i="13"/>
  <c r="AM130" i="13"/>
  <c r="AM126" i="13"/>
  <c r="AM122" i="13"/>
  <c r="AM118" i="13"/>
  <c r="AM114" i="13"/>
  <c r="AM110" i="13"/>
  <c r="AM106" i="13"/>
  <c r="AM102" i="13"/>
  <c r="AM217" i="13"/>
  <c r="AM212" i="13"/>
  <c r="AM237" i="13"/>
  <c r="AM229" i="13"/>
  <c r="AM213" i="13"/>
  <c r="AM208" i="13"/>
  <c r="AM265" i="13"/>
  <c r="AM185" i="13"/>
  <c r="AM181" i="13"/>
  <c r="AM177" i="13"/>
  <c r="AM173" i="13"/>
  <c r="AM169" i="13"/>
  <c r="AM165" i="13"/>
  <c r="AM161" i="13"/>
  <c r="AM157" i="13"/>
  <c r="AM153" i="13"/>
  <c r="AM149" i="13"/>
  <c r="AM145" i="13"/>
  <c r="AM141" i="13"/>
  <c r="AM137" i="13"/>
  <c r="AM133" i="13"/>
  <c r="AM277" i="13"/>
  <c r="AM240" i="13"/>
  <c r="AM232" i="13"/>
  <c r="AM209" i="13"/>
  <c r="AM204" i="13"/>
  <c r="AM189" i="13"/>
  <c r="AM249" i="13"/>
  <c r="AM245" i="13"/>
  <c r="AM253" i="13"/>
  <c r="AM205" i="13"/>
  <c r="AM200" i="13"/>
  <c r="AM188" i="13"/>
  <c r="AM184" i="13"/>
  <c r="AM180" i="13"/>
  <c r="AM176" i="13"/>
  <c r="AM172" i="13"/>
  <c r="AM168" i="13"/>
  <c r="AM285" i="13"/>
  <c r="AM269" i="13"/>
  <c r="AM201" i="13"/>
  <c r="AM196" i="13"/>
  <c r="AM191" i="13"/>
  <c r="AM257" i="13"/>
  <c r="AM241" i="13"/>
  <c r="AM233" i="13"/>
  <c r="AM224" i="13"/>
  <c r="AM197" i="13"/>
  <c r="AM131" i="13"/>
  <c r="AM121" i="13"/>
  <c r="AM61" i="13"/>
  <c r="AM53" i="13"/>
  <c r="AM47" i="13"/>
  <c r="AM39" i="13"/>
  <c r="AM33" i="13"/>
  <c r="AM25" i="13"/>
  <c r="AM18" i="13"/>
  <c r="AM228" i="13"/>
  <c r="AM192" i="13"/>
  <c r="AM159" i="13"/>
  <c r="AM135" i="13"/>
  <c r="AM98" i="13"/>
  <c r="AM94" i="13"/>
  <c r="AM90" i="13"/>
  <c r="AM86" i="13"/>
  <c r="AM82" i="13"/>
  <c r="AM78" i="13"/>
  <c r="AM74" i="13"/>
  <c r="AM139" i="13"/>
  <c r="AM109" i="13"/>
  <c r="AM108" i="13"/>
  <c r="AM107" i="13"/>
  <c r="AM70" i="13"/>
  <c r="AM64" i="13"/>
  <c r="AM56" i="13"/>
  <c r="AM50" i="13"/>
  <c r="AM42" i="13"/>
  <c r="AM35" i="13"/>
  <c r="AM28" i="13"/>
  <c r="AM143" i="13"/>
  <c r="AM132" i="13"/>
  <c r="AM147" i="13"/>
  <c r="AM136" i="13"/>
  <c r="AM127" i="13"/>
  <c r="AM67" i="13"/>
  <c r="AM59" i="13"/>
  <c r="AM52" i="13"/>
  <c r="AM45" i="13"/>
  <c r="AM179" i="13"/>
  <c r="AM175" i="13"/>
  <c r="AM160" i="13"/>
  <c r="AM151" i="13"/>
  <c r="AM140" i="13"/>
  <c r="AM113" i="13"/>
  <c r="AM112" i="13"/>
  <c r="AM111" i="13"/>
  <c r="AM97" i="13"/>
  <c r="AM93" i="13"/>
  <c r="AM89" i="13"/>
  <c r="AM85" i="13"/>
  <c r="AM81" i="13"/>
  <c r="AM77" i="13"/>
  <c r="AM73" i="13"/>
  <c r="AM144" i="13"/>
  <c r="AM128" i="13"/>
  <c r="AM69" i="13"/>
  <c r="AM62" i="13"/>
  <c r="AM54" i="13"/>
  <c r="AM48" i="13"/>
  <c r="AM40" i="13"/>
  <c r="AM34" i="13"/>
  <c r="AM26" i="13"/>
  <c r="AM163" i="13"/>
  <c r="AM148" i="13"/>
  <c r="AM152" i="13"/>
  <c r="AM220" i="13"/>
  <c r="AM183" i="13"/>
  <c r="AM171" i="13"/>
  <c r="AM124" i="13"/>
  <c r="AM72" i="13"/>
  <c r="AM68" i="13"/>
  <c r="AM225" i="13"/>
  <c r="AM164" i="13"/>
  <c r="AM155" i="13"/>
  <c r="AM125" i="13"/>
  <c r="AM101" i="13"/>
  <c r="AM100" i="13"/>
  <c r="AM119" i="13"/>
  <c r="AM99" i="13"/>
  <c r="AM95" i="13"/>
  <c r="AM91" i="13"/>
  <c r="AM87" i="13"/>
  <c r="AM83" i="13"/>
  <c r="AM79" i="13"/>
  <c r="AM75" i="13"/>
  <c r="AM14" i="13"/>
  <c r="A20" i="17"/>
  <c r="F20" i="17"/>
  <c r="E20" i="17"/>
  <c r="D20" i="17"/>
  <c r="B20" i="17"/>
  <c r="C20" i="17"/>
  <c r="D21" i="13"/>
  <c r="AA23" i="13"/>
  <c r="AM30" i="13"/>
  <c r="AC31" i="13"/>
  <c r="F40" i="17"/>
  <c r="E40" i="17"/>
  <c r="D40" i="17"/>
  <c r="C40" i="17"/>
  <c r="B40" i="17"/>
  <c r="A40" i="17"/>
  <c r="C42" i="17"/>
  <c r="B42" i="17"/>
  <c r="A42" i="17"/>
  <c r="F42" i="17"/>
  <c r="E42" i="17"/>
  <c r="D42" i="17"/>
  <c r="N38" i="13"/>
  <c r="AA40" i="13"/>
  <c r="AA42" i="13"/>
  <c r="AM44" i="13"/>
  <c r="AQ46" i="13"/>
  <c r="AM49" i="13"/>
  <c r="W52" i="13"/>
  <c r="AA56" i="13"/>
  <c r="AM57" i="13"/>
  <c r="AI60" i="13"/>
  <c r="AM66" i="13"/>
  <c r="AO68" i="13"/>
  <c r="S71" i="13"/>
  <c r="AO76" i="13"/>
  <c r="AI79" i="13"/>
  <c r="AO84" i="13"/>
  <c r="AI87" i="13"/>
  <c r="AO92" i="13"/>
  <c r="AI95" i="13"/>
  <c r="AU100" i="13"/>
  <c r="F109" i="17"/>
  <c r="E109" i="17"/>
  <c r="D109" i="17"/>
  <c r="C109" i="17"/>
  <c r="B109" i="17"/>
  <c r="A109" i="17"/>
  <c r="N105" i="13"/>
  <c r="Q108" i="13"/>
  <c r="AU118" i="13"/>
  <c r="S127" i="13"/>
  <c r="AC132" i="13"/>
  <c r="AA149" i="13"/>
  <c r="O155" i="13"/>
  <c r="AA161" i="13"/>
  <c r="S190" i="13"/>
  <c r="AE201" i="13"/>
  <c r="W2" i="13"/>
  <c r="AA5" i="13"/>
  <c r="AM6" i="13"/>
  <c r="D13" i="17"/>
  <c r="C13" i="17"/>
  <c r="B13" i="17"/>
  <c r="A13" i="17"/>
  <c r="F13" i="17"/>
  <c r="E13" i="17"/>
  <c r="AQ9" i="13"/>
  <c r="W10" i="13"/>
  <c r="AA13" i="13"/>
  <c r="AS14" i="13"/>
  <c r="N16" i="13"/>
  <c r="E21" i="13"/>
  <c r="AU21" i="13"/>
  <c r="AQ22" i="13"/>
  <c r="AC23" i="13"/>
  <c r="O25" i="13"/>
  <c r="AU27" i="13"/>
  <c r="AU28" i="13"/>
  <c r="AO30" i="13"/>
  <c r="AE31" i="13"/>
  <c r="AI32" i="13"/>
  <c r="AO33" i="13"/>
  <c r="AI34" i="13"/>
  <c r="N36" i="13"/>
  <c r="S37" i="13"/>
  <c r="S38" i="13"/>
  <c r="AC40" i="13"/>
  <c r="AI42" i="13"/>
  <c r="AG43" i="13"/>
  <c r="AO44" i="13"/>
  <c r="AW45" i="13"/>
  <c r="W48" i="13"/>
  <c r="Y52" i="13"/>
  <c r="O55" i="13"/>
  <c r="AS56" i="13"/>
  <c r="S59" i="13"/>
  <c r="AI63" i="13"/>
  <c r="AQ66" i="13"/>
  <c r="AQ68" i="13"/>
  <c r="W74" i="13"/>
  <c r="W82" i="13"/>
  <c r="W90" i="13"/>
  <c r="W98" i="13"/>
  <c r="S108" i="13"/>
  <c r="AE112" i="13"/>
  <c r="AM115" i="13"/>
  <c r="O123" i="13"/>
  <c r="AW127" i="13"/>
  <c r="AU143" i="13"/>
  <c r="AC149" i="13"/>
  <c r="Q155" i="13"/>
  <c r="AU182" i="13"/>
  <c r="AD8" i="5"/>
  <c r="A27" i="5"/>
  <c r="E39" i="13"/>
  <c r="C22" i="13"/>
  <c r="F56" i="13"/>
  <c r="D39" i="13"/>
  <c r="B22" i="13"/>
  <c r="E56" i="13"/>
  <c r="C39" i="13"/>
  <c r="A22" i="13"/>
  <c r="D56" i="13"/>
  <c r="B39" i="13"/>
  <c r="C56" i="13"/>
  <c r="B56" i="13"/>
  <c r="A56" i="13"/>
  <c r="E47" i="13"/>
  <c r="C30" i="13"/>
  <c r="F64" i="13"/>
  <c r="D47" i="13"/>
  <c r="B30" i="13"/>
  <c r="E64" i="13"/>
  <c r="C47" i="13"/>
  <c r="A30" i="13"/>
  <c r="D64" i="13"/>
  <c r="B47" i="13"/>
  <c r="C64" i="13"/>
  <c r="A47" i="13"/>
  <c r="B64" i="13"/>
  <c r="A64" i="13"/>
  <c r="AA68" i="7"/>
  <c r="Y300" i="13"/>
  <c r="Y296" i="13"/>
  <c r="Y292" i="13"/>
  <c r="Y288" i="13"/>
  <c r="Y284" i="13"/>
  <c r="Y280" i="13"/>
  <c r="Y276" i="13"/>
  <c r="Y272" i="13"/>
  <c r="Y268" i="13"/>
  <c r="Y264" i="13"/>
  <c r="Y260" i="13"/>
  <c r="Y256" i="13"/>
  <c r="Y252" i="13"/>
  <c r="Y248" i="13"/>
  <c r="Y244" i="13"/>
  <c r="Y240" i="13"/>
  <c r="Y236" i="13"/>
  <c r="Y232" i="13"/>
  <c r="Y228" i="13"/>
  <c r="Y224" i="13"/>
  <c r="Y220" i="13"/>
  <c r="Y216" i="13"/>
  <c r="Y212" i="13"/>
  <c r="Y208" i="13"/>
  <c r="Y204" i="13"/>
  <c r="Y200" i="13"/>
  <c r="Y196" i="13"/>
  <c r="Y192" i="13"/>
  <c r="Y299" i="13"/>
  <c r="Y295" i="13"/>
  <c r="Y291" i="13"/>
  <c r="Y287" i="13"/>
  <c r="Y283" i="13"/>
  <c r="Y279" i="13"/>
  <c r="Y275" i="13"/>
  <c r="Y271" i="13"/>
  <c r="Y267" i="13"/>
  <c r="Y263" i="13"/>
  <c r="Y259" i="13"/>
  <c r="Y255" i="13"/>
  <c r="Y251" i="13"/>
  <c r="Y247" i="13"/>
  <c r="Y243" i="13"/>
  <c r="Y239" i="13"/>
  <c r="Y235" i="13"/>
  <c r="Y231" i="13"/>
  <c r="Y227" i="13"/>
  <c r="Y223" i="13"/>
  <c r="Y219" i="13"/>
  <c r="Y215" i="13"/>
  <c r="Y211" i="13"/>
  <c r="Y207" i="13"/>
  <c r="Y203" i="13"/>
  <c r="Y199" i="13"/>
  <c r="Y195" i="13"/>
  <c r="Y191" i="13"/>
  <c r="Y298" i="13"/>
  <c r="Y294" i="13"/>
  <c r="Y290" i="13"/>
  <c r="Y286" i="13"/>
  <c r="Y282" i="13"/>
  <c r="Y278" i="13"/>
  <c r="Y274" i="13"/>
  <c r="Y270" i="13"/>
  <c r="Y266" i="13"/>
  <c r="Y262" i="13"/>
  <c r="Y258" i="13"/>
  <c r="Y254" i="13"/>
  <c r="Y250" i="13"/>
  <c r="Y246" i="13"/>
  <c r="Y242" i="13"/>
  <c r="Y238" i="13"/>
  <c r="Y234" i="13"/>
  <c r="Y230" i="13"/>
  <c r="Y210" i="13"/>
  <c r="Y205" i="13"/>
  <c r="Y241" i="13"/>
  <c r="Y233" i="13"/>
  <c r="Y188" i="13"/>
  <c r="Y184" i="13"/>
  <c r="Y180" i="13"/>
  <c r="Y176" i="13"/>
  <c r="Y172" i="13"/>
  <c r="Y168" i="13"/>
  <c r="Y164" i="13"/>
  <c r="Y160" i="13"/>
  <c r="Y156" i="13"/>
  <c r="Y152" i="13"/>
  <c r="Y148" i="13"/>
  <c r="Y144" i="13"/>
  <c r="Y140" i="13"/>
  <c r="Y136" i="13"/>
  <c r="Y132" i="13"/>
  <c r="Y128" i="13"/>
  <c r="Y124" i="13"/>
  <c r="Y120" i="13"/>
  <c r="Y116" i="13"/>
  <c r="Y112" i="13"/>
  <c r="Y108" i="13"/>
  <c r="Y104" i="13"/>
  <c r="Y100" i="13"/>
  <c r="Y206" i="13"/>
  <c r="Y201" i="13"/>
  <c r="Y281" i="13"/>
  <c r="Y273" i="13"/>
  <c r="Y261" i="13"/>
  <c r="Y202" i="13"/>
  <c r="Y197" i="13"/>
  <c r="Y301" i="13"/>
  <c r="Y187" i="13"/>
  <c r="Y183" i="13"/>
  <c r="Y179" i="13"/>
  <c r="Y175" i="13"/>
  <c r="Y171" i="13"/>
  <c r="Y167" i="13"/>
  <c r="Y163" i="13"/>
  <c r="Y159" i="13"/>
  <c r="Y155" i="13"/>
  <c r="Y297" i="13"/>
  <c r="Y225" i="13"/>
  <c r="Y198" i="13"/>
  <c r="Y193" i="13"/>
  <c r="Y293" i="13"/>
  <c r="Y289" i="13"/>
  <c r="Y277" i="13"/>
  <c r="Y265" i="13"/>
  <c r="Y237" i="13"/>
  <c r="Y229" i="13"/>
  <c r="Y186" i="13"/>
  <c r="Y182" i="13"/>
  <c r="Y178" i="13"/>
  <c r="Y222" i="13"/>
  <c r="Y217" i="13"/>
  <c r="Y249" i="13"/>
  <c r="Y218" i="13"/>
  <c r="Y213" i="13"/>
  <c r="Y285" i="13"/>
  <c r="Y253" i="13"/>
  <c r="Y245" i="13"/>
  <c r="Y214" i="13"/>
  <c r="Y209" i="13"/>
  <c r="Y149" i="13"/>
  <c r="Y142" i="13"/>
  <c r="Y96" i="13"/>
  <c r="Y92" i="13"/>
  <c r="Y88" i="13"/>
  <c r="Y84" i="13"/>
  <c r="Y80" i="13"/>
  <c r="Y76" i="13"/>
  <c r="Y146" i="13"/>
  <c r="Y72" i="13"/>
  <c r="Y68" i="13"/>
  <c r="Y60" i="13"/>
  <c r="Y46" i="13"/>
  <c r="Y38" i="13"/>
  <c r="Y32" i="13"/>
  <c r="Y24" i="13"/>
  <c r="Y162" i="13"/>
  <c r="Y150" i="13"/>
  <c r="Y131" i="13"/>
  <c r="Y125" i="13"/>
  <c r="Y103" i="13"/>
  <c r="Y102" i="13"/>
  <c r="Y153" i="13"/>
  <c r="Y135" i="13"/>
  <c r="Y126" i="13"/>
  <c r="Y101" i="13"/>
  <c r="Y63" i="13"/>
  <c r="Y55" i="13"/>
  <c r="Y49" i="13"/>
  <c r="Y41" i="13"/>
  <c r="Y27" i="13"/>
  <c r="Y19" i="13"/>
  <c r="Y189" i="13"/>
  <c r="Y170" i="13"/>
  <c r="Y139" i="13"/>
  <c r="Y99" i="13"/>
  <c r="Y95" i="13"/>
  <c r="Y91" i="13"/>
  <c r="Y87" i="13"/>
  <c r="Y83" i="13"/>
  <c r="Y79" i="13"/>
  <c r="Y75" i="13"/>
  <c r="Y177" i="13"/>
  <c r="Y165" i="13"/>
  <c r="Y143" i="13"/>
  <c r="Y107" i="13"/>
  <c r="Y106" i="13"/>
  <c r="Y71" i="13"/>
  <c r="Y66" i="13"/>
  <c r="Y58" i="13"/>
  <c r="Y44" i="13"/>
  <c r="Y36" i="13"/>
  <c r="Y154" i="13"/>
  <c r="Y147" i="13"/>
  <c r="Y127" i="13"/>
  <c r="Y121" i="13"/>
  <c r="Y105" i="13"/>
  <c r="Y257" i="13"/>
  <c r="Y221" i="13"/>
  <c r="Y151" i="13"/>
  <c r="Y122" i="13"/>
  <c r="Y61" i="13"/>
  <c r="Y53" i="13"/>
  <c r="Y47" i="13"/>
  <c r="Y39" i="13"/>
  <c r="Y33" i="13"/>
  <c r="Y226" i="13"/>
  <c r="Y181" i="13"/>
  <c r="Y166" i="13"/>
  <c r="Y157" i="13"/>
  <c r="Y194" i="13"/>
  <c r="Y173" i="13"/>
  <c r="Y123" i="13"/>
  <c r="Y115" i="13"/>
  <c r="Y114" i="13"/>
  <c r="Y67" i="13"/>
  <c r="Y190" i="13"/>
  <c r="Y158" i="13"/>
  <c r="Y133" i="13"/>
  <c r="Y113" i="13"/>
  <c r="Y97" i="13"/>
  <c r="Y93" i="13"/>
  <c r="Y89" i="13"/>
  <c r="Y85" i="13"/>
  <c r="Y81" i="13"/>
  <c r="Y77" i="13"/>
  <c r="Y73" i="13"/>
  <c r="Y137" i="13"/>
  <c r="Y69" i="13"/>
  <c r="Y62" i="13"/>
  <c r="Y54" i="13"/>
  <c r="Y48" i="13"/>
  <c r="AO298" i="13"/>
  <c r="AO294" i="13"/>
  <c r="AO290" i="13"/>
  <c r="AO286" i="13"/>
  <c r="AO282" i="13"/>
  <c r="AO278" i="13"/>
  <c r="AO274" i="13"/>
  <c r="AO270" i="13"/>
  <c r="AO266" i="13"/>
  <c r="AO262" i="13"/>
  <c r="AO258" i="13"/>
  <c r="AO254" i="13"/>
  <c r="AO250" i="13"/>
  <c r="AO246" i="13"/>
  <c r="AO242" i="13"/>
  <c r="AO238" i="13"/>
  <c r="AO234" i="13"/>
  <c r="AO230" i="13"/>
  <c r="AO226" i="13"/>
  <c r="AO222" i="13"/>
  <c r="AO218" i="13"/>
  <c r="AO214" i="13"/>
  <c r="AO210" i="13"/>
  <c r="AO206" i="13"/>
  <c r="AO202" i="13"/>
  <c r="AO198" i="13"/>
  <c r="AO194" i="13"/>
  <c r="AO190" i="13"/>
  <c r="AO301" i="13"/>
  <c r="AO297" i="13"/>
  <c r="AO293" i="13"/>
  <c r="AO289" i="13"/>
  <c r="AO285" i="13"/>
  <c r="AO281" i="13"/>
  <c r="AO277" i="13"/>
  <c r="AO273" i="13"/>
  <c r="AO269" i="13"/>
  <c r="AO265" i="13"/>
  <c r="AO261" i="13"/>
  <c r="AO257" i="13"/>
  <c r="AO253" i="13"/>
  <c r="AO249" i="13"/>
  <c r="AO245" i="13"/>
  <c r="AO241" i="13"/>
  <c r="AO237" i="13"/>
  <c r="AO233" i="13"/>
  <c r="AO229" i="13"/>
  <c r="AO225" i="13"/>
  <c r="AO221" i="13"/>
  <c r="AO217" i="13"/>
  <c r="AO213" i="13"/>
  <c r="AO209" i="13"/>
  <c r="AO205" i="13"/>
  <c r="AO201" i="13"/>
  <c r="AO197" i="13"/>
  <c r="AO193" i="13"/>
  <c r="AO189" i="13"/>
  <c r="AO300" i="13"/>
  <c r="AO296" i="13"/>
  <c r="AO292" i="13"/>
  <c r="AO288" i="13"/>
  <c r="AO284" i="13"/>
  <c r="AO280" i="13"/>
  <c r="AO276" i="13"/>
  <c r="AO272" i="13"/>
  <c r="AO268" i="13"/>
  <c r="AO264" i="13"/>
  <c r="AO260" i="13"/>
  <c r="AO256" i="13"/>
  <c r="AO252" i="13"/>
  <c r="AO248" i="13"/>
  <c r="AO244" i="13"/>
  <c r="AO240" i="13"/>
  <c r="AO236" i="13"/>
  <c r="AO232" i="13"/>
  <c r="AO228" i="13"/>
  <c r="AO287" i="13"/>
  <c r="AO216" i="13"/>
  <c r="AO211" i="13"/>
  <c r="AO239" i="13"/>
  <c r="AO231" i="13"/>
  <c r="AO186" i="13"/>
  <c r="AO182" i="13"/>
  <c r="AO178" i="13"/>
  <c r="AO174" i="13"/>
  <c r="AO170" i="13"/>
  <c r="AO166" i="13"/>
  <c r="AO162" i="13"/>
  <c r="AO158" i="13"/>
  <c r="AO154" i="13"/>
  <c r="AO150" i="13"/>
  <c r="AO146" i="13"/>
  <c r="AO142" i="13"/>
  <c r="AO138" i="13"/>
  <c r="AO134" i="13"/>
  <c r="AO130" i="13"/>
  <c r="AO126" i="13"/>
  <c r="AO122" i="13"/>
  <c r="AO118" i="13"/>
  <c r="AO114" i="13"/>
  <c r="AO110" i="13"/>
  <c r="AO106" i="13"/>
  <c r="AO102" i="13"/>
  <c r="AO212" i="13"/>
  <c r="AO207" i="13"/>
  <c r="AO275" i="13"/>
  <c r="AO263" i="13"/>
  <c r="AO208" i="13"/>
  <c r="AO203" i="13"/>
  <c r="AO185" i="13"/>
  <c r="AO181" i="13"/>
  <c r="AO177" i="13"/>
  <c r="AO173" i="13"/>
  <c r="AO169" i="13"/>
  <c r="AO165" i="13"/>
  <c r="AO161" i="13"/>
  <c r="AO157" i="13"/>
  <c r="AO153" i="13"/>
  <c r="AO283" i="13"/>
  <c r="AO204" i="13"/>
  <c r="AO199" i="13"/>
  <c r="AO247" i="13"/>
  <c r="AO267" i="13"/>
  <c r="AO251" i="13"/>
  <c r="AO235" i="13"/>
  <c r="AO227" i="13"/>
  <c r="AO188" i="13"/>
  <c r="AO184" i="13"/>
  <c r="AO180" i="13"/>
  <c r="AO255" i="13"/>
  <c r="AO223" i="13"/>
  <c r="AO196" i="13"/>
  <c r="AO191" i="13"/>
  <c r="AO243" i="13"/>
  <c r="AO299" i="13"/>
  <c r="AO279" i="13"/>
  <c r="AO224" i="13"/>
  <c r="AO219" i="13"/>
  <c r="AO295" i="13"/>
  <c r="AO200" i="13"/>
  <c r="AO192" i="13"/>
  <c r="AO159" i="13"/>
  <c r="AO135" i="13"/>
  <c r="AO98" i="13"/>
  <c r="AO94" i="13"/>
  <c r="AO90" i="13"/>
  <c r="AO86" i="13"/>
  <c r="AO82" i="13"/>
  <c r="AO78" i="13"/>
  <c r="AO74" i="13"/>
  <c r="AO139" i="13"/>
  <c r="AO109" i="13"/>
  <c r="AO108" i="13"/>
  <c r="AO107" i="13"/>
  <c r="AO70" i="13"/>
  <c r="AO64" i="13"/>
  <c r="AO56" i="13"/>
  <c r="AO50" i="13"/>
  <c r="AO42" i="13"/>
  <c r="AO35" i="13"/>
  <c r="AO28" i="13"/>
  <c r="AO20" i="13"/>
  <c r="AO14" i="13"/>
  <c r="AO143" i="13"/>
  <c r="AO132" i="13"/>
  <c r="AO259" i="13"/>
  <c r="AO147" i="13"/>
  <c r="AO136" i="13"/>
  <c r="AO127" i="13"/>
  <c r="AO67" i="13"/>
  <c r="AO59" i="13"/>
  <c r="AO52" i="13"/>
  <c r="AO45" i="13"/>
  <c r="AO37" i="13"/>
  <c r="AO31" i="13"/>
  <c r="AO23" i="13"/>
  <c r="AO17" i="13"/>
  <c r="AO179" i="13"/>
  <c r="AO175" i="13"/>
  <c r="AO168" i="13"/>
  <c r="AO160" i="13"/>
  <c r="AO151" i="13"/>
  <c r="AO140" i="13"/>
  <c r="AO113" i="13"/>
  <c r="AO112" i="13"/>
  <c r="AO111" i="13"/>
  <c r="AO97" i="13"/>
  <c r="AO93" i="13"/>
  <c r="AO89" i="13"/>
  <c r="AO85" i="13"/>
  <c r="AO81" i="13"/>
  <c r="AO77" i="13"/>
  <c r="AO73" i="13"/>
  <c r="AO195" i="13"/>
  <c r="AO144" i="13"/>
  <c r="AO128" i="13"/>
  <c r="AO69" i="13"/>
  <c r="AO62" i="13"/>
  <c r="AO54" i="13"/>
  <c r="AO48" i="13"/>
  <c r="AO40" i="13"/>
  <c r="AO34" i="13"/>
  <c r="AO163" i="13"/>
  <c r="AO148" i="13"/>
  <c r="AO133" i="13"/>
  <c r="AO137" i="13"/>
  <c r="AO129" i="13"/>
  <c r="AO123" i="13"/>
  <c r="AO117" i="13"/>
  <c r="AO116" i="13"/>
  <c r="AO115" i="13"/>
  <c r="AO65" i="13"/>
  <c r="AO57" i="13"/>
  <c r="AO51" i="13"/>
  <c r="AO43" i="13"/>
  <c r="AO29" i="13"/>
  <c r="AO152" i="13"/>
  <c r="AO141" i="13"/>
  <c r="AO220" i="13"/>
  <c r="AO183" i="13"/>
  <c r="AO171" i="13"/>
  <c r="AO145" i="13"/>
  <c r="AO124" i="13"/>
  <c r="AO176" i="13"/>
  <c r="AO164" i="13"/>
  <c r="AO155" i="13"/>
  <c r="AO149" i="13"/>
  <c r="AO271" i="13"/>
  <c r="AO215" i="13"/>
  <c r="AO125" i="13"/>
  <c r="AO101" i="13"/>
  <c r="AO100" i="13"/>
  <c r="AO291" i="13"/>
  <c r="AO119" i="13"/>
  <c r="AO99" i="13"/>
  <c r="AO95" i="13"/>
  <c r="AO91" i="13"/>
  <c r="AO87" i="13"/>
  <c r="AO83" i="13"/>
  <c r="AO79" i="13"/>
  <c r="AO75" i="13"/>
  <c r="AO120" i="13"/>
  <c r="AO71" i="13"/>
  <c r="AO66" i="13"/>
  <c r="AO58" i="13"/>
  <c r="Y2" i="13"/>
  <c r="AC5" i="13"/>
  <c r="AO6" i="13"/>
  <c r="N9" i="13"/>
  <c r="AS9" i="13"/>
  <c r="Y10" i="13"/>
  <c r="AC13" i="13"/>
  <c r="O16" i="13"/>
  <c r="AO18" i="13"/>
  <c r="AM19" i="13"/>
  <c r="W20" i="13"/>
  <c r="D22" i="13"/>
  <c r="AS22" i="13"/>
  <c r="AE23" i="13"/>
  <c r="S24" i="13"/>
  <c r="Q25" i="13"/>
  <c r="AW27" i="13"/>
  <c r="AW28" i="13"/>
  <c r="AM29" i="13"/>
  <c r="AQ30" i="13"/>
  <c r="AQ33" i="13"/>
  <c r="AQ34" i="13"/>
  <c r="O36" i="13"/>
  <c r="AC38" i="13"/>
  <c r="W39" i="13"/>
  <c r="AE40" i="13"/>
  <c r="AM41" i="13"/>
  <c r="AS42" i="13"/>
  <c r="AI43" i="13"/>
  <c r="AQ44" i="13"/>
  <c r="A46" i="13"/>
  <c r="F51" i="17"/>
  <c r="E51" i="17"/>
  <c r="D51" i="17"/>
  <c r="C51" i="17"/>
  <c r="B51" i="17"/>
  <c r="A51" i="17"/>
  <c r="N47" i="13"/>
  <c r="AA48" i="13"/>
  <c r="AQ49" i="13"/>
  <c r="AA52" i="13"/>
  <c r="AG55" i="13"/>
  <c r="AU56" i="13"/>
  <c r="W59" i="13"/>
  <c r="AM60" i="13"/>
  <c r="AM63" i="13"/>
  <c r="AW66" i="13"/>
  <c r="AM71" i="13"/>
  <c r="Y74" i="13"/>
  <c r="AU79" i="13"/>
  <c r="Y82" i="13"/>
  <c r="AU87" i="13"/>
  <c r="Y90" i="13"/>
  <c r="AU95" i="13"/>
  <c r="Y98" i="13"/>
  <c r="AG101" i="13"/>
  <c r="AM105" i="13"/>
  <c r="AS108" i="13"/>
  <c r="AG112" i="13"/>
  <c r="AM123" i="13"/>
  <c r="F132" i="17"/>
  <c r="E132" i="17"/>
  <c r="D132" i="17"/>
  <c r="C132" i="17"/>
  <c r="B132" i="17"/>
  <c r="A132" i="17"/>
  <c r="N128" i="13"/>
  <c r="AA138" i="13"/>
  <c r="AW143" i="13"/>
  <c r="Y169" i="13"/>
  <c r="AW182" i="13"/>
  <c r="A24" i="7"/>
  <c r="E24" i="7" s="1"/>
  <c r="AA2" i="13"/>
  <c r="AM3" i="13"/>
  <c r="F10" i="17"/>
  <c r="E10" i="17"/>
  <c r="D10" i="17"/>
  <c r="C10" i="17"/>
  <c r="B10" i="17"/>
  <c r="A10" i="17"/>
  <c r="AQ6" i="13"/>
  <c r="W7" i="13"/>
  <c r="AA10" i="13"/>
  <c r="AM11" i="13"/>
  <c r="AM17" i="13"/>
  <c r="AQ18" i="13"/>
  <c r="AO19" i="13"/>
  <c r="Y20" i="13"/>
  <c r="F25" i="17"/>
  <c r="E25" i="17"/>
  <c r="D25" i="17"/>
  <c r="C25" i="17"/>
  <c r="B25" i="17"/>
  <c r="A25" i="17"/>
  <c r="E22" i="13"/>
  <c r="AU22" i="13"/>
  <c r="AC24" i="13"/>
  <c r="S25" i="13"/>
  <c r="F30" i="17"/>
  <c r="E30" i="17"/>
  <c r="D30" i="17"/>
  <c r="C30" i="17"/>
  <c r="B30" i="17"/>
  <c r="A30" i="17"/>
  <c r="N26" i="13"/>
  <c r="A29" i="13"/>
  <c r="AS29" i="13"/>
  <c r="AS30" i="13"/>
  <c r="AM31" i="13"/>
  <c r="AM32" i="13"/>
  <c r="AS33" i="13"/>
  <c r="Q36" i="13"/>
  <c r="W37" i="13"/>
  <c r="AE38" i="13"/>
  <c r="AE39" i="13"/>
  <c r="AG40" i="13"/>
  <c r="AO41" i="13"/>
  <c r="AU42" i="13"/>
  <c r="AS44" i="13"/>
  <c r="B46" i="13"/>
  <c r="O47" i="13"/>
  <c r="AC48" i="13"/>
  <c r="AS49" i="13"/>
  <c r="AC52" i="13"/>
  <c r="AI55" i="13"/>
  <c r="F62" i="17"/>
  <c r="E62" i="17"/>
  <c r="D62" i="17"/>
  <c r="C62" i="17"/>
  <c r="A62" i="17"/>
  <c r="B62" i="17"/>
  <c r="Y59" i="13"/>
  <c r="AO60" i="13"/>
  <c r="AO63" i="13"/>
  <c r="AW71" i="13"/>
  <c r="AQ74" i="13"/>
  <c r="S77" i="13"/>
  <c r="AW79" i="13"/>
  <c r="AQ82" i="13"/>
  <c r="S85" i="13"/>
  <c r="AW87" i="13"/>
  <c r="AQ90" i="13"/>
  <c r="S93" i="13"/>
  <c r="AW95" i="13"/>
  <c r="AI101" i="13"/>
  <c r="AO105" i="13"/>
  <c r="AU108" i="13"/>
  <c r="F117" i="17"/>
  <c r="E117" i="17"/>
  <c r="D117" i="17"/>
  <c r="C117" i="17"/>
  <c r="B117" i="17"/>
  <c r="A117" i="17"/>
  <c r="N113" i="13"/>
  <c r="Q116" i="13"/>
  <c r="Y119" i="13"/>
  <c r="AI128" i="13"/>
  <c r="AG133" i="13"/>
  <c r="AM156" i="13"/>
  <c r="AU162" i="13"/>
  <c r="AC176" i="13"/>
  <c r="AM236" i="13"/>
  <c r="AA300" i="13"/>
  <c r="AA296" i="13"/>
  <c r="AA292" i="13"/>
  <c r="AA288" i="13"/>
  <c r="AA284" i="13"/>
  <c r="AA280" i="13"/>
  <c r="AA276" i="13"/>
  <c r="AA272" i="13"/>
  <c r="AA268" i="13"/>
  <c r="AA264" i="13"/>
  <c r="AA260" i="13"/>
  <c r="AA256" i="13"/>
  <c r="AA252" i="13"/>
  <c r="AA248" i="13"/>
  <c r="AA244" i="13"/>
  <c r="AA298" i="13"/>
  <c r="AA294" i="13"/>
  <c r="AA290" i="13"/>
  <c r="AA286" i="13"/>
  <c r="AA282" i="13"/>
  <c r="AA278" i="13"/>
  <c r="AA274" i="13"/>
  <c r="AA270" i="13"/>
  <c r="AA266" i="13"/>
  <c r="AA262" i="13"/>
  <c r="AA258" i="13"/>
  <c r="AA259" i="13"/>
  <c r="AA241" i="13"/>
  <c r="AA233" i="13"/>
  <c r="AA215" i="13"/>
  <c r="AA188" i="13"/>
  <c r="AA184" i="13"/>
  <c r="AA180" i="13"/>
  <c r="AA176" i="13"/>
  <c r="AA172" i="13"/>
  <c r="AA168" i="13"/>
  <c r="AA164" i="13"/>
  <c r="AA160" i="13"/>
  <c r="AA156" i="13"/>
  <c r="AA152" i="13"/>
  <c r="AA148" i="13"/>
  <c r="AA144" i="13"/>
  <c r="AA140" i="13"/>
  <c r="AA136" i="13"/>
  <c r="AA132" i="13"/>
  <c r="AA128" i="13"/>
  <c r="AA124" i="13"/>
  <c r="AA120" i="13"/>
  <c r="AA116" i="13"/>
  <c r="AA112" i="13"/>
  <c r="AA108" i="13"/>
  <c r="AA104" i="13"/>
  <c r="AA100" i="13"/>
  <c r="AA287" i="13"/>
  <c r="AA224" i="13"/>
  <c r="AA206" i="13"/>
  <c r="AA201" i="13"/>
  <c r="AA192" i="13"/>
  <c r="AA281" i="13"/>
  <c r="AA273" i="13"/>
  <c r="AA246" i="13"/>
  <c r="AA236" i="13"/>
  <c r="AA228" i="13"/>
  <c r="AA211" i="13"/>
  <c r="AA261" i="13"/>
  <c r="AA250" i="13"/>
  <c r="AA239" i="13"/>
  <c r="AA231" i="13"/>
  <c r="AA220" i="13"/>
  <c r="AA202" i="13"/>
  <c r="AA197" i="13"/>
  <c r="AA301" i="13"/>
  <c r="AA275" i="13"/>
  <c r="AA254" i="13"/>
  <c r="AA207" i="13"/>
  <c r="AA187" i="13"/>
  <c r="AA183" i="13"/>
  <c r="AA179" i="13"/>
  <c r="AA175" i="13"/>
  <c r="AA171" i="13"/>
  <c r="AA167" i="13"/>
  <c r="AA163" i="13"/>
  <c r="AA159" i="13"/>
  <c r="AA155" i="13"/>
  <c r="AA151" i="13"/>
  <c r="AA147" i="13"/>
  <c r="AA143" i="13"/>
  <c r="AA139" i="13"/>
  <c r="AA135" i="13"/>
  <c r="AA131" i="13"/>
  <c r="AA127" i="13"/>
  <c r="AA123" i="13"/>
  <c r="AA119" i="13"/>
  <c r="AA297" i="13"/>
  <c r="AA263" i="13"/>
  <c r="AA225" i="13"/>
  <c r="AA216" i="13"/>
  <c r="AA198" i="13"/>
  <c r="AA193" i="13"/>
  <c r="AA293" i="13"/>
  <c r="AA242" i="13"/>
  <c r="AA234" i="13"/>
  <c r="AA203" i="13"/>
  <c r="AA289" i="13"/>
  <c r="AA283" i="13"/>
  <c r="AA226" i="13"/>
  <c r="AA221" i="13"/>
  <c r="AA212" i="13"/>
  <c r="AA194" i="13"/>
  <c r="AA277" i="13"/>
  <c r="AA265" i="13"/>
  <c r="AA237" i="13"/>
  <c r="AA229" i="13"/>
  <c r="AA247" i="13"/>
  <c r="AA222" i="13"/>
  <c r="AA217" i="13"/>
  <c r="AA208" i="13"/>
  <c r="AA267" i="13"/>
  <c r="AA251" i="13"/>
  <c r="AA240" i="13"/>
  <c r="AA232" i="13"/>
  <c r="AA195" i="13"/>
  <c r="AA255" i="13"/>
  <c r="AA249" i="13"/>
  <c r="AA235" i="13"/>
  <c r="AA227" i="13"/>
  <c r="AA218" i="13"/>
  <c r="AA213" i="13"/>
  <c r="AA204" i="13"/>
  <c r="AA190" i="13"/>
  <c r="AA285" i="13"/>
  <c r="AA253" i="13"/>
  <c r="AA245" i="13"/>
  <c r="AA243" i="13"/>
  <c r="AA223" i="13"/>
  <c r="AA299" i="13"/>
  <c r="AA279" i="13"/>
  <c r="AA269" i="13"/>
  <c r="AA214" i="13"/>
  <c r="AA209" i="13"/>
  <c r="AA200" i="13"/>
  <c r="AA146" i="13"/>
  <c r="AA72" i="13"/>
  <c r="AA68" i="13"/>
  <c r="AA60" i="13"/>
  <c r="AA46" i="13"/>
  <c r="AA38" i="13"/>
  <c r="AA32" i="13"/>
  <c r="AA24" i="13"/>
  <c r="AA182" i="13"/>
  <c r="AA162" i="13"/>
  <c r="AA150" i="13"/>
  <c r="AA125" i="13"/>
  <c r="AA103" i="13"/>
  <c r="AA102" i="13"/>
  <c r="AA196" i="13"/>
  <c r="AA153" i="13"/>
  <c r="AA126" i="13"/>
  <c r="AA101" i="13"/>
  <c r="AA63" i="13"/>
  <c r="AA55" i="13"/>
  <c r="AA49" i="13"/>
  <c r="AA41" i="13"/>
  <c r="AA27" i="13"/>
  <c r="AA189" i="13"/>
  <c r="AA170" i="13"/>
  <c r="AA99" i="13"/>
  <c r="AA95" i="13"/>
  <c r="AA91" i="13"/>
  <c r="AA87" i="13"/>
  <c r="AA83" i="13"/>
  <c r="AA79" i="13"/>
  <c r="AA75" i="13"/>
  <c r="AA177" i="13"/>
  <c r="AA165" i="13"/>
  <c r="AA107" i="13"/>
  <c r="AA106" i="13"/>
  <c r="AA71" i="13"/>
  <c r="AA66" i="13"/>
  <c r="AA58" i="13"/>
  <c r="AA199" i="13"/>
  <c r="AA154" i="13"/>
  <c r="AA121" i="13"/>
  <c r="AA105" i="13"/>
  <c r="AA257" i="13"/>
  <c r="AA186" i="13"/>
  <c r="AA122" i="13"/>
  <c r="AA61" i="13"/>
  <c r="AA53" i="13"/>
  <c r="AA47" i="13"/>
  <c r="AA39" i="13"/>
  <c r="AA33" i="13"/>
  <c r="AA25" i="13"/>
  <c r="AA295" i="13"/>
  <c r="AA191" i="13"/>
  <c r="AA111" i="13"/>
  <c r="AA110" i="13"/>
  <c r="AA98" i="13"/>
  <c r="AA94" i="13"/>
  <c r="AA90" i="13"/>
  <c r="AA86" i="13"/>
  <c r="AA82" i="13"/>
  <c r="AA78" i="13"/>
  <c r="AA74" i="13"/>
  <c r="AA181" i="13"/>
  <c r="AA166" i="13"/>
  <c r="AA157" i="13"/>
  <c r="AA173" i="13"/>
  <c r="AA238" i="13"/>
  <c r="AA115" i="13"/>
  <c r="AA114" i="13"/>
  <c r="AA67" i="13"/>
  <c r="AA158" i="13"/>
  <c r="AA133" i="13"/>
  <c r="AA113" i="13"/>
  <c r="AA97" i="13"/>
  <c r="AA93" i="13"/>
  <c r="AA89" i="13"/>
  <c r="AA85" i="13"/>
  <c r="AA81" i="13"/>
  <c r="AA77" i="13"/>
  <c r="AA73" i="13"/>
  <c r="AA271" i="13"/>
  <c r="AA230" i="13"/>
  <c r="AA178" i="13"/>
  <c r="AA137" i="13"/>
  <c r="AA69" i="13"/>
  <c r="AA291" i="13"/>
  <c r="AA210" i="13"/>
  <c r="AA185" i="13"/>
  <c r="AA141" i="13"/>
  <c r="AA134" i="13"/>
  <c r="AA129" i="13"/>
  <c r="AA118" i="13"/>
  <c r="AQ298" i="13"/>
  <c r="AQ294" i="13"/>
  <c r="AQ290" i="13"/>
  <c r="AQ286" i="13"/>
  <c r="AQ282" i="13"/>
  <c r="AQ278" i="13"/>
  <c r="AQ274" i="13"/>
  <c r="AQ270" i="13"/>
  <c r="AQ266" i="13"/>
  <c r="AQ262" i="13"/>
  <c r="AQ258" i="13"/>
  <c r="AQ254" i="13"/>
  <c r="AQ250" i="13"/>
  <c r="AQ246" i="13"/>
  <c r="AQ242" i="13"/>
  <c r="AQ301" i="13"/>
  <c r="AQ300" i="13"/>
  <c r="AQ296" i="13"/>
  <c r="AQ292" i="13"/>
  <c r="AQ288" i="13"/>
  <c r="AQ284" i="13"/>
  <c r="AQ280" i="13"/>
  <c r="AQ276" i="13"/>
  <c r="AQ272" i="13"/>
  <c r="AQ268" i="13"/>
  <c r="AQ264" i="13"/>
  <c r="AQ260" i="13"/>
  <c r="AQ256" i="13"/>
  <c r="AQ281" i="13"/>
  <c r="AQ261" i="13"/>
  <c r="AQ248" i="13"/>
  <c r="AQ239" i="13"/>
  <c r="AQ231" i="13"/>
  <c r="AQ221" i="13"/>
  <c r="AQ186" i="13"/>
  <c r="AQ182" i="13"/>
  <c r="AQ178" i="13"/>
  <c r="AQ174" i="13"/>
  <c r="AQ170" i="13"/>
  <c r="AQ166" i="13"/>
  <c r="AQ162" i="13"/>
  <c r="AQ158" i="13"/>
  <c r="AQ154" i="13"/>
  <c r="AQ150" i="13"/>
  <c r="AQ146" i="13"/>
  <c r="AQ142" i="13"/>
  <c r="AQ138" i="13"/>
  <c r="AQ134" i="13"/>
  <c r="AQ130" i="13"/>
  <c r="AQ126" i="13"/>
  <c r="AQ122" i="13"/>
  <c r="AQ118" i="13"/>
  <c r="AQ114" i="13"/>
  <c r="AQ110" i="13"/>
  <c r="AQ106" i="13"/>
  <c r="AQ102" i="13"/>
  <c r="AQ252" i="13"/>
  <c r="AQ244" i="13"/>
  <c r="AQ212" i="13"/>
  <c r="AQ207" i="13"/>
  <c r="AQ198" i="13"/>
  <c r="AQ275" i="13"/>
  <c r="AQ234" i="13"/>
  <c r="AQ217" i="13"/>
  <c r="AQ263" i="13"/>
  <c r="AQ237" i="13"/>
  <c r="AQ229" i="13"/>
  <c r="AQ226" i="13"/>
  <c r="AQ208" i="13"/>
  <c r="AQ203" i="13"/>
  <c r="AQ194" i="13"/>
  <c r="AQ297" i="13"/>
  <c r="AQ213" i="13"/>
  <c r="AQ185" i="13"/>
  <c r="AQ181" i="13"/>
  <c r="AQ177" i="13"/>
  <c r="AQ173" i="13"/>
  <c r="AQ169" i="13"/>
  <c r="AQ165" i="13"/>
  <c r="AQ161" i="13"/>
  <c r="AQ157" i="13"/>
  <c r="AQ153" i="13"/>
  <c r="AQ149" i="13"/>
  <c r="AQ145" i="13"/>
  <c r="AQ141" i="13"/>
  <c r="AQ137" i="13"/>
  <c r="AQ133" i="13"/>
  <c r="AQ129" i="13"/>
  <c r="AQ125" i="13"/>
  <c r="AQ121" i="13"/>
  <c r="AQ293" i="13"/>
  <c r="AQ283" i="13"/>
  <c r="AQ265" i="13"/>
  <c r="AQ222" i="13"/>
  <c r="AQ204" i="13"/>
  <c r="AQ199" i="13"/>
  <c r="AQ289" i="13"/>
  <c r="AQ277" i="13"/>
  <c r="AQ240" i="13"/>
  <c r="AQ232" i="13"/>
  <c r="AQ209" i="13"/>
  <c r="AQ189" i="13"/>
  <c r="AQ249" i="13"/>
  <c r="AQ247" i="13"/>
  <c r="AQ245" i="13"/>
  <c r="AQ218" i="13"/>
  <c r="AQ200" i="13"/>
  <c r="AQ195" i="13"/>
  <c r="AQ190" i="13"/>
  <c r="AQ267" i="13"/>
  <c r="AQ253" i="13"/>
  <c r="AQ251" i="13"/>
  <c r="AQ235" i="13"/>
  <c r="AQ255" i="13"/>
  <c r="AQ223" i="13"/>
  <c r="AQ214" i="13"/>
  <c r="AQ196" i="13"/>
  <c r="AQ191" i="13"/>
  <c r="AQ285" i="13"/>
  <c r="AQ269" i="13"/>
  <c r="AQ243" i="13"/>
  <c r="AQ238" i="13"/>
  <c r="AQ230" i="13"/>
  <c r="AQ201" i="13"/>
  <c r="AQ299" i="13"/>
  <c r="AQ279" i="13"/>
  <c r="AQ257" i="13"/>
  <c r="AQ241" i="13"/>
  <c r="AQ233" i="13"/>
  <c r="AQ224" i="13"/>
  <c r="AQ219" i="13"/>
  <c r="AQ210" i="13"/>
  <c r="AQ192" i="13"/>
  <c r="AQ295" i="13"/>
  <c r="AQ291" i="13"/>
  <c r="AQ271" i="13"/>
  <c r="AQ220" i="13"/>
  <c r="AQ215" i="13"/>
  <c r="AQ206" i="13"/>
  <c r="AQ228" i="13"/>
  <c r="AQ139" i="13"/>
  <c r="AQ109" i="13"/>
  <c r="AQ108" i="13"/>
  <c r="AQ107" i="13"/>
  <c r="AQ70" i="13"/>
  <c r="AQ64" i="13"/>
  <c r="AQ56" i="13"/>
  <c r="AQ50" i="13"/>
  <c r="AQ42" i="13"/>
  <c r="AQ35" i="13"/>
  <c r="AQ28" i="13"/>
  <c r="AQ20" i="13"/>
  <c r="AQ14" i="13"/>
  <c r="AQ143" i="13"/>
  <c r="AQ132" i="13"/>
  <c r="AQ287" i="13"/>
  <c r="AQ259" i="13"/>
  <c r="AQ184" i="13"/>
  <c r="AQ147" i="13"/>
  <c r="AQ136" i="13"/>
  <c r="AQ127" i="13"/>
  <c r="AQ67" i="13"/>
  <c r="AQ59" i="13"/>
  <c r="AQ52" i="13"/>
  <c r="AQ45" i="13"/>
  <c r="AQ37" i="13"/>
  <c r="AQ31" i="13"/>
  <c r="AQ23" i="13"/>
  <c r="AQ179" i="13"/>
  <c r="AQ175" i="13"/>
  <c r="AQ168" i="13"/>
  <c r="AQ160" i="13"/>
  <c r="AQ151" i="13"/>
  <c r="AQ140" i="13"/>
  <c r="AQ113" i="13"/>
  <c r="AQ112" i="13"/>
  <c r="AQ111" i="13"/>
  <c r="AQ97" i="13"/>
  <c r="AQ93" i="13"/>
  <c r="AQ89" i="13"/>
  <c r="AQ85" i="13"/>
  <c r="AQ81" i="13"/>
  <c r="AQ77" i="13"/>
  <c r="AQ73" i="13"/>
  <c r="AQ227" i="13"/>
  <c r="AQ144" i="13"/>
  <c r="AQ128" i="13"/>
  <c r="AQ69" i="13"/>
  <c r="AQ62" i="13"/>
  <c r="AQ54" i="13"/>
  <c r="AQ48" i="13"/>
  <c r="AQ163" i="13"/>
  <c r="AQ148" i="13"/>
  <c r="AQ123" i="13"/>
  <c r="AQ117" i="13"/>
  <c r="AQ116" i="13"/>
  <c r="AQ115" i="13"/>
  <c r="AQ65" i="13"/>
  <c r="AQ57" i="13"/>
  <c r="AQ51" i="13"/>
  <c r="AQ43" i="13"/>
  <c r="AQ29" i="13"/>
  <c r="AQ273" i="13"/>
  <c r="AQ188" i="13"/>
  <c r="AQ152" i="13"/>
  <c r="AQ96" i="13"/>
  <c r="AQ92" i="13"/>
  <c r="AQ88" i="13"/>
  <c r="AQ84" i="13"/>
  <c r="AQ80" i="13"/>
  <c r="AQ76" i="13"/>
  <c r="AQ216" i="13"/>
  <c r="AQ183" i="13"/>
  <c r="AQ171" i="13"/>
  <c r="AQ211" i="13"/>
  <c r="AQ202" i="13"/>
  <c r="AQ176" i="13"/>
  <c r="AQ164" i="13"/>
  <c r="AQ155" i="13"/>
  <c r="AQ225" i="13"/>
  <c r="AQ101" i="13"/>
  <c r="AQ100" i="13"/>
  <c r="AQ63" i="13"/>
  <c r="AQ197" i="13"/>
  <c r="AQ119" i="13"/>
  <c r="AQ99" i="13"/>
  <c r="AQ95" i="13"/>
  <c r="AQ91" i="13"/>
  <c r="AQ87" i="13"/>
  <c r="AQ83" i="13"/>
  <c r="AQ79" i="13"/>
  <c r="AQ75" i="13"/>
  <c r="AQ120" i="13"/>
  <c r="AQ71" i="13"/>
  <c r="AQ205" i="13"/>
  <c r="AQ193" i="13"/>
  <c r="AQ187" i="13"/>
  <c r="AQ180" i="13"/>
  <c r="AQ167" i="13"/>
  <c r="AQ156" i="13"/>
  <c r="AQ105" i="13"/>
  <c r="AQ104" i="13"/>
  <c r="AQ103" i="13"/>
  <c r="AQ17" i="13"/>
  <c r="AQ19" i="13"/>
  <c r="AA20" i="13"/>
  <c r="F22" i="13"/>
  <c r="F31" i="17"/>
  <c r="E31" i="17"/>
  <c r="D31" i="17"/>
  <c r="C31" i="17"/>
  <c r="B31" i="17"/>
  <c r="A31" i="17"/>
  <c r="B29" i="13"/>
  <c r="Y37" i="13"/>
  <c r="AO39" i="13"/>
  <c r="AQ41" i="13"/>
  <c r="AM43" i="13"/>
  <c r="C46" i="13"/>
  <c r="AE52" i="13"/>
  <c r="AM55" i="13"/>
  <c r="AA59" i="13"/>
  <c r="AQ60" i="13"/>
  <c r="W62" i="13"/>
  <c r="AS63" i="13"/>
  <c r="W69" i="13"/>
  <c r="E76" i="17"/>
  <c r="D76" i="17"/>
  <c r="C76" i="17"/>
  <c r="B76" i="17"/>
  <c r="A76" i="17"/>
  <c r="F76" i="17"/>
  <c r="N72" i="13"/>
  <c r="AS74" i="13"/>
  <c r="AS82" i="13"/>
  <c r="AS90" i="13"/>
  <c r="AS98" i="13"/>
  <c r="S116" i="13"/>
  <c r="AC124" i="13"/>
  <c r="AS150" i="13"/>
  <c r="AO156" i="13"/>
  <c r="AW162" i="13"/>
  <c r="AE176" i="13"/>
  <c r="D197" i="17"/>
  <c r="C197" i="17"/>
  <c r="B197" i="17"/>
  <c r="A197" i="17"/>
  <c r="F197" i="17"/>
  <c r="E197" i="17"/>
  <c r="N193" i="13"/>
  <c r="AW214" i="13"/>
  <c r="AI224" i="13"/>
  <c r="AQ236" i="13"/>
  <c r="J2" i="11"/>
  <c r="AE2" i="13"/>
  <c r="F7" i="17"/>
  <c r="E7" i="17"/>
  <c r="D7" i="17"/>
  <c r="C7" i="17"/>
  <c r="B7" i="17"/>
  <c r="A7" i="17"/>
  <c r="AQ3" i="13"/>
  <c r="W4" i="13"/>
  <c r="AI5" i="13"/>
  <c r="O6" i="13"/>
  <c r="AU6" i="13"/>
  <c r="AA7" i="13"/>
  <c r="AM8" i="13"/>
  <c r="S9" i="13"/>
  <c r="AE10" i="13"/>
  <c r="F15" i="17"/>
  <c r="E15" i="17"/>
  <c r="D15" i="17"/>
  <c r="C15" i="17"/>
  <c r="B15" i="17"/>
  <c r="A15" i="17"/>
  <c r="AQ11" i="13"/>
  <c r="W12" i="13"/>
  <c r="Q14" i="13"/>
  <c r="AM15" i="13"/>
  <c r="AW17" i="13"/>
  <c r="AU18" i="13"/>
  <c r="AS19" i="13"/>
  <c r="AC20" i="13"/>
  <c r="O21" i="13"/>
  <c r="C26" i="17"/>
  <c r="B26" i="17"/>
  <c r="A26" i="17"/>
  <c r="F26" i="17"/>
  <c r="E26" i="17"/>
  <c r="D26" i="17"/>
  <c r="AG24" i="13"/>
  <c r="W25" i="13"/>
  <c r="W26" i="13"/>
  <c r="N27" i="13"/>
  <c r="C29" i="13"/>
  <c r="D30" i="13"/>
  <c r="AW30" i="13"/>
  <c r="AQ32" i="13"/>
  <c r="AW33" i="13"/>
  <c r="O35" i="13"/>
  <c r="AA36" i="13"/>
  <c r="AA37" i="13"/>
  <c r="AI38" i="13"/>
  <c r="AQ39" i="13"/>
  <c r="AQ40" i="13"/>
  <c r="AS41" i="13"/>
  <c r="AU43" i="13"/>
  <c r="AW44" i="13"/>
  <c r="D46" i="13"/>
  <c r="S47" i="13"/>
  <c r="AG48" i="13"/>
  <c r="AW52" i="13"/>
  <c r="W54" i="13"/>
  <c r="AO55" i="13"/>
  <c r="O58" i="13"/>
  <c r="AC59" i="13"/>
  <c r="AA62" i="13"/>
  <c r="AU63" i="13"/>
  <c r="Y65" i="13"/>
  <c r="Q67" i="13"/>
  <c r="AG69" i="13"/>
  <c r="AE77" i="13"/>
  <c r="AA80" i="13"/>
  <c r="AE85" i="13"/>
  <c r="AA88" i="13"/>
  <c r="AE93" i="13"/>
  <c r="AA96" i="13"/>
  <c r="Y109" i="13"/>
  <c r="AE113" i="13"/>
  <c r="AW119" i="13"/>
  <c r="AE124" i="13"/>
  <c r="W129" i="13"/>
  <c r="Y145" i="13"/>
  <c r="AU150" i="13"/>
  <c r="AM193" i="13"/>
  <c r="AC300" i="13"/>
  <c r="AC296" i="13"/>
  <c r="AC292" i="13"/>
  <c r="AC288" i="13"/>
  <c r="AC284" i="13"/>
  <c r="AC280" i="13"/>
  <c r="AC276" i="13"/>
  <c r="AC272" i="13"/>
  <c r="AC268" i="13"/>
  <c r="AC264" i="13"/>
  <c r="AC260" i="13"/>
  <c r="AC256" i="13"/>
  <c r="AC252" i="13"/>
  <c r="AC248" i="13"/>
  <c r="AC244" i="13"/>
  <c r="AC240" i="13"/>
  <c r="AC236" i="13"/>
  <c r="AC232" i="13"/>
  <c r="AC228" i="13"/>
  <c r="AC224" i="13"/>
  <c r="AC220" i="13"/>
  <c r="AC216" i="13"/>
  <c r="AC212" i="13"/>
  <c r="AC208" i="13"/>
  <c r="AC204" i="13"/>
  <c r="AC200" i="13"/>
  <c r="AC196" i="13"/>
  <c r="AC192" i="13"/>
  <c r="AC299" i="13"/>
  <c r="AC295" i="13"/>
  <c r="AC291" i="13"/>
  <c r="AC287" i="13"/>
  <c r="AC283" i="13"/>
  <c r="AC279" i="13"/>
  <c r="AC275" i="13"/>
  <c r="AC271" i="13"/>
  <c r="AC267" i="13"/>
  <c r="AC263" i="13"/>
  <c r="AC259" i="13"/>
  <c r="AC255" i="13"/>
  <c r="AC251" i="13"/>
  <c r="AC247" i="13"/>
  <c r="AC243" i="13"/>
  <c r="AC239" i="13"/>
  <c r="AC235" i="13"/>
  <c r="AC231" i="13"/>
  <c r="AC227" i="13"/>
  <c r="AC223" i="13"/>
  <c r="AC219" i="13"/>
  <c r="AC215" i="13"/>
  <c r="AC211" i="13"/>
  <c r="AC207" i="13"/>
  <c r="AC203" i="13"/>
  <c r="AC199" i="13"/>
  <c r="AC195" i="13"/>
  <c r="AC191" i="13"/>
  <c r="AC298" i="13"/>
  <c r="AC294" i="13"/>
  <c r="AC290" i="13"/>
  <c r="AC286" i="13"/>
  <c r="AC282" i="13"/>
  <c r="AC278" i="13"/>
  <c r="AC301" i="13"/>
  <c r="AC297" i="13"/>
  <c r="AC293" i="13"/>
  <c r="AC289" i="13"/>
  <c r="AC285" i="13"/>
  <c r="AC281" i="13"/>
  <c r="AC277" i="13"/>
  <c r="AC273" i="13"/>
  <c r="AC269" i="13"/>
  <c r="AC265" i="13"/>
  <c r="AC261" i="13"/>
  <c r="AC257" i="13"/>
  <c r="AC253" i="13"/>
  <c r="AC249" i="13"/>
  <c r="AC245" i="13"/>
  <c r="AC241" i="13"/>
  <c r="AC237" i="13"/>
  <c r="AC233" i="13"/>
  <c r="AC229" i="13"/>
  <c r="AC206" i="13"/>
  <c r="AC201" i="13"/>
  <c r="AC266" i="13"/>
  <c r="AC246" i="13"/>
  <c r="AC250" i="13"/>
  <c r="AC202" i="13"/>
  <c r="AC197" i="13"/>
  <c r="AC254" i="13"/>
  <c r="AC187" i="13"/>
  <c r="AC183" i="13"/>
  <c r="AC179" i="13"/>
  <c r="AC175" i="13"/>
  <c r="AC171" i="13"/>
  <c r="AC167" i="13"/>
  <c r="AC163" i="13"/>
  <c r="AC159" i="13"/>
  <c r="AC155" i="13"/>
  <c r="AC151" i="13"/>
  <c r="AC147" i="13"/>
  <c r="AC143" i="13"/>
  <c r="AC139" i="13"/>
  <c r="AC135" i="13"/>
  <c r="AC131" i="13"/>
  <c r="AC127" i="13"/>
  <c r="AC123" i="13"/>
  <c r="AC119" i="13"/>
  <c r="AC115" i="13"/>
  <c r="AC111" i="13"/>
  <c r="AC107" i="13"/>
  <c r="AC103" i="13"/>
  <c r="AC225" i="13"/>
  <c r="AC198" i="13"/>
  <c r="AC193" i="13"/>
  <c r="AC242" i="13"/>
  <c r="AC234" i="13"/>
  <c r="AC270" i="13"/>
  <c r="AC226" i="13"/>
  <c r="AC221" i="13"/>
  <c r="AC194" i="13"/>
  <c r="AC258" i="13"/>
  <c r="AC186" i="13"/>
  <c r="AC182" i="13"/>
  <c r="AC178" i="13"/>
  <c r="AC174" i="13"/>
  <c r="AC170" i="13"/>
  <c r="AC166" i="13"/>
  <c r="AC162" i="13"/>
  <c r="AC158" i="13"/>
  <c r="AC154" i="13"/>
  <c r="AC150" i="13"/>
  <c r="AC146" i="13"/>
  <c r="AC142" i="13"/>
  <c r="AC138" i="13"/>
  <c r="AC134" i="13"/>
  <c r="AC130" i="13"/>
  <c r="AC126" i="13"/>
  <c r="AC122" i="13"/>
  <c r="AC218" i="13"/>
  <c r="AC213" i="13"/>
  <c r="AC190" i="13"/>
  <c r="AC274" i="13"/>
  <c r="AC185" i="13"/>
  <c r="AC181" i="13"/>
  <c r="AC262" i="13"/>
  <c r="AC214" i="13"/>
  <c r="AC209" i="13"/>
  <c r="AC238" i="13"/>
  <c r="AC230" i="13"/>
  <c r="AC164" i="13"/>
  <c r="AC125" i="13"/>
  <c r="AC102" i="13"/>
  <c r="AC180" i="13"/>
  <c r="AC153" i="13"/>
  <c r="AC101" i="13"/>
  <c r="AC100" i="13"/>
  <c r="AC63" i="13"/>
  <c r="AC55" i="13"/>
  <c r="AC49" i="13"/>
  <c r="AC41" i="13"/>
  <c r="AC27" i="13"/>
  <c r="AC19" i="13"/>
  <c r="AC189" i="13"/>
  <c r="AC99" i="13"/>
  <c r="AC95" i="13"/>
  <c r="AC91" i="13"/>
  <c r="AC87" i="13"/>
  <c r="AC83" i="13"/>
  <c r="AC79" i="13"/>
  <c r="AC75" i="13"/>
  <c r="AC177" i="13"/>
  <c r="AC165" i="13"/>
  <c r="AC120" i="13"/>
  <c r="AC106" i="13"/>
  <c r="AC71" i="13"/>
  <c r="AC66" i="13"/>
  <c r="AC58" i="13"/>
  <c r="AC44" i="13"/>
  <c r="AC36" i="13"/>
  <c r="AC30" i="13"/>
  <c r="AC22" i="13"/>
  <c r="AC16" i="13"/>
  <c r="AC222" i="13"/>
  <c r="AC172" i="13"/>
  <c r="AC156" i="13"/>
  <c r="AC121" i="13"/>
  <c r="AC105" i="13"/>
  <c r="AC104" i="13"/>
  <c r="AC217" i="13"/>
  <c r="AC61" i="13"/>
  <c r="AC53" i="13"/>
  <c r="AC47" i="13"/>
  <c r="AC39" i="13"/>
  <c r="AC33" i="13"/>
  <c r="AC184" i="13"/>
  <c r="AC110" i="13"/>
  <c r="AC98" i="13"/>
  <c r="AC94" i="13"/>
  <c r="AC90" i="13"/>
  <c r="AC86" i="13"/>
  <c r="AC82" i="13"/>
  <c r="AC78" i="13"/>
  <c r="AC74" i="13"/>
  <c r="AC157" i="13"/>
  <c r="AC109" i="13"/>
  <c r="AC108" i="13"/>
  <c r="AC70" i="13"/>
  <c r="AC64" i="13"/>
  <c r="AC56" i="13"/>
  <c r="AC50" i="13"/>
  <c r="AC42" i="13"/>
  <c r="AC35" i="13"/>
  <c r="AC28" i="13"/>
  <c r="AC173" i="13"/>
  <c r="AC168" i="13"/>
  <c r="AC136" i="13"/>
  <c r="AC160" i="13"/>
  <c r="AC140" i="13"/>
  <c r="AC133" i="13"/>
  <c r="AC113" i="13"/>
  <c r="AC112" i="13"/>
  <c r="AC97" i="13"/>
  <c r="AC93" i="13"/>
  <c r="AC89" i="13"/>
  <c r="AC85" i="13"/>
  <c r="AC81" i="13"/>
  <c r="AC77" i="13"/>
  <c r="AC73" i="13"/>
  <c r="AC188" i="13"/>
  <c r="AC144" i="13"/>
  <c r="AC137" i="13"/>
  <c r="AC128" i="13"/>
  <c r="AC69" i="13"/>
  <c r="AC210" i="13"/>
  <c r="AC148" i="13"/>
  <c r="AC141" i="13"/>
  <c r="AC129" i="13"/>
  <c r="AC118" i="13"/>
  <c r="AC169" i="13"/>
  <c r="AC161" i="13"/>
  <c r="AC145" i="13"/>
  <c r="AC117" i="13"/>
  <c r="AC116" i="13"/>
  <c r="AC65" i="13"/>
  <c r="AC57" i="13"/>
  <c r="AC51" i="13"/>
  <c r="AS298" i="13"/>
  <c r="AS294" i="13"/>
  <c r="AS290" i="13"/>
  <c r="AS286" i="13"/>
  <c r="AS282" i="13"/>
  <c r="AS278" i="13"/>
  <c r="AS274" i="13"/>
  <c r="AS270" i="13"/>
  <c r="AS266" i="13"/>
  <c r="AS262" i="13"/>
  <c r="AS258" i="13"/>
  <c r="AS254" i="13"/>
  <c r="AS250" i="13"/>
  <c r="AS246" i="13"/>
  <c r="AS242" i="13"/>
  <c r="AS238" i="13"/>
  <c r="AS234" i="13"/>
  <c r="AS230" i="13"/>
  <c r="AS226" i="13"/>
  <c r="AS222" i="13"/>
  <c r="AS218" i="13"/>
  <c r="AS214" i="13"/>
  <c r="AS210" i="13"/>
  <c r="AS206" i="13"/>
  <c r="AS202" i="13"/>
  <c r="AS198" i="13"/>
  <c r="AS194" i="13"/>
  <c r="AS190" i="13"/>
  <c r="AS301" i="13"/>
  <c r="AS297" i="13"/>
  <c r="AS293" i="13"/>
  <c r="AS289" i="13"/>
  <c r="AS285" i="13"/>
  <c r="AS281" i="13"/>
  <c r="AS277" i="13"/>
  <c r="AS273" i="13"/>
  <c r="AS269" i="13"/>
  <c r="AS265" i="13"/>
  <c r="AS261" i="13"/>
  <c r="AS257" i="13"/>
  <c r="AS253" i="13"/>
  <c r="AS249" i="13"/>
  <c r="AS245" i="13"/>
  <c r="AS241" i="13"/>
  <c r="AS237" i="13"/>
  <c r="AS233" i="13"/>
  <c r="AS229" i="13"/>
  <c r="AS225" i="13"/>
  <c r="AS221" i="13"/>
  <c r="AS217" i="13"/>
  <c r="AS213" i="13"/>
  <c r="AS209" i="13"/>
  <c r="AS205" i="13"/>
  <c r="AS201" i="13"/>
  <c r="AS197" i="13"/>
  <c r="AS193" i="13"/>
  <c r="AS300" i="13"/>
  <c r="AS296" i="13"/>
  <c r="AS292" i="13"/>
  <c r="AS288" i="13"/>
  <c r="AS284" i="13"/>
  <c r="AS280" i="13"/>
  <c r="AS276" i="13"/>
  <c r="AS299" i="13"/>
  <c r="AS295" i="13"/>
  <c r="AS291" i="13"/>
  <c r="AS287" i="13"/>
  <c r="AS283" i="13"/>
  <c r="AS279" i="13"/>
  <c r="AS275" i="13"/>
  <c r="AS271" i="13"/>
  <c r="AS267" i="13"/>
  <c r="AS263" i="13"/>
  <c r="AS259" i="13"/>
  <c r="AS255" i="13"/>
  <c r="AS251" i="13"/>
  <c r="AS247" i="13"/>
  <c r="AS243" i="13"/>
  <c r="AS239" i="13"/>
  <c r="AS235" i="13"/>
  <c r="AS231" i="13"/>
  <c r="AS227" i="13"/>
  <c r="AS252" i="13"/>
  <c r="AS244" i="13"/>
  <c r="AS212" i="13"/>
  <c r="AS207" i="13"/>
  <c r="AS268" i="13"/>
  <c r="AS256" i="13"/>
  <c r="AS208" i="13"/>
  <c r="AS203" i="13"/>
  <c r="AS185" i="13"/>
  <c r="AS181" i="13"/>
  <c r="AS177" i="13"/>
  <c r="AS173" i="13"/>
  <c r="AS169" i="13"/>
  <c r="AS165" i="13"/>
  <c r="AS161" i="13"/>
  <c r="AS157" i="13"/>
  <c r="AS153" i="13"/>
  <c r="AS149" i="13"/>
  <c r="AS145" i="13"/>
  <c r="AS141" i="13"/>
  <c r="AS137" i="13"/>
  <c r="AS133" i="13"/>
  <c r="AS129" i="13"/>
  <c r="AS125" i="13"/>
  <c r="AS121" i="13"/>
  <c r="AS117" i="13"/>
  <c r="AS113" i="13"/>
  <c r="AS109" i="13"/>
  <c r="AS105" i="13"/>
  <c r="AS101" i="13"/>
  <c r="AS204" i="13"/>
  <c r="AS199" i="13"/>
  <c r="AS240" i="13"/>
  <c r="AS232" i="13"/>
  <c r="AS189" i="13"/>
  <c r="AS272" i="13"/>
  <c r="AS200" i="13"/>
  <c r="AS195" i="13"/>
  <c r="AS260" i="13"/>
  <c r="AS188" i="13"/>
  <c r="AS184" i="13"/>
  <c r="AS180" i="13"/>
  <c r="AS176" i="13"/>
  <c r="AS172" i="13"/>
  <c r="AS168" i="13"/>
  <c r="AS164" i="13"/>
  <c r="AS160" i="13"/>
  <c r="AS156" i="13"/>
  <c r="AS152" i="13"/>
  <c r="AS148" i="13"/>
  <c r="AS144" i="13"/>
  <c r="AS140" i="13"/>
  <c r="AS136" i="13"/>
  <c r="AS132" i="13"/>
  <c r="AS128" i="13"/>
  <c r="AS124" i="13"/>
  <c r="AS120" i="13"/>
  <c r="AS224" i="13"/>
  <c r="AS219" i="13"/>
  <c r="AS192" i="13"/>
  <c r="AS187" i="13"/>
  <c r="AS183" i="13"/>
  <c r="AS179" i="13"/>
  <c r="AS264" i="13"/>
  <c r="AS220" i="13"/>
  <c r="AS215" i="13"/>
  <c r="AS236" i="13"/>
  <c r="AS228" i="13"/>
  <c r="AS223" i="13"/>
  <c r="AS182" i="13"/>
  <c r="AS162" i="13"/>
  <c r="AS143" i="13"/>
  <c r="AS147" i="13"/>
  <c r="AS127" i="13"/>
  <c r="AS67" i="13"/>
  <c r="AS59" i="13"/>
  <c r="AS52" i="13"/>
  <c r="AS45" i="13"/>
  <c r="AS37" i="13"/>
  <c r="AS31" i="13"/>
  <c r="AS23" i="13"/>
  <c r="AS17" i="13"/>
  <c r="AS175" i="13"/>
  <c r="AS170" i="13"/>
  <c r="AS151" i="13"/>
  <c r="AS112" i="13"/>
  <c r="AS111" i="13"/>
  <c r="AS110" i="13"/>
  <c r="AS97" i="13"/>
  <c r="AS93" i="13"/>
  <c r="AS89" i="13"/>
  <c r="AS85" i="13"/>
  <c r="AS81" i="13"/>
  <c r="AS77" i="13"/>
  <c r="AS73" i="13"/>
  <c r="AS122" i="13"/>
  <c r="AS69" i="13"/>
  <c r="AS62" i="13"/>
  <c r="AS54" i="13"/>
  <c r="AS48" i="13"/>
  <c r="AS40" i="13"/>
  <c r="AS34" i="13"/>
  <c r="AS26" i="13"/>
  <c r="AS163" i="13"/>
  <c r="AS154" i="13"/>
  <c r="AS191" i="13"/>
  <c r="AS186" i="13"/>
  <c r="AS123" i="13"/>
  <c r="AS116" i="13"/>
  <c r="AS115" i="13"/>
  <c r="AS114" i="13"/>
  <c r="AS65" i="13"/>
  <c r="AS57" i="13"/>
  <c r="AS51" i="13"/>
  <c r="AS43" i="13"/>
  <c r="AS248" i="13"/>
  <c r="AS96" i="13"/>
  <c r="AS92" i="13"/>
  <c r="AS88" i="13"/>
  <c r="AS84" i="13"/>
  <c r="AS80" i="13"/>
  <c r="AS76" i="13"/>
  <c r="AS216" i="13"/>
  <c r="AS171" i="13"/>
  <c r="AS166" i="13"/>
  <c r="AS72" i="13"/>
  <c r="AS68" i="13"/>
  <c r="AS60" i="13"/>
  <c r="AS46" i="13"/>
  <c r="AS38" i="13"/>
  <c r="AS32" i="13"/>
  <c r="AS211" i="13"/>
  <c r="AS155" i="13"/>
  <c r="AS118" i="13"/>
  <c r="AS158" i="13"/>
  <c r="AS119" i="13"/>
  <c r="AS99" i="13"/>
  <c r="AS95" i="13"/>
  <c r="AS91" i="13"/>
  <c r="AS87" i="13"/>
  <c r="AS83" i="13"/>
  <c r="AS79" i="13"/>
  <c r="AS75" i="13"/>
  <c r="AS178" i="13"/>
  <c r="AS134" i="13"/>
  <c r="AS130" i="13"/>
  <c r="AS71" i="13"/>
  <c r="AS66" i="13"/>
  <c r="AS167" i="13"/>
  <c r="AS138" i="13"/>
  <c r="AS104" i="13"/>
  <c r="AS103" i="13"/>
  <c r="AS102" i="13"/>
  <c r="AS174" i="13"/>
  <c r="AS142" i="13"/>
  <c r="AS131" i="13"/>
  <c r="AS61" i="13"/>
  <c r="AS53" i="13"/>
  <c r="AS47" i="13"/>
  <c r="AS3" i="13"/>
  <c r="Y4" i="13"/>
  <c r="AC7" i="13"/>
  <c r="AO8" i="13"/>
  <c r="AS11" i="13"/>
  <c r="Y12" i="13"/>
  <c r="AM13" i="13"/>
  <c r="S14" i="13"/>
  <c r="AO15" i="13"/>
  <c r="W16" i="13"/>
  <c r="F22" i="17"/>
  <c r="E22" i="17"/>
  <c r="D22" i="17"/>
  <c r="C22" i="17"/>
  <c r="B22" i="17"/>
  <c r="A22" i="17"/>
  <c r="AW18" i="13"/>
  <c r="AU19" i="13"/>
  <c r="AE20" i="13"/>
  <c r="Y21" i="13"/>
  <c r="AM23" i="13"/>
  <c r="AI24" i="13"/>
  <c r="Y25" i="13"/>
  <c r="Y26" i="13"/>
  <c r="O27" i="13"/>
  <c r="D29" i="13"/>
  <c r="E30" i="13"/>
  <c r="AW32" i="13"/>
  <c r="Q35" i="13"/>
  <c r="AC37" i="13"/>
  <c r="AS39" i="13"/>
  <c r="AU41" i="13"/>
  <c r="E46" i="13"/>
  <c r="AI48" i="13"/>
  <c r="Y51" i="13"/>
  <c r="D57" i="17"/>
  <c r="C57" i="17"/>
  <c r="B57" i="17"/>
  <c r="A57" i="17"/>
  <c r="F57" i="17"/>
  <c r="E57" i="17"/>
  <c r="N53" i="13"/>
  <c r="AA54" i="13"/>
  <c r="AQ55" i="13"/>
  <c r="Q58" i="13"/>
  <c r="AE59" i="13"/>
  <c r="F65" i="17"/>
  <c r="E65" i="17"/>
  <c r="D65" i="17"/>
  <c r="C65" i="17"/>
  <c r="B65" i="17"/>
  <c r="A65" i="17"/>
  <c r="N61" i="13"/>
  <c r="AC62" i="13"/>
  <c r="AA65" i="13"/>
  <c r="S67" i="13"/>
  <c r="AI69" i="13"/>
  <c r="AE72" i="13"/>
  <c r="O75" i="13"/>
  <c r="AG77" i="13"/>
  <c r="AC80" i="13"/>
  <c r="O83" i="13"/>
  <c r="AG85" i="13"/>
  <c r="AC88" i="13"/>
  <c r="O91" i="13"/>
  <c r="AG93" i="13"/>
  <c r="AC96" i="13"/>
  <c r="O99" i="13"/>
  <c r="AE102" i="13"/>
  <c r="Q106" i="13"/>
  <c r="AA109" i="13"/>
  <c r="AG113" i="13"/>
  <c r="AM116" i="13"/>
  <c r="AQ124" i="13"/>
  <c r="Y129" i="13"/>
  <c r="W134" i="13"/>
  <c r="AU139" i="13"/>
  <c r="AA145" i="13"/>
  <c r="B175" i="17"/>
  <c r="A175" i="17"/>
  <c r="C175" i="17"/>
  <c r="F175" i="17"/>
  <c r="E175" i="17"/>
  <c r="D175" i="17"/>
  <c r="W185" i="13"/>
  <c r="AA205" i="13"/>
  <c r="B4" i="10"/>
  <c r="B6" i="10"/>
  <c r="O3" i="13"/>
  <c r="AU3" i="13"/>
  <c r="AA4" i="13"/>
  <c r="AM5" i="13"/>
  <c r="S6" i="13"/>
  <c r="AE7" i="13"/>
  <c r="E12" i="17"/>
  <c r="F12" i="17"/>
  <c r="D12" i="17"/>
  <c r="C12" i="17"/>
  <c r="B12" i="17"/>
  <c r="A12" i="17"/>
  <c r="AQ8" i="13"/>
  <c r="W9" i="13"/>
  <c r="AI10" i="13"/>
  <c r="O11" i="13"/>
  <c r="AU11" i="13"/>
  <c r="AA12" i="13"/>
  <c r="AO13" i="13"/>
  <c r="AQ15" i="13"/>
  <c r="Y16" i="13"/>
  <c r="F21" i="17"/>
  <c r="E21" i="17"/>
  <c r="D21" i="17"/>
  <c r="C21" i="17"/>
  <c r="B21" i="17"/>
  <c r="A21" i="17"/>
  <c r="N17" i="13"/>
  <c r="N18" i="13"/>
  <c r="B23" i="17"/>
  <c r="A23" i="17"/>
  <c r="F23" i="17"/>
  <c r="E23" i="17"/>
  <c r="D23" i="17"/>
  <c r="C23" i="17"/>
  <c r="AW19" i="13"/>
  <c r="AG20" i="13"/>
  <c r="AA21" i="13"/>
  <c r="O22" i="13"/>
  <c r="AW23" i="13"/>
  <c r="AC25" i="13"/>
  <c r="AA26" i="13"/>
  <c r="Q27" i="13"/>
  <c r="O28" i="13"/>
  <c r="E29" i="13"/>
  <c r="F30" i="13"/>
  <c r="S35" i="13"/>
  <c r="AM36" i="13"/>
  <c r="AE37" i="13"/>
  <c r="AM38" i="13"/>
  <c r="F46" i="13"/>
  <c r="W47" i="13"/>
  <c r="O50" i="13"/>
  <c r="AA51" i="13"/>
  <c r="O53" i="13"/>
  <c r="AC54" i="13"/>
  <c r="AS55" i="13"/>
  <c r="S58" i="13"/>
  <c r="AW59" i="13"/>
  <c r="AG62" i="13"/>
  <c r="W67" i="13"/>
  <c r="AO72" i="13"/>
  <c r="Q75" i="13"/>
  <c r="F82" i="17"/>
  <c r="E82" i="17"/>
  <c r="D82" i="17"/>
  <c r="C82" i="17"/>
  <c r="B82" i="17"/>
  <c r="A82" i="17"/>
  <c r="AM80" i="13"/>
  <c r="Q83" i="13"/>
  <c r="E90" i="17"/>
  <c r="D90" i="17"/>
  <c r="B90" i="17"/>
  <c r="F90" i="17"/>
  <c r="C90" i="17"/>
  <c r="A90" i="17"/>
  <c r="AM88" i="13"/>
  <c r="Q91" i="13"/>
  <c r="F98" i="17"/>
  <c r="E98" i="17"/>
  <c r="D98" i="17"/>
  <c r="C98" i="17"/>
  <c r="B98" i="17"/>
  <c r="A98" i="17"/>
  <c r="AM96" i="13"/>
  <c r="Q99" i="13"/>
  <c r="AG102" i="13"/>
  <c r="S106" i="13"/>
  <c r="AM129" i="13"/>
  <c r="Y134" i="13"/>
  <c r="E156" i="17"/>
  <c r="D156" i="17"/>
  <c r="C156" i="17"/>
  <c r="B156" i="17"/>
  <c r="A156" i="17"/>
  <c r="F156" i="17"/>
  <c r="N152" i="13"/>
  <c r="N171" i="13"/>
  <c r="Y185" i="13"/>
  <c r="AC205" i="13"/>
  <c r="C4" i="10"/>
  <c r="D20" i="2" s="1"/>
  <c r="C6" i="10"/>
  <c r="D20" i="4" s="1"/>
  <c r="O298" i="13"/>
  <c r="O294" i="13"/>
  <c r="O290" i="13"/>
  <c r="O286" i="13"/>
  <c r="O282" i="13"/>
  <c r="O278" i="13"/>
  <c r="O274" i="13"/>
  <c r="O270" i="13"/>
  <c r="O266" i="13"/>
  <c r="O262" i="13"/>
  <c r="O258" i="13"/>
  <c r="O254" i="13"/>
  <c r="O250" i="13"/>
  <c r="O246" i="13"/>
  <c r="O242" i="13"/>
  <c r="O238" i="13"/>
  <c r="O234" i="13"/>
  <c r="O230" i="13"/>
  <c r="O226" i="13"/>
  <c r="O222" i="13"/>
  <c r="O218" i="13"/>
  <c r="O214" i="13"/>
  <c r="O210" i="13"/>
  <c r="O206" i="13"/>
  <c r="O202" i="13"/>
  <c r="O198" i="13"/>
  <c r="O194" i="13"/>
  <c r="O301" i="13"/>
  <c r="O297" i="13"/>
  <c r="O293" i="13"/>
  <c r="O289" i="13"/>
  <c r="O285" i="13"/>
  <c r="O281" i="13"/>
  <c r="O277" i="13"/>
  <c r="O273" i="13"/>
  <c r="O269" i="13"/>
  <c r="O265" i="13"/>
  <c r="O261" i="13"/>
  <c r="O257" i="13"/>
  <c r="O253" i="13"/>
  <c r="O249" i="13"/>
  <c r="O245" i="13"/>
  <c r="O241" i="13"/>
  <c r="O237" i="13"/>
  <c r="O233" i="13"/>
  <c r="O229" i="13"/>
  <c r="O225" i="13"/>
  <c r="O221" i="13"/>
  <c r="O217" i="13"/>
  <c r="O213" i="13"/>
  <c r="O209" i="13"/>
  <c r="O205" i="13"/>
  <c r="O201" i="13"/>
  <c r="O197" i="13"/>
  <c r="O193" i="13"/>
  <c r="O300" i="13"/>
  <c r="O296" i="13"/>
  <c r="O292" i="13"/>
  <c r="O299" i="13"/>
  <c r="O295" i="13"/>
  <c r="O291" i="13"/>
  <c r="O287" i="13"/>
  <c r="O283" i="13"/>
  <c r="O279" i="13"/>
  <c r="O275" i="13"/>
  <c r="O271" i="13"/>
  <c r="O267" i="13"/>
  <c r="O263" i="13"/>
  <c r="O259" i="13"/>
  <c r="O255" i="13"/>
  <c r="O251" i="13"/>
  <c r="O247" i="13"/>
  <c r="O264" i="13"/>
  <c r="O243" i="13"/>
  <c r="O227" i="13"/>
  <c r="O223" i="13"/>
  <c r="O196" i="13"/>
  <c r="O190" i="13"/>
  <c r="O191" i="13"/>
  <c r="O189" i="13"/>
  <c r="O185" i="13"/>
  <c r="O181" i="13"/>
  <c r="O177" i="13"/>
  <c r="O173" i="13"/>
  <c r="O169" i="13"/>
  <c r="O165" i="13"/>
  <c r="O161" i="13"/>
  <c r="O157" i="13"/>
  <c r="O153" i="13"/>
  <c r="O149" i="13"/>
  <c r="O145" i="13"/>
  <c r="O141" i="13"/>
  <c r="O137" i="13"/>
  <c r="O133" i="13"/>
  <c r="O129" i="13"/>
  <c r="O125" i="13"/>
  <c r="O121" i="13"/>
  <c r="O117" i="13"/>
  <c r="O113" i="13"/>
  <c r="O109" i="13"/>
  <c r="O105" i="13"/>
  <c r="O101" i="13"/>
  <c r="O284" i="13"/>
  <c r="O224" i="13"/>
  <c r="O219" i="13"/>
  <c r="O192" i="13"/>
  <c r="O248" i="13"/>
  <c r="O236" i="13"/>
  <c r="O228" i="13"/>
  <c r="O268" i="13"/>
  <c r="O252" i="13"/>
  <c r="O220" i="13"/>
  <c r="O215" i="13"/>
  <c r="O256" i="13"/>
  <c r="O244" i="13"/>
  <c r="O188" i="13"/>
  <c r="O184" i="13"/>
  <c r="O180" i="13"/>
  <c r="O176" i="13"/>
  <c r="O172" i="13"/>
  <c r="O168" i="13"/>
  <c r="O164" i="13"/>
  <c r="O160" i="13"/>
  <c r="O156" i="13"/>
  <c r="O152" i="13"/>
  <c r="O148" i="13"/>
  <c r="O144" i="13"/>
  <c r="O140" i="13"/>
  <c r="O136" i="13"/>
  <c r="O132" i="13"/>
  <c r="O239" i="13"/>
  <c r="O231" i="13"/>
  <c r="O216" i="13"/>
  <c r="O211" i="13"/>
  <c r="O280" i="13"/>
  <c r="O212" i="13"/>
  <c r="O207" i="13"/>
  <c r="O272" i="13"/>
  <c r="O187" i="13"/>
  <c r="O183" i="13"/>
  <c r="O179" i="13"/>
  <c r="O175" i="13"/>
  <c r="O171" i="13"/>
  <c r="O167" i="13"/>
  <c r="O260" i="13"/>
  <c r="O208" i="13"/>
  <c r="O203" i="13"/>
  <c r="O240" i="13"/>
  <c r="O232" i="13"/>
  <c r="O288" i="13"/>
  <c r="O204" i="13"/>
  <c r="O199" i="13"/>
  <c r="O116" i="13"/>
  <c r="O115" i="13"/>
  <c r="O114" i="13"/>
  <c r="O67" i="13"/>
  <c r="O59" i="13"/>
  <c r="O52" i="13"/>
  <c r="O45" i="13"/>
  <c r="O37" i="13"/>
  <c r="O31" i="13"/>
  <c r="O23" i="13"/>
  <c r="O17" i="13"/>
  <c r="O158" i="13"/>
  <c r="O124" i="13"/>
  <c r="O97" i="13"/>
  <c r="O93" i="13"/>
  <c r="O89" i="13"/>
  <c r="O85" i="13"/>
  <c r="O81" i="13"/>
  <c r="O77" i="13"/>
  <c r="O73" i="13"/>
  <c r="O276" i="13"/>
  <c r="O69" i="13"/>
  <c r="O62" i="13"/>
  <c r="O54" i="13"/>
  <c r="O48" i="13"/>
  <c r="O40" i="13"/>
  <c r="O34" i="13"/>
  <c r="O26" i="13"/>
  <c r="O235" i="13"/>
  <c r="O200" i="13"/>
  <c r="O174" i="13"/>
  <c r="O134" i="13"/>
  <c r="O118" i="13"/>
  <c r="O182" i="13"/>
  <c r="O138" i="13"/>
  <c r="O130" i="13"/>
  <c r="O119" i="13"/>
  <c r="O65" i="13"/>
  <c r="O57" i="13"/>
  <c r="O51" i="13"/>
  <c r="O159" i="13"/>
  <c r="O142" i="13"/>
  <c r="O120" i="13"/>
  <c r="O100" i="13"/>
  <c r="O96" i="13"/>
  <c r="O92" i="13"/>
  <c r="O88" i="13"/>
  <c r="O84" i="13"/>
  <c r="O80" i="13"/>
  <c r="O76" i="13"/>
  <c r="O146" i="13"/>
  <c r="O135" i="13"/>
  <c r="O131" i="13"/>
  <c r="O72" i="13"/>
  <c r="O68" i="13"/>
  <c r="O60" i="13"/>
  <c r="O46" i="13"/>
  <c r="O38" i="13"/>
  <c r="O32" i="13"/>
  <c r="O162" i="13"/>
  <c r="O150" i="13"/>
  <c r="O139" i="13"/>
  <c r="O104" i="13"/>
  <c r="O103" i="13"/>
  <c r="O102" i="13"/>
  <c r="O195" i="13"/>
  <c r="O170" i="13"/>
  <c r="O143" i="13"/>
  <c r="O186" i="13"/>
  <c r="O147" i="13"/>
  <c r="O151" i="13"/>
  <c r="O127" i="13"/>
  <c r="O108" i="13"/>
  <c r="O107" i="13"/>
  <c r="O106" i="13"/>
  <c r="O71" i="13"/>
  <c r="O66" i="13"/>
  <c r="O163" i="13"/>
  <c r="O154" i="13"/>
  <c r="O122" i="13"/>
  <c r="O166" i="13"/>
  <c r="O128" i="13"/>
  <c r="O112" i="13"/>
  <c r="O111" i="13"/>
  <c r="O110" i="13"/>
  <c r="O98" i="13"/>
  <c r="O94" i="13"/>
  <c r="O90" i="13"/>
  <c r="O86" i="13"/>
  <c r="O82" i="13"/>
  <c r="O78" i="13"/>
  <c r="O74" i="13"/>
  <c r="AE300" i="13"/>
  <c r="AE296" i="13"/>
  <c r="AE292" i="13"/>
  <c r="AE288" i="13"/>
  <c r="AE284" i="13"/>
  <c r="AE280" i="13"/>
  <c r="AE276" i="13"/>
  <c r="AE272" i="13"/>
  <c r="AE268" i="13"/>
  <c r="AE264" i="13"/>
  <c r="AE260" i="13"/>
  <c r="AE256" i="13"/>
  <c r="AE252" i="13"/>
  <c r="AE248" i="13"/>
  <c r="AE244" i="13"/>
  <c r="AE240" i="13"/>
  <c r="AE236" i="13"/>
  <c r="AE232" i="13"/>
  <c r="AE228" i="13"/>
  <c r="AE224" i="13"/>
  <c r="AE220" i="13"/>
  <c r="AE216" i="13"/>
  <c r="AE212" i="13"/>
  <c r="AE208" i="13"/>
  <c r="AE204" i="13"/>
  <c r="AE200" i="13"/>
  <c r="AE196" i="13"/>
  <c r="AE192" i="13"/>
  <c r="AE299" i="13"/>
  <c r="AE295" i="13"/>
  <c r="AE291" i="13"/>
  <c r="AE287" i="13"/>
  <c r="AE283" i="13"/>
  <c r="AE279" i="13"/>
  <c r="AE275" i="13"/>
  <c r="AE271" i="13"/>
  <c r="AE267" i="13"/>
  <c r="AE263" i="13"/>
  <c r="AE259" i="13"/>
  <c r="AE255" i="13"/>
  <c r="AE251" i="13"/>
  <c r="AE247" i="13"/>
  <c r="AE243" i="13"/>
  <c r="AE239" i="13"/>
  <c r="AE235" i="13"/>
  <c r="AE231" i="13"/>
  <c r="AE227" i="13"/>
  <c r="AE223" i="13"/>
  <c r="AE219" i="13"/>
  <c r="AE215" i="13"/>
  <c r="AE211" i="13"/>
  <c r="AE207" i="13"/>
  <c r="AE203" i="13"/>
  <c r="AE199" i="13"/>
  <c r="AE195" i="13"/>
  <c r="AE191" i="13"/>
  <c r="AE298" i="13"/>
  <c r="AE294" i="13"/>
  <c r="AE290" i="13"/>
  <c r="AE301" i="13"/>
  <c r="AE297" i="13"/>
  <c r="AE293" i="13"/>
  <c r="AE289" i="13"/>
  <c r="AE285" i="13"/>
  <c r="AE281" i="13"/>
  <c r="AE277" i="13"/>
  <c r="AE273" i="13"/>
  <c r="AE269" i="13"/>
  <c r="AE265" i="13"/>
  <c r="AE261" i="13"/>
  <c r="AE257" i="13"/>
  <c r="AE253" i="13"/>
  <c r="AE249" i="13"/>
  <c r="AE266" i="13"/>
  <c r="AE246" i="13"/>
  <c r="AE250" i="13"/>
  <c r="AE202" i="13"/>
  <c r="AE197" i="13"/>
  <c r="AE278" i="13"/>
  <c r="AE254" i="13"/>
  <c r="AE187" i="13"/>
  <c r="AE183" i="13"/>
  <c r="AE179" i="13"/>
  <c r="AE175" i="13"/>
  <c r="AE171" i="13"/>
  <c r="AE167" i="13"/>
  <c r="AE163" i="13"/>
  <c r="AE159" i="13"/>
  <c r="AE155" i="13"/>
  <c r="AE151" i="13"/>
  <c r="AE147" i="13"/>
  <c r="AE143" i="13"/>
  <c r="AE139" i="13"/>
  <c r="AE135" i="13"/>
  <c r="AE131" i="13"/>
  <c r="AE127" i="13"/>
  <c r="AE123" i="13"/>
  <c r="AE119" i="13"/>
  <c r="AE115" i="13"/>
  <c r="AE111" i="13"/>
  <c r="AE107" i="13"/>
  <c r="AE103" i="13"/>
  <c r="AE225" i="13"/>
  <c r="AE198" i="13"/>
  <c r="AE193" i="13"/>
  <c r="AE242" i="13"/>
  <c r="AE234" i="13"/>
  <c r="AE270" i="13"/>
  <c r="AE226" i="13"/>
  <c r="AE221" i="13"/>
  <c r="AE194" i="13"/>
  <c r="AE286" i="13"/>
  <c r="AE258" i="13"/>
  <c r="AE186" i="13"/>
  <c r="AE182" i="13"/>
  <c r="AE178" i="13"/>
  <c r="AE174" i="13"/>
  <c r="AE170" i="13"/>
  <c r="AE166" i="13"/>
  <c r="AE162" i="13"/>
  <c r="AE158" i="13"/>
  <c r="AE154" i="13"/>
  <c r="AE150" i="13"/>
  <c r="AE146" i="13"/>
  <c r="AE142" i="13"/>
  <c r="AE138" i="13"/>
  <c r="AE134" i="13"/>
  <c r="AE237" i="13"/>
  <c r="AE229" i="13"/>
  <c r="AE222" i="13"/>
  <c r="AE217" i="13"/>
  <c r="AE218" i="13"/>
  <c r="AE213" i="13"/>
  <c r="AE190" i="13"/>
  <c r="AE274" i="13"/>
  <c r="AE185" i="13"/>
  <c r="AE181" i="13"/>
  <c r="AE177" i="13"/>
  <c r="AE173" i="13"/>
  <c r="AE169" i="13"/>
  <c r="AE262" i="13"/>
  <c r="AE245" i="13"/>
  <c r="AE214" i="13"/>
  <c r="AE209" i="13"/>
  <c r="AE189" i="13"/>
  <c r="AE282" i="13"/>
  <c r="AE238" i="13"/>
  <c r="AE230" i="13"/>
  <c r="AE210" i="13"/>
  <c r="AE205" i="13"/>
  <c r="AE180" i="13"/>
  <c r="AE153" i="13"/>
  <c r="AE101" i="13"/>
  <c r="AE100" i="13"/>
  <c r="AE63" i="13"/>
  <c r="AE55" i="13"/>
  <c r="AE49" i="13"/>
  <c r="AE41" i="13"/>
  <c r="AE27" i="13"/>
  <c r="AE19" i="13"/>
  <c r="AE13" i="13"/>
  <c r="AE126" i="13"/>
  <c r="AE99" i="13"/>
  <c r="AE95" i="13"/>
  <c r="AE91" i="13"/>
  <c r="AE87" i="13"/>
  <c r="AE83" i="13"/>
  <c r="AE79" i="13"/>
  <c r="AE75" i="13"/>
  <c r="AE165" i="13"/>
  <c r="AE120" i="13"/>
  <c r="AE106" i="13"/>
  <c r="AE71" i="13"/>
  <c r="AE66" i="13"/>
  <c r="AE58" i="13"/>
  <c r="AE44" i="13"/>
  <c r="AE36" i="13"/>
  <c r="AE30" i="13"/>
  <c r="AE22" i="13"/>
  <c r="AE172" i="13"/>
  <c r="AE156" i="13"/>
  <c r="AE121" i="13"/>
  <c r="AE105" i="13"/>
  <c r="AE104" i="13"/>
  <c r="AE61" i="13"/>
  <c r="AE53" i="13"/>
  <c r="AE47" i="13"/>
  <c r="AE241" i="13"/>
  <c r="AE184" i="13"/>
  <c r="AE122" i="13"/>
  <c r="AE110" i="13"/>
  <c r="AE98" i="13"/>
  <c r="AE94" i="13"/>
  <c r="AE90" i="13"/>
  <c r="AE86" i="13"/>
  <c r="AE82" i="13"/>
  <c r="AE78" i="13"/>
  <c r="AE74" i="13"/>
  <c r="AE157" i="13"/>
  <c r="AE109" i="13"/>
  <c r="AE108" i="13"/>
  <c r="AE70" i="13"/>
  <c r="AE64" i="13"/>
  <c r="AE56" i="13"/>
  <c r="AE50" i="13"/>
  <c r="AE42" i="13"/>
  <c r="AE35" i="13"/>
  <c r="AE28" i="13"/>
  <c r="AE233" i="13"/>
  <c r="AE132" i="13"/>
  <c r="AE168" i="13"/>
  <c r="AE136" i="13"/>
  <c r="AE160" i="13"/>
  <c r="AE140" i="13"/>
  <c r="AE133" i="13"/>
  <c r="AE188" i="13"/>
  <c r="AE144" i="13"/>
  <c r="AE137" i="13"/>
  <c r="AE128" i="13"/>
  <c r="AE69" i="13"/>
  <c r="AE62" i="13"/>
  <c r="AE206" i="13"/>
  <c r="AE148" i="13"/>
  <c r="AE141" i="13"/>
  <c r="AE129" i="13"/>
  <c r="AE118" i="13"/>
  <c r="AE161" i="13"/>
  <c r="AE145" i="13"/>
  <c r="AE117" i="13"/>
  <c r="AE116" i="13"/>
  <c r="AE152" i="13"/>
  <c r="AE149" i="13"/>
  <c r="AE130" i="13"/>
  <c r="AE96" i="13"/>
  <c r="AE92" i="13"/>
  <c r="AE88" i="13"/>
  <c r="AE84" i="13"/>
  <c r="AE80" i="13"/>
  <c r="AE76" i="13"/>
  <c r="AU298" i="13"/>
  <c r="AU294" i="13"/>
  <c r="AU290" i="13"/>
  <c r="AU286" i="13"/>
  <c r="AU282" i="13"/>
  <c r="AU278" i="13"/>
  <c r="AU274" i="13"/>
  <c r="AU270" i="13"/>
  <c r="AU266" i="13"/>
  <c r="AU262" i="13"/>
  <c r="AU258" i="13"/>
  <c r="AU254" i="13"/>
  <c r="AU250" i="13"/>
  <c r="AU246" i="13"/>
  <c r="AU242" i="13"/>
  <c r="AU238" i="13"/>
  <c r="AU234" i="13"/>
  <c r="AU230" i="13"/>
  <c r="AU226" i="13"/>
  <c r="AU222" i="13"/>
  <c r="AU218" i="13"/>
  <c r="AU214" i="13"/>
  <c r="AU210" i="13"/>
  <c r="AU206" i="13"/>
  <c r="AU202" i="13"/>
  <c r="AU198" i="13"/>
  <c r="AU194" i="13"/>
  <c r="AU301" i="13"/>
  <c r="AU297" i="13"/>
  <c r="AU293" i="13"/>
  <c r="AU289" i="13"/>
  <c r="AU285" i="13"/>
  <c r="AU281" i="13"/>
  <c r="AU277" i="13"/>
  <c r="AU273" i="13"/>
  <c r="AU269" i="13"/>
  <c r="AU265" i="13"/>
  <c r="AU261" i="13"/>
  <c r="AU257" i="13"/>
  <c r="AU253" i="13"/>
  <c r="AU249" i="13"/>
  <c r="AU245" i="13"/>
  <c r="AU241" i="13"/>
  <c r="AU237" i="13"/>
  <c r="AU233" i="13"/>
  <c r="AU229" i="13"/>
  <c r="AU225" i="13"/>
  <c r="AU221" i="13"/>
  <c r="AU217" i="13"/>
  <c r="AU213" i="13"/>
  <c r="AU209" i="13"/>
  <c r="AU205" i="13"/>
  <c r="AU201" i="13"/>
  <c r="AU197" i="13"/>
  <c r="AU193" i="13"/>
  <c r="AU300" i="13"/>
  <c r="AU296" i="13"/>
  <c r="AU292" i="13"/>
  <c r="AU288" i="13"/>
  <c r="AU299" i="13"/>
  <c r="AU295" i="13"/>
  <c r="AU291" i="13"/>
  <c r="AU287" i="13"/>
  <c r="AU283" i="13"/>
  <c r="AU279" i="13"/>
  <c r="AU275" i="13"/>
  <c r="AU271" i="13"/>
  <c r="AU267" i="13"/>
  <c r="AU263" i="13"/>
  <c r="AU259" i="13"/>
  <c r="AU255" i="13"/>
  <c r="AU251" i="13"/>
  <c r="AU247" i="13"/>
  <c r="AU268" i="13"/>
  <c r="AU256" i="13"/>
  <c r="AU208" i="13"/>
  <c r="AU203" i="13"/>
  <c r="AU185" i="13"/>
  <c r="AU181" i="13"/>
  <c r="AU177" i="13"/>
  <c r="AU173" i="13"/>
  <c r="AU169" i="13"/>
  <c r="AU165" i="13"/>
  <c r="AU161" i="13"/>
  <c r="AU157" i="13"/>
  <c r="AU153" i="13"/>
  <c r="AU149" i="13"/>
  <c r="AU145" i="13"/>
  <c r="AU141" i="13"/>
  <c r="AU137" i="13"/>
  <c r="AU133" i="13"/>
  <c r="AU129" i="13"/>
  <c r="AU125" i="13"/>
  <c r="AU121" i="13"/>
  <c r="AU117" i="13"/>
  <c r="AU113" i="13"/>
  <c r="AU109" i="13"/>
  <c r="AU105" i="13"/>
  <c r="AU101" i="13"/>
  <c r="AU204" i="13"/>
  <c r="AU199" i="13"/>
  <c r="AU240" i="13"/>
  <c r="AU232" i="13"/>
  <c r="AU189" i="13"/>
  <c r="AU280" i="13"/>
  <c r="AU272" i="13"/>
  <c r="AU200" i="13"/>
  <c r="AU195" i="13"/>
  <c r="AU260" i="13"/>
  <c r="AU190" i="13"/>
  <c r="AU188" i="13"/>
  <c r="AU184" i="13"/>
  <c r="AU180" i="13"/>
  <c r="AU176" i="13"/>
  <c r="AU172" i="13"/>
  <c r="AU168" i="13"/>
  <c r="AU164" i="13"/>
  <c r="AU160" i="13"/>
  <c r="AU156" i="13"/>
  <c r="AU152" i="13"/>
  <c r="AU148" i="13"/>
  <c r="AU144" i="13"/>
  <c r="AU140" i="13"/>
  <c r="AU136" i="13"/>
  <c r="AU132" i="13"/>
  <c r="AU235" i="13"/>
  <c r="AU227" i="13"/>
  <c r="AU223" i="13"/>
  <c r="AU196" i="13"/>
  <c r="AU191" i="13"/>
  <c r="AU243" i="13"/>
  <c r="AU224" i="13"/>
  <c r="AU219" i="13"/>
  <c r="AU192" i="13"/>
  <c r="AU187" i="13"/>
  <c r="AU183" i="13"/>
  <c r="AU179" i="13"/>
  <c r="AU175" i="13"/>
  <c r="AU171" i="13"/>
  <c r="AU167" i="13"/>
  <c r="AU276" i="13"/>
  <c r="AU264" i="13"/>
  <c r="AU220" i="13"/>
  <c r="AU215" i="13"/>
  <c r="AU236" i="13"/>
  <c r="AU228" i="13"/>
  <c r="AU216" i="13"/>
  <c r="AU211" i="13"/>
  <c r="AU147" i="13"/>
  <c r="AU127" i="13"/>
  <c r="AU67" i="13"/>
  <c r="AU59" i="13"/>
  <c r="AU52" i="13"/>
  <c r="AU45" i="13"/>
  <c r="AU37" i="13"/>
  <c r="AU31" i="13"/>
  <c r="AU23" i="13"/>
  <c r="AU17" i="13"/>
  <c r="AU170" i="13"/>
  <c r="AU151" i="13"/>
  <c r="AU112" i="13"/>
  <c r="AU111" i="13"/>
  <c r="AU110" i="13"/>
  <c r="AU97" i="13"/>
  <c r="AU93" i="13"/>
  <c r="AU89" i="13"/>
  <c r="AU85" i="13"/>
  <c r="AU81" i="13"/>
  <c r="AU77" i="13"/>
  <c r="AU73" i="13"/>
  <c r="AU122" i="13"/>
  <c r="AU69" i="13"/>
  <c r="AU62" i="13"/>
  <c r="AU54" i="13"/>
  <c r="AU48" i="13"/>
  <c r="AU40" i="13"/>
  <c r="AU34" i="13"/>
  <c r="AU26" i="13"/>
  <c r="AU163" i="13"/>
  <c r="AU154" i="13"/>
  <c r="AU128" i="13"/>
  <c r="AU186" i="13"/>
  <c r="AU123" i="13"/>
  <c r="AU116" i="13"/>
  <c r="AU115" i="13"/>
  <c r="AU114" i="13"/>
  <c r="AU65" i="13"/>
  <c r="AU57" i="13"/>
  <c r="AU51" i="13"/>
  <c r="AU248" i="13"/>
  <c r="AU212" i="13"/>
  <c r="AU96" i="13"/>
  <c r="AU92" i="13"/>
  <c r="AU88" i="13"/>
  <c r="AU84" i="13"/>
  <c r="AU80" i="13"/>
  <c r="AU76" i="13"/>
  <c r="AU284" i="13"/>
  <c r="AU166" i="13"/>
  <c r="AU72" i="13"/>
  <c r="AU68" i="13"/>
  <c r="AU60" i="13"/>
  <c r="AU46" i="13"/>
  <c r="AU38" i="13"/>
  <c r="AU32" i="13"/>
  <c r="AU24" i="13"/>
  <c r="AU207" i="13"/>
  <c r="AU155" i="13"/>
  <c r="AU124" i="13"/>
  <c r="AU239" i="13"/>
  <c r="AU158" i="13"/>
  <c r="AU119" i="13"/>
  <c r="AU231" i="13"/>
  <c r="AU178" i="13"/>
  <c r="AU134" i="13"/>
  <c r="AU130" i="13"/>
  <c r="AU71" i="13"/>
  <c r="AU66" i="13"/>
  <c r="AU138" i="13"/>
  <c r="AU120" i="13"/>
  <c r="AU104" i="13"/>
  <c r="AU103" i="13"/>
  <c r="AU102" i="13"/>
  <c r="AU174" i="13"/>
  <c r="AU142" i="13"/>
  <c r="AU131" i="13"/>
  <c r="AU159" i="13"/>
  <c r="AU146" i="13"/>
  <c r="AU135" i="13"/>
  <c r="AU98" i="13"/>
  <c r="AU94" i="13"/>
  <c r="AU90" i="13"/>
  <c r="AU86" i="13"/>
  <c r="AU82" i="13"/>
  <c r="AU78" i="13"/>
  <c r="AU74" i="13"/>
  <c r="AC4" i="13"/>
  <c r="AO5" i="13"/>
  <c r="AG7" i="13"/>
  <c r="N8" i="13"/>
  <c r="AS8" i="13"/>
  <c r="Y9" i="13"/>
  <c r="Q11" i="13"/>
  <c r="AW11" i="13"/>
  <c r="AC12" i="13"/>
  <c r="AQ13" i="13"/>
  <c r="W14" i="13"/>
  <c r="AS15" i="13"/>
  <c r="AA16" i="13"/>
  <c r="Q17" i="13"/>
  <c r="O18" i="13"/>
  <c r="N19" i="13"/>
  <c r="AI20" i="13"/>
  <c r="AC21" i="13"/>
  <c r="Q22" i="13"/>
  <c r="AM24" i="13"/>
  <c r="AE25" i="13"/>
  <c r="AC26" i="13"/>
  <c r="Q28" i="13"/>
  <c r="F34" i="17"/>
  <c r="E34" i="17"/>
  <c r="D34" i="17"/>
  <c r="C34" i="17"/>
  <c r="B34" i="17"/>
  <c r="A34" i="17"/>
  <c r="AO36" i="13"/>
  <c r="AM37" i="13"/>
  <c r="AO38" i="13"/>
  <c r="AW39" i="13"/>
  <c r="F50" i="17"/>
  <c r="E50" i="17"/>
  <c r="D50" i="17"/>
  <c r="C50" i="17"/>
  <c r="B50" i="17"/>
  <c r="A50" i="17"/>
  <c r="N46" i="13"/>
  <c r="AO47" i="13"/>
  <c r="S50" i="13"/>
  <c r="AE51" i="13"/>
  <c r="Q53" i="13"/>
  <c r="AE54" i="13"/>
  <c r="AU55" i="13"/>
  <c r="Q61" i="13"/>
  <c r="AI62" i="13"/>
  <c r="O64" i="13"/>
  <c r="AC67" i="13"/>
  <c r="AQ72" i="13"/>
  <c r="AI75" i="13"/>
  <c r="N78" i="13"/>
  <c r="AO80" i="13"/>
  <c r="AI83" i="13"/>
  <c r="N86" i="13"/>
  <c r="AO88" i="13"/>
  <c r="AI91" i="13"/>
  <c r="N94" i="13"/>
  <c r="AO96" i="13"/>
  <c r="AI99" i="13"/>
  <c r="F107" i="17"/>
  <c r="E107" i="17"/>
  <c r="D107" i="17"/>
  <c r="C107" i="17"/>
  <c r="B107" i="17"/>
  <c r="A107" i="17"/>
  <c r="AS106" i="13"/>
  <c r="Y117" i="13"/>
  <c r="AM120" i="13"/>
  <c r="AE125" i="13"/>
  <c r="AC152" i="13"/>
  <c r="S158" i="13"/>
  <c r="AE164" i="13"/>
  <c r="O178" i="13"/>
  <c r="AU252" i="13"/>
  <c r="D4" i="10"/>
  <c r="E20" i="2" s="1"/>
  <c r="D6" i="10"/>
  <c r="E20" i="4" s="1"/>
  <c r="N2" i="11"/>
  <c r="AM2" i="13"/>
  <c r="S3" i="13"/>
  <c r="AE4" i="13"/>
  <c r="B9" i="17"/>
  <c r="A9" i="17"/>
  <c r="F9" i="17"/>
  <c r="E9" i="17"/>
  <c r="D9" i="17"/>
  <c r="C9" i="17"/>
  <c r="AQ5" i="13"/>
  <c r="W6" i="13"/>
  <c r="AI7" i="13"/>
  <c r="O8" i="13"/>
  <c r="AU8" i="13"/>
  <c r="AA9" i="13"/>
  <c r="AM10" i="13"/>
  <c r="S11" i="13"/>
  <c r="AE12" i="13"/>
  <c r="F17" i="17"/>
  <c r="E17" i="17"/>
  <c r="D17" i="17"/>
  <c r="C17" i="17"/>
  <c r="A17" i="17"/>
  <c r="B17" i="17"/>
  <c r="AS13" i="13"/>
  <c r="Y14" i="13"/>
  <c r="AU15" i="13"/>
  <c r="AE16" i="13"/>
  <c r="S17" i="13"/>
  <c r="Q18" i="13"/>
  <c r="O19" i="13"/>
  <c r="AM20" i="13"/>
  <c r="AE21" i="13"/>
  <c r="S22" i="13"/>
  <c r="AO24" i="13"/>
  <c r="AO25" i="13"/>
  <c r="AE26" i="13"/>
  <c r="W27" i="13"/>
  <c r="S28" i="13"/>
  <c r="N30" i="13"/>
  <c r="F37" i="17"/>
  <c r="E37" i="17"/>
  <c r="D37" i="17"/>
  <c r="C37" i="17"/>
  <c r="B37" i="17"/>
  <c r="A37" i="17"/>
  <c r="F38" i="17"/>
  <c r="E38" i="17"/>
  <c r="D38" i="17"/>
  <c r="C38" i="17"/>
  <c r="B38" i="17"/>
  <c r="A38" i="17"/>
  <c r="N34" i="13"/>
  <c r="W35" i="13"/>
  <c r="AQ36" i="13"/>
  <c r="AQ38" i="13"/>
  <c r="E48" i="17"/>
  <c r="D48" i="17"/>
  <c r="C48" i="17"/>
  <c r="B48" i="17"/>
  <c r="A48" i="17"/>
  <c r="F48" i="17"/>
  <c r="Q45" i="13"/>
  <c r="AC46" i="13"/>
  <c r="AQ47" i="13"/>
  <c r="AG51" i="13"/>
  <c r="S53" i="13"/>
  <c r="AG54" i="13"/>
  <c r="AM58" i="13"/>
  <c r="S61" i="13"/>
  <c r="S64" i="13"/>
  <c r="AM65" i="13"/>
  <c r="AE67" i="13"/>
  <c r="O70" i="13"/>
  <c r="W78" i="13"/>
  <c r="W86" i="13"/>
  <c r="W94" i="13"/>
  <c r="N103" i="13"/>
  <c r="AU106" i="13"/>
  <c r="W110" i="13"/>
  <c r="Q114" i="13"/>
  <c r="AA117" i="13"/>
  <c r="AG125" i="13"/>
  <c r="AQ135" i="13"/>
  <c r="W141" i="13"/>
  <c r="AG146" i="13"/>
  <c r="AO172" i="13"/>
  <c r="C283" i="17"/>
  <c r="B283" i="17"/>
  <c r="A283" i="17"/>
  <c r="F283" i="17"/>
  <c r="E283" i="17"/>
  <c r="D283" i="17"/>
  <c r="N279" i="13"/>
  <c r="J8" i="5"/>
  <c r="A55" i="13"/>
  <c r="D55" i="13"/>
  <c r="A63" i="13"/>
  <c r="F29" i="13"/>
  <c r="D63" i="13"/>
  <c r="A18" i="7"/>
  <c r="Y48" i="7" s="1"/>
  <c r="E4" i="10"/>
  <c r="F20" i="2" s="1"/>
  <c r="E6" i="10"/>
  <c r="F20" i="4" s="1"/>
  <c r="Q301" i="13"/>
  <c r="Q297" i="13"/>
  <c r="Q293" i="13"/>
  <c r="Q289" i="13"/>
  <c r="Q285" i="13"/>
  <c r="Q281" i="13"/>
  <c r="Q277" i="13"/>
  <c r="Q273" i="13"/>
  <c r="Q269" i="13"/>
  <c r="Q265" i="13"/>
  <c r="Q261" i="13"/>
  <c r="Q257" i="13"/>
  <c r="Q253" i="13"/>
  <c r="Q249" i="13"/>
  <c r="Q245" i="13"/>
  <c r="Q241" i="13"/>
  <c r="Q237" i="13"/>
  <c r="Q233" i="13"/>
  <c r="Q229" i="13"/>
  <c r="Q225" i="13"/>
  <c r="Q221" i="13"/>
  <c r="Q217" i="13"/>
  <c r="Q213" i="13"/>
  <c r="Q209" i="13"/>
  <c r="Q205" i="13"/>
  <c r="Q201" i="13"/>
  <c r="Q197" i="13"/>
  <c r="Q193" i="13"/>
  <c r="Q300" i="13"/>
  <c r="Q296" i="13"/>
  <c r="Q292" i="13"/>
  <c r="Q288" i="13"/>
  <c r="Q284" i="13"/>
  <c r="Q280" i="13"/>
  <c r="Q276" i="13"/>
  <c r="Q272" i="13"/>
  <c r="Q268" i="13"/>
  <c r="Q264" i="13"/>
  <c r="Q260" i="13"/>
  <c r="Q256" i="13"/>
  <c r="Q252" i="13"/>
  <c r="Q248" i="13"/>
  <c r="Q244" i="13"/>
  <c r="Q240" i="13"/>
  <c r="Q236" i="13"/>
  <c r="Q232" i="13"/>
  <c r="Q228" i="13"/>
  <c r="Q224" i="13"/>
  <c r="Q220" i="13"/>
  <c r="Q216" i="13"/>
  <c r="Q212" i="13"/>
  <c r="Q208" i="13"/>
  <c r="Q204" i="13"/>
  <c r="Q200" i="13"/>
  <c r="Q196" i="13"/>
  <c r="Q192" i="13"/>
  <c r="Q299" i="13"/>
  <c r="Q295" i="13"/>
  <c r="Q291" i="13"/>
  <c r="Q287" i="13"/>
  <c r="Q283" i="13"/>
  <c r="Q279" i="13"/>
  <c r="Q275" i="13"/>
  <c r="Q271" i="13"/>
  <c r="Q267" i="13"/>
  <c r="Q263" i="13"/>
  <c r="Q259" i="13"/>
  <c r="Q255" i="13"/>
  <c r="Q251" i="13"/>
  <c r="Q247" i="13"/>
  <c r="Q243" i="13"/>
  <c r="Q239" i="13"/>
  <c r="Q235" i="13"/>
  <c r="Q231" i="13"/>
  <c r="Q223" i="13"/>
  <c r="Q218" i="13"/>
  <c r="Q190" i="13"/>
  <c r="Q238" i="13"/>
  <c r="Q230" i="13"/>
  <c r="Q191" i="13"/>
  <c r="Q189" i="13"/>
  <c r="Q185" i="13"/>
  <c r="Q181" i="13"/>
  <c r="Q177" i="13"/>
  <c r="Q173" i="13"/>
  <c r="Q169" i="13"/>
  <c r="Q165" i="13"/>
  <c r="Q161" i="13"/>
  <c r="Q157" i="13"/>
  <c r="Q153" i="13"/>
  <c r="Q149" i="13"/>
  <c r="Q145" i="13"/>
  <c r="Q141" i="13"/>
  <c r="Q137" i="13"/>
  <c r="Q133" i="13"/>
  <c r="Q129" i="13"/>
  <c r="Q125" i="13"/>
  <c r="Q121" i="13"/>
  <c r="Q117" i="13"/>
  <c r="Q113" i="13"/>
  <c r="Q109" i="13"/>
  <c r="Q105" i="13"/>
  <c r="Q101" i="13"/>
  <c r="Q298" i="13"/>
  <c r="Q219" i="13"/>
  <c r="Q214" i="13"/>
  <c r="Q294" i="13"/>
  <c r="Q266" i="13"/>
  <c r="Q290" i="13"/>
  <c r="Q278" i="13"/>
  <c r="Q215" i="13"/>
  <c r="Q210" i="13"/>
  <c r="Q250" i="13"/>
  <c r="Q246" i="13"/>
  <c r="Q188" i="13"/>
  <c r="Q184" i="13"/>
  <c r="Q180" i="13"/>
  <c r="Q176" i="13"/>
  <c r="Q172" i="13"/>
  <c r="Q168" i="13"/>
  <c r="Q164" i="13"/>
  <c r="Q160" i="13"/>
  <c r="Q156" i="13"/>
  <c r="Q152" i="13"/>
  <c r="Q254" i="13"/>
  <c r="Q211" i="13"/>
  <c r="Q206" i="13"/>
  <c r="Q286" i="13"/>
  <c r="Q270" i="13"/>
  <c r="Q258" i="13"/>
  <c r="Q242" i="13"/>
  <c r="Q234" i="13"/>
  <c r="Q187" i="13"/>
  <c r="Q183" i="13"/>
  <c r="Q179" i="13"/>
  <c r="Q203" i="13"/>
  <c r="Q198" i="13"/>
  <c r="Q226" i="13"/>
  <c r="Q274" i="13"/>
  <c r="Q158" i="13"/>
  <c r="Q124" i="13"/>
  <c r="Q97" i="13"/>
  <c r="Q93" i="13"/>
  <c r="Q89" i="13"/>
  <c r="Q85" i="13"/>
  <c r="Q81" i="13"/>
  <c r="Q77" i="13"/>
  <c r="Q73" i="13"/>
  <c r="Q69" i="13"/>
  <c r="Q62" i="13"/>
  <c r="Q54" i="13"/>
  <c r="Q48" i="13"/>
  <c r="Q40" i="13"/>
  <c r="Q34" i="13"/>
  <c r="Q26" i="13"/>
  <c r="Q174" i="13"/>
  <c r="Q167" i="13"/>
  <c r="Q134" i="13"/>
  <c r="Q118" i="13"/>
  <c r="Q182" i="13"/>
  <c r="Q138" i="13"/>
  <c r="Q130" i="13"/>
  <c r="Q119" i="13"/>
  <c r="Q65" i="13"/>
  <c r="Q57" i="13"/>
  <c r="Q51" i="13"/>
  <c r="Q43" i="13"/>
  <c r="Q29" i="13"/>
  <c r="Q21" i="13"/>
  <c r="Q15" i="13"/>
  <c r="Q159" i="13"/>
  <c r="Q142" i="13"/>
  <c r="Q120" i="13"/>
  <c r="Q100" i="13"/>
  <c r="Q96" i="13"/>
  <c r="Q92" i="13"/>
  <c r="Q88" i="13"/>
  <c r="Q84" i="13"/>
  <c r="Q80" i="13"/>
  <c r="Q76" i="13"/>
  <c r="Q222" i="13"/>
  <c r="Q146" i="13"/>
  <c r="Q135" i="13"/>
  <c r="Q131" i="13"/>
  <c r="Q72" i="13"/>
  <c r="Q68" i="13"/>
  <c r="Q60" i="13"/>
  <c r="Q46" i="13"/>
  <c r="Q38" i="13"/>
  <c r="Q227" i="13"/>
  <c r="Q199" i="13"/>
  <c r="Q162" i="13"/>
  <c r="Q150" i="13"/>
  <c r="Q139" i="13"/>
  <c r="Q104" i="13"/>
  <c r="Q103" i="13"/>
  <c r="Q102" i="13"/>
  <c r="Q195" i="13"/>
  <c r="Q170" i="13"/>
  <c r="Q143" i="13"/>
  <c r="Q126" i="13"/>
  <c r="Q63" i="13"/>
  <c r="Q55" i="13"/>
  <c r="Q49" i="13"/>
  <c r="Q41" i="13"/>
  <c r="Q207" i="13"/>
  <c r="Q186" i="13"/>
  <c r="Q175" i="13"/>
  <c r="Q147" i="13"/>
  <c r="Q282" i="13"/>
  <c r="Q151" i="13"/>
  <c r="Q132" i="13"/>
  <c r="Q127" i="13"/>
  <c r="Q202" i="13"/>
  <c r="Q163" i="13"/>
  <c r="Q154" i="13"/>
  <c r="Q136" i="13"/>
  <c r="Q194" i="13"/>
  <c r="Q140" i="13"/>
  <c r="Q122" i="13"/>
  <c r="Q166" i="13"/>
  <c r="Q144" i="13"/>
  <c r="Q128" i="13"/>
  <c r="Q112" i="13"/>
  <c r="Q111" i="13"/>
  <c r="Q110" i="13"/>
  <c r="Q98" i="13"/>
  <c r="Q94" i="13"/>
  <c r="Q90" i="13"/>
  <c r="Q86" i="13"/>
  <c r="Q82" i="13"/>
  <c r="Q78" i="13"/>
  <c r="Q74" i="13"/>
  <c r="Q262" i="13"/>
  <c r="Q171" i="13"/>
  <c r="Q148" i="13"/>
  <c r="Q123" i="13"/>
  <c r="Q70" i="13"/>
  <c r="Q64" i="13"/>
  <c r="Q56" i="13"/>
  <c r="Q50" i="13"/>
  <c r="AG299" i="13"/>
  <c r="AG295" i="13"/>
  <c r="AG291" i="13"/>
  <c r="AG287" i="13"/>
  <c r="AG283" i="13"/>
  <c r="AG279" i="13"/>
  <c r="AG275" i="13"/>
  <c r="AG271" i="13"/>
  <c r="AG267" i="13"/>
  <c r="AG263" i="13"/>
  <c r="AG259" i="13"/>
  <c r="AG255" i="13"/>
  <c r="AG251" i="13"/>
  <c r="AG247" i="13"/>
  <c r="AG243" i="13"/>
  <c r="AG239" i="13"/>
  <c r="AG235" i="13"/>
  <c r="AG231" i="13"/>
  <c r="AG227" i="13"/>
  <c r="AG223" i="13"/>
  <c r="AG219" i="13"/>
  <c r="AG215" i="13"/>
  <c r="AG211" i="13"/>
  <c r="AG207" i="13"/>
  <c r="AG203" i="13"/>
  <c r="AG199" i="13"/>
  <c r="AG195" i="13"/>
  <c r="AG191" i="13"/>
  <c r="AG298" i="13"/>
  <c r="AG294" i="13"/>
  <c r="AG290" i="13"/>
  <c r="AG286" i="13"/>
  <c r="AG282" i="13"/>
  <c r="AG278" i="13"/>
  <c r="AG274" i="13"/>
  <c r="AG270" i="13"/>
  <c r="AG266" i="13"/>
  <c r="AG262" i="13"/>
  <c r="AG258" i="13"/>
  <c r="AG254" i="13"/>
  <c r="AG250" i="13"/>
  <c r="AG246" i="13"/>
  <c r="AG242" i="13"/>
  <c r="AG238" i="13"/>
  <c r="AG234" i="13"/>
  <c r="AG230" i="13"/>
  <c r="AG226" i="13"/>
  <c r="AG222" i="13"/>
  <c r="AG218" i="13"/>
  <c r="AG214" i="13"/>
  <c r="AG210" i="13"/>
  <c r="AG206" i="13"/>
  <c r="AG202" i="13"/>
  <c r="AG198" i="13"/>
  <c r="AG194" i="13"/>
  <c r="AG190" i="13"/>
  <c r="AG301" i="13"/>
  <c r="AG297" i="13"/>
  <c r="AG293" i="13"/>
  <c r="AG289" i="13"/>
  <c r="AG285" i="13"/>
  <c r="AG281" i="13"/>
  <c r="AG277" i="13"/>
  <c r="AG273" i="13"/>
  <c r="AG269" i="13"/>
  <c r="AG265" i="13"/>
  <c r="AG261" i="13"/>
  <c r="AG257" i="13"/>
  <c r="AG253" i="13"/>
  <c r="AG249" i="13"/>
  <c r="AG245" i="13"/>
  <c r="AG241" i="13"/>
  <c r="AG237" i="13"/>
  <c r="AG233" i="13"/>
  <c r="AG229" i="13"/>
  <c r="AG224" i="13"/>
  <c r="AG197" i="13"/>
  <c r="AG192" i="13"/>
  <c r="AG284" i="13"/>
  <c r="AG236" i="13"/>
  <c r="AG228" i="13"/>
  <c r="AG187" i="13"/>
  <c r="AG183" i="13"/>
  <c r="AG179" i="13"/>
  <c r="AG175" i="13"/>
  <c r="AG171" i="13"/>
  <c r="AG167" i="13"/>
  <c r="AG163" i="13"/>
  <c r="AG159" i="13"/>
  <c r="AG155" i="13"/>
  <c r="AG151" i="13"/>
  <c r="AG147" i="13"/>
  <c r="AG143" i="13"/>
  <c r="AG139" i="13"/>
  <c r="AG135" i="13"/>
  <c r="AG131" i="13"/>
  <c r="AG127" i="13"/>
  <c r="AG123" i="13"/>
  <c r="AG119" i="13"/>
  <c r="AG115" i="13"/>
  <c r="AG111" i="13"/>
  <c r="AG107" i="13"/>
  <c r="AG103" i="13"/>
  <c r="AG248" i="13"/>
  <c r="AG225" i="13"/>
  <c r="AG220" i="13"/>
  <c r="AG193" i="13"/>
  <c r="AG268" i="13"/>
  <c r="AG252" i="13"/>
  <c r="AG256" i="13"/>
  <c r="AG244" i="13"/>
  <c r="AG221" i="13"/>
  <c r="AG216" i="13"/>
  <c r="AG186" i="13"/>
  <c r="AG182" i="13"/>
  <c r="AG178" i="13"/>
  <c r="AG174" i="13"/>
  <c r="AG170" i="13"/>
  <c r="AG166" i="13"/>
  <c r="AG162" i="13"/>
  <c r="AG158" i="13"/>
  <c r="AG154" i="13"/>
  <c r="AG217" i="13"/>
  <c r="AG212" i="13"/>
  <c r="AG280" i="13"/>
  <c r="AG300" i="13"/>
  <c r="AG272" i="13"/>
  <c r="AG296" i="13"/>
  <c r="AG260" i="13"/>
  <c r="AG240" i="13"/>
  <c r="AG232" i="13"/>
  <c r="AG185" i="13"/>
  <c r="AG181" i="13"/>
  <c r="AG177" i="13"/>
  <c r="AG292" i="13"/>
  <c r="AG209" i="13"/>
  <c r="AG204" i="13"/>
  <c r="AG189" i="13"/>
  <c r="AG288" i="13"/>
  <c r="AG205" i="13"/>
  <c r="AG276" i="13"/>
  <c r="AG150" i="13"/>
  <c r="AG126" i="13"/>
  <c r="AG99" i="13"/>
  <c r="AG95" i="13"/>
  <c r="AG91" i="13"/>
  <c r="AG87" i="13"/>
  <c r="AG83" i="13"/>
  <c r="AG79" i="13"/>
  <c r="AG75" i="13"/>
  <c r="AG200" i="13"/>
  <c r="AG196" i="13"/>
  <c r="AG165" i="13"/>
  <c r="AG120" i="13"/>
  <c r="AG106" i="13"/>
  <c r="AG71" i="13"/>
  <c r="AG66" i="13"/>
  <c r="AG58" i="13"/>
  <c r="AG44" i="13"/>
  <c r="AG36" i="13"/>
  <c r="AG30" i="13"/>
  <c r="AG22" i="13"/>
  <c r="AG16" i="13"/>
  <c r="AG172" i="13"/>
  <c r="AG156" i="13"/>
  <c r="AG121" i="13"/>
  <c r="AG105" i="13"/>
  <c r="AG104" i="13"/>
  <c r="AG213" i="13"/>
  <c r="AG208" i="13"/>
  <c r="AG61" i="13"/>
  <c r="AG53" i="13"/>
  <c r="AG47" i="13"/>
  <c r="AG39" i="13"/>
  <c r="AG33" i="13"/>
  <c r="AG25" i="13"/>
  <c r="AG18" i="13"/>
  <c r="AG184" i="13"/>
  <c r="AG122" i="13"/>
  <c r="AG110" i="13"/>
  <c r="AG98" i="13"/>
  <c r="AG94" i="13"/>
  <c r="AG90" i="13"/>
  <c r="AG86" i="13"/>
  <c r="AG82" i="13"/>
  <c r="AG78" i="13"/>
  <c r="AG74" i="13"/>
  <c r="AG157" i="13"/>
  <c r="AG109" i="13"/>
  <c r="AG108" i="13"/>
  <c r="AG70" i="13"/>
  <c r="AG64" i="13"/>
  <c r="AG56" i="13"/>
  <c r="AG50" i="13"/>
  <c r="AG42" i="13"/>
  <c r="AG35" i="13"/>
  <c r="AG132" i="13"/>
  <c r="AG173" i="13"/>
  <c r="AG168" i="13"/>
  <c r="AG136" i="13"/>
  <c r="AG114" i="13"/>
  <c r="AG67" i="13"/>
  <c r="AG59" i="13"/>
  <c r="AG52" i="13"/>
  <c r="AG45" i="13"/>
  <c r="AG37" i="13"/>
  <c r="AG31" i="13"/>
  <c r="AG264" i="13"/>
  <c r="AG160" i="13"/>
  <c r="AG140" i="13"/>
  <c r="AG188" i="13"/>
  <c r="AG144" i="13"/>
  <c r="AG137" i="13"/>
  <c r="AG128" i="13"/>
  <c r="AG148" i="13"/>
  <c r="AG141" i="13"/>
  <c r="AG129" i="13"/>
  <c r="AG118" i="13"/>
  <c r="AG161" i="13"/>
  <c r="AG145" i="13"/>
  <c r="AG117" i="13"/>
  <c r="AG116" i="13"/>
  <c r="AG65" i="13"/>
  <c r="AG169" i="13"/>
  <c r="AG152" i="13"/>
  <c r="AG149" i="13"/>
  <c r="AG134" i="13"/>
  <c r="AG130" i="13"/>
  <c r="AG96" i="13"/>
  <c r="AG92" i="13"/>
  <c r="AG88" i="13"/>
  <c r="AG84" i="13"/>
  <c r="AG80" i="13"/>
  <c r="AG76" i="13"/>
  <c r="AG201" i="13"/>
  <c r="AG176" i="13"/>
  <c r="AG138" i="13"/>
  <c r="AG124" i="13"/>
  <c r="AG72" i="13"/>
  <c r="AG68" i="13"/>
  <c r="AG60" i="13"/>
  <c r="AW301" i="13"/>
  <c r="AW297" i="13"/>
  <c r="AW293" i="13"/>
  <c r="AW289" i="13"/>
  <c r="AW285" i="13"/>
  <c r="AW281" i="13"/>
  <c r="AW277" i="13"/>
  <c r="AW273" i="13"/>
  <c r="AW269" i="13"/>
  <c r="AW265" i="13"/>
  <c r="AW261" i="13"/>
  <c r="AW257" i="13"/>
  <c r="AW253" i="13"/>
  <c r="AW249" i="13"/>
  <c r="AW245" i="13"/>
  <c r="AW241" i="13"/>
  <c r="AW237" i="13"/>
  <c r="AW233" i="13"/>
  <c r="AW229" i="13"/>
  <c r="AW225" i="13"/>
  <c r="AW221" i="13"/>
  <c r="AW217" i="13"/>
  <c r="AW213" i="13"/>
  <c r="AW209" i="13"/>
  <c r="AW205" i="13"/>
  <c r="AW201" i="13"/>
  <c r="AW197" i="13"/>
  <c r="AW193" i="13"/>
  <c r="AW300" i="13"/>
  <c r="AW296" i="13"/>
  <c r="AW292" i="13"/>
  <c r="AW288" i="13"/>
  <c r="AW284" i="13"/>
  <c r="AW280" i="13"/>
  <c r="AW276" i="13"/>
  <c r="AW272" i="13"/>
  <c r="AW268" i="13"/>
  <c r="AW264" i="13"/>
  <c r="AW260" i="13"/>
  <c r="AW256" i="13"/>
  <c r="AW252" i="13"/>
  <c r="AW248" i="13"/>
  <c r="AW244" i="13"/>
  <c r="AW240" i="13"/>
  <c r="AW236" i="13"/>
  <c r="AW232" i="13"/>
  <c r="AW228" i="13"/>
  <c r="AW224" i="13"/>
  <c r="AW220" i="13"/>
  <c r="AW216" i="13"/>
  <c r="AW212" i="13"/>
  <c r="AW208" i="13"/>
  <c r="AW204" i="13"/>
  <c r="AW200" i="13"/>
  <c r="AW196" i="13"/>
  <c r="AW192" i="13"/>
  <c r="AW299" i="13"/>
  <c r="AW295" i="13"/>
  <c r="AW291" i="13"/>
  <c r="AW287" i="13"/>
  <c r="AW283" i="13"/>
  <c r="AW279" i="13"/>
  <c r="AW275" i="13"/>
  <c r="AW271" i="13"/>
  <c r="AW267" i="13"/>
  <c r="AW263" i="13"/>
  <c r="AW259" i="13"/>
  <c r="AW255" i="13"/>
  <c r="AW251" i="13"/>
  <c r="AW247" i="13"/>
  <c r="AW243" i="13"/>
  <c r="AW239" i="13"/>
  <c r="AW235" i="13"/>
  <c r="AW231" i="13"/>
  <c r="AW227" i="13"/>
  <c r="AW294" i="13"/>
  <c r="AW278" i="13"/>
  <c r="AW254" i="13"/>
  <c r="AW203" i="13"/>
  <c r="AW198" i="13"/>
  <c r="AW290" i="13"/>
  <c r="AW234" i="13"/>
  <c r="AW185" i="13"/>
  <c r="AW181" i="13"/>
  <c r="AW177" i="13"/>
  <c r="AW173" i="13"/>
  <c r="AW169" i="13"/>
  <c r="AW165" i="13"/>
  <c r="AW161" i="13"/>
  <c r="AW157" i="13"/>
  <c r="AW153" i="13"/>
  <c r="AW149" i="13"/>
  <c r="AW145" i="13"/>
  <c r="AW141" i="13"/>
  <c r="AW137" i="13"/>
  <c r="AW133" i="13"/>
  <c r="AW129" i="13"/>
  <c r="AW125" i="13"/>
  <c r="AW121" i="13"/>
  <c r="AW117" i="13"/>
  <c r="AW113" i="13"/>
  <c r="AW109" i="13"/>
  <c r="AW105" i="13"/>
  <c r="AW101" i="13"/>
  <c r="AW242" i="13"/>
  <c r="AW226" i="13"/>
  <c r="AW199" i="13"/>
  <c r="AW194" i="13"/>
  <c r="AW270" i="13"/>
  <c r="AW189" i="13"/>
  <c r="AW286" i="13"/>
  <c r="AW258" i="13"/>
  <c r="AW222" i="13"/>
  <c r="AW195" i="13"/>
  <c r="AW190" i="13"/>
  <c r="AW188" i="13"/>
  <c r="AW184" i="13"/>
  <c r="AW180" i="13"/>
  <c r="AW176" i="13"/>
  <c r="AW172" i="13"/>
  <c r="AW168" i="13"/>
  <c r="AW164" i="13"/>
  <c r="AW160" i="13"/>
  <c r="AW156" i="13"/>
  <c r="AW152" i="13"/>
  <c r="AW223" i="13"/>
  <c r="AW218" i="13"/>
  <c r="AW191" i="13"/>
  <c r="AW274" i="13"/>
  <c r="AW262" i="13"/>
  <c r="AW238" i="13"/>
  <c r="AW230" i="13"/>
  <c r="AW187" i="13"/>
  <c r="AW183" i="13"/>
  <c r="AW179" i="13"/>
  <c r="AW282" i="13"/>
  <c r="AW215" i="13"/>
  <c r="AW210" i="13"/>
  <c r="AW211" i="13"/>
  <c r="AW206" i="13"/>
  <c r="AW170" i="13"/>
  <c r="AW151" i="13"/>
  <c r="AW132" i="13"/>
  <c r="AW112" i="13"/>
  <c r="AW111" i="13"/>
  <c r="AW110" i="13"/>
  <c r="AW97" i="13"/>
  <c r="AW93" i="13"/>
  <c r="AW89" i="13"/>
  <c r="AW85" i="13"/>
  <c r="AW81" i="13"/>
  <c r="AW77" i="13"/>
  <c r="AW73" i="13"/>
  <c r="AW175" i="13"/>
  <c r="AW136" i="13"/>
  <c r="AW122" i="13"/>
  <c r="AW69" i="13"/>
  <c r="AW62" i="13"/>
  <c r="AW54" i="13"/>
  <c r="AW48" i="13"/>
  <c r="AW40" i="13"/>
  <c r="AW34" i="13"/>
  <c r="AW26" i="13"/>
  <c r="AW250" i="13"/>
  <c r="AW163" i="13"/>
  <c r="AW154" i="13"/>
  <c r="AW140" i="13"/>
  <c r="AW128" i="13"/>
  <c r="AW298" i="13"/>
  <c r="AW186" i="13"/>
  <c r="AW144" i="13"/>
  <c r="AW123" i="13"/>
  <c r="AW116" i="13"/>
  <c r="AW115" i="13"/>
  <c r="AW114" i="13"/>
  <c r="AW65" i="13"/>
  <c r="AW57" i="13"/>
  <c r="AW51" i="13"/>
  <c r="AW43" i="13"/>
  <c r="AW29" i="13"/>
  <c r="AW21" i="13"/>
  <c r="AW15" i="13"/>
  <c r="AW266" i="13"/>
  <c r="AW148" i="13"/>
  <c r="AW96" i="13"/>
  <c r="AW92" i="13"/>
  <c r="AW88" i="13"/>
  <c r="AW84" i="13"/>
  <c r="AW80" i="13"/>
  <c r="AW76" i="13"/>
  <c r="AW166" i="13"/>
  <c r="AW72" i="13"/>
  <c r="AW68" i="13"/>
  <c r="AW60" i="13"/>
  <c r="AW46" i="13"/>
  <c r="AW38" i="13"/>
  <c r="AW207" i="13"/>
  <c r="AW171" i="13"/>
  <c r="AW155" i="13"/>
  <c r="AW124" i="13"/>
  <c r="AW118" i="13"/>
  <c r="AW100" i="13"/>
  <c r="AW63" i="13"/>
  <c r="AW55" i="13"/>
  <c r="AW49" i="13"/>
  <c r="AW41" i="13"/>
  <c r="AW202" i="13"/>
  <c r="AW158" i="13"/>
  <c r="AW178" i="13"/>
  <c r="AW134" i="13"/>
  <c r="AW130" i="13"/>
  <c r="AW246" i="13"/>
  <c r="AW138" i="13"/>
  <c r="AW120" i="13"/>
  <c r="AW104" i="13"/>
  <c r="AW103" i="13"/>
  <c r="AW102" i="13"/>
  <c r="AW174" i="13"/>
  <c r="AW167" i="13"/>
  <c r="AW142" i="13"/>
  <c r="AW131" i="13"/>
  <c r="AW159" i="13"/>
  <c r="AW146" i="13"/>
  <c r="AW135" i="13"/>
  <c r="AW98" i="13"/>
  <c r="AW94" i="13"/>
  <c r="AW90" i="13"/>
  <c r="AW86" i="13"/>
  <c r="AW82" i="13"/>
  <c r="AW78" i="13"/>
  <c r="AW74" i="13"/>
  <c r="AW219" i="13"/>
  <c r="AW150" i="13"/>
  <c r="AW139" i="13"/>
  <c r="AW126" i="13"/>
  <c r="AW108" i="13"/>
  <c r="AW107" i="13"/>
  <c r="AW106" i="13"/>
  <c r="AW70" i="13"/>
  <c r="AW64" i="13"/>
  <c r="AW56" i="13"/>
  <c r="AW50" i="13"/>
  <c r="AO2" i="13"/>
  <c r="AG4" i="13"/>
  <c r="N5" i="13"/>
  <c r="AS5" i="13"/>
  <c r="Y6" i="13"/>
  <c r="Q8" i="13"/>
  <c r="AW8" i="13"/>
  <c r="AC9" i="13"/>
  <c r="AO10" i="13"/>
  <c r="AG12" i="13"/>
  <c r="N13" i="13"/>
  <c r="AU13" i="13"/>
  <c r="AA14" i="13"/>
  <c r="F19" i="17"/>
  <c r="E19" i="17"/>
  <c r="D19" i="17"/>
  <c r="C19" i="17"/>
  <c r="B19" i="17"/>
  <c r="A19" i="17"/>
  <c r="S18" i="13"/>
  <c r="Q19" i="13"/>
  <c r="AS20" i="13"/>
  <c r="AG21" i="13"/>
  <c r="AQ24" i="13"/>
  <c r="AQ25" i="13"/>
  <c r="AG26" i="13"/>
  <c r="AG27" i="13"/>
  <c r="O29" i="13"/>
  <c r="O30" i="13"/>
  <c r="Q31" i="13"/>
  <c r="N33" i="13"/>
  <c r="Y35" i="13"/>
  <c r="AS36" i="13"/>
  <c r="A38" i="13"/>
  <c r="A39" i="13"/>
  <c r="O42" i="13"/>
  <c r="S45" i="13"/>
  <c r="AE46" i="13"/>
  <c r="AU47" i="13"/>
  <c r="W50" i="13"/>
  <c r="AI51" i="13"/>
  <c r="AI54" i="13"/>
  <c r="Y57" i="13"/>
  <c r="AQ58" i="13"/>
  <c r="C63" i="13"/>
  <c r="AW67" i="13"/>
  <c r="Y70" i="13"/>
  <c r="AU75" i="13"/>
  <c r="Y78" i="13"/>
  <c r="AU83" i="13"/>
  <c r="Y86" i="13"/>
  <c r="AU91" i="13"/>
  <c r="Y94" i="13"/>
  <c r="AU99" i="13"/>
  <c r="AM103" i="13"/>
  <c r="Y110" i="13"/>
  <c r="S114" i="13"/>
  <c r="Y130" i="13"/>
  <c r="AS135" i="13"/>
  <c r="Y141" i="13"/>
  <c r="AS146" i="13"/>
  <c r="AG153" i="13"/>
  <c r="AQ172" i="13"/>
  <c r="AS196" i="13"/>
  <c r="F6" i="5"/>
  <c r="E7" i="5"/>
  <c r="B17" i="7" s="1"/>
  <c r="X7" i="5"/>
  <c r="F4" i="10"/>
  <c r="G20" i="2" s="1"/>
  <c r="F6" i="10"/>
  <c r="G20" i="4" s="1"/>
  <c r="F6" i="17"/>
  <c r="E6" i="17"/>
  <c r="D6" i="17"/>
  <c r="C6" i="17"/>
  <c r="B6" i="17"/>
  <c r="A6" i="17"/>
  <c r="AQ2" i="13"/>
  <c r="W3" i="13"/>
  <c r="AI4" i="13"/>
  <c r="O5" i="13"/>
  <c r="AU5" i="13"/>
  <c r="AA6" i="13"/>
  <c r="AM7" i="13"/>
  <c r="S8" i="13"/>
  <c r="AE9" i="13"/>
  <c r="F14" i="17"/>
  <c r="E14" i="17"/>
  <c r="D14" i="17"/>
  <c r="C14" i="17"/>
  <c r="B14" i="17"/>
  <c r="A14" i="17"/>
  <c r="AQ10" i="13"/>
  <c r="W11" i="13"/>
  <c r="AI12" i="13"/>
  <c r="O13" i="13"/>
  <c r="AW13" i="13"/>
  <c r="AC14" i="13"/>
  <c r="N15" i="13"/>
  <c r="AM16" i="13"/>
  <c r="W17" i="13"/>
  <c r="S19" i="13"/>
  <c r="AU20" i="13"/>
  <c r="AI21" i="13"/>
  <c r="W22" i="13"/>
  <c r="Q23" i="13"/>
  <c r="AS24" i="13"/>
  <c r="AS25" i="13"/>
  <c r="AI26" i="13"/>
  <c r="AI27" i="13"/>
  <c r="W28" i="13"/>
  <c r="Y29" i="13"/>
  <c r="Q30" i="13"/>
  <c r="S31" i="13"/>
  <c r="A36" i="17"/>
  <c r="F36" i="17"/>
  <c r="E36" i="17"/>
  <c r="D36" i="17"/>
  <c r="C36" i="17"/>
  <c r="B36" i="17"/>
  <c r="N32" i="13"/>
  <c r="O33" i="13"/>
  <c r="W34" i="13"/>
  <c r="AA35" i="13"/>
  <c r="AU36" i="13"/>
  <c r="B38" i="13"/>
  <c r="F39" i="13"/>
  <c r="D45" i="17"/>
  <c r="C45" i="17"/>
  <c r="B45" i="17"/>
  <c r="A45" i="17"/>
  <c r="F45" i="17"/>
  <c r="E45" i="17"/>
  <c r="Q42" i="13"/>
  <c r="O44" i="13"/>
  <c r="AG46" i="13"/>
  <c r="AW47" i="13"/>
  <c r="F53" i="17"/>
  <c r="E53" i="17"/>
  <c r="D53" i="17"/>
  <c r="C53" i="17"/>
  <c r="B53" i="17"/>
  <c r="A53" i="17"/>
  <c r="Y50" i="13"/>
  <c r="W53" i="13"/>
  <c r="B55" i="13"/>
  <c r="O56" i="13"/>
  <c r="AA57" i="13"/>
  <c r="AS58" i="13"/>
  <c r="W61" i="13"/>
  <c r="E63" i="13"/>
  <c r="Y64" i="13"/>
  <c r="AA70" i="13"/>
  <c r="S73" i="13"/>
  <c r="AW75" i="13"/>
  <c r="AQ78" i="13"/>
  <c r="S81" i="13"/>
  <c r="AW83" i="13"/>
  <c r="AQ86" i="13"/>
  <c r="S89" i="13"/>
  <c r="AW91" i="13"/>
  <c r="AQ94" i="13"/>
  <c r="AW99" i="13"/>
  <c r="AO103" i="13"/>
  <c r="Q107" i="13"/>
  <c r="B115" i="17"/>
  <c r="A115" i="17"/>
  <c r="F115" i="17"/>
  <c r="E115" i="17"/>
  <c r="D115" i="17"/>
  <c r="C115" i="17"/>
  <c r="AC114" i="13"/>
  <c r="AM117" i="13"/>
  <c r="AO121" i="13"/>
  <c r="AA130" i="13"/>
  <c r="AQ159" i="13"/>
  <c r="AM187" i="13"/>
  <c r="S301" i="13"/>
  <c r="S297" i="13"/>
  <c r="S293" i="13"/>
  <c r="S289" i="13"/>
  <c r="S285" i="13"/>
  <c r="S281" i="13"/>
  <c r="S277" i="13"/>
  <c r="S273" i="13"/>
  <c r="S269" i="13"/>
  <c r="S265" i="13"/>
  <c r="S261" i="13"/>
  <c r="S257" i="13"/>
  <c r="S253" i="13"/>
  <c r="S249" i="13"/>
  <c r="S245" i="13"/>
  <c r="S299" i="13"/>
  <c r="S295" i="13"/>
  <c r="S291" i="13"/>
  <c r="S287" i="13"/>
  <c r="S283" i="13"/>
  <c r="S279" i="13"/>
  <c r="S275" i="13"/>
  <c r="S271" i="13"/>
  <c r="S267" i="13"/>
  <c r="S263" i="13"/>
  <c r="S259" i="13"/>
  <c r="S238" i="13"/>
  <c r="S230" i="13"/>
  <c r="S196" i="13"/>
  <c r="S191" i="13"/>
  <c r="S189" i="13"/>
  <c r="S185" i="13"/>
  <c r="S181" i="13"/>
  <c r="S177" i="13"/>
  <c r="S173" i="13"/>
  <c r="S169" i="13"/>
  <c r="S165" i="13"/>
  <c r="S161" i="13"/>
  <c r="S157" i="13"/>
  <c r="S153" i="13"/>
  <c r="S149" i="13"/>
  <c r="S145" i="13"/>
  <c r="S141" i="13"/>
  <c r="S137" i="13"/>
  <c r="S133" i="13"/>
  <c r="S129" i="13"/>
  <c r="S125" i="13"/>
  <c r="S121" i="13"/>
  <c r="S117" i="13"/>
  <c r="S113" i="13"/>
  <c r="S109" i="13"/>
  <c r="S105" i="13"/>
  <c r="S101" i="13"/>
  <c r="S298" i="13"/>
  <c r="S219" i="13"/>
  <c r="S214" i="13"/>
  <c r="S205" i="13"/>
  <c r="S294" i="13"/>
  <c r="S284" i="13"/>
  <c r="S266" i="13"/>
  <c r="S241" i="13"/>
  <c r="S233" i="13"/>
  <c r="S224" i="13"/>
  <c r="S192" i="13"/>
  <c r="S290" i="13"/>
  <c r="S278" i="13"/>
  <c r="S248" i="13"/>
  <c r="S236" i="13"/>
  <c r="S228" i="13"/>
  <c r="S215" i="13"/>
  <c r="S210" i="13"/>
  <c r="S201" i="13"/>
  <c r="S268" i="13"/>
  <c r="S252" i="13"/>
  <c r="S250" i="13"/>
  <c r="S246" i="13"/>
  <c r="S220" i="13"/>
  <c r="S188" i="13"/>
  <c r="S184" i="13"/>
  <c r="S180" i="13"/>
  <c r="S176" i="13"/>
  <c r="S172" i="13"/>
  <c r="S168" i="13"/>
  <c r="S164" i="13"/>
  <c r="S160" i="13"/>
  <c r="S156" i="13"/>
  <c r="S152" i="13"/>
  <c r="S148" i="13"/>
  <c r="S144" i="13"/>
  <c r="S140" i="13"/>
  <c r="S136" i="13"/>
  <c r="S132" i="13"/>
  <c r="S128" i="13"/>
  <c r="S124" i="13"/>
  <c r="S120" i="13"/>
  <c r="S256" i="13"/>
  <c r="S254" i="13"/>
  <c r="S244" i="13"/>
  <c r="S211" i="13"/>
  <c r="S206" i="13"/>
  <c r="S197" i="13"/>
  <c r="S239" i="13"/>
  <c r="S231" i="13"/>
  <c r="S216" i="13"/>
  <c r="S286" i="13"/>
  <c r="S270" i="13"/>
  <c r="S225" i="13"/>
  <c r="S207" i="13"/>
  <c r="S202" i="13"/>
  <c r="S193" i="13"/>
  <c r="S280" i="13"/>
  <c r="S258" i="13"/>
  <c r="S242" i="13"/>
  <c r="S234" i="13"/>
  <c r="S300" i="13"/>
  <c r="S272" i="13"/>
  <c r="S221" i="13"/>
  <c r="S203" i="13"/>
  <c r="S198" i="13"/>
  <c r="S296" i="13"/>
  <c r="S260" i="13"/>
  <c r="S237" i="13"/>
  <c r="S229" i="13"/>
  <c r="S208" i="13"/>
  <c r="S292" i="13"/>
  <c r="S240" i="13"/>
  <c r="S232" i="13"/>
  <c r="S226" i="13"/>
  <c r="S217" i="13"/>
  <c r="S199" i="13"/>
  <c r="S194" i="13"/>
  <c r="S288" i="13"/>
  <c r="S274" i="13"/>
  <c r="S247" i="13"/>
  <c r="S282" i="13"/>
  <c r="S262" i="13"/>
  <c r="S251" i="13"/>
  <c r="S222" i="13"/>
  <c r="S213" i="13"/>
  <c r="S195" i="13"/>
  <c r="S69" i="13"/>
  <c r="S62" i="13"/>
  <c r="S54" i="13"/>
  <c r="S48" i="13"/>
  <c r="S40" i="13"/>
  <c r="S34" i="13"/>
  <c r="S26" i="13"/>
  <c r="S276" i="13"/>
  <c r="S243" i="13"/>
  <c r="S209" i="13"/>
  <c r="S187" i="13"/>
  <c r="S174" i="13"/>
  <c r="S167" i="13"/>
  <c r="S134" i="13"/>
  <c r="S118" i="13"/>
  <c r="S235" i="13"/>
  <c r="S223" i="13"/>
  <c r="S204" i="13"/>
  <c r="S200" i="13"/>
  <c r="S182" i="13"/>
  <c r="S138" i="13"/>
  <c r="S130" i="13"/>
  <c r="S119" i="13"/>
  <c r="S65" i="13"/>
  <c r="S57" i="13"/>
  <c r="S51" i="13"/>
  <c r="S43" i="13"/>
  <c r="S29" i="13"/>
  <c r="S21" i="13"/>
  <c r="S218" i="13"/>
  <c r="S159" i="13"/>
  <c r="S142" i="13"/>
  <c r="S100" i="13"/>
  <c r="S96" i="13"/>
  <c r="S92" i="13"/>
  <c r="S88" i="13"/>
  <c r="S84" i="13"/>
  <c r="S80" i="13"/>
  <c r="S76" i="13"/>
  <c r="S146" i="13"/>
  <c r="S135" i="13"/>
  <c r="S131" i="13"/>
  <c r="S72" i="13"/>
  <c r="S68" i="13"/>
  <c r="S60" i="13"/>
  <c r="S46" i="13"/>
  <c r="S227" i="13"/>
  <c r="S162" i="13"/>
  <c r="S150" i="13"/>
  <c r="S139" i="13"/>
  <c r="S104" i="13"/>
  <c r="S103" i="13"/>
  <c r="S102" i="13"/>
  <c r="S212" i="13"/>
  <c r="S170" i="13"/>
  <c r="S143" i="13"/>
  <c r="S126" i="13"/>
  <c r="S63" i="13"/>
  <c r="S55" i="13"/>
  <c r="S49" i="13"/>
  <c r="S41" i="13"/>
  <c r="S27" i="13"/>
  <c r="S186" i="13"/>
  <c r="S179" i="13"/>
  <c r="S175" i="13"/>
  <c r="S147" i="13"/>
  <c r="S99" i="13"/>
  <c r="S95" i="13"/>
  <c r="S91" i="13"/>
  <c r="S87" i="13"/>
  <c r="S83" i="13"/>
  <c r="S79" i="13"/>
  <c r="S75" i="13"/>
  <c r="S151" i="13"/>
  <c r="S264" i="13"/>
  <c r="S163" i="13"/>
  <c r="S154" i="13"/>
  <c r="S255" i="13"/>
  <c r="S122" i="13"/>
  <c r="S166" i="13"/>
  <c r="S112" i="13"/>
  <c r="S111" i="13"/>
  <c r="S110" i="13"/>
  <c r="S98" i="13"/>
  <c r="S94" i="13"/>
  <c r="S90" i="13"/>
  <c r="S86" i="13"/>
  <c r="S82" i="13"/>
  <c r="S78" i="13"/>
  <c r="S74" i="13"/>
  <c r="S183" i="13"/>
  <c r="S171" i="13"/>
  <c r="S123" i="13"/>
  <c r="S70" i="13"/>
  <c r="S178" i="13"/>
  <c r="S155" i="13"/>
  <c r="AI299" i="13"/>
  <c r="AI295" i="13"/>
  <c r="AI291" i="13"/>
  <c r="AI287" i="13"/>
  <c r="AI283" i="13"/>
  <c r="AI279" i="13"/>
  <c r="AI275" i="13"/>
  <c r="AI271" i="13"/>
  <c r="AI267" i="13"/>
  <c r="AI263" i="13"/>
  <c r="AI259" i="13"/>
  <c r="AI255" i="13"/>
  <c r="AI251" i="13"/>
  <c r="AI247" i="13"/>
  <c r="AI243" i="13"/>
  <c r="AI301" i="13"/>
  <c r="AI297" i="13"/>
  <c r="AI293" i="13"/>
  <c r="AI289" i="13"/>
  <c r="AI285" i="13"/>
  <c r="AI281" i="13"/>
  <c r="AI277" i="13"/>
  <c r="AI273" i="13"/>
  <c r="AI269" i="13"/>
  <c r="AI265" i="13"/>
  <c r="AI261" i="13"/>
  <c r="AI257" i="13"/>
  <c r="AI298" i="13"/>
  <c r="AI284" i="13"/>
  <c r="AI250" i="13"/>
  <c r="AI236" i="13"/>
  <c r="AI228" i="13"/>
  <c r="AI202" i="13"/>
  <c r="AI187" i="13"/>
  <c r="AI183" i="13"/>
  <c r="AI179" i="13"/>
  <c r="AI175" i="13"/>
  <c r="AI171" i="13"/>
  <c r="AI167" i="13"/>
  <c r="AI163" i="13"/>
  <c r="AI159" i="13"/>
  <c r="AI155" i="13"/>
  <c r="AI151" i="13"/>
  <c r="AI147" i="13"/>
  <c r="AI143" i="13"/>
  <c r="AI139" i="13"/>
  <c r="AI135" i="13"/>
  <c r="AI131" i="13"/>
  <c r="AI127" i="13"/>
  <c r="AI123" i="13"/>
  <c r="AI119" i="13"/>
  <c r="AI115" i="13"/>
  <c r="AI111" i="13"/>
  <c r="AI107" i="13"/>
  <c r="AI103" i="13"/>
  <c r="AI294" i="13"/>
  <c r="AI278" i="13"/>
  <c r="AI254" i="13"/>
  <c r="AI248" i="13"/>
  <c r="AI225" i="13"/>
  <c r="AI220" i="13"/>
  <c r="AI211" i="13"/>
  <c r="AI193" i="13"/>
  <c r="AI290" i="13"/>
  <c r="AI268" i="13"/>
  <c r="AI252" i="13"/>
  <c r="AI239" i="13"/>
  <c r="AI231" i="13"/>
  <c r="AI198" i="13"/>
  <c r="AI256" i="13"/>
  <c r="AI244" i="13"/>
  <c r="AI242" i="13"/>
  <c r="AI234" i="13"/>
  <c r="AI221" i="13"/>
  <c r="AI216" i="13"/>
  <c r="AI207" i="13"/>
  <c r="AI270" i="13"/>
  <c r="AI226" i="13"/>
  <c r="AI194" i="13"/>
  <c r="AI186" i="13"/>
  <c r="AI182" i="13"/>
  <c r="AI178" i="13"/>
  <c r="AI174" i="13"/>
  <c r="AI170" i="13"/>
  <c r="AI166" i="13"/>
  <c r="AI162" i="13"/>
  <c r="AI158" i="13"/>
  <c r="AI154" i="13"/>
  <c r="AI150" i="13"/>
  <c r="AI146" i="13"/>
  <c r="AI142" i="13"/>
  <c r="AI138" i="13"/>
  <c r="AI134" i="13"/>
  <c r="AI130" i="13"/>
  <c r="AI126" i="13"/>
  <c r="AI122" i="13"/>
  <c r="AI118" i="13"/>
  <c r="AI286" i="13"/>
  <c r="AI258" i="13"/>
  <c r="AI217" i="13"/>
  <c r="AI212" i="13"/>
  <c r="AI203" i="13"/>
  <c r="AI280" i="13"/>
  <c r="AI237" i="13"/>
  <c r="AI229" i="13"/>
  <c r="AI222" i="13"/>
  <c r="AI300" i="13"/>
  <c r="AI272" i="13"/>
  <c r="AI213" i="13"/>
  <c r="AI208" i="13"/>
  <c r="AI199" i="13"/>
  <c r="AI296" i="13"/>
  <c r="AI260" i="13"/>
  <c r="AI240" i="13"/>
  <c r="AI232" i="13"/>
  <c r="AI292" i="13"/>
  <c r="AI274" i="13"/>
  <c r="AI209" i="13"/>
  <c r="AI204" i="13"/>
  <c r="AI195" i="13"/>
  <c r="AI189" i="13"/>
  <c r="AI288" i="13"/>
  <c r="AI262" i="13"/>
  <c r="AI249" i="13"/>
  <c r="AI245" i="13"/>
  <c r="AI235" i="13"/>
  <c r="AI227" i="13"/>
  <c r="AI214" i="13"/>
  <c r="AI282" i="13"/>
  <c r="AI253" i="13"/>
  <c r="AI238" i="13"/>
  <c r="AI230" i="13"/>
  <c r="AI223" i="13"/>
  <c r="AI205" i="13"/>
  <c r="AI200" i="13"/>
  <c r="AI276" i="13"/>
  <c r="AI210" i="13"/>
  <c r="AI264" i="13"/>
  <c r="AI219" i="13"/>
  <c r="AI201" i="13"/>
  <c r="AI196" i="13"/>
  <c r="AI165" i="13"/>
  <c r="AI120" i="13"/>
  <c r="AI106" i="13"/>
  <c r="AI71" i="13"/>
  <c r="AI66" i="13"/>
  <c r="AI58" i="13"/>
  <c r="AI44" i="13"/>
  <c r="AI36" i="13"/>
  <c r="AI30" i="13"/>
  <c r="AI22" i="13"/>
  <c r="AI16" i="13"/>
  <c r="AI218" i="13"/>
  <c r="AI172" i="13"/>
  <c r="AI156" i="13"/>
  <c r="AI121" i="13"/>
  <c r="AI105" i="13"/>
  <c r="AI104" i="13"/>
  <c r="AI177" i="13"/>
  <c r="AI61" i="13"/>
  <c r="AI53" i="13"/>
  <c r="AI47" i="13"/>
  <c r="AI39" i="13"/>
  <c r="AI33" i="13"/>
  <c r="AI25" i="13"/>
  <c r="AI192" i="13"/>
  <c r="AI184" i="13"/>
  <c r="AI110" i="13"/>
  <c r="AI98" i="13"/>
  <c r="AI94" i="13"/>
  <c r="AI90" i="13"/>
  <c r="AI86" i="13"/>
  <c r="AI82" i="13"/>
  <c r="AI78" i="13"/>
  <c r="AI74" i="13"/>
  <c r="AI241" i="13"/>
  <c r="AI157" i="13"/>
  <c r="AI109" i="13"/>
  <c r="AI108" i="13"/>
  <c r="AI70" i="13"/>
  <c r="AI64" i="13"/>
  <c r="AI56" i="13"/>
  <c r="AI50" i="13"/>
  <c r="AI266" i="13"/>
  <c r="AI132" i="13"/>
  <c r="AI233" i="13"/>
  <c r="AI191" i="13"/>
  <c r="AI173" i="13"/>
  <c r="AI168" i="13"/>
  <c r="AI136" i="13"/>
  <c r="AI114" i="13"/>
  <c r="AI67" i="13"/>
  <c r="AI59" i="13"/>
  <c r="AI52" i="13"/>
  <c r="AI45" i="13"/>
  <c r="AI37" i="13"/>
  <c r="AI31" i="13"/>
  <c r="AI181" i="13"/>
  <c r="AI160" i="13"/>
  <c r="AI140" i="13"/>
  <c r="AI133" i="13"/>
  <c r="AI113" i="13"/>
  <c r="AI112" i="13"/>
  <c r="AI97" i="13"/>
  <c r="AI93" i="13"/>
  <c r="AI89" i="13"/>
  <c r="AI85" i="13"/>
  <c r="AI81" i="13"/>
  <c r="AI77" i="13"/>
  <c r="AI73" i="13"/>
  <c r="AI188" i="13"/>
  <c r="AI144" i="13"/>
  <c r="AI137" i="13"/>
  <c r="AI148" i="13"/>
  <c r="AI141" i="13"/>
  <c r="AI129" i="13"/>
  <c r="AI206" i="13"/>
  <c r="AI161" i="13"/>
  <c r="AI145" i="13"/>
  <c r="AI117" i="13"/>
  <c r="AI116" i="13"/>
  <c r="AI65" i="13"/>
  <c r="AI246" i="13"/>
  <c r="AI190" i="13"/>
  <c r="AI169" i="13"/>
  <c r="AI152" i="13"/>
  <c r="AI149" i="13"/>
  <c r="AI96" i="13"/>
  <c r="AI92" i="13"/>
  <c r="AI88" i="13"/>
  <c r="AI84" i="13"/>
  <c r="AI80" i="13"/>
  <c r="AI76" i="13"/>
  <c r="AI215" i="13"/>
  <c r="AI185" i="13"/>
  <c r="AI176" i="13"/>
  <c r="AI124" i="13"/>
  <c r="AI72" i="13"/>
  <c r="AI68" i="13"/>
  <c r="AI197" i="13"/>
  <c r="AI164" i="13"/>
  <c r="AI125" i="13"/>
  <c r="AI102" i="13"/>
  <c r="AS2" i="13"/>
  <c r="Y3" i="13"/>
  <c r="Q5" i="13"/>
  <c r="AC6" i="13"/>
  <c r="AO7" i="13"/>
  <c r="AG9" i="13"/>
  <c r="AS10" i="13"/>
  <c r="Y11" i="13"/>
  <c r="Q13" i="13"/>
  <c r="AE14" i="13"/>
  <c r="O15" i="13"/>
  <c r="AO16" i="13"/>
  <c r="Y17" i="13"/>
  <c r="W18" i="13"/>
  <c r="AW20" i="13"/>
  <c r="Y22" i="13"/>
  <c r="S23" i="13"/>
  <c r="AW24" i="13"/>
  <c r="AU25" i="13"/>
  <c r="Y28" i="13"/>
  <c r="AA29" i="13"/>
  <c r="S30" i="13"/>
  <c r="Q32" i="13"/>
  <c r="Q33" i="13"/>
  <c r="Y34" i="13"/>
  <c r="AI35" i="13"/>
  <c r="AW36" i="13"/>
  <c r="C38" i="13"/>
  <c r="F43" i="17"/>
  <c r="E43" i="17"/>
  <c r="D43" i="17"/>
  <c r="C43" i="17"/>
  <c r="B43" i="17"/>
  <c r="A43" i="17"/>
  <c r="F44" i="17"/>
  <c r="E44" i="17"/>
  <c r="D44" i="17"/>
  <c r="C44" i="17"/>
  <c r="B44" i="17"/>
  <c r="A44" i="17"/>
  <c r="N40" i="13"/>
  <c r="S42" i="13"/>
  <c r="O43" i="13"/>
  <c r="Q44" i="13"/>
  <c r="W45" i="13"/>
  <c r="AI46" i="13"/>
  <c r="AA50" i="13"/>
  <c r="AM51" i="13"/>
  <c r="AO53" i="13"/>
  <c r="C55" i="13"/>
  <c r="S56" i="13"/>
  <c r="AE57" i="13"/>
  <c r="AU58" i="13"/>
  <c r="AO61" i="13"/>
  <c r="F63" i="13"/>
  <c r="AA64" i="13"/>
  <c r="C70" i="17"/>
  <c r="B70" i="17"/>
  <c r="A70" i="17"/>
  <c r="F70" i="17"/>
  <c r="E70" i="17"/>
  <c r="D70" i="17"/>
  <c r="N66" i="13"/>
  <c r="AS70" i="13"/>
  <c r="AS78" i="13"/>
  <c r="AS86" i="13"/>
  <c r="AS94" i="13"/>
  <c r="E108" i="17"/>
  <c r="D108" i="17"/>
  <c r="C108" i="17"/>
  <c r="B108" i="17"/>
  <c r="A108" i="17"/>
  <c r="F108" i="17"/>
  <c r="S107" i="13"/>
  <c r="AE114" i="13"/>
  <c r="O126" i="13"/>
  <c r="F135" i="17"/>
  <c r="E135" i="17"/>
  <c r="D135" i="17"/>
  <c r="C135" i="17"/>
  <c r="B135" i="17"/>
  <c r="A135" i="17"/>
  <c r="N131" i="13"/>
  <c r="AS159" i="13"/>
  <c r="AG180" i="13"/>
  <c r="AO187" i="13"/>
  <c r="W219" i="13"/>
  <c r="F148" i="17"/>
  <c r="E148" i="17"/>
  <c r="D148" i="17"/>
  <c r="C148" i="17"/>
  <c r="B148" i="17"/>
  <c r="A148" i="17"/>
  <c r="N144" i="13"/>
  <c r="F167" i="17"/>
  <c r="E167" i="17"/>
  <c r="D167" i="17"/>
  <c r="C167" i="17"/>
  <c r="B167" i="17"/>
  <c r="A167" i="17"/>
  <c r="F187" i="17"/>
  <c r="E187" i="17"/>
  <c r="D187" i="17"/>
  <c r="C187" i="17"/>
  <c r="B187" i="17"/>
  <c r="A187" i="17"/>
  <c r="N183" i="13"/>
  <c r="F249" i="17"/>
  <c r="E249" i="17"/>
  <c r="D249" i="17"/>
  <c r="C249" i="17"/>
  <c r="B249" i="17"/>
  <c r="A249" i="17"/>
  <c r="N245" i="13"/>
  <c r="E257" i="17"/>
  <c r="D257" i="17"/>
  <c r="C257" i="17"/>
  <c r="B257" i="17"/>
  <c r="A257" i="17"/>
  <c r="F257" i="17"/>
  <c r="N253" i="13"/>
  <c r="F75" i="17"/>
  <c r="E75" i="17"/>
  <c r="D75" i="17"/>
  <c r="C75" i="17"/>
  <c r="B75" i="17"/>
  <c r="A75" i="17"/>
  <c r="F111" i="17"/>
  <c r="E111" i="17"/>
  <c r="D111" i="17"/>
  <c r="C111" i="17"/>
  <c r="B111" i="17"/>
  <c r="A111" i="17"/>
  <c r="A112" i="17"/>
  <c r="F112" i="17"/>
  <c r="E112" i="17"/>
  <c r="D112" i="17"/>
  <c r="C112" i="17"/>
  <c r="B112" i="17"/>
  <c r="F113" i="17"/>
  <c r="E113" i="17"/>
  <c r="D113" i="17"/>
  <c r="B113" i="17"/>
  <c r="A113" i="17"/>
  <c r="C113" i="17"/>
  <c r="N109" i="13"/>
  <c r="B131" i="17"/>
  <c r="A131" i="17"/>
  <c r="F131" i="17"/>
  <c r="E131" i="17"/>
  <c r="D131" i="17"/>
  <c r="C131" i="17"/>
  <c r="A144" i="17"/>
  <c r="F144" i="17"/>
  <c r="E144" i="17"/>
  <c r="D144" i="17"/>
  <c r="C144" i="17"/>
  <c r="B144" i="17"/>
  <c r="N140" i="13"/>
  <c r="F155" i="17"/>
  <c r="E155" i="17"/>
  <c r="D155" i="17"/>
  <c r="C155" i="17"/>
  <c r="B155" i="17"/>
  <c r="A155" i="17"/>
  <c r="F192" i="17"/>
  <c r="C192" i="17"/>
  <c r="B192" i="17"/>
  <c r="A192" i="17"/>
  <c r="E192" i="17"/>
  <c r="D192" i="17"/>
  <c r="N188" i="13"/>
  <c r="D229" i="17"/>
  <c r="C229" i="17"/>
  <c r="B229" i="17"/>
  <c r="A229" i="17"/>
  <c r="F229" i="17"/>
  <c r="E229" i="17"/>
  <c r="N225" i="13"/>
  <c r="N71" i="13"/>
  <c r="F79" i="17"/>
  <c r="E79" i="17"/>
  <c r="D79" i="17"/>
  <c r="C79" i="17"/>
  <c r="B79" i="17"/>
  <c r="A79" i="17"/>
  <c r="B83" i="17"/>
  <c r="A83" i="17"/>
  <c r="E83" i="17"/>
  <c r="F83" i="17"/>
  <c r="D83" i="17"/>
  <c r="C83" i="17"/>
  <c r="F87" i="17"/>
  <c r="D87" i="17"/>
  <c r="C87" i="17"/>
  <c r="A87" i="17"/>
  <c r="E87" i="17"/>
  <c r="B87" i="17"/>
  <c r="F91" i="17"/>
  <c r="E91" i="17"/>
  <c r="D91" i="17"/>
  <c r="C91" i="17"/>
  <c r="B91" i="17"/>
  <c r="A91" i="17"/>
  <c r="F95" i="17"/>
  <c r="E95" i="17"/>
  <c r="D95" i="17"/>
  <c r="C95" i="17"/>
  <c r="B95" i="17"/>
  <c r="A95" i="17"/>
  <c r="B99" i="17"/>
  <c r="A99" i="17"/>
  <c r="F99" i="17"/>
  <c r="E99" i="17"/>
  <c r="C99" i="17"/>
  <c r="D99" i="17"/>
  <c r="F103" i="17"/>
  <c r="D103" i="17"/>
  <c r="C103" i="17"/>
  <c r="B103" i="17"/>
  <c r="A103" i="17"/>
  <c r="E103" i="17"/>
  <c r="N107" i="13"/>
  <c r="N108" i="13"/>
  <c r="N127" i="13"/>
  <c r="E140" i="17"/>
  <c r="D140" i="17"/>
  <c r="C140" i="17"/>
  <c r="B140" i="17"/>
  <c r="A140" i="17"/>
  <c r="F140" i="17"/>
  <c r="N136" i="13"/>
  <c r="F151" i="17"/>
  <c r="E151" i="17"/>
  <c r="D151" i="17"/>
  <c r="C151" i="17"/>
  <c r="B151" i="17"/>
  <c r="A151" i="17"/>
  <c r="N151" i="13"/>
  <c r="F164" i="17"/>
  <c r="E164" i="17"/>
  <c r="D164" i="17"/>
  <c r="C164" i="17"/>
  <c r="B164" i="17"/>
  <c r="A164" i="17"/>
  <c r="N160" i="13"/>
  <c r="F259" i="17"/>
  <c r="E259" i="17"/>
  <c r="D259" i="17"/>
  <c r="C259" i="17"/>
  <c r="B259" i="17"/>
  <c r="A259" i="17"/>
  <c r="N255" i="13"/>
  <c r="B67" i="17"/>
  <c r="A67" i="17"/>
  <c r="F67" i="17"/>
  <c r="E67" i="17"/>
  <c r="D67" i="17"/>
  <c r="C67" i="17"/>
  <c r="N75" i="13"/>
  <c r="N79" i="13"/>
  <c r="N83" i="13"/>
  <c r="N87" i="13"/>
  <c r="N91" i="13"/>
  <c r="N95" i="13"/>
  <c r="N99" i="13"/>
  <c r="F136" i="17"/>
  <c r="E136" i="17"/>
  <c r="D136" i="17"/>
  <c r="C136" i="17"/>
  <c r="B136" i="17"/>
  <c r="A136" i="17"/>
  <c r="N132" i="13"/>
  <c r="B147" i="17"/>
  <c r="A147" i="17"/>
  <c r="F147" i="17"/>
  <c r="E147" i="17"/>
  <c r="D147" i="17"/>
  <c r="C147" i="17"/>
  <c r="A172" i="17"/>
  <c r="B172" i="17"/>
  <c r="F172" i="17"/>
  <c r="E172" i="17"/>
  <c r="D172" i="17"/>
  <c r="C172" i="17"/>
  <c r="N168" i="13"/>
  <c r="F179" i="17"/>
  <c r="E179" i="17"/>
  <c r="D179" i="17"/>
  <c r="C179" i="17"/>
  <c r="B179" i="17"/>
  <c r="A179" i="17"/>
  <c r="F143" i="17"/>
  <c r="E143" i="17"/>
  <c r="D143" i="17"/>
  <c r="C143" i="17"/>
  <c r="B143" i="17"/>
  <c r="A143" i="17"/>
  <c r="A236" i="17"/>
  <c r="F236" i="17"/>
  <c r="E236" i="17"/>
  <c r="D236" i="17"/>
  <c r="C236" i="17"/>
  <c r="B236" i="17"/>
  <c r="N232" i="13"/>
  <c r="F139" i="17"/>
  <c r="E139" i="17"/>
  <c r="D139" i="17"/>
  <c r="C139" i="17"/>
  <c r="B139" i="17"/>
  <c r="A139" i="17"/>
  <c r="F183" i="17"/>
  <c r="E183" i="17"/>
  <c r="D183" i="17"/>
  <c r="C183" i="17"/>
  <c r="B183" i="17"/>
  <c r="A183" i="17"/>
  <c r="N179" i="13"/>
  <c r="F203" i="17"/>
  <c r="E203" i="17"/>
  <c r="D203" i="17"/>
  <c r="C203" i="17"/>
  <c r="B203" i="17"/>
  <c r="A203" i="17"/>
  <c r="C299" i="17"/>
  <c r="B299" i="17"/>
  <c r="A299" i="17"/>
  <c r="F299" i="17"/>
  <c r="E299" i="17"/>
  <c r="D299" i="17"/>
  <c r="N295" i="13"/>
  <c r="A80" i="17"/>
  <c r="D80" i="17"/>
  <c r="F80" i="17"/>
  <c r="E80" i="17"/>
  <c r="C80" i="17"/>
  <c r="B80" i="17"/>
  <c r="F84" i="17"/>
  <c r="E84" i="17"/>
  <c r="C84" i="17"/>
  <c r="D84" i="17"/>
  <c r="B84" i="17"/>
  <c r="A84" i="17"/>
  <c r="F88" i="17"/>
  <c r="E88" i="17"/>
  <c r="D88" i="17"/>
  <c r="C88" i="17"/>
  <c r="B88" i="17"/>
  <c r="A88" i="17"/>
  <c r="E92" i="17"/>
  <c r="D92" i="17"/>
  <c r="C92" i="17"/>
  <c r="B92" i="17"/>
  <c r="A92" i="17"/>
  <c r="F92" i="17"/>
  <c r="A96" i="17"/>
  <c r="F96" i="17"/>
  <c r="D96" i="17"/>
  <c r="E96" i="17"/>
  <c r="C96" i="17"/>
  <c r="B96" i="17"/>
  <c r="F100" i="17"/>
  <c r="E100" i="17"/>
  <c r="C100" i="17"/>
  <c r="B100" i="17"/>
  <c r="A100" i="17"/>
  <c r="D100" i="17"/>
  <c r="F104" i="17"/>
  <c r="E104" i="17"/>
  <c r="D104" i="17"/>
  <c r="C104" i="17"/>
  <c r="B104" i="17"/>
  <c r="A104" i="17"/>
  <c r="E124" i="17"/>
  <c r="D124" i="17"/>
  <c r="C124" i="17"/>
  <c r="B124" i="17"/>
  <c r="A124" i="17"/>
  <c r="F124" i="17"/>
  <c r="N135" i="13"/>
  <c r="F163" i="17"/>
  <c r="E163" i="17"/>
  <c r="D163" i="17"/>
  <c r="C163" i="17"/>
  <c r="B163" i="17"/>
  <c r="A163" i="17"/>
  <c r="A188" i="17"/>
  <c r="F188" i="17"/>
  <c r="E188" i="17"/>
  <c r="D188" i="17"/>
  <c r="C188" i="17"/>
  <c r="B188" i="17"/>
  <c r="N184" i="13"/>
  <c r="N199" i="13"/>
  <c r="F244" i="17"/>
  <c r="E244" i="17"/>
  <c r="D244" i="17"/>
  <c r="C244" i="17"/>
  <c r="B244" i="17"/>
  <c r="A244" i="17"/>
  <c r="N240" i="13"/>
  <c r="F33" i="17"/>
  <c r="E33" i="17"/>
  <c r="D33" i="17"/>
  <c r="C33" i="17"/>
  <c r="B33" i="17"/>
  <c r="A33" i="17"/>
  <c r="F47" i="17"/>
  <c r="E47" i="17"/>
  <c r="D47" i="17"/>
  <c r="C47" i="17"/>
  <c r="B47" i="17"/>
  <c r="A47" i="17"/>
  <c r="F55" i="17"/>
  <c r="E55" i="17"/>
  <c r="D55" i="17"/>
  <c r="C55" i="17"/>
  <c r="B55" i="17"/>
  <c r="A55" i="17"/>
  <c r="F61" i="17"/>
  <c r="E61" i="17"/>
  <c r="D61" i="17"/>
  <c r="C61" i="17"/>
  <c r="B61" i="17"/>
  <c r="A61" i="17"/>
  <c r="F69" i="17"/>
  <c r="E69" i="17"/>
  <c r="D69" i="17"/>
  <c r="C69" i="17"/>
  <c r="B69" i="17"/>
  <c r="A69" i="17"/>
  <c r="N76" i="13"/>
  <c r="N80" i="13"/>
  <c r="N84" i="13"/>
  <c r="N88" i="13"/>
  <c r="N92" i="13"/>
  <c r="N96" i="13"/>
  <c r="N100" i="13"/>
  <c r="D105" i="17"/>
  <c r="C105" i="17"/>
  <c r="B105" i="17"/>
  <c r="A105" i="17"/>
  <c r="F105" i="17"/>
  <c r="E105" i="17"/>
  <c r="N101" i="13"/>
  <c r="F123" i="17"/>
  <c r="E123" i="17"/>
  <c r="D123" i="17"/>
  <c r="C123" i="17"/>
  <c r="B123" i="17"/>
  <c r="A123" i="17"/>
  <c r="N120" i="13"/>
  <c r="N159" i="13"/>
  <c r="C226" i="17"/>
  <c r="B226" i="17"/>
  <c r="A226" i="17"/>
  <c r="F226" i="17"/>
  <c r="E226" i="17"/>
  <c r="D226" i="17"/>
  <c r="N222" i="13"/>
  <c r="F160" i="17"/>
  <c r="E160" i="17"/>
  <c r="D160" i="17"/>
  <c r="C160" i="17"/>
  <c r="B160" i="17"/>
  <c r="A160" i="17"/>
  <c r="N156" i="13"/>
  <c r="F176" i="17"/>
  <c r="E176" i="17"/>
  <c r="D176" i="17"/>
  <c r="C176" i="17"/>
  <c r="B176" i="17"/>
  <c r="A176" i="17"/>
  <c r="N172" i="13"/>
  <c r="E289" i="17"/>
  <c r="D289" i="17"/>
  <c r="C289" i="17"/>
  <c r="B289" i="17"/>
  <c r="A289" i="17"/>
  <c r="F289" i="17"/>
  <c r="N285" i="13"/>
  <c r="A52" i="17"/>
  <c r="F52" i="17"/>
  <c r="E52" i="17"/>
  <c r="D52" i="17"/>
  <c r="C52" i="17"/>
  <c r="B52" i="17"/>
  <c r="F58" i="17"/>
  <c r="E58" i="17"/>
  <c r="D58" i="17"/>
  <c r="C58" i="17"/>
  <c r="B58" i="17"/>
  <c r="A58" i="17"/>
  <c r="F66" i="17"/>
  <c r="E66" i="17"/>
  <c r="D66" i="17"/>
  <c r="C66" i="17"/>
  <c r="B66" i="17"/>
  <c r="A66" i="17"/>
  <c r="D73" i="17"/>
  <c r="C73" i="17"/>
  <c r="B73" i="17"/>
  <c r="A73" i="17"/>
  <c r="F73" i="17"/>
  <c r="E73" i="17"/>
  <c r="F171" i="17"/>
  <c r="D171" i="17"/>
  <c r="C171" i="17"/>
  <c r="B171" i="17"/>
  <c r="A171" i="17"/>
  <c r="E171" i="17"/>
  <c r="F208" i="17"/>
  <c r="E208" i="17"/>
  <c r="D208" i="17"/>
  <c r="C208" i="17"/>
  <c r="B208" i="17"/>
  <c r="A208" i="17"/>
  <c r="F217" i="17"/>
  <c r="E217" i="17"/>
  <c r="D217" i="17"/>
  <c r="C217" i="17"/>
  <c r="B217" i="17"/>
  <c r="A217" i="17"/>
  <c r="N213" i="13"/>
  <c r="N48" i="13"/>
  <c r="N54" i="13"/>
  <c r="N62" i="13"/>
  <c r="N69" i="13"/>
  <c r="F77" i="17"/>
  <c r="C77" i="17"/>
  <c r="E77" i="17"/>
  <c r="D77" i="17"/>
  <c r="B77" i="17"/>
  <c r="A77" i="17"/>
  <c r="F81" i="17"/>
  <c r="E81" i="17"/>
  <c r="D81" i="17"/>
  <c r="B81" i="17"/>
  <c r="C81" i="17"/>
  <c r="A81" i="17"/>
  <c r="F85" i="17"/>
  <c r="E85" i="17"/>
  <c r="D85" i="17"/>
  <c r="C85" i="17"/>
  <c r="B85" i="17"/>
  <c r="A85" i="17"/>
  <c r="D89" i="17"/>
  <c r="C89" i="17"/>
  <c r="B89" i="17"/>
  <c r="A89" i="17"/>
  <c r="F89" i="17"/>
  <c r="E89" i="17"/>
  <c r="F93" i="17"/>
  <c r="E93" i="17"/>
  <c r="C93" i="17"/>
  <c r="D93" i="17"/>
  <c r="B93" i="17"/>
  <c r="A93" i="17"/>
  <c r="F97" i="17"/>
  <c r="E97" i="17"/>
  <c r="D97" i="17"/>
  <c r="B97" i="17"/>
  <c r="A97" i="17"/>
  <c r="C97" i="17"/>
  <c r="F101" i="17"/>
  <c r="E101" i="17"/>
  <c r="D101" i="17"/>
  <c r="C101" i="17"/>
  <c r="B101" i="17"/>
  <c r="A101" i="17"/>
  <c r="N167" i="13"/>
  <c r="N204" i="13"/>
  <c r="F27" i="17"/>
  <c r="E27" i="17"/>
  <c r="D27" i="17"/>
  <c r="C27" i="17"/>
  <c r="B27" i="17"/>
  <c r="A27" i="17"/>
  <c r="F35" i="17"/>
  <c r="E35" i="17"/>
  <c r="D35" i="17"/>
  <c r="C35" i="17"/>
  <c r="B35" i="17"/>
  <c r="A35" i="17"/>
  <c r="F41" i="17"/>
  <c r="E41" i="17"/>
  <c r="D41" i="17"/>
  <c r="C41" i="17"/>
  <c r="B41" i="17"/>
  <c r="A41" i="17"/>
  <c r="F49" i="17"/>
  <c r="E49" i="17"/>
  <c r="D49" i="17"/>
  <c r="C49" i="17"/>
  <c r="B49" i="17"/>
  <c r="A49" i="17"/>
  <c r="F56" i="17"/>
  <c r="E56" i="17"/>
  <c r="D56" i="17"/>
  <c r="C56" i="17"/>
  <c r="B56" i="17"/>
  <c r="A56" i="17"/>
  <c r="F63" i="17"/>
  <c r="E63" i="17"/>
  <c r="D63" i="17"/>
  <c r="C63" i="17"/>
  <c r="B63" i="17"/>
  <c r="A63" i="17"/>
  <c r="F71" i="17"/>
  <c r="E71" i="17"/>
  <c r="D71" i="17"/>
  <c r="C71" i="17"/>
  <c r="B71" i="17"/>
  <c r="A71" i="17"/>
  <c r="F119" i="17"/>
  <c r="E119" i="17"/>
  <c r="D119" i="17"/>
  <c r="C119" i="17"/>
  <c r="B119" i="17"/>
  <c r="A119" i="17"/>
  <c r="F120" i="17"/>
  <c r="E120" i="17"/>
  <c r="D120" i="17"/>
  <c r="C120" i="17"/>
  <c r="B120" i="17"/>
  <c r="A120" i="17"/>
  <c r="D121" i="17"/>
  <c r="C121" i="17"/>
  <c r="B121" i="17"/>
  <c r="A121" i="17"/>
  <c r="F121" i="17"/>
  <c r="E121" i="17"/>
  <c r="N117" i="13"/>
  <c r="A128" i="17"/>
  <c r="F128" i="17"/>
  <c r="E128" i="17"/>
  <c r="D128" i="17"/>
  <c r="C128" i="17"/>
  <c r="B128" i="17"/>
  <c r="N124" i="13"/>
  <c r="E184" i="17"/>
  <c r="D184" i="17"/>
  <c r="C184" i="17"/>
  <c r="B184" i="17"/>
  <c r="A184" i="17"/>
  <c r="F184" i="17"/>
  <c r="N180" i="13"/>
  <c r="B191" i="17"/>
  <c r="A191" i="17"/>
  <c r="F191" i="17"/>
  <c r="E191" i="17"/>
  <c r="D191" i="17"/>
  <c r="C191" i="17"/>
  <c r="N187" i="13"/>
  <c r="F303" i="17"/>
  <c r="E303" i="17"/>
  <c r="D303" i="17"/>
  <c r="C303" i="17"/>
  <c r="B303" i="17"/>
  <c r="A303" i="17"/>
  <c r="N299" i="13"/>
  <c r="N23" i="13"/>
  <c r="N31" i="13"/>
  <c r="N37" i="13"/>
  <c r="N45" i="13"/>
  <c r="N52" i="13"/>
  <c r="N59" i="13"/>
  <c r="N67" i="13"/>
  <c r="N115" i="13"/>
  <c r="N116" i="13"/>
  <c r="B159" i="17"/>
  <c r="F159" i="17"/>
  <c r="E159" i="17"/>
  <c r="D159" i="17"/>
  <c r="C159" i="17"/>
  <c r="A159" i="17"/>
  <c r="E168" i="17"/>
  <c r="C168" i="17"/>
  <c r="B168" i="17"/>
  <c r="A168" i="17"/>
  <c r="F168" i="17"/>
  <c r="D168" i="17"/>
  <c r="N164" i="13"/>
  <c r="F255" i="17"/>
  <c r="E255" i="17"/>
  <c r="D255" i="17"/>
  <c r="C255" i="17"/>
  <c r="B255" i="17"/>
  <c r="A255" i="17"/>
  <c r="N251" i="13"/>
  <c r="F18" i="17"/>
  <c r="E18" i="17"/>
  <c r="D18" i="17"/>
  <c r="C18" i="17"/>
  <c r="B18" i="17"/>
  <c r="A18" i="17"/>
  <c r="F24" i="17"/>
  <c r="E24" i="17"/>
  <c r="D24" i="17"/>
  <c r="C24" i="17"/>
  <c r="B24" i="17"/>
  <c r="A24" i="17"/>
  <c r="E32" i="17"/>
  <c r="D32" i="17"/>
  <c r="C32" i="17"/>
  <c r="B32" i="17"/>
  <c r="A32" i="17"/>
  <c r="F32" i="17"/>
  <c r="B39" i="17"/>
  <c r="A39" i="17"/>
  <c r="F39" i="17"/>
  <c r="E39" i="17"/>
  <c r="D39" i="17"/>
  <c r="C39" i="17"/>
  <c r="F46" i="17"/>
  <c r="E46" i="17"/>
  <c r="D46" i="17"/>
  <c r="C46" i="17"/>
  <c r="B46" i="17"/>
  <c r="A46" i="17"/>
  <c r="C54" i="17"/>
  <c r="B54" i="17"/>
  <c r="A54" i="17"/>
  <c r="F54" i="17"/>
  <c r="E54" i="17"/>
  <c r="D54" i="17"/>
  <c r="E60" i="17"/>
  <c r="D60" i="17"/>
  <c r="C60" i="17"/>
  <c r="B60" i="17"/>
  <c r="A60" i="17"/>
  <c r="F60" i="17"/>
  <c r="F68" i="17"/>
  <c r="E68" i="17"/>
  <c r="D68" i="17"/>
  <c r="C68" i="17"/>
  <c r="B68" i="17"/>
  <c r="A68" i="17"/>
  <c r="B74" i="17"/>
  <c r="F74" i="17"/>
  <c r="E74" i="17"/>
  <c r="D74" i="17"/>
  <c r="C74" i="17"/>
  <c r="A74" i="17"/>
  <c r="F127" i="17"/>
  <c r="E127" i="17"/>
  <c r="D127" i="17"/>
  <c r="C127" i="17"/>
  <c r="B127" i="17"/>
  <c r="A127" i="17"/>
  <c r="F180" i="17"/>
  <c r="E180" i="17"/>
  <c r="D180" i="17"/>
  <c r="C180" i="17"/>
  <c r="B180" i="17"/>
  <c r="A180" i="17"/>
  <c r="N176" i="13"/>
  <c r="E273" i="17"/>
  <c r="D273" i="17"/>
  <c r="C273" i="17"/>
  <c r="B273" i="17"/>
  <c r="A273" i="17"/>
  <c r="F273" i="17"/>
  <c r="N269" i="13"/>
  <c r="E198" i="17"/>
  <c r="D198" i="17"/>
  <c r="C198" i="17"/>
  <c r="B198" i="17"/>
  <c r="F198" i="17"/>
  <c r="A198" i="17"/>
  <c r="N194" i="13"/>
  <c r="B207" i="17"/>
  <c r="A207" i="17"/>
  <c r="F207" i="17"/>
  <c r="E207" i="17"/>
  <c r="D207" i="17"/>
  <c r="C207" i="17"/>
  <c r="F212" i="17"/>
  <c r="E212" i="17"/>
  <c r="D212" i="17"/>
  <c r="C212" i="17"/>
  <c r="B212" i="17"/>
  <c r="A212" i="17"/>
  <c r="F230" i="17"/>
  <c r="E230" i="17"/>
  <c r="D230" i="17"/>
  <c r="C230" i="17"/>
  <c r="B230" i="17"/>
  <c r="A230" i="17"/>
  <c r="N226" i="13"/>
  <c r="C251" i="17"/>
  <c r="B251" i="17"/>
  <c r="A251" i="17"/>
  <c r="F251" i="17"/>
  <c r="E251" i="17"/>
  <c r="D251" i="17"/>
  <c r="N247" i="13"/>
  <c r="F253" i="17"/>
  <c r="E253" i="17"/>
  <c r="D253" i="17"/>
  <c r="C253" i="17"/>
  <c r="B253" i="17"/>
  <c r="A253" i="17"/>
  <c r="N249" i="13"/>
  <c r="F271" i="17"/>
  <c r="E271" i="17"/>
  <c r="D271" i="17"/>
  <c r="C271" i="17"/>
  <c r="B271" i="17"/>
  <c r="A271" i="17"/>
  <c r="N267" i="13"/>
  <c r="F221" i="17"/>
  <c r="E221" i="17"/>
  <c r="D221" i="17"/>
  <c r="C221" i="17"/>
  <c r="B221" i="17"/>
  <c r="A221" i="17"/>
  <c r="N217" i="13"/>
  <c r="F202" i="17"/>
  <c r="E202" i="17"/>
  <c r="D202" i="17"/>
  <c r="A202" i="17"/>
  <c r="C202" i="17"/>
  <c r="B202" i="17"/>
  <c r="N198" i="13"/>
  <c r="F211" i="17"/>
  <c r="E211" i="17"/>
  <c r="D211" i="17"/>
  <c r="C211" i="17"/>
  <c r="B211" i="17"/>
  <c r="A211" i="17"/>
  <c r="E216" i="17"/>
  <c r="D216" i="17"/>
  <c r="C216" i="17"/>
  <c r="B216" i="17"/>
  <c r="A216" i="17"/>
  <c r="F216" i="17"/>
  <c r="F233" i="17"/>
  <c r="E233" i="17"/>
  <c r="D233" i="17"/>
  <c r="C233" i="17"/>
  <c r="B233" i="17"/>
  <c r="A233" i="17"/>
  <c r="N229" i="13"/>
  <c r="F241" i="17"/>
  <c r="E241" i="17"/>
  <c r="D241" i="17"/>
  <c r="C241" i="17"/>
  <c r="B241" i="17"/>
  <c r="A241" i="17"/>
  <c r="N237" i="13"/>
  <c r="N207" i="13"/>
  <c r="N212" i="13"/>
  <c r="F225" i="17"/>
  <c r="E225" i="17"/>
  <c r="D225" i="17"/>
  <c r="C225" i="17"/>
  <c r="B225" i="17"/>
  <c r="A225" i="17"/>
  <c r="N221" i="13"/>
  <c r="F238" i="17"/>
  <c r="E238" i="17"/>
  <c r="D238" i="17"/>
  <c r="C238" i="17"/>
  <c r="B238" i="17"/>
  <c r="A238" i="17"/>
  <c r="N234" i="13"/>
  <c r="F269" i="17"/>
  <c r="E269" i="17"/>
  <c r="D269" i="17"/>
  <c r="C269" i="17"/>
  <c r="B269" i="17"/>
  <c r="A269" i="17"/>
  <c r="N265" i="13"/>
  <c r="F281" i="17"/>
  <c r="E281" i="17"/>
  <c r="D281" i="17"/>
  <c r="C281" i="17"/>
  <c r="B281" i="17"/>
  <c r="A281" i="17"/>
  <c r="N277" i="13"/>
  <c r="J6" i="16"/>
  <c r="F206" i="17"/>
  <c r="E206" i="17"/>
  <c r="D206" i="17"/>
  <c r="C206" i="17"/>
  <c r="B206" i="17"/>
  <c r="A206" i="17"/>
  <c r="N202" i="13"/>
  <c r="F215" i="17"/>
  <c r="E215" i="17"/>
  <c r="D215" i="17"/>
  <c r="C215" i="17"/>
  <c r="B215" i="17"/>
  <c r="A215" i="17"/>
  <c r="A220" i="17"/>
  <c r="F220" i="17"/>
  <c r="E220" i="17"/>
  <c r="D220" i="17"/>
  <c r="C220" i="17"/>
  <c r="B220" i="17"/>
  <c r="F287" i="17"/>
  <c r="E287" i="17"/>
  <c r="D287" i="17"/>
  <c r="C287" i="17"/>
  <c r="B287" i="17"/>
  <c r="A287" i="17"/>
  <c r="N283" i="13"/>
  <c r="A293" i="17"/>
  <c r="F293" i="17"/>
  <c r="E293" i="17"/>
  <c r="D293" i="17"/>
  <c r="C293" i="17"/>
  <c r="B293" i="17"/>
  <c r="N289" i="13"/>
  <c r="F235" i="17"/>
  <c r="E235" i="17"/>
  <c r="D235" i="17"/>
  <c r="C235" i="17"/>
  <c r="B235" i="17"/>
  <c r="A235" i="17"/>
  <c r="N231" i="13"/>
  <c r="F243" i="17"/>
  <c r="E243" i="17"/>
  <c r="D243" i="17"/>
  <c r="C243" i="17"/>
  <c r="B243" i="17"/>
  <c r="A243" i="17"/>
  <c r="N239" i="13"/>
  <c r="B248" i="17"/>
  <c r="A248" i="17"/>
  <c r="F248" i="17"/>
  <c r="E248" i="17"/>
  <c r="D248" i="17"/>
  <c r="C248" i="17"/>
  <c r="F260" i="17"/>
  <c r="E260" i="17"/>
  <c r="D260" i="17"/>
  <c r="C260" i="17"/>
  <c r="B260" i="17"/>
  <c r="A260" i="17"/>
  <c r="C267" i="17"/>
  <c r="B267" i="17"/>
  <c r="A267" i="17"/>
  <c r="F267" i="17"/>
  <c r="E267" i="17"/>
  <c r="D267" i="17"/>
  <c r="N263" i="13"/>
  <c r="F297" i="17"/>
  <c r="E297" i="17"/>
  <c r="D297" i="17"/>
  <c r="C297" i="17"/>
  <c r="B297" i="17"/>
  <c r="A297" i="17"/>
  <c r="N293" i="13"/>
  <c r="C210" i="17"/>
  <c r="B210" i="17"/>
  <c r="A210" i="17"/>
  <c r="F210" i="17"/>
  <c r="E210" i="17"/>
  <c r="D210" i="17"/>
  <c r="N206" i="13"/>
  <c r="F219" i="17"/>
  <c r="E219" i="17"/>
  <c r="D219" i="17"/>
  <c r="C219" i="17"/>
  <c r="B219" i="17"/>
  <c r="A219" i="17"/>
  <c r="F224" i="17"/>
  <c r="E224" i="17"/>
  <c r="D224" i="17"/>
  <c r="C224" i="17"/>
  <c r="B224" i="17"/>
  <c r="A224" i="17"/>
  <c r="N244" i="13"/>
  <c r="F256" i="17"/>
  <c r="E256" i="17"/>
  <c r="D256" i="17"/>
  <c r="C256" i="17"/>
  <c r="B256" i="17"/>
  <c r="A256" i="17"/>
  <c r="N256" i="13"/>
  <c r="F279" i="17"/>
  <c r="E279" i="17"/>
  <c r="D279" i="17"/>
  <c r="C279" i="17"/>
  <c r="B279" i="17"/>
  <c r="A279" i="17"/>
  <c r="N275" i="13"/>
  <c r="F301" i="17"/>
  <c r="E301" i="17"/>
  <c r="D301" i="17"/>
  <c r="C301" i="17"/>
  <c r="B301" i="17"/>
  <c r="A301" i="17"/>
  <c r="N297" i="13"/>
  <c r="F201" i="17"/>
  <c r="E201" i="17"/>
  <c r="D201" i="17"/>
  <c r="C201" i="17"/>
  <c r="A201" i="17"/>
  <c r="B201" i="17"/>
  <c r="N197" i="13"/>
  <c r="E232" i="17"/>
  <c r="D232" i="17"/>
  <c r="C232" i="17"/>
  <c r="B232" i="17"/>
  <c r="A232" i="17"/>
  <c r="F232" i="17"/>
  <c r="F240" i="17"/>
  <c r="E240" i="17"/>
  <c r="D240" i="17"/>
  <c r="C240" i="17"/>
  <c r="B240" i="17"/>
  <c r="A240" i="17"/>
  <c r="F252" i="17"/>
  <c r="E252" i="17"/>
  <c r="D252" i="17"/>
  <c r="C252" i="17"/>
  <c r="B252" i="17"/>
  <c r="A252" i="17"/>
  <c r="R4" i="16"/>
  <c r="P4" i="16"/>
  <c r="B5" i="16"/>
  <c r="F196" i="17"/>
  <c r="E196" i="17"/>
  <c r="D196" i="17"/>
  <c r="C196" i="17"/>
  <c r="B196" i="17"/>
  <c r="A196" i="17"/>
  <c r="F214" i="17"/>
  <c r="E214" i="17"/>
  <c r="D214" i="17"/>
  <c r="C214" i="17"/>
  <c r="B214" i="17"/>
  <c r="A214" i="17"/>
  <c r="N210" i="13"/>
  <c r="B223" i="17"/>
  <c r="A223" i="17"/>
  <c r="F223" i="17"/>
  <c r="E223" i="17"/>
  <c r="D223" i="17"/>
  <c r="C223" i="17"/>
  <c r="F228" i="17"/>
  <c r="E228" i="17"/>
  <c r="D228" i="17"/>
  <c r="C228" i="17"/>
  <c r="B228" i="17"/>
  <c r="A228" i="17"/>
  <c r="F265" i="17"/>
  <c r="E265" i="17"/>
  <c r="D265" i="17"/>
  <c r="C265" i="17"/>
  <c r="B265" i="17"/>
  <c r="A265" i="17"/>
  <c r="N261" i="13"/>
  <c r="K4" i="16"/>
  <c r="E5" i="16"/>
  <c r="F125" i="17"/>
  <c r="E125" i="17"/>
  <c r="D125" i="17"/>
  <c r="C125" i="17"/>
  <c r="B125" i="17"/>
  <c r="A125" i="17"/>
  <c r="F129" i="17"/>
  <c r="E129" i="17"/>
  <c r="D129" i="17"/>
  <c r="C129" i="17"/>
  <c r="B129" i="17"/>
  <c r="A129" i="17"/>
  <c r="F133" i="17"/>
  <c r="E133" i="17"/>
  <c r="D133" i="17"/>
  <c r="C133" i="17"/>
  <c r="B133" i="17"/>
  <c r="A133" i="17"/>
  <c r="D137" i="17"/>
  <c r="C137" i="17"/>
  <c r="B137" i="17"/>
  <c r="A137" i="17"/>
  <c r="F137" i="17"/>
  <c r="E137" i="17"/>
  <c r="F141" i="17"/>
  <c r="E141" i="17"/>
  <c r="D141" i="17"/>
  <c r="C141" i="17"/>
  <c r="B141" i="17"/>
  <c r="A141" i="17"/>
  <c r="F145" i="17"/>
  <c r="E145" i="17"/>
  <c r="D145" i="17"/>
  <c r="C145" i="17"/>
  <c r="B145" i="17"/>
  <c r="A145" i="17"/>
  <c r="F149" i="17"/>
  <c r="E149" i="17"/>
  <c r="D149" i="17"/>
  <c r="C149" i="17"/>
  <c r="B149" i="17"/>
  <c r="A149" i="17"/>
  <c r="D153" i="17"/>
  <c r="C153" i="17"/>
  <c r="B153" i="17"/>
  <c r="A153" i="17"/>
  <c r="F153" i="17"/>
  <c r="E153" i="17"/>
  <c r="F157" i="17"/>
  <c r="E157" i="17"/>
  <c r="A157" i="17"/>
  <c r="D157" i="17"/>
  <c r="C157" i="17"/>
  <c r="B157" i="17"/>
  <c r="F161" i="17"/>
  <c r="E161" i="17"/>
  <c r="D161" i="17"/>
  <c r="C161" i="17"/>
  <c r="B161" i="17"/>
  <c r="A161" i="17"/>
  <c r="D165" i="17"/>
  <c r="B165" i="17"/>
  <c r="A165" i="17"/>
  <c r="F165" i="17"/>
  <c r="E165" i="17"/>
  <c r="C165" i="17"/>
  <c r="E169" i="17"/>
  <c r="D169" i="17"/>
  <c r="C169" i="17"/>
  <c r="B169" i="17"/>
  <c r="A169" i="17"/>
  <c r="F169" i="17"/>
  <c r="F173" i="17"/>
  <c r="E173" i="17"/>
  <c r="D173" i="17"/>
  <c r="C173" i="17"/>
  <c r="B173" i="17"/>
  <c r="A173" i="17"/>
  <c r="F177" i="17"/>
  <c r="E177" i="17"/>
  <c r="D177" i="17"/>
  <c r="C177" i="17"/>
  <c r="B177" i="17"/>
  <c r="A177" i="17"/>
  <c r="D181" i="17"/>
  <c r="C181" i="17"/>
  <c r="B181" i="17"/>
  <c r="A181" i="17"/>
  <c r="E181" i="17"/>
  <c r="F181" i="17"/>
  <c r="F185" i="17"/>
  <c r="E185" i="17"/>
  <c r="D185" i="17"/>
  <c r="C185" i="17"/>
  <c r="B185" i="17"/>
  <c r="A185" i="17"/>
  <c r="F189" i="17"/>
  <c r="E189" i="17"/>
  <c r="B189" i="17"/>
  <c r="A189" i="17"/>
  <c r="D189" i="17"/>
  <c r="C189" i="17"/>
  <c r="F193" i="17"/>
  <c r="E193" i="17"/>
  <c r="D193" i="17"/>
  <c r="C193" i="17"/>
  <c r="B193" i="17"/>
  <c r="A193" i="17"/>
  <c r="D195" i="17"/>
  <c r="C195" i="17"/>
  <c r="B195" i="17"/>
  <c r="A195" i="17"/>
  <c r="F195" i="17"/>
  <c r="E195" i="17"/>
  <c r="N192" i="13"/>
  <c r="F205" i="17"/>
  <c r="E205" i="17"/>
  <c r="B205" i="17"/>
  <c r="A205" i="17"/>
  <c r="D205" i="17"/>
  <c r="C205" i="17"/>
  <c r="N201" i="13"/>
  <c r="N219" i="13"/>
  <c r="N224" i="13"/>
  <c r="A277" i="17"/>
  <c r="F277" i="17"/>
  <c r="E277" i="17"/>
  <c r="D277" i="17"/>
  <c r="C277" i="17"/>
  <c r="B277" i="17"/>
  <c r="N273" i="13"/>
  <c r="F285" i="17"/>
  <c r="E285" i="17"/>
  <c r="D285" i="17"/>
  <c r="C285" i="17"/>
  <c r="B285" i="17"/>
  <c r="A285" i="17"/>
  <c r="N281" i="13"/>
  <c r="N121" i="13"/>
  <c r="N125" i="13"/>
  <c r="N129" i="13"/>
  <c r="N133" i="13"/>
  <c r="N137" i="13"/>
  <c r="N141" i="13"/>
  <c r="N145" i="13"/>
  <c r="N149" i="13"/>
  <c r="N153" i="13"/>
  <c r="N157" i="13"/>
  <c r="N161" i="13"/>
  <c r="N165" i="13"/>
  <c r="N169" i="13"/>
  <c r="N173" i="13"/>
  <c r="N177" i="13"/>
  <c r="N181" i="13"/>
  <c r="N185" i="13"/>
  <c r="N189" i="13"/>
  <c r="N191" i="13"/>
  <c r="E200" i="17"/>
  <c r="D200" i="17"/>
  <c r="C200" i="17"/>
  <c r="B200" i="17"/>
  <c r="A200" i="17"/>
  <c r="F200" i="17"/>
  <c r="F218" i="17"/>
  <c r="E218" i="17"/>
  <c r="D218" i="17"/>
  <c r="C218" i="17"/>
  <c r="B218" i="17"/>
  <c r="A218" i="17"/>
  <c r="N214" i="13"/>
  <c r="F227" i="17"/>
  <c r="E227" i="17"/>
  <c r="D227" i="17"/>
  <c r="C227" i="17"/>
  <c r="B227" i="17"/>
  <c r="A227" i="17"/>
  <c r="F237" i="17"/>
  <c r="E237" i="17"/>
  <c r="D237" i="17"/>
  <c r="C237" i="17"/>
  <c r="B237" i="17"/>
  <c r="A237" i="17"/>
  <c r="N233" i="13"/>
  <c r="A245" i="17"/>
  <c r="D245" i="17"/>
  <c r="F245" i="17"/>
  <c r="E245" i="17"/>
  <c r="C245" i="17"/>
  <c r="B245" i="17"/>
  <c r="N241" i="13"/>
  <c r="F263" i="17"/>
  <c r="E263" i="17"/>
  <c r="D263" i="17"/>
  <c r="C263" i="17"/>
  <c r="B263" i="17"/>
  <c r="A263" i="17"/>
  <c r="N259" i="13"/>
  <c r="F291" i="17"/>
  <c r="E291" i="17"/>
  <c r="D291" i="17"/>
  <c r="C291" i="17"/>
  <c r="B291" i="17"/>
  <c r="A291" i="17"/>
  <c r="N287" i="13"/>
  <c r="C194" i="17"/>
  <c r="B194" i="17"/>
  <c r="A194" i="17"/>
  <c r="F194" i="17"/>
  <c r="E194" i="17"/>
  <c r="D194" i="17"/>
  <c r="N190" i="13"/>
  <c r="F209" i="17"/>
  <c r="E209" i="17"/>
  <c r="D209" i="17"/>
  <c r="C209" i="17"/>
  <c r="B209" i="17"/>
  <c r="A209" i="17"/>
  <c r="N205" i="13"/>
  <c r="N223" i="13"/>
  <c r="F234" i="17"/>
  <c r="E234" i="17"/>
  <c r="D234" i="17"/>
  <c r="C234" i="17"/>
  <c r="B234" i="17"/>
  <c r="A234" i="17"/>
  <c r="N230" i="13"/>
  <c r="F242" i="17"/>
  <c r="E242" i="17"/>
  <c r="D242" i="17"/>
  <c r="C242" i="17"/>
  <c r="B242" i="17"/>
  <c r="A242" i="17"/>
  <c r="N238" i="13"/>
  <c r="F275" i="17"/>
  <c r="E275" i="17"/>
  <c r="D275" i="17"/>
  <c r="C275" i="17"/>
  <c r="B275" i="17"/>
  <c r="A275" i="17"/>
  <c r="N271" i="13"/>
  <c r="F199" i="17"/>
  <c r="E199" i="17"/>
  <c r="D199" i="17"/>
  <c r="C199" i="17"/>
  <c r="B199" i="17"/>
  <c r="A199" i="17"/>
  <c r="A204" i="17"/>
  <c r="F204" i="17"/>
  <c r="E204" i="17"/>
  <c r="D204" i="17"/>
  <c r="B204" i="17"/>
  <c r="C204" i="17"/>
  <c r="F222" i="17"/>
  <c r="E222" i="17"/>
  <c r="D222" i="17"/>
  <c r="C222" i="17"/>
  <c r="B222" i="17"/>
  <c r="A222" i="17"/>
  <c r="N218" i="13"/>
  <c r="F231" i="17"/>
  <c r="E231" i="17"/>
  <c r="D231" i="17"/>
  <c r="C231" i="17"/>
  <c r="B231" i="17"/>
  <c r="A231" i="17"/>
  <c r="N227" i="13"/>
  <c r="F247" i="17"/>
  <c r="E247" i="17"/>
  <c r="D247" i="17"/>
  <c r="C247" i="17"/>
  <c r="B247" i="17"/>
  <c r="A247" i="17"/>
  <c r="N243" i="13"/>
  <c r="S4" i="16"/>
  <c r="E106" i="17"/>
  <c r="D106" i="17"/>
  <c r="C106" i="17"/>
  <c r="B106" i="17"/>
  <c r="F106" i="17"/>
  <c r="A106" i="17"/>
  <c r="F110" i="17"/>
  <c r="E110" i="17"/>
  <c r="D110" i="17"/>
  <c r="C110" i="17"/>
  <c r="A110" i="17"/>
  <c r="B110" i="17"/>
  <c r="F114" i="17"/>
  <c r="E114" i="17"/>
  <c r="D114" i="17"/>
  <c r="C114" i="17"/>
  <c r="B114" i="17"/>
  <c r="A114" i="17"/>
  <c r="C118" i="17"/>
  <c r="B118" i="17"/>
  <c r="A118" i="17"/>
  <c r="F118" i="17"/>
  <c r="E118" i="17"/>
  <c r="D118" i="17"/>
  <c r="F122" i="17"/>
  <c r="E122" i="17"/>
  <c r="D122" i="17"/>
  <c r="C122" i="17"/>
  <c r="B122" i="17"/>
  <c r="A122" i="17"/>
  <c r="F126" i="17"/>
  <c r="E126" i="17"/>
  <c r="D126" i="17"/>
  <c r="C126" i="17"/>
  <c r="B126" i="17"/>
  <c r="A126" i="17"/>
  <c r="F130" i="17"/>
  <c r="E130" i="17"/>
  <c r="D130" i="17"/>
  <c r="C130" i="17"/>
  <c r="B130" i="17"/>
  <c r="A130" i="17"/>
  <c r="C134" i="17"/>
  <c r="B134" i="17"/>
  <c r="A134" i="17"/>
  <c r="F134" i="17"/>
  <c r="E134" i="17"/>
  <c r="D134" i="17"/>
  <c r="F138" i="17"/>
  <c r="E138" i="17"/>
  <c r="D138" i="17"/>
  <c r="C138" i="17"/>
  <c r="B138" i="17"/>
  <c r="A138" i="17"/>
  <c r="F142" i="17"/>
  <c r="E142" i="17"/>
  <c r="D142" i="17"/>
  <c r="C142" i="17"/>
  <c r="B142" i="17"/>
  <c r="A142" i="17"/>
  <c r="F146" i="17"/>
  <c r="E146" i="17"/>
  <c r="D146" i="17"/>
  <c r="C146" i="17"/>
  <c r="B146" i="17"/>
  <c r="A146" i="17"/>
  <c r="C150" i="17"/>
  <c r="B150" i="17"/>
  <c r="A150" i="17"/>
  <c r="F150" i="17"/>
  <c r="E150" i="17"/>
  <c r="D150" i="17"/>
  <c r="F154" i="17"/>
  <c r="E154" i="17"/>
  <c r="D154" i="17"/>
  <c r="C154" i="17"/>
  <c r="B154" i="17"/>
  <c r="A154" i="17"/>
  <c r="E158" i="17"/>
  <c r="D158" i="17"/>
  <c r="C158" i="17"/>
  <c r="B158" i="17"/>
  <c r="A158" i="17"/>
  <c r="F158" i="17"/>
  <c r="C162" i="17"/>
  <c r="A162" i="17"/>
  <c r="F162" i="17"/>
  <c r="E162" i="17"/>
  <c r="D162" i="17"/>
  <c r="B162" i="17"/>
  <c r="F166" i="17"/>
  <c r="E166" i="17"/>
  <c r="D166" i="17"/>
  <c r="C166" i="17"/>
  <c r="B166" i="17"/>
  <c r="A166" i="17"/>
  <c r="F170" i="17"/>
  <c r="E170" i="17"/>
  <c r="D170" i="17"/>
  <c r="C170" i="17"/>
  <c r="B170" i="17"/>
  <c r="A170" i="17"/>
  <c r="F174" i="17"/>
  <c r="E174" i="17"/>
  <c r="D174" i="17"/>
  <c r="C174" i="17"/>
  <c r="B174" i="17"/>
  <c r="A174" i="17"/>
  <c r="C178" i="17"/>
  <c r="B178" i="17"/>
  <c r="A178" i="17"/>
  <c r="D178" i="17"/>
  <c r="F178" i="17"/>
  <c r="E178" i="17"/>
  <c r="F182" i="17"/>
  <c r="E182" i="17"/>
  <c r="D182" i="17"/>
  <c r="C182" i="17"/>
  <c r="B182" i="17"/>
  <c r="A182" i="17"/>
  <c r="F186" i="17"/>
  <c r="E186" i="17"/>
  <c r="D186" i="17"/>
  <c r="A186" i="17"/>
  <c r="C186" i="17"/>
  <c r="B186" i="17"/>
  <c r="F190" i="17"/>
  <c r="E190" i="17"/>
  <c r="D190" i="17"/>
  <c r="C190" i="17"/>
  <c r="B190" i="17"/>
  <c r="A190" i="17"/>
  <c r="N195" i="13"/>
  <c r="N200" i="13"/>
  <c r="D213" i="17"/>
  <c r="C213" i="17"/>
  <c r="B213" i="17"/>
  <c r="A213" i="17"/>
  <c r="F213" i="17"/>
  <c r="E213" i="17"/>
  <c r="N209" i="13"/>
  <c r="B239" i="17"/>
  <c r="A239" i="17"/>
  <c r="F239" i="17"/>
  <c r="E239" i="17"/>
  <c r="D239" i="17"/>
  <c r="C239" i="17"/>
  <c r="N235" i="13"/>
  <c r="A261" i="17"/>
  <c r="F261" i="17"/>
  <c r="E261" i="17"/>
  <c r="D261" i="17"/>
  <c r="C261" i="17"/>
  <c r="B261" i="17"/>
  <c r="N257" i="13"/>
  <c r="F295" i="17"/>
  <c r="E295" i="17"/>
  <c r="D295" i="17"/>
  <c r="C295" i="17"/>
  <c r="B295" i="17"/>
  <c r="A295" i="17"/>
  <c r="N291" i="13"/>
  <c r="K3" i="16"/>
  <c r="X4" i="16"/>
  <c r="X5" i="16"/>
  <c r="B264" i="17"/>
  <c r="A264" i="17"/>
  <c r="F264" i="17"/>
  <c r="E264" i="17"/>
  <c r="D264" i="17"/>
  <c r="C264" i="17"/>
  <c r="F268" i="17"/>
  <c r="E268" i="17"/>
  <c r="D268" i="17"/>
  <c r="C268" i="17"/>
  <c r="B268" i="17"/>
  <c r="A268" i="17"/>
  <c r="F272" i="17"/>
  <c r="E272" i="17"/>
  <c r="D272" i="17"/>
  <c r="C272" i="17"/>
  <c r="B272" i="17"/>
  <c r="A272" i="17"/>
  <c r="F276" i="17"/>
  <c r="E276" i="17"/>
  <c r="D276" i="17"/>
  <c r="C276" i="17"/>
  <c r="B276" i="17"/>
  <c r="A276" i="17"/>
  <c r="B280" i="17"/>
  <c r="A280" i="17"/>
  <c r="F280" i="17"/>
  <c r="E280" i="17"/>
  <c r="D280" i="17"/>
  <c r="C280" i="17"/>
  <c r="F284" i="17"/>
  <c r="E284" i="17"/>
  <c r="D284" i="17"/>
  <c r="C284" i="17"/>
  <c r="B284" i="17"/>
  <c r="A284" i="17"/>
  <c r="F288" i="17"/>
  <c r="E288" i="17"/>
  <c r="D288" i="17"/>
  <c r="C288" i="17"/>
  <c r="B288" i="17"/>
  <c r="A288" i="17"/>
  <c r="F292" i="17"/>
  <c r="E292" i="17"/>
  <c r="D292" i="17"/>
  <c r="C292" i="17"/>
  <c r="B292" i="17"/>
  <c r="A292" i="17"/>
  <c r="B296" i="17"/>
  <c r="A296" i="17"/>
  <c r="F296" i="17"/>
  <c r="E296" i="17"/>
  <c r="D296" i="17"/>
  <c r="C296" i="17"/>
  <c r="F300" i="17"/>
  <c r="E300" i="17"/>
  <c r="D300" i="17"/>
  <c r="C300" i="17"/>
  <c r="B300" i="17"/>
  <c r="A300" i="17"/>
  <c r="F304" i="17"/>
  <c r="E304" i="17"/>
  <c r="D304" i="17"/>
  <c r="C304" i="17"/>
  <c r="B304" i="17"/>
  <c r="A304" i="17"/>
  <c r="Z5" i="16"/>
  <c r="N280" i="13"/>
  <c r="N284" i="13"/>
  <c r="N288" i="13"/>
  <c r="N292" i="13"/>
  <c r="N296" i="13"/>
  <c r="N300" i="13"/>
  <c r="P3" i="16"/>
  <c r="AF24" i="16" s="1"/>
  <c r="H5" i="16"/>
  <c r="X6" i="16"/>
  <c r="AF21" i="16"/>
  <c r="E305" i="17"/>
  <c r="D305" i="17"/>
  <c r="C305" i="17"/>
  <c r="B305" i="17"/>
  <c r="A305" i="17"/>
  <c r="F305" i="17"/>
  <c r="Z6" i="16"/>
  <c r="AG21" i="16"/>
  <c r="N301" i="13"/>
  <c r="M5" i="16"/>
  <c r="A7" i="16"/>
  <c r="AG24" i="16"/>
  <c r="X3" i="16"/>
  <c r="AF27" i="16" s="1"/>
  <c r="H6" i="16"/>
  <c r="F246" i="17"/>
  <c r="E246" i="17"/>
  <c r="D246" i="17"/>
  <c r="C246" i="17"/>
  <c r="B246" i="17"/>
  <c r="A246" i="17"/>
  <c r="F250" i="17"/>
  <c r="E250" i="17"/>
  <c r="D250" i="17"/>
  <c r="C250" i="17"/>
  <c r="B250" i="17"/>
  <c r="A250" i="17"/>
  <c r="D254" i="17"/>
  <c r="C254" i="17"/>
  <c r="B254" i="17"/>
  <c r="A254" i="17"/>
  <c r="F254" i="17"/>
  <c r="E254" i="17"/>
  <c r="F258" i="17"/>
  <c r="E258" i="17"/>
  <c r="D258" i="17"/>
  <c r="C258" i="17"/>
  <c r="B258" i="17"/>
  <c r="A258" i="17"/>
  <c r="F262" i="17"/>
  <c r="E262" i="17"/>
  <c r="D262" i="17"/>
  <c r="C262" i="17"/>
  <c r="B262" i="17"/>
  <c r="A262" i="17"/>
  <c r="F266" i="17"/>
  <c r="E266" i="17"/>
  <c r="D266" i="17"/>
  <c r="C266" i="17"/>
  <c r="B266" i="17"/>
  <c r="A266" i="17"/>
  <c r="D270" i="17"/>
  <c r="C270" i="17"/>
  <c r="B270" i="17"/>
  <c r="A270" i="17"/>
  <c r="F270" i="17"/>
  <c r="E270" i="17"/>
  <c r="F274" i="17"/>
  <c r="E274" i="17"/>
  <c r="D274" i="17"/>
  <c r="C274" i="17"/>
  <c r="B274" i="17"/>
  <c r="A274" i="17"/>
  <c r="F278" i="17"/>
  <c r="E278" i="17"/>
  <c r="D278" i="17"/>
  <c r="C278" i="17"/>
  <c r="B278" i="17"/>
  <c r="A278" i="17"/>
  <c r="F282" i="17"/>
  <c r="E282" i="17"/>
  <c r="D282" i="17"/>
  <c r="C282" i="17"/>
  <c r="B282" i="17"/>
  <c r="A282" i="17"/>
  <c r="D286" i="17"/>
  <c r="C286" i="17"/>
  <c r="B286" i="17"/>
  <c r="A286" i="17"/>
  <c r="F286" i="17"/>
  <c r="E286" i="17"/>
  <c r="F290" i="17"/>
  <c r="E290" i="17"/>
  <c r="D290" i="17"/>
  <c r="C290" i="17"/>
  <c r="B290" i="17"/>
  <c r="A290" i="17"/>
  <c r="F294" i="17"/>
  <c r="E294" i="17"/>
  <c r="D294" i="17"/>
  <c r="C294" i="17"/>
  <c r="B294" i="17"/>
  <c r="A294" i="17"/>
  <c r="F298" i="17"/>
  <c r="E298" i="17"/>
  <c r="D298" i="17"/>
  <c r="C298" i="17"/>
  <c r="B298" i="17"/>
  <c r="A298" i="17"/>
  <c r="D302" i="17"/>
  <c r="C302" i="17"/>
  <c r="B302" i="17"/>
  <c r="A302" i="17"/>
  <c r="F302" i="17"/>
  <c r="E302" i="17"/>
  <c r="Z3" i="16"/>
  <c r="U4" i="16"/>
  <c r="AG27" i="16"/>
  <c r="N242" i="13"/>
  <c r="N246" i="13"/>
  <c r="N250" i="13"/>
  <c r="N254" i="13"/>
  <c r="N258" i="13"/>
  <c r="N262" i="13"/>
  <c r="N266" i="13"/>
  <c r="N270" i="13"/>
  <c r="N274" i="13"/>
  <c r="N278" i="13"/>
  <c r="N282" i="13"/>
  <c r="N286" i="13"/>
  <c r="N290" i="13"/>
  <c r="N294" i="13"/>
  <c r="N298" i="13"/>
  <c r="J52" i="5" l="1"/>
  <c r="Z42" i="7"/>
  <c r="J58" i="5"/>
  <c r="Z48" i="7"/>
  <c r="G206" i="17"/>
  <c r="AE206" i="17"/>
  <c r="AD206" i="17"/>
  <c r="AC206" i="17"/>
  <c r="AB206" i="17"/>
  <c r="AA206" i="17"/>
  <c r="U206" i="17"/>
  <c r="T206" i="17"/>
  <c r="R206" i="17"/>
  <c r="Q206" i="17"/>
  <c r="K206" i="17"/>
  <c r="J206" i="17"/>
  <c r="S206" i="17"/>
  <c r="I206" i="17"/>
  <c r="H206" i="17"/>
  <c r="AB191" i="17"/>
  <c r="AA191" i="17"/>
  <c r="U191" i="17"/>
  <c r="T191" i="17"/>
  <c r="S191" i="17"/>
  <c r="R191" i="17"/>
  <c r="Q191" i="17"/>
  <c r="K191" i="17"/>
  <c r="H191" i="17"/>
  <c r="G191" i="17"/>
  <c r="AE191" i="17"/>
  <c r="AC191" i="17"/>
  <c r="J191" i="17"/>
  <c r="I191" i="17"/>
  <c r="AD191" i="17"/>
  <c r="AB175" i="17"/>
  <c r="AA175" i="17"/>
  <c r="U175" i="17"/>
  <c r="T175" i="17"/>
  <c r="S175" i="17"/>
  <c r="R175" i="17"/>
  <c r="Q175" i="17"/>
  <c r="K175" i="17"/>
  <c r="AE175" i="17"/>
  <c r="AD175" i="17"/>
  <c r="AC175" i="17"/>
  <c r="J175" i="17"/>
  <c r="I175" i="17"/>
  <c r="H175" i="17"/>
  <c r="G175" i="17"/>
  <c r="G22" i="17"/>
  <c r="AE22" i="17"/>
  <c r="AD22" i="17"/>
  <c r="AC22" i="17"/>
  <c r="AB22" i="17"/>
  <c r="AA22" i="17"/>
  <c r="U22" i="17"/>
  <c r="T22" i="17"/>
  <c r="S22" i="17"/>
  <c r="R22" i="17"/>
  <c r="Q22" i="17"/>
  <c r="K22" i="17"/>
  <c r="J22" i="17"/>
  <c r="I22" i="17"/>
  <c r="H22" i="17"/>
  <c r="AD197" i="17"/>
  <c r="AC197" i="17"/>
  <c r="AB197" i="17"/>
  <c r="AA197" i="17"/>
  <c r="U197" i="17"/>
  <c r="T197" i="17"/>
  <c r="S197" i="17"/>
  <c r="R197" i="17"/>
  <c r="J197" i="17"/>
  <c r="I197" i="17"/>
  <c r="H197" i="17"/>
  <c r="G197" i="17"/>
  <c r="AE197" i="17"/>
  <c r="Q197" i="17"/>
  <c r="K197" i="17"/>
  <c r="AE76" i="17"/>
  <c r="AD76" i="17"/>
  <c r="AC76" i="17"/>
  <c r="AB76" i="17"/>
  <c r="AA76" i="17"/>
  <c r="U76" i="17"/>
  <c r="T76" i="17"/>
  <c r="S76" i="17"/>
  <c r="R76" i="17"/>
  <c r="H76" i="17"/>
  <c r="J76" i="17"/>
  <c r="I76" i="17"/>
  <c r="G76" i="17"/>
  <c r="Q76" i="17"/>
  <c r="K76" i="17"/>
  <c r="AD54" i="7"/>
  <c r="F64" i="5" s="1"/>
  <c r="Y46" i="7"/>
  <c r="G8" i="7"/>
  <c r="F8" i="7"/>
  <c r="E8" i="7"/>
  <c r="Q14" i="9"/>
  <c r="P14" i="9"/>
  <c r="O14" i="9"/>
  <c r="P21" i="7"/>
  <c r="F31" i="7"/>
  <c r="L65" i="7"/>
  <c r="M65" i="7" s="1"/>
  <c r="L27" i="7"/>
  <c r="AA41" i="7"/>
  <c r="I51" i="5" s="1"/>
  <c r="AT5" i="17"/>
  <c r="O5" i="1" s="1"/>
  <c r="C13" i="5"/>
  <c r="L24" i="5" s="1"/>
  <c r="N24" i="5" s="1"/>
  <c r="G5" i="1"/>
  <c r="S300" i="17"/>
  <c r="R300" i="17"/>
  <c r="Q300" i="17"/>
  <c r="K300" i="17"/>
  <c r="J300" i="17"/>
  <c r="I300" i="17"/>
  <c r="H300" i="17"/>
  <c r="G300" i="17"/>
  <c r="AE300" i="17"/>
  <c r="AD300" i="17"/>
  <c r="AC300" i="17"/>
  <c r="AB300" i="17"/>
  <c r="AA300" i="17"/>
  <c r="U300" i="17"/>
  <c r="T300" i="17"/>
  <c r="S268" i="17"/>
  <c r="R268" i="17"/>
  <c r="Q268" i="17"/>
  <c r="K268" i="17"/>
  <c r="J268" i="17"/>
  <c r="I268" i="17"/>
  <c r="H268" i="17"/>
  <c r="G268" i="17"/>
  <c r="AE268" i="17"/>
  <c r="AD268" i="17"/>
  <c r="AC268" i="17"/>
  <c r="AB268" i="17"/>
  <c r="AA268" i="17"/>
  <c r="U268" i="17"/>
  <c r="T268" i="17"/>
  <c r="G158" i="17"/>
  <c r="AE158" i="17"/>
  <c r="AD158" i="17"/>
  <c r="AC158" i="17"/>
  <c r="AB158" i="17"/>
  <c r="AA158" i="17"/>
  <c r="U158" i="17"/>
  <c r="J158" i="17"/>
  <c r="I158" i="17"/>
  <c r="H158" i="17"/>
  <c r="T158" i="17"/>
  <c r="S158" i="17"/>
  <c r="R158" i="17"/>
  <c r="Q158" i="17"/>
  <c r="K158" i="17"/>
  <c r="AE219" i="17"/>
  <c r="AD219" i="17"/>
  <c r="AC219" i="17"/>
  <c r="AB219" i="17"/>
  <c r="AA219" i="17"/>
  <c r="U219" i="17"/>
  <c r="T219" i="17"/>
  <c r="S219" i="17"/>
  <c r="R219" i="17"/>
  <c r="Q219" i="17"/>
  <c r="K219" i="17"/>
  <c r="J219" i="17"/>
  <c r="I219" i="17"/>
  <c r="H219" i="17"/>
  <c r="G219" i="17"/>
  <c r="I269" i="17"/>
  <c r="H269" i="17"/>
  <c r="G269" i="17"/>
  <c r="AE269" i="17"/>
  <c r="AD269" i="17"/>
  <c r="AC269" i="17"/>
  <c r="AB269" i="17"/>
  <c r="AA269" i="17"/>
  <c r="U269" i="17"/>
  <c r="T269" i="17"/>
  <c r="S269" i="17"/>
  <c r="R269" i="17"/>
  <c r="Q269" i="17"/>
  <c r="K269" i="17"/>
  <c r="J269" i="17"/>
  <c r="AC251" i="17"/>
  <c r="AB251" i="17"/>
  <c r="AA251" i="17"/>
  <c r="U251" i="17"/>
  <c r="T251" i="17"/>
  <c r="S251" i="17"/>
  <c r="R251" i="17"/>
  <c r="Q251" i="17"/>
  <c r="K251" i="17"/>
  <c r="J251" i="17"/>
  <c r="I251" i="17"/>
  <c r="H251" i="17"/>
  <c r="G251" i="17"/>
  <c r="AE251" i="17"/>
  <c r="AD251" i="17"/>
  <c r="R176" i="17"/>
  <c r="Q176" i="17"/>
  <c r="K176" i="17"/>
  <c r="J176" i="17"/>
  <c r="I176" i="17"/>
  <c r="H176" i="17"/>
  <c r="G176" i="17"/>
  <c r="S176" i="17"/>
  <c r="AE176" i="17"/>
  <c r="AD176" i="17"/>
  <c r="AC176" i="17"/>
  <c r="AB176" i="17"/>
  <c r="AA176" i="17"/>
  <c r="U176" i="17"/>
  <c r="T176" i="17"/>
  <c r="U61" i="17"/>
  <c r="T61" i="17"/>
  <c r="S61" i="17"/>
  <c r="R61" i="17"/>
  <c r="Q61" i="17"/>
  <c r="K61" i="17"/>
  <c r="J61" i="17"/>
  <c r="I61" i="17"/>
  <c r="H61" i="17"/>
  <c r="AE61" i="17"/>
  <c r="AD61" i="17"/>
  <c r="AC61" i="17"/>
  <c r="AB61" i="17"/>
  <c r="AA61" i="17"/>
  <c r="G61" i="17"/>
  <c r="AE79" i="17"/>
  <c r="AD79" i="17"/>
  <c r="AC79" i="17"/>
  <c r="AB79" i="17"/>
  <c r="AA79" i="17"/>
  <c r="U79" i="17"/>
  <c r="T79" i="17"/>
  <c r="S79" i="17"/>
  <c r="Q79" i="17"/>
  <c r="I79" i="17"/>
  <c r="R79" i="17"/>
  <c r="K79" i="17"/>
  <c r="J79" i="17"/>
  <c r="H79" i="17"/>
  <c r="G79" i="17"/>
  <c r="AE187" i="17"/>
  <c r="AD187" i="17"/>
  <c r="AC187" i="17"/>
  <c r="AB187" i="17"/>
  <c r="AA187" i="17"/>
  <c r="U187" i="17"/>
  <c r="T187" i="17"/>
  <c r="Q187" i="17"/>
  <c r="K187" i="17"/>
  <c r="J187" i="17"/>
  <c r="I187" i="17"/>
  <c r="S187" i="17"/>
  <c r="R187" i="17"/>
  <c r="H187" i="17"/>
  <c r="G187" i="17"/>
  <c r="Q294" i="17"/>
  <c r="K294" i="17"/>
  <c r="J294" i="17"/>
  <c r="I294" i="17"/>
  <c r="H294" i="17"/>
  <c r="G294" i="17"/>
  <c r="AE294" i="17"/>
  <c r="AD294" i="17"/>
  <c r="AC294" i="17"/>
  <c r="AB294" i="17"/>
  <c r="AA294" i="17"/>
  <c r="U294" i="17"/>
  <c r="T294" i="17"/>
  <c r="S294" i="17"/>
  <c r="R294" i="17"/>
  <c r="Q262" i="17"/>
  <c r="K262" i="17"/>
  <c r="J262" i="17"/>
  <c r="I262" i="17"/>
  <c r="H262" i="17"/>
  <c r="G262" i="17"/>
  <c r="AE262" i="17"/>
  <c r="AD262" i="17"/>
  <c r="AC262" i="17"/>
  <c r="AB262" i="17"/>
  <c r="AA262" i="17"/>
  <c r="U262" i="17"/>
  <c r="T262" i="17"/>
  <c r="S262" i="17"/>
  <c r="R262" i="17"/>
  <c r="G146" i="17"/>
  <c r="AE146" i="17"/>
  <c r="AD146" i="17"/>
  <c r="AC146" i="17"/>
  <c r="AB146" i="17"/>
  <c r="AA146" i="17"/>
  <c r="U146" i="17"/>
  <c r="T146" i="17"/>
  <c r="S146" i="17"/>
  <c r="R146" i="17"/>
  <c r="Q146" i="17"/>
  <c r="K146" i="17"/>
  <c r="J146" i="17"/>
  <c r="I146" i="17"/>
  <c r="H146" i="17"/>
  <c r="G114" i="17"/>
  <c r="AE114" i="17"/>
  <c r="AD114" i="17"/>
  <c r="AC114" i="17"/>
  <c r="AB114" i="17"/>
  <c r="AA114" i="17"/>
  <c r="U114" i="17"/>
  <c r="T114" i="17"/>
  <c r="R114" i="17"/>
  <c r="Q114" i="17"/>
  <c r="K114" i="17"/>
  <c r="J114" i="17"/>
  <c r="S114" i="17"/>
  <c r="I114" i="17"/>
  <c r="H114" i="17"/>
  <c r="G263" i="17"/>
  <c r="AE263" i="17"/>
  <c r="AD263" i="17"/>
  <c r="AC263" i="17"/>
  <c r="AB263" i="17"/>
  <c r="AA263" i="17"/>
  <c r="U263" i="17"/>
  <c r="T263" i="17"/>
  <c r="S263" i="17"/>
  <c r="R263" i="17"/>
  <c r="Q263" i="17"/>
  <c r="K263" i="17"/>
  <c r="J263" i="17"/>
  <c r="I263" i="17"/>
  <c r="H263" i="17"/>
  <c r="Q189" i="17"/>
  <c r="K189" i="17"/>
  <c r="J189" i="17"/>
  <c r="I189" i="17"/>
  <c r="H189" i="17"/>
  <c r="G189" i="17"/>
  <c r="AE189" i="17"/>
  <c r="AB189" i="17"/>
  <c r="AA189" i="17"/>
  <c r="U189" i="17"/>
  <c r="T189" i="17"/>
  <c r="AD189" i="17"/>
  <c r="AC189" i="17"/>
  <c r="S189" i="17"/>
  <c r="R189" i="17"/>
  <c r="H177" i="17"/>
  <c r="G177" i="17"/>
  <c r="AE177" i="17"/>
  <c r="AD177" i="17"/>
  <c r="AC177" i="17"/>
  <c r="AB177" i="17"/>
  <c r="AA177" i="17"/>
  <c r="U177" i="17"/>
  <c r="T177" i="17"/>
  <c r="S177" i="17"/>
  <c r="R177" i="17"/>
  <c r="Q177" i="17"/>
  <c r="K177" i="17"/>
  <c r="J177" i="17"/>
  <c r="I177" i="17"/>
  <c r="Q145" i="17"/>
  <c r="K145" i="17"/>
  <c r="J145" i="17"/>
  <c r="I145" i="17"/>
  <c r="H145" i="17"/>
  <c r="G145" i="17"/>
  <c r="AE145" i="17"/>
  <c r="AD145" i="17"/>
  <c r="AC145" i="17"/>
  <c r="AB145" i="17"/>
  <c r="AA145" i="17"/>
  <c r="U145" i="17"/>
  <c r="T145" i="17"/>
  <c r="S145" i="17"/>
  <c r="R145" i="17"/>
  <c r="R240" i="17"/>
  <c r="Q240" i="17"/>
  <c r="K240" i="17"/>
  <c r="J240" i="17"/>
  <c r="I240" i="17"/>
  <c r="H240" i="17"/>
  <c r="G240" i="17"/>
  <c r="AE240" i="17"/>
  <c r="AD240" i="17"/>
  <c r="AC240" i="17"/>
  <c r="AB240" i="17"/>
  <c r="AA240" i="17"/>
  <c r="U240" i="17"/>
  <c r="T240" i="17"/>
  <c r="S240" i="17"/>
  <c r="T74" i="17"/>
  <c r="S74" i="17"/>
  <c r="R74" i="17"/>
  <c r="Q74" i="17"/>
  <c r="K74" i="17"/>
  <c r="J74" i="17"/>
  <c r="I74" i="17"/>
  <c r="H74" i="17"/>
  <c r="G74" i="17"/>
  <c r="AB74" i="17"/>
  <c r="AE74" i="17"/>
  <c r="AD74" i="17"/>
  <c r="AC74" i="17"/>
  <c r="AA74" i="17"/>
  <c r="U74" i="17"/>
  <c r="K18" i="17"/>
  <c r="J18" i="17"/>
  <c r="I18" i="17"/>
  <c r="H18" i="17"/>
  <c r="G18" i="17"/>
  <c r="AE18" i="17"/>
  <c r="AD18" i="17"/>
  <c r="AC18" i="17"/>
  <c r="AB18" i="17"/>
  <c r="AA18" i="17"/>
  <c r="U18" i="17"/>
  <c r="T18" i="17"/>
  <c r="S18" i="17"/>
  <c r="Q18" i="17"/>
  <c r="R18" i="17"/>
  <c r="AE168" i="17"/>
  <c r="AC168" i="17"/>
  <c r="AB168" i="17"/>
  <c r="AA168" i="17"/>
  <c r="U168" i="17"/>
  <c r="T168" i="17"/>
  <c r="S168" i="17"/>
  <c r="AD168" i="17"/>
  <c r="R168" i="17"/>
  <c r="Q168" i="17"/>
  <c r="K168" i="17"/>
  <c r="J168" i="17"/>
  <c r="I168" i="17"/>
  <c r="H168" i="17"/>
  <c r="G168" i="17"/>
  <c r="AE35" i="17"/>
  <c r="AD35" i="17"/>
  <c r="AC35" i="17"/>
  <c r="AB35" i="17"/>
  <c r="AA35" i="17"/>
  <c r="U35" i="17"/>
  <c r="T35" i="17"/>
  <c r="S35" i="17"/>
  <c r="R35" i="17"/>
  <c r="Q35" i="17"/>
  <c r="K35" i="17"/>
  <c r="J35" i="17"/>
  <c r="I35" i="17"/>
  <c r="H35" i="17"/>
  <c r="G35" i="17"/>
  <c r="AC226" i="17"/>
  <c r="AB226" i="17"/>
  <c r="AA226" i="17"/>
  <c r="U226" i="17"/>
  <c r="T226" i="17"/>
  <c r="S226" i="17"/>
  <c r="R226" i="17"/>
  <c r="Q226" i="17"/>
  <c r="K226" i="17"/>
  <c r="J226" i="17"/>
  <c r="I226" i="17"/>
  <c r="H226" i="17"/>
  <c r="G226" i="17"/>
  <c r="AE226" i="17"/>
  <c r="AD226" i="17"/>
  <c r="R192" i="17"/>
  <c r="Q192" i="17"/>
  <c r="K192" i="17"/>
  <c r="J192" i="17"/>
  <c r="I192" i="17"/>
  <c r="H192" i="17"/>
  <c r="G192" i="17"/>
  <c r="AC192" i="17"/>
  <c r="AB192" i="17"/>
  <c r="AA192" i="17"/>
  <c r="U192" i="17"/>
  <c r="AE192" i="17"/>
  <c r="AD192" i="17"/>
  <c r="T192" i="17"/>
  <c r="S192" i="17"/>
  <c r="AA144" i="17"/>
  <c r="U144" i="17"/>
  <c r="T144" i="17"/>
  <c r="S144" i="17"/>
  <c r="R144" i="17"/>
  <c r="Q144" i="17"/>
  <c r="K144" i="17"/>
  <c r="J144" i="17"/>
  <c r="I144" i="17"/>
  <c r="H144" i="17"/>
  <c r="G144" i="17"/>
  <c r="AE144" i="17"/>
  <c r="AD144" i="17"/>
  <c r="AC144" i="17"/>
  <c r="AB144" i="17"/>
  <c r="AC86" i="17"/>
  <c r="AB86" i="17"/>
  <c r="AA86" i="17"/>
  <c r="U86" i="17"/>
  <c r="T86" i="17"/>
  <c r="S86" i="17"/>
  <c r="R86" i="17"/>
  <c r="Q86" i="17"/>
  <c r="K86" i="17"/>
  <c r="I86" i="17"/>
  <c r="H86" i="17"/>
  <c r="G86" i="17"/>
  <c r="AE86" i="17"/>
  <c r="AD86" i="17"/>
  <c r="J86" i="17"/>
  <c r="U8" i="17"/>
  <c r="T8" i="17"/>
  <c r="S8" i="17"/>
  <c r="R8" i="17"/>
  <c r="Q8" i="17"/>
  <c r="AE8" i="17"/>
  <c r="AD8" i="17"/>
  <c r="AC8" i="17"/>
  <c r="AB8" i="17"/>
  <c r="AA8" i="17"/>
  <c r="K8" i="17"/>
  <c r="J8" i="17"/>
  <c r="I8" i="17"/>
  <c r="H8" i="17"/>
  <c r="G8" i="17"/>
  <c r="I28" i="17"/>
  <c r="H28" i="17"/>
  <c r="G28" i="17"/>
  <c r="AE28" i="17"/>
  <c r="AD28" i="17"/>
  <c r="AC28" i="17"/>
  <c r="AB28" i="17"/>
  <c r="AA28" i="17"/>
  <c r="U28" i="17"/>
  <c r="T28" i="17"/>
  <c r="S28" i="17"/>
  <c r="R28" i="17"/>
  <c r="Q28" i="17"/>
  <c r="K28" i="17"/>
  <c r="J28" i="17"/>
  <c r="L66" i="7"/>
  <c r="M66" i="7" s="1"/>
  <c r="C7" i="7"/>
  <c r="B7" i="7"/>
  <c r="D7" i="7"/>
  <c r="L22" i="7"/>
  <c r="J22" i="7"/>
  <c r="J288" i="17"/>
  <c r="I288" i="17"/>
  <c r="H288" i="17"/>
  <c r="G288" i="17"/>
  <c r="AE288" i="17"/>
  <c r="AD288" i="17"/>
  <c r="AC288" i="17"/>
  <c r="AB288" i="17"/>
  <c r="AA288" i="17"/>
  <c r="U288" i="17"/>
  <c r="T288" i="17"/>
  <c r="S288" i="17"/>
  <c r="R288" i="17"/>
  <c r="Q288" i="17"/>
  <c r="K288" i="17"/>
  <c r="AB280" i="17"/>
  <c r="AA280" i="17"/>
  <c r="U280" i="17"/>
  <c r="T280" i="17"/>
  <c r="S280" i="17"/>
  <c r="R280" i="17"/>
  <c r="Q280" i="17"/>
  <c r="K280" i="17"/>
  <c r="J280" i="17"/>
  <c r="I280" i="17"/>
  <c r="H280" i="17"/>
  <c r="G280" i="17"/>
  <c r="AE280" i="17"/>
  <c r="AD280" i="17"/>
  <c r="AC280" i="17"/>
  <c r="G295" i="17"/>
  <c r="AE295" i="17"/>
  <c r="AD295" i="17"/>
  <c r="AC295" i="17"/>
  <c r="AB295" i="17"/>
  <c r="AA295" i="17"/>
  <c r="U295" i="17"/>
  <c r="T295" i="17"/>
  <c r="S295" i="17"/>
  <c r="R295" i="17"/>
  <c r="Q295" i="17"/>
  <c r="K295" i="17"/>
  <c r="J295" i="17"/>
  <c r="I295" i="17"/>
  <c r="H295" i="17"/>
  <c r="Q157" i="17"/>
  <c r="J157" i="17"/>
  <c r="I157" i="17"/>
  <c r="H157" i="17"/>
  <c r="G157" i="17"/>
  <c r="AE157" i="17"/>
  <c r="AD157" i="17"/>
  <c r="AC157" i="17"/>
  <c r="AB157" i="17"/>
  <c r="AA157" i="17"/>
  <c r="U157" i="17"/>
  <c r="T157" i="17"/>
  <c r="S157" i="17"/>
  <c r="R157" i="17"/>
  <c r="K157" i="17"/>
  <c r="I196" i="17"/>
  <c r="H196" i="17"/>
  <c r="G196" i="17"/>
  <c r="AE196" i="17"/>
  <c r="AD196" i="17"/>
  <c r="AC196" i="17"/>
  <c r="AB196" i="17"/>
  <c r="T196" i="17"/>
  <c r="S196" i="17"/>
  <c r="R196" i="17"/>
  <c r="Q196" i="17"/>
  <c r="AA196" i="17"/>
  <c r="U196" i="17"/>
  <c r="K196" i="17"/>
  <c r="J196" i="17"/>
  <c r="AD73" i="17"/>
  <c r="AC73" i="17"/>
  <c r="AB73" i="17"/>
  <c r="AA73" i="17"/>
  <c r="U73" i="17"/>
  <c r="T73" i="17"/>
  <c r="S73" i="17"/>
  <c r="R73" i="17"/>
  <c r="Q73" i="17"/>
  <c r="AE73" i="17"/>
  <c r="K73" i="17"/>
  <c r="J73" i="17"/>
  <c r="I73" i="17"/>
  <c r="H73" i="17"/>
  <c r="G73" i="17"/>
  <c r="U33" i="17"/>
  <c r="T33" i="17"/>
  <c r="S33" i="17"/>
  <c r="R33" i="17"/>
  <c r="Q33" i="17"/>
  <c r="K33" i="17"/>
  <c r="J33" i="17"/>
  <c r="I33" i="17"/>
  <c r="H33" i="17"/>
  <c r="G33" i="17"/>
  <c r="AE33" i="17"/>
  <c r="AD33" i="17"/>
  <c r="AC33" i="17"/>
  <c r="AB33" i="17"/>
  <c r="AA33" i="17"/>
  <c r="R84" i="17"/>
  <c r="Q84" i="17"/>
  <c r="K84" i="17"/>
  <c r="J84" i="17"/>
  <c r="I84" i="17"/>
  <c r="H84" i="17"/>
  <c r="G84" i="17"/>
  <c r="AE84" i="17"/>
  <c r="AC84" i="17"/>
  <c r="U84" i="17"/>
  <c r="AD84" i="17"/>
  <c r="AB84" i="17"/>
  <c r="AA84" i="17"/>
  <c r="T84" i="17"/>
  <c r="S84" i="17"/>
  <c r="AC299" i="17"/>
  <c r="AB299" i="17"/>
  <c r="AA299" i="17"/>
  <c r="U299" i="17"/>
  <c r="T299" i="17"/>
  <c r="S299" i="17"/>
  <c r="R299" i="17"/>
  <c r="Q299" i="17"/>
  <c r="K299" i="17"/>
  <c r="J299" i="17"/>
  <c r="I299" i="17"/>
  <c r="H299" i="17"/>
  <c r="G299" i="17"/>
  <c r="AE299" i="17"/>
  <c r="AD299" i="17"/>
  <c r="J139" i="17"/>
  <c r="I139" i="17"/>
  <c r="H139" i="17"/>
  <c r="G139" i="17"/>
  <c r="AE139" i="17"/>
  <c r="AD139" i="17"/>
  <c r="AC139" i="17"/>
  <c r="AB139" i="17"/>
  <c r="AA139" i="17"/>
  <c r="U139" i="17"/>
  <c r="T139" i="17"/>
  <c r="S139" i="17"/>
  <c r="R139" i="17"/>
  <c r="Q139" i="17"/>
  <c r="K139" i="17"/>
  <c r="AA172" i="17"/>
  <c r="U172" i="17"/>
  <c r="T172" i="17"/>
  <c r="S172" i="17"/>
  <c r="R172" i="17"/>
  <c r="Q172" i="17"/>
  <c r="K172" i="17"/>
  <c r="J172" i="17"/>
  <c r="AE172" i="17"/>
  <c r="AD172" i="17"/>
  <c r="AC172" i="17"/>
  <c r="AB172" i="17"/>
  <c r="I172" i="17"/>
  <c r="H172" i="17"/>
  <c r="G172" i="17"/>
  <c r="AE108" i="17"/>
  <c r="AD108" i="17"/>
  <c r="AC108" i="17"/>
  <c r="AB108" i="17"/>
  <c r="AA108" i="17"/>
  <c r="U108" i="17"/>
  <c r="T108" i="17"/>
  <c r="S108" i="17"/>
  <c r="R108" i="17"/>
  <c r="K108" i="17"/>
  <c r="J108" i="17"/>
  <c r="I108" i="17"/>
  <c r="H108" i="17"/>
  <c r="Q108" i="17"/>
  <c r="G108" i="17"/>
  <c r="I44" i="17"/>
  <c r="H44" i="17"/>
  <c r="G44" i="17"/>
  <c r="AE44" i="17"/>
  <c r="AD44" i="17"/>
  <c r="AC44" i="17"/>
  <c r="AB44" i="17"/>
  <c r="AA44" i="17"/>
  <c r="U44" i="17"/>
  <c r="T44" i="17"/>
  <c r="S44" i="17"/>
  <c r="R44" i="17"/>
  <c r="Q44" i="17"/>
  <c r="K44" i="17"/>
  <c r="J44" i="17"/>
  <c r="J7" i="17"/>
  <c r="I7" i="17"/>
  <c r="H7" i="17"/>
  <c r="G7" i="17"/>
  <c r="U7" i="17"/>
  <c r="T7" i="17"/>
  <c r="S7" i="17"/>
  <c r="R7" i="17"/>
  <c r="Q7" i="17"/>
  <c r="AE7" i="17"/>
  <c r="AD7" i="17"/>
  <c r="AC7" i="17"/>
  <c r="AB7" i="17"/>
  <c r="K7" i="17"/>
  <c r="AA7" i="17"/>
  <c r="J31" i="17"/>
  <c r="I31" i="17"/>
  <c r="H31" i="17"/>
  <c r="G31" i="17"/>
  <c r="AE31" i="17"/>
  <c r="AD31" i="17"/>
  <c r="AC31" i="17"/>
  <c r="AB31" i="17"/>
  <c r="AA31" i="17"/>
  <c r="U31" i="17"/>
  <c r="T31" i="17"/>
  <c r="S31" i="17"/>
  <c r="R31" i="17"/>
  <c r="Q31" i="17"/>
  <c r="K31" i="17"/>
  <c r="H117" i="17"/>
  <c r="G117" i="17"/>
  <c r="AE117" i="17"/>
  <c r="AD117" i="17"/>
  <c r="AC117" i="17"/>
  <c r="AB117" i="17"/>
  <c r="AA117" i="17"/>
  <c r="U117" i="17"/>
  <c r="T117" i="17"/>
  <c r="S117" i="17"/>
  <c r="R117" i="17"/>
  <c r="Q117" i="17"/>
  <c r="K117" i="17"/>
  <c r="J117" i="17"/>
  <c r="I117" i="17"/>
  <c r="AC102" i="17"/>
  <c r="AB102" i="17"/>
  <c r="AA102" i="17"/>
  <c r="U102" i="17"/>
  <c r="T102" i="17"/>
  <c r="S102" i="17"/>
  <c r="R102" i="17"/>
  <c r="Q102" i="17"/>
  <c r="K102" i="17"/>
  <c r="I102" i="17"/>
  <c r="H102" i="17"/>
  <c r="G102" i="17"/>
  <c r="AE102" i="17"/>
  <c r="AD102" i="17"/>
  <c r="J102" i="17"/>
  <c r="J59" i="17"/>
  <c r="I59" i="17"/>
  <c r="H59" i="17"/>
  <c r="G59" i="17"/>
  <c r="AE59" i="17"/>
  <c r="AD59" i="17"/>
  <c r="AC59" i="17"/>
  <c r="AB59" i="17"/>
  <c r="AA59" i="17"/>
  <c r="U59" i="17"/>
  <c r="T59" i="17"/>
  <c r="S59" i="17"/>
  <c r="R59" i="17"/>
  <c r="Q59" i="17"/>
  <c r="K59" i="17"/>
  <c r="AD40" i="7"/>
  <c r="F50" i="5" s="1"/>
  <c r="Y41" i="7"/>
  <c r="AA46" i="7"/>
  <c r="I56" i="5" s="1"/>
  <c r="P93" i="5"/>
  <c r="L71" i="7"/>
  <c r="M71" i="7" s="1"/>
  <c r="AS14" i="17"/>
  <c r="N8" i="1" s="1"/>
  <c r="AR14" i="17"/>
  <c r="M8" i="1" s="1"/>
  <c r="AQ14" i="17"/>
  <c r="L8" i="1" s="1"/>
  <c r="AP14" i="17"/>
  <c r="K8" i="1" s="1"/>
  <c r="AO14" i="17"/>
  <c r="J8" i="1" s="1"/>
  <c r="AN14" i="17"/>
  <c r="I8" i="1" s="1"/>
  <c r="G27" i="7"/>
  <c r="E16" i="5"/>
  <c r="Q17" i="9"/>
  <c r="P17" i="9"/>
  <c r="O17" i="9"/>
  <c r="AD53" i="7"/>
  <c r="F63" i="5" s="1"/>
  <c r="AA48" i="7"/>
  <c r="I58" i="5" s="1"/>
  <c r="AA44" i="7"/>
  <c r="I54" i="5" s="1"/>
  <c r="U77" i="17"/>
  <c r="T77" i="17"/>
  <c r="S77" i="17"/>
  <c r="R77" i="17"/>
  <c r="Q77" i="17"/>
  <c r="K77" i="17"/>
  <c r="J77" i="17"/>
  <c r="I77" i="17"/>
  <c r="H77" i="17"/>
  <c r="AC77" i="17"/>
  <c r="AE77" i="17"/>
  <c r="AD77" i="17"/>
  <c r="AB77" i="17"/>
  <c r="AA77" i="17"/>
  <c r="G77" i="17"/>
  <c r="F24" i="7"/>
  <c r="D13" i="5"/>
  <c r="AT3" i="17"/>
  <c r="O3" i="1" s="1"/>
  <c r="C11" i="5"/>
  <c r="L22" i="5" s="1"/>
  <c r="N22" i="5" s="1"/>
  <c r="G3" i="1"/>
  <c r="M6" i="16"/>
  <c r="AE276" i="17"/>
  <c r="AD276" i="17"/>
  <c r="AC276" i="17"/>
  <c r="AB276" i="17"/>
  <c r="AA276" i="17"/>
  <c r="U276" i="17"/>
  <c r="T276" i="17"/>
  <c r="S276" i="17"/>
  <c r="R276" i="17"/>
  <c r="Q276" i="17"/>
  <c r="K276" i="17"/>
  <c r="J276" i="17"/>
  <c r="I276" i="17"/>
  <c r="H276" i="17"/>
  <c r="G276" i="17"/>
  <c r="AB239" i="17"/>
  <c r="AA239" i="17"/>
  <c r="U239" i="17"/>
  <c r="T239" i="17"/>
  <c r="S239" i="17"/>
  <c r="R239" i="17"/>
  <c r="Q239" i="17"/>
  <c r="K239" i="17"/>
  <c r="J239" i="17"/>
  <c r="I239" i="17"/>
  <c r="H239" i="17"/>
  <c r="G239" i="17"/>
  <c r="AE239" i="17"/>
  <c r="AD239" i="17"/>
  <c r="AC239" i="17"/>
  <c r="AC178" i="17"/>
  <c r="AB178" i="17"/>
  <c r="AA178" i="17"/>
  <c r="U178" i="17"/>
  <c r="T178" i="17"/>
  <c r="S178" i="17"/>
  <c r="R178" i="17"/>
  <c r="Q178" i="17"/>
  <c r="AE178" i="17"/>
  <c r="AD178" i="17"/>
  <c r="K178" i="17"/>
  <c r="J178" i="17"/>
  <c r="I178" i="17"/>
  <c r="H178" i="17"/>
  <c r="G178" i="17"/>
  <c r="K234" i="17"/>
  <c r="J234" i="17"/>
  <c r="I234" i="17"/>
  <c r="H234" i="17"/>
  <c r="G234" i="17"/>
  <c r="AE234" i="17"/>
  <c r="AD234" i="17"/>
  <c r="AC234" i="17"/>
  <c r="AB234" i="17"/>
  <c r="AA234" i="17"/>
  <c r="U234" i="17"/>
  <c r="T234" i="17"/>
  <c r="S234" i="17"/>
  <c r="R234" i="17"/>
  <c r="Q234" i="17"/>
  <c r="T230" i="17"/>
  <c r="S230" i="17"/>
  <c r="R230" i="17"/>
  <c r="Q230" i="17"/>
  <c r="K230" i="17"/>
  <c r="J230" i="17"/>
  <c r="I230" i="17"/>
  <c r="H230" i="17"/>
  <c r="G230" i="17"/>
  <c r="AE230" i="17"/>
  <c r="AD230" i="17"/>
  <c r="AC230" i="17"/>
  <c r="AB230" i="17"/>
  <c r="AA230" i="17"/>
  <c r="U230" i="17"/>
  <c r="AB207" i="17"/>
  <c r="AA207" i="17"/>
  <c r="U207" i="17"/>
  <c r="T207" i="17"/>
  <c r="S207" i="17"/>
  <c r="R207" i="17"/>
  <c r="Q207" i="17"/>
  <c r="K207" i="17"/>
  <c r="J207" i="17"/>
  <c r="I207" i="17"/>
  <c r="H207" i="17"/>
  <c r="G207" i="17"/>
  <c r="AE207" i="17"/>
  <c r="AD207" i="17"/>
  <c r="AC207" i="17"/>
  <c r="AE184" i="17"/>
  <c r="AD184" i="17"/>
  <c r="AC184" i="17"/>
  <c r="AB184" i="17"/>
  <c r="AA184" i="17"/>
  <c r="U184" i="17"/>
  <c r="T184" i="17"/>
  <c r="S184" i="17"/>
  <c r="R184" i="17"/>
  <c r="Q184" i="17"/>
  <c r="K184" i="17"/>
  <c r="J184" i="17"/>
  <c r="I184" i="17"/>
  <c r="H184" i="17"/>
  <c r="G184" i="17"/>
  <c r="R208" i="17"/>
  <c r="Q208" i="17"/>
  <c r="K208" i="17"/>
  <c r="J208" i="17"/>
  <c r="I208" i="17"/>
  <c r="H208" i="17"/>
  <c r="G208" i="17"/>
  <c r="AE208" i="17"/>
  <c r="AD208" i="17"/>
  <c r="AC208" i="17"/>
  <c r="AB208" i="17"/>
  <c r="AA208" i="17"/>
  <c r="U208" i="17"/>
  <c r="T208" i="17"/>
  <c r="S208" i="17"/>
  <c r="I104" i="17"/>
  <c r="H104" i="17"/>
  <c r="G104" i="17"/>
  <c r="AE104" i="17"/>
  <c r="AD104" i="17"/>
  <c r="AC104" i="17"/>
  <c r="AB104" i="17"/>
  <c r="AA104" i="17"/>
  <c r="T104" i="17"/>
  <c r="S104" i="17"/>
  <c r="R104" i="17"/>
  <c r="Q104" i="17"/>
  <c r="U104" i="17"/>
  <c r="K104" i="17"/>
  <c r="J104" i="17"/>
  <c r="AE140" i="17"/>
  <c r="AD140" i="17"/>
  <c r="AC140" i="17"/>
  <c r="AB140" i="17"/>
  <c r="AA140" i="17"/>
  <c r="U140" i="17"/>
  <c r="T140" i="17"/>
  <c r="S140" i="17"/>
  <c r="R140" i="17"/>
  <c r="Q140" i="17"/>
  <c r="K140" i="17"/>
  <c r="J140" i="17"/>
  <c r="I140" i="17"/>
  <c r="H140" i="17"/>
  <c r="G140" i="17"/>
  <c r="AA112" i="17"/>
  <c r="U112" i="17"/>
  <c r="T112" i="17"/>
  <c r="S112" i="17"/>
  <c r="R112" i="17"/>
  <c r="Q112" i="17"/>
  <c r="K112" i="17"/>
  <c r="J112" i="17"/>
  <c r="I112" i="17"/>
  <c r="G112" i="17"/>
  <c r="AE112" i="17"/>
  <c r="AD112" i="17"/>
  <c r="AC112" i="17"/>
  <c r="AB112" i="17"/>
  <c r="H112" i="17"/>
  <c r="J9" i="7"/>
  <c r="I9" i="7"/>
  <c r="H9" i="7"/>
  <c r="Q50" i="5"/>
  <c r="O50" i="5"/>
  <c r="N50" i="5"/>
  <c r="P67" i="5"/>
  <c r="Q67" i="5" s="1"/>
  <c r="Q15" i="9"/>
  <c r="P15" i="9"/>
  <c r="O15" i="9"/>
  <c r="Y47" i="7"/>
  <c r="AA53" i="7"/>
  <c r="I63" i="5" s="1"/>
  <c r="Q10" i="9"/>
  <c r="P10" i="9"/>
  <c r="O10" i="9"/>
  <c r="Q4" i="9"/>
  <c r="P4" i="9"/>
  <c r="O4" i="9"/>
  <c r="AD45" i="7"/>
  <c r="F55" i="5" s="1"/>
  <c r="B4" i="5"/>
  <c r="B5" i="5"/>
  <c r="D3" i="1"/>
  <c r="G247" i="17"/>
  <c r="AE247" i="17"/>
  <c r="AD247" i="17"/>
  <c r="AC247" i="17"/>
  <c r="AB247" i="17"/>
  <c r="AA247" i="17"/>
  <c r="U247" i="17"/>
  <c r="T247" i="17"/>
  <c r="S247" i="17"/>
  <c r="R247" i="17"/>
  <c r="Q247" i="17"/>
  <c r="K247" i="17"/>
  <c r="J247" i="17"/>
  <c r="I247" i="17"/>
  <c r="H247" i="17"/>
  <c r="I180" i="17"/>
  <c r="H180" i="17"/>
  <c r="G180" i="17"/>
  <c r="AE180" i="17"/>
  <c r="AD180" i="17"/>
  <c r="AC180" i="17"/>
  <c r="AB180" i="17"/>
  <c r="AA180" i="17"/>
  <c r="U180" i="17"/>
  <c r="T180" i="17"/>
  <c r="S180" i="17"/>
  <c r="R180" i="17"/>
  <c r="Q180" i="17"/>
  <c r="K180" i="17"/>
  <c r="J180" i="17"/>
  <c r="AB159" i="17"/>
  <c r="U159" i="17"/>
  <c r="T159" i="17"/>
  <c r="S159" i="17"/>
  <c r="R159" i="17"/>
  <c r="Q159" i="17"/>
  <c r="K159" i="17"/>
  <c r="AC159" i="17"/>
  <c r="AA159" i="17"/>
  <c r="J159" i="17"/>
  <c r="I159" i="17"/>
  <c r="H159" i="17"/>
  <c r="G159" i="17"/>
  <c r="AE159" i="17"/>
  <c r="AD159" i="17"/>
  <c r="AA96" i="17"/>
  <c r="U96" i="17"/>
  <c r="T96" i="17"/>
  <c r="S96" i="17"/>
  <c r="R96" i="17"/>
  <c r="Q96" i="17"/>
  <c r="K96" i="17"/>
  <c r="J96" i="17"/>
  <c r="I96" i="17"/>
  <c r="G96" i="17"/>
  <c r="AD96" i="17"/>
  <c r="AE96" i="17"/>
  <c r="AC96" i="17"/>
  <c r="AB96" i="17"/>
  <c r="H96" i="17"/>
  <c r="AE203" i="17"/>
  <c r="AD203" i="17"/>
  <c r="AC203" i="17"/>
  <c r="AB203" i="17"/>
  <c r="AA203" i="17"/>
  <c r="U203" i="17"/>
  <c r="T203" i="17"/>
  <c r="Q203" i="17"/>
  <c r="K203" i="17"/>
  <c r="J203" i="17"/>
  <c r="I203" i="17"/>
  <c r="S203" i="17"/>
  <c r="R203" i="17"/>
  <c r="H203" i="17"/>
  <c r="G203" i="17"/>
  <c r="S3" i="16"/>
  <c r="I164" i="17"/>
  <c r="G164" i="17"/>
  <c r="AE164" i="17"/>
  <c r="AD164" i="17"/>
  <c r="AC164" i="17"/>
  <c r="AB164" i="17"/>
  <c r="AA164" i="17"/>
  <c r="U164" i="17"/>
  <c r="T164" i="17"/>
  <c r="S164" i="17"/>
  <c r="R164" i="17"/>
  <c r="Q164" i="17"/>
  <c r="K164" i="17"/>
  <c r="J164" i="17"/>
  <c r="H164" i="17"/>
  <c r="J155" i="17"/>
  <c r="I155" i="17"/>
  <c r="H155" i="17"/>
  <c r="G155" i="17"/>
  <c r="AE155" i="17"/>
  <c r="AD155" i="17"/>
  <c r="AC155" i="17"/>
  <c r="AB155" i="17"/>
  <c r="AA155" i="17"/>
  <c r="U155" i="17"/>
  <c r="T155" i="17"/>
  <c r="S155" i="17"/>
  <c r="R155" i="17"/>
  <c r="Q155" i="17"/>
  <c r="K155" i="17"/>
  <c r="AE111" i="17"/>
  <c r="AD111" i="17"/>
  <c r="AC111" i="17"/>
  <c r="AB111" i="17"/>
  <c r="AA111" i="17"/>
  <c r="U111" i="17"/>
  <c r="T111" i="17"/>
  <c r="S111" i="17"/>
  <c r="Q111" i="17"/>
  <c r="K111" i="17"/>
  <c r="J111" i="17"/>
  <c r="I111" i="17"/>
  <c r="G111" i="17"/>
  <c r="R111" i="17"/>
  <c r="H111" i="17"/>
  <c r="AE19" i="17"/>
  <c r="AD19" i="17"/>
  <c r="AC19" i="17"/>
  <c r="AB19" i="17"/>
  <c r="AA19" i="17"/>
  <c r="U19" i="17"/>
  <c r="T19" i="17"/>
  <c r="S19" i="17"/>
  <c r="R19" i="17"/>
  <c r="Q19" i="17"/>
  <c r="K19" i="17"/>
  <c r="J19" i="17"/>
  <c r="I19" i="17"/>
  <c r="G19" i="17"/>
  <c r="H19" i="17"/>
  <c r="Q37" i="17"/>
  <c r="K37" i="17"/>
  <c r="J37" i="17"/>
  <c r="I37" i="17"/>
  <c r="H37" i="17"/>
  <c r="G37" i="17"/>
  <c r="AE37" i="17"/>
  <c r="AD37" i="17"/>
  <c r="AC37" i="17"/>
  <c r="AB37" i="17"/>
  <c r="AA37" i="17"/>
  <c r="U37" i="17"/>
  <c r="T37" i="17"/>
  <c r="S37" i="17"/>
  <c r="R37" i="17"/>
  <c r="K34" i="17"/>
  <c r="J34" i="17"/>
  <c r="I34" i="17"/>
  <c r="H34" i="17"/>
  <c r="G34" i="17"/>
  <c r="AE34" i="17"/>
  <c r="AD34" i="17"/>
  <c r="AC34" i="17"/>
  <c r="AB34" i="17"/>
  <c r="AA34" i="17"/>
  <c r="U34" i="17"/>
  <c r="T34" i="17"/>
  <c r="S34" i="17"/>
  <c r="R34" i="17"/>
  <c r="Q34" i="17"/>
  <c r="AC42" i="17"/>
  <c r="AB42" i="17"/>
  <c r="AA42" i="17"/>
  <c r="U42" i="17"/>
  <c r="T42" i="17"/>
  <c r="S42" i="17"/>
  <c r="R42" i="17"/>
  <c r="Q42" i="17"/>
  <c r="K42" i="17"/>
  <c r="J42" i="17"/>
  <c r="I42" i="17"/>
  <c r="H42" i="17"/>
  <c r="G42" i="17"/>
  <c r="AE42" i="17"/>
  <c r="AD42" i="17"/>
  <c r="T21" i="7"/>
  <c r="F35" i="7"/>
  <c r="AA64" i="17"/>
  <c r="U64" i="17"/>
  <c r="T64" i="17"/>
  <c r="S64" i="17"/>
  <c r="R64" i="17"/>
  <c r="Q64" i="17"/>
  <c r="K64" i="17"/>
  <c r="J64" i="17"/>
  <c r="I64" i="17"/>
  <c r="AE64" i="17"/>
  <c r="AD64" i="17"/>
  <c r="AC64" i="17"/>
  <c r="AB64" i="17"/>
  <c r="H64" i="17"/>
  <c r="G64" i="17"/>
  <c r="J48" i="7"/>
  <c r="K48" i="7" s="1"/>
  <c r="D4" i="7"/>
  <c r="C4" i="7"/>
  <c r="B4" i="7"/>
  <c r="E4" i="7"/>
  <c r="G4" i="7"/>
  <c r="F4" i="7"/>
  <c r="L15" i="7"/>
  <c r="P7" i="4" s="1"/>
  <c r="A8" i="16"/>
  <c r="Z7" i="16"/>
  <c r="X7" i="16"/>
  <c r="J7" i="16"/>
  <c r="H7" i="16"/>
  <c r="AB39" i="17"/>
  <c r="AA39" i="17"/>
  <c r="U39" i="17"/>
  <c r="T39" i="17"/>
  <c r="S39" i="17"/>
  <c r="R39" i="17"/>
  <c r="Q39" i="17"/>
  <c r="K39" i="17"/>
  <c r="J39" i="17"/>
  <c r="I39" i="17"/>
  <c r="H39" i="17"/>
  <c r="G39" i="17"/>
  <c r="AE39" i="17"/>
  <c r="AD39" i="17"/>
  <c r="AC39" i="17"/>
  <c r="AE257" i="17"/>
  <c r="AD257" i="17"/>
  <c r="AC257" i="17"/>
  <c r="AB257" i="17"/>
  <c r="AA257" i="17"/>
  <c r="U257" i="17"/>
  <c r="T257" i="17"/>
  <c r="S257" i="17"/>
  <c r="R257" i="17"/>
  <c r="Q257" i="17"/>
  <c r="K257" i="17"/>
  <c r="J257" i="17"/>
  <c r="I257" i="17"/>
  <c r="H257" i="17"/>
  <c r="G257" i="17"/>
  <c r="S227" i="17"/>
  <c r="R227" i="17"/>
  <c r="Q227" i="17"/>
  <c r="K227" i="17"/>
  <c r="J227" i="17"/>
  <c r="I227" i="17"/>
  <c r="H227" i="17"/>
  <c r="G227" i="17"/>
  <c r="AE227" i="17"/>
  <c r="AD227" i="17"/>
  <c r="AC227" i="17"/>
  <c r="AB227" i="17"/>
  <c r="AA227" i="17"/>
  <c r="U227" i="17"/>
  <c r="T227" i="17"/>
  <c r="K275" i="17"/>
  <c r="J275" i="17"/>
  <c r="I275" i="17"/>
  <c r="H275" i="17"/>
  <c r="G275" i="17"/>
  <c r="AE275" i="17"/>
  <c r="AD275" i="17"/>
  <c r="AC275" i="17"/>
  <c r="AB275" i="17"/>
  <c r="AA275" i="17"/>
  <c r="U275" i="17"/>
  <c r="T275" i="17"/>
  <c r="S275" i="17"/>
  <c r="R275" i="17"/>
  <c r="Q275" i="17"/>
  <c r="AC194" i="17"/>
  <c r="AB194" i="17"/>
  <c r="AA194" i="17"/>
  <c r="U194" i="17"/>
  <c r="T194" i="17"/>
  <c r="S194" i="17"/>
  <c r="R194" i="17"/>
  <c r="Q194" i="17"/>
  <c r="I194" i="17"/>
  <c r="H194" i="17"/>
  <c r="G194" i="17"/>
  <c r="AD194" i="17"/>
  <c r="K194" i="17"/>
  <c r="J194" i="17"/>
  <c r="AE194" i="17"/>
  <c r="I253" i="17"/>
  <c r="H253" i="17"/>
  <c r="G253" i="17"/>
  <c r="AE253" i="17"/>
  <c r="AD253" i="17"/>
  <c r="AC253" i="17"/>
  <c r="AB253" i="17"/>
  <c r="AA253" i="17"/>
  <c r="U253" i="17"/>
  <c r="T253" i="17"/>
  <c r="S253" i="17"/>
  <c r="R253" i="17"/>
  <c r="Q253" i="17"/>
  <c r="K253" i="17"/>
  <c r="J253" i="17"/>
  <c r="AC54" i="17"/>
  <c r="AB54" i="17"/>
  <c r="AA54" i="17"/>
  <c r="U54" i="17"/>
  <c r="R54" i="17"/>
  <c r="Q54" i="17"/>
  <c r="K54" i="17"/>
  <c r="J54" i="17"/>
  <c r="I54" i="17"/>
  <c r="H54" i="17"/>
  <c r="G54" i="17"/>
  <c r="AE54" i="17"/>
  <c r="AD54" i="17"/>
  <c r="T54" i="17"/>
  <c r="S54" i="17"/>
  <c r="J123" i="17"/>
  <c r="I123" i="17"/>
  <c r="H123" i="17"/>
  <c r="G123" i="17"/>
  <c r="AE123" i="17"/>
  <c r="AD123" i="17"/>
  <c r="AC123" i="17"/>
  <c r="AB123" i="17"/>
  <c r="AA123" i="17"/>
  <c r="U123" i="17"/>
  <c r="T123" i="17"/>
  <c r="S123" i="17"/>
  <c r="R123" i="17"/>
  <c r="Q123" i="17"/>
  <c r="K123" i="17"/>
  <c r="S55" i="17"/>
  <c r="R55" i="17"/>
  <c r="Q55" i="17"/>
  <c r="K55" i="17"/>
  <c r="J55" i="17"/>
  <c r="I55" i="17"/>
  <c r="H55" i="17"/>
  <c r="AC55" i="17"/>
  <c r="AB55" i="17"/>
  <c r="AA55" i="17"/>
  <c r="U55" i="17"/>
  <c r="T55" i="17"/>
  <c r="G55" i="17"/>
  <c r="AE55" i="17"/>
  <c r="AD55" i="17"/>
  <c r="AA188" i="17"/>
  <c r="U188" i="17"/>
  <c r="T188" i="17"/>
  <c r="S188" i="17"/>
  <c r="R188" i="17"/>
  <c r="Q188" i="17"/>
  <c r="K188" i="17"/>
  <c r="J188" i="17"/>
  <c r="G188" i="17"/>
  <c r="AE188" i="17"/>
  <c r="AD188" i="17"/>
  <c r="AB188" i="17"/>
  <c r="I188" i="17"/>
  <c r="H188" i="17"/>
  <c r="AC188" i="17"/>
  <c r="AB99" i="17"/>
  <c r="AA99" i="17"/>
  <c r="U99" i="17"/>
  <c r="T99" i="17"/>
  <c r="S99" i="17"/>
  <c r="R99" i="17"/>
  <c r="Q99" i="17"/>
  <c r="K99" i="17"/>
  <c r="J99" i="17"/>
  <c r="H99" i="17"/>
  <c r="G99" i="17"/>
  <c r="AE99" i="17"/>
  <c r="AD99" i="17"/>
  <c r="AC99" i="17"/>
  <c r="I99" i="17"/>
  <c r="S87" i="17"/>
  <c r="R87" i="17"/>
  <c r="Q87" i="17"/>
  <c r="K87" i="17"/>
  <c r="J87" i="17"/>
  <c r="I87" i="17"/>
  <c r="H87" i="17"/>
  <c r="G87" i="17"/>
  <c r="AD87" i="17"/>
  <c r="AC87" i="17"/>
  <c r="AA87" i="17"/>
  <c r="AE87" i="17"/>
  <c r="AB87" i="17"/>
  <c r="U87" i="17"/>
  <c r="T87" i="17"/>
  <c r="AB131" i="17"/>
  <c r="AA131" i="17"/>
  <c r="U131" i="17"/>
  <c r="T131" i="17"/>
  <c r="S131" i="17"/>
  <c r="R131" i="17"/>
  <c r="Q131" i="17"/>
  <c r="K131" i="17"/>
  <c r="J131" i="17"/>
  <c r="I131" i="17"/>
  <c r="H131" i="17"/>
  <c r="G131" i="17"/>
  <c r="AE131" i="17"/>
  <c r="AD131" i="17"/>
  <c r="AC131" i="17"/>
  <c r="J167" i="17"/>
  <c r="H167" i="17"/>
  <c r="G167" i="17"/>
  <c r="AE167" i="17"/>
  <c r="AD167" i="17"/>
  <c r="AC167" i="17"/>
  <c r="AA167" i="17"/>
  <c r="U167" i="17"/>
  <c r="T167" i="17"/>
  <c r="S167" i="17"/>
  <c r="R167" i="17"/>
  <c r="Q167" i="17"/>
  <c r="K167" i="17"/>
  <c r="I167" i="17"/>
  <c r="AB167" i="17"/>
  <c r="C17" i="7"/>
  <c r="B15" i="5"/>
  <c r="AE48" i="17"/>
  <c r="AD48" i="17"/>
  <c r="AC48" i="17"/>
  <c r="AB48" i="17"/>
  <c r="AA48" i="17"/>
  <c r="U48" i="17"/>
  <c r="T48" i="17"/>
  <c r="S48" i="17"/>
  <c r="R48" i="17"/>
  <c r="Q48" i="17"/>
  <c r="K48" i="17"/>
  <c r="J48" i="17"/>
  <c r="I48" i="17"/>
  <c r="H48" i="17"/>
  <c r="G48" i="17"/>
  <c r="AE51" i="17"/>
  <c r="AD51" i="17"/>
  <c r="AC51" i="17"/>
  <c r="AB51" i="17"/>
  <c r="AA51" i="17"/>
  <c r="U51" i="17"/>
  <c r="T51" i="17"/>
  <c r="S51" i="17"/>
  <c r="R51" i="17"/>
  <c r="Q51" i="17"/>
  <c r="K51" i="17"/>
  <c r="J51" i="17"/>
  <c r="I51" i="17"/>
  <c r="H51" i="17"/>
  <c r="G51" i="17"/>
  <c r="J11" i="17"/>
  <c r="I11" i="17"/>
  <c r="H11" i="17"/>
  <c r="G11" i="17"/>
  <c r="U11" i="17"/>
  <c r="T11" i="17"/>
  <c r="S11" i="17"/>
  <c r="R11" i="17"/>
  <c r="Q11" i="17"/>
  <c r="AE11" i="17"/>
  <c r="AD11" i="17"/>
  <c r="AC11" i="17"/>
  <c r="AB11" i="17"/>
  <c r="K11" i="17"/>
  <c r="AA11" i="17"/>
  <c r="J41" i="7"/>
  <c r="K41" i="7" s="1"/>
  <c r="L70" i="7"/>
  <c r="M70" i="7" s="1"/>
  <c r="AC14" i="7"/>
  <c r="AB14" i="7" s="1"/>
  <c r="M14" i="7"/>
  <c r="AK14" i="7"/>
  <c r="AJ14" i="7" s="1"/>
  <c r="U14" i="7"/>
  <c r="E14" i="7"/>
  <c r="D14" i="7" s="1"/>
  <c r="AG14" i="7"/>
  <c r="AF14" i="7" s="1"/>
  <c r="K14" i="7"/>
  <c r="J14" i="7" s="1"/>
  <c r="O7" i="3" s="1"/>
  <c r="AE14" i="7"/>
  <c r="AD14" i="7" s="1"/>
  <c r="I14" i="7"/>
  <c r="H14" i="7" s="1"/>
  <c r="C32" i="7" s="1"/>
  <c r="D32" i="7" s="1"/>
  <c r="AA14" i="7"/>
  <c r="G14" i="7"/>
  <c r="F14" i="7" s="1"/>
  <c r="Y14" i="7"/>
  <c r="AM14" i="7"/>
  <c r="AL14" i="7" s="1"/>
  <c r="W14" i="7"/>
  <c r="S14" i="7"/>
  <c r="Q14" i="7"/>
  <c r="AI14" i="7"/>
  <c r="AH14" i="7" s="1"/>
  <c r="O14" i="7"/>
  <c r="N14" i="7" s="1"/>
  <c r="R7" i="3" s="1"/>
  <c r="AD52" i="7"/>
  <c r="F62" i="5" s="1"/>
  <c r="P8" i="9"/>
  <c r="O8" i="9"/>
  <c r="Q8" i="9"/>
  <c r="AL3" i="17"/>
  <c r="AE16" i="7"/>
  <c r="AD16" i="7" s="1"/>
  <c r="O16" i="7"/>
  <c r="AM16" i="7"/>
  <c r="AL16" i="7" s="1"/>
  <c r="W16" i="7"/>
  <c r="G16" i="7"/>
  <c r="S16" i="7"/>
  <c r="AK16" i="7"/>
  <c r="AJ16" i="7" s="1"/>
  <c r="Q16" i="7"/>
  <c r="AI16" i="7"/>
  <c r="AH16" i="7" s="1"/>
  <c r="M16" i="7"/>
  <c r="AG16" i="7"/>
  <c r="AF16" i="7" s="1"/>
  <c r="K16" i="7"/>
  <c r="AC16" i="7"/>
  <c r="AB16" i="7" s="1"/>
  <c r="I16" i="7"/>
  <c r="AA16" i="7"/>
  <c r="E16" i="7"/>
  <c r="D16" i="7" s="1"/>
  <c r="Y16" i="7"/>
  <c r="U16" i="7"/>
  <c r="I6" i="7"/>
  <c r="X15" i="7" s="1"/>
  <c r="P17" i="4" s="1"/>
  <c r="J6" i="7"/>
  <c r="Z15" i="7" s="1"/>
  <c r="R17" i="4" s="1"/>
  <c r="H6" i="7"/>
  <c r="L60" i="7"/>
  <c r="M60" i="7" s="1"/>
  <c r="N15" i="7"/>
  <c r="R7" i="4" s="1"/>
  <c r="T154" i="17"/>
  <c r="S154" i="17"/>
  <c r="R154" i="17"/>
  <c r="Q154" i="17"/>
  <c r="K154" i="17"/>
  <c r="J154" i="17"/>
  <c r="I154" i="17"/>
  <c r="H154" i="17"/>
  <c r="G154" i="17"/>
  <c r="AE154" i="17"/>
  <c r="AD154" i="17"/>
  <c r="AC154" i="17"/>
  <c r="AB154" i="17"/>
  <c r="AA154" i="17"/>
  <c r="U154" i="17"/>
  <c r="S195" i="17"/>
  <c r="R195" i="17"/>
  <c r="Q195" i="17"/>
  <c r="K195" i="17"/>
  <c r="J195" i="17"/>
  <c r="I195" i="17"/>
  <c r="H195" i="17"/>
  <c r="G195" i="17"/>
  <c r="AD195" i="17"/>
  <c r="AC195" i="17"/>
  <c r="AB195" i="17"/>
  <c r="AA195" i="17"/>
  <c r="AE195" i="17"/>
  <c r="U195" i="17"/>
  <c r="T195" i="17"/>
  <c r="AB248" i="17"/>
  <c r="AA248" i="17"/>
  <c r="U248" i="17"/>
  <c r="T248" i="17"/>
  <c r="S248" i="17"/>
  <c r="R248" i="17"/>
  <c r="Q248" i="17"/>
  <c r="K248" i="17"/>
  <c r="J248" i="17"/>
  <c r="I248" i="17"/>
  <c r="H248" i="17"/>
  <c r="G248" i="17"/>
  <c r="AE248" i="17"/>
  <c r="AD248" i="17"/>
  <c r="AC248" i="17"/>
  <c r="T303" i="17"/>
  <c r="S303" i="17"/>
  <c r="R303" i="17"/>
  <c r="Q303" i="17"/>
  <c r="K303" i="17"/>
  <c r="J303" i="17"/>
  <c r="I303" i="17"/>
  <c r="H303" i="17"/>
  <c r="G303" i="17"/>
  <c r="AE303" i="17"/>
  <c r="AD303" i="17"/>
  <c r="AC303" i="17"/>
  <c r="AB303" i="17"/>
  <c r="AA303" i="17"/>
  <c r="U303" i="17"/>
  <c r="AC134" i="17"/>
  <c r="AB134" i="17"/>
  <c r="AA134" i="17"/>
  <c r="U134" i="17"/>
  <c r="T134" i="17"/>
  <c r="S134" i="17"/>
  <c r="R134" i="17"/>
  <c r="Q134" i="17"/>
  <c r="K134" i="17"/>
  <c r="J134" i="17"/>
  <c r="I134" i="17"/>
  <c r="H134" i="17"/>
  <c r="G134" i="17"/>
  <c r="AE134" i="17"/>
  <c r="AD134" i="17"/>
  <c r="K5" i="16"/>
  <c r="E6" i="16"/>
  <c r="AE32" i="17"/>
  <c r="AD32" i="17"/>
  <c r="AC32" i="17"/>
  <c r="AB32" i="17"/>
  <c r="AA32" i="17"/>
  <c r="U32" i="17"/>
  <c r="T32" i="17"/>
  <c r="S32" i="17"/>
  <c r="R32" i="17"/>
  <c r="Q32" i="17"/>
  <c r="K32" i="17"/>
  <c r="J32" i="17"/>
  <c r="I32" i="17"/>
  <c r="H32" i="17"/>
  <c r="G32" i="17"/>
  <c r="Q97" i="17"/>
  <c r="K97" i="17"/>
  <c r="J97" i="17"/>
  <c r="I97" i="17"/>
  <c r="H97" i="17"/>
  <c r="G97" i="17"/>
  <c r="AE97" i="17"/>
  <c r="AD97" i="17"/>
  <c r="AB97" i="17"/>
  <c r="AA97" i="17"/>
  <c r="U97" i="17"/>
  <c r="T97" i="17"/>
  <c r="AC97" i="17"/>
  <c r="S97" i="17"/>
  <c r="R97" i="17"/>
  <c r="G66" i="17"/>
  <c r="AE66" i="17"/>
  <c r="AD66" i="17"/>
  <c r="AC66" i="17"/>
  <c r="AB66" i="17"/>
  <c r="AA66" i="17"/>
  <c r="U66" i="17"/>
  <c r="T66" i="17"/>
  <c r="S66" i="17"/>
  <c r="R66" i="17"/>
  <c r="Q66" i="17"/>
  <c r="K66" i="17"/>
  <c r="J66" i="17"/>
  <c r="I66" i="17"/>
  <c r="H66" i="17"/>
  <c r="S179" i="17"/>
  <c r="R179" i="17"/>
  <c r="Q179" i="17"/>
  <c r="K179" i="17"/>
  <c r="J179" i="17"/>
  <c r="I179" i="17"/>
  <c r="H179" i="17"/>
  <c r="G179" i="17"/>
  <c r="T179" i="17"/>
  <c r="AE179" i="17"/>
  <c r="AD179" i="17"/>
  <c r="AC179" i="17"/>
  <c r="AB179" i="17"/>
  <c r="AA179" i="17"/>
  <c r="U179" i="17"/>
  <c r="AD302" i="17"/>
  <c r="AC302" i="17"/>
  <c r="AB302" i="17"/>
  <c r="AA302" i="17"/>
  <c r="U302" i="17"/>
  <c r="T302" i="17"/>
  <c r="S302" i="17"/>
  <c r="R302" i="17"/>
  <c r="Q302" i="17"/>
  <c r="K302" i="17"/>
  <c r="J302" i="17"/>
  <c r="I302" i="17"/>
  <c r="H302" i="17"/>
  <c r="G302" i="17"/>
  <c r="AE302" i="17"/>
  <c r="U290" i="17"/>
  <c r="T290" i="17"/>
  <c r="S290" i="17"/>
  <c r="R290" i="17"/>
  <c r="Q290" i="17"/>
  <c r="K290" i="17"/>
  <c r="J290" i="17"/>
  <c r="I290" i="17"/>
  <c r="H290" i="17"/>
  <c r="G290" i="17"/>
  <c r="AE290" i="17"/>
  <c r="AD290" i="17"/>
  <c r="AC290" i="17"/>
  <c r="AB290" i="17"/>
  <c r="AA290" i="17"/>
  <c r="AD270" i="17"/>
  <c r="AC270" i="17"/>
  <c r="AB270" i="17"/>
  <c r="AA270" i="17"/>
  <c r="U270" i="17"/>
  <c r="T270" i="17"/>
  <c r="S270" i="17"/>
  <c r="R270" i="17"/>
  <c r="Q270" i="17"/>
  <c r="K270" i="17"/>
  <c r="J270" i="17"/>
  <c r="I270" i="17"/>
  <c r="H270" i="17"/>
  <c r="G270" i="17"/>
  <c r="AE270" i="17"/>
  <c r="U258" i="17"/>
  <c r="T258" i="17"/>
  <c r="S258" i="17"/>
  <c r="R258" i="17"/>
  <c r="Q258" i="17"/>
  <c r="K258" i="17"/>
  <c r="J258" i="17"/>
  <c r="I258" i="17"/>
  <c r="H258" i="17"/>
  <c r="G258" i="17"/>
  <c r="AE258" i="17"/>
  <c r="AD258" i="17"/>
  <c r="AC258" i="17"/>
  <c r="AB258" i="17"/>
  <c r="AA258" i="17"/>
  <c r="K186" i="17"/>
  <c r="J186" i="17"/>
  <c r="I186" i="17"/>
  <c r="H186" i="17"/>
  <c r="G186" i="17"/>
  <c r="AE186" i="17"/>
  <c r="AD186" i="17"/>
  <c r="AA186" i="17"/>
  <c r="U186" i="17"/>
  <c r="T186" i="17"/>
  <c r="S186" i="17"/>
  <c r="AC186" i="17"/>
  <c r="AB186" i="17"/>
  <c r="R186" i="17"/>
  <c r="Q186" i="17"/>
  <c r="G174" i="17"/>
  <c r="AE174" i="17"/>
  <c r="AD174" i="17"/>
  <c r="AC174" i="17"/>
  <c r="AB174" i="17"/>
  <c r="AA174" i="17"/>
  <c r="U174" i="17"/>
  <c r="T174" i="17"/>
  <c r="S174" i="17"/>
  <c r="R174" i="17"/>
  <c r="Q174" i="17"/>
  <c r="K174" i="17"/>
  <c r="J174" i="17"/>
  <c r="I174" i="17"/>
  <c r="H174" i="17"/>
  <c r="K142" i="17"/>
  <c r="J142" i="17"/>
  <c r="I142" i="17"/>
  <c r="H142" i="17"/>
  <c r="G142" i="17"/>
  <c r="AE142" i="17"/>
  <c r="AD142" i="17"/>
  <c r="AC142" i="17"/>
  <c r="AB142" i="17"/>
  <c r="AA142" i="17"/>
  <c r="U142" i="17"/>
  <c r="T142" i="17"/>
  <c r="S142" i="17"/>
  <c r="R142" i="17"/>
  <c r="Q142" i="17"/>
  <c r="Q173" i="17"/>
  <c r="K173" i="17"/>
  <c r="J173" i="17"/>
  <c r="I173" i="17"/>
  <c r="H173" i="17"/>
  <c r="G173" i="17"/>
  <c r="AE173" i="17"/>
  <c r="R173" i="17"/>
  <c r="AD173" i="17"/>
  <c r="AC173" i="17"/>
  <c r="AB173" i="17"/>
  <c r="AA173" i="17"/>
  <c r="U173" i="17"/>
  <c r="T173" i="17"/>
  <c r="S173" i="17"/>
  <c r="AD153" i="17"/>
  <c r="AC153" i="17"/>
  <c r="AB153" i="17"/>
  <c r="AA153" i="17"/>
  <c r="U153" i="17"/>
  <c r="T153" i="17"/>
  <c r="S153" i="17"/>
  <c r="R153" i="17"/>
  <c r="Q153" i="17"/>
  <c r="K153" i="17"/>
  <c r="J153" i="17"/>
  <c r="I153" i="17"/>
  <c r="H153" i="17"/>
  <c r="G153" i="17"/>
  <c r="AE153" i="17"/>
  <c r="U141" i="17"/>
  <c r="T141" i="17"/>
  <c r="S141" i="17"/>
  <c r="R141" i="17"/>
  <c r="Q141" i="17"/>
  <c r="K141" i="17"/>
  <c r="J141" i="17"/>
  <c r="I141" i="17"/>
  <c r="H141" i="17"/>
  <c r="G141" i="17"/>
  <c r="AE141" i="17"/>
  <c r="AD141" i="17"/>
  <c r="AC141" i="17"/>
  <c r="AB141" i="17"/>
  <c r="AA141" i="17"/>
  <c r="AA3" i="16"/>
  <c r="G238" i="17"/>
  <c r="AE238" i="17"/>
  <c r="AD238" i="17"/>
  <c r="AC238" i="17"/>
  <c r="AB238" i="17"/>
  <c r="AA238" i="17"/>
  <c r="U238" i="17"/>
  <c r="T238" i="17"/>
  <c r="S238" i="17"/>
  <c r="R238" i="17"/>
  <c r="Q238" i="17"/>
  <c r="K238" i="17"/>
  <c r="J238" i="17"/>
  <c r="I238" i="17"/>
  <c r="H238" i="17"/>
  <c r="AE241" i="17"/>
  <c r="AD241" i="17"/>
  <c r="AC241" i="17"/>
  <c r="AB241" i="17"/>
  <c r="AA241" i="17"/>
  <c r="U241" i="17"/>
  <c r="T241" i="17"/>
  <c r="S241" i="17"/>
  <c r="R241" i="17"/>
  <c r="Q241" i="17"/>
  <c r="H241" i="17"/>
  <c r="G241" i="17"/>
  <c r="K241" i="17"/>
  <c r="J241" i="17"/>
  <c r="I241" i="17"/>
  <c r="T198" i="17"/>
  <c r="S198" i="17"/>
  <c r="R198" i="17"/>
  <c r="Q198" i="17"/>
  <c r="K198" i="17"/>
  <c r="J198" i="17"/>
  <c r="I198" i="17"/>
  <c r="H198" i="17"/>
  <c r="AE198" i="17"/>
  <c r="AD198" i="17"/>
  <c r="AC198" i="17"/>
  <c r="AB198" i="17"/>
  <c r="AA198" i="17"/>
  <c r="U198" i="17"/>
  <c r="G198" i="17"/>
  <c r="R68" i="17"/>
  <c r="Q68" i="17"/>
  <c r="K68" i="17"/>
  <c r="J68" i="17"/>
  <c r="I68" i="17"/>
  <c r="H68" i="17"/>
  <c r="G68" i="17"/>
  <c r="AE68" i="17"/>
  <c r="AD68" i="17"/>
  <c r="AC68" i="17"/>
  <c r="AB68" i="17"/>
  <c r="AA68" i="17"/>
  <c r="U68" i="17"/>
  <c r="T68" i="17"/>
  <c r="S68" i="17"/>
  <c r="I120" i="17"/>
  <c r="H120" i="17"/>
  <c r="G120" i="17"/>
  <c r="AE120" i="17"/>
  <c r="AD120" i="17"/>
  <c r="AC120" i="17"/>
  <c r="AB120" i="17"/>
  <c r="AA120" i="17"/>
  <c r="U120" i="17"/>
  <c r="T120" i="17"/>
  <c r="S120" i="17"/>
  <c r="R120" i="17"/>
  <c r="Q120" i="17"/>
  <c r="K120" i="17"/>
  <c r="J120" i="17"/>
  <c r="S27" i="17"/>
  <c r="R27" i="17"/>
  <c r="Q27" i="17"/>
  <c r="K27" i="17"/>
  <c r="J27" i="17"/>
  <c r="I27" i="17"/>
  <c r="H27" i="17"/>
  <c r="G27" i="17"/>
  <c r="AE27" i="17"/>
  <c r="AD27" i="17"/>
  <c r="AC27" i="17"/>
  <c r="AB27" i="17"/>
  <c r="AA27" i="17"/>
  <c r="U27" i="17"/>
  <c r="T27" i="17"/>
  <c r="H85" i="17"/>
  <c r="G85" i="17"/>
  <c r="AE85" i="17"/>
  <c r="AD85" i="17"/>
  <c r="AC85" i="17"/>
  <c r="AB85" i="17"/>
  <c r="AA85" i="17"/>
  <c r="U85" i="17"/>
  <c r="S85" i="17"/>
  <c r="R85" i="17"/>
  <c r="K85" i="17"/>
  <c r="T85" i="17"/>
  <c r="Q85" i="17"/>
  <c r="J85" i="17"/>
  <c r="I85" i="17"/>
  <c r="AA52" i="17"/>
  <c r="U52" i="17"/>
  <c r="T52" i="17"/>
  <c r="S52" i="17"/>
  <c r="R52" i="17"/>
  <c r="Q52" i="17"/>
  <c r="K52" i="17"/>
  <c r="J52" i="17"/>
  <c r="I52" i="17"/>
  <c r="H52" i="17"/>
  <c r="G52" i="17"/>
  <c r="AE52" i="17"/>
  <c r="AD52" i="17"/>
  <c r="AC52" i="17"/>
  <c r="AB52" i="17"/>
  <c r="R160" i="17"/>
  <c r="K160" i="17"/>
  <c r="J160" i="17"/>
  <c r="I160" i="17"/>
  <c r="H160" i="17"/>
  <c r="G160" i="17"/>
  <c r="AE160" i="17"/>
  <c r="AD160" i="17"/>
  <c r="AC160" i="17"/>
  <c r="AB160" i="17"/>
  <c r="AA160" i="17"/>
  <c r="U160" i="17"/>
  <c r="T160" i="17"/>
  <c r="S160" i="17"/>
  <c r="Q160" i="17"/>
  <c r="S163" i="17"/>
  <c r="Q163" i="17"/>
  <c r="K163" i="17"/>
  <c r="J163" i="17"/>
  <c r="I163" i="17"/>
  <c r="H163" i="17"/>
  <c r="G163" i="17"/>
  <c r="AB163" i="17"/>
  <c r="AA163" i="17"/>
  <c r="U163" i="17"/>
  <c r="T163" i="17"/>
  <c r="R163" i="17"/>
  <c r="AE163" i="17"/>
  <c r="AD163" i="17"/>
  <c r="AC163" i="17"/>
  <c r="AE92" i="17"/>
  <c r="AD92" i="17"/>
  <c r="AC92" i="17"/>
  <c r="AB92" i="17"/>
  <c r="AA92" i="17"/>
  <c r="U92" i="17"/>
  <c r="T92" i="17"/>
  <c r="S92" i="17"/>
  <c r="R92" i="17"/>
  <c r="K92" i="17"/>
  <c r="J92" i="17"/>
  <c r="H92" i="17"/>
  <c r="I92" i="17"/>
  <c r="G92" i="17"/>
  <c r="Q92" i="17"/>
  <c r="AB147" i="17"/>
  <c r="AA147" i="17"/>
  <c r="U147" i="17"/>
  <c r="T147" i="17"/>
  <c r="S147" i="17"/>
  <c r="R147" i="17"/>
  <c r="Q147" i="17"/>
  <c r="K147" i="17"/>
  <c r="J147" i="17"/>
  <c r="I147" i="17"/>
  <c r="H147" i="17"/>
  <c r="G147" i="17"/>
  <c r="AE147" i="17"/>
  <c r="AD147" i="17"/>
  <c r="AC147" i="17"/>
  <c r="AD45" i="17"/>
  <c r="AC45" i="17"/>
  <c r="AB45" i="17"/>
  <c r="AA45" i="17"/>
  <c r="U45" i="17"/>
  <c r="T45" i="17"/>
  <c r="S45" i="17"/>
  <c r="R45" i="17"/>
  <c r="Q45" i="17"/>
  <c r="K45" i="17"/>
  <c r="J45" i="17"/>
  <c r="I45" i="17"/>
  <c r="H45" i="17"/>
  <c r="G45" i="17"/>
  <c r="AE45" i="17"/>
  <c r="AA36" i="17"/>
  <c r="U36" i="17"/>
  <c r="T36" i="17"/>
  <c r="S36" i="17"/>
  <c r="R36" i="17"/>
  <c r="Q36" i="17"/>
  <c r="K36" i="17"/>
  <c r="J36" i="17"/>
  <c r="I36" i="17"/>
  <c r="H36" i="17"/>
  <c r="G36" i="17"/>
  <c r="AE36" i="17"/>
  <c r="AD36" i="17"/>
  <c r="AC36" i="17"/>
  <c r="AB36" i="17"/>
  <c r="F16" i="7"/>
  <c r="AC26" i="17"/>
  <c r="AB26" i="17"/>
  <c r="AA26" i="17"/>
  <c r="U26" i="17"/>
  <c r="T26" i="17"/>
  <c r="S26" i="17"/>
  <c r="R26" i="17"/>
  <c r="Q26" i="17"/>
  <c r="K26" i="17"/>
  <c r="J26" i="17"/>
  <c r="I26" i="17"/>
  <c r="H26" i="17"/>
  <c r="G26" i="17"/>
  <c r="AE26" i="17"/>
  <c r="AD26" i="17"/>
  <c r="AD13" i="17"/>
  <c r="AC13" i="17"/>
  <c r="AB13" i="17"/>
  <c r="AA13" i="17"/>
  <c r="U13" i="17"/>
  <c r="T13" i="17"/>
  <c r="S13" i="17"/>
  <c r="R13" i="17"/>
  <c r="Q13" i="17"/>
  <c r="K13" i="17"/>
  <c r="J13" i="17"/>
  <c r="I13" i="17"/>
  <c r="H13" i="17"/>
  <c r="G13" i="17"/>
  <c r="AE13" i="17"/>
  <c r="AA20" i="17"/>
  <c r="U20" i="17"/>
  <c r="T20" i="17"/>
  <c r="S20" i="17"/>
  <c r="R20" i="17"/>
  <c r="Q20" i="17"/>
  <c r="K20" i="17"/>
  <c r="J20" i="17"/>
  <c r="I20" i="17"/>
  <c r="H20" i="17"/>
  <c r="G20" i="17"/>
  <c r="AE20" i="17"/>
  <c r="AD20" i="17"/>
  <c r="AB20" i="17"/>
  <c r="AC20" i="17"/>
  <c r="R116" i="17"/>
  <c r="Q116" i="17"/>
  <c r="K116" i="17"/>
  <c r="J116" i="17"/>
  <c r="I116" i="17"/>
  <c r="H116" i="17"/>
  <c r="G116" i="17"/>
  <c r="AE116" i="17"/>
  <c r="AD116" i="17"/>
  <c r="AC116" i="17"/>
  <c r="AB116" i="17"/>
  <c r="AA116" i="17"/>
  <c r="U116" i="17"/>
  <c r="T116" i="17"/>
  <c r="S116" i="17"/>
  <c r="K94" i="17"/>
  <c r="J94" i="17"/>
  <c r="I94" i="17"/>
  <c r="H94" i="17"/>
  <c r="G94" i="17"/>
  <c r="AE94" i="17"/>
  <c r="AD94" i="17"/>
  <c r="AC94" i="17"/>
  <c r="AA94" i="17"/>
  <c r="U94" i="17"/>
  <c r="S94" i="17"/>
  <c r="AB94" i="17"/>
  <c r="T94" i="17"/>
  <c r="R94" i="17"/>
  <c r="Q94" i="17"/>
  <c r="K78" i="17"/>
  <c r="J78" i="17"/>
  <c r="I78" i="17"/>
  <c r="H78" i="17"/>
  <c r="G78" i="17"/>
  <c r="AE78" i="17"/>
  <c r="AD78" i="17"/>
  <c r="AC78" i="17"/>
  <c r="AA78" i="17"/>
  <c r="S78" i="17"/>
  <c r="U78" i="17"/>
  <c r="T78" i="17"/>
  <c r="R78" i="17"/>
  <c r="Q78" i="17"/>
  <c r="AB78" i="17"/>
  <c r="AA47" i="7"/>
  <c r="I57" i="5" s="1"/>
  <c r="Q13" i="9"/>
  <c r="P13" i="9"/>
  <c r="O13" i="9"/>
  <c r="C16" i="7"/>
  <c r="B14" i="5"/>
  <c r="AD49" i="7"/>
  <c r="F59" i="5" s="1"/>
  <c r="D8" i="7"/>
  <c r="C8" i="7"/>
  <c r="B8" i="7"/>
  <c r="L61" i="7"/>
  <c r="M61" i="7" s="1"/>
  <c r="J46" i="7"/>
  <c r="K46" i="7" s="1"/>
  <c r="L67" i="7"/>
  <c r="M67" i="7" s="1"/>
  <c r="G5" i="7"/>
  <c r="T14" i="7" s="1"/>
  <c r="R12" i="3" s="1"/>
  <c r="F5" i="7"/>
  <c r="R14" i="7" s="1"/>
  <c r="P12" i="3" s="1"/>
  <c r="E5" i="7"/>
  <c r="P14" i="7" s="1"/>
  <c r="O12" i="3" s="1"/>
  <c r="J43" i="7"/>
  <c r="K43" i="7" s="1"/>
  <c r="AD48" i="7"/>
  <c r="F58" i="5" s="1"/>
  <c r="G222" i="17"/>
  <c r="AE222" i="17"/>
  <c r="AD222" i="17"/>
  <c r="AC222" i="17"/>
  <c r="AB222" i="17"/>
  <c r="AA222" i="17"/>
  <c r="U222" i="17"/>
  <c r="T222" i="17"/>
  <c r="S222" i="17"/>
  <c r="R222" i="17"/>
  <c r="Q222" i="17"/>
  <c r="K222" i="17"/>
  <c r="J222" i="17"/>
  <c r="I222" i="17"/>
  <c r="H222" i="17"/>
  <c r="AE200" i="17"/>
  <c r="AD200" i="17"/>
  <c r="AC200" i="17"/>
  <c r="AB200" i="17"/>
  <c r="AA200" i="17"/>
  <c r="U200" i="17"/>
  <c r="T200" i="17"/>
  <c r="S200" i="17"/>
  <c r="K200" i="17"/>
  <c r="J200" i="17"/>
  <c r="I200" i="17"/>
  <c r="H200" i="17"/>
  <c r="R200" i="17"/>
  <c r="Q200" i="17"/>
  <c r="G200" i="17"/>
  <c r="H133" i="17"/>
  <c r="G133" i="17"/>
  <c r="AE133" i="17"/>
  <c r="AD133" i="17"/>
  <c r="AC133" i="17"/>
  <c r="AB133" i="17"/>
  <c r="AA133" i="17"/>
  <c r="U133" i="17"/>
  <c r="T133" i="17"/>
  <c r="S133" i="17"/>
  <c r="R133" i="17"/>
  <c r="Q133" i="17"/>
  <c r="K133" i="17"/>
  <c r="J133" i="17"/>
  <c r="I133" i="17"/>
  <c r="J256" i="17"/>
  <c r="I256" i="17"/>
  <c r="H256" i="17"/>
  <c r="G256" i="17"/>
  <c r="AE256" i="17"/>
  <c r="AD256" i="17"/>
  <c r="AC256" i="17"/>
  <c r="AB256" i="17"/>
  <c r="AA256" i="17"/>
  <c r="U256" i="17"/>
  <c r="T256" i="17"/>
  <c r="S256" i="17"/>
  <c r="R256" i="17"/>
  <c r="Q256" i="17"/>
  <c r="K256" i="17"/>
  <c r="AD89" i="17"/>
  <c r="AC89" i="17"/>
  <c r="AB89" i="17"/>
  <c r="AA89" i="17"/>
  <c r="U89" i="17"/>
  <c r="T89" i="17"/>
  <c r="S89" i="17"/>
  <c r="R89" i="17"/>
  <c r="Q89" i="17"/>
  <c r="J89" i="17"/>
  <c r="I89" i="17"/>
  <c r="G89" i="17"/>
  <c r="H89" i="17"/>
  <c r="AE89" i="17"/>
  <c r="K89" i="17"/>
  <c r="AB115" i="17"/>
  <c r="AA115" i="17"/>
  <c r="U115" i="17"/>
  <c r="T115" i="17"/>
  <c r="S115" i="17"/>
  <c r="R115" i="17"/>
  <c r="Q115" i="17"/>
  <c r="K115" i="17"/>
  <c r="J115" i="17"/>
  <c r="I115" i="17"/>
  <c r="H115" i="17"/>
  <c r="G115" i="17"/>
  <c r="AE115" i="17"/>
  <c r="AD115" i="17"/>
  <c r="AC115" i="17"/>
  <c r="C4" i="5"/>
  <c r="C5" i="5"/>
  <c r="E3" i="1"/>
  <c r="T122" i="17"/>
  <c r="S122" i="17"/>
  <c r="R122" i="17"/>
  <c r="Q122" i="17"/>
  <c r="K122" i="17"/>
  <c r="J122" i="17"/>
  <c r="I122" i="17"/>
  <c r="H122" i="17"/>
  <c r="G122" i="17"/>
  <c r="AE122" i="17"/>
  <c r="AD122" i="17"/>
  <c r="AC122" i="17"/>
  <c r="AB122" i="17"/>
  <c r="AA122" i="17"/>
  <c r="U122" i="17"/>
  <c r="U185" i="17"/>
  <c r="T185" i="17"/>
  <c r="S185" i="17"/>
  <c r="R185" i="17"/>
  <c r="Q185" i="17"/>
  <c r="K185" i="17"/>
  <c r="J185" i="17"/>
  <c r="I185" i="17"/>
  <c r="AE185" i="17"/>
  <c r="AD185" i="17"/>
  <c r="AC185" i="17"/>
  <c r="AA185" i="17"/>
  <c r="H185" i="17"/>
  <c r="G185" i="17"/>
  <c r="AB185" i="17"/>
  <c r="AD165" i="17"/>
  <c r="AB165" i="17"/>
  <c r="AA165" i="17"/>
  <c r="U165" i="17"/>
  <c r="T165" i="17"/>
  <c r="S165" i="17"/>
  <c r="R165" i="17"/>
  <c r="AE165" i="17"/>
  <c r="AC165" i="17"/>
  <c r="Q165" i="17"/>
  <c r="K165" i="17"/>
  <c r="J165" i="17"/>
  <c r="I165" i="17"/>
  <c r="H165" i="17"/>
  <c r="G165" i="17"/>
  <c r="S284" i="17"/>
  <c r="R284" i="17"/>
  <c r="Q284" i="17"/>
  <c r="K284" i="17"/>
  <c r="J284" i="17"/>
  <c r="I284" i="17"/>
  <c r="H284" i="17"/>
  <c r="G284" i="17"/>
  <c r="AE284" i="17"/>
  <c r="AD284" i="17"/>
  <c r="AC284" i="17"/>
  <c r="AB284" i="17"/>
  <c r="AA284" i="17"/>
  <c r="U284" i="17"/>
  <c r="T284" i="17"/>
  <c r="K110" i="17"/>
  <c r="J110" i="17"/>
  <c r="I110" i="17"/>
  <c r="H110" i="17"/>
  <c r="G110" i="17"/>
  <c r="AE110" i="17"/>
  <c r="AD110" i="17"/>
  <c r="AC110" i="17"/>
  <c r="AA110" i="17"/>
  <c r="U110" i="17"/>
  <c r="T110" i="17"/>
  <c r="S110" i="17"/>
  <c r="AB110" i="17"/>
  <c r="R110" i="17"/>
  <c r="Q110" i="17"/>
  <c r="AA277" i="17"/>
  <c r="U277" i="17"/>
  <c r="T277" i="17"/>
  <c r="S277" i="17"/>
  <c r="R277" i="17"/>
  <c r="Q277" i="17"/>
  <c r="K277" i="17"/>
  <c r="J277" i="17"/>
  <c r="I277" i="17"/>
  <c r="H277" i="17"/>
  <c r="G277" i="17"/>
  <c r="AE277" i="17"/>
  <c r="AD277" i="17"/>
  <c r="AC277" i="17"/>
  <c r="AB277" i="17"/>
  <c r="R5" i="16"/>
  <c r="P5" i="16"/>
  <c r="S5" i="16" s="1"/>
  <c r="B6" i="16"/>
  <c r="AE232" i="17"/>
  <c r="AD232" i="17"/>
  <c r="AC232" i="17"/>
  <c r="AB232" i="17"/>
  <c r="AA232" i="17"/>
  <c r="U232" i="17"/>
  <c r="T232" i="17"/>
  <c r="S232" i="17"/>
  <c r="R232" i="17"/>
  <c r="Q232" i="17"/>
  <c r="K232" i="17"/>
  <c r="J232" i="17"/>
  <c r="I232" i="17"/>
  <c r="H232" i="17"/>
  <c r="G232" i="17"/>
  <c r="AC267" i="17"/>
  <c r="AB267" i="17"/>
  <c r="AA267" i="17"/>
  <c r="U267" i="17"/>
  <c r="T267" i="17"/>
  <c r="S267" i="17"/>
  <c r="R267" i="17"/>
  <c r="Q267" i="17"/>
  <c r="K267" i="17"/>
  <c r="J267" i="17"/>
  <c r="I267" i="17"/>
  <c r="H267" i="17"/>
  <c r="G267" i="17"/>
  <c r="AE267" i="17"/>
  <c r="AD267" i="17"/>
  <c r="K243" i="17"/>
  <c r="J243" i="17"/>
  <c r="I243" i="17"/>
  <c r="H243" i="17"/>
  <c r="G243" i="17"/>
  <c r="AE243" i="17"/>
  <c r="AD243" i="17"/>
  <c r="AC243" i="17"/>
  <c r="AB243" i="17"/>
  <c r="Q243" i="17"/>
  <c r="AA243" i="17"/>
  <c r="U243" i="17"/>
  <c r="T243" i="17"/>
  <c r="S243" i="17"/>
  <c r="R243" i="17"/>
  <c r="AA220" i="17"/>
  <c r="U220" i="17"/>
  <c r="T220" i="17"/>
  <c r="S220" i="17"/>
  <c r="R220" i="17"/>
  <c r="Q220" i="17"/>
  <c r="K220" i="17"/>
  <c r="J220" i="17"/>
  <c r="I220" i="17"/>
  <c r="H220" i="17"/>
  <c r="G220" i="17"/>
  <c r="AE220" i="17"/>
  <c r="AD220" i="17"/>
  <c r="AC220" i="17"/>
  <c r="AB220" i="17"/>
  <c r="Q221" i="17"/>
  <c r="K221" i="17"/>
  <c r="J221" i="17"/>
  <c r="I221" i="17"/>
  <c r="H221" i="17"/>
  <c r="G221" i="17"/>
  <c r="AE221" i="17"/>
  <c r="AD221" i="17"/>
  <c r="AC221" i="17"/>
  <c r="AB221" i="17"/>
  <c r="AA221" i="17"/>
  <c r="U221" i="17"/>
  <c r="T221" i="17"/>
  <c r="S221" i="17"/>
  <c r="R221" i="17"/>
  <c r="T255" i="17"/>
  <c r="S255" i="17"/>
  <c r="R255" i="17"/>
  <c r="Q255" i="17"/>
  <c r="K255" i="17"/>
  <c r="J255" i="17"/>
  <c r="I255" i="17"/>
  <c r="H255" i="17"/>
  <c r="G255" i="17"/>
  <c r="AE255" i="17"/>
  <c r="AD255" i="17"/>
  <c r="AC255" i="17"/>
  <c r="AB255" i="17"/>
  <c r="AA255" i="17"/>
  <c r="U255" i="17"/>
  <c r="AE95" i="17"/>
  <c r="AD95" i="17"/>
  <c r="AC95" i="17"/>
  <c r="AB95" i="17"/>
  <c r="AA95" i="17"/>
  <c r="U95" i="17"/>
  <c r="T95" i="17"/>
  <c r="S95" i="17"/>
  <c r="Q95" i="17"/>
  <c r="K95" i="17"/>
  <c r="I95" i="17"/>
  <c r="J95" i="17"/>
  <c r="H95" i="17"/>
  <c r="G95" i="17"/>
  <c r="R95" i="17"/>
  <c r="S135" i="17"/>
  <c r="R135" i="17"/>
  <c r="Q135" i="17"/>
  <c r="K135" i="17"/>
  <c r="J135" i="17"/>
  <c r="I135" i="17"/>
  <c r="H135" i="17"/>
  <c r="G135" i="17"/>
  <c r="AE135" i="17"/>
  <c r="AD135" i="17"/>
  <c r="AC135" i="17"/>
  <c r="AB135" i="17"/>
  <c r="AA135" i="17"/>
  <c r="U135" i="17"/>
  <c r="T135" i="17"/>
  <c r="S43" i="17"/>
  <c r="R43" i="17"/>
  <c r="Q43" i="17"/>
  <c r="K43" i="17"/>
  <c r="J43" i="17"/>
  <c r="I43" i="17"/>
  <c r="H43" i="17"/>
  <c r="G43" i="17"/>
  <c r="AE43" i="17"/>
  <c r="AD43" i="17"/>
  <c r="AC43" i="17"/>
  <c r="AB43" i="17"/>
  <c r="AA43" i="17"/>
  <c r="U43" i="17"/>
  <c r="T43" i="17"/>
  <c r="AA156" i="17"/>
  <c r="AE156" i="17"/>
  <c r="AD156" i="17"/>
  <c r="AC156" i="17"/>
  <c r="AB156" i="17"/>
  <c r="U156" i="17"/>
  <c r="T156" i="17"/>
  <c r="S156" i="17"/>
  <c r="R156" i="17"/>
  <c r="Q156" i="17"/>
  <c r="K156" i="17"/>
  <c r="J156" i="17"/>
  <c r="I156" i="17"/>
  <c r="H156" i="17"/>
  <c r="G156" i="17"/>
  <c r="H6" i="10"/>
  <c r="C20" i="4"/>
  <c r="U109" i="17"/>
  <c r="T109" i="17"/>
  <c r="S109" i="17"/>
  <c r="R109" i="17"/>
  <c r="Q109" i="17"/>
  <c r="K109" i="17"/>
  <c r="J109" i="17"/>
  <c r="I109" i="17"/>
  <c r="H109" i="17"/>
  <c r="AE109" i="17"/>
  <c r="AD109" i="17"/>
  <c r="AC109" i="17"/>
  <c r="AB109" i="17"/>
  <c r="AA109" i="17"/>
  <c r="G109" i="17"/>
  <c r="R40" i="17"/>
  <c r="Q40" i="17"/>
  <c r="K40" i="17"/>
  <c r="J40" i="17"/>
  <c r="I40" i="17"/>
  <c r="H40" i="17"/>
  <c r="G40" i="17"/>
  <c r="AE40" i="17"/>
  <c r="AD40" i="17"/>
  <c r="AC40" i="17"/>
  <c r="AB40" i="17"/>
  <c r="AA40" i="17"/>
  <c r="U40" i="17"/>
  <c r="T40" i="17"/>
  <c r="S40" i="17"/>
  <c r="AE16" i="17"/>
  <c r="AD16" i="17"/>
  <c r="AC16" i="17"/>
  <c r="AB16" i="17"/>
  <c r="AA16" i="17"/>
  <c r="U16" i="17"/>
  <c r="T16" i="17"/>
  <c r="S16" i="17"/>
  <c r="R16" i="17"/>
  <c r="Q16" i="17"/>
  <c r="K16" i="17"/>
  <c r="J16" i="17"/>
  <c r="I16" i="17"/>
  <c r="H16" i="17"/>
  <c r="G16" i="17"/>
  <c r="I72" i="17"/>
  <c r="H72" i="17"/>
  <c r="G72" i="17"/>
  <c r="AE72" i="17"/>
  <c r="AD72" i="17"/>
  <c r="AC72" i="17"/>
  <c r="AB72" i="17"/>
  <c r="AA72" i="17"/>
  <c r="R72" i="17"/>
  <c r="Q72" i="17"/>
  <c r="K72" i="17"/>
  <c r="J72" i="17"/>
  <c r="U72" i="17"/>
  <c r="T72" i="17"/>
  <c r="S72" i="17"/>
  <c r="F25" i="7"/>
  <c r="D14" i="5"/>
  <c r="D25" i="7"/>
  <c r="N25" i="7"/>
  <c r="P95" i="5" s="1"/>
  <c r="M25" i="7"/>
  <c r="AD47" i="7"/>
  <c r="F57" i="5" s="1"/>
  <c r="I8" i="7"/>
  <c r="H8" i="7"/>
  <c r="J8" i="7"/>
  <c r="H16" i="7"/>
  <c r="C34" i="7" s="1"/>
  <c r="D34" i="7" s="1"/>
  <c r="AA42" i="7"/>
  <c r="I52" i="5" s="1"/>
  <c r="AD121" i="17"/>
  <c r="AC121" i="17"/>
  <c r="AB121" i="17"/>
  <c r="AA121" i="17"/>
  <c r="U121" i="17"/>
  <c r="T121" i="17"/>
  <c r="S121" i="17"/>
  <c r="R121" i="17"/>
  <c r="Q121" i="17"/>
  <c r="K121" i="17"/>
  <c r="J121" i="17"/>
  <c r="I121" i="17"/>
  <c r="H121" i="17"/>
  <c r="G121" i="17"/>
  <c r="AE121" i="17"/>
  <c r="I301" i="17"/>
  <c r="H301" i="17"/>
  <c r="G301" i="17"/>
  <c r="AE301" i="17"/>
  <c r="AD301" i="17"/>
  <c r="AC301" i="17"/>
  <c r="AB301" i="17"/>
  <c r="AA301" i="17"/>
  <c r="U301" i="17"/>
  <c r="T301" i="17"/>
  <c r="S301" i="17"/>
  <c r="R301" i="17"/>
  <c r="Q301" i="17"/>
  <c r="K301" i="17"/>
  <c r="J301" i="17"/>
  <c r="AE216" i="17"/>
  <c r="AD216" i="17"/>
  <c r="AC216" i="17"/>
  <c r="AB216" i="17"/>
  <c r="AA216" i="17"/>
  <c r="U216" i="17"/>
  <c r="T216" i="17"/>
  <c r="S216" i="17"/>
  <c r="R216" i="17"/>
  <c r="Q216" i="17"/>
  <c r="K216" i="17"/>
  <c r="J216" i="17"/>
  <c r="I216" i="17"/>
  <c r="H216" i="17"/>
  <c r="G216" i="17"/>
  <c r="U49" i="17"/>
  <c r="T49" i="17"/>
  <c r="S49" i="17"/>
  <c r="R49" i="17"/>
  <c r="Q49" i="17"/>
  <c r="K49" i="17"/>
  <c r="J49" i="17"/>
  <c r="I49" i="17"/>
  <c r="H49" i="17"/>
  <c r="G49" i="17"/>
  <c r="AE49" i="17"/>
  <c r="AD49" i="17"/>
  <c r="AC49" i="17"/>
  <c r="AB49" i="17"/>
  <c r="AA49" i="17"/>
  <c r="Q278" i="17"/>
  <c r="K278" i="17"/>
  <c r="J278" i="17"/>
  <c r="I278" i="17"/>
  <c r="H278" i="17"/>
  <c r="G278" i="17"/>
  <c r="AE278" i="17"/>
  <c r="AD278" i="17"/>
  <c r="AC278" i="17"/>
  <c r="AB278" i="17"/>
  <c r="AA278" i="17"/>
  <c r="U278" i="17"/>
  <c r="T278" i="17"/>
  <c r="S278" i="17"/>
  <c r="R278" i="17"/>
  <c r="Q246" i="17"/>
  <c r="K246" i="17"/>
  <c r="J246" i="17"/>
  <c r="I246" i="17"/>
  <c r="H246" i="17"/>
  <c r="G246" i="17"/>
  <c r="AE246" i="17"/>
  <c r="AD246" i="17"/>
  <c r="AC246" i="17"/>
  <c r="AB246" i="17"/>
  <c r="T246" i="17"/>
  <c r="AA246" i="17"/>
  <c r="U246" i="17"/>
  <c r="S246" i="17"/>
  <c r="R246" i="17"/>
  <c r="AD213" i="17"/>
  <c r="AC213" i="17"/>
  <c r="AB213" i="17"/>
  <c r="AA213" i="17"/>
  <c r="U213" i="17"/>
  <c r="T213" i="17"/>
  <c r="S213" i="17"/>
  <c r="R213" i="17"/>
  <c r="Q213" i="17"/>
  <c r="K213" i="17"/>
  <c r="J213" i="17"/>
  <c r="I213" i="17"/>
  <c r="H213" i="17"/>
  <c r="G213" i="17"/>
  <c r="AE213" i="17"/>
  <c r="G130" i="17"/>
  <c r="AE130" i="17"/>
  <c r="AD130" i="17"/>
  <c r="AC130" i="17"/>
  <c r="AB130" i="17"/>
  <c r="AA130" i="17"/>
  <c r="U130" i="17"/>
  <c r="T130" i="17"/>
  <c r="S130" i="17"/>
  <c r="R130" i="17"/>
  <c r="Q130" i="17"/>
  <c r="K130" i="17"/>
  <c r="J130" i="17"/>
  <c r="I130" i="17"/>
  <c r="H130" i="17"/>
  <c r="H193" i="17"/>
  <c r="G193" i="17"/>
  <c r="AE193" i="17"/>
  <c r="AD193" i="17"/>
  <c r="AC193" i="17"/>
  <c r="AB193" i="17"/>
  <c r="AA193" i="17"/>
  <c r="S193" i="17"/>
  <c r="R193" i="17"/>
  <c r="Q193" i="17"/>
  <c r="K193" i="17"/>
  <c r="U193" i="17"/>
  <c r="T193" i="17"/>
  <c r="J193" i="17"/>
  <c r="I193" i="17"/>
  <c r="H161" i="17"/>
  <c r="AE161" i="17"/>
  <c r="AD161" i="17"/>
  <c r="AC161" i="17"/>
  <c r="AB161" i="17"/>
  <c r="AA161" i="17"/>
  <c r="U161" i="17"/>
  <c r="T161" i="17"/>
  <c r="S161" i="17"/>
  <c r="R161" i="17"/>
  <c r="Q161" i="17"/>
  <c r="K161" i="17"/>
  <c r="J161" i="17"/>
  <c r="I161" i="17"/>
  <c r="G161" i="17"/>
  <c r="Q129" i="17"/>
  <c r="K129" i="17"/>
  <c r="J129" i="17"/>
  <c r="I129" i="17"/>
  <c r="H129" i="17"/>
  <c r="G129" i="17"/>
  <c r="AE129" i="17"/>
  <c r="AD129" i="17"/>
  <c r="AC129" i="17"/>
  <c r="AB129" i="17"/>
  <c r="AA129" i="17"/>
  <c r="U129" i="17"/>
  <c r="T129" i="17"/>
  <c r="S129" i="17"/>
  <c r="R129" i="17"/>
  <c r="R265" i="17"/>
  <c r="Q265" i="17"/>
  <c r="K265" i="17"/>
  <c r="J265" i="17"/>
  <c r="I265" i="17"/>
  <c r="H265" i="17"/>
  <c r="G265" i="17"/>
  <c r="AE265" i="17"/>
  <c r="AD265" i="17"/>
  <c r="AC265" i="17"/>
  <c r="AB265" i="17"/>
  <c r="AA265" i="17"/>
  <c r="U265" i="17"/>
  <c r="T265" i="17"/>
  <c r="S265" i="17"/>
  <c r="AB223" i="17"/>
  <c r="AA223" i="17"/>
  <c r="U223" i="17"/>
  <c r="T223" i="17"/>
  <c r="S223" i="17"/>
  <c r="R223" i="17"/>
  <c r="Q223" i="17"/>
  <c r="K223" i="17"/>
  <c r="J223" i="17"/>
  <c r="I223" i="17"/>
  <c r="H223" i="17"/>
  <c r="G223" i="17"/>
  <c r="AE223" i="17"/>
  <c r="AD223" i="17"/>
  <c r="AC223" i="17"/>
  <c r="J215" i="17"/>
  <c r="I215" i="17"/>
  <c r="H215" i="17"/>
  <c r="G215" i="17"/>
  <c r="AE215" i="17"/>
  <c r="AD215" i="17"/>
  <c r="AC215" i="17"/>
  <c r="AB215" i="17"/>
  <c r="AA215" i="17"/>
  <c r="U215" i="17"/>
  <c r="T215" i="17"/>
  <c r="S215" i="17"/>
  <c r="R215" i="17"/>
  <c r="Q215" i="17"/>
  <c r="K215" i="17"/>
  <c r="R281" i="17"/>
  <c r="Q281" i="17"/>
  <c r="K281" i="17"/>
  <c r="J281" i="17"/>
  <c r="I281" i="17"/>
  <c r="H281" i="17"/>
  <c r="G281" i="17"/>
  <c r="AE281" i="17"/>
  <c r="AD281" i="17"/>
  <c r="AC281" i="17"/>
  <c r="AB281" i="17"/>
  <c r="AA281" i="17"/>
  <c r="U281" i="17"/>
  <c r="T281" i="17"/>
  <c r="S281" i="17"/>
  <c r="T46" i="17"/>
  <c r="S46" i="17"/>
  <c r="R46" i="17"/>
  <c r="Q46" i="17"/>
  <c r="K46" i="17"/>
  <c r="J46" i="17"/>
  <c r="I46" i="17"/>
  <c r="H46" i="17"/>
  <c r="G46" i="17"/>
  <c r="AE46" i="17"/>
  <c r="AD46" i="17"/>
  <c r="AC46" i="17"/>
  <c r="AB46" i="17"/>
  <c r="AA46" i="17"/>
  <c r="U46" i="17"/>
  <c r="AE63" i="17"/>
  <c r="AD63" i="17"/>
  <c r="AC63" i="17"/>
  <c r="AB63" i="17"/>
  <c r="AA63" i="17"/>
  <c r="U63" i="17"/>
  <c r="T63" i="17"/>
  <c r="S63" i="17"/>
  <c r="R63" i="17"/>
  <c r="Q63" i="17"/>
  <c r="K63" i="17"/>
  <c r="J63" i="17"/>
  <c r="I63" i="17"/>
  <c r="H63" i="17"/>
  <c r="G63" i="17"/>
  <c r="AE244" i="17"/>
  <c r="AD244" i="17"/>
  <c r="AC244" i="17"/>
  <c r="AB244" i="17"/>
  <c r="AA244" i="17"/>
  <c r="U244" i="17"/>
  <c r="T244" i="17"/>
  <c r="S244" i="17"/>
  <c r="R244" i="17"/>
  <c r="Q244" i="17"/>
  <c r="K244" i="17"/>
  <c r="J244" i="17"/>
  <c r="I244" i="17"/>
  <c r="H244" i="17"/>
  <c r="G244" i="17"/>
  <c r="R249" i="17"/>
  <c r="Q249" i="17"/>
  <c r="K249" i="17"/>
  <c r="J249" i="17"/>
  <c r="I249" i="17"/>
  <c r="H249" i="17"/>
  <c r="G249" i="17"/>
  <c r="AE249" i="17"/>
  <c r="AD249" i="17"/>
  <c r="AC249" i="17"/>
  <c r="AB249" i="17"/>
  <c r="AA249" i="17"/>
  <c r="U249" i="17"/>
  <c r="T249" i="17"/>
  <c r="S249" i="17"/>
  <c r="AC283" i="17"/>
  <c r="AB283" i="17"/>
  <c r="AA283" i="17"/>
  <c r="U283" i="17"/>
  <c r="T283" i="17"/>
  <c r="S283" i="17"/>
  <c r="R283" i="17"/>
  <c r="Q283" i="17"/>
  <c r="K283" i="17"/>
  <c r="J283" i="17"/>
  <c r="I283" i="17"/>
  <c r="H283" i="17"/>
  <c r="G283" i="17"/>
  <c r="AE283" i="17"/>
  <c r="AD283" i="17"/>
  <c r="AB23" i="17"/>
  <c r="AA23" i="17"/>
  <c r="U23" i="17"/>
  <c r="T23" i="17"/>
  <c r="S23" i="17"/>
  <c r="R23" i="17"/>
  <c r="Q23" i="17"/>
  <c r="K23" i="17"/>
  <c r="J23" i="17"/>
  <c r="I23" i="17"/>
  <c r="H23" i="17"/>
  <c r="G23" i="17"/>
  <c r="AE23" i="17"/>
  <c r="AD23" i="17"/>
  <c r="AC23" i="17"/>
  <c r="C20" i="2"/>
  <c r="H4" i="10"/>
  <c r="AD57" i="17"/>
  <c r="AC57" i="17"/>
  <c r="AB57" i="17"/>
  <c r="AA57" i="17"/>
  <c r="U57" i="17"/>
  <c r="T57" i="17"/>
  <c r="S57" i="17"/>
  <c r="R57" i="17"/>
  <c r="I57" i="17"/>
  <c r="H57" i="17"/>
  <c r="G57" i="17"/>
  <c r="AE57" i="17"/>
  <c r="Q57" i="17"/>
  <c r="K57" i="17"/>
  <c r="J57" i="17"/>
  <c r="K62" i="17"/>
  <c r="J62" i="17"/>
  <c r="I62" i="17"/>
  <c r="H62" i="17"/>
  <c r="G62" i="17"/>
  <c r="AE62" i="17"/>
  <c r="AD62" i="17"/>
  <c r="AC62" i="17"/>
  <c r="AB62" i="17"/>
  <c r="AA62" i="17"/>
  <c r="U62" i="17"/>
  <c r="T62" i="17"/>
  <c r="S62" i="17"/>
  <c r="R62" i="17"/>
  <c r="Q62" i="17"/>
  <c r="R132" i="17"/>
  <c r="Q132" i="17"/>
  <c r="K132" i="17"/>
  <c r="J132" i="17"/>
  <c r="I132" i="17"/>
  <c r="H132" i="17"/>
  <c r="G132" i="17"/>
  <c r="AE132" i="17"/>
  <c r="AD132" i="17"/>
  <c r="AC132" i="17"/>
  <c r="AB132" i="17"/>
  <c r="AA132" i="17"/>
  <c r="U132" i="17"/>
  <c r="T132" i="17"/>
  <c r="S132" i="17"/>
  <c r="AA51" i="7"/>
  <c r="I61" i="5" s="1"/>
  <c r="E22" i="7"/>
  <c r="J49" i="7"/>
  <c r="K49" i="7" s="1"/>
  <c r="J42" i="7"/>
  <c r="K42" i="7" s="1"/>
  <c r="AA43" i="7"/>
  <c r="I53" i="5" s="1"/>
  <c r="AD41" i="7"/>
  <c r="F51" i="5" s="1"/>
  <c r="J54" i="7"/>
  <c r="K54" i="7" s="1"/>
  <c r="P97" i="5"/>
  <c r="AA50" i="7"/>
  <c r="I60" i="5" s="1"/>
  <c r="L64" i="7"/>
  <c r="M64" i="7" s="1"/>
  <c r="AD43" i="7"/>
  <c r="F53" i="5" s="1"/>
  <c r="P94" i="5"/>
  <c r="AD50" i="7"/>
  <c r="F60" i="5" s="1"/>
  <c r="J52" i="7"/>
  <c r="K52" i="7" s="1"/>
  <c r="J51" i="7"/>
  <c r="K51" i="7" s="1"/>
  <c r="J50" i="7"/>
  <c r="K50" i="7" s="1"/>
  <c r="AA54" i="7"/>
  <c r="I64" i="5" s="1"/>
  <c r="J53" i="7"/>
  <c r="K53" i="7" s="1"/>
  <c r="L72" i="7"/>
  <c r="M72" i="7" s="1"/>
  <c r="L69" i="7"/>
  <c r="M69" i="7" s="1"/>
  <c r="M22" i="7"/>
  <c r="N22" i="7"/>
  <c r="P92" i="5" s="1"/>
  <c r="G7" i="7"/>
  <c r="T16" i="7" s="1"/>
  <c r="F7" i="7"/>
  <c r="R16" i="7" s="1"/>
  <c r="E7" i="7"/>
  <c r="P16" i="7" s="1"/>
  <c r="AA52" i="7"/>
  <c r="I62" i="5" s="1"/>
  <c r="L23" i="7"/>
  <c r="J44" i="7"/>
  <c r="K44" i="7" s="1"/>
  <c r="L68" i="7"/>
  <c r="M68" i="7" s="1"/>
  <c r="AA45" i="7"/>
  <c r="I55" i="5" s="1"/>
  <c r="J47" i="7"/>
  <c r="K47" i="7" s="1"/>
  <c r="K202" i="17"/>
  <c r="J202" i="17"/>
  <c r="I202" i="17"/>
  <c r="H202" i="17"/>
  <c r="G202" i="17"/>
  <c r="AE202" i="17"/>
  <c r="AD202" i="17"/>
  <c r="AA202" i="17"/>
  <c r="U202" i="17"/>
  <c r="T202" i="17"/>
  <c r="S202" i="17"/>
  <c r="AC202" i="17"/>
  <c r="AB202" i="17"/>
  <c r="R202" i="17"/>
  <c r="Q202" i="17"/>
  <c r="S71" i="17"/>
  <c r="R71" i="17"/>
  <c r="Q71" i="17"/>
  <c r="K71" i="17"/>
  <c r="J71" i="17"/>
  <c r="I71" i="17"/>
  <c r="H71" i="17"/>
  <c r="G71" i="17"/>
  <c r="AE71" i="17"/>
  <c r="AD71" i="17"/>
  <c r="AC71" i="17"/>
  <c r="AB71" i="17"/>
  <c r="AA71" i="17"/>
  <c r="U71" i="17"/>
  <c r="T71" i="17"/>
  <c r="AE305" i="17"/>
  <c r="AD305" i="17"/>
  <c r="AC305" i="17"/>
  <c r="AB305" i="17"/>
  <c r="AA305" i="17"/>
  <c r="U305" i="17"/>
  <c r="T305" i="17"/>
  <c r="S305" i="17"/>
  <c r="R305" i="17"/>
  <c r="Q305" i="17"/>
  <c r="K305" i="17"/>
  <c r="J305" i="17"/>
  <c r="I305" i="17"/>
  <c r="H305" i="17"/>
  <c r="G305" i="17"/>
  <c r="J304" i="17"/>
  <c r="I304" i="17"/>
  <c r="H304" i="17"/>
  <c r="G304" i="17"/>
  <c r="AE304" i="17"/>
  <c r="AD304" i="17"/>
  <c r="AC304" i="17"/>
  <c r="AB304" i="17"/>
  <c r="AA304" i="17"/>
  <c r="U304" i="17"/>
  <c r="T304" i="17"/>
  <c r="S304" i="17"/>
  <c r="R304" i="17"/>
  <c r="Q304" i="17"/>
  <c r="K304" i="17"/>
  <c r="AB296" i="17"/>
  <c r="AA296" i="17"/>
  <c r="U296" i="17"/>
  <c r="T296" i="17"/>
  <c r="S296" i="17"/>
  <c r="R296" i="17"/>
  <c r="Q296" i="17"/>
  <c r="K296" i="17"/>
  <c r="J296" i="17"/>
  <c r="I296" i="17"/>
  <c r="H296" i="17"/>
  <c r="G296" i="17"/>
  <c r="AE296" i="17"/>
  <c r="AD296" i="17"/>
  <c r="AC296" i="17"/>
  <c r="J272" i="17"/>
  <c r="I272" i="17"/>
  <c r="H272" i="17"/>
  <c r="G272" i="17"/>
  <c r="AE272" i="17"/>
  <c r="AD272" i="17"/>
  <c r="AC272" i="17"/>
  <c r="AB272" i="17"/>
  <c r="AA272" i="17"/>
  <c r="U272" i="17"/>
  <c r="T272" i="17"/>
  <c r="S272" i="17"/>
  <c r="R272" i="17"/>
  <c r="Q272" i="17"/>
  <c r="K272" i="17"/>
  <c r="AB264" i="17"/>
  <c r="AA264" i="17"/>
  <c r="U264" i="17"/>
  <c r="T264" i="17"/>
  <c r="S264" i="17"/>
  <c r="R264" i="17"/>
  <c r="Q264" i="17"/>
  <c r="K264" i="17"/>
  <c r="J264" i="17"/>
  <c r="I264" i="17"/>
  <c r="H264" i="17"/>
  <c r="G264" i="17"/>
  <c r="AE264" i="17"/>
  <c r="AD264" i="17"/>
  <c r="AC264" i="17"/>
  <c r="I212" i="17"/>
  <c r="H212" i="17"/>
  <c r="G212" i="17"/>
  <c r="AE212" i="17"/>
  <c r="AD212" i="17"/>
  <c r="AC212" i="17"/>
  <c r="AB212" i="17"/>
  <c r="AA212" i="17"/>
  <c r="U212" i="17"/>
  <c r="T212" i="17"/>
  <c r="S212" i="17"/>
  <c r="R212" i="17"/>
  <c r="Q212" i="17"/>
  <c r="K212" i="17"/>
  <c r="J212" i="17"/>
  <c r="AE289" i="17"/>
  <c r="AD289" i="17"/>
  <c r="AC289" i="17"/>
  <c r="AB289" i="17"/>
  <c r="AA289" i="17"/>
  <c r="U289" i="17"/>
  <c r="T289" i="17"/>
  <c r="S289" i="17"/>
  <c r="R289" i="17"/>
  <c r="Q289" i="17"/>
  <c r="K289" i="17"/>
  <c r="J289" i="17"/>
  <c r="I289" i="17"/>
  <c r="H289" i="17"/>
  <c r="G289" i="17"/>
  <c r="H69" i="17"/>
  <c r="G69" i="17"/>
  <c r="AE69" i="17"/>
  <c r="AD69" i="17"/>
  <c r="AC69" i="17"/>
  <c r="AB69" i="17"/>
  <c r="AA69" i="17"/>
  <c r="U69" i="17"/>
  <c r="T69" i="17"/>
  <c r="S69" i="17"/>
  <c r="R69" i="17"/>
  <c r="Q69" i="17"/>
  <c r="K69" i="17"/>
  <c r="J69" i="17"/>
  <c r="I69" i="17"/>
  <c r="I136" i="17"/>
  <c r="H136" i="17"/>
  <c r="G136" i="17"/>
  <c r="AE136" i="17"/>
  <c r="AD136" i="17"/>
  <c r="AC136" i="17"/>
  <c r="AB136" i="17"/>
  <c r="AA136" i="17"/>
  <c r="U136" i="17"/>
  <c r="T136" i="17"/>
  <c r="S136" i="17"/>
  <c r="R136" i="17"/>
  <c r="Q136" i="17"/>
  <c r="K136" i="17"/>
  <c r="J136" i="17"/>
  <c r="AD29" i="17"/>
  <c r="AC29" i="17"/>
  <c r="AB29" i="17"/>
  <c r="AA29" i="17"/>
  <c r="U29" i="17"/>
  <c r="T29" i="17"/>
  <c r="S29" i="17"/>
  <c r="R29" i="17"/>
  <c r="Q29" i="17"/>
  <c r="K29" i="17"/>
  <c r="J29" i="17"/>
  <c r="I29" i="17"/>
  <c r="H29" i="17"/>
  <c r="G29" i="17"/>
  <c r="AE29" i="17"/>
  <c r="AK13" i="7"/>
  <c r="AJ13" i="7" s="1"/>
  <c r="U13" i="7"/>
  <c r="E13" i="7"/>
  <c r="D13" i="7" s="1"/>
  <c r="AC13" i="7"/>
  <c r="AB13" i="7" s="1"/>
  <c r="M13" i="7"/>
  <c r="AE13" i="7"/>
  <c r="AD13" i="7" s="1"/>
  <c r="I13" i="7"/>
  <c r="H13" i="7" s="1"/>
  <c r="C31" i="7" s="1"/>
  <c r="D31" i="7" s="1"/>
  <c r="Y52" i="7"/>
  <c r="J62" i="5" s="1"/>
  <c r="AA13" i="7"/>
  <c r="G13" i="7"/>
  <c r="F13" i="7" s="1"/>
  <c r="AI13" i="7"/>
  <c r="AH13" i="7" s="1"/>
  <c r="AG13" i="7"/>
  <c r="AF13" i="7" s="1"/>
  <c r="Y43" i="7"/>
  <c r="J53" i="5" s="1"/>
  <c r="Y51" i="7"/>
  <c r="J61" i="5" s="1"/>
  <c r="Y13" i="7"/>
  <c r="W13" i="7"/>
  <c r="O13" i="7"/>
  <c r="S13" i="7"/>
  <c r="AM13" i="7"/>
  <c r="AL13" i="7" s="1"/>
  <c r="Q13" i="7"/>
  <c r="Y53" i="7"/>
  <c r="Y40" i="7"/>
  <c r="K13" i="7"/>
  <c r="Y54" i="7"/>
  <c r="F26" i="7"/>
  <c r="D15" i="5"/>
  <c r="M26" i="7"/>
  <c r="N26" i="7"/>
  <c r="I152" i="17"/>
  <c r="H152" i="17"/>
  <c r="G152" i="17"/>
  <c r="AE152" i="17"/>
  <c r="AD152" i="17"/>
  <c r="AC152" i="17"/>
  <c r="AB152" i="17"/>
  <c r="AA152" i="17"/>
  <c r="U152" i="17"/>
  <c r="T152" i="17"/>
  <c r="S152" i="17"/>
  <c r="R152" i="17"/>
  <c r="Q152" i="17"/>
  <c r="K152" i="17"/>
  <c r="J152" i="17"/>
  <c r="AA49" i="7"/>
  <c r="I59" i="5" s="1"/>
  <c r="J23" i="7"/>
  <c r="M4" i="5"/>
  <c r="M2" i="5"/>
  <c r="M5" i="5"/>
  <c r="M3" i="5"/>
  <c r="AC210" i="17"/>
  <c r="AB210" i="17"/>
  <c r="AA210" i="17"/>
  <c r="U210" i="17"/>
  <c r="T210" i="17"/>
  <c r="S210" i="17"/>
  <c r="R210" i="17"/>
  <c r="Q210" i="17"/>
  <c r="K210" i="17"/>
  <c r="J210" i="17"/>
  <c r="I210" i="17"/>
  <c r="H210" i="17"/>
  <c r="G210" i="17"/>
  <c r="AE210" i="17"/>
  <c r="AD210" i="17"/>
  <c r="AD229" i="17"/>
  <c r="AC229" i="17"/>
  <c r="AB229" i="17"/>
  <c r="AA229" i="17"/>
  <c r="U229" i="17"/>
  <c r="T229" i="17"/>
  <c r="S229" i="17"/>
  <c r="R229" i="17"/>
  <c r="Q229" i="17"/>
  <c r="K229" i="17"/>
  <c r="J229" i="17"/>
  <c r="I229" i="17"/>
  <c r="H229" i="17"/>
  <c r="G229" i="17"/>
  <c r="AE229" i="17"/>
  <c r="Q113" i="17"/>
  <c r="K113" i="17"/>
  <c r="J113" i="17"/>
  <c r="I113" i="17"/>
  <c r="H113" i="17"/>
  <c r="G113" i="17"/>
  <c r="AE113" i="17"/>
  <c r="AD113" i="17"/>
  <c r="AB113" i="17"/>
  <c r="AA113" i="17"/>
  <c r="U113" i="17"/>
  <c r="T113" i="17"/>
  <c r="AC113" i="17"/>
  <c r="S113" i="17"/>
  <c r="R113" i="17"/>
  <c r="H298" i="17"/>
  <c r="G298" i="17"/>
  <c r="AE298" i="17"/>
  <c r="AD298" i="17"/>
  <c r="AC298" i="17"/>
  <c r="AB298" i="17"/>
  <c r="AA298" i="17"/>
  <c r="U298" i="17"/>
  <c r="T298" i="17"/>
  <c r="S298" i="17"/>
  <c r="R298" i="17"/>
  <c r="Q298" i="17"/>
  <c r="K298" i="17"/>
  <c r="J298" i="17"/>
  <c r="I298" i="17"/>
  <c r="H266" i="17"/>
  <c r="G266" i="17"/>
  <c r="AE266" i="17"/>
  <c r="AD266" i="17"/>
  <c r="AC266" i="17"/>
  <c r="AB266" i="17"/>
  <c r="AA266" i="17"/>
  <c r="U266" i="17"/>
  <c r="T266" i="17"/>
  <c r="S266" i="17"/>
  <c r="R266" i="17"/>
  <c r="Q266" i="17"/>
  <c r="K266" i="17"/>
  <c r="J266" i="17"/>
  <c r="I266" i="17"/>
  <c r="T182" i="17"/>
  <c r="S182" i="17"/>
  <c r="R182" i="17"/>
  <c r="Q182" i="17"/>
  <c r="K182" i="17"/>
  <c r="J182" i="17"/>
  <c r="I182" i="17"/>
  <c r="H182" i="17"/>
  <c r="U182" i="17"/>
  <c r="G182" i="17"/>
  <c r="AE182" i="17"/>
  <c r="AD182" i="17"/>
  <c r="AC182" i="17"/>
  <c r="AB182" i="17"/>
  <c r="AA182" i="17"/>
  <c r="H149" i="17"/>
  <c r="G149" i="17"/>
  <c r="AE149" i="17"/>
  <c r="AD149" i="17"/>
  <c r="AC149" i="17"/>
  <c r="AB149" i="17"/>
  <c r="AA149" i="17"/>
  <c r="U149" i="17"/>
  <c r="T149" i="17"/>
  <c r="S149" i="17"/>
  <c r="R149" i="17"/>
  <c r="Q149" i="17"/>
  <c r="K149" i="17"/>
  <c r="J149" i="17"/>
  <c r="I149" i="17"/>
  <c r="S252" i="17"/>
  <c r="R252" i="17"/>
  <c r="Q252" i="17"/>
  <c r="K252" i="17"/>
  <c r="J252" i="17"/>
  <c r="I252" i="17"/>
  <c r="H252" i="17"/>
  <c r="G252" i="17"/>
  <c r="AE252" i="17"/>
  <c r="AD252" i="17"/>
  <c r="AC252" i="17"/>
  <c r="AB252" i="17"/>
  <c r="AA252" i="17"/>
  <c r="U252" i="17"/>
  <c r="T252" i="17"/>
  <c r="AE260" i="17"/>
  <c r="AD260" i="17"/>
  <c r="AC260" i="17"/>
  <c r="AB260" i="17"/>
  <c r="AA260" i="17"/>
  <c r="U260" i="17"/>
  <c r="T260" i="17"/>
  <c r="S260" i="17"/>
  <c r="R260" i="17"/>
  <c r="Q260" i="17"/>
  <c r="K260" i="17"/>
  <c r="J260" i="17"/>
  <c r="I260" i="17"/>
  <c r="H260" i="17"/>
  <c r="G260" i="17"/>
  <c r="AA293" i="17"/>
  <c r="U293" i="17"/>
  <c r="T293" i="17"/>
  <c r="S293" i="17"/>
  <c r="R293" i="17"/>
  <c r="Q293" i="17"/>
  <c r="K293" i="17"/>
  <c r="J293" i="17"/>
  <c r="I293" i="17"/>
  <c r="H293" i="17"/>
  <c r="G293" i="17"/>
  <c r="AE293" i="17"/>
  <c r="AD293" i="17"/>
  <c r="AC293" i="17"/>
  <c r="AB293" i="17"/>
  <c r="AE127" i="17"/>
  <c r="AD127" i="17"/>
  <c r="AC127" i="17"/>
  <c r="AB127" i="17"/>
  <c r="AA127" i="17"/>
  <c r="U127" i="17"/>
  <c r="T127" i="17"/>
  <c r="S127" i="17"/>
  <c r="R127" i="17"/>
  <c r="Q127" i="17"/>
  <c r="K127" i="17"/>
  <c r="J127" i="17"/>
  <c r="I127" i="17"/>
  <c r="H127" i="17"/>
  <c r="G127" i="17"/>
  <c r="R24" i="17"/>
  <c r="Q24" i="17"/>
  <c r="K24" i="17"/>
  <c r="J24" i="17"/>
  <c r="I24" i="17"/>
  <c r="H24" i="17"/>
  <c r="G24" i="17"/>
  <c r="AE24" i="17"/>
  <c r="AD24" i="17"/>
  <c r="AC24" i="17"/>
  <c r="AB24" i="17"/>
  <c r="AA24" i="17"/>
  <c r="U24" i="17"/>
  <c r="T24" i="17"/>
  <c r="S24" i="17"/>
  <c r="H41" i="17"/>
  <c r="G41" i="17"/>
  <c r="AE41" i="17"/>
  <c r="AD41" i="17"/>
  <c r="AC41" i="17"/>
  <c r="AB41" i="17"/>
  <c r="AA41" i="17"/>
  <c r="U41" i="17"/>
  <c r="T41" i="17"/>
  <c r="S41" i="17"/>
  <c r="R41" i="17"/>
  <c r="Q41" i="17"/>
  <c r="K41" i="17"/>
  <c r="J41" i="17"/>
  <c r="I41" i="17"/>
  <c r="U93" i="17"/>
  <c r="T93" i="17"/>
  <c r="S93" i="17"/>
  <c r="R93" i="17"/>
  <c r="Q93" i="17"/>
  <c r="K93" i="17"/>
  <c r="J93" i="17"/>
  <c r="I93" i="17"/>
  <c r="H93" i="17"/>
  <c r="AE93" i="17"/>
  <c r="AC93" i="17"/>
  <c r="AD93" i="17"/>
  <c r="AB93" i="17"/>
  <c r="AA93" i="17"/>
  <c r="G93" i="17"/>
  <c r="AD171" i="17"/>
  <c r="AC171" i="17"/>
  <c r="AB171" i="17"/>
  <c r="AA171" i="17"/>
  <c r="U171" i="17"/>
  <c r="T171" i="17"/>
  <c r="AE171" i="17"/>
  <c r="S171" i="17"/>
  <c r="R171" i="17"/>
  <c r="Q171" i="17"/>
  <c r="K171" i="17"/>
  <c r="J171" i="17"/>
  <c r="I171" i="17"/>
  <c r="H171" i="17"/>
  <c r="G171" i="17"/>
  <c r="R100" i="17"/>
  <c r="Q100" i="17"/>
  <c r="K100" i="17"/>
  <c r="J100" i="17"/>
  <c r="I100" i="17"/>
  <c r="H100" i="17"/>
  <c r="G100" i="17"/>
  <c r="AE100" i="17"/>
  <c r="AC100" i="17"/>
  <c r="AB100" i="17"/>
  <c r="AA100" i="17"/>
  <c r="U100" i="17"/>
  <c r="AD100" i="17"/>
  <c r="T100" i="17"/>
  <c r="S100" i="17"/>
  <c r="AB67" i="17"/>
  <c r="AA67" i="17"/>
  <c r="U67" i="17"/>
  <c r="T67" i="17"/>
  <c r="S67" i="17"/>
  <c r="R67" i="17"/>
  <c r="Q67" i="17"/>
  <c r="K67" i="17"/>
  <c r="J67" i="17"/>
  <c r="G67" i="17"/>
  <c r="AE67" i="17"/>
  <c r="AD67" i="17"/>
  <c r="AC67" i="17"/>
  <c r="I67" i="17"/>
  <c r="H67" i="17"/>
  <c r="J75" i="17"/>
  <c r="I75" i="17"/>
  <c r="H75" i="17"/>
  <c r="G75" i="17"/>
  <c r="AE75" i="17"/>
  <c r="AD75" i="17"/>
  <c r="AC75" i="17"/>
  <c r="AB75" i="17"/>
  <c r="R75" i="17"/>
  <c r="AA75" i="17"/>
  <c r="U75" i="17"/>
  <c r="T75" i="17"/>
  <c r="S75" i="17"/>
  <c r="Q75" i="17"/>
  <c r="K75" i="17"/>
  <c r="AE53" i="17"/>
  <c r="AB53" i="17"/>
  <c r="Q53" i="17"/>
  <c r="K53" i="17"/>
  <c r="J53" i="17"/>
  <c r="I53" i="17"/>
  <c r="H53" i="17"/>
  <c r="G53" i="17"/>
  <c r="AD53" i="17"/>
  <c r="AC53" i="17"/>
  <c r="AA53" i="17"/>
  <c r="U53" i="17"/>
  <c r="T53" i="17"/>
  <c r="S53" i="17"/>
  <c r="R53" i="17"/>
  <c r="K50" i="17"/>
  <c r="J50" i="17"/>
  <c r="I50" i="17"/>
  <c r="H50" i="17"/>
  <c r="G50" i="17"/>
  <c r="AE50" i="17"/>
  <c r="AD50" i="17"/>
  <c r="AC50" i="17"/>
  <c r="AB50" i="17"/>
  <c r="AA50" i="17"/>
  <c r="U50" i="17"/>
  <c r="T50" i="17"/>
  <c r="S50" i="17"/>
  <c r="R50" i="17"/>
  <c r="Q50" i="17"/>
  <c r="T90" i="17"/>
  <c r="S90" i="17"/>
  <c r="R90" i="17"/>
  <c r="Q90" i="17"/>
  <c r="K90" i="17"/>
  <c r="J90" i="17"/>
  <c r="I90" i="17"/>
  <c r="H90" i="17"/>
  <c r="G90" i="17"/>
  <c r="AE90" i="17"/>
  <c r="AD90" i="17"/>
  <c r="AB90" i="17"/>
  <c r="AC90" i="17"/>
  <c r="AA90" i="17"/>
  <c r="U90" i="17"/>
  <c r="U10" i="17"/>
  <c r="T10" i="17"/>
  <c r="S10" i="17"/>
  <c r="R10" i="17"/>
  <c r="Q10" i="17"/>
  <c r="AE10" i="17"/>
  <c r="AD10" i="17"/>
  <c r="AC10" i="17"/>
  <c r="AB10" i="17"/>
  <c r="AA10" i="17"/>
  <c r="K10" i="17"/>
  <c r="J10" i="17"/>
  <c r="I10" i="17"/>
  <c r="H10" i="17"/>
  <c r="G10" i="17"/>
  <c r="P96" i="5"/>
  <c r="J7" i="7"/>
  <c r="Z16" i="7" s="1"/>
  <c r="I7" i="7"/>
  <c r="X16" i="7" s="1"/>
  <c r="H7" i="7"/>
  <c r="V16" i="7" s="1"/>
  <c r="AL4" i="17"/>
  <c r="Y17" i="7"/>
  <c r="I17" i="7"/>
  <c r="H17" i="7" s="1"/>
  <c r="C35" i="7" s="1"/>
  <c r="D35" i="7" s="1"/>
  <c r="AG17" i="7"/>
  <c r="AF17" i="7" s="1"/>
  <c r="Q17" i="7"/>
  <c r="W17" i="7"/>
  <c r="U17" i="7"/>
  <c r="AC17" i="7"/>
  <c r="AB17" i="7" s="1"/>
  <c r="AM17" i="7"/>
  <c r="AL17" i="7" s="1"/>
  <c r="S17" i="7"/>
  <c r="AK17" i="7"/>
  <c r="AJ17" i="7" s="1"/>
  <c r="O17" i="7"/>
  <c r="AI17" i="7"/>
  <c r="AH17" i="7" s="1"/>
  <c r="M17" i="7"/>
  <c r="AE17" i="7"/>
  <c r="AD17" i="7" s="1"/>
  <c r="K17" i="7"/>
  <c r="E17" i="7"/>
  <c r="D17" i="7" s="1"/>
  <c r="G17" i="7"/>
  <c r="F17" i="7" s="1"/>
  <c r="AA17" i="7"/>
  <c r="C14" i="7"/>
  <c r="I4" i="7"/>
  <c r="H4" i="7"/>
  <c r="V13" i="7" s="1"/>
  <c r="O17" i="2" s="1"/>
  <c r="J4" i="7"/>
  <c r="Z13" i="7" s="1"/>
  <c r="R17" i="2" s="1"/>
  <c r="T166" i="17"/>
  <c r="R166" i="17"/>
  <c r="Q166" i="17"/>
  <c r="K166" i="17"/>
  <c r="J166" i="17"/>
  <c r="I166" i="17"/>
  <c r="H166" i="17"/>
  <c r="S166" i="17"/>
  <c r="G166" i="17"/>
  <c r="AE166" i="17"/>
  <c r="AD166" i="17"/>
  <c r="AC166" i="17"/>
  <c r="AB166" i="17"/>
  <c r="AA166" i="17"/>
  <c r="U166" i="17"/>
  <c r="R224" i="17"/>
  <c r="Q224" i="17"/>
  <c r="K224" i="17"/>
  <c r="J224" i="17"/>
  <c r="I224" i="17"/>
  <c r="H224" i="17"/>
  <c r="G224" i="17"/>
  <c r="AE224" i="17"/>
  <c r="AD224" i="17"/>
  <c r="AC224" i="17"/>
  <c r="AB224" i="17"/>
  <c r="AA224" i="17"/>
  <c r="U224" i="17"/>
  <c r="T224" i="17"/>
  <c r="S224" i="17"/>
  <c r="S211" i="17"/>
  <c r="R211" i="17"/>
  <c r="Q211" i="17"/>
  <c r="K211" i="17"/>
  <c r="J211" i="17"/>
  <c r="I211" i="17"/>
  <c r="H211" i="17"/>
  <c r="G211" i="17"/>
  <c r="AE211" i="17"/>
  <c r="AD211" i="17"/>
  <c r="AC211" i="17"/>
  <c r="AB211" i="17"/>
  <c r="AA211" i="17"/>
  <c r="U211" i="17"/>
  <c r="T211" i="17"/>
  <c r="AE292" i="17"/>
  <c r="AD292" i="17"/>
  <c r="AC292" i="17"/>
  <c r="AB292" i="17"/>
  <c r="AA292" i="17"/>
  <c r="U292" i="17"/>
  <c r="T292" i="17"/>
  <c r="S292" i="17"/>
  <c r="R292" i="17"/>
  <c r="Q292" i="17"/>
  <c r="K292" i="17"/>
  <c r="J292" i="17"/>
  <c r="I292" i="17"/>
  <c r="H292" i="17"/>
  <c r="G292" i="17"/>
  <c r="J231" i="17"/>
  <c r="I231" i="17"/>
  <c r="H231" i="17"/>
  <c r="G231" i="17"/>
  <c r="AE231" i="17"/>
  <c r="AD231" i="17"/>
  <c r="AC231" i="17"/>
  <c r="AB231" i="17"/>
  <c r="AA231" i="17"/>
  <c r="U231" i="17"/>
  <c r="T231" i="17"/>
  <c r="S231" i="17"/>
  <c r="R231" i="17"/>
  <c r="Q231" i="17"/>
  <c r="K231" i="17"/>
  <c r="H209" i="17"/>
  <c r="G209" i="17"/>
  <c r="AE209" i="17"/>
  <c r="AD209" i="17"/>
  <c r="AC209" i="17"/>
  <c r="AB209" i="17"/>
  <c r="AA209" i="17"/>
  <c r="U209" i="17"/>
  <c r="T209" i="17"/>
  <c r="S209" i="17"/>
  <c r="R209" i="17"/>
  <c r="Q209" i="17"/>
  <c r="K209" i="17"/>
  <c r="J209" i="17"/>
  <c r="I209" i="17"/>
  <c r="K218" i="17"/>
  <c r="J218" i="17"/>
  <c r="I218" i="17"/>
  <c r="H218" i="17"/>
  <c r="G218" i="17"/>
  <c r="AE218" i="17"/>
  <c r="AD218" i="17"/>
  <c r="AC218" i="17"/>
  <c r="AB218" i="17"/>
  <c r="AA218" i="17"/>
  <c r="U218" i="17"/>
  <c r="T218" i="17"/>
  <c r="S218" i="17"/>
  <c r="R218" i="17"/>
  <c r="Q218" i="17"/>
  <c r="I285" i="17"/>
  <c r="H285" i="17"/>
  <c r="G285" i="17"/>
  <c r="AE285" i="17"/>
  <c r="AD285" i="17"/>
  <c r="AC285" i="17"/>
  <c r="AB285" i="17"/>
  <c r="AA285" i="17"/>
  <c r="U285" i="17"/>
  <c r="T285" i="17"/>
  <c r="S285" i="17"/>
  <c r="R285" i="17"/>
  <c r="Q285" i="17"/>
  <c r="K285" i="17"/>
  <c r="J285" i="17"/>
  <c r="T214" i="17"/>
  <c r="S214" i="17"/>
  <c r="R214" i="17"/>
  <c r="Q214" i="17"/>
  <c r="K214" i="17"/>
  <c r="J214" i="17"/>
  <c r="I214" i="17"/>
  <c r="H214" i="17"/>
  <c r="G214" i="17"/>
  <c r="AE214" i="17"/>
  <c r="AD214" i="17"/>
  <c r="AC214" i="17"/>
  <c r="AB214" i="17"/>
  <c r="AA214" i="17"/>
  <c r="U214" i="17"/>
  <c r="G279" i="17"/>
  <c r="AE279" i="17"/>
  <c r="AD279" i="17"/>
  <c r="AC279" i="17"/>
  <c r="AB279" i="17"/>
  <c r="AA279" i="17"/>
  <c r="U279" i="17"/>
  <c r="T279" i="17"/>
  <c r="S279" i="17"/>
  <c r="R279" i="17"/>
  <c r="Q279" i="17"/>
  <c r="K279" i="17"/>
  <c r="J279" i="17"/>
  <c r="I279" i="17"/>
  <c r="H279" i="17"/>
  <c r="T58" i="17"/>
  <c r="S58" i="17"/>
  <c r="R58" i="17"/>
  <c r="Q58" i="17"/>
  <c r="K58" i="17"/>
  <c r="J58" i="17"/>
  <c r="I58" i="17"/>
  <c r="H58" i="17"/>
  <c r="AD58" i="17"/>
  <c r="AC58" i="17"/>
  <c r="AB58" i="17"/>
  <c r="AA58" i="17"/>
  <c r="U58" i="17"/>
  <c r="G58" i="17"/>
  <c r="AE58" i="17"/>
  <c r="J47" i="17"/>
  <c r="I47" i="17"/>
  <c r="H47" i="17"/>
  <c r="G47" i="17"/>
  <c r="AE47" i="17"/>
  <c r="AD47" i="17"/>
  <c r="AC47" i="17"/>
  <c r="AB47" i="17"/>
  <c r="AA47" i="17"/>
  <c r="U47" i="17"/>
  <c r="T47" i="17"/>
  <c r="S47" i="17"/>
  <c r="R47" i="17"/>
  <c r="Q47" i="17"/>
  <c r="K47" i="17"/>
  <c r="I88" i="17"/>
  <c r="H88" i="17"/>
  <c r="G88" i="17"/>
  <c r="AE88" i="17"/>
  <c r="AD88" i="17"/>
  <c r="AC88" i="17"/>
  <c r="AB88" i="17"/>
  <c r="AA88" i="17"/>
  <c r="T88" i="17"/>
  <c r="S88" i="17"/>
  <c r="Q88" i="17"/>
  <c r="U88" i="17"/>
  <c r="R88" i="17"/>
  <c r="K88" i="17"/>
  <c r="J88" i="17"/>
  <c r="J183" i="17"/>
  <c r="I183" i="17"/>
  <c r="H183" i="17"/>
  <c r="G183" i="17"/>
  <c r="AE183" i="17"/>
  <c r="AD183" i="17"/>
  <c r="AC183" i="17"/>
  <c r="AB183" i="17"/>
  <c r="AA183" i="17"/>
  <c r="U183" i="17"/>
  <c r="T183" i="17"/>
  <c r="S183" i="17"/>
  <c r="R183" i="17"/>
  <c r="Q183" i="17"/>
  <c r="K183" i="17"/>
  <c r="S151" i="17"/>
  <c r="R151" i="17"/>
  <c r="Q151" i="17"/>
  <c r="K151" i="17"/>
  <c r="J151" i="17"/>
  <c r="I151" i="17"/>
  <c r="H151" i="17"/>
  <c r="G151" i="17"/>
  <c r="AE151" i="17"/>
  <c r="AD151" i="17"/>
  <c r="AC151" i="17"/>
  <c r="AB151" i="17"/>
  <c r="AA151" i="17"/>
  <c r="U151" i="17"/>
  <c r="T151" i="17"/>
  <c r="U17" i="17"/>
  <c r="T17" i="17"/>
  <c r="S17" i="17"/>
  <c r="R17" i="17"/>
  <c r="Q17" i="17"/>
  <c r="K17" i="17"/>
  <c r="J17" i="17"/>
  <c r="I17" i="17"/>
  <c r="H17" i="17"/>
  <c r="G17" i="17"/>
  <c r="AE17" i="17"/>
  <c r="AD17" i="17"/>
  <c r="AC17" i="17"/>
  <c r="AA17" i="17"/>
  <c r="AB17" i="17"/>
  <c r="AE12" i="17"/>
  <c r="AD12" i="17"/>
  <c r="AC12" i="17"/>
  <c r="AB12" i="17"/>
  <c r="AA12" i="17"/>
  <c r="K12" i="17"/>
  <c r="U12" i="17"/>
  <c r="Q12" i="17"/>
  <c r="J12" i="17"/>
  <c r="I12" i="17"/>
  <c r="H12" i="17"/>
  <c r="G12" i="17"/>
  <c r="T12" i="17"/>
  <c r="S12" i="17"/>
  <c r="R12" i="17"/>
  <c r="Q65" i="17"/>
  <c r="K65" i="17"/>
  <c r="J65" i="17"/>
  <c r="I65" i="17"/>
  <c r="H65" i="17"/>
  <c r="G65" i="17"/>
  <c r="AE65" i="17"/>
  <c r="AD65" i="17"/>
  <c r="T65" i="17"/>
  <c r="S65" i="17"/>
  <c r="R65" i="17"/>
  <c r="AC65" i="17"/>
  <c r="AB65" i="17"/>
  <c r="AA65" i="17"/>
  <c r="U65" i="17"/>
  <c r="Y45" i="7"/>
  <c r="AD51" i="7"/>
  <c r="F61" i="5" s="1"/>
  <c r="AS10" i="17"/>
  <c r="N4" i="1" s="1"/>
  <c r="AR10" i="17"/>
  <c r="M4" i="1" s="1"/>
  <c r="AQ10" i="17"/>
  <c r="L4" i="1" s="1"/>
  <c r="AP10" i="17"/>
  <c r="K4" i="1" s="1"/>
  <c r="AO10" i="17"/>
  <c r="J4" i="1" s="1"/>
  <c r="AN10" i="17"/>
  <c r="I4" i="1" s="1"/>
  <c r="G23" i="7"/>
  <c r="E12" i="5"/>
  <c r="H282" i="17"/>
  <c r="G282" i="17"/>
  <c r="AE282" i="17"/>
  <c r="AD282" i="17"/>
  <c r="AC282" i="17"/>
  <c r="AB282" i="17"/>
  <c r="AA282" i="17"/>
  <c r="U282" i="17"/>
  <c r="T282" i="17"/>
  <c r="S282" i="17"/>
  <c r="R282" i="17"/>
  <c r="Q282" i="17"/>
  <c r="K282" i="17"/>
  <c r="J282" i="17"/>
  <c r="I282" i="17"/>
  <c r="J15" i="17"/>
  <c r="I15" i="17"/>
  <c r="H15" i="17"/>
  <c r="G15" i="17"/>
  <c r="AE15" i="17"/>
  <c r="AD15" i="17"/>
  <c r="AC15" i="17"/>
  <c r="AB15" i="17"/>
  <c r="AA15" i="17"/>
  <c r="U15" i="17"/>
  <c r="T15" i="17"/>
  <c r="S15" i="17"/>
  <c r="R15" i="17"/>
  <c r="Q15" i="17"/>
  <c r="K15" i="17"/>
  <c r="K291" i="17"/>
  <c r="J291" i="17"/>
  <c r="I291" i="17"/>
  <c r="H291" i="17"/>
  <c r="G291" i="17"/>
  <c r="AE291" i="17"/>
  <c r="AD291" i="17"/>
  <c r="AC291" i="17"/>
  <c r="AB291" i="17"/>
  <c r="AA291" i="17"/>
  <c r="U291" i="17"/>
  <c r="T291" i="17"/>
  <c r="S291" i="17"/>
  <c r="R291" i="17"/>
  <c r="Q291" i="17"/>
  <c r="K170" i="17"/>
  <c r="I170" i="17"/>
  <c r="H170" i="17"/>
  <c r="G170" i="17"/>
  <c r="AE170" i="17"/>
  <c r="AD170" i="17"/>
  <c r="S170" i="17"/>
  <c r="R170" i="17"/>
  <c r="Q170" i="17"/>
  <c r="J170" i="17"/>
  <c r="AC170" i="17"/>
  <c r="AB170" i="17"/>
  <c r="AA170" i="17"/>
  <c r="U170" i="17"/>
  <c r="T170" i="17"/>
  <c r="AC162" i="17"/>
  <c r="AA162" i="17"/>
  <c r="U162" i="17"/>
  <c r="T162" i="17"/>
  <c r="S162" i="17"/>
  <c r="R162" i="17"/>
  <c r="Q162" i="17"/>
  <c r="I162" i="17"/>
  <c r="H162" i="17"/>
  <c r="G162" i="17"/>
  <c r="AE162" i="17"/>
  <c r="AD162" i="17"/>
  <c r="AB162" i="17"/>
  <c r="K162" i="17"/>
  <c r="J162" i="17"/>
  <c r="T138" i="17"/>
  <c r="S138" i="17"/>
  <c r="R138" i="17"/>
  <c r="Q138" i="17"/>
  <c r="K138" i="17"/>
  <c r="J138" i="17"/>
  <c r="I138" i="17"/>
  <c r="H138" i="17"/>
  <c r="G138" i="17"/>
  <c r="AE138" i="17"/>
  <c r="AD138" i="17"/>
  <c r="AC138" i="17"/>
  <c r="AB138" i="17"/>
  <c r="AA138" i="17"/>
  <c r="U138" i="17"/>
  <c r="T106" i="17"/>
  <c r="S106" i="17"/>
  <c r="R106" i="17"/>
  <c r="Q106" i="17"/>
  <c r="K106" i="17"/>
  <c r="J106" i="17"/>
  <c r="I106" i="17"/>
  <c r="H106" i="17"/>
  <c r="G106" i="17"/>
  <c r="AE106" i="17"/>
  <c r="AD106" i="17"/>
  <c r="AC106" i="17"/>
  <c r="AB106" i="17"/>
  <c r="AA106" i="17"/>
  <c r="U106" i="17"/>
  <c r="U242" i="17"/>
  <c r="T242" i="17"/>
  <c r="S242" i="17"/>
  <c r="R242" i="17"/>
  <c r="Q242" i="17"/>
  <c r="K242" i="17"/>
  <c r="J242" i="17"/>
  <c r="I242" i="17"/>
  <c r="H242" i="17"/>
  <c r="G242" i="17"/>
  <c r="AE242" i="17"/>
  <c r="AD242" i="17"/>
  <c r="AC242" i="17"/>
  <c r="AB242" i="17"/>
  <c r="AA242" i="17"/>
  <c r="AA245" i="17"/>
  <c r="U245" i="17"/>
  <c r="T245" i="17"/>
  <c r="S245" i="17"/>
  <c r="R245" i="17"/>
  <c r="Q245" i="17"/>
  <c r="K245" i="17"/>
  <c r="J245" i="17"/>
  <c r="I245" i="17"/>
  <c r="H245" i="17"/>
  <c r="G245" i="17"/>
  <c r="AD245" i="17"/>
  <c r="AC245" i="17"/>
  <c r="AB245" i="17"/>
  <c r="AE245" i="17"/>
  <c r="AD181" i="17"/>
  <c r="AC181" i="17"/>
  <c r="AB181" i="17"/>
  <c r="AA181" i="17"/>
  <c r="U181" i="17"/>
  <c r="T181" i="17"/>
  <c r="S181" i="17"/>
  <c r="R181" i="17"/>
  <c r="AE181" i="17"/>
  <c r="Q181" i="17"/>
  <c r="K181" i="17"/>
  <c r="J181" i="17"/>
  <c r="I181" i="17"/>
  <c r="H181" i="17"/>
  <c r="G181" i="17"/>
  <c r="T287" i="17"/>
  <c r="S287" i="17"/>
  <c r="R287" i="17"/>
  <c r="Q287" i="17"/>
  <c r="K287" i="17"/>
  <c r="J287" i="17"/>
  <c r="I287" i="17"/>
  <c r="H287" i="17"/>
  <c r="G287" i="17"/>
  <c r="AE287" i="17"/>
  <c r="AD287" i="17"/>
  <c r="AC287" i="17"/>
  <c r="AB287" i="17"/>
  <c r="AA287" i="17"/>
  <c r="U287" i="17"/>
  <c r="S119" i="17"/>
  <c r="R119" i="17"/>
  <c r="Q119" i="17"/>
  <c r="K119" i="17"/>
  <c r="J119" i="17"/>
  <c r="I119" i="17"/>
  <c r="H119" i="17"/>
  <c r="G119" i="17"/>
  <c r="AE119" i="17"/>
  <c r="AD119" i="17"/>
  <c r="AC119" i="17"/>
  <c r="AB119" i="17"/>
  <c r="AA119" i="17"/>
  <c r="U119" i="17"/>
  <c r="T119" i="17"/>
  <c r="Q81" i="17"/>
  <c r="K81" i="17"/>
  <c r="J81" i="17"/>
  <c r="I81" i="17"/>
  <c r="H81" i="17"/>
  <c r="G81" i="17"/>
  <c r="AE81" i="17"/>
  <c r="AD81" i="17"/>
  <c r="AB81" i="17"/>
  <c r="T81" i="17"/>
  <c r="AC81" i="17"/>
  <c r="AA81" i="17"/>
  <c r="U81" i="17"/>
  <c r="S81" i="17"/>
  <c r="R81" i="17"/>
  <c r="AA80" i="17"/>
  <c r="U80" i="17"/>
  <c r="T80" i="17"/>
  <c r="S80" i="17"/>
  <c r="R80" i="17"/>
  <c r="Q80" i="17"/>
  <c r="K80" i="17"/>
  <c r="J80" i="17"/>
  <c r="I80" i="17"/>
  <c r="G80" i="17"/>
  <c r="AD80" i="17"/>
  <c r="AE80" i="17"/>
  <c r="AC80" i="17"/>
  <c r="AB80" i="17"/>
  <c r="H80" i="17"/>
  <c r="S103" i="17"/>
  <c r="R103" i="17"/>
  <c r="Q103" i="17"/>
  <c r="K103" i="17"/>
  <c r="J103" i="17"/>
  <c r="I103" i="17"/>
  <c r="H103" i="17"/>
  <c r="G103" i="17"/>
  <c r="AD103" i="17"/>
  <c r="AC103" i="17"/>
  <c r="AB103" i="17"/>
  <c r="AA103" i="17"/>
  <c r="AE103" i="17"/>
  <c r="U103" i="17"/>
  <c r="T103" i="17"/>
  <c r="R148" i="17"/>
  <c r="Q148" i="17"/>
  <c r="K148" i="17"/>
  <c r="J148" i="17"/>
  <c r="I148" i="17"/>
  <c r="H148" i="17"/>
  <c r="G148" i="17"/>
  <c r="AE148" i="17"/>
  <c r="AD148" i="17"/>
  <c r="AC148" i="17"/>
  <c r="AB148" i="17"/>
  <c r="AA148" i="17"/>
  <c r="U148" i="17"/>
  <c r="T148" i="17"/>
  <c r="S148" i="17"/>
  <c r="AD6" i="17"/>
  <c r="AC6" i="17"/>
  <c r="AB6" i="17"/>
  <c r="AA6" i="17"/>
  <c r="K6" i="17"/>
  <c r="J6" i="17"/>
  <c r="I6" i="17"/>
  <c r="H6" i="17"/>
  <c r="G6" i="17"/>
  <c r="U6" i="17"/>
  <c r="T6" i="17"/>
  <c r="S6" i="17"/>
  <c r="R6" i="17"/>
  <c r="Q6" i="17"/>
  <c r="AE6" i="17"/>
  <c r="Q21" i="17"/>
  <c r="K21" i="17"/>
  <c r="J21" i="17"/>
  <c r="I21" i="17"/>
  <c r="H21" i="17"/>
  <c r="G21" i="17"/>
  <c r="AE21" i="17"/>
  <c r="AD21" i="17"/>
  <c r="AC21" i="17"/>
  <c r="AB21" i="17"/>
  <c r="AA21" i="17"/>
  <c r="U21" i="17"/>
  <c r="T21" i="17"/>
  <c r="R21" i="17"/>
  <c r="S21" i="17"/>
  <c r="H25" i="17"/>
  <c r="G25" i="17"/>
  <c r="AE25" i="17"/>
  <c r="AD25" i="17"/>
  <c r="AC25" i="17"/>
  <c r="AB25" i="17"/>
  <c r="AA25" i="17"/>
  <c r="U25" i="17"/>
  <c r="T25" i="17"/>
  <c r="S25" i="17"/>
  <c r="R25" i="17"/>
  <c r="Q25" i="17"/>
  <c r="K25" i="17"/>
  <c r="J25" i="17"/>
  <c r="I25" i="17"/>
  <c r="J40" i="7"/>
  <c r="K40" i="7" s="1"/>
  <c r="H5" i="10"/>
  <c r="C20" i="3"/>
  <c r="L14" i="7"/>
  <c r="P7" i="3" s="1"/>
  <c r="Q21" i="7"/>
  <c r="F32" i="7"/>
  <c r="J5" i="7"/>
  <c r="Z14" i="7" s="1"/>
  <c r="R17" i="3" s="1"/>
  <c r="I5" i="7"/>
  <c r="X14" i="7" s="1"/>
  <c r="P17" i="3" s="1"/>
  <c r="H5" i="7"/>
  <c r="V14" i="7" s="1"/>
  <c r="O17" i="3" s="1"/>
  <c r="L59" i="7"/>
  <c r="M59" i="7" s="1"/>
  <c r="Y44" i="7"/>
  <c r="J54" i="5" s="1"/>
  <c r="AD44" i="7"/>
  <c r="F54" i="5" s="1"/>
  <c r="L62" i="7"/>
  <c r="M62" i="7" s="1"/>
  <c r="AA4" i="16"/>
  <c r="U5" i="16"/>
  <c r="G98" i="17"/>
  <c r="AE98" i="17"/>
  <c r="AD98" i="17"/>
  <c r="AC98" i="17"/>
  <c r="AB98" i="17"/>
  <c r="AA98" i="17"/>
  <c r="U98" i="17"/>
  <c r="T98" i="17"/>
  <c r="R98" i="17"/>
  <c r="Q98" i="17"/>
  <c r="K98" i="17"/>
  <c r="J98" i="17"/>
  <c r="S98" i="17"/>
  <c r="I98" i="17"/>
  <c r="H98" i="17"/>
  <c r="AA261" i="17"/>
  <c r="U261" i="17"/>
  <c r="T261" i="17"/>
  <c r="S261" i="17"/>
  <c r="R261" i="17"/>
  <c r="Q261" i="17"/>
  <c r="K261" i="17"/>
  <c r="J261" i="17"/>
  <c r="I261" i="17"/>
  <c r="H261" i="17"/>
  <c r="G261" i="17"/>
  <c r="AE261" i="17"/>
  <c r="AD261" i="17"/>
  <c r="AC261" i="17"/>
  <c r="AB261" i="17"/>
  <c r="AC150" i="17"/>
  <c r="AB150" i="17"/>
  <c r="AA150" i="17"/>
  <c r="U150" i="17"/>
  <c r="T150" i="17"/>
  <c r="S150" i="17"/>
  <c r="R150" i="17"/>
  <c r="Q150" i="17"/>
  <c r="K150" i="17"/>
  <c r="J150" i="17"/>
  <c r="I150" i="17"/>
  <c r="H150" i="17"/>
  <c r="G150" i="17"/>
  <c r="AE150" i="17"/>
  <c r="AD150" i="17"/>
  <c r="AC118" i="17"/>
  <c r="AB118" i="17"/>
  <c r="AA118" i="17"/>
  <c r="U118" i="17"/>
  <c r="T118" i="17"/>
  <c r="S118" i="17"/>
  <c r="R118" i="17"/>
  <c r="Q118" i="17"/>
  <c r="K118" i="17"/>
  <c r="J118" i="17"/>
  <c r="I118" i="17"/>
  <c r="H118" i="17"/>
  <c r="G118" i="17"/>
  <c r="AE118" i="17"/>
  <c r="AD118" i="17"/>
  <c r="AA204" i="17"/>
  <c r="U204" i="17"/>
  <c r="T204" i="17"/>
  <c r="S204" i="17"/>
  <c r="R204" i="17"/>
  <c r="Q204" i="17"/>
  <c r="K204" i="17"/>
  <c r="J204" i="17"/>
  <c r="G204" i="17"/>
  <c r="AE204" i="17"/>
  <c r="AD204" i="17"/>
  <c r="AC204" i="17"/>
  <c r="AB204" i="17"/>
  <c r="I204" i="17"/>
  <c r="H204" i="17"/>
  <c r="U169" i="17"/>
  <c r="S169" i="17"/>
  <c r="R169" i="17"/>
  <c r="Q169" i="17"/>
  <c r="K169" i="17"/>
  <c r="J169" i="17"/>
  <c r="I169" i="17"/>
  <c r="AE169" i="17"/>
  <c r="AD169" i="17"/>
  <c r="AC169" i="17"/>
  <c r="AB169" i="17"/>
  <c r="AA169" i="17"/>
  <c r="T169" i="17"/>
  <c r="H169" i="17"/>
  <c r="G169" i="17"/>
  <c r="R297" i="17"/>
  <c r="Q297" i="17"/>
  <c r="K297" i="17"/>
  <c r="J297" i="17"/>
  <c r="I297" i="17"/>
  <c r="H297" i="17"/>
  <c r="G297" i="17"/>
  <c r="AE297" i="17"/>
  <c r="AD297" i="17"/>
  <c r="AC297" i="17"/>
  <c r="AB297" i="17"/>
  <c r="AA297" i="17"/>
  <c r="U297" i="17"/>
  <c r="T297" i="17"/>
  <c r="S297" i="17"/>
  <c r="U233" i="17"/>
  <c r="T233" i="17"/>
  <c r="S233" i="17"/>
  <c r="R233" i="17"/>
  <c r="Q233" i="17"/>
  <c r="K233" i="17"/>
  <c r="J233" i="17"/>
  <c r="I233" i="17"/>
  <c r="H233" i="17"/>
  <c r="G233" i="17"/>
  <c r="AE233" i="17"/>
  <c r="AD233" i="17"/>
  <c r="AC233" i="17"/>
  <c r="AB233" i="17"/>
  <c r="AA233" i="17"/>
  <c r="AE60" i="17"/>
  <c r="AD60" i="17"/>
  <c r="AC60" i="17"/>
  <c r="AB60" i="17"/>
  <c r="AA60" i="17"/>
  <c r="U60" i="17"/>
  <c r="T60" i="17"/>
  <c r="S60" i="17"/>
  <c r="J60" i="17"/>
  <c r="I60" i="17"/>
  <c r="H60" i="17"/>
  <c r="G60" i="17"/>
  <c r="R60" i="17"/>
  <c r="Q60" i="17"/>
  <c r="K60" i="17"/>
  <c r="U217" i="17"/>
  <c r="T217" i="17"/>
  <c r="S217" i="17"/>
  <c r="R217" i="17"/>
  <c r="Q217" i="17"/>
  <c r="K217" i="17"/>
  <c r="J217" i="17"/>
  <c r="I217" i="17"/>
  <c r="H217" i="17"/>
  <c r="G217" i="17"/>
  <c r="AE217" i="17"/>
  <c r="AD217" i="17"/>
  <c r="AC217" i="17"/>
  <c r="AB217" i="17"/>
  <c r="AA217" i="17"/>
  <c r="AA236" i="17"/>
  <c r="U236" i="17"/>
  <c r="T236" i="17"/>
  <c r="S236" i="17"/>
  <c r="R236" i="17"/>
  <c r="Q236" i="17"/>
  <c r="K236" i="17"/>
  <c r="J236" i="17"/>
  <c r="I236" i="17"/>
  <c r="H236" i="17"/>
  <c r="G236" i="17"/>
  <c r="AE236" i="17"/>
  <c r="AD236" i="17"/>
  <c r="AC236" i="17"/>
  <c r="AB236" i="17"/>
  <c r="K259" i="17"/>
  <c r="J259" i="17"/>
  <c r="I259" i="17"/>
  <c r="H259" i="17"/>
  <c r="G259" i="17"/>
  <c r="AE259" i="17"/>
  <c r="AD259" i="17"/>
  <c r="AC259" i="17"/>
  <c r="AB259" i="17"/>
  <c r="AA259" i="17"/>
  <c r="U259" i="17"/>
  <c r="T259" i="17"/>
  <c r="S259" i="17"/>
  <c r="R259" i="17"/>
  <c r="Q259" i="17"/>
  <c r="J91" i="17"/>
  <c r="I91" i="17"/>
  <c r="H91" i="17"/>
  <c r="G91" i="17"/>
  <c r="AE91" i="17"/>
  <c r="AD91" i="17"/>
  <c r="AC91" i="17"/>
  <c r="AB91" i="17"/>
  <c r="U91" i="17"/>
  <c r="T91" i="17"/>
  <c r="R91" i="17"/>
  <c r="AA91" i="17"/>
  <c r="S91" i="17"/>
  <c r="Q91" i="17"/>
  <c r="K91" i="17"/>
  <c r="AB83" i="17"/>
  <c r="AA83" i="17"/>
  <c r="U83" i="17"/>
  <c r="T83" i="17"/>
  <c r="S83" i="17"/>
  <c r="R83" i="17"/>
  <c r="Q83" i="17"/>
  <c r="K83" i="17"/>
  <c r="J83" i="17"/>
  <c r="H83" i="17"/>
  <c r="AE83" i="17"/>
  <c r="AC83" i="17"/>
  <c r="I83" i="17"/>
  <c r="G83" i="17"/>
  <c r="AD83" i="17"/>
  <c r="G14" i="17"/>
  <c r="AE14" i="17"/>
  <c r="AD14" i="17"/>
  <c r="AC14" i="17"/>
  <c r="AB14" i="17"/>
  <c r="AA14" i="17"/>
  <c r="U14" i="17"/>
  <c r="T14" i="17"/>
  <c r="S14" i="17"/>
  <c r="R14" i="17"/>
  <c r="Q14" i="17"/>
  <c r="K14" i="17"/>
  <c r="J14" i="17"/>
  <c r="I14" i="17"/>
  <c r="H14" i="17"/>
  <c r="AL5" i="17"/>
  <c r="AG18" i="7"/>
  <c r="AF18" i="7" s="1"/>
  <c r="Q18" i="7"/>
  <c r="P18" i="7" s="1"/>
  <c r="Y18" i="7"/>
  <c r="I18" i="7"/>
  <c r="H18" i="7" s="1"/>
  <c r="C36" i="7" s="1"/>
  <c r="D36" i="7" s="1"/>
  <c r="K18" i="7"/>
  <c r="J18" i="7" s="1"/>
  <c r="AA18" i="7"/>
  <c r="E18" i="7"/>
  <c r="D18" i="7" s="1"/>
  <c r="W18" i="7"/>
  <c r="U18" i="7"/>
  <c r="T18" i="7" s="1"/>
  <c r="AM18" i="7"/>
  <c r="AL18" i="7" s="1"/>
  <c r="S18" i="7"/>
  <c r="R18" i="7" s="1"/>
  <c r="AK18" i="7"/>
  <c r="AJ18" i="7" s="1"/>
  <c r="O18" i="7"/>
  <c r="N18" i="7" s="1"/>
  <c r="AI18" i="7"/>
  <c r="AH18" i="7" s="1"/>
  <c r="M18" i="7"/>
  <c r="L18" i="7" s="1"/>
  <c r="AE18" i="7"/>
  <c r="AD18" i="7" s="1"/>
  <c r="AC18" i="7"/>
  <c r="AB18" i="7" s="1"/>
  <c r="G18" i="7"/>
  <c r="F18" i="7" s="1"/>
  <c r="R9" i="17"/>
  <c r="Q9" i="17"/>
  <c r="AE9" i="17"/>
  <c r="AD9" i="17"/>
  <c r="AC9" i="17"/>
  <c r="AB9" i="17"/>
  <c r="AA9" i="17"/>
  <c r="K9" i="17"/>
  <c r="J9" i="17"/>
  <c r="I9" i="17"/>
  <c r="H9" i="17"/>
  <c r="G9" i="17"/>
  <c r="U9" i="17"/>
  <c r="T9" i="17"/>
  <c r="S9" i="17"/>
  <c r="Y50" i="7"/>
  <c r="L24" i="7"/>
  <c r="K24" i="7"/>
  <c r="P15" i="7" s="1"/>
  <c r="O12" i="4" s="1"/>
  <c r="J24" i="7"/>
  <c r="J15" i="7" s="1"/>
  <c r="O7" i="4" s="1"/>
  <c r="J27" i="7"/>
  <c r="H250" i="17"/>
  <c r="G250" i="17"/>
  <c r="AE250" i="17"/>
  <c r="AD250" i="17"/>
  <c r="AC250" i="17"/>
  <c r="AB250" i="17"/>
  <c r="AA250" i="17"/>
  <c r="U250" i="17"/>
  <c r="T250" i="17"/>
  <c r="S250" i="17"/>
  <c r="R250" i="17"/>
  <c r="Q250" i="17"/>
  <c r="K250" i="17"/>
  <c r="J250" i="17"/>
  <c r="I250" i="17"/>
  <c r="G82" i="17"/>
  <c r="AE82" i="17"/>
  <c r="AD82" i="17"/>
  <c r="AC82" i="17"/>
  <c r="AB82" i="17"/>
  <c r="AA82" i="17"/>
  <c r="U82" i="17"/>
  <c r="T82" i="17"/>
  <c r="R82" i="17"/>
  <c r="J82" i="17"/>
  <c r="S82" i="17"/>
  <c r="Q82" i="17"/>
  <c r="K82" i="17"/>
  <c r="I82" i="17"/>
  <c r="H82" i="17"/>
  <c r="T30" i="17"/>
  <c r="S30" i="17"/>
  <c r="R30" i="17"/>
  <c r="Q30" i="17"/>
  <c r="K30" i="17"/>
  <c r="J30" i="17"/>
  <c r="I30" i="17"/>
  <c r="H30" i="17"/>
  <c r="G30" i="17"/>
  <c r="AE30" i="17"/>
  <c r="AD30" i="17"/>
  <c r="AC30" i="17"/>
  <c r="AB30" i="17"/>
  <c r="AA30" i="17"/>
  <c r="U30" i="17"/>
  <c r="Q205" i="17"/>
  <c r="K205" i="17"/>
  <c r="J205" i="17"/>
  <c r="I205" i="17"/>
  <c r="H205" i="17"/>
  <c r="G205" i="17"/>
  <c r="AE205" i="17"/>
  <c r="AB205" i="17"/>
  <c r="AA205" i="17"/>
  <c r="U205" i="17"/>
  <c r="T205" i="17"/>
  <c r="AD205" i="17"/>
  <c r="AC205" i="17"/>
  <c r="S205" i="17"/>
  <c r="R205" i="17"/>
  <c r="H225" i="17"/>
  <c r="G225" i="17"/>
  <c r="AE225" i="17"/>
  <c r="AD225" i="17"/>
  <c r="AC225" i="17"/>
  <c r="AB225" i="17"/>
  <c r="AA225" i="17"/>
  <c r="U225" i="17"/>
  <c r="T225" i="17"/>
  <c r="S225" i="17"/>
  <c r="R225" i="17"/>
  <c r="Q225" i="17"/>
  <c r="K225" i="17"/>
  <c r="J225" i="17"/>
  <c r="I225" i="17"/>
  <c r="AD286" i="17"/>
  <c r="AC286" i="17"/>
  <c r="AB286" i="17"/>
  <c r="AA286" i="17"/>
  <c r="U286" i="17"/>
  <c r="T286" i="17"/>
  <c r="S286" i="17"/>
  <c r="R286" i="17"/>
  <c r="Q286" i="17"/>
  <c r="K286" i="17"/>
  <c r="J286" i="17"/>
  <c r="I286" i="17"/>
  <c r="H286" i="17"/>
  <c r="G286" i="17"/>
  <c r="AE286" i="17"/>
  <c r="U274" i="17"/>
  <c r="T274" i="17"/>
  <c r="S274" i="17"/>
  <c r="R274" i="17"/>
  <c r="Q274" i="17"/>
  <c r="K274" i="17"/>
  <c r="J274" i="17"/>
  <c r="I274" i="17"/>
  <c r="H274" i="17"/>
  <c r="G274" i="17"/>
  <c r="AE274" i="17"/>
  <c r="AD274" i="17"/>
  <c r="AC274" i="17"/>
  <c r="AB274" i="17"/>
  <c r="AA274" i="17"/>
  <c r="AD254" i="17"/>
  <c r="AC254" i="17"/>
  <c r="AB254" i="17"/>
  <c r="AA254" i="17"/>
  <c r="U254" i="17"/>
  <c r="T254" i="17"/>
  <c r="S254" i="17"/>
  <c r="R254" i="17"/>
  <c r="Q254" i="17"/>
  <c r="K254" i="17"/>
  <c r="J254" i="17"/>
  <c r="I254" i="17"/>
  <c r="H254" i="17"/>
  <c r="G254" i="17"/>
  <c r="AE254" i="17"/>
  <c r="G190" i="17"/>
  <c r="AE190" i="17"/>
  <c r="AD190" i="17"/>
  <c r="AC190" i="17"/>
  <c r="AB190" i="17"/>
  <c r="AA190" i="17"/>
  <c r="U190" i="17"/>
  <c r="R190" i="17"/>
  <c r="Q190" i="17"/>
  <c r="K190" i="17"/>
  <c r="J190" i="17"/>
  <c r="T190" i="17"/>
  <c r="S190" i="17"/>
  <c r="I190" i="17"/>
  <c r="H190" i="17"/>
  <c r="K126" i="17"/>
  <c r="J126" i="17"/>
  <c r="I126" i="17"/>
  <c r="H126" i="17"/>
  <c r="G126" i="17"/>
  <c r="AE126" i="17"/>
  <c r="AD126" i="17"/>
  <c r="AC126" i="17"/>
  <c r="AB126" i="17"/>
  <c r="AA126" i="17"/>
  <c r="U126" i="17"/>
  <c r="T126" i="17"/>
  <c r="S126" i="17"/>
  <c r="R126" i="17"/>
  <c r="Q126" i="17"/>
  <c r="J199" i="17"/>
  <c r="I199" i="17"/>
  <c r="H199" i="17"/>
  <c r="G199" i="17"/>
  <c r="AE199" i="17"/>
  <c r="AD199" i="17"/>
  <c r="AC199" i="17"/>
  <c r="U199" i="17"/>
  <c r="T199" i="17"/>
  <c r="S199" i="17"/>
  <c r="R199" i="17"/>
  <c r="AB199" i="17"/>
  <c r="AA199" i="17"/>
  <c r="Q199" i="17"/>
  <c r="K199" i="17"/>
  <c r="Q237" i="17"/>
  <c r="K237" i="17"/>
  <c r="J237" i="17"/>
  <c r="I237" i="17"/>
  <c r="H237" i="17"/>
  <c r="G237" i="17"/>
  <c r="AE237" i="17"/>
  <c r="AD237" i="17"/>
  <c r="AC237" i="17"/>
  <c r="AB237" i="17"/>
  <c r="AA237" i="17"/>
  <c r="U237" i="17"/>
  <c r="T237" i="17"/>
  <c r="S237" i="17"/>
  <c r="R237" i="17"/>
  <c r="AD137" i="17"/>
  <c r="AC137" i="17"/>
  <c r="AB137" i="17"/>
  <c r="AA137" i="17"/>
  <c r="U137" i="17"/>
  <c r="T137" i="17"/>
  <c r="S137" i="17"/>
  <c r="R137" i="17"/>
  <c r="Q137" i="17"/>
  <c r="K137" i="17"/>
  <c r="J137" i="17"/>
  <c r="I137" i="17"/>
  <c r="H137" i="17"/>
  <c r="G137" i="17"/>
  <c r="AE137" i="17"/>
  <c r="U125" i="17"/>
  <c r="T125" i="17"/>
  <c r="S125" i="17"/>
  <c r="R125" i="17"/>
  <c r="Q125" i="17"/>
  <c r="K125" i="17"/>
  <c r="J125" i="17"/>
  <c r="I125" i="17"/>
  <c r="H125" i="17"/>
  <c r="G125" i="17"/>
  <c r="AE125" i="17"/>
  <c r="AD125" i="17"/>
  <c r="AC125" i="17"/>
  <c r="AB125" i="17"/>
  <c r="AA125" i="17"/>
  <c r="I228" i="17"/>
  <c r="H228" i="17"/>
  <c r="G228" i="17"/>
  <c r="AE228" i="17"/>
  <c r="AD228" i="17"/>
  <c r="AC228" i="17"/>
  <c r="AB228" i="17"/>
  <c r="AA228" i="17"/>
  <c r="U228" i="17"/>
  <c r="T228" i="17"/>
  <c r="S228" i="17"/>
  <c r="R228" i="17"/>
  <c r="Q228" i="17"/>
  <c r="K228" i="17"/>
  <c r="J228" i="17"/>
  <c r="U201" i="17"/>
  <c r="T201" i="17"/>
  <c r="S201" i="17"/>
  <c r="R201" i="17"/>
  <c r="Q201" i="17"/>
  <c r="K201" i="17"/>
  <c r="J201" i="17"/>
  <c r="I201" i="17"/>
  <c r="AE201" i="17"/>
  <c r="AD201" i="17"/>
  <c r="AC201" i="17"/>
  <c r="AB201" i="17"/>
  <c r="AA201" i="17"/>
  <c r="H201" i="17"/>
  <c r="G201" i="17"/>
  <c r="AE235" i="17"/>
  <c r="AD235" i="17"/>
  <c r="AC235" i="17"/>
  <c r="AB235" i="17"/>
  <c r="AA235" i="17"/>
  <c r="U235" i="17"/>
  <c r="T235" i="17"/>
  <c r="S235" i="17"/>
  <c r="R235" i="17"/>
  <c r="Q235" i="17"/>
  <c r="K235" i="17"/>
  <c r="J235" i="17"/>
  <c r="I235" i="17"/>
  <c r="H235" i="17"/>
  <c r="G235" i="17"/>
  <c r="T271" i="17"/>
  <c r="S271" i="17"/>
  <c r="R271" i="17"/>
  <c r="Q271" i="17"/>
  <c r="K271" i="17"/>
  <c r="J271" i="17"/>
  <c r="I271" i="17"/>
  <c r="H271" i="17"/>
  <c r="G271" i="17"/>
  <c r="AE271" i="17"/>
  <c r="AD271" i="17"/>
  <c r="AC271" i="17"/>
  <c r="AB271" i="17"/>
  <c r="AA271" i="17"/>
  <c r="U271" i="17"/>
  <c r="AE273" i="17"/>
  <c r="AD273" i="17"/>
  <c r="AC273" i="17"/>
  <c r="AB273" i="17"/>
  <c r="AA273" i="17"/>
  <c r="U273" i="17"/>
  <c r="T273" i="17"/>
  <c r="S273" i="17"/>
  <c r="R273" i="17"/>
  <c r="Q273" i="17"/>
  <c r="K273" i="17"/>
  <c r="J273" i="17"/>
  <c r="I273" i="17"/>
  <c r="H273" i="17"/>
  <c r="G273" i="17"/>
  <c r="AA128" i="17"/>
  <c r="U128" i="17"/>
  <c r="T128" i="17"/>
  <c r="S128" i="17"/>
  <c r="R128" i="17"/>
  <c r="Q128" i="17"/>
  <c r="K128" i="17"/>
  <c r="J128" i="17"/>
  <c r="I128" i="17"/>
  <c r="H128" i="17"/>
  <c r="G128" i="17"/>
  <c r="AE128" i="17"/>
  <c r="AD128" i="17"/>
  <c r="AC128" i="17"/>
  <c r="AB128" i="17"/>
  <c r="I56" i="17"/>
  <c r="H56" i="17"/>
  <c r="G56" i="17"/>
  <c r="AE56" i="17"/>
  <c r="AD56" i="17"/>
  <c r="AC56" i="17"/>
  <c r="AB56" i="17"/>
  <c r="AA56" i="17"/>
  <c r="U56" i="17"/>
  <c r="T56" i="17"/>
  <c r="S56" i="17"/>
  <c r="R56" i="17"/>
  <c r="Q56" i="17"/>
  <c r="K56" i="17"/>
  <c r="J56" i="17"/>
  <c r="H101" i="17"/>
  <c r="G101" i="17"/>
  <c r="AE101" i="17"/>
  <c r="AD101" i="17"/>
  <c r="AC101" i="17"/>
  <c r="AB101" i="17"/>
  <c r="AA101" i="17"/>
  <c r="U101" i="17"/>
  <c r="S101" i="17"/>
  <c r="R101" i="17"/>
  <c r="Q101" i="17"/>
  <c r="K101" i="17"/>
  <c r="T101" i="17"/>
  <c r="J101" i="17"/>
  <c r="I101" i="17"/>
  <c r="AD105" i="17"/>
  <c r="AC105" i="17"/>
  <c r="AB105" i="17"/>
  <c r="AA105" i="17"/>
  <c r="U105" i="17"/>
  <c r="T105" i="17"/>
  <c r="S105" i="17"/>
  <c r="R105" i="17"/>
  <c r="Q105" i="17"/>
  <c r="J105" i="17"/>
  <c r="I105" i="17"/>
  <c r="H105" i="17"/>
  <c r="G105" i="17"/>
  <c r="AE105" i="17"/>
  <c r="K105" i="17"/>
  <c r="AE124" i="17"/>
  <c r="AD124" i="17"/>
  <c r="AC124" i="17"/>
  <c r="AB124" i="17"/>
  <c r="AA124" i="17"/>
  <c r="U124" i="17"/>
  <c r="T124" i="17"/>
  <c r="S124" i="17"/>
  <c r="R124" i="17"/>
  <c r="Q124" i="17"/>
  <c r="K124" i="17"/>
  <c r="J124" i="17"/>
  <c r="I124" i="17"/>
  <c r="H124" i="17"/>
  <c r="G124" i="17"/>
  <c r="AE143" i="17"/>
  <c r="AD143" i="17"/>
  <c r="AC143" i="17"/>
  <c r="AB143" i="17"/>
  <c r="AA143" i="17"/>
  <c r="U143" i="17"/>
  <c r="T143" i="17"/>
  <c r="S143" i="17"/>
  <c r="R143" i="17"/>
  <c r="Q143" i="17"/>
  <c r="K143" i="17"/>
  <c r="J143" i="17"/>
  <c r="I143" i="17"/>
  <c r="H143" i="17"/>
  <c r="G143" i="17"/>
  <c r="AC70" i="17"/>
  <c r="AB70" i="17"/>
  <c r="AA70" i="17"/>
  <c r="U70" i="17"/>
  <c r="T70" i="17"/>
  <c r="S70" i="17"/>
  <c r="R70" i="17"/>
  <c r="Q70" i="17"/>
  <c r="K70" i="17"/>
  <c r="AE70" i="17"/>
  <c r="AD70" i="17"/>
  <c r="J70" i="17"/>
  <c r="I70" i="17"/>
  <c r="H70" i="17"/>
  <c r="G70" i="17"/>
  <c r="G38" i="17"/>
  <c r="AE38" i="17"/>
  <c r="AD38" i="17"/>
  <c r="AC38" i="17"/>
  <c r="AB38" i="17"/>
  <c r="AA38" i="17"/>
  <c r="U38" i="17"/>
  <c r="T38" i="17"/>
  <c r="S38" i="17"/>
  <c r="R38" i="17"/>
  <c r="Q38" i="17"/>
  <c r="K38" i="17"/>
  <c r="J38" i="17"/>
  <c r="I38" i="17"/>
  <c r="H38" i="17"/>
  <c r="J107" i="17"/>
  <c r="I107" i="17"/>
  <c r="H107" i="17"/>
  <c r="G107" i="17"/>
  <c r="AE107" i="17"/>
  <c r="AD107" i="17"/>
  <c r="AC107" i="17"/>
  <c r="AB107" i="17"/>
  <c r="U107" i="17"/>
  <c r="T107" i="17"/>
  <c r="S107" i="17"/>
  <c r="R107" i="17"/>
  <c r="AA107" i="17"/>
  <c r="Q107" i="17"/>
  <c r="K107" i="17"/>
  <c r="C18" i="7"/>
  <c r="Q3" i="9"/>
  <c r="P3" i="9"/>
  <c r="O3" i="9"/>
  <c r="Y49" i="7"/>
  <c r="AD46" i="7"/>
  <c r="F56" i="5" s="1"/>
  <c r="Q9" i="9"/>
  <c r="P9" i="9"/>
  <c r="O9" i="9"/>
  <c r="L63" i="7"/>
  <c r="M63" i="7" s="1"/>
  <c r="J45" i="7"/>
  <c r="K45" i="7" s="1"/>
  <c r="AD42" i="7"/>
  <c r="F52" i="5" s="1"/>
  <c r="R67" i="5" l="1"/>
  <c r="P50" i="5" s="1"/>
  <c r="AA5" i="16"/>
  <c r="U6" i="16"/>
  <c r="Z18" i="7"/>
  <c r="Z43" i="7"/>
  <c r="AM4" i="17"/>
  <c r="G7" i="1" s="1"/>
  <c r="C15" i="5"/>
  <c r="J51" i="5"/>
  <c r="Z41" i="7"/>
  <c r="AS13" i="17"/>
  <c r="N7" i="1" s="1"/>
  <c r="AR13" i="17"/>
  <c r="M7" i="1" s="1"/>
  <c r="AQ13" i="17"/>
  <c r="L7" i="1" s="1"/>
  <c r="AP13" i="17"/>
  <c r="K7" i="1" s="1"/>
  <c r="AO13" i="17"/>
  <c r="J7" i="1" s="1"/>
  <c r="AN13" i="17"/>
  <c r="I7" i="1" s="1"/>
  <c r="G26" i="7"/>
  <c r="E15" i="5"/>
  <c r="AS12" i="17"/>
  <c r="N6" i="1" s="1"/>
  <c r="AR12" i="17"/>
  <c r="M6" i="1" s="1"/>
  <c r="AQ12" i="17"/>
  <c r="L6" i="1" s="1"/>
  <c r="AP12" i="17"/>
  <c r="K6" i="1" s="1"/>
  <c r="AO12" i="17"/>
  <c r="J6" i="1" s="1"/>
  <c r="AN12" i="17"/>
  <c r="I6" i="1" s="1"/>
  <c r="G25" i="7"/>
  <c r="E14" i="5"/>
  <c r="Z44" i="7"/>
  <c r="J64" i="5"/>
  <c r="Z54" i="7"/>
  <c r="Z51" i="7"/>
  <c r="K6" i="16"/>
  <c r="E7" i="16"/>
  <c r="V15" i="7"/>
  <c r="O17" i="4" s="1"/>
  <c r="AM5" i="17"/>
  <c r="G8" i="1" s="1"/>
  <c r="C16" i="5"/>
  <c r="J55" i="5"/>
  <c r="Z45" i="7"/>
  <c r="J50" i="5"/>
  <c r="Z40" i="7"/>
  <c r="G5" i="3"/>
  <c r="G5" i="2"/>
  <c r="G5" i="4"/>
  <c r="X13" i="7"/>
  <c r="P17" i="2" s="1"/>
  <c r="J63" i="5"/>
  <c r="Z53" i="7"/>
  <c r="J57" i="5"/>
  <c r="Z47" i="7"/>
  <c r="AT4" i="17"/>
  <c r="O4" i="1" s="1"/>
  <c r="G4" i="1"/>
  <c r="C12" i="5"/>
  <c r="M7" i="16"/>
  <c r="N16" i="7"/>
  <c r="B7" i="16"/>
  <c r="R6" i="16"/>
  <c r="P6" i="16"/>
  <c r="S6" i="16" s="1"/>
  <c r="J8" i="16"/>
  <c r="H8" i="16"/>
  <c r="A9" i="16"/>
  <c r="Z8" i="16"/>
  <c r="X8" i="16"/>
  <c r="J16" i="7"/>
  <c r="L16" i="7"/>
  <c r="Z17" i="7"/>
  <c r="J17" i="7"/>
  <c r="R13" i="7"/>
  <c r="P12" i="2" s="1"/>
  <c r="P17" i="7"/>
  <c r="Z52" i="7"/>
  <c r="V17" i="7"/>
  <c r="L17" i="7"/>
  <c r="T13" i="7"/>
  <c r="R12" i="2" s="1"/>
  <c r="E5" i="3"/>
  <c r="E5" i="2"/>
  <c r="D12" i="2" s="1"/>
  <c r="E5" i="4"/>
  <c r="D12" i="4" s="1"/>
  <c r="R17" i="7"/>
  <c r="D11" i="5"/>
  <c r="F22" i="7"/>
  <c r="X17" i="7"/>
  <c r="N17" i="7"/>
  <c r="AN11" i="17"/>
  <c r="I5" i="1" s="1"/>
  <c r="AR11" i="17"/>
  <c r="M5" i="1" s="1"/>
  <c r="AQ11" i="17"/>
  <c r="L5" i="1" s="1"/>
  <c r="AP11" i="17"/>
  <c r="K5" i="1" s="1"/>
  <c r="AO11" i="17"/>
  <c r="J5" i="1" s="1"/>
  <c r="AS11" i="17"/>
  <c r="N5" i="1" s="1"/>
  <c r="E13" i="5"/>
  <c r="G24" i="7"/>
  <c r="T17" i="7"/>
  <c r="J13" i="7"/>
  <c r="O7" i="2" s="1"/>
  <c r="J56" i="5"/>
  <c r="Z46" i="7"/>
  <c r="J60" i="5"/>
  <c r="Z50" i="7"/>
  <c r="J59" i="5"/>
  <c r="Z49" i="7"/>
  <c r="L13" i="7"/>
  <c r="P7" i="2" s="1"/>
  <c r="V18" i="7"/>
  <c r="N67" i="5"/>
  <c r="N69" i="5"/>
  <c r="AM3" i="17"/>
  <c r="G6" i="1" s="1"/>
  <c r="C14" i="5"/>
  <c r="N13" i="7"/>
  <c r="R7" i="2" s="1"/>
  <c r="X18" i="7"/>
  <c r="K7" i="16" l="1"/>
  <c r="E8" i="16"/>
  <c r="AS9" i="17"/>
  <c r="N3" i="1" s="1"/>
  <c r="AR9" i="17"/>
  <c r="M3" i="1" s="1"/>
  <c r="AQ9" i="17"/>
  <c r="L3" i="1" s="1"/>
  <c r="AP9" i="17"/>
  <c r="K3" i="1" s="1"/>
  <c r="AO9" i="17"/>
  <c r="J3" i="1" s="1"/>
  <c r="AN9" i="17"/>
  <c r="I3" i="1" s="1"/>
  <c r="G22" i="7"/>
  <c r="K22" i="7" s="1"/>
  <c r="P13" i="7" s="1"/>
  <c r="O12" i="2" s="1"/>
  <c r="E11" i="5"/>
  <c r="D12" i="3"/>
  <c r="L26" i="5"/>
  <c r="N26" i="5" s="1"/>
  <c r="N71" i="5"/>
  <c r="J9" i="16"/>
  <c r="H9" i="16"/>
  <c r="A10" i="16"/>
  <c r="Z9" i="16"/>
  <c r="X9" i="16"/>
  <c r="R7" i="16"/>
  <c r="P7" i="16"/>
  <c r="B8" i="16"/>
  <c r="L23" i="5"/>
  <c r="N23" i="5" s="1"/>
  <c r="N68" i="5"/>
  <c r="S50" i="5" s="1"/>
  <c r="L51" i="5" s="1"/>
  <c r="S7" i="16"/>
  <c r="M8" i="16"/>
  <c r="AA6" i="16"/>
  <c r="U7" i="16"/>
  <c r="L25" i="5"/>
  <c r="N25" i="5" s="1"/>
  <c r="N70" i="5"/>
  <c r="L27" i="5"/>
  <c r="N27" i="5" s="1"/>
  <c r="N72" i="5"/>
  <c r="M9" i="16" l="1"/>
  <c r="J10" i="16"/>
  <c r="H10" i="16"/>
  <c r="A11" i="16"/>
  <c r="Z10" i="16"/>
  <c r="X10" i="16"/>
  <c r="S51" i="5"/>
  <c r="L52" i="5" s="1"/>
  <c r="M51" i="5"/>
  <c r="P68" i="5" s="1"/>
  <c r="Q68" i="5" s="1"/>
  <c r="AA7" i="16"/>
  <c r="U8" i="16"/>
  <c r="N28" i="5"/>
  <c r="R8" i="16"/>
  <c r="P8" i="16"/>
  <c r="S8" i="16" s="1"/>
  <c r="B9" i="16"/>
  <c r="K8" i="16"/>
  <c r="E9" i="16"/>
  <c r="N51" i="5" l="1"/>
  <c r="R68" i="5" s="1"/>
  <c r="P51" i="5" s="1"/>
  <c r="Q51" i="5"/>
  <c r="O51" i="5"/>
  <c r="K9" i="16"/>
  <c r="E10" i="16"/>
  <c r="A12" i="16"/>
  <c r="Z11" i="16"/>
  <c r="X11" i="16"/>
  <c r="J11" i="16"/>
  <c r="H11" i="16"/>
  <c r="R9" i="16"/>
  <c r="P9" i="16"/>
  <c r="B10" i="16"/>
  <c r="M10" i="16"/>
  <c r="S9" i="16"/>
  <c r="AA8" i="16"/>
  <c r="U9" i="16"/>
  <c r="S52" i="5"/>
  <c r="L53" i="5" s="1"/>
  <c r="N52" i="5"/>
  <c r="M52" i="5"/>
  <c r="O52" i="5" s="1"/>
  <c r="AM14" i="17"/>
  <c r="H8" i="1" s="1"/>
  <c r="AM12" i="17"/>
  <c r="H6" i="1" s="1"/>
  <c r="AM13" i="17"/>
  <c r="H7" i="1" s="1"/>
  <c r="AM10" i="17"/>
  <c r="H4" i="1" s="1"/>
  <c r="AM11" i="17"/>
  <c r="H5" i="1" s="1"/>
  <c r="AM9" i="17"/>
  <c r="H3" i="1" s="1"/>
  <c r="P69" i="5" l="1"/>
  <c r="Q69" i="5" s="1"/>
  <c r="R69" i="5" s="1"/>
  <c r="P52" i="5" s="1"/>
  <c r="M53" i="5"/>
  <c r="P70" i="5" s="1"/>
  <c r="Q70" i="5" s="1"/>
  <c r="S53" i="5"/>
  <c r="N53" i="5"/>
  <c r="L54" i="5"/>
  <c r="M11" i="16"/>
  <c r="B11" i="16"/>
  <c r="R10" i="16"/>
  <c r="P10" i="16"/>
  <c r="S10" i="16" s="1"/>
  <c r="J12" i="16"/>
  <c r="H12" i="16"/>
  <c r="A13" i="16"/>
  <c r="Z12" i="16"/>
  <c r="X12" i="16"/>
  <c r="K10" i="16"/>
  <c r="E11" i="16"/>
  <c r="Q52" i="5"/>
  <c r="AA9" i="16"/>
  <c r="U10" i="16"/>
  <c r="O53" i="5" l="1"/>
  <c r="Q53" i="5"/>
  <c r="AA10" i="16"/>
  <c r="U11" i="16"/>
  <c r="R70" i="5"/>
  <c r="P53" i="5" s="1"/>
  <c r="R11" i="16"/>
  <c r="P11" i="16"/>
  <c r="B12" i="16"/>
  <c r="J13" i="16"/>
  <c r="AG31" i="16" s="1"/>
  <c r="H13" i="16"/>
  <c r="AF31" i="16" s="1"/>
  <c r="Z13" i="16"/>
  <c r="AG37" i="16" s="1"/>
  <c r="X13" i="16"/>
  <c r="AF37" i="16" s="1"/>
  <c r="S11" i="16"/>
  <c r="M12" i="16"/>
  <c r="S54" i="5"/>
  <c r="L55" i="5" s="1"/>
  <c r="M54" i="5"/>
  <c r="N54" i="5" s="1"/>
  <c r="K11" i="16"/>
  <c r="E12" i="16"/>
  <c r="Q54" i="5" l="1"/>
  <c r="P71" i="5"/>
  <c r="Q71" i="5" s="1"/>
  <c r="R71" i="5" s="1"/>
  <c r="P54" i="5" s="1"/>
  <c r="O54" i="5"/>
  <c r="S55" i="5"/>
  <c r="L56" i="5" s="1"/>
  <c r="M55" i="5"/>
  <c r="N55" i="5" s="1"/>
  <c r="M13" i="16"/>
  <c r="R12" i="16"/>
  <c r="P12" i="16"/>
  <c r="S12" i="16" s="1"/>
  <c r="B13" i="16"/>
  <c r="K12" i="16"/>
  <c r="E13" i="16"/>
  <c r="K13" i="16" s="1"/>
  <c r="AA11" i="16"/>
  <c r="U12" i="16"/>
  <c r="P72" i="5" l="1"/>
  <c r="Q72" i="5" s="1"/>
  <c r="R72" i="5" s="1"/>
  <c r="P55" i="5" s="1"/>
  <c r="Q55" i="5"/>
  <c r="AA12" i="16"/>
  <c r="U13" i="16"/>
  <c r="AA13" i="16" s="1"/>
  <c r="S56" i="5"/>
  <c r="P73" i="5"/>
  <c r="Q73" i="5" s="1"/>
  <c r="Q56" i="5"/>
  <c r="O56" i="5"/>
  <c r="L57" i="5"/>
  <c r="N56" i="5"/>
  <c r="M56" i="5"/>
  <c r="R13" i="16"/>
  <c r="AG34" i="16" s="1"/>
  <c r="P13" i="16"/>
  <c r="AF34" i="16" s="1"/>
  <c r="O55" i="5"/>
  <c r="R73" i="5" l="1"/>
  <c r="P56" i="5" s="1"/>
  <c r="S13" i="16"/>
  <c r="Q57" i="5"/>
  <c r="P74" i="5"/>
  <c r="Q74" i="5" s="1"/>
  <c r="S57" i="5"/>
  <c r="O57" i="5"/>
  <c r="N57" i="5"/>
  <c r="R74" i="5" s="1"/>
  <c r="P57" i="5" s="1"/>
  <c r="L58" i="5"/>
  <c r="M57" i="5"/>
  <c r="N58" i="5" l="1"/>
  <c r="M58" i="5"/>
  <c r="Q58" i="5"/>
  <c r="O58" i="5"/>
  <c r="P75" i="5"/>
  <c r="Q75" i="5" s="1"/>
  <c r="L59" i="5"/>
  <c r="S58" i="5"/>
  <c r="P76" i="5" l="1"/>
  <c r="Q76" i="5" s="1"/>
  <c r="Q59" i="5"/>
  <c r="O59" i="5"/>
  <c r="N59" i="5"/>
  <c r="L60" i="5"/>
  <c r="M59" i="5"/>
  <c r="S59" i="5"/>
  <c r="R75" i="5"/>
  <c r="P58" i="5" s="1"/>
  <c r="R76" i="5" l="1"/>
  <c r="P59" i="5" s="1"/>
  <c r="L61" i="5"/>
  <c r="O60" i="5"/>
  <c r="Q60" i="5"/>
  <c r="N60" i="5"/>
  <c r="M60" i="5"/>
  <c r="S60" i="5"/>
  <c r="P77" i="5"/>
  <c r="Q77" i="5" s="1"/>
  <c r="R77" i="5" l="1"/>
  <c r="P60" i="5" s="1"/>
  <c r="O61" i="5"/>
  <c r="L62" i="5"/>
  <c r="N61" i="5"/>
  <c r="Q61" i="5"/>
  <c r="M61" i="5"/>
  <c r="P78" i="5"/>
  <c r="Q78" i="5" s="1"/>
  <c r="S61" i="5"/>
  <c r="R78" i="5" l="1"/>
  <c r="P61" i="5" s="1"/>
  <c r="Q62" i="5"/>
  <c r="M62" i="5"/>
  <c r="L63" i="5"/>
  <c r="P79" i="5"/>
  <c r="Q79" i="5" s="1"/>
  <c r="S62" i="5"/>
  <c r="O62" i="5"/>
  <c r="N62" i="5"/>
  <c r="R79" i="5" l="1"/>
  <c r="P62" i="5" s="1"/>
  <c r="L64" i="5"/>
  <c r="O63" i="5"/>
  <c r="N63" i="5"/>
  <c r="M63" i="5"/>
  <c r="P80" i="5"/>
  <c r="Q80" i="5" s="1"/>
  <c r="Q63" i="5"/>
  <c r="S63" i="5"/>
  <c r="S64" i="5" l="1"/>
  <c r="N64" i="5"/>
  <c r="M64" i="5"/>
  <c r="P81" i="5"/>
  <c r="Q81" i="5" s="1"/>
  <c r="Q64" i="5"/>
  <c r="O64" i="5"/>
  <c r="R80" i="5"/>
  <c r="P63" i="5" s="1"/>
  <c r="R81" i="5" l="1"/>
  <c r="P64" i="5" s="1"/>
</calcChain>
</file>

<file path=xl/sharedStrings.xml><?xml version="1.0" encoding="utf-8"?>
<sst xmlns="http://schemas.openxmlformats.org/spreadsheetml/2006/main" count="1371" uniqueCount="505">
  <si>
    <t>Round</t>
  </si>
  <si>
    <t>Combatants</t>
  </si>
  <si>
    <t>Degree</t>
  </si>
  <si>
    <t>Rank</t>
  </si>
  <si>
    <t>Path</t>
  </si>
  <si>
    <t>Current Stamina</t>
  </si>
  <si>
    <t>Stance</t>
  </si>
  <si>
    <t>Energy Segments</t>
  </si>
  <si>
    <t>Actions - Round Prep Phase</t>
  </si>
  <si>
    <t>Attack</t>
  </si>
  <si>
    <t>Attacks a target</t>
  </si>
  <si>
    <t>Defend</t>
  </si>
  <si>
    <t>Choose an ally to defend for the round, has to be an ally not defending or being defended</t>
  </si>
  <si>
    <t>Evade</t>
  </si>
  <si>
    <t>Attempts to carefully move around the opponents to recover stamina</t>
  </si>
  <si>
    <t>Special</t>
  </si>
  <si>
    <t>Fueled by energy, mostly based off the chosen path</t>
  </si>
  <si>
    <t>Reactions - Round Execution Phase</t>
  </si>
  <si>
    <t>Block</t>
  </si>
  <si>
    <t>Mitigate damage based on proficiency</t>
  </si>
  <si>
    <t>Dodge</t>
  </si>
  <si>
    <t>Attempt to avoid incoming attack, failure mitigates some damage</t>
  </si>
  <si>
    <t>Parry</t>
  </si>
  <si>
    <t>Attempts to negate an incoming attack and respond with a counter attack, failure mitigates no damage</t>
  </si>
  <si>
    <t>Combat Rolls</t>
  </si>
  <si>
    <t>Speed</t>
  </si>
  <si>
    <t>Determines action speed</t>
  </si>
  <si>
    <t>Chance to instant KO opponent. Triggered when you are at least one rank above an opponent</t>
  </si>
  <si>
    <t>Blindside</t>
  </si>
  <si>
    <t>If the action speed is at least twice as fast as the target’s base speed, there is a chance that the action can’t be defended</t>
  </si>
  <si>
    <t>Defense</t>
  </si>
  <si>
    <t>Used to check for success in defense reaction</t>
  </si>
  <si>
    <t>Crushing Blow</t>
  </si>
  <si>
    <t>Chance to overpower the target and make future blocking less effective</t>
  </si>
  <si>
    <t>Paths</t>
  </si>
  <si>
    <t>Focus Statement</t>
  </si>
  <si>
    <t>Fire</t>
  </si>
  <si>
    <r>
      <rPr>
        <sz val="10"/>
        <color theme="1"/>
        <rFont val="Arial"/>
      </rPr>
      <t xml:space="preserve">Focuses </t>
    </r>
    <r>
      <rPr>
        <b/>
        <sz val="11"/>
        <color theme="1"/>
        <rFont val="Arial"/>
      </rPr>
      <t>inward</t>
    </r>
    <r>
      <rPr>
        <sz val="10"/>
        <color theme="1"/>
        <rFont val="Arial"/>
      </rPr>
      <t xml:space="preserve">, improving the chance to successfully </t>
    </r>
    <r>
      <rPr>
        <b/>
        <sz val="11"/>
        <color theme="1"/>
        <rFont val="Arial"/>
      </rPr>
      <t>parry</t>
    </r>
    <r>
      <rPr>
        <sz val="10"/>
        <color theme="1"/>
        <rFont val="Arial"/>
      </rPr>
      <t xml:space="preserve"> an attack.</t>
    </r>
  </si>
  <si>
    <t>Water</t>
  </si>
  <si>
    <r>
      <rPr>
        <sz val="10"/>
        <color theme="1"/>
        <rFont val="Arial"/>
      </rPr>
      <t xml:space="preserve">Focuses </t>
    </r>
    <r>
      <rPr>
        <b/>
        <sz val="11"/>
        <color theme="1"/>
        <rFont val="Arial"/>
      </rPr>
      <t>outward</t>
    </r>
    <r>
      <rPr>
        <sz val="10"/>
        <color theme="1"/>
        <rFont val="Arial"/>
      </rPr>
      <t xml:space="preserve">, reducing the chance to successfully </t>
    </r>
    <r>
      <rPr>
        <b/>
        <sz val="11"/>
        <color theme="1"/>
        <rFont val="Arial"/>
      </rPr>
      <t>dodge</t>
    </r>
    <r>
      <rPr>
        <sz val="10"/>
        <color theme="1"/>
        <rFont val="Arial"/>
      </rPr>
      <t xml:space="preserve"> an attack.</t>
    </r>
  </si>
  <si>
    <t>Air</t>
  </si>
  <si>
    <r>
      <rPr>
        <sz val="10"/>
        <color theme="1"/>
        <rFont val="Arial"/>
      </rPr>
      <t xml:space="preserve">Focuses </t>
    </r>
    <r>
      <rPr>
        <b/>
        <sz val="11"/>
        <color theme="1"/>
        <rFont val="Arial"/>
      </rPr>
      <t>inward</t>
    </r>
    <r>
      <rPr>
        <sz val="10"/>
        <color theme="1"/>
        <rFont val="Arial"/>
      </rPr>
      <t xml:space="preserve">, improving the chance to successfully </t>
    </r>
    <r>
      <rPr>
        <b/>
        <sz val="11"/>
        <color theme="1"/>
        <rFont val="Arial"/>
      </rPr>
      <t xml:space="preserve">dodge </t>
    </r>
    <r>
      <rPr>
        <sz val="10"/>
        <color theme="1"/>
        <rFont val="Arial"/>
      </rPr>
      <t>an attack.</t>
    </r>
  </si>
  <si>
    <t>Earth</t>
  </si>
  <si>
    <r>
      <rPr>
        <sz val="10"/>
        <color theme="1"/>
        <rFont val="Arial"/>
      </rPr>
      <t xml:space="preserve">Focuses </t>
    </r>
    <r>
      <rPr>
        <b/>
        <sz val="11"/>
        <color theme="1"/>
        <rFont val="Arial"/>
      </rPr>
      <t>outward</t>
    </r>
    <r>
      <rPr>
        <sz val="10"/>
        <color theme="1"/>
        <rFont val="Arial"/>
      </rPr>
      <t xml:space="preserve">, reducing the chance to successfully </t>
    </r>
    <r>
      <rPr>
        <b/>
        <sz val="11"/>
        <color theme="1"/>
        <rFont val="Arial"/>
      </rPr>
      <t xml:space="preserve">block </t>
    </r>
    <r>
      <rPr>
        <sz val="10"/>
        <color theme="1"/>
        <rFont val="Arial"/>
      </rPr>
      <t>an attack.</t>
    </r>
  </si>
  <si>
    <t>Shadow</t>
  </si>
  <si>
    <r>
      <rPr>
        <sz val="10"/>
        <color theme="1"/>
        <rFont val="Arial"/>
      </rPr>
      <t xml:space="preserve">Focuses </t>
    </r>
    <r>
      <rPr>
        <b/>
        <sz val="11"/>
        <color theme="1"/>
        <rFont val="Arial"/>
      </rPr>
      <t>outward</t>
    </r>
    <r>
      <rPr>
        <sz val="10"/>
        <color theme="1"/>
        <rFont val="Arial"/>
      </rPr>
      <t xml:space="preserve">, reducing the chance to successfully </t>
    </r>
    <r>
      <rPr>
        <b/>
        <sz val="11"/>
        <color theme="1"/>
        <rFont val="Arial"/>
      </rPr>
      <t xml:space="preserve">parry </t>
    </r>
    <r>
      <rPr>
        <sz val="10"/>
        <color theme="1"/>
        <rFont val="Arial"/>
      </rPr>
      <t>an attack.</t>
    </r>
  </si>
  <si>
    <t>Light</t>
  </si>
  <si>
    <r>
      <rPr>
        <sz val="10"/>
        <color theme="1"/>
        <rFont val="Arial"/>
      </rPr>
      <t xml:space="preserve">Focuses </t>
    </r>
    <r>
      <rPr>
        <b/>
        <sz val="11"/>
        <color theme="1"/>
        <rFont val="Arial"/>
      </rPr>
      <t>inward</t>
    </r>
    <r>
      <rPr>
        <sz val="10"/>
        <color theme="1"/>
        <rFont val="Arial"/>
      </rPr>
      <t xml:space="preserve">, improving the chance to successfully </t>
    </r>
    <r>
      <rPr>
        <b/>
        <sz val="11"/>
        <color theme="1"/>
        <rFont val="Arial"/>
      </rPr>
      <t xml:space="preserve">block </t>
    </r>
    <r>
      <rPr>
        <sz val="10"/>
        <color theme="1"/>
        <rFont val="Arial"/>
      </rPr>
      <t>an attack.</t>
    </r>
  </si>
  <si>
    <t>Character Info</t>
  </si>
  <si>
    <t>Reaction Skills</t>
  </si>
  <si>
    <t>Path Information</t>
  </si>
  <si>
    <t>Name</t>
  </si>
  <si>
    <t>Will</t>
  </si>
  <si>
    <t>XP</t>
  </si>
  <si>
    <t>Next Rank</t>
  </si>
  <si>
    <t>Success Rate</t>
  </si>
  <si>
    <t>Successful Damage Mitigation</t>
  </si>
  <si>
    <t>Unsuccessful Damage Mitigation</t>
  </si>
  <si>
    <t>Team Name</t>
  </si>
  <si>
    <t>Current</t>
  </si>
  <si>
    <t>Attunement</t>
  </si>
  <si>
    <t>Core Training Attributes</t>
  </si>
  <si>
    <t>Selection</t>
  </si>
  <si>
    <t>Available CT Points</t>
  </si>
  <si>
    <t>Stamina</t>
  </si>
  <si>
    <t>Power</t>
  </si>
  <si>
    <t>Progression</t>
  </si>
  <si>
    <t>Baseline</t>
  </si>
  <si>
    <t>Energy Accumulation</t>
  </si>
  <si>
    <t>CT Points</t>
  </si>
  <si>
    <t>Ascension Gems</t>
  </si>
  <si>
    <t>Style</t>
  </si>
  <si>
    <t>Style Focus</t>
  </si>
  <si>
    <t>Reaction</t>
  </si>
  <si>
    <t>Action</t>
  </si>
  <si>
    <t>Personality</t>
  </si>
  <si>
    <t>Energy Focus</t>
  </si>
  <si>
    <t>Parry S.R.</t>
  </si>
  <si>
    <t>Dodge S.R.</t>
  </si>
  <si>
    <t>Block S.R.</t>
  </si>
  <si>
    <t>Segment Bonuses</t>
  </si>
  <si>
    <t>Buffs / Debuffs</t>
  </si>
  <si>
    <t>1st Segment Bonus</t>
  </si>
  <si>
    <t>2nd Segment Bonus</t>
  </si>
  <si>
    <t>Source</t>
  </si>
  <si>
    <t>Type</t>
  </si>
  <si>
    <t>Round Start</t>
  </si>
  <si>
    <t>Round End</t>
  </si>
  <si>
    <t>Change</t>
  </si>
  <si>
    <t>3rd Segment Bonus</t>
  </si>
  <si>
    <t>4th Segment Bonus</t>
  </si>
  <si>
    <t>5th Segment Bonus</t>
  </si>
  <si>
    <t>6th Segment Bonus</t>
  </si>
  <si>
    <t>Other Bonuses</t>
  </si>
  <si>
    <t>Energy Accumulation Bonus</t>
  </si>
  <si>
    <t>Starting Energy Segements</t>
  </si>
  <si>
    <t>Prime Special</t>
  </si>
  <si>
    <t>Segment Requirements</t>
  </si>
  <si>
    <t>Result</t>
  </si>
  <si>
    <t>Minimum</t>
  </si>
  <si>
    <t>Maximum</t>
  </si>
  <si>
    <t>Power Amplification</t>
  </si>
  <si>
    <t>Defense Constraint</t>
  </si>
  <si>
    <t>+10% per segment used</t>
  </si>
  <si>
    <t>Carter</t>
  </si>
  <si>
    <t>Joe</t>
  </si>
  <si>
    <t>Combatant Information</t>
  </si>
  <si>
    <t>Reaction List</t>
  </si>
  <si>
    <t>Available Reactions</t>
  </si>
  <si>
    <t>Combatant</t>
  </si>
  <si>
    <t>Block Rank</t>
  </si>
  <si>
    <t>Dodge Rank</t>
  </si>
  <si>
    <t>Parry Rank</t>
  </si>
  <si>
    <t>Path Ascension Level</t>
  </si>
  <si>
    <t>This will be based off subtypes defense constraints eventually</t>
  </si>
  <si>
    <t>Defenseless</t>
  </si>
  <si>
    <t>Initial Combat Path</t>
  </si>
  <si>
    <t>Attuned Paths</t>
  </si>
  <si>
    <t>Current Action</t>
  </si>
  <si>
    <t>Current Actor</t>
  </si>
  <si>
    <t>Current Rank Roll</t>
  </si>
  <si>
    <t>Current Actor Path</t>
  </si>
  <si>
    <t>Target Path</t>
  </si>
  <si>
    <t>Execution Records</t>
  </si>
  <si>
    <t>Max Stamina</t>
  </si>
  <si>
    <t>Current Energy</t>
  </si>
  <si>
    <t>Current Segments</t>
  </si>
  <si>
    <t>Team Names</t>
  </si>
  <si>
    <t>Current Scenario</t>
  </si>
  <si>
    <t>Initial Copy Row</t>
  </si>
  <si>
    <t>The Barrels</t>
  </si>
  <si>
    <t>Current Copy Row</t>
  </si>
  <si>
    <t>Paste Range for champ fight</t>
  </si>
  <si>
    <t>Initial Paste Row</t>
  </si>
  <si>
    <t>Current Paste Row</t>
  </si>
  <si>
    <t>ROUND</t>
  </si>
  <si>
    <t>Round Prep Phase</t>
  </si>
  <si>
    <t>Sorted Round Preparation Phase</t>
  </si>
  <si>
    <t>Actor</t>
  </si>
  <si>
    <t>Sub Type</t>
  </si>
  <si>
    <t>Target</t>
  </si>
  <si>
    <t>Energy Segments Used</t>
  </si>
  <si>
    <t>Check for stance display</t>
  </si>
  <si>
    <t>Target - Action Against Target</t>
  </si>
  <si>
    <t>Round Execution Phase</t>
  </si>
  <si>
    <t>Phase 1</t>
  </si>
  <si>
    <t>Phase 2</t>
  </si>
  <si>
    <t>Phase 3</t>
  </si>
  <si>
    <t>Phase 4</t>
  </si>
  <si>
    <t>Phase 5</t>
  </si>
  <si>
    <t>Rank Roll</t>
  </si>
  <si>
    <t>Blindside Roll</t>
  </si>
  <si>
    <t>Target Defense Action</t>
  </si>
  <si>
    <t>Defense Roll</t>
  </si>
  <si>
    <t>Crushing Blow Roll</t>
  </si>
  <si>
    <t>Is Coppied</t>
  </si>
  <si>
    <t>Rank KO Math For Formatting</t>
  </si>
  <si>
    <t>Blindside Math For Formatting</t>
  </si>
  <si>
    <t>Crushing Blow Math For Formatting</t>
  </si>
  <si>
    <t>Defense Result for Formatting</t>
  </si>
  <si>
    <t>Round Records</t>
  </si>
  <si>
    <t>Round Prep Copy Data</t>
  </si>
  <si>
    <t>Action Type</t>
  </si>
  <si>
    <t>Action Sub Type</t>
  </si>
  <si>
    <t>Actor Stamina Change</t>
  </si>
  <si>
    <t>Target Stamina Change</t>
  </si>
  <si>
    <t>Reaction Success</t>
  </si>
  <si>
    <t>Sorted Action Row</t>
  </si>
  <si>
    <t>Is Parried?</t>
  </si>
  <si>
    <t>Possible Advancement</t>
  </si>
  <si>
    <t>Combat Records</t>
  </si>
  <si>
    <t>Stamnia Check</t>
  </si>
  <si>
    <t>Targeting</t>
  </si>
  <si>
    <t>Actor Energy Segment Gains</t>
  </si>
  <si>
    <t>Target Energy Segment Gains</t>
  </si>
  <si>
    <t>Row</t>
  </si>
  <si>
    <t>IS actor KOd</t>
  </si>
  <si>
    <t>Defender</t>
  </si>
  <si>
    <t>True Target</t>
  </si>
  <si>
    <t>Actor Path</t>
  </si>
  <si>
    <t>Initial Combat Energy Records</t>
  </si>
  <si>
    <t>Echelon</t>
  </si>
  <si>
    <t>Degree Rank</t>
  </si>
  <si>
    <t>#</t>
  </si>
  <si>
    <t>Total CTP</t>
  </si>
  <si>
    <t>Degree Delta</t>
  </si>
  <si>
    <t>XP Gained</t>
  </si>
  <si>
    <t>Database Code</t>
  </si>
  <si>
    <t>Stone</t>
  </si>
  <si>
    <t>1st</t>
  </si>
  <si>
    <t>First</t>
  </si>
  <si>
    <t>2nd</t>
  </si>
  <si>
    <t>Second</t>
  </si>
  <si>
    <t>3rd</t>
  </si>
  <si>
    <t>Third</t>
  </si>
  <si>
    <t>4th</t>
  </si>
  <si>
    <t>Fourth</t>
  </si>
  <si>
    <t>5th</t>
  </si>
  <si>
    <t>Fifth</t>
  </si>
  <si>
    <t>6th</t>
  </si>
  <si>
    <t>Sixth</t>
  </si>
  <si>
    <t>7th</t>
  </si>
  <si>
    <t>Seventh</t>
  </si>
  <si>
    <t>8th</t>
  </si>
  <si>
    <t>Eighth</t>
  </si>
  <si>
    <t>9th</t>
  </si>
  <si>
    <t>Nineth</t>
  </si>
  <si>
    <t>10th</t>
  </si>
  <si>
    <t>Tenth</t>
  </si>
  <si>
    <t>Iron</t>
  </si>
  <si>
    <t>Bronze</t>
  </si>
  <si>
    <t>Silver</t>
  </si>
  <si>
    <t>Gold</t>
  </si>
  <si>
    <t>Platinum</t>
  </si>
  <si>
    <t>Diamond</t>
  </si>
  <si>
    <t>Master</t>
  </si>
  <si>
    <t>Grand Master</t>
  </si>
  <si>
    <t>Should unlock all here</t>
  </si>
  <si>
    <t>Legend</t>
  </si>
  <si>
    <t>Static Combatant Information</t>
  </si>
  <si>
    <t>Prep Phase Actions</t>
  </si>
  <si>
    <t>Reactions</t>
  </si>
  <si>
    <t>Block SR</t>
  </si>
  <si>
    <t>Block SMR</t>
  </si>
  <si>
    <t>Block FMR</t>
  </si>
  <si>
    <t>Dodge SR</t>
  </si>
  <si>
    <t>Dodge SMR</t>
  </si>
  <si>
    <t>Dodge FMR</t>
  </si>
  <si>
    <t>Parry SR</t>
  </si>
  <si>
    <t>Parry SMR</t>
  </si>
  <si>
    <t>Parry FMR</t>
  </si>
  <si>
    <t>Stamina Consumption</t>
  </si>
  <si>
    <t>Evade Regen Rate</t>
  </si>
  <si>
    <t>Crushing Blow Rate</t>
  </si>
  <si>
    <t>Blindside Rate</t>
  </si>
  <si>
    <t>Attack Cost</t>
  </si>
  <si>
    <t>Special Cost</t>
  </si>
  <si>
    <t>Group Cost</t>
  </si>
  <si>
    <t>Priority</t>
  </si>
  <si>
    <t>Group</t>
  </si>
  <si>
    <t>Dynamic Combatant Information</t>
  </si>
  <si>
    <t>Stamina Consumption Modifier</t>
  </si>
  <si>
    <t>Power Modifier</t>
  </si>
  <si>
    <t>Speed Modifier</t>
  </si>
  <si>
    <t>Block Success Rate</t>
  </si>
  <si>
    <t>Block Success Rate Modifier</t>
  </si>
  <si>
    <t>Block Success Mitigation Rate</t>
  </si>
  <si>
    <t>Block Success Mitigation Rate Modifier</t>
  </si>
  <si>
    <t>Block Fail Mitigation Rate</t>
  </si>
  <si>
    <t>Block Fail Mitigation Rate Modifier</t>
  </si>
  <si>
    <t>Dodge Success Rate</t>
  </si>
  <si>
    <t>Dodge Success Rate Modifier</t>
  </si>
  <si>
    <t>Dodge Success Mitigation Rate</t>
  </si>
  <si>
    <t>Dodge Success Mitigation Rate Modifier</t>
  </si>
  <si>
    <t>Dodge Fail Mitigation Rate</t>
  </si>
  <si>
    <t>Dodge Fail Value Modifier</t>
  </si>
  <si>
    <t>Parry Success Rate</t>
  </si>
  <si>
    <t>Parry Success Rate Modifier</t>
  </si>
  <si>
    <t>Parry Success Mitigation Rate</t>
  </si>
  <si>
    <t>Parry Success Mitigation Rate Modifier</t>
  </si>
  <si>
    <t>Parry Fail Mitigation Rate</t>
  </si>
  <si>
    <t>Parry Fail Mitigation Rate Modifier</t>
  </si>
  <si>
    <t>Evade Regen Rate Modifier</t>
  </si>
  <si>
    <t>Attack Cost Modifier</t>
  </si>
  <si>
    <t>Special Cost Modifier</t>
  </si>
  <si>
    <t>Group Cost Modifier</t>
  </si>
  <si>
    <t>Blindside Rate Modifier</t>
  </si>
  <si>
    <t>Crushing Blow Rate Modifier</t>
  </si>
  <si>
    <t>Path Tracking</t>
  </si>
  <si>
    <t>Combatant Special List</t>
  </si>
  <si>
    <t>Ascension</t>
  </si>
  <si>
    <t>Path - Ascension</t>
  </si>
  <si>
    <t>Current Energy Segments</t>
  </si>
  <si>
    <t>Rounded Segments</t>
  </si>
  <si>
    <t>Segment Bonus</t>
  </si>
  <si>
    <t>Bonus Type</t>
  </si>
  <si>
    <t>Block SR Bonus</t>
  </si>
  <si>
    <t>Dodge SR Bonus</t>
  </si>
  <si>
    <t>Parry SR Bonus</t>
  </si>
  <si>
    <t>Starting Energy Segments</t>
  </si>
  <si>
    <t>Round Preparation Phase</t>
  </si>
  <si>
    <t>Action Speed</t>
  </si>
  <si>
    <t>Order Speed</t>
  </si>
  <si>
    <t>Target Speed</t>
  </si>
  <si>
    <t>Create lists based off what is usable (available segements)</t>
  </si>
  <si>
    <t>Jake</t>
  </si>
  <si>
    <t>Jim</t>
  </si>
  <si>
    <t>Jordan</t>
  </si>
  <si>
    <t>Phase 4 (Paths)</t>
  </si>
  <si>
    <t>Phase 4 (Action Power)</t>
  </si>
  <si>
    <t>Combatant Rank</t>
  </si>
  <si>
    <t>Target Rank</t>
  </si>
  <si>
    <t>Rank Threshold</t>
  </si>
  <si>
    <t>Is Rank KO</t>
  </si>
  <si>
    <t>Blindside Threshold</t>
  </si>
  <si>
    <t>Is Blindside</t>
  </si>
  <si>
    <t>Applied to Target Rate</t>
  </si>
  <si>
    <t xml:space="preserve"> Applied to Target Effect</t>
  </si>
  <si>
    <t>Attack/Counter Power</t>
  </si>
  <si>
    <t>Special Power</t>
  </si>
  <si>
    <t>Group Power</t>
  </si>
  <si>
    <t>Action Power</t>
  </si>
  <si>
    <t>Defensless Result</t>
  </si>
  <si>
    <t>Block Threshold</t>
  </si>
  <si>
    <t>Block Result</t>
  </si>
  <si>
    <t>Dodge Threshold</t>
  </si>
  <si>
    <t>Dodge Result</t>
  </si>
  <si>
    <t>Parry Threshold</t>
  </si>
  <si>
    <t>Parry Result</t>
  </si>
  <si>
    <t>Chosen Defense Threshold</t>
  </si>
  <si>
    <t>Is Defense Success</t>
  </si>
  <si>
    <t>Target Damage Mitigation</t>
  </si>
  <si>
    <t>Actor Damage Delt</t>
  </si>
  <si>
    <t>Target Power</t>
  </si>
  <si>
    <t>CB Threshold</t>
  </si>
  <si>
    <t>Is Crushing blow</t>
  </si>
  <si>
    <t>Party Rank</t>
  </si>
  <si>
    <t>Target Event Gains</t>
  </si>
  <si>
    <t>Actor Event Gains</t>
  </si>
  <si>
    <t>Attacking</t>
  </si>
  <si>
    <t>Evasion</t>
  </si>
  <si>
    <t>Stat Modifiers</t>
  </si>
  <si>
    <t>Applied to Self Rate</t>
  </si>
  <si>
    <t>Applied to Self Effect</t>
  </si>
  <si>
    <t>Rank Name</t>
  </si>
  <si>
    <t>Rank Number</t>
  </si>
  <si>
    <t>Dodge Fail Mitigation Rate Modifier</t>
  </si>
  <si>
    <t>Degree Name</t>
  </si>
  <si>
    <t>Degree Number</t>
  </si>
  <si>
    <t>Tier 1 Bonus</t>
  </si>
  <si>
    <t>Tier 2 Bonus</t>
  </si>
  <si>
    <t>Tier 3 Bonus</t>
  </si>
  <si>
    <t>Tier 4 Bonus</t>
  </si>
  <si>
    <t>Tier 5 Bonus</t>
  </si>
  <si>
    <t>Tier 6 Bonus</t>
  </si>
  <si>
    <t>Energy Segment Accumulation Requirement</t>
  </si>
  <si>
    <t>Gains</t>
  </si>
  <si>
    <r>
      <rPr>
        <sz val="10"/>
        <color theme="1"/>
        <rFont val="Arial"/>
      </rPr>
      <t xml:space="preserve">Focuses </t>
    </r>
    <r>
      <rPr>
        <b/>
        <sz val="10"/>
        <color theme="1"/>
        <rFont val="Arial"/>
      </rPr>
      <t>inward</t>
    </r>
    <r>
      <rPr>
        <sz val="10"/>
        <color theme="1"/>
        <rFont val="Arial"/>
      </rPr>
      <t xml:space="preserve">, improving the chance to successfully </t>
    </r>
    <r>
      <rPr>
        <b/>
        <sz val="10"/>
        <color theme="1"/>
        <rFont val="Arial"/>
      </rPr>
      <t>parry</t>
    </r>
    <r>
      <rPr>
        <sz val="10"/>
        <color theme="1"/>
        <rFont val="Arial"/>
      </rPr>
      <t xml:space="preserve"> an attack.</t>
    </r>
  </si>
  <si>
    <t>Segments</t>
  </si>
  <si>
    <r>
      <rPr>
        <sz val="10"/>
        <color theme="1"/>
        <rFont val="Arial"/>
      </rPr>
      <t xml:space="preserve">Focuses </t>
    </r>
    <r>
      <rPr>
        <b/>
        <sz val="10"/>
        <color theme="1"/>
        <rFont val="Arial"/>
      </rPr>
      <t>outward</t>
    </r>
    <r>
      <rPr>
        <sz val="10"/>
        <color theme="1"/>
        <rFont val="Arial"/>
      </rPr>
      <t xml:space="preserve">, reducing the chance to successfully </t>
    </r>
    <r>
      <rPr>
        <b/>
        <sz val="10"/>
        <color theme="1"/>
        <rFont val="Arial"/>
      </rPr>
      <t>dodge</t>
    </r>
    <r>
      <rPr>
        <sz val="10"/>
        <color theme="1"/>
        <rFont val="Arial"/>
      </rPr>
      <t xml:space="preserve"> an attack.</t>
    </r>
  </si>
  <si>
    <r>
      <rPr>
        <sz val="10"/>
        <color theme="1"/>
        <rFont val="Arial"/>
      </rPr>
      <t xml:space="preserve">Focuses </t>
    </r>
    <r>
      <rPr>
        <b/>
        <sz val="10"/>
        <color theme="1"/>
        <rFont val="Arial"/>
      </rPr>
      <t>inward</t>
    </r>
    <r>
      <rPr>
        <sz val="10"/>
        <color theme="1"/>
        <rFont val="Arial"/>
      </rPr>
      <t xml:space="preserve">, improving the chance to successfully </t>
    </r>
    <r>
      <rPr>
        <b/>
        <sz val="10"/>
        <color theme="1"/>
        <rFont val="Arial"/>
      </rPr>
      <t xml:space="preserve">dodge </t>
    </r>
    <r>
      <rPr>
        <sz val="10"/>
        <color theme="1"/>
        <rFont val="Arial"/>
      </rPr>
      <t>an attack.</t>
    </r>
  </si>
  <si>
    <r>
      <rPr>
        <sz val="10"/>
        <color theme="1"/>
        <rFont val="Arial"/>
      </rPr>
      <t xml:space="preserve">Focuses </t>
    </r>
    <r>
      <rPr>
        <b/>
        <sz val="10"/>
        <color theme="1"/>
        <rFont val="Arial"/>
      </rPr>
      <t>outward</t>
    </r>
    <r>
      <rPr>
        <sz val="10"/>
        <color theme="1"/>
        <rFont val="Arial"/>
      </rPr>
      <t xml:space="preserve">, reducing the chance to successfully </t>
    </r>
    <r>
      <rPr>
        <b/>
        <sz val="10"/>
        <color theme="1"/>
        <rFont val="Arial"/>
      </rPr>
      <t xml:space="preserve">block </t>
    </r>
    <r>
      <rPr>
        <sz val="10"/>
        <color theme="1"/>
        <rFont val="Arial"/>
      </rPr>
      <t>an attack.</t>
    </r>
  </si>
  <si>
    <r>
      <rPr>
        <sz val="10"/>
        <color theme="1"/>
        <rFont val="Arial"/>
      </rPr>
      <t xml:space="preserve">Focuses </t>
    </r>
    <r>
      <rPr>
        <b/>
        <sz val="10"/>
        <color theme="1"/>
        <rFont val="Arial"/>
      </rPr>
      <t>outward</t>
    </r>
    <r>
      <rPr>
        <sz val="10"/>
        <color theme="1"/>
        <rFont val="Arial"/>
      </rPr>
      <t xml:space="preserve">, reducing the chance to successfully </t>
    </r>
    <r>
      <rPr>
        <b/>
        <sz val="10"/>
        <color theme="1"/>
        <rFont val="Arial"/>
      </rPr>
      <t xml:space="preserve">parry </t>
    </r>
    <r>
      <rPr>
        <sz val="10"/>
        <color theme="1"/>
        <rFont val="Arial"/>
      </rPr>
      <t>an attack.</t>
    </r>
  </si>
  <si>
    <t>--</t>
  </si>
  <si>
    <t>Copy From</t>
  </si>
  <si>
    <r>
      <rPr>
        <sz val="10"/>
        <color theme="1"/>
        <rFont val="Arial"/>
      </rPr>
      <t xml:space="preserve">Focuses </t>
    </r>
    <r>
      <rPr>
        <b/>
        <sz val="10"/>
        <color theme="1"/>
        <rFont val="Arial"/>
      </rPr>
      <t>inward</t>
    </r>
    <r>
      <rPr>
        <sz val="10"/>
        <color theme="1"/>
        <rFont val="Arial"/>
      </rPr>
      <t xml:space="preserve">, improving the chance to successfully </t>
    </r>
    <r>
      <rPr>
        <b/>
        <sz val="10"/>
        <color theme="1"/>
        <rFont val="Arial"/>
      </rPr>
      <t xml:space="preserve">block </t>
    </r>
    <r>
      <rPr>
        <sz val="10"/>
        <color theme="1"/>
        <rFont val="Arial"/>
      </rPr>
      <t>an attack.</t>
    </r>
  </si>
  <si>
    <t>Event Type</t>
  </si>
  <si>
    <t>Base Energy Gains</t>
  </si>
  <si>
    <t>Success</t>
  </si>
  <si>
    <t>Failure</t>
  </si>
  <si>
    <t>Id</t>
  </si>
  <si>
    <t>XP Needed</t>
  </si>
  <si>
    <t>Difference</t>
  </si>
  <si>
    <t>Block Points</t>
  </si>
  <si>
    <t>Dodge Points</t>
  </si>
  <si>
    <t>Parry Points</t>
  </si>
  <si>
    <t>Raw Data</t>
  </si>
  <si>
    <t>Polished Data</t>
  </si>
  <si>
    <t>Grayson</t>
  </si>
  <si>
    <t>Copy Line</t>
  </si>
  <si>
    <t>Points</t>
  </si>
  <si>
    <t>Import</t>
  </si>
  <si>
    <t>Dimitri</t>
  </si>
  <si>
    <t>Paste Line</t>
  </si>
  <si>
    <t>Frank</t>
  </si>
  <si>
    <t>Sam</t>
  </si>
  <si>
    <t>Travis</t>
  </si>
  <si>
    <t>Rylan</t>
  </si>
  <si>
    <t>Success Points</t>
  </si>
  <si>
    <t>Failure Points</t>
  </si>
  <si>
    <t>Total</t>
  </si>
  <si>
    <t>Choice</t>
  </si>
  <si>
    <t>Adjustment</t>
  </si>
  <si>
    <t>Personality Traits Type</t>
  </si>
  <si>
    <t>Wisdom</t>
  </si>
  <si>
    <t>Intelligence</t>
  </si>
  <si>
    <t>Charisma</t>
  </si>
  <si>
    <t>Personality Traits</t>
  </si>
  <si>
    <t>Patience</t>
  </si>
  <si>
    <t>Empathy</t>
  </si>
  <si>
    <t>Cunning</t>
  </si>
  <si>
    <t>Logic</t>
  </si>
  <si>
    <t>Kindness</t>
  </si>
  <si>
    <t>Max</t>
  </si>
  <si>
    <t>Minimum interval of 0.5%</t>
  </si>
  <si>
    <t>Min</t>
  </si>
  <si>
    <t>Adjustment is always 6%, spread across areas that are improving</t>
  </si>
  <si>
    <t xml:space="preserve">When growing in an area, all other areas reduce by an even distribution of the difference. </t>
  </si>
  <si>
    <t>Unless an area is at the minimum, then the second lowest area is reduced to make up the delta, and so on.</t>
  </si>
  <si>
    <t>If the stat is maxed? Tendancy to keep it maxed?</t>
  </si>
  <si>
    <t>Total XP</t>
  </si>
  <si>
    <t>Current Team Info:</t>
  </si>
  <si>
    <t>Team Rank</t>
  </si>
  <si>
    <t>Fighter 1</t>
  </si>
  <si>
    <t>Fighter 2</t>
  </si>
  <si>
    <t>Fighter 3</t>
  </si>
  <si>
    <t>XP Overide for testing</t>
  </si>
  <si>
    <t>Scenario Number</t>
  </si>
  <si>
    <t>Team Name - Combatant</t>
  </si>
  <si>
    <t>Fire Ascensions</t>
  </si>
  <si>
    <t>Water Ascensions</t>
  </si>
  <si>
    <t>Air Ascensions</t>
  </si>
  <si>
    <t>Earth Ascensions</t>
  </si>
  <si>
    <t>Shadow Ascensions</t>
  </si>
  <si>
    <t>Light Ascensions</t>
  </si>
  <si>
    <t>Fire Attunement</t>
  </si>
  <si>
    <t>Water Attunement</t>
  </si>
  <si>
    <t>Air Attunement</t>
  </si>
  <si>
    <t>Earth Attunement</t>
  </si>
  <si>
    <t>Shadow Attunement</t>
  </si>
  <si>
    <t>Light Attunement</t>
  </si>
  <si>
    <t>Description</t>
  </si>
  <si>
    <t>Master Blaster</t>
  </si>
  <si>
    <t>Freddy</t>
  </si>
  <si>
    <t>Master Blaster - Freddy</t>
  </si>
  <si>
    <t>World Championship enemy team</t>
  </si>
  <si>
    <t>Bob</t>
  </si>
  <si>
    <t>Master Blaster - Bob</t>
  </si>
  <si>
    <t>Craig</t>
  </si>
  <si>
    <t>Master Blaster - Craig</t>
  </si>
  <si>
    <t>Triple J</t>
  </si>
  <si>
    <t>Triple J - Jake</t>
  </si>
  <si>
    <t>Local kids you fight to learn about combat</t>
  </si>
  <si>
    <t>Triple J - Jim</t>
  </si>
  <si>
    <t>Triple J - Jordan</t>
  </si>
  <si>
    <t>Is active</t>
  </si>
  <si>
    <t>Status Concatenation</t>
  </si>
  <si>
    <t>Curshing Blow - Block Success Rate - 3 Rounds, 75% loss</t>
  </si>
  <si>
    <t>Curshing Blow - Block Success Mitigation Rate - 3 Rounds, 75% loss</t>
  </si>
  <si>
    <t>Curshing Blow - Block Fail Mitigation Rate - 3 Rounds, 75% loss</t>
  </si>
  <si>
    <t>Buff Records</t>
  </si>
  <si>
    <t>Is Crushing Blow</t>
  </si>
  <si>
    <t>Class</t>
  </si>
  <si>
    <t>Segment Minimum</t>
  </si>
  <si>
    <t>Segment Maximum</t>
  </si>
  <si>
    <t>Power Result</t>
  </si>
  <si>
    <t>Buff/Debuff</t>
  </si>
  <si>
    <t>A series of fast attacks that boost the users parry rate until EONR, Must be Parried</t>
  </si>
  <si>
    <t>Attack power is boosted by the tier used times 10%. So if 2 tiers are uesd, +20% power. Increases parry rate equal to what tier bonus was + 1 tier</t>
  </si>
  <si>
    <t>A decisive strike that reduces the targets dodge rate until EONR, Must be Dodged</t>
  </si>
  <si>
    <t>Attack power is boosted by the tier used times 10%. So if 2 tiers are uesd, +20% power. Decreases dodge rate equal to what tier bonus was + 1 tier</t>
  </si>
  <si>
    <t>A decisive strike that boosts the users dodge rate until EONR, Must be Dodged</t>
  </si>
  <si>
    <t>Attack power is boosted by the tier used times 10%. So if 2 tiers are uesd, +20% power. Increases dodge rate equal to what tier bonus was + 1 tier</t>
  </si>
  <si>
    <t>A massive blow that reduces the targets block rate until EONR, Must be Blocked</t>
  </si>
  <si>
    <t>Attack power is boosted by the tier used times 10%. So if 2 tiers are uesd, +20% power. Decreases block rate equal to what tier bonus was + 1 tier</t>
  </si>
  <si>
    <t>A series of fast attacks that reduces the targets parry rate until EONR, Must be Parried</t>
  </si>
  <si>
    <t>Attack power is boosted by the tier used times 10%. So if 2 tiers are uesd, +20% power. Decreases parry rate equal to what tier bonus was + 1 tier</t>
  </si>
  <si>
    <t>A massive blow that increases the users block rate until EONR, Must be Blocked</t>
  </si>
  <si>
    <t>Attack power is boosted by the tier used times 10%. So if 2 tiers are uesd, +20% power. Increases block rate equal to what tier bonus was + 1 tier</t>
  </si>
  <si>
    <t>Future Ideas</t>
  </si>
  <si>
    <t>Puts target off balance, making it take more stamina to use actions until the end of the next round</t>
  </si>
  <si>
    <t>Target stamina consumption + 25%</t>
  </si>
  <si>
    <t>Target can only use the block action until the end of the next round</t>
  </si>
  <si>
    <t>Target cant dodge or parry until the end of the next round</t>
  </si>
  <si>
    <t>You attempt to hold an enemy open until the end of the next round, can fail depending on enemy power, hits stamina on fail</t>
  </si>
  <si>
    <t>Power Roll Off : Success = Both players take no action on their next turn. User cannot be targeted and target cannot defend ; Failure = normal attack damage</t>
  </si>
  <si>
    <t>Must be blocked, makes blocking less effective until the end of the next round</t>
  </si>
  <si>
    <t>target block mitigation rate /2</t>
  </si>
  <si>
    <t>You let out a battle cry and attack your enemy. Allies are inspired and use less stamina to attack until the end of the next round</t>
  </si>
  <si>
    <t>Ally stamina consumption - 15%</t>
  </si>
  <si>
    <t>Always makes clean contact (cant be defended)</t>
  </si>
  <si>
    <t>Target cant defend against attack</t>
  </si>
  <si>
    <t>Best</t>
  </si>
  <si>
    <t>Worst</t>
  </si>
  <si>
    <t>Success Mitigation Rate</t>
  </si>
  <si>
    <t>Fail Mitigation Rate</t>
  </si>
  <si>
    <t>Critical Success</t>
  </si>
  <si>
    <t>Fail</t>
  </si>
  <si>
    <t>Average</t>
  </si>
  <si>
    <t>Crit Succes</t>
  </si>
  <si>
    <t>SR Increment</t>
  </si>
  <si>
    <t>SR Base</t>
  </si>
  <si>
    <t>SMR Increment</t>
  </si>
  <si>
    <t>SMR Base</t>
  </si>
  <si>
    <t>FMR Base</t>
  </si>
  <si>
    <t>FMR Increment</t>
  </si>
  <si>
    <t>Stamina Points</t>
  </si>
  <si>
    <t>Total Stamina</t>
  </si>
  <si>
    <t>Green</t>
  </si>
  <si>
    <t>Yellow</t>
  </si>
  <si>
    <t>Orange</t>
  </si>
  <si>
    <t>Red</t>
  </si>
  <si>
    <t>Black</t>
  </si>
  <si>
    <t>Enemy Stamina</t>
  </si>
  <si>
    <t>100%-75%</t>
  </si>
  <si>
    <t>74%-50%</t>
  </si>
  <si>
    <t>49%-25%</t>
  </si>
  <si>
    <t>24%-1%</t>
  </si>
  <si>
    <t>P1</t>
  </si>
  <si>
    <t>Active Buffs</t>
  </si>
  <si>
    <t>P1 Active Buffs</t>
  </si>
  <si>
    <t>P1 Active Buffs Character Sheet</t>
  </si>
  <si>
    <t>P2 Active Buffs</t>
  </si>
  <si>
    <t>P2 Active Buffs Character Sheet</t>
  </si>
  <si>
    <t>P3 Active Buffs</t>
  </si>
  <si>
    <t>P3 Active Buffs Character Sheet</t>
  </si>
  <si>
    <t>P2</t>
  </si>
  <si>
    <t>P3</t>
  </si>
  <si>
    <t>Player Stances</t>
  </si>
  <si>
    <t>1st Energy Segment</t>
  </si>
  <si>
    <t>2nd Energy Segment</t>
  </si>
  <si>
    <t>3rd Energy Segment</t>
  </si>
  <si>
    <t>4th Energy Segment</t>
  </si>
  <si>
    <t>5th Energy Segment</t>
  </si>
  <si>
    <t>6th Energy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</si>
</sst>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"/>
  </numFmts>
  <fonts count="19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8"/>
      <color theme="1"/>
      <name val="Arial"/>
    </font>
    <font>
      <sz val="10"/>
      <color rgb="FF134F5C"/>
      <name val="Arial"/>
    </font>
    <font>
      <sz val="9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8"/>
      <color theme="1"/>
      <name val="Arial"/>
      <scheme val="minor"/>
    </font>
    <font>
      <sz val="10"/>
      <color rgb="FF000000"/>
      <name val="Arial"/>
      <scheme val="minor"/>
    </font>
    <font>
      <sz val="10"/>
      <color rgb="FFF3F3F3"/>
      <name val="Arial"/>
      <scheme val="minor"/>
    </font>
    <font>
      <b/>
      <sz val="24"/>
      <color theme="1"/>
      <name val="Arial"/>
      <scheme val="minor"/>
    </font>
    <font>
      <sz val="10"/>
      <color rgb="FF000000"/>
      <name val="Arial"/>
    </font>
    <font>
      <sz val="10"/>
      <color rgb="FFFF0000"/>
      <name val="Arial"/>
      <scheme val="minor"/>
    </font>
    <font>
      <b/>
      <sz val="10"/>
      <color rgb="FFFF0000"/>
      <name val="Arial"/>
      <scheme val="minor"/>
    </font>
    <font>
      <b/>
      <sz val="18"/>
      <color theme="1"/>
      <name val="Arial"/>
      <scheme val="minor"/>
    </font>
    <font>
      <b/>
      <sz val="11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3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4" fontId="2" fillId="0" borderId="20" xfId="0" applyNumberFormat="1" applyFont="1" applyBorder="1" applyAlignment="1">
      <alignment horizontal="center" vertical="center"/>
    </xf>
    <xf numFmtId="4" fontId="2" fillId="0" borderId="22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23" xfId="0" applyFont="1" applyFill="1" applyBorder="1" applyAlignment="1">
      <alignment vertical="center"/>
    </xf>
    <xf numFmtId="0" fontId="3" fillId="4" borderId="2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4" borderId="5" xfId="0" applyFont="1" applyFill="1" applyBorder="1" applyAlignment="1">
      <alignment horizontal="right" vertical="center"/>
    </xf>
    <xf numFmtId="0" fontId="3" fillId="4" borderId="11" xfId="0" applyFont="1" applyFill="1" applyBorder="1" applyAlignment="1">
      <alignment horizontal="right" vertical="center"/>
    </xf>
    <xf numFmtId="0" fontId="3" fillId="4" borderId="21" xfId="0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3" fillId="4" borderId="2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8" fillId="4" borderId="0" xfId="0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8" fillId="2" borderId="10" xfId="0" applyFont="1" applyFill="1" applyBorder="1"/>
    <xf numFmtId="0" fontId="8" fillId="2" borderId="0" xfId="0" applyFont="1" applyFill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vertical="center"/>
    </xf>
    <xf numFmtId="0" fontId="8" fillId="2" borderId="23" xfId="0" applyFont="1" applyFill="1" applyBorder="1" applyAlignment="1">
      <alignment vertical="center"/>
    </xf>
    <xf numFmtId="0" fontId="8" fillId="2" borderId="25" xfId="0" applyFont="1" applyFill="1" applyBorder="1" applyAlignment="1">
      <alignment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8" fillId="2" borderId="10" xfId="0" applyFont="1" applyFill="1" applyBorder="1" applyAlignment="1">
      <alignment vertical="center"/>
    </xf>
    <xf numFmtId="0" fontId="8" fillId="2" borderId="26" xfId="0" applyFont="1" applyFill="1" applyBorder="1" applyAlignment="1">
      <alignment vertical="center"/>
    </xf>
    <xf numFmtId="0" fontId="8" fillId="2" borderId="1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6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0" fontId="8" fillId="3" borderId="23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vertical="center"/>
    </xf>
    <xf numFmtId="0" fontId="8" fillId="2" borderId="27" xfId="0" applyFont="1" applyFill="1" applyBorder="1" applyAlignment="1">
      <alignment vertical="center"/>
    </xf>
    <xf numFmtId="0" fontId="8" fillId="2" borderId="28" xfId="0" applyFont="1" applyFill="1" applyBorder="1" applyAlignment="1">
      <alignment vertical="center"/>
    </xf>
    <xf numFmtId="10" fontId="8" fillId="3" borderId="27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8" fillId="2" borderId="24" xfId="0" applyFont="1" applyFill="1" applyBorder="1"/>
    <xf numFmtId="0" fontId="6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right" vertical="center"/>
    </xf>
    <xf numFmtId="0" fontId="2" fillId="0" borderId="2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3" borderId="24" xfId="0" applyFont="1" applyFill="1" applyBorder="1" applyAlignment="1">
      <alignment horizontal="right" vertical="center"/>
    </xf>
    <xf numFmtId="10" fontId="2" fillId="3" borderId="24" xfId="0" applyNumberFormat="1" applyFont="1" applyFill="1" applyBorder="1" applyAlignment="1">
      <alignment horizontal="center" vertical="center"/>
    </xf>
    <xf numFmtId="10" fontId="2" fillId="3" borderId="23" xfId="0" applyNumberFormat="1" applyFont="1" applyFill="1" applyBorder="1" applyAlignment="1">
      <alignment horizontal="center" vertical="center"/>
    </xf>
    <xf numFmtId="10" fontId="2" fillId="3" borderId="25" xfId="0" applyNumberFormat="1" applyFont="1" applyFill="1" applyBorder="1" applyAlignment="1">
      <alignment horizontal="center" vertical="center"/>
    </xf>
    <xf numFmtId="10" fontId="2" fillId="7" borderId="10" xfId="0" applyNumberFormat="1" applyFont="1" applyFill="1" applyBorder="1" applyAlignment="1">
      <alignment horizontal="center"/>
    </xf>
    <xf numFmtId="10" fontId="2" fillId="7" borderId="0" xfId="0" applyNumberFormat="1" applyFont="1" applyFill="1" applyAlignment="1">
      <alignment horizontal="center"/>
    </xf>
    <xf numFmtId="10" fontId="2" fillId="7" borderId="26" xfId="0" applyNumberFormat="1" applyFont="1" applyFill="1" applyBorder="1" applyAlignment="1">
      <alignment horizontal="center"/>
    </xf>
    <xf numFmtId="0" fontId="2" fillId="3" borderId="10" xfId="0" applyFont="1" applyFill="1" applyBorder="1" applyAlignment="1">
      <alignment horizontal="right" vertical="center"/>
    </xf>
    <xf numFmtId="10" fontId="2" fillId="3" borderId="10" xfId="0" applyNumberFormat="1" applyFont="1" applyFill="1" applyBorder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10" fontId="2" fillId="3" borderId="26" xfId="0" applyNumberFormat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right" vertical="center"/>
    </xf>
    <xf numFmtId="10" fontId="2" fillId="3" borderId="29" xfId="0" applyNumberFormat="1" applyFont="1" applyFill="1" applyBorder="1" applyAlignment="1">
      <alignment horizontal="center" vertical="center"/>
    </xf>
    <xf numFmtId="10" fontId="2" fillId="3" borderId="27" xfId="0" applyNumberFormat="1" applyFont="1" applyFill="1" applyBorder="1" applyAlignment="1">
      <alignment horizontal="center" vertical="center"/>
    </xf>
    <xf numFmtId="10" fontId="2" fillId="3" borderId="28" xfId="0" applyNumberFormat="1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vertical="center"/>
    </xf>
    <xf numFmtId="0" fontId="8" fillId="7" borderId="0" xfId="0" applyFont="1" applyFill="1" applyAlignment="1">
      <alignment vertical="center"/>
    </xf>
    <xf numFmtId="0" fontId="8" fillId="7" borderId="26" xfId="0" applyFont="1" applyFill="1" applyBorder="1" applyAlignment="1">
      <alignment vertical="center"/>
    </xf>
    <xf numFmtId="2" fontId="2" fillId="0" borderId="24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2" fontId="2" fillId="0" borderId="25" xfId="0" applyNumberFormat="1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8" fillId="7" borderId="29" xfId="0" applyFont="1" applyFill="1" applyBorder="1" applyAlignment="1">
      <alignment vertical="center"/>
    </xf>
    <xf numFmtId="0" fontId="8" fillId="7" borderId="27" xfId="0" applyFont="1" applyFill="1" applyBorder="1" applyAlignment="1">
      <alignment vertical="center"/>
    </xf>
    <xf numFmtId="0" fontId="8" fillId="7" borderId="28" xfId="0" applyFont="1" applyFill="1" applyBorder="1" applyAlignment="1">
      <alignment vertical="center"/>
    </xf>
    <xf numFmtId="0" fontId="8" fillId="4" borderId="29" xfId="0" applyFont="1" applyFill="1" applyBorder="1" applyAlignment="1">
      <alignment vertical="center"/>
    </xf>
    <xf numFmtId="0" fontId="8" fillId="4" borderId="28" xfId="0" applyFont="1" applyFill="1" applyBorder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/>
    <xf numFmtId="0" fontId="9" fillId="4" borderId="29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8" fillId="3" borderId="0" xfId="0" applyFont="1" applyFill="1"/>
    <xf numFmtId="0" fontId="8" fillId="2" borderId="0" xfId="0" applyFont="1" applyFill="1"/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3" borderId="1" xfId="0" applyFont="1" applyFill="1" applyBorder="1"/>
    <xf numFmtId="0" fontId="8" fillId="0" borderId="23" xfId="0" applyFont="1" applyBorder="1"/>
    <xf numFmtId="0" fontId="8" fillId="0" borderId="5" xfId="0" applyFont="1" applyBorder="1"/>
    <xf numFmtId="0" fontId="8" fillId="3" borderId="11" xfId="0" applyFont="1" applyFill="1" applyBorder="1" applyAlignment="1">
      <alignment horizontal="center" vertical="center"/>
    </xf>
    <xf numFmtId="3" fontId="8" fillId="3" borderId="0" xfId="0" applyNumberFormat="1" applyFont="1" applyFill="1" applyAlignment="1">
      <alignment horizontal="center" vertical="center"/>
    </xf>
    <xf numFmtId="3" fontId="8" fillId="3" borderId="10" xfId="0" applyNumberFormat="1" applyFont="1" applyFill="1" applyBorder="1" applyAlignment="1">
      <alignment horizontal="center" vertical="center"/>
    </xf>
    <xf numFmtId="0" fontId="8" fillId="3" borderId="11" xfId="0" applyFont="1" applyFill="1" applyBorder="1"/>
    <xf numFmtId="0" fontId="8" fillId="0" borderId="0" xfId="0" applyFont="1"/>
    <xf numFmtId="0" fontId="8" fillId="0" borderId="11" xfId="0" applyFont="1" applyBorder="1"/>
    <xf numFmtId="0" fontId="8" fillId="0" borderId="27" xfId="0" applyFont="1" applyBorder="1" applyAlignment="1">
      <alignment vertical="center"/>
    </xf>
    <xf numFmtId="0" fontId="8" fillId="0" borderId="21" xfId="0" applyFont="1" applyBorder="1"/>
    <xf numFmtId="0" fontId="8" fillId="3" borderId="5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/>
    </xf>
    <xf numFmtId="3" fontId="8" fillId="3" borderId="5" xfId="0" applyNumberFormat="1" applyFont="1" applyFill="1" applyBorder="1" applyAlignment="1">
      <alignment horizontal="center" vertical="center"/>
    </xf>
    <xf numFmtId="3" fontId="8" fillId="3" borderId="23" xfId="0" applyNumberFormat="1" applyFont="1" applyFill="1" applyBorder="1" applyAlignment="1">
      <alignment horizontal="center" vertical="center"/>
    </xf>
    <xf numFmtId="3" fontId="8" fillId="8" borderId="23" xfId="0" applyNumberFormat="1" applyFont="1" applyFill="1" applyBorder="1" applyAlignment="1">
      <alignment horizontal="center" vertical="center"/>
    </xf>
    <xf numFmtId="3" fontId="8" fillId="3" borderId="24" xfId="0" applyNumberFormat="1" applyFont="1" applyFill="1" applyBorder="1" applyAlignment="1">
      <alignment horizontal="center" vertical="center"/>
    </xf>
    <xf numFmtId="3" fontId="8" fillId="3" borderId="5" xfId="0" applyNumberFormat="1" applyFont="1" applyFill="1" applyBorder="1"/>
    <xf numFmtId="0" fontId="8" fillId="3" borderId="25" xfId="0" applyFont="1" applyFill="1" applyBorder="1"/>
    <xf numFmtId="0" fontId="8" fillId="3" borderId="10" xfId="0" applyFont="1" applyFill="1" applyBorder="1"/>
    <xf numFmtId="0" fontId="8" fillId="3" borderId="5" xfId="0" applyFont="1" applyFill="1" applyBorder="1"/>
    <xf numFmtId="4" fontId="8" fillId="3" borderId="24" xfId="0" applyNumberFormat="1" applyFont="1" applyFill="1" applyBorder="1"/>
    <xf numFmtId="4" fontId="8" fillId="3" borderId="23" xfId="0" applyNumberFormat="1" applyFont="1" applyFill="1" applyBorder="1"/>
    <xf numFmtId="4" fontId="8" fillId="3" borderId="25" xfId="0" applyNumberFormat="1" applyFont="1" applyFill="1" applyBorder="1"/>
    <xf numFmtId="4" fontId="8" fillId="3" borderId="11" xfId="0" applyNumberFormat="1" applyFont="1" applyFill="1" applyBorder="1" applyAlignment="1">
      <alignment horizontal="center" vertical="center"/>
    </xf>
    <xf numFmtId="3" fontId="8" fillId="8" borderId="0" xfId="0" applyNumberFormat="1" applyFont="1" applyFill="1" applyAlignment="1">
      <alignment horizontal="center" vertical="center"/>
    </xf>
    <xf numFmtId="3" fontId="8" fillId="3" borderId="11" xfId="0" applyNumberFormat="1" applyFont="1" applyFill="1" applyBorder="1"/>
    <xf numFmtId="0" fontId="8" fillId="3" borderId="28" xfId="0" applyFont="1" applyFill="1" applyBorder="1"/>
    <xf numFmtId="0" fontId="8" fillId="3" borderId="29" xfId="0" applyFont="1" applyFill="1" applyBorder="1"/>
    <xf numFmtId="0" fontId="8" fillId="3" borderId="21" xfId="0" applyFont="1" applyFill="1" applyBorder="1"/>
    <xf numFmtId="4" fontId="8" fillId="3" borderId="10" xfId="0" applyNumberFormat="1" applyFont="1" applyFill="1" applyBorder="1"/>
    <xf numFmtId="4" fontId="8" fillId="3" borderId="0" xfId="0" applyNumberFormat="1" applyFont="1" applyFill="1"/>
    <xf numFmtId="4" fontId="8" fillId="3" borderId="26" xfId="0" applyNumberFormat="1" applyFont="1" applyFill="1" applyBorder="1"/>
    <xf numFmtId="4" fontId="8" fillId="3" borderId="21" xfId="0" applyNumberFormat="1" applyFont="1" applyFill="1" applyBorder="1" applyAlignment="1">
      <alignment horizontal="center" vertical="center"/>
    </xf>
    <xf numFmtId="3" fontId="8" fillId="3" borderId="27" xfId="0" applyNumberFormat="1" applyFont="1" applyFill="1" applyBorder="1" applyAlignment="1">
      <alignment horizontal="center" vertical="center"/>
    </xf>
    <xf numFmtId="3" fontId="8" fillId="8" borderId="27" xfId="0" applyNumberFormat="1" applyFont="1" applyFill="1" applyBorder="1" applyAlignment="1">
      <alignment horizontal="center" vertical="center"/>
    </xf>
    <xf numFmtId="3" fontId="8" fillId="3" borderId="29" xfId="0" applyNumberFormat="1" applyFont="1" applyFill="1" applyBorder="1" applyAlignment="1">
      <alignment horizontal="center" vertical="center"/>
    </xf>
    <xf numFmtId="3" fontId="8" fillId="3" borderId="21" xfId="0" applyNumberFormat="1" applyFont="1" applyFill="1" applyBorder="1"/>
    <xf numFmtId="4" fontId="8" fillId="3" borderId="29" xfId="0" applyNumberFormat="1" applyFont="1" applyFill="1" applyBorder="1"/>
    <xf numFmtId="4" fontId="8" fillId="3" borderId="27" xfId="0" applyNumberFormat="1" applyFont="1" applyFill="1" applyBorder="1"/>
    <xf numFmtId="4" fontId="8" fillId="3" borderId="28" xfId="0" applyNumberFormat="1" applyFont="1" applyFill="1" applyBorder="1"/>
    <xf numFmtId="0" fontId="8" fillId="2" borderId="23" xfId="0" applyFont="1" applyFill="1" applyBorder="1"/>
    <xf numFmtId="0" fontId="8" fillId="3" borderId="2" xfId="0" applyFont="1" applyFill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1" fillId="9" borderId="5" xfId="0" applyFont="1" applyFill="1" applyBorder="1"/>
    <xf numFmtId="0" fontId="8" fillId="3" borderId="24" xfId="0" applyFont="1" applyFill="1" applyBorder="1"/>
    <xf numFmtId="0" fontId="8" fillId="3" borderId="25" xfId="0" applyFont="1" applyFill="1" applyBorder="1" applyAlignment="1">
      <alignment horizontal="left"/>
    </xf>
    <xf numFmtId="0" fontId="8" fillId="0" borderId="10" xfId="0" applyFont="1" applyBorder="1" applyAlignment="1">
      <alignment horizontal="center" vertical="center"/>
    </xf>
    <xf numFmtId="2" fontId="8" fillId="10" borderId="24" xfId="0" applyNumberFormat="1" applyFont="1" applyFill="1" applyBorder="1" applyAlignment="1">
      <alignment horizontal="center"/>
    </xf>
    <xf numFmtId="2" fontId="8" fillId="10" borderId="23" xfId="0" applyNumberFormat="1" applyFont="1" applyFill="1" applyBorder="1" applyAlignment="1">
      <alignment horizontal="center" vertical="center"/>
    </xf>
    <xf numFmtId="2" fontId="8" fillId="10" borderId="23" xfId="0" applyNumberFormat="1" applyFont="1" applyFill="1" applyBorder="1" applyAlignment="1">
      <alignment horizontal="center"/>
    </xf>
    <xf numFmtId="0" fontId="8" fillId="10" borderId="25" xfId="0" applyFont="1" applyFill="1" applyBorder="1" applyAlignment="1">
      <alignment horizontal="center"/>
    </xf>
    <xf numFmtId="0" fontId="12" fillId="2" borderId="0" xfId="0" applyFont="1" applyFill="1"/>
    <xf numFmtId="0" fontId="11" fillId="9" borderId="11" xfId="0" applyFont="1" applyFill="1" applyBorder="1"/>
    <xf numFmtId="0" fontId="8" fillId="3" borderId="26" xfId="0" applyFont="1" applyFill="1" applyBorder="1" applyAlignment="1">
      <alignment horizontal="left"/>
    </xf>
    <xf numFmtId="2" fontId="8" fillId="10" borderId="10" xfId="0" applyNumberFormat="1" applyFont="1" applyFill="1" applyBorder="1" applyAlignment="1">
      <alignment horizontal="center"/>
    </xf>
    <xf numFmtId="2" fontId="8" fillId="10" borderId="0" xfId="0" applyNumberFormat="1" applyFont="1" applyFill="1" applyAlignment="1">
      <alignment horizontal="center" vertical="center"/>
    </xf>
    <xf numFmtId="2" fontId="8" fillId="10" borderId="0" xfId="0" applyNumberFormat="1" applyFont="1" applyFill="1" applyAlignment="1">
      <alignment horizontal="center"/>
    </xf>
    <xf numFmtId="0" fontId="8" fillId="10" borderId="26" xfId="0" applyFont="1" applyFill="1" applyBorder="1" applyAlignment="1">
      <alignment horizontal="center"/>
    </xf>
    <xf numFmtId="0" fontId="11" fillId="9" borderId="21" xfId="0" applyFont="1" applyFill="1" applyBorder="1"/>
    <xf numFmtId="0" fontId="1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3" fontId="2" fillId="3" borderId="13" xfId="0" applyNumberFormat="1" applyFont="1" applyFill="1" applyBorder="1"/>
    <xf numFmtId="0" fontId="8" fillId="3" borderId="28" xfId="0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1" fillId="3" borderId="13" xfId="0" applyNumberFormat="1" applyFont="1" applyFill="1" applyBorder="1" applyAlignment="1">
      <alignment horizontal="center"/>
    </xf>
    <xf numFmtId="3" fontId="8" fillId="0" borderId="24" xfId="0" applyNumberFormat="1" applyFont="1" applyBorder="1" applyAlignment="1">
      <alignment horizontal="center" vertical="center"/>
    </xf>
    <xf numFmtId="4" fontId="8" fillId="0" borderId="10" xfId="0" applyNumberFormat="1" applyFont="1" applyBorder="1" applyAlignment="1">
      <alignment horizontal="center" vertical="center"/>
    </xf>
    <xf numFmtId="0" fontId="2" fillId="3" borderId="13" xfId="0" applyFont="1" applyFill="1" applyBorder="1"/>
    <xf numFmtId="0" fontId="2" fillId="3" borderId="0" xfId="0" applyFont="1" applyFill="1"/>
    <xf numFmtId="4" fontId="8" fillId="0" borderId="29" xfId="0" applyNumberFormat="1" applyFont="1" applyBorder="1" applyAlignment="1">
      <alignment horizontal="center" vertical="center"/>
    </xf>
    <xf numFmtId="2" fontId="8" fillId="10" borderId="29" xfId="0" applyNumberFormat="1" applyFont="1" applyFill="1" applyBorder="1" applyAlignment="1">
      <alignment horizontal="center"/>
    </xf>
    <xf numFmtId="2" fontId="8" fillId="10" borderId="27" xfId="0" applyNumberFormat="1" applyFont="1" applyFill="1" applyBorder="1" applyAlignment="1">
      <alignment horizontal="center" vertical="center"/>
    </xf>
    <xf numFmtId="2" fontId="8" fillId="10" borderId="27" xfId="0" applyNumberFormat="1" applyFont="1" applyFill="1" applyBorder="1" applyAlignment="1">
      <alignment horizontal="center"/>
    </xf>
    <xf numFmtId="0" fontId="8" fillId="10" borderId="28" xfId="0" applyFont="1" applyFill="1" applyBorder="1" applyAlignment="1">
      <alignment horizontal="center"/>
    </xf>
    <xf numFmtId="0" fontId="2" fillId="2" borderId="0" xfId="0" applyFont="1" applyFill="1"/>
    <xf numFmtId="0" fontId="9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3" fontId="2" fillId="3" borderId="0" xfId="0" applyNumberFormat="1" applyFont="1" applyFill="1"/>
    <xf numFmtId="0" fontId="8" fillId="8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8" fillId="0" borderId="2" xfId="0" applyFont="1" applyBorder="1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" fillId="8" borderId="24" xfId="0" applyFont="1" applyFill="1" applyBorder="1" applyAlignment="1">
      <alignment horizontal="center"/>
    </xf>
    <xf numFmtId="0" fontId="2" fillId="4" borderId="23" xfId="0" applyFont="1" applyFill="1" applyBorder="1"/>
    <xf numFmtId="0" fontId="2" fillId="8" borderId="23" xfId="0" applyFont="1" applyFill="1" applyBorder="1" applyAlignment="1">
      <alignment horizontal="center"/>
    </xf>
    <xf numFmtId="3" fontId="8" fillId="4" borderId="0" xfId="0" applyNumberFormat="1" applyFont="1" applyFill="1" applyAlignment="1">
      <alignment horizontal="center"/>
    </xf>
    <xf numFmtId="0" fontId="8" fillId="10" borderId="5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3" borderId="10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4" borderId="0" xfId="0" applyFont="1" applyFill="1"/>
    <xf numFmtId="0" fontId="2" fillId="8" borderId="0" xfId="0" applyFont="1" applyFill="1" applyAlignment="1">
      <alignment horizontal="center"/>
    </xf>
    <xf numFmtId="0" fontId="8" fillId="10" borderId="11" xfId="0" applyFont="1" applyFill="1" applyBorder="1" applyAlignment="1">
      <alignment horizontal="center" vertical="center"/>
    </xf>
    <xf numFmtId="0" fontId="8" fillId="3" borderId="26" xfId="0" applyFont="1" applyFill="1" applyBorder="1"/>
    <xf numFmtId="0" fontId="2" fillId="8" borderId="29" xfId="0" applyFont="1" applyFill="1" applyBorder="1" applyAlignment="1">
      <alignment horizontal="center"/>
    </xf>
    <xf numFmtId="0" fontId="2" fillId="4" borderId="27" xfId="0" applyFont="1" applyFill="1" applyBorder="1"/>
    <xf numFmtId="0" fontId="2" fillId="8" borderId="27" xfId="0" applyFont="1" applyFill="1" applyBorder="1" applyAlignment="1">
      <alignment horizontal="center"/>
    </xf>
    <xf numFmtId="3" fontId="8" fillId="0" borderId="5" xfId="0" applyNumberFormat="1" applyFont="1" applyBorder="1" applyAlignment="1">
      <alignment horizontal="center" vertical="center"/>
    </xf>
    <xf numFmtId="3" fontId="8" fillId="4" borderId="23" xfId="0" applyNumberFormat="1" applyFont="1" applyFill="1" applyBorder="1" applyAlignment="1">
      <alignment horizontal="center"/>
    </xf>
    <xf numFmtId="3" fontId="8" fillId="10" borderId="5" xfId="0" applyNumberFormat="1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center" vertical="center"/>
    </xf>
    <xf numFmtId="0" fontId="8" fillId="10" borderId="25" xfId="0" applyFont="1" applyFill="1" applyBorder="1" applyAlignment="1">
      <alignment horizontal="center" vertical="center"/>
    </xf>
    <xf numFmtId="3" fontId="8" fillId="3" borderId="26" xfId="0" applyNumberFormat="1" applyFont="1" applyFill="1" applyBorder="1"/>
    <xf numFmtId="4" fontId="8" fillId="0" borderId="11" xfId="0" applyNumberFormat="1" applyFont="1" applyBorder="1" applyAlignment="1">
      <alignment horizontal="center" vertical="center"/>
    </xf>
    <xf numFmtId="4" fontId="8" fillId="10" borderId="11" xfId="0" applyNumberFormat="1" applyFont="1" applyFill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4" fontId="8" fillId="0" borderId="21" xfId="0" applyNumberFormat="1" applyFont="1" applyBorder="1" applyAlignment="1">
      <alignment horizontal="center" vertical="center"/>
    </xf>
    <xf numFmtId="3" fontId="8" fillId="4" borderId="27" xfId="0" applyNumberFormat="1" applyFont="1" applyFill="1" applyBorder="1" applyAlignment="1">
      <alignment horizontal="center"/>
    </xf>
    <xf numFmtId="4" fontId="8" fillId="10" borderId="21" xfId="0" applyNumberFormat="1" applyFont="1" applyFill="1" applyBorder="1" applyAlignment="1">
      <alignment horizontal="center" vertical="center"/>
    </xf>
    <xf numFmtId="0" fontId="8" fillId="10" borderId="27" xfId="0" applyFont="1" applyFill="1" applyBorder="1" applyAlignment="1">
      <alignment horizontal="center" vertical="center"/>
    </xf>
    <xf numFmtId="0" fontId="8" fillId="10" borderId="2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0" fontId="8" fillId="2" borderId="2" xfId="0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/>
    <xf numFmtId="0" fontId="8" fillId="3" borderId="26" xfId="0" applyFont="1" applyFill="1" applyBorder="1" applyAlignment="1">
      <alignment horizontal="center"/>
    </xf>
    <xf numFmtId="0" fontId="8" fillId="8" borderId="26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8" fillId="8" borderId="10" xfId="0" applyFont="1" applyFill="1" applyBorder="1" applyAlignment="1">
      <alignment horizontal="center"/>
    </xf>
    <xf numFmtId="3" fontId="8" fillId="8" borderId="11" xfId="0" applyNumberFormat="1" applyFont="1" applyFill="1" applyBorder="1" applyAlignment="1">
      <alignment horizontal="center"/>
    </xf>
    <xf numFmtId="0" fontId="8" fillId="11" borderId="11" xfId="0" applyFont="1" applyFill="1" applyBorder="1"/>
    <xf numFmtId="10" fontId="8" fillId="3" borderId="10" xfId="0" applyNumberFormat="1" applyFont="1" applyFill="1" applyBorder="1" applyAlignment="1">
      <alignment horizontal="center"/>
    </xf>
    <xf numFmtId="0" fontId="8" fillId="8" borderId="28" xfId="0" applyFont="1" applyFill="1" applyBorder="1" applyAlignment="1">
      <alignment horizontal="center"/>
    </xf>
    <xf numFmtId="0" fontId="8" fillId="11" borderId="21" xfId="0" applyFont="1" applyFill="1" applyBorder="1"/>
    <xf numFmtId="0" fontId="8" fillId="3" borderId="28" xfId="0" applyFont="1" applyFill="1" applyBorder="1" applyAlignment="1">
      <alignment horizontal="center"/>
    </xf>
    <xf numFmtId="10" fontId="8" fillId="3" borderId="29" xfId="0" applyNumberFormat="1" applyFont="1" applyFill="1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/>
    </xf>
    <xf numFmtId="0" fontId="8" fillId="3" borderId="4" xfId="0" applyFont="1" applyFill="1" applyBorder="1"/>
    <xf numFmtId="0" fontId="8" fillId="3" borderId="4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/>
    </xf>
    <xf numFmtId="2" fontId="8" fillId="3" borderId="0" xfId="0" applyNumberFormat="1" applyFont="1" applyFill="1" applyAlignment="1">
      <alignment horizontal="center"/>
    </xf>
    <xf numFmtId="4" fontId="8" fillId="3" borderId="0" xfId="0" applyNumberFormat="1" applyFont="1" applyFill="1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8" fillId="3" borderId="0" xfId="0" applyNumberFormat="1" applyFont="1" applyFill="1" applyAlignment="1">
      <alignment horizontal="center" vertical="center"/>
    </xf>
    <xf numFmtId="0" fontId="8" fillId="4" borderId="27" xfId="0" applyFont="1" applyFill="1" applyBorder="1" applyAlignment="1">
      <alignment horizontal="center"/>
    </xf>
    <xf numFmtId="2" fontId="8" fillId="3" borderId="27" xfId="0" applyNumberFormat="1" applyFont="1" applyFill="1" applyBorder="1" applyAlignment="1">
      <alignment horizontal="center"/>
    </xf>
    <xf numFmtId="4" fontId="8" fillId="3" borderId="27" xfId="0" applyNumberFormat="1" applyFont="1" applyFill="1" applyBorder="1" applyAlignment="1">
      <alignment horizontal="center"/>
    </xf>
    <xf numFmtId="0" fontId="8" fillId="4" borderId="27" xfId="0" applyFont="1" applyFill="1" applyBorder="1" applyAlignment="1">
      <alignment horizontal="center" vertical="center"/>
    </xf>
    <xf numFmtId="2" fontId="8" fillId="3" borderId="26" xfId="0" applyNumberFormat="1" applyFont="1" applyFill="1" applyBorder="1" applyAlignment="1">
      <alignment horizontal="center"/>
    </xf>
    <xf numFmtId="4" fontId="8" fillId="3" borderId="27" xfId="0" applyNumberFormat="1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8" fillId="4" borderId="23" xfId="0" applyFont="1" applyFill="1" applyBorder="1"/>
    <xf numFmtId="0" fontId="8" fillId="4" borderId="25" xfId="0" applyFont="1" applyFill="1" applyBorder="1"/>
    <xf numFmtId="0" fontId="8" fillId="4" borderId="26" xfId="0" applyFont="1" applyFill="1" applyBorder="1"/>
    <xf numFmtId="3" fontId="8" fillId="3" borderId="0" xfId="0" applyNumberFormat="1" applyFont="1" applyFill="1" applyAlignment="1">
      <alignment horizontal="center"/>
    </xf>
    <xf numFmtId="0" fontId="8" fillId="4" borderId="27" xfId="0" applyFont="1" applyFill="1" applyBorder="1"/>
    <xf numFmtId="0" fontId="8" fillId="4" borderId="28" xfId="0" applyFont="1" applyFill="1" applyBorder="1"/>
    <xf numFmtId="0" fontId="8" fillId="2" borderId="2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center"/>
    </xf>
    <xf numFmtId="3" fontId="8" fillId="0" borderId="0" xfId="0" applyNumberFormat="1" applyFont="1"/>
    <xf numFmtId="0" fontId="9" fillId="2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/>
    </xf>
    <xf numFmtId="0" fontId="8" fillId="2" borderId="11" xfId="0" applyFont="1" applyFill="1" applyBorder="1"/>
    <xf numFmtId="0" fontId="8" fillId="0" borderId="24" xfId="0" applyFont="1" applyBorder="1" applyAlignment="1">
      <alignment horizontal="right" vertical="center"/>
    </xf>
    <xf numFmtId="0" fontId="8" fillId="0" borderId="25" xfId="0" applyFont="1" applyBorder="1" applyAlignment="1">
      <alignment vertical="center"/>
    </xf>
    <xf numFmtId="0" fontId="8" fillId="0" borderId="1" xfId="0" applyFont="1" applyBorder="1"/>
    <xf numFmtId="10" fontId="8" fillId="3" borderId="10" xfId="0" applyNumberFormat="1" applyFont="1" applyFill="1" applyBorder="1" applyAlignment="1">
      <alignment horizontal="center" vertical="center"/>
    </xf>
    <xf numFmtId="10" fontId="8" fillId="3" borderId="0" xfId="0" applyNumberFormat="1" applyFont="1" applyFill="1" applyAlignment="1">
      <alignment horizontal="center" vertical="center"/>
    </xf>
    <xf numFmtId="10" fontId="8" fillId="3" borderId="0" xfId="0" applyNumberFormat="1" applyFont="1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/>
    </xf>
    <xf numFmtId="0" fontId="8" fillId="0" borderId="25" xfId="0" applyFont="1" applyBorder="1" applyAlignment="1">
      <alignment horizontal="left" vertical="center"/>
    </xf>
    <xf numFmtId="0" fontId="8" fillId="0" borderId="10" xfId="0" applyFont="1" applyBorder="1" applyAlignment="1">
      <alignment horizontal="right" vertical="center"/>
    </xf>
    <xf numFmtId="0" fontId="8" fillId="0" borderId="26" xfId="0" applyFont="1" applyBorder="1" applyAlignment="1">
      <alignment horizontal="left" vertical="center"/>
    </xf>
    <xf numFmtId="3" fontId="8" fillId="0" borderId="1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vertical="center"/>
    </xf>
    <xf numFmtId="10" fontId="8" fillId="3" borderId="27" xfId="0" applyNumberFormat="1" applyFont="1" applyFill="1" applyBorder="1" applyAlignment="1">
      <alignment horizontal="center"/>
    </xf>
    <xf numFmtId="10" fontId="8" fillId="0" borderId="27" xfId="0" applyNumberFormat="1" applyFont="1" applyBorder="1" applyAlignment="1">
      <alignment horizontal="center" vertical="center"/>
    </xf>
    <xf numFmtId="10" fontId="8" fillId="0" borderId="27" xfId="0" applyNumberFormat="1" applyFont="1" applyBorder="1" applyAlignment="1">
      <alignment horizontal="center"/>
    </xf>
    <xf numFmtId="0" fontId="8" fillId="2" borderId="27" xfId="0" applyFont="1" applyFill="1" applyBorder="1"/>
    <xf numFmtId="0" fontId="8" fillId="2" borderId="28" xfId="0" applyFont="1" applyFill="1" applyBorder="1"/>
    <xf numFmtId="0" fontId="8" fillId="10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/>
    </xf>
    <xf numFmtId="0" fontId="8" fillId="0" borderId="27" xfId="0" applyFont="1" applyBorder="1" applyAlignment="1">
      <alignment horizontal="center"/>
    </xf>
    <xf numFmtId="2" fontId="8" fillId="3" borderId="0" xfId="0" applyNumberFormat="1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3" fontId="8" fillId="0" borderId="11" xfId="0" applyNumberFormat="1" applyFont="1" applyBorder="1" applyAlignment="1">
      <alignment horizontal="center" vertical="center"/>
    </xf>
    <xf numFmtId="0" fontId="8" fillId="12" borderId="2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12" borderId="3" xfId="0" applyFont="1" applyFill="1" applyBorder="1" applyAlignment="1">
      <alignment horizontal="center"/>
    </xf>
    <xf numFmtId="3" fontId="8" fillId="12" borderId="3" xfId="0" applyNumberFormat="1" applyFont="1" applyFill="1" applyBorder="1" applyAlignment="1">
      <alignment horizontal="center"/>
    </xf>
    <xf numFmtId="4" fontId="8" fillId="12" borderId="3" xfId="0" applyNumberFormat="1" applyFont="1" applyFill="1" applyBorder="1" applyAlignment="1">
      <alignment horizontal="center"/>
    </xf>
    <xf numFmtId="4" fontId="8" fillId="12" borderId="4" xfId="0" applyNumberFormat="1" applyFont="1" applyFill="1" applyBorder="1" applyAlignment="1">
      <alignment horizontal="center"/>
    </xf>
    <xf numFmtId="2" fontId="8" fillId="3" borderId="23" xfId="0" applyNumberFormat="1" applyFont="1" applyFill="1" applyBorder="1" applyAlignment="1">
      <alignment horizontal="center" vertical="center"/>
    </xf>
    <xf numFmtId="10" fontId="8" fillId="0" borderId="23" xfId="0" applyNumberFormat="1" applyFont="1" applyBorder="1" applyAlignment="1">
      <alignment horizontal="center" vertical="center"/>
    </xf>
    <xf numFmtId="2" fontId="8" fillId="3" borderId="10" xfId="0" applyNumberFormat="1" applyFont="1" applyFill="1" applyBorder="1" applyAlignment="1">
      <alignment horizontal="center"/>
    </xf>
    <xf numFmtId="0" fontId="8" fillId="12" borderId="10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8" fillId="12" borderId="26" xfId="0" applyFont="1" applyFill="1" applyBorder="1" applyAlignment="1">
      <alignment horizontal="center"/>
    </xf>
    <xf numFmtId="3" fontId="8" fillId="0" borderId="29" xfId="0" applyNumberFormat="1" applyFont="1" applyBorder="1" applyAlignment="1">
      <alignment horizontal="center" vertical="center"/>
    </xf>
    <xf numFmtId="2" fontId="8" fillId="3" borderId="27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15" fillId="2" borderId="0" xfId="0" applyFont="1" applyFill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8" fillId="0" borderId="26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3" fontId="8" fillId="3" borderId="10" xfId="0" applyNumberFormat="1" applyFont="1" applyFill="1" applyBorder="1" applyAlignment="1">
      <alignment horizontal="center"/>
    </xf>
    <xf numFmtId="3" fontId="8" fillId="0" borderId="10" xfId="0" applyNumberFormat="1" applyFont="1" applyBorder="1" applyAlignment="1">
      <alignment horizontal="center"/>
    </xf>
    <xf numFmtId="4" fontId="8" fillId="3" borderId="10" xfId="0" applyNumberFormat="1" applyFont="1" applyFill="1" applyBorder="1" applyAlignment="1">
      <alignment horizontal="center"/>
    </xf>
    <xf numFmtId="4" fontId="8" fillId="0" borderId="10" xfId="0" applyNumberFormat="1" applyFont="1" applyBorder="1" applyAlignment="1">
      <alignment horizontal="center"/>
    </xf>
    <xf numFmtId="0" fontId="14" fillId="2" borderId="0" xfId="0" applyFont="1" applyFill="1"/>
    <xf numFmtId="4" fontId="8" fillId="3" borderId="29" xfId="0" applyNumberFormat="1" applyFont="1" applyFill="1" applyBorder="1" applyAlignment="1">
      <alignment horizontal="center"/>
    </xf>
    <xf numFmtId="0" fontId="8" fillId="0" borderId="28" xfId="0" applyFont="1" applyBorder="1" applyAlignment="1">
      <alignment horizontal="center"/>
    </xf>
    <xf numFmtId="4" fontId="8" fillId="0" borderId="29" xfId="0" applyNumberFormat="1" applyFont="1" applyBorder="1" applyAlignment="1">
      <alignment horizontal="center"/>
    </xf>
    <xf numFmtId="0" fontId="8" fillId="2" borderId="2" xfId="0" applyFont="1" applyFill="1" applyBorder="1" applyAlignment="1">
      <alignment vertical="center"/>
    </xf>
    <xf numFmtId="0" fontId="8" fillId="0" borderId="3" xfId="0" applyFont="1" applyBorder="1"/>
    <xf numFmtId="0" fontId="8" fillId="0" borderId="11" xfId="0" applyFont="1" applyBorder="1" applyAlignment="1">
      <alignment horizontal="center"/>
    </xf>
    <xf numFmtId="0" fontId="8" fillId="0" borderId="26" xfId="0" applyFont="1" applyBorder="1" applyAlignment="1">
      <alignment horizontal="center" vertical="center"/>
    </xf>
    <xf numFmtId="10" fontId="8" fillId="0" borderId="10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26" xfId="0" applyNumberFormat="1" applyFont="1" applyBorder="1" applyAlignment="1">
      <alignment horizontal="center"/>
    </xf>
    <xf numFmtId="4" fontId="8" fillId="10" borderId="10" xfId="0" applyNumberFormat="1" applyFont="1" applyFill="1" applyBorder="1" applyAlignment="1">
      <alignment horizontal="center"/>
    </xf>
    <xf numFmtId="4" fontId="8" fillId="10" borderId="0" xfId="0" applyNumberFormat="1" applyFont="1" applyFill="1" applyAlignment="1">
      <alignment horizontal="center"/>
    </xf>
    <xf numFmtId="2" fontId="8" fillId="10" borderId="26" xfId="0" applyNumberFormat="1" applyFont="1" applyFill="1" applyBorder="1" applyAlignment="1">
      <alignment horizontal="center"/>
    </xf>
    <xf numFmtId="0" fontId="8" fillId="2" borderId="30" xfId="0" applyFont="1" applyFill="1" applyBorder="1" applyAlignment="1">
      <alignment vertical="center"/>
    </xf>
    <xf numFmtId="0" fontId="8" fillId="2" borderId="31" xfId="0" applyFont="1" applyFill="1" applyBorder="1" applyAlignment="1">
      <alignment vertical="center"/>
    </xf>
    <xf numFmtId="0" fontId="8" fillId="2" borderId="31" xfId="0" applyFont="1" applyFill="1" applyBorder="1"/>
    <xf numFmtId="0" fontId="8" fillId="2" borderId="32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3" borderId="21" xfId="0" applyFont="1" applyFill="1" applyBorder="1" applyAlignment="1">
      <alignment horizontal="center"/>
    </xf>
    <xf numFmtId="2" fontId="8" fillId="0" borderId="5" xfId="0" applyNumberFormat="1" applyFont="1" applyBorder="1" applyAlignment="1">
      <alignment horizontal="center" vertical="center"/>
    </xf>
    <xf numFmtId="0" fontId="2" fillId="0" borderId="5" xfId="0" applyFont="1" applyBorder="1"/>
    <xf numFmtId="4" fontId="8" fillId="3" borderId="10" xfId="0" applyNumberFormat="1" applyFont="1" applyFill="1" applyBorder="1" applyAlignment="1">
      <alignment horizontal="center" vertical="center"/>
    </xf>
    <xf numFmtId="4" fontId="8" fillId="3" borderId="26" xfId="0" applyNumberFormat="1" applyFont="1" applyFill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 vertical="center"/>
    </xf>
    <xf numFmtId="0" fontId="8" fillId="0" borderId="26" xfId="0" applyFont="1" applyBorder="1"/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1" xfId="0" applyFont="1" applyBorder="1"/>
    <xf numFmtId="0" fontId="2" fillId="0" borderId="10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14" fillId="3" borderId="11" xfId="0" applyFont="1" applyFill="1" applyBorder="1"/>
    <xf numFmtId="0" fontId="2" fillId="0" borderId="29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6" fillId="3" borderId="0" xfId="0" applyFont="1" applyFill="1" applyAlignment="1">
      <alignment vertical="center"/>
    </xf>
    <xf numFmtId="2" fontId="8" fillId="0" borderId="21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0" fontId="8" fillId="0" borderId="29" xfId="0" applyNumberFormat="1" applyFont="1" applyBorder="1" applyAlignment="1">
      <alignment horizontal="center"/>
    </xf>
    <xf numFmtId="0" fontId="8" fillId="0" borderId="28" xfId="0" applyFont="1" applyBorder="1"/>
    <xf numFmtId="4" fontId="8" fillId="3" borderId="23" xfId="0" applyNumberFormat="1" applyFont="1" applyFill="1" applyBorder="1" applyAlignment="1">
      <alignment horizontal="center" vertical="center"/>
    </xf>
    <xf numFmtId="0" fontId="14" fillId="3" borderId="21" xfId="0" applyFont="1" applyFill="1" applyBorder="1"/>
    <xf numFmtId="4" fontId="8" fillId="3" borderId="0" xfId="0" applyNumberFormat="1" applyFont="1" applyFill="1" applyAlignment="1">
      <alignment vertical="center"/>
    </xf>
    <xf numFmtId="0" fontId="8" fillId="0" borderId="29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2" fontId="8" fillId="2" borderId="0" xfId="0" applyNumberFormat="1" applyFont="1" applyFill="1" applyAlignment="1">
      <alignment horizontal="center" vertical="center"/>
    </xf>
    <xf numFmtId="2" fontId="8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center" vertical="center"/>
    </xf>
    <xf numFmtId="10" fontId="2" fillId="0" borderId="0" xfId="0" applyNumberFormat="1" applyFont="1" applyAlignment="1">
      <alignment horizontal="center"/>
    </xf>
    <xf numFmtId="2" fontId="8" fillId="0" borderId="23" xfId="0" applyNumberFormat="1" applyFont="1" applyBorder="1" applyAlignment="1">
      <alignment horizontal="center" vertical="center"/>
    </xf>
    <xf numFmtId="2" fontId="8" fillId="0" borderId="26" xfId="0" applyNumberFormat="1" applyFont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2" fontId="8" fillId="0" borderId="10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8" fillId="0" borderId="29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center" vertical="center"/>
    </xf>
    <xf numFmtId="10" fontId="8" fillId="4" borderId="0" xfId="0" applyNumberFormat="1" applyFont="1" applyFill="1" applyAlignment="1">
      <alignment horizontal="center"/>
    </xf>
    <xf numFmtId="0" fontId="8" fillId="3" borderId="11" xfId="0" applyFont="1" applyFill="1" applyBorder="1" applyAlignment="1">
      <alignment horizontal="left"/>
    </xf>
    <xf numFmtId="2" fontId="8" fillId="3" borderId="25" xfId="0" applyNumberFormat="1" applyFont="1" applyFill="1" applyBorder="1" applyAlignment="1">
      <alignment horizontal="center" vertical="center"/>
    </xf>
    <xf numFmtId="2" fontId="8" fillId="3" borderId="26" xfId="0" applyNumberFormat="1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left"/>
    </xf>
    <xf numFmtId="2" fontId="8" fillId="3" borderId="28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/>
    </xf>
    <xf numFmtId="2" fontId="8" fillId="0" borderId="28" xfId="0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10" fontId="8" fillId="2" borderId="0" xfId="0" applyNumberFormat="1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26" xfId="0" applyNumberFormat="1" applyFont="1" applyBorder="1" applyAlignment="1">
      <alignment horizontal="center" vertical="center"/>
    </xf>
    <xf numFmtId="10" fontId="8" fillId="0" borderId="26" xfId="0" applyNumberFormat="1" applyFont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10" fontId="8" fillId="4" borderId="23" xfId="0" applyNumberFormat="1" applyFont="1" applyFill="1" applyBorder="1" applyAlignment="1">
      <alignment horizontal="center" vertical="center"/>
    </xf>
    <xf numFmtId="10" fontId="8" fillId="4" borderId="23" xfId="0" applyNumberFormat="1" applyFont="1" applyFill="1" applyBorder="1"/>
    <xf numFmtId="10" fontId="8" fillId="0" borderId="23" xfId="0" applyNumberFormat="1" applyFont="1" applyBorder="1"/>
    <xf numFmtId="10" fontId="8" fillId="0" borderId="25" xfId="0" applyNumberFormat="1" applyFont="1" applyBorder="1" applyAlignment="1">
      <alignment horizontal="center" vertical="center"/>
    </xf>
    <xf numFmtId="10" fontId="8" fillId="4" borderId="10" xfId="0" applyNumberFormat="1" applyFont="1" applyFill="1" applyBorder="1" applyAlignment="1">
      <alignment horizontal="center" vertical="center"/>
    </xf>
    <xf numFmtId="10" fontId="8" fillId="4" borderId="0" xfId="0" applyNumberFormat="1" applyFont="1" applyFill="1" applyAlignment="1">
      <alignment horizontal="center" vertical="center"/>
    </xf>
    <xf numFmtId="10" fontId="8" fillId="4" borderId="0" xfId="0" applyNumberFormat="1" applyFont="1" applyFill="1"/>
    <xf numFmtId="10" fontId="8" fillId="0" borderId="11" xfId="0" applyNumberFormat="1" applyFont="1" applyBorder="1" applyAlignment="1">
      <alignment horizontal="center" vertical="center"/>
    </xf>
    <xf numFmtId="10" fontId="8" fillId="0" borderId="0" xfId="0" applyNumberFormat="1" applyFont="1"/>
    <xf numFmtId="10" fontId="8" fillId="4" borderId="29" xfId="0" applyNumberFormat="1" applyFont="1" applyFill="1" applyBorder="1" applyAlignment="1">
      <alignment horizontal="center" vertical="center"/>
    </xf>
    <xf numFmtId="10" fontId="8" fillId="4" borderId="27" xfId="0" applyNumberFormat="1" applyFont="1" applyFill="1" applyBorder="1" applyAlignment="1">
      <alignment horizontal="center" vertical="center"/>
    </xf>
    <xf numFmtId="10" fontId="8" fillId="4" borderId="27" xfId="0" applyNumberFormat="1" applyFont="1" applyFill="1" applyBorder="1"/>
    <xf numFmtId="10" fontId="8" fillId="0" borderId="21" xfId="0" applyNumberFormat="1" applyFont="1" applyBorder="1" applyAlignment="1">
      <alignment horizontal="center" vertical="center"/>
    </xf>
    <xf numFmtId="10" fontId="8" fillId="0" borderId="27" xfId="0" applyNumberFormat="1" applyFont="1" applyBorder="1"/>
    <xf numFmtId="10" fontId="8" fillId="0" borderId="2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10" fontId="8" fillId="8" borderId="0" xfId="0" applyNumberFormat="1" applyFont="1" applyFill="1" applyAlignment="1">
      <alignment horizontal="center" vertical="center"/>
    </xf>
    <xf numFmtId="10" fontId="8" fillId="8" borderId="0" xfId="0" applyNumberFormat="1" applyFont="1" applyFill="1"/>
    <xf numFmtId="10" fontId="8" fillId="8" borderId="26" xfId="0" applyNumberFormat="1" applyFont="1" applyFill="1" applyBorder="1" applyAlignment="1">
      <alignment horizontal="center" vertical="center"/>
    </xf>
    <xf numFmtId="10" fontId="8" fillId="8" borderId="10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right"/>
    </xf>
    <xf numFmtId="10" fontId="2" fillId="0" borderId="0" xfId="0" applyNumberFormat="1" applyFont="1" applyAlignment="1">
      <alignment horizontal="right"/>
    </xf>
    <xf numFmtId="0" fontId="8" fillId="0" borderId="0" xfId="0" applyFont="1" applyAlignment="1">
      <alignment horizontal="left" vertical="center"/>
    </xf>
    <xf numFmtId="0" fontId="9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horizontal="left" vertical="center"/>
    </xf>
    <xf numFmtId="10" fontId="8" fillId="8" borderId="29" xfId="0" applyNumberFormat="1" applyFont="1" applyFill="1" applyBorder="1" applyAlignment="1">
      <alignment horizontal="center" vertical="center"/>
    </xf>
    <xf numFmtId="10" fontId="8" fillId="8" borderId="27" xfId="0" applyNumberFormat="1" applyFont="1" applyFill="1" applyBorder="1" applyAlignment="1">
      <alignment horizontal="center" vertical="center"/>
    </xf>
    <xf numFmtId="10" fontId="8" fillId="8" borderId="28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3" fontId="8" fillId="0" borderId="3" xfId="0" applyNumberFormat="1" applyFont="1" applyBorder="1" applyAlignment="1">
      <alignment horizontal="center"/>
    </xf>
    <xf numFmtId="4" fontId="8" fillId="0" borderId="3" xfId="0" applyNumberFormat="1" applyFont="1" applyBorder="1" applyAlignment="1">
      <alignment horizontal="center"/>
    </xf>
    <xf numFmtId="0" fontId="8" fillId="8" borderId="29" xfId="0" applyFont="1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8" fillId="13" borderId="0" xfId="0" applyFont="1" applyFill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3" fontId="2" fillId="3" borderId="24" xfId="0" applyNumberFormat="1" applyFont="1" applyFill="1" applyBorder="1" applyAlignment="1">
      <alignment horizontal="center" vertical="center"/>
    </xf>
    <xf numFmtId="3" fontId="2" fillId="3" borderId="25" xfId="0" applyNumberFormat="1" applyFont="1" applyFill="1" applyBorder="1" applyAlignment="1">
      <alignment horizontal="center" vertical="center"/>
    </xf>
    <xf numFmtId="3" fontId="8" fillId="3" borderId="26" xfId="0" applyNumberFormat="1" applyFont="1" applyFill="1" applyBorder="1" applyAlignment="1">
      <alignment horizontal="center" vertical="center"/>
    </xf>
    <xf numFmtId="3" fontId="2" fillId="3" borderId="10" xfId="0" applyNumberFormat="1" applyFont="1" applyFill="1" applyBorder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3" fontId="2" fillId="3" borderId="26" xfId="0" applyNumberFormat="1" applyFont="1" applyFill="1" applyBorder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 wrapText="1"/>
    </xf>
    <xf numFmtId="4" fontId="2" fillId="13" borderId="0" xfId="0" applyNumberFormat="1" applyFont="1" applyFill="1" applyAlignment="1">
      <alignment horizontal="center" vertical="center" wrapText="1"/>
    </xf>
    <xf numFmtId="3" fontId="2" fillId="3" borderId="29" xfId="0" applyNumberFormat="1" applyFont="1" applyFill="1" applyBorder="1" applyAlignment="1">
      <alignment horizontal="center" vertical="center"/>
    </xf>
    <xf numFmtId="3" fontId="2" fillId="3" borderId="28" xfId="0" applyNumberFormat="1" applyFont="1" applyFill="1" applyBorder="1" applyAlignment="1">
      <alignment horizontal="center" vertical="center"/>
    </xf>
    <xf numFmtId="3" fontId="8" fillId="3" borderId="28" xfId="0" applyNumberFormat="1" applyFont="1" applyFill="1" applyBorder="1" applyAlignment="1">
      <alignment horizontal="center" vertical="center"/>
    </xf>
    <xf numFmtId="3" fontId="2" fillId="3" borderId="27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0" fontId="8" fillId="8" borderId="0" xfId="0" applyFont="1" applyFill="1" applyAlignment="1">
      <alignment vertical="center"/>
    </xf>
    <xf numFmtId="10" fontId="8" fillId="8" borderId="26" xfId="0" applyNumberFormat="1" applyFont="1" applyFill="1" applyBorder="1" applyAlignment="1">
      <alignment vertical="center"/>
    </xf>
    <xf numFmtId="0" fontId="8" fillId="3" borderId="10" xfId="0" applyFont="1" applyFill="1" applyBorder="1" applyAlignment="1">
      <alignment vertical="center"/>
    </xf>
    <xf numFmtId="0" fontId="8" fillId="3" borderId="26" xfId="0" applyFont="1" applyFill="1" applyBorder="1" applyAlignment="1">
      <alignment vertical="center"/>
    </xf>
    <xf numFmtId="10" fontId="8" fillId="3" borderId="26" xfId="0" applyNumberFormat="1" applyFont="1" applyFill="1" applyBorder="1" applyAlignment="1">
      <alignment vertical="center"/>
    </xf>
    <xf numFmtId="0" fontId="8" fillId="3" borderId="23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vertical="center"/>
    </xf>
    <xf numFmtId="0" fontId="8" fillId="8" borderId="27" xfId="0" applyFont="1" applyFill="1" applyBorder="1" applyAlignment="1">
      <alignment vertical="center"/>
    </xf>
    <xf numFmtId="10" fontId="8" fillId="8" borderId="28" xfId="0" applyNumberFormat="1" applyFont="1" applyFill="1" applyBorder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8" fillId="0" borderId="5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9" fontId="8" fillId="0" borderId="0" xfId="0" applyNumberFormat="1" applyFont="1"/>
    <xf numFmtId="4" fontId="8" fillId="0" borderId="0" xfId="0" applyNumberFormat="1" applyFont="1"/>
    <xf numFmtId="0" fontId="8" fillId="0" borderId="29" xfId="0" applyFont="1" applyBorder="1" applyAlignment="1">
      <alignment horizontal="center"/>
    </xf>
    <xf numFmtId="0" fontId="2" fillId="0" borderId="13" xfId="0" applyFont="1" applyBorder="1"/>
    <xf numFmtId="0" fontId="2" fillId="4" borderId="0" xfId="0" applyFont="1" applyFill="1" applyAlignment="1">
      <alignment horizontal="left" vertical="center"/>
    </xf>
    <xf numFmtId="0" fontId="0" fillId="0" borderId="0" xfId="0"/>
    <xf numFmtId="0" fontId="4" fillId="0" borderId="26" xfId="0" applyFont="1" applyBorder="1"/>
    <xf numFmtId="0" fontId="2" fillId="4" borderId="27" xfId="0" applyFont="1" applyFill="1" applyBorder="1" applyAlignment="1">
      <alignment horizontal="left" vertical="center"/>
    </xf>
    <xf numFmtId="0" fontId="4" fillId="0" borderId="27" xfId="0" applyFont="1" applyBorder="1"/>
    <xf numFmtId="0" fontId="4" fillId="0" borderId="28" xfId="0" applyFont="1" applyBorder="1"/>
    <xf numFmtId="0" fontId="8" fillId="2" borderId="0" xfId="0" applyFont="1" applyFill="1" applyAlignment="1">
      <alignment vertical="center"/>
    </xf>
    <xf numFmtId="0" fontId="3" fillId="4" borderId="24" xfId="0" applyFont="1" applyFill="1" applyBorder="1" applyAlignment="1">
      <alignment horizontal="center" vertical="center"/>
    </xf>
    <xf numFmtId="0" fontId="4" fillId="0" borderId="23" xfId="0" applyFont="1" applyBorder="1"/>
    <xf numFmtId="0" fontId="4" fillId="0" borderId="25" xfId="0" applyFont="1" applyBorder="1"/>
    <xf numFmtId="0" fontId="9" fillId="4" borderId="23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left" vertical="center"/>
    </xf>
    <xf numFmtId="0" fontId="2" fillId="4" borderId="23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2" fillId="4" borderId="27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11" xfId="0" applyFont="1" applyBorder="1"/>
    <xf numFmtId="0" fontId="4" fillId="0" borderId="21" xfId="0" applyFont="1" applyBorder="1"/>
    <xf numFmtId="3" fontId="2" fillId="0" borderId="7" xfId="0" applyNumberFormat="1" applyFont="1" applyBorder="1" applyAlignment="1">
      <alignment horizontal="center" vertical="center"/>
    </xf>
    <xf numFmtId="0" fontId="4" fillId="0" borderId="7" xfId="0" applyFont="1" applyBorder="1"/>
    <xf numFmtId="0" fontId="4" fillId="0" borderId="15" xfId="0" applyFont="1" applyBorder="1"/>
    <xf numFmtId="0" fontId="3" fillId="3" borderId="2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right" vertical="center"/>
    </xf>
    <xf numFmtId="0" fontId="9" fillId="0" borderId="24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0" fontId="8" fillId="3" borderId="23" xfId="0" applyNumberFormat="1" applyFont="1" applyFill="1" applyBorder="1" applyAlignment="1">
      <alignment horizontal="center" vertical="center"/>
    </xf>
    <xf numFmtId="10" fontId="8" fillId="3" borderId="27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10" xfId="0" applyFont="1" applyBorder="1"/>
    <xf numFmtId="0" fontId="4" fillId="0" borderId="29" xfId="0" applyFont="1" applyBorder="1"/>
    <xf numFmtId="0" fontId="8" fillId="0" borderId="2" xfId="0" applyFont="1" applyBorder="1"/>
    <xf numFmtId="0" fontId="8" fillId="3" borderId="29" xfId="0" quotePrefix="1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3" borderId="2" xfId="0" applyFont="1" applyFill="1" applyBorder="1"/>
    <xf numFmtId="0" fontId="8" fillId="0" borderId="2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3" borderId="10" xfId="0" applyFont="1" applyFill="1" applyBorder="1"/>
    <xf numFmtId="0" fontId="8" fillId="3" borderId="29" xfId="0" applyFont="1" applyFill="1" applyBorder="1"/>
    <xf numFmtId="0" fontId="8" fillId="2" borderId="0" xfId="0" applyFont="1" applyFill="1"/>
    <xf numFmtId="0" fontId="8" fillId="3" borderId="24" xfId="0" applyFont="1" applyFill="1" applyBorder="1"/>
    <xf numFmtId="0" fontId="13" fillId="8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wrapText="1"/>
    </xf>
    <xf numFmtId="0" fontId="8" fillId="3" borderId="24" xfId="0" applyFont="1" applyFill="1" applyBorder="1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8" fillId="12" borderId="2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29" xfId="0" applyFont="1" applyBorder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7" fillId="14" borderId="2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86">
    <dxf>
      <fill>
        <patternFill patternType="solid">
          <fgColor rgb="FF93C47D"/>
          <bgColor rgb="FF93C47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6B26B"/>
          <bgColor rgb="FFF6B26B"/>
        </patternFill>
      </fill>
    </dxf>
    <dxf>
      <font>
        <b/>
        <color rgb="FFCC0000"/>
      </font>
      <fill>
        <patternFill patternType="solid">
          <fgColor rgb="FFF4CCCC"/>
          <bgColor rgb="FFF4CCCC"/>
        </patternFill>
      </fill>
    </dxf>
    <dxf>
      <font>
        <b/>
        <color rgb="FF38761D"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000000"/>
          <bgColor rgb="FF000000"/>
        </patternFill>
      </fill>
    </dxf>
    <dxf>
      <font>
        <b/>
        <color rgb="FFCC0000"/>
      </font>
      <fill>
        <patternFill patternType="solid">
          <fgColor rgb="FFF4CCCC"/>
          <bgColor rgb="FFF4CCCC"/>
        </patternFill>
      </fill>
    </dxf>
    <dxf>
      <font>
        <b/>
        <color rgb="FF38761D"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/>
        <color rgb="FFCC0000"/>
      </font>
      <fill>
        <patternFill patternType="solid">
          <fgColor rgb="FFF4CCCC"/>
          <bgColor rgb="FFF4CCCC"/>
        </patternFill>
      </fill>
    </dxf>
    <dxf>
      <font>
        <b/>
        <color rgb="FF38761D"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000000"/>
          <bgColor rgb="FF000000"/>
        </patternFill>
      </fill>
    </dxf>
    <dxf>
      <font>
        <b/>
        <color rgb="FFCC0000"/>
      </font>
      <fill>
        <patternFill patternType="solid">
          <fgColor rgb="FFF4CCCC"/>
          <bgColor rgb="FFF4CCCC"/>
        </patternFill>
      </fill>
    </dxf>
    <dxf>
      <font>
        <b/>
        <color rgb="FF38761D"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6AA84F"/>
          <bgColor rgb="FF6AA84F"/>
        </patternFill>
      </fill>
    </dxf>
    <dxf>
      <font>
        <color rgb="FF1155CC"/>
      </font>
      <fill>
        <patternFill patternType="solid">
          <fgColor rgb="FF1155CC"/>
          <bgColor rgb="FF1155CC"/>
        </patternFill>
      </fill>
    </dxf>
    <dxf>
      <font>
        <color rgb="FFB7B7B7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B7B7B7"/>
      </font>
      <fill>
        <patternFill patternType="solid">
          <fgColor rgb="FFB7B7B7"/>
          <bgColor rgb="FFB7B7B7"/>
        </patternFill>
      </fill>
    </dxf>
    <dxf>
      <font>
        <color rgb="FF1155CC"/>
      </font>
      <fill>
        <patternFill patternType="solid">
          <fgColor rgb="FF1155CC"/>
          <bgColor rgb="FF1155CC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1155CC"/>
      </font>
      <fill>
        <patternFill patternType="solid">
          <fgColor rgb="FF1155CC"/>
          <bgColor rgb="FF1155CC"/>
        </patternFill>
      </fill>
    </dxf>
    <dxf>
      <font>
        <color rgb="FFB7B7B7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0000"/>
          <bgColor rgb="FF000000"/>
        </patternFill>
      </fill>
    </dxf>
    <dxf>
      <font>
        <color rgb="FFB7B7B7"/>
      </font>
      <fill>
        <patternFill patternType="solid">
          <fgColor rgb="FFB7B7B7"/>
          <bgColor rgb="FFB7B7B7"/>
        </patternFill>
      </fill>
    </dxf>
    <dxf>
      <font>
        <color rgb="FF1155CC"/>
      </font>
      <fill>
        <patternFill patternType="solid">
          <fgColor rgb="FF1155CC"/>
          <bgColor rgb="FF1155CC"/>
        </patternFill>
      </fill>
    </dxf>
    <dxf>
      <font>
        <color rgb="FF1155CC"/>
      </font>
      <fill>
        <patternFill patternType="solid">
          <fgColor rgb="FF1155CC"/>
          <bgColor rgb="FF1155CC"/>
        </patternFill>
      </fill>
    </dxf>
    <dxf>
      <font>
        <color rgb="FFB7B7B7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1155CC"/>
      </font>
      <fill>
        <patternFill patternType="solid">
          <fgColor rgb="FF1155CC"/>
          <bgColor rgb="FF1155CC"/>
        </patternFill>
      </fill>
    </dxf>
    <dxf>
      <font>
        <color rgb="FFB7B7B7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1155CC"/>
      </font>
      <fill>
        <patternFill patternType="solid">
          <fgColor rgb="FF1155CC"/>
          <bgColor rgb="FF1155CC"/>
        </patternFill>
      </fill>
    </dxf>
    <dxf>
      <font>
        <color rgb="FFB7B7B7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1155CC"/>
      </font>
      <fill>
        <patternFill patternType="solid">
          <fgColor rgb="FF1155CC"/>
          <bgColor rgb="FF1155CC"/>
        </patternFill>
      </fill>
    </dxf>
    <dxf>
      <font>
        <color rgb="FFB7B7B7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1155CC"/>
      </font>
      <fill>
        <patternFill patternType="solid">
          <fgColor rgb="FF1155CC"/>
          <bgColor rgb="FF1155CC"/>
        </patternFill>
      </fill>
    </dxf>
    <dxf>
      <font>
        <color rgb="FFB7B7B7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1155CC"/>
      </font>
      <fill>
        <patternFill patternType="solid">
          <fgColor rgb="FF1155CC"/>
          <bgColor rgb="FF1155CC"/>
        </patternFill>
      </fill>
    </dxf>
    <dxf>
      <font>
        <color rgb="FFB7B7B7"/>
      </font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000000"/>
          <bgColor rgb="FF000000"/>
        </patternFill>
      </fill>
    </dxf>
    <dxf>
      <font>
        <color rgb="FF1155CC"/>
      </font>
      <fill>
        <patternFill patternType="solid">
          <fgColor rgb="FF1155CC"/>
          <bgColor rgb="FF1155CC"/>
        </patternFill>
      </fill>
    </dxf>
    <dxf>
      <font>
        <color rgb="FFB7B7B7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1155CC"/>
      </font>
      <fill>
        <patternFill patternType="solid">
          <fgColor rgb="FF1155CC"/>
          <bgColor rgb="FF1155CC"/>
        </patternFill>
      </fill>
    </dxf>
    <dxf>
      <font>
        <color rgb="FFB7B7B7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CC4125"/>
      </font>
      <fill>
        <patternFill patternType="solid">
          <fgColor rgb="FFCC4125"/>
          <bgColor rgb="FFCC4125"/>
        </patternFill>
      </fill>
    </dxf>
    <dxf>
      <font>
        <color rgb="FFF6B26B"/>
      </font>
      <fill>
        <patternFill patternType="solid">
          <fgColor rgb="FFF6B26B"/>
          <bgColor rgb="FFF6B26B"/>
        </patternFill>
      </fill>
    </dxf>
    <dxf>
      <font>
        <color rgb="FFFFD966"/>
      </font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00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'Character Sheet - P1'!$C$19:$H$19</c:f>
              <c:strCache>
                <c:ptCount val="6"/>
                <c:pt idx="0">
                  <c:v>Patience</c:v>
                </c:pt>
                <c:pt idx="1">
                  <c:v>Empathy</c:v>
                </c:pt>
                <c:pt idx="2">
                  <c:v>Cunning</c:v>
                </c:pt>
                <c:pt idx="3">
                  <c:v>Logic</c:v>
                </c:pt>
                <c:pt idx="4">
                  <c:v>Kindness</c:v>
                </c:pt>
                <c:pt idx="5">
                  <c:v>Charisma</c:v>
                </c:pt>
              </c:strCache>
            </c:strRef>
          </c:cat>
          <c:val>
            <c:numRef>
              <c:f>'Character Sheet - P1'!$C$20:$H$20</c:f>
              <c:numCache>
                <c:formatCode>0.00%</c:formatCode>
                <c:ptCount val="6"/>
                <c:pt idx="0">
                  <c:v>0.15</c:v>
                </c:pt>
                <c:pt idx="1">
                  <c:v>0.15</c:v>
                </c:pt>
                <c:pt idx="2">
                  <c:v>0.19</c:v>
                </c:pt>
                <c:pt idx="3">
                  <c:v>0.16</c:v>
                </c:pt>
                <c:pt idx="4">
                  <c:v>0.16</c:v>
                </c:pt>
                <c:pt idx="5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E-4E1B-9E2F-0E5953684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871169"/>
        <c:axId val="453961200"/>
      </c:radarChart>
      <c:catAx>
        <c:axId val="1814871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3961200"/>
        <c:crosses val="autoZero"/>
        <c:auto val="1"/>
        <c:lblAlgn val="ctr"/>
        <c:lblOffset val="100"/>
        <c:noMultiLvlLbl val="1"/>
      </c:catAx>
      <c:valAx>
        <c:axId val="453961200"/>
        <c:scaling>
          <c:orientation val="minMax"/>
          <c:max val="0.35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48711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'Character Sheet - P2'!$C$19:$H$19</c:f>
              <c:strCache>
                <c:ptCount val="6"/>
                <c:pt idx="0">
                  <c:v>Patience</c:v>
                </c:pt>
                <c:pt idx="1">
                  <c:v>Empathy</c:v>
                </c:pt>
                <c:pt idx="2">
                  <c:v>Cunning</c:v>
                </c:pt>
                <c:pt idx="3">
                  <c:v>Logic</c:v>
                </c:pt>
                <c:pt idx="4">
                  <c:v>Kindness</c:v>
                </c:pt>
                <c:pt idx="5">
                  <c:v>Charisma</c:v>
                </c:pt>
              </c:strCache>
            </c:strRef>
          </c:cat>
          <c:val>
            <c:numRef>
              <c:f>'Character Sheet - P2'!$C$20:$H$20</c:f>
              <c:numCache>
                <c:formatCode>0.00%</c:formatCode>
                <c:ptCount val="6"/>
                <c:pt idx="0">
                  <c:v>0.15</c:v>
                </c:pt>
                <c:pt idx="1">
                  <c:v>0.19</c:v>
                </c:pt>
                <c:pt idx="2">
                  <c:v>0.15</c:v>
                </c:pt>
                <c:pt idx="3">
                  <c:v>0.19</c:v>
                </c:pt>
                <c:pt idx="4">
                  <c:v>0.16</c:v>
                </c:pt>
                <c:pt idx="5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4-42E5-8CEE-A25F94448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532693"/>
        <c:axId val="855772753"/>
      </c:radarChart>
      <c:catAx>
        <c:axId val="578532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5772753"/>
        <c:crosses val="autoZero"/>
        <c:auto val="1"/>
        <c:lblAlgn val="ctr"/>
        <c:lblOffset val="100"/>
        <c:noMultiLvlLbl val="1"/>
      </c:catAx>
      <c:valAx>
        <c:axId val="855772753"/>
        <c:scaling>
          <c:orientation val="minMax"/>
          <c:max val="0.35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85326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'Character Sheet - P3'!$C$19:$H$19</c:f>
              <c:strCache>
                <c:ptCount val="6"/>
                <c:pt idx="0">
                  <c:v>Patience</c:v>
                </c:pt>
                <c:pt idx="1">
                  <c:v>Empathy</c:v>
                </c:pt>
                <c:pt idx="2">
                  <c:v>Cunning</c:v>
                </c:pt>
                <c:pt idx="3">
                  <c:v>Logic</c:v>
                </c:pt>
                <c:pt idx="4">
                  <c:v>Kindness</c:v>
                </c:pt>
                <c:pt idx="5">
                  <c:v>Charisma</c:v>
                </c:pt>
              </c:strCache>
            </c:strRef>
          </c:cat>
          <c:val>
            <c:numRef>
              <c:f>'Character Sheet - P3'!$C$20:$H$20</c:f>
              <c:numCache>
                <c:formatCode>0.00%</c:formatCode>
                <c:ptCount val="6"/>
                <c:pt idx="0">
                  <c:v>0.15</c:v>
                </c:pt>
                <c:pt idx="1">
                  <c:v>0.15</c:v>
                </c:pt>
                <c:pt idx="2">
                  <c:v>0.19</c:v>
                </c:pt>
                <c:pt idx="3">
                  <c:v>0.16</c:v>
                </c:pt>
                <c:pt idx="4">
                  <c:v>0.16</c:v>
                </c:pt>
                <c:pt idx="5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0-467B-8A67-AF86C575F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939712"/>
        <c:axId val="40823600"/>
      </c:radarChart>
      <c:catAx>
        <c:axId val="89193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23600"/>
        <c:crosses val="autoZero"/>
        <c:auto val="1"/>
        <c:lblAlgn val="ctr"/>
        <c:lblOffset val="100"/>
        <c:noMultiLvlLbl val="1"/>
      </c:catAx>
      <c:valAx>
        <c:axId val="40823600"/>
        <c:scaling>
          <c:orientation val="minMax"/>
          <c:max val="0.35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19397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685800</xdr:colOff>
      <xdr:row>20</xdr:row>
      <xdr:rowOff>9525</xdr:rowOff>
    </xdr:from>
    <xdr:ext cx="4324350" cy="33051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676275</xdr:colOff>
      <xdr:row>20</xdr:row>
      <xdr:rowOff>0</xdr:rowOff>
    </xdr:from>
    <xdr:ext cx="4305300" cy="33051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590550</xdr:colOff>
      <xdr:row>20</xdr:row>
      <xdr:rowOff>0</xdr:rowOff>
    </xdr:from>
    <xdr:ext cx="4438650" cy="33051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400050</xdr:colOff>
      <xdr:row>11</xdr:row>
      <xdr:rowOff>114300</xdr:rowOff>
    </xdr:from>
    <xdr:ext cx="1819275" cy="409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0" y="0"/>
          <a:ext cx="1814100" cy="400200"/>
        </a:xfrm>
        <a:prstGeom prst="rect">
          <a:avLst/>
        </a:prstGeom>
        <a:solidFill>
          <a:srgbClr val="FFD966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New Round</a:t>
          </a:r>
          <a:endParaRPr sz="1400"/>
        </a:p>
      </xdr:txBody>
    </xdr:sp>
    <xdr:clientData fLocksWithSheet="0"/>
  </xdr:oneCellAnchor>
  <xdr:oneCellAnchor>
    <xdr:from>
      <xdr:col>5</xdr:col>
      <xdr:colOff>400050</xdr:colOff>
      <xdr:row>9</xdr:row>
      <xdr:rowOff>9525</xdr:rowOff>
    </xdr:from>
    <xdr:ext cx="1819275" cy="4095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0" y="0"/>
          <a:ext cx="1814100" cy="400200"/>
        </a:xfrm>
        <a:prstGeom prst="rect">
          <a:avLst/>
        </a:prstGeom>
        <a:solidFill>
          <a:srgbClr val="CC4125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New Combat</a:t>
          </a:r>
          <a:endParaRPr sz="1400"/>
        </a:p>
      </xdr:txBody>
    </xdr:sp>
    <xdr:clientData fLocksWithSheet="0"/>
  </xdr:oneCellAnchor>
  <xdr:oneCellAnchor>
    <xdr:from>
      <xdr:col>6</xdr:col>
      <xdr:colOff>542925</xdr:colOff>
      <xdr:row>14</xdr:row>
      <xdr:rowOff>9525</xdr:rowOff>
    </xdr:from>
    <xdr:ext cx="1819275" cy="4095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0" y="0"/>
          <a:ext cx="1814100" cy="400200"/>
        </a:xfrm>
        <a:prstGeom prst="rect">
          <a:avLst/>
        </a:prstGeom>
        <a:solidFill>
          <a:srgbClr val="6AA84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Copy Part 2</a:t>
          </a:r>
          <a:endParaRPr sz="1400"/>
        </a:p>
      </xdr:txBody>
    </xdr:sp>
    <xdr:clientData fLocksWithSheet="0"/>
  </xdr:oneCellAnchor>
  <xdr:oneCellAnchor>
    <xdr:from>
      <xdr:col>5</xdr:col>
      <xdr:colOff>381000</xdr:colOff>
      <xdr:row>14</xdr:row>
      <xdr:rowOff>9525</xdr:rowOff>
    </xdr:from>
    <xdr:ext cx="1838325" cy="4095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0" y="0"/>
          <a:ext cx="1831200" cy="3993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Copy Part 1</a:t>
          </a:r>
          <a:endParaRPr sz="1400"/>
        </a:p>
      </xdr:txBody>
    </xdr:sp>
    <xdr:clientData fLocksWithSheet="0"/>
  </xdr:oneCellAnchor>
  <xdr:oneCellAnchor>
    <xdr:from>
      <xdr:col>4</xdr:col>
      <xdr:colOff>1438275</xdr:colOff>
      <xdr:row>19</xdr:row>
      <xdr:rowOff>180975</xdr:rowOff>
    </xdr:from>
    <xdr:ext cx="1714500" cy="2381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0" y="0"/>
          <a:ext cx="1704600" cy="224100"/>
        </a:xfrm>
        <a:prstGeom prst="rect">
          <a:avLst/>
        </a:prstGeom>
        <a:solidFill>
          <a:srgbClr val="B4A7D6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Apply Random Factor</a:t>
          </a:r>
          <a:endParaRPr sz="1200"/>
        </a:p>
      </xdr:txBody>
    </xdr:sp>
    <xdr:clientData fLocksWithSheet="0"/>
  </xdr:oneCellAnchor>
  <xdr:oneCellAnchor>
    <xdr:from>
      <xdr:col>6</xdr:col>
      <xdr:colOff>600075</xdr:colOff>
      <xdr:row>9</xdr:row>
      <xdr:rowOff>57150</xdr:rowOff>
    </xdr:from>
    <xdr:ext cx="1828800" cy="323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29225" y="29225"/>
          <a:ext cx="1811700" cy="302100"/>
        </a:xfrm>
        <a:prstGeom prst="roundRect">
          <a:avLst>
            <a:gd name="adj" fmla="val 16667"/>
          </a:avLst>
        </a:prstGeom>
        <a:solidFill>
          <a:srgbClr val="9900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Initialize Combat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6"/>
  <sheetViews>
    <sheetView workbookViewId="0"/>
  </sheetViews>
  <sheetFormatPr defaultColWidth="12.5703125" defaultRowHeight="15.75" customHeight="1" x14ac:dyDescent="0.2"/>
  <cols>
    <col min="1" max="1" width="2.5703125" customWidth="1"/>
    <col min="4" max="4" width="17.42578125" customWidth="1"/>
    <col min="7" max="7" width="14" customWidth="1"/>
    <col min="9" max="15" width="2.5703125" customWidth="1"/>
  </cols>
  <sheetData>
    <row r="1" spans="1:15" ht="15" customHeight="1" x14ac:dyDescent="0.2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ht="15" customHeight="1" x14ac:dyDescent="0.2">
      <c r="A2" s="1"/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576" t="s">
        <v>7</v>
      </c>
      <c r="J2" s="574"/>
      <c r="K2" s="574"/>
      <c r="L2" s="574"/>
      <c r="M2" s="574"/>
      <c r="N2" s="575"/>
      <c r="O2" s="3"/>
    </row>
    <row r="3" spans="1:15" ht="15" customHeight="1" x14ac:dyDescent="0.2">
      <c r="A3" s="7"/>
      <c r="B3" s="577">
        <f>Input!B18</f>
        <v>1</v>
      </c>
      <c r="C3" s="8" t="str">
        <f>Input!A3</f>
        <v>Will</v>
      </c>
      <c r="D3" s="580" t="str">
        <f>Input!B3</f>
        <v>1st</v>
      </c>
      <c r="E3" s="580" t="str">
        <f>Input!C3</f>
        <v>Stone</v>
      </c>
      <c r="F3" s="9" t="str">
        <f>Input!D3</f>
        <v>Air</v>
      </c>
      <c r="G3" s="10">
        <f>Math!C13</f>
        <v>25</v>
      </c>
      <c r="H3" s="11" t="str">
        <f>'Combatant info data'!AM9</f>
        <v/>
      </c>
      <c r="I3" s="11">
        <f>'Combatant info data'!AN9</f>
        <v>0</v>
      </c>
      <c r="J3" s="11">
        <f>'Combatant info data'!AO9</f>
        <v>0</v>
      </c>
      <c r="K3" s="11">
        <f>'Combatant info data'!AP9</f>
        <v>0</v>
      </c>
      <c r="L3" s="11">
        <f>'Combatant info data'!AQ9</f>
        <v>0</v>
      </c>
      <c r="M3" s="11">
        <f>'Combatant info data'!AR9</f>
        <v>0</v>
      </c>
      <c r="N3" s="12">
        <f>'Combatant info data'!AS9</f>
        <v>0</v>
      </c>
      <c r="O3" s="13">
        <f>'Combatant info data'!AT3</f>
        <v>1</v>
      </c>
    </row>
    <row r="4" spans="1:15" ht="15" customHeight="1" x14ac:dyDescent="0.2">
      <c r="A4" s="7"/>
      <c r="B4" s="578"/>
      <c r="C4" s="14" t="str">
        <f>Input!A4</f>
        <v>Carter</v>
      </c>
      <c r="D4" s="581"/>
      <c r="E4" s="581"/>
      <c r="F4" s="9" t="str">
        <f>Input!D4</f>
        <v>Earth</v>
      </c>
      <c r="G4" s="15">
        <f>Math!C14</f>
        <v>25</v>
      </c>
      <c r="H4" s="16" t="str">
        <f>'Combatant info data'!AM10</f>
        <v/>
      </c>
      <c r="I4" s="16">
        <f>'Combatant info data'!AN10</f>
        <v>0</v>
      </c>
      <c r="J4" s="11">
        <f>'Combatant info data'!AO10</f>
        <v>0</v>
      </c>
      <c r="K4" s="11">
        <f>'Combatant info data'!AP10</f>
        <v>0</v>
      </c>
      <c r="L4" s="11">
        <f>'Combatant info data'!AQ10</f>
        <v>0</v>
      </c>
      <c r="M4" s="11">
        <f>'Combatant info data'!AR10</f>
        <v>0</v>
      </c>
      <c r="N4" s="12">
        <f>'Combatant info data'!AS10</f>
        <v>0</v>
      </c>
      <c r="O4" s="13">
        <f>'Combatant info data'!AT4</f>
        <v>1</v>
      </c>
    </row>
    <row r="5" spans="1:15" ht="15" customHeight="1" x14ac:dyDescent="0.2">
      <c r="A5" s="7"/>
      <c r="B5" s="578"/>
      <c r="C5" s="17" t="str">
        <f>Input!A5</f>
        <v>Joe</v>
      </c>
      <c r="D5" s="582"/>
      <c r="E5" s="582"/>
      <c r="F5" s="18" t="str">
        <f>Input!D5</f>
        <v>Shadow</v>
      </c>
      <c r="G5" s="19">
        <f>Math!C15</f>
        <v>25</v>
      </c>
      <c r="H5" s="20" t="str">
        <f>'Combatant info data'!AM11</f>
        <v/>
      </c>
      <c r="I5" s="20">
        <f>'Combatant info data'!AN11</f>
        <v>0</v>
      </c>
      <c r="J5" s="21">
        <f>'Combatant info data'!AO11</f>
        <v>0</v>
      </c>
      <c r="K5" s="21">
        <f>'Combatant info data'!AP11</f>
        <v>0</v>
      </c>
      <c r="L5" s="21">
        <f>'Combatant info data'!AQ11</f>
        <v>0</v>
      </c>
      <c r="M5" s="21">
        <f>'Combatant info data'!AR11</f>
        <v>0</v>
      </c>
      <c r="N5" s="22">
        <f>'Combatant info data'!AS11</f>
        <v>0</v>
      </c>
      <c r="O5" s="13">
        <f>'Combatant info data'!AT5</f>
        <v>1</v>
      </c>
    </row>
    <row r="6" spans="1:15" ht="15" customHeight="1" x14ac:dyDescent="0.2">
      <c r="A6" s="7"/>
      <c r="B6" s="578"/>
      <c r="C6" s="23" t="str">
        <f>Input!A6</f>
        <v>Jake</v>
      </c>
      <c r="D6" s="580" t="str">
        <f>Input!B6</f>
        <v>1st</v>
      </c>
      <c r="E6" s="580" t="str">
        <f>Input!C6</f>
        <v>Stone</v>
      </c>
      <c r="F6" s="9" t="str">
        <f>Input!D6</f>
        <v>Earth</v>
      </c>
      <c r="G6" s="11">
        <f>'Combatant info data'!AM3</f>
        <v>1</v>
      </c>
      <c r="H6" s="11" t="str">
        <f>'Combatant info data'!AM12</f>
        <v/>
      </c>
      <c r="I6" s="11">
        <f>'Combatant info data'!AN12</f>
        <v>0</v>
      </c>
      <c r="J6" s="11">
        <f>'Combatant info data'!AO12</f>
        <v>0</v>
      </c>
      <c r="K6" s="11">
        <f>'Combatant info data'!AP12</f>
        <v>0</v>
      </c>
      <c r="L6" s="11">
        <f>'Combatant info data'!AQ12</f>
        <v>0</v>
      </c>
      <c r="M6" s="11">
        <f>'Combatant info data'!AR12</f>
        <v>0</v>
      </c>
      <c r="N6" s="24">
        <f>'Combatant info data'!AS12</f>
        <v>0</v>
      </c>
      <c r="O6" s="25"/>
    </row>
    <row r="7" spans="1:15" ht="15" customHeight="1" x14ac:dyDescent="0.2">
      <c r="A7" s="7"/>
      <c r="B7" s="578"/>
      <c r="C7" s="26" t="str">
        <f>Input!A7</f>
        <v>Jim</v>
      </c>
      <c r="D7" s="581"/>
      <c r="E7" s="581"/>
      <c r="F7" s="9" t="str">
        <f>Input!D7</f>
        <v>Earth</v>
      </c>
      <c r="G7" s="11">
        <f>'Combatant info data'!AM4</f>
        <v>1</v>
      </c>
      <c r="H7" s="11" t="str">
        <f>'Combatant info data'!AM13</f>
        <v/>
      </c>
      <c r="I7" s="11">
        <f>'Combatant info data'!AN13</f>
        <v>0</v>
      </c>
      <c r="J7" s="11">
        <f>'Combatant info data'!AO13</f>
        <v>0</v>
      </c>
      <c r="K7" s="11">
        <f>'Combatant info data'!AP13</f>
        <v>0</v>
      </c>
      <c r="L7" s="11">
        <f>'Combatant info data'!AQ13</f>
        <v>0</v>
      </c>
      <c r="M7" s="11">
        <f>'Combatant info data'!AR13</f>
        <v>0</v>
      </c>
      <c r="N7" s="24">
        <f>'Combatant info data'!AS13</f>
        <v>0</v>
      </c>
      <c r="O7" s="25"/>
    </row>
    <row r="8" spans="1:15" ht="15" customHeight="1" x14ac:dyDescent="0.2">
      <c r="A8" s="7"/>
      <c r="B8" s="579"/>
      <c r="C8" s="27" t="str">
        <f>Input!A8</f>
        <v>Jordan</v>
      </c>
      <c r="D8" s="582"/>
      <c r="E8" s="582"/>
      <c r="F8" s="18" t="str">
        <f>Input!D8</f>
        <v>Earth</v>
      </c>
      <c r="G8" s="28">
        <f>'Combatant info data'!AM5</f>
        <v>1</v>
      </c>
      <c r="H8" s="11" t="str">
        <f>'Combatant info data'!AM14</f>
        <v/>
      </c>
      <c r="I8" s="11">
        <f>'Combatant info data'!AN14</f>
        <v>0</v>
      </c>
      <c r="J8" s="11">
        <f>'Combatant info data'!AO14</f>
        <v>0</v>
      </c>
      <c r="K8" s="11">
        <f>'Combatant info data'!AP14</f>
        <v>0</v>
      </c>
      <c r="L8" s="11">
        <f>'Combatant info data'!AQ14</f>
        <v>0</v>
      </c>
      <c r="M8" s="11">
        <f>'Combatant info data'!AR14</f>
        <v>0</v>
      </c>
      <c r="N8" s="24">
        <f>'Combatant info data'!AS14</f>
        <v>0</v>
      </c>
      <c r="O8" s="25"/>
    </row>
    <row r="9" spans="1:15" ht="15" customHeight="1" x14ac:dyDescent="0.2">
      <c r="A9" s="3"/>
      <c r="B9" s="3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"/>
    </row>
    <row r="10" spans="1:15" ht="15" customHeight="1" x14ac:dyDescent="0.2">
      <c r="A10" s="2"/>
      <c r="B10" s="564" t="s">
        <v>8</v>
      </c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5"/>
      <c r="N10" s="566"/>
      <c r="O10" s="3"/>
    </row>
    <row r="11" spans="1:15" ht="15" customHeight="1" x14ac:dyDescent="0.2">
      <c r="A11" s="31"/>
      <c r="B11" s="32" t="s">
        <v>9</v>
      </c>
      <c r="C11" s="569" t="s">
        <v>10</v>
      </c>
      <c r="D11" s="565"/>
      <c r="E11" s="565"/>
      <c r="F11" s="565"/>
      <c r="G11" s="565"/>
      <c r="H11" s="565"/>
      <c r="I11" s="565"/>
      <c r="J11" s="565"/>
      <c r="K11" s="565"/>
      <c r="L11" s="565"/>
      <c r="M11" s="565"/>
      <c r="N11" s="566"/>
      <c r="O11" s="3"/>
    </row>
    <row r="12" spans="1:15" ht="15" customHeight="1" x14ac:dyDescent="0.2">
      <c r="A12" s="31"/>
      <c r="B12" s="33" t="s">
        <v>11</v>
      </c>
      <c r="C12" s="570" t="s">
        <v>12</v>
      </c>
      <c r="D12" s="558"/>
      <c r="E12" s="558"/>
      <c r="F12" s="558"/>
      <c r="G12" s="558"/>
      <c r="H12" s="558"/>
      <c r="I12" s="558"/>
      <c r="J12" s="558"/>
      <c r="K12" s="558"/>
      <c r="L12" s="558"/>
      <c r="M12" s="558"/>
      <c r="N12" s="559"/>
      <c r="O12" s="3"/>
    </row>
    <row r="13" spans="1:15" ht="15" customHeight="1" x14ac:dyDescent="0.2">
      <c r="A13" s="31"/>
      <c r="B13" s="33" t="s">
        <v>13</v>
      </c>
      <c r="C13" s="570" t="s">
        <v>14</v>
      </c>
      <c r="D13" s="558"/>
      <c r="E13" s="558"/>
      <c r="F13" s="558"/>
      <c r="G13" s="558"/>
      <c r="H13" s="558"/>
      <c r="I13" s="558"/>
      <c r="J13" s="558"/>
      <c r="K13" s="558"/>
      <c r="L13" s="558"/>
      <c r="M13" s="558"/>
      <c r="N13" s="559"/>
      <c r="O13" s="3"/>
    </row>
    <row r="14" spans="1:15" ht="15" customHeight="1" x14ac:dyDescent="0.2">
      <c r="A14" s="31"/>
      <c r="B14" s="34" t="s">
        <v>15</v>
      </c>
      <c r="C14" s="572" t="s">
        <v>16</v>
      </c>
      <c r="D14" s="561"/>
      <c r="E14" s="561"/>
      <c r="F14" s="561"/>
      <c r="G14" s="561"/>
      <c r="H14" s="561"/>
      <c r="I14" s="561"/>
      <c r="J14" s="561"/>
      <c r="K14" s="561"/>
      <c r="L14" s="561"/>
      <c r="M14" s="561"/>
      <c r="N14" s="562"/>
      <c r="O14" s="3"/>
    </row>
    <row r="15" spans="1:15" ht="1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" customHeight="1" x14ac:dyDescent="0.2">
      <c r="A16" s="2"/>
      <c r="B16" s="573" t="s">
        <v>17</v>
      </c>
      <c r="C16" s="574"/>
      <c r="D16" s="574"/>
      <c r="E16" s="574"/>
      <c r="F16" s="574"/>
      <c r="G16" s="574"/>
      <c r="H16" s="574"/>
      <c r="I16" s="574"/>
      <c r="J16" s="574"/>
      <c r="K16" s="574"/>
      <c r="L16" s="574"/>
      <c r="M16" s="574"/>
      <c r="N16" s="575"/>
      <c r="O16" s="3"/>
    </row>
    <row r="17" spans="1:15" ht="15" customHeight="1" x14ac:dyDescent="0.2">
      <c r="A17" s="31"/>
      <c r="B17" s="32" t="s">
        <v>18</v>
      </c>
      <c r="C17" s="569" t="s">
        <v>19</v>
      </c>
      <c r="D17" s="565"/>
      <c r="E17" s="565"/>
      <c r="F17" s="565"/>
      <c r="G17" s="565"/>
      <c r="H17" s="565"/>
      <c r="I17" s="565"/>
      <c r="J17" s="565"/>
      <c r="K17" s="565"/>
      <c r="L17" s="565"/>
      <c r="M17" s="565"/>
      <c r="N17" s="566"/>
      <c r="O17" s="3"/>
    </row>
    <row r="18" spans="1:15" ht="15" customHeight="1" x14ac:dyDescent="0.2">
      <c r="A18" s="31"/>
      <c r="B18" s="33" t="s">
        <v>20</v>
      </c>
      <c r="C18" s="570" t="s">
        <v>21</v>
      </c>
      <c r="D18" s="558"/>
      <c r="E18" s="558"/>
      <c r="F18" s="558"/>
      <c r="G18" s="558"/>
      <c r="H18" s="558"/>
      <c r="I18" s="558"/>
      <c r="J18" s="558"/>
      <c r="K18" s="558"/>
      <c r="L18" s="558"/>
      <c r="M18" s="558"/>
      <c r="N18" s="559"/>
      <c r="O18" s="3"/>
    </row>
    <row r="19" spans="1:15" ht="15" customHeight="1" x14ac:dyDescent="0.2">
      <c r="A19" s="31"/>
      <c r="B19" s="34" t="s">
        <v>22</v>
      </c>
      <c r="C19" s="572" t="s">
        <v>23</v>
      </c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2"/>
      <c r="O19" s="3"/>
    </row>
    <row r="20" spans="1:15" ht="1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" customHeight="1" x14ac:dyDescent="0.2">
      <c r="A21" s="2"/>
      <c r="B21" s="573" t="s">
        <v>24</v>
      </c>
      <c r="C21" s="574"/>
      <c r="D21" s="574"/>
      <c r="E21" s="574"/>
      <c r="F21" s="574"/>
      <c r="G21" s="574"/>
      <c r="H21" s="574"/>
      <c r="I21" s="574"/>
      <c r="J21" s="574"/>
      <c r="K21" s="574"/>
      <c r="L21" s="574"/>
      <c r="M21" s="574"/>
      <c r="N21" s="575"/>
      <c r="O21" s="3"/>
    </row>
    <row r="22" spans="1:15" ht="15" customHeight="1" x14ac:dyDescent="0.2">
      <c r="A22" s="31"/>
      <c r="B22" s="32" t="s">
        <v>25</v>
      </c>
      <c r="C22" s="569" t="s">
        <v>26</v>
      </c>
      <c r="D22" s="565"/>
      <c r="E22" s="565"/>
      <c r="F22" s="565"/>
      <c r="G22" s="565"/>
      <c r="H22" s="565"/>
      <c r="I22" s="565"/>
      <c r="J22" s="565"/>
      <c r="K22" s="565"/>
      <c r="L22" s="565"/>
      <c r="M22" s="565"/>
      <c r="N22" s="566"/>
      <c r="O22" s="3"/>
    </row>
    <row r="23" spans="1:15" ht="15" customHeight="1" x14ac:dyDescent="0.2">
      <c r="A23" s="31"/>
      <c r="B23" s="33" t="s">
        <v>3</v>
      </c>
      <c r="C23" s="570" t="s">
        <v>27</v>
      </c>
      <c r="D23" s="558"/>
      <c r="E23" s="558"/>
      <c r="F23" s="558"/>
      <c r="G23" s="558"/>
      <c r="H23" s="558"/>
      <c r="I23" s="558"/>
      <c r="J23" s="558"/>
      <c r="K23" s="558"/>
      <c r="L23" s="558"/>
      <c r="M23" s="558"/>
      <c r="N23" s="559"/>
      <c r="O23" s="3"/>
    </row>
    <row r="24" spans="1:15" ht="15" customHeight="1" x14ac:dyDescent="0.2">
      <c r="A24" s="31"/>
      <c r="B24" s="33" t="s">
        <v>28</v>
      </c>
      <c r="C24" s="571" t="s">
        <v>29</v>
      </c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9"/>
      <c r="O24" s="3"/>
    </row>
    <row r="25" spans="1:15" ht="15" customHeight="1" x14ac:dyDescent="0.2">
      <c r="A25" s="31"/>
      <c r="B25" s="33" t="s">
        <v>30</v>
      </c>
      <c r="C25" s="570" t="s">
        <v>31</v>
      </c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9"/>
      <c r="O25" s="3"/>
    </row>
    <row r="26" spans="1:15" ht="15" customHeight="1" x14ac:dyDescent="0.2">
      <c r="A26" s="31"/>
      <c r="B26" s="34" t="s">
        <v>32</v>
      </c>
      <c r="C26" s="572" t="s">
        <v>33</v>
      </c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2"/>
      <c r="O26" s="3"/>
    </row>
    <row r="27" spans="1:15" ht="15" customHeight="1" x14ac:dyDescent="0.2">
      <c r="A27" s="3"/>
      <c r="B27" s="3"/>
      <c r="C27" s="563"/>
      <c r="D27" s="558"/>
      <c r="E27" s="558"/>
      <c r="F27" s="558"/>
      <c r="G27" s="558"/>
      <c r="H27" s="558"/>
      <c r="I27" s="558"/>
      <c r="J27" s="558"/>
      <c r="K27" s="558"/>
      <c r="L27" s="558"/>
      <c r="M27" s="558"/>
      <c r="N27" s="558"/>
      <c r="O27" s="3"/>
    </row>
    <row r="28" spans="1:15" ht="15" customHeight="1" x14ac:dyDescent="0.2">
      <c r="A28" s="3"/>
      <c r="B28" s="564" t="s">
        <v>34</v>
      </c>
      <c r="C28" s="565"/>
      <c r="D28" s="565"/>
      <c r="E28" s="565"/>
      <c r="F28" s="565"/>
      <c r="G28" s="565"/>
      <c r="H28" s="565"/>
      <c r="I28" s="565"/>
      <c r="J28" s="565"/>
      <c r="K28" s="565"/>
      <c r="L28" s="565"/>
      <c r="M28" s="565"/>
      <c r="N28" s="566"/>
      <c r="O28" s="3"/>
    </row>
    <row r="29" spans="1:15" ht="15" customHeight="1" x14ac:dyDescent="0.2">
      <c r="A29" s="3"/>
      <c r="B29" s="30" t="s">
        <v>4</v>
      </c>
      <c r="C29" s="36" t="str">
        <f>Paths!L1</f>
        <v>Style Focus</v>
      </c>
      <c r="D29" s="36" t="str">
        <f>Paths!M1</f>
        <v>Energy Focus</v>
      </c>
      <c r="E29" s="567" t="s">
        <v>35</v>
      </c>
      <c r="F29" s="565"/>
      <c r="G29" s="565"/>
      <c r="H29" s="565"/>
      <c r="I29" s="565"/>
      <c r="J29" s="565"/>
      <c r="K29" s="565"/>
      <c r="L29" s="565"/>
      <c r="M29" s="565"/>
      <c r="N29" s="566"/>
      <c r="O29" s="37"/>
    </row>
    <row r="30" spans="1:15" ht="15" customHeight="1" x14ac:dyDescent="0.2">
      <c r="A30" s="3"/>
      <c r="B30" s="30" t="s">
        <v>36</v>
      </c>
      <c r="C30" s="36" t="str">
        <f>Paths!L2</f>
        <v>Reaction</v>
      </c>
      <c r="D30" s="36" t="str">
        <f>Paths!M2</f>
        <v>Parry Success Rate</v>
      </c>
      <c r="E30" s="568" t="s">
        <v>37</v>
      </c>
      <c r="F30" s="565"/>
      <c r="G30" s="565"/>
      <c r="H30" s="565"/>
      <c r="I30" s="565"/>
      <c r="J30" s="565"/>
      <c r="K30" s="565"/>
      <c r="L30" s="565"/>
      <c r="M30" s="565"/>
      <c r="N30" s="566"/>
      <c r="O30" s="37"/>
    </row>
    <row r="31" spans="1:15" ht="15" customHeight="1" x14ac:dyDescent="0.2">
      <c r="A31" s="3"/>
      <c r="B31" s="38" t="s">
        <v>38</v>
      </c>
      <c r="C31" s="39" t="str">
        <f>Paths!L3</f>
        <v>Action</v>
      </c>
      <c r="D31" s="39" t="str">
        <f>Paths!M3</f>
        <v>Dodge Success Rate</v>
      </c>
      <c r="E31" s="557" t="s">
        <v>39</v>
      </c>
      <c r="F31" s="558"/>
      <c r="G31" s="558"/>
      <c r="H31" s="558"/>
      <c r="I31" s="558"/>
      <c r="J31" s="558"/>
      <c r="K31" s="558"/>
      <c r="L31" s="558"/>
      <c r="M31" s="558"/>
      <c r="N31" s="559"/>
      <c r="O31" s="37"/>
    </row>
    <row r="32" spans="1:15" ht="15" customHeight="1" x14ac:dyDescent="0.2">
      <c r="A32" s="3"/>
      <c r="B32" s="38" t="s">
        <v>40</v>
      </c>
      <c r="C32" s="39" t="str">
        <f>Paths!L4</f>
        <v>Reaction</v>
      </c>
      <c r="D32" s="39" t="str">
        <f>Paths!M4</f>
        <v>Dodge Success Rate</v>
      </c>
      <c r="E32" s="557" t="s">
        <v>41</v>
      </c>
      <c r="F32" s="558"/>
      <c r="G32" s="558"/>
      <c r="H32" s="558"/>
      <c r="I32" s="558"/>
      <c r="J32" s="558"/>
      <c r="K32" s="558"/>
      <c r="L32" s="558"/>
      <c r="M32" s="558"/>
      <c r="N32" s="559"/>
      <c r="O32" s="37"/>
    </row>
    <row r="33" spans="1:15" ht="15" customHeight="1" x14ac:dyDescent="0.2">
      <c r="A33" s="3"/>
      <c r="B33" s="38" t="s">
        <v>42</v>
      </c>
      <c r="C33" s="39" t="str">
        <f>Paths!L5</f>
        <v>Action</v>
      </c>
      <c r="D33" s="39" t="str">
        <f>Paths!M5</f>
        <v>Block Success Rate</v>
      </c>
      <c r="E33" s="557" t="s">
        <v>43</v>
      </c>
      <c r="F33" s="558"/>
      <c r="G33" s="558"/>
      <c r="H33" s="558"/>
      <c r="I33" s="558"/>
      <c r="J33" s="558"/>
      <c r="K33" s="558"/>
      <c r="L33" s="558"/>
      <c r="M33" s="558"/>
      <c r="N33" s="559"/>
      <c r="O33" s="37"/>
    </row>
    <row r="34" spans="1:15" ht="15" customHeight="1" x14ac:dyDescent="0.2">
      <c r="A34" s="3"/>
      <c r="B34" s="38" t="s">
        <v>44</v>
      </c>
      <c r="C34" s="39" t="str">
        <f>Paths!L6</f>
        <v>Action</v>
      </c>
      <c r="D34" s="39" t="str">
        <f>Paths!M6</f>
        <v>Parry Success Rate</v>
      </c>
      <c r="E34" s="557" t="s">
        <v>45</v>
      </c>
      <c r="F34" s="558"/>
      <c r="G34" s="558"/>
      <c r="H34" s="558"/>
      <c r="I34" s="558"/>
      <c r="J34" s="558"/>
      <c r="K34" s="558"/>
      <c r="L34" s="558"/>
      <c r="M34" s="558"/>
      <c r="N34" s="559"/>
      <c r="O34" s="37"/>
    </row>
    <row r="35" spans="1:15" ht="15" customHeight="1" x14ac:dyDescent="0.2">
      <c r="A35" s="3"/>
      <c r="B35" s="40" t="s">
        <v>46</v>
      </c>
      <c r="C35" s="41" t="str">
        <f>Paths!L7</f>
        <v>Reaction</v>
      </c>
      <c r="D35" s="41" t="str">
        <f>Paths!M7</f>
        <v>Block Success Rate</v>
      </c>
      <c r="E35" s="560" t="s">
        <v>47</v>
      </c>
      <c r="F35" s="561"/>
      <c r="G35" s="561"/>
      <c r="H35" s="561"/>
      <c r="I35" s="561"/>
      <c r="J35" s="561"/>
      <c r="K35" s="561"/>
      <c r="L35" s="561"/>
      <c r="M35" s="561"/>
      <c r="N35" s="562"/>
      <c r="O35" s="37"/>
    </row>
    <row r="36" spans="1:15" ht="15" customHeight="1" x14ac:dyDescent="0.2">
      <c r="A36" s="3"/>
      <c r="B36" s="42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"/>
    </row>
  </sheetData>
  <mergeCells count="30">
    <mergeCell ref="I2:N2"/>
    <mergeCell ref="B3:B8"/>
    <mergeCell ref="D3:D5"/>
    <mergeCell ref="E3:E5"/>
    <mergeCell ref="D6:D8"/>
    <mergeCell ref="E6:E8"/>
    <mergeCell ref="B10:N10"/>
    <mergeCell ref="C11:N11"/>
    <mergeCell ref="C12:N12"/>
    <mergeCell ref="C13:N13"/>
    <mergeCell ref="C14:N14"/>
    <mergeCell ref="B16:N16"/>
    <mergeCell ref="C17:N17"/>
    <mergeCell ref="C18:N18"/>
    <mergeCell ref="C19:N19"/>
    <mergeCell ref="B21:N21"/>
    <mergeCell ref="C22:N22"/>
    <mergeCell ref="C23:N23"/>
    <mergeCell ref="C24:N24"/>
    <mergeCell ref="C25:N25"/>
    <mergeCell ref="C26:N26"/>
    <mergeCell ref="E34:N34"/>
    <mergeCell ref="E35:N35"/>
    <mergeCell ref="C27:N27"/>
    <mergeCell ref="B28:N28"/>
    <mergeCell ref="E29:N29"/>
    <mergeCell ref="E30:N30"/>
    <mergeCell ref="E31:N31"/>
    <mergeCell ref="E32:N32"/>
    <mergeCell ref="E33:N33"/>
  </mergeCells>
  <conditionalFormatting sqref="G3:G5">
    <cfRule type="expression" dxfId="85" priority="1">
      <formula>O3=5</formula>
    </cfRule>
    <cfRule type="expression" dxfId="84" priority="2">
      <formula>O3=4</formula>
    </cfRule>
    <cfRule type="expression" dxfId="83" priority="3">
      <formula>O3=3</formula>
    </cfRule>
    <cfRule type="expression" dxfId="82" priority="4">
      <formula>O3=2</formula>
    </cfRule>
    <cfRule type="expression" dxfId="81" priority="5">
      <formula>O3=1</formula>
    </cfRule>
  </conditionalFormatting>
  <conditionalFormatting sqref="G6:G8">
    <cfRule type="cellIs" dxfId="80" priority="28" operator="equal">
      <formula>2</formula>
    </cfRule>
    <cfRule type="cellIs" dxfId="79" priority="27" operator="equal">
      <formula>3</formula>
    </cfRule>
    <cfRule type="cellIs" dxfId="78" priority="26" operator="equal">
      <formula>4</formula>
    </cfRule>
    <cfRule type="cellIs" dxfId="77" priority="25" operator="equal">
      <formula>5</formula>
    </cfRule>
    <cfRule type="cellIs" dxfId="76" priority="29" operator="equal">
      <formula>1</formula>
    </cfRule>
  </conditionalFormatting>
  <conditionalFormatting sqref="H3:H5">
    <cfRule type="expression" dxfId="75" priority="6">
      <formula>O3=5</formula>
    </cfRule>
  </conditionalFormatting>
  <conditionalFormatting sqref="H6:H8">
    <cfRule type="expression" dxfId="74" priority="30">
      <formula>G6=5</formula>
    </cfRule>
  </conditionalFormatting>
  <conditionalFormatting sqref="I3:I5">
    <cfRule type="expression" dxfId="73" priority="7">
      <formula>O3=5</formula>
    </cfRule>
    <cfRule type="cellIs" dxfId="72" priority="8" operator="equal">
      <formula>0</formula>
    </cfRule>
    <cfRule type="cellIs" dxfId="71" priority="9" operator="equal">
      <formula>1</formula>
    </cfRule>
  </conditionalFormatting>
  <conditionalFormatting sqref="I6:I8">
    <cfRule type="expression" dxfId="70" priority="31">
      <formula>G6=5</formula>
    </cfRule>
    <cfRule type="cellIs" dxfId="69" priority="32" operator="equal">
      <formula>0</formula>
    </cfRule>
    <cfRule type="cellIs" dxfId="68" priority="33" operator="equal">
      <formula>1</formula>
    </cfRule>
  </conditionalFormatting>
  <conditionalFormatting sqref="J3:J5">
    <cfRule type="expression" dxfId="67" priority="10">
      <formula>O3=5</formula>
    </cfRule>
    <cfRule type="cellIs" dxfId="66" priority="11" operator="equal">
      <formula>0</formula>
    </cfRule>
    <cfRule type="cellIs" dxfId="65" priority="12" operator="equal">
      <formula>1</formula>
    </cfRule>
  </conditionalFormatting>
  <conditionalFormatting sqref="J6:J8">
    <cfRule type="expression" dxfId="64" priority="34">
      <formula>G6=5</formula>
    </cfRule>
    <cfRule type="cellIs" dxfId="63" priority="35" operator="equal">
      <formula>0</formula>
    </cfRule>
    <cfRule type="cellIs" dxfId="62" priority="36" operator="equal">
      <formula>1</formula>
    </cfRule>
  </conditionalFormatting>
  <conditionalFormatting sqref="K3:K5">
    <cfRule type="expression" dxfId="61" priority="13">
      <formula>O3=5</formula>
    </cfRule>
    <cfRule type="cellIs" dxfId="60" priority="14" operator="equal">
      <formula>0</formula>
    </cfRule>
    <cfRule type="cellIs" dxfId="59" priority="15" operator="equal">
      <formula>1</formula>
    </cfRule>
  </conditionalFormatting>
  <conditionalFormatting sqref="K6:K8">
    <cfRule type="expression" dxfId="58" priority="37">
      <formula>G6=5</formula>
    </cfRule>
    <cfRule type="cellIs" dxfId="57" priority="38" operator="equal">
      <formula>0</formula>
    </cfRule>
    <cfRule type="cellIs" dxfId="56" priority="39" operator="equal">
      <formula>1</formula>
    </cfRule>
  </conditionalFormatting>
  <conditionalFormatting sqref="L3:L5">
    <cfRule type="expression" dxfId="55" priority="16">
      <formula>O3=5</formula>
    </cfRule>
    <cfRule type="cellIs" dxfId="54" priority="17" operator="equal">
      <formula>0</formula>
    </cfRule>
    <cfRule type="cellIs" dxfId="53" priority="18" operator="equal">
      <formula>1</formula>
    </cfRule>
  </conditionalFormatting>
  <conditionalFormatting sqref="L6:L8">
    <cfRule type="expression" dxfId="52" priority="40">
      <formula>G6=5</formula>
    </cfRule>
    <cfRule type="cellIs" dxfId="51" priority="41" operator="equal">
      <formula>0</formula>
    </cfRule>
    <cfRule type="cellIs" dxfId="50" priority="42" operator="equal">
      <formula>1</formula>
    </cfRule>
  </conditionalFormatting>
  <conditionalFormatting sqref="M3:M5">
    <cfRule type="cellIs" dxfId="49" priority="21" operator="equal">
      <formula>1</formula>
    </cfRule>
    <cfRule type="cellIs" dxfId="48" priority="20" operator="equal">
      <formula>0</formula>
    </cfRule>
    <cfRule type="expression" dxfId="47" priority="19">
      <formula>O3=5</formula>
    </cfRule>
  </conditionalFormatting>
  <conditionalFormatting sqref="M6:M8">
    <cfRule type="expression" dxfId="46" priority="43">
      <formula>G6=5</formula>
    </cfRule>
    <cfRule type="cellIs" dxfId="45" priority="44" operator="equal">
      <formula>0</formula>
    </cfRule>
    <cfRule type="cellIs" dxfId="44" priority="45" operator="equal">
      <formula>1</formula>
    </cfRule>
  </conditionalFormatting>
  <conditionalFormatting sqref="N3:N5">
    <cfRule type="expression" dxfId="43" priority="22">
      <formula>O3=5</formula>
    </cfRule>
    <cfRule type="cellIs" dxfId="42" priority="24" operator="equal">
      <formula>1</formula>
    </cfRule>
    <cfRule type="cellIs" dxfId="41" priority="23" operator="equal">
      <formula>0</formula>
    </cfRule>
  </conditionalFormatting>
  <conditionalFormatting sqref="N6:N8">
    <cfRule type="expression" dxfId="40" priority="46">
      <formula>G6=5</formula>
    </cfRule>
    <cfRule type="cellIs" dxfId="39" priority="47" operator="equal">
      <formula>0</formula>
    </cfRule>
    <cfRule type="cellIs" dxfId="38" priority="48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38"/>
  <sheetViews>
    <sheetView workbookViewId="0"/>
  </sheetViews>
  <sheetFormatPr defaultColWidth="12.5703125" defaultRowHeight="15.75" customHeight="1" x14ac:dyDescent="0.2"/>
  <cols>
    <col min="1" max="2" width="2.5703125" customWidth="1"/>
    <col min="3" max="8" width="12.5703125" customWidth="1"/>
    <col min="9" max="11" width="2.5703125" customWidth="1"/>
    <col min="12" max="12" width="7.42578125" customWidth="1"/>
    <col min="13" max="13" width="4.85546875" customWidth="1"/>
    <col min="14" max="14" width="9.140625" customWidth="1"/>
    <col min="15" max="15" width="11.28515625" customWidth="1"/>
    <col min="16" max="16" width="13.85546875" customWidth="1"/>
    <col min="17" max="17" width="10.7109375" customWidth="1"/>
    <col min="18" max="18" width="13.28515625" customWidth="1"/>
    <col min="19" max="19" width="13.85546875" customWidth="1"/>
    <col min="20" max="22" width="2.5703125" customWidth="1"/>
    <col min="23" max="23" width="22" customWidth="1"/>
    <col min="24" max="29" width="9.42578125" customWidth="1"/>
    <col min="30" max="31" width="2.5703125" customWidth="1"/>
  </cols>
  <sheetData>
    <row r="1" spans="1:31" ht="16.5" customHeight="1" x14ac:dyDescent="0.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  <c r="M1" s="44"/>
      <c r="N1" s="44"/>
      <c r="O1" s="44"/>
      <c r="P1" s="44"/>
      <c r="Q1" s="44"/>
      <c r="R1" s="44"/>
      <c r="S1" s="44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 ht="16.5" customHeight="1" x14ac:dyDescent="0.2">
      <c r="A2" s="43"/>
      <c r="B2" s="590" t="s">
        <v>48</v>
      </c>
      <c r="C2" s="574"/>
      <c r="D2" s="574"/>
      <c r="E2" s="574"/>
      <c r="F2" s="574"/>
      <c r="G2" s="574"/>
      <c r="H2" s="574"/>
      <c r="I2" s="575"/>
      <c r="J2" s="43"/>
      <c r="K2" s="585" t="s">
        <v>49</v>
      </c>
      <c r="L2" s="565"/>
      <c r="M2" s="565"/>
      <c r="N2" s="565"/>
      <c r="O2" s="565"/>
      <c r="P2" s="565"/>
      <c r="Q2" s="565"/>
      <c r="R2" s="565"/>
      <c r="S2" s="565"/>
      <c r="T2" s="566"/>
      <c r="U2" s="43"/>
      <c r="V2" s="594" t="s">
        <v>50</v>
      </c>
      <c r="W2" s="574"/>
      <c r="X2" s="574"/>
      <c r="Y2" s="574"/>
      <c r="Z2" s="574"/>
      <c r="AA2" s="574"/>
      <c r="AB2" s="574"/>
      <c r="AC2" s="574"/>
      <c r="AD2" s="575"/>
      <c r="AE2" s="43"/>
    </row>
    <row r="3" spans="1:31" ht="16.5" customHeight="1" x14ac:dyDescent="0.2">
      <c r="A3" s="43"/>
      <c r="B3" s="48"/>
      <c r="C3" s="49"/>
      <c r="D3" s="49"/>
      <c r="E3" s="49"/>
      <c r="F3" s="49"/>
      <c r="G3" s="49"/>
      <c r="H3" s="49"/>
      <c r="I3" s="50"/>
      <c r="J3" s="43"/>
      <c r="K3" s="51"/>
      <c r="L3" s="52"/>
      <c r="M3" s="52"/>
      <c r="N3" s="52"/>
      <c r="O3" s="52"/>
      <c r="P3" s="52"/>
      <c r="Q3" s="52"/>
      <c r="R3" s="52"/>
      <c r="S3" s="52"/>
      <c r="T3" s="53"/>
      <c r="U3" s="43"/>
      <c r="V3" s="54"/>
      <c r="W3" s="55"/>
      <c r="X3" s="55"/>
      <c r="Y3" s="55"/>
      <c r="Z3" s="55"/>
      <c r="AA3" s="55"/>
      <c r="AB3" s="55"/>
      <c r="AC3" s="55"/>
      <c r="AD3" s="56"/>
      <c r="AE3" s="43"/>
    </row>
    <row r="4" spans="1:31" ht="16.5" customHeight="1" x14ac:dyDescent="0.2">
      <c r="A4" s="43"/>
      <c r="B4" s="48"/>
      <c r="C4" s="585" t="s">
        <v>51</v>
      </c>
      <c r="D4" s="565"/>
      <c r="E4" s="586" t="s">
        <v>2</v>
      </c>
      <c r="F4" s="565"/>
      <c r="G4" s="586" t="s">
        <v>3</v>
      </c>
      <c r="H4" s="566"/>
      <c r="I4" s="50"/>
      <c r="J4" s="43"/>
      <c r="K4" s="58"/>
      <c r="L4" s="590" t="s">
        <v>18</v>
      </c>
      <c r="M4" s="574"/>
      <c r="N4" s="574"/>
      <c r="O4" s="574"/>
      <c r="P4" s="574"/>
      <c r="Q4" s="574"/>
      <c r="R4" s="574"/>
      <c r="S4" s="575"/>
      <c r="T4" s="59"/>
      <c r="U4" s="43"/>
      <c r="V4" s="60"/>
      <c r="W4" s="61" t="s">
        <v>40</v>
      </c>
      <c r="X4" s="599" t="str">
        <f>VLOOKUP(W4,Paths!$K$2:$N$7,4,FALSE)</f>
        <v>Focuses inward, improving the chance to successfully dodge an attack.</v>
      </c>
      <c r="Y4" s="574"/>
      <c r="Z4" s="574"/>
      <c r="AA4" s="574"/>
      <c r="AB4" s="574"/>
      <c r="AC4" s="575"/>
      <c r="AD4" s="50"/>
      <c r="AE4" s="43"/>
    </row>
    <row r="5" spans="1:31" ht="16.5" customHeight="1" x14ac:dyDescent="0.2">
      <c r="A5" s="43"/>
      <c r="B5" s="58"/>
      <c r="C5" s="591" t="s">
        <v>52</v>
      </c>
      <c r="D5" s="574"/>
      <c r="E5" s="592" t="str">
        <f>'Combatant Information'!D3</f>
        <v>1st</v>
      </c>
      <c r="F5" s="574"/>
      <c r="G5" s="593" t="str">
        <f>'Combatant Information'!E3</f>
        <v>Stone</v>
      </c>
      <c r="H5" s="575"/>
      <c r="I5" s="59"/>
      <c r="J5" s="43"/>
      <c r="K5" s="58"/>
      <c r="L5" s="45" t="s">
        <v>3</v>
      </c>
      <c r="M5" s="64" t="s">
        <v>53</v>
      </c>
      <c r="N5" s="64" t="s">
        <v>54</v>
      </c>
      <c r="O5" s="65" t="s">
        <v>55</v>
      </c>
      <c r="P5" s="587" t="s">
        <v>56</v>
      </c>
      <c r="Q5" s="574"/>
      <c r="R5" s="587" t="s">
        <v>57</v>
      </c>
      <c r="S5" s="575"/>
      <c r="T5" s="59"/>
      <c r="U5" s="43"/>
      <c r="V5" s="60"/>
      <c r="W5" s="2"/>
      <c r="X5" s="2"/>
      <c r="Y5" s="2"/>
      <c r="Z5" s="2"/>
      <c r="AA5" s="2"/>
      <c r="AB5" s="2"/>
      <c r="AC5" s="2"/>
      <c r="AD5" s="50"/>
      <c r="AE5" s="43"/>
    </row>
    <row r="6" spans="1:31" ht="16.5" customHeight="1" x14ac:dyDescent="0.2">
      <c r="A6" s="43"/>
      <c r="B6" s="58"/>
      <c r="C6" s="594" t="s">
        <v>58</v>
      </c>
      <c r="D6" s="574"/>
      <c r="E6" s="595" t="str">
        <f>Input!I11</f>
        <v>The Barrels</v>
      </c>
      <c r="F6" s="574"/>
      <c r="G6" s="574"/>
      <c r="H6" s="575"/>
      <c r="I6" s="59"/>
      <c r="J6" s="43"/>
      <c r="K6" s="58"/>
      <c r="L6" s="67">
        <f>IF(M6&gt;='Reaction Progression &amp; Log'!$B$12,'Reaction Progression &amp; Log'!$A$12,IF(M6&gt;='Reaction Progression &amp; Log'!$B$11,'Reaction Progression &amp; Log'!$A$11,IF(M6&gt;='Reaction Progression &amp; Log'!$B$10,'Reaction Progression &amp; Log'!$A$10,IF(M6&gt;='Reaction Progression &amp; Log'!$B$9,'Reaction Progression &amp; Log'!$A$9,IF(M6&gt;='Reaction Progression &amp; Log'!$B$8,'Reaction Progression &amp; Log'!$A$8,IF(M6&gt;='Reaction Progression &amp; Log'!$B$7,'Reaction Progression &amp; Log'!$A$7,IF(M6&gt;='Reaction Progression &amp; Log'!$B$6,'Reaction Progression &amp; Log'!$A$6,IF(M6&gt;='Reaction Progression &amp; Log'!$B$5,'Reaction Progression &amp; Log'!$A$5,IF(M6&gt;='Reaction Progression &amp; Log'!$B$4,'Reaction Progression &amp; Log'!$A$4,IF(M6&gt;='Reaction Progression &amp; Log'!$B$3,'Reaction Progression &amp; Log'!$A$3,'Reaction Progression &amp; Log'!$A$2))))))))))</f>
        <v>1</v>
      </c>
      <c r="M6" s="66">
        <f>SUMIF('Reaction Progression &amp; Log'!$D:$D,$C$5,'Reaction Progression &amp; Log'!$E:$E)</f>
        <v>6</v>
      </c>
      <c r="N6" s="68">
        <f>IF(L6=11,"--",VLOOKUP(L6+1,'Reaction Progression &amp; Log'!$A$2:$B$12,2,FALSE))</f>
        <v>100</v>
      </c>
      <c r="O6" s="69">
        <f>VLOOKUP($L6,'Defense Simulations'!$C$3:$W$13,3,FALSE)</f>
        <v>0.4</v>
      </c>
      <c r="P6" s="588">
        <f>VLOOKUP($L6,'Defense Simulations'!$C$3:$W$13,4,FALSE)</f>
        <v>0.55000000000000004</v>
      </c>
      <c r="Q6" s="565"/>
      <c r="R6" s="588">
        <f>VLOOKUP($L6,'Defense Simulations'!$C$3:$W$13,5,FALSE)</f>
        <v>0.4</v>
      </c>
      <c r="S6" s="566"/>
      <c r="T6" s="59"/>
      <c r="U6" s="43"/>
      <c r="V6" s="60"/>
      <c r="W6" s="2"/>
      <c r="X6" s="70" t="s">
        <v>36</v>
      </c>
      <c r="Y6" s="71" t="s">
        <v>38</v>
      </c>
      <c r="Z6" s="71" t="s">
        <v>40</v>
      </c>
      <c r="AA6" s="71" t="s">
        <v>42</v>
      </c>
      <c r="AB6" s="71" t="s">
        <v>44</v>
      </c>
      <c r="AC6" s="72" t="s">
        <v>46</v>
      </c>
      <c r="AD6" s="50"/>
      <c r="AE6" s="43"/>
    </row>
    <row r="7" spans="1:31" ht="16.5" customHeight="1" x14ac:dyDescent="0.2">
      <c r="A7" s="43"/>
      <c r="B7" s="73"/>
      <c r="C7" s="74"/>
      <c r="D7" s="74"/>
      <c r="E7" s="74"/>
      <c r="F7" s="74"/>
      <c r="G7" s="74"/>
      <c r="H7" s="74"/>
      <c r="I7" s="75"/>
      <c r="J7" s="43"/>
      <c r="K7" s="58"/>
      <c r="L7" s="584" t="s">
        <v>59</v>
      </c>
      <c r="M7" s="561"/>
      <c r="N7" s="561"/>
      <c r="O7" s="76">
        <f>Math!J13</f>
        <v>0.4</v>
      </c>
      <c r="P7" s="589">
        <f>Math!L13</f>
        <v>0.55000000000000004</v>
      </c>
      <c r="Q7" s="561"/>
      <c r="R7" s="589">
        <f>Math!N13</f>
        <v>0.4</v>
      </c>
      <c r="S7" s="562"/>
      <c r="T7" s="59"/>
      <c r="U7" s="43"/>
      <c r="V7" s="60"/>
      <c r="W7" s="2"/>
      <c r="X7" s="2"/>
      <c r="Y7" s="2"/>
      <c r="Z7" s="2"/>
      <c r="AA7" s="2"/>
      <c r="AB7" s="2"/>
      <c r="AC7" s="2"/>
      <c r="AD7" s="50"/>
      <c r="AE7" s="43"/>
    </row>
    <row r="8" spans="1:31" ht="16.5" customHeight="1" x14ac:dyDescent="0.2">
      <c r="A8" s="43"/>
      <c r="B8" s="43"/>
      <c r="C8" s="43"/>
      <c r="D8" s="43"/>
      <c r="E8" s="43"/>
      <c r="F8" s="43"/>
      <c r="G8" s="43"/>
      <c r="H8" s="43"/>
      <c r="I8" s="43"/>
      <c r="J8" s="43"/>
      <c r="K8" s="58"/>
      <c r="L8" s="35"/>
      <c r="M8" s="49"/>
      <c r="N8" s="49"/>
      <c r="O8" s="49"/>
      <c r="P8" s="49"/>
      <c r="Q8" s="49"/>
      <c r="R8" s="49"/>
      <c r="S8" s="49"/>
      <c r="T8" s="59"/>
      <c r="U8" s="43"/>
      <c r="V8" s="60"/>
      <c r="W8" s="583" t="s">
        <v>60</v>
      </c>
      <c r="X8" s="574"/>
      <c r="Y8" s="574"/>
      <c r="Z8" s="574"/>
      <c r="AA8" s="574"/>
      <c r="AB8" s="574"/>
      <c r="AC8" s="575"/>
      <c r="AD8" s="50"/>
      <c r="AE8" s="43"/>
    </row>
    <row r="9" spans="1:31" ht="16.5" customHeight="1" x14ac:dyDescent="0.2">
      <c r="A9" s="43"/>
      <c r="B9" s="590" t="s">
        <v>61</v>
      </c>
      <c r="C9" s="574"/>
      <c r="D9" s="574"/>
      <c r="E9" s="574"/>
      <c r="F9" s="574"/>
      <c r="G9" s="574"/>
      <c r="H9" s="574"/>
      <c r="I9" s="575"/>
      <c r="J9" s="43"/>
      <c r="K9" s="58"/>
      <c r="L9" s="590" t="s">
        <v>20</v>
      </c>
      <c r="M9" s="574"/>
      <c r="N9" s="574"/>
      <c r="O9" s="574"/>
      <c r="P9" s="574"/>
      <c r="Q9" s="574"/>
      <c r="R9" s="574"/>
      <c r="S9" s="575"/>
      <c r="T9" s="59"/>
      <c r="U9" s="43"/>
      <c r="V9" s="60"/>
      <c r="W9" s="77" t="s">
        <v>62</v>
      </c>
      <c r="X9" s="78" t="b">
        <v>0</v>
      </c>
      <c r="Y9" s="78" t="b">
        <v>0</v>
      </c>
      <c r="Z9" s="78" t="b">
        <v>1</v>
      </c>
      <c r="AA9" s="78" t="b">
        <v>0</v>
      </c>
      <c r="AB9" s="78" t="b">
        <v>0</v>
      </c>
      <c r="AC9" s="79" t="b">
        <v>0</v>
      </c>
      <c r="AD9" s="50"/>
      <c r="AE9" s="43"/>
    </row>
    <row r="10" spans="1:31" ht="16.5" customHeight="1" x14ac:dyDescent="0.2">
      <c r="A10" s="43"/>
      <c r="B10" s="80"/>
      <c r="C10" s="55"/>
      <c r="D10" s="55"/>
      <c r="E10" s="55"/>
      <c r="F10" s="55"/>
      <c r="G10" s="55"/>
      <c r="H10" s="55"/>
      <c r="I10" s="56"/>
      <c r="J10" s="43"/>
      <c r="K10" s="58"/>
      <c r="L10" s="45" t="s">
        <v>3</v>
      </c>
      <c r="M10" s="64" t="s">
        <v>53</v>
      </c>
      <c r="N10" s="64" t="s">
        <v>54</v>
      </c>
      <c r="O10" s="65" t="s">
        <v>55</v>
      </c>
      <c r="P10" s="587" t="s">
        <v>56</v>
      </c>
      <c r="Q10" s="574"/>
      <c r="R10" s="587" t="s">
        <v>57</v>
      </c>
      <c r="S10" s="575"/>
      <c r="T10" s="59"/>
      <c r="U10" s="43"/>
      <c r="V10" s="60"/>
      <c r="W10" s="2"/>
      <c r="X10" s="81" t="str">
        <f t="shared" ref="X10:AC10" si="0">IF(X9=TRUE,X6,"")</f>
        <v/>
      </c>
      <c r="Y10" s="81" t="str">
        <f t="shared" si="0"/>
        <v/>
      </c>
      <c r="Z10" s="81" t="str">
        <f t="shared" si="0"/>
        <v>Air</v>
      </c>
      <c r="AA10" s="81" t="str">
        <f t="shared" si="0"/>
        <v/>
      </c>
      <c r="AB10" s="81" t="str">
        <f t="shared" si="0"/>
        <v/>
      </c>
      <c r="AC10" s="81" t="str">
        <f t="shared" si="0"/>
        <v/>
      </c>
      <c r="AD10" s="50"/>
      <c r="AE10" s="43"/>
    </row>
    <row r="11" spans="1:31" ht="16.5" customHeight="1" x14ac:dyDescent="0.2">
      <c r="A11" s="43"/>
      <c r="B11" s="48"/>
      <c r="C11" s="82"/>
      <c r="D11" s="587" t="s">
        <v>63</v>
      </c>
      <c r="E11" s="574"/>
      <c r="F11" s="65" t="s">
        <v>64</v>
      </c>
      <c r="G11" s="65" t="s">
        <v>65</v>
      </c>
      <c r="H11" s="83" t="s">
        <v>25</v>
      </c>
      <c r="I11" s="50"/>
      <c r="J11" s="43"/>
      <c r="K11" s="58"/>
      <c r="L11" s="67">
        <f>IF(M11&gt;='Reaction Progression &amp; Log'!$B$12,'Reaction Progression &amp; Log'!$A$12,IF(M11&gt;='Reaction Progression &amp; Log'!$B$11,'Reaction Progression &amp; Log'!$A$11,IF(M11&gt;='Reaction Progression &amp; Log'!$B$10,'Reaction Progression &amp; Log'!$A$10,IF(M11&gt;='Reaction Progression &amp; Log'!$B$9,'Reaction Progression &amp; Log'!$A$9,IF(M11&gt;='Reaction Progression &amp; Log'!$B$8,'Reaction Progression &amp; Log'!$A$8,IF(M11&gt;='Reaction Progression &amp; Log'!$B$7,'Reaction Progression &amp; Log'!$A$7,IF(M11&gt;='Reaction Progression &amp; Log'!$B$6,'Reaction Progression &amp; Log'!$A$6,IF(M11&gt;='Reaction Progression &amp; Log'!$B$5,'Reaction Progression &amp; Log'!$A$5,IF(M11&gt;='Reaction Progression &amp; Log'!$B$4,'Reaction Progression &amp; Log'!$A$4,IF(M11&gt;='Reaction Progression &amp; Log'!$B$3,'Reaction Progression &amp; Log'!$A$3,'Reaction Progression &amp; Log'!$A$2))))))))))</f>
        <v>1</v>
      </c>
      <c r="M11" s="66">
        <f>SUMIF('Reaction Progression &amp; Log'!$D:$D,$C$5,'Reaction Progression &amp; Log'!$F:$F)</f>
        <v>8</v>
      </c>
      <c r="N11" s="68">
        <f>IF(L11=11,"--",VLOOKUP(L11+1,'Reaction Progression &amp; Log'!$A$2:$B$12,2,FALSE))</f>
        <v>100</v>
      </c>
      <c r="O11" s="69">
        <f>VLOOKUP($L11,'Defense Simulations'!$C$3:$W$13,11,FALSE)</f>
        <v>0.3</v>
      </c>
      <c r="P11" s="588">
        <f>VLOOKUP($L11,'Defense Simulations'!$C$3:$W$13,12,FALSE)</f>
        <v>0.8</v>
      </c>
      <c r="Q11" s="565"/>
      <c r="R11" s="588">
        <f>VLOOKUP($L11,'Defense Simulations'!$C$3:$W$13,13,FALSE)</f>
        <v>0.1</v>
      </c>
      <c r="S11" s="566"/>
      <c r="T11" s="59"/>
      <c r="U11" s="43"/>
      <c r="V11" s="60"/>
      <c r="W11" s="583" t="s">
        <v>66</v>
      </c>
      <c r="X11" s="574"/>
      <c r="Y11" s="574"/>
      <c r="Z11" s="574"/>
      <c r="AA11" s="574"/>
      <c r="AB11" s="574"/>
      <c r="AC11" s="575"/>
      <c r="AD11" s="50"/>
      <c r="AE11" s="43"/>
    </row>
    <row r="12" spans="1:31" ht="16.5" customHeight="1" x14ac:dyDescent="0.2">
      <c r="A12" s="43"/>
      <c r="B12" s="58"/>
      <c r="C12" s="84" t="s">
        <v>67</v>
      </c>
      <c r="D12" s="596">
        <f>VLOOKUP(CONCATENATE(E5," Degree ",G5),'Rank Progression'!C:G,3,FALSE)-(F13+G13+H13)</f>
        <v>0</v>
      </c>
      <c r="E12" s="566"/>
      <c r="F12" s="85">
        <v>5</v>
      </c>
      <c r="G12" s="86">
        <v>5</v>
      </c>
      <c r="H12" s="87">
        <v>5</v>
      </c>
      <c r="I12" s="59"/>
      <c r="J12" s="43"/>
      <c r="K12" s="58"/>
      <c r="L12" s="584" t="s">
        <v>59</v>
      </c>
      <c r="M12" s="561"/>
      <c r="N12" s="561"/>
      <c r="O12" s="76">
        <f>Math!P13</f>
        <v>0.3</v>
      </c>
      <c r="P12" s="589">
        <f>Math!R13</f>
        <v>0.8</v>
      </c>
      <c r="Q12" s="561"/>
      <c r="R12" s="589">
        <f>Math!T13</f>
        <v>0.1</v>
      </c>
      <c r="S12" s="562"/>
      <c r="T12" s="59"/>
      <c r="U12" s="43"/>
      <c r="V12" s="60"/>
      <c r="W12" s="88" t="s">
        <v>68</v>
      </c>
      <c r="X12" s="89" t="str">
        <f>CONCATENATE(Paths!AE3," / ",VLOOKUP(X13+1,Paths!$P$2:$S$6,2,FALSE))</f>
        <v>0 / 35</v>
      </c>
      <c r="Y12" s="90" t="str">
        <f>CONCATENATE(Paths!AG3," / ",VLOOKUP(Y13+1,Paths!$P$2:$S$6,2,FALSE))</f>
        <v>0 / 35</v>
      </c>
      <c r="Z12" s="90" t="str">
        <f>CONCATENATE(Paths!AI3," / ",VLOOKUP(Z13+1,Paths!$P$2:$S$6,2,FALSE))</f>
        <v>9.5 / 35</v>
      </c>
      <c r="AA12" s="90" t="str">
        <f>CONCATENATE(Paths!AK3," / ",VLOOKUP(AA13+1,Paths!$P$2:$S$6,2,FALSE))</f>
        <v>1.25 / 35</v>
      </c>
      <c r="AB12" s="90" t="str">
        <f>CONCATENATE(Paths!AM3," / ",VLOOKUP(AB13+1,Paths!$P$2:$S$6,2,FALSE))</f>
        <v>0 / 35</v>
      </c>
      <c r="AC12" s="91" t="str">
        <f>CONCATENATE(Paths!AO3," / ",VLOOKUP(AC13+1,Paths!$P$2:$S$6,2,FALSE))</f>
        <v>0 / 35</v>
      </c>
      <c r="AD12" s="50"/>
      <c r="AE12" s="43"/>
    </row>
    <row r="13" spans="1:31" ht="16.5" customHeight="1" x14ac:dyDescent="0.2">
      <c r="A13" s="43"/>
      <c r="B13" s="58"/>
      <c r="C13" s="92" t="s">
        <v>69</v>
      </c>
      <c r="D13" s="597"/>
      <c r="E13" s="559"/>
      <c r="F13" s="63"/>
      <c r="G13" s="93"/>
      <c r="H13" s="93"/>
      <c r="I13" s="59"/>
      <c r="J13" s="43"/>
      <c r="K13" s="58"/>
      <c r="L13" s="94"/>
      <c r="M13" s="94"/>
      <c r="N13" s="94"/>
      <c r="O13" s="94"/>
      <c r="P13" s="94"/>
      <c r="Q13" s="94"/>
      <c r="R13" s="94"/>
      <c r="S13" s="94"/>
      <c r="T13" s="59"/>
      <c r="U13" s="43"/>
      <c r="V13" s="60"/>
      <c r="W13" s="95" t="s">
        <v>70</v>
      </c>
      <c r="X13" s="96">
        <f>Paths!AF3</f>
        <v>0</v>
      </c>
      <c r="Y13" s="97">
        <f>Paths!AH3</f>
        <v>0</v>
      </c>
      <c r="Z13" s="97">
        <f>Paths!AJ3</f>
        <v>0</v>
      </c>
      <c r="AA13" s="97">
        <f>Paths!AL3</f>
        <v>0</v>
      </c>
      <c r="AB13" s="97">
        <f>Paths!AN3</f>
        <v>0</v>
      </c>
      <c r="AC13" s="98">
        <f>Paths!AP3</f>
        <v>0</v>
      </c>
      <c r="AD13" s="50"/>
      <c r="AE13" s="43"/>
    </row>
    <row r="14" spans="1:31" ht="16.5" customHeight="1" x14ac:dyDescent="0.2">
      <c r="A14" s="43"/>
      <c r="B14" s="58"/>
      <c r="C14" s="99" t="s">
        <v>59</v>
      </c>
      <c r="D14" s="598"/>
      <c r="E14" s="562"/>
      <c r="F14" s="100">
        <f t="shared" ref="F14:H14" si="1">F12+F13</f>
        <v>5</v>
      </c>
      <c r="G14" s="101">
        <f t="shared" si="1"/>
        <v>5</v>
      </c>
      <c r="H14" s="102">
        <f t="shared" si="1"/>
        <v>5</v>
      </c>
      <c r="I14" s="59"/>
      <c r="J14" s="43"/>
      <c r="K14" s="58"/>
      <c r="L14" s="590" t="s">
        <v>22</v>
      </c>
      <c r="M14" s="574"/>
      <c r="N14" s="574"/>
      <c r="O14" s="574"/>
      <c r="P14" s="574"/>
      <c r="Q14" s="574"/>
      <c r="R14" s="574"/>
      <c r="S14" s="575"/>
      <c r="T14" s="59"/>
      <c r="U14" s="43"/>
      <c r="V14" s="60"/>
      <c r="W14" s="2"/>
      <c r="X14" s="2"/>
      <c r="Y14" s="2"/>
      <c r="Z14" s="2"/>
      <c r="AA14" s="2"/>
      <c r="AB14" s="2"/>
      <c r="AC14" s="2"/>
      <c r="AD14" s="50"/>
      <c r="AE14" s="43"/>
    </row>
    <row r="15" spans="1:31" ht="16.5" customHeight="1" x14ac:dyDescent="0.2">
      <c r="A15" s="43"/>
      <c r="B15" s="103"/>
      <c r="C15" s="104"/>
      <c r="D15" s="104"/>
      <c r="E15" s="104"/>
      <c r="F15" s="104"/>
      <c r="G15" s="104"/>
      <c r="H15" s="104"/>
      <c r="I15" s="105"/>
      <c r="J15" s="43"/>
      <c r="K15" s="58"/>
      <c r="L15" s="45" t="s">
        <v>3</v>
      </c>
      <c r="M15" s="64" t="s">
        <v>53</v>
      </c>
      <c r="N15" s="64" t="s">
        <v>54</v>
      </c>
      <c r="O15" s="65" t="s">
        <v>55</v>
      </c>
      <c r="P15" s="587" t="s">
        <v>56</v>
      </c>
      <c r="Q15" s="574"/>
      <c r="R15" s="587" t="s">
        <v>57</v>
      </c>
      <c r="S15" s="575"/>
      <c r="T15" s="59"/>
      <c r="U15" s="43"/>
      <c r="V15" s="60"/>
      <c r="W15" s="583" t="s">
        <v>71</v>
      </c>
      <c r="X15" s="574"/>
      <c r="Y15" s="574"/>
      <c r="Z15" s="574"/>
      <c r="AA15" s="574"/>
      <c r="AB15" s="574"/>
      <c r="AC15" s="575"/>
      <c r="AD15" s="50"/>
      <c r="AE15" s="43"/>
    </row>
    <row r="16" spans="1:31" ht="16.5" customHeight="1" x14ac:dyDescent="0.2">
      <c r="A16" s="43"/>
      <c r="B16" s="44"/>
      <c r="C16" s="44"/>
      <c r="D16" s="44"/>
      <c r="E16" s="44"/>
      <c r="F16" s="44"/>
      <c r="G16" s="44"/>
      <c r="H16" s="44"/>
      <c r="I16" s="44"/>
      <c r="J16" s="43"/>
      <c r="K16" s="58"/>
      <c r="L16" s="67">
        <f>IF(M16&gt;='Reaction Progression &amp; Log'!$B$12,'Reaction Progression &amp; Log'!$A$12,IF(M16&gt;='Reaction Progression &amp; Log'!$B$11,'Reaction Progression &amp; Log'!$A$11,IF(M16&gt;='Reaction Progression &amp; Log'!$B$10,'Reaction Progression &amp; Log'!$A$10,IF(M16&gt;='Reaction Progression &amp; Log'!$B$9,'Reaction Progression &amp; Log'!$A$9,IF(M16&gt;='Reaction Progression &amp; Log'!$B$8,'Reaction Progression &amp; Log'!$A$8,IF(M16&gt;='Reaction Progression &amp; Log'!$B$7,'Reaction Progression &amp; Log'!$A$7,IF(M16&gt;='Reaction Progression &amp; Log'!$B$6,'Reaction Progression &amp; Log'!$A$6,IF(M16&gt;='Reaction Progression &amp; Log'!$B$5,'Reaction Progression &amp; Log'!$A$5,IF(M16&gt;='Reaction Progression &amp; Log'!$B$4,'Reaction Progression &amp; Log'!$A$4,IF(M16&gt;='Reaction Progression &amp; Log'!$B$3,'Reaction Progression &amp; Log'!$A$3,'Reaction Progression &amp; Log'!$A$2))))))))))</f>
        <v>1</v>
      </c>
      <c r="M16" s="66">
        <f>SUMIF('Reaction Progression &amp; Log'!$D:$D,$C$5,'Reaction Progression &amp; Log'!$G:$G)</f>
        <v>10</v>
      </c>
      <c r="N16" s="68">
        <f>IF(L16=11,"--",VLOOKUP(L16+1,'Reaction Progression &amp; Log'!$A$2:$B$12,2,FALSE))</f>
        <v>100</v>
      </c>
      <c r="O16" s="69">
        <f>VLOOKUP($L16,'Defense Simulations'!$C$3:$W$13,19,FALSE)</f>
        <v>0.1</v>
      </c>
      <c r="P16" s="588">
        <f>VLOOKUP($L16,'Defense Simulations'!$C$3:$W$13,20,FALSE)</f>
        <v>0.9</v>
      </c>
      <c r="Q16" s="565"/>
      <c r="R16" s="588">
        <f>VLOOKUP($L16,'Defense Simulations'!$C$3:$W$13,21,FALSE)</f>
        <v>0</v>
      </c>
      <c r="S16" s="566"/>
      <c r="T16" s="59"/>
      <c r="U16" s="43"/>
      <c r="V16" s="60"/>
      <c r="W16" s="88" t="s">
        <v>72</v>
      </c>
      <c r="X16" s="90" t="s">
        <v>73</v>
      </c>
      <c r="Y16" s="90" t="s">
        <v>74</v>
      </c>
      <c r="Z16" s="90" t="s">
        <v>73</v>
      </c>
      <c r="AA16" s="90" t="s">
        <v>74</v>
      </c>
      <c r="AB16" s="90" t="s">
        <v>74</v>
      </c>
      <c r="AC16" s="91" t="s">
        <v>73</v>
      </c>
      <c r="AD16" s="50"/>
      <c r="AE16" s="43"/>
    </row>
    <row r="17" spans="1:31" ht="16.5" customHeight="1" x14ac:dyDescent="0.2">
      <c r="A17" s="43"/>
      <c r="B17" s="590" t="s">
        <v>75</v>
      </c>
      <c r="C17" s="574"/>
      <c r="D17" s="574"/>
      <c r="E17" s="574"/>
      <c r="F17" s="574"/>
      <c r="G17" s="574"/>
      <c r="H17" s="574"/>
      <c r="I17" s="575"/>
      <c r="J17" s="43"/>
      <c r="K17" s="58"/>
      <c r="L17" s="584" t="s">
        <v>59</v>
      </c>
      <c r="M17" s="561"/>
      <c r="N17" s="561"/>
      <c r="O17" s="76">
        <f>Math!V13</f>
        <v>0.1</v>
      </c>
      <c r="P17" s="589">
        <f>Math!X13</f>
        <v>0.9</v>
      </c>
      <c r="Q17" s="561"/>
      <c r="R17" s="589">
        <f>Math!Z13</f>
        <v>0</v>
      </c>
      <c r="S17" s="562"/>
      <c r="T17" s="59"/>
      <c r="U17" s="43"/>
      <c r="V17" s="60"/>
      <c r="W17" s="95" t="s">
        <v>76</v>
      </c>
      <c r="X17" s="97" t="s">
        <v>77</v>
      </c>
      <c r="Y17" s="97" t="s">
        <v>78</v>
      </c>
      <c r="Z17" s="97" t="s">
        <v>78</v>
      </c>
      <c r="AA17" s="97" t="s">
        <v>79</v>
      </c>
      <c r="AB17" s="97" t="s">
        <v>77</v>
      </c>
      <c r="AC17" s="98" t="s">
        <v>79</v>
      </c>
      <c r="AD17" s="50"/>
      <c r="AE17" s="43"/>
    </row>
    <row r="18" spans="1:31" ht="16.5" customHeight="1" x14ac:dyDescent="0.2">
      <c r="A18" s="43"/>
      <c r="B18" s="35"/>
      <c r="C18" s="35"/>
      <c r="D18" s="35"/>
      <c r="E18" s="35"/>
      <c r="F18" s="35"/>
      <c r="G18" s="35"/>
      <c r="H18" s="35"/>
      <c r="I18" s="35"/>
      <c r="J18" s="43"/>
      <c r="K18" s="73"/>
      <c r="L18" s="106"/>
      <c r="M18" s="106"/>
      <c r="N18" s="106"/>
      <c r="O18" s="106"/>
      <c r="P18" s="106"/>
      <c r="Q18" s="106"/>
      <c r="R18" s="106"/>
      <c r="S18" s="106"/>
      <c r="T18" s="75"/>
      <c r="U18" s="43"/>
      <c r="V18" s="60"/>
      <c r="W18" s="2"/>
      <c r="X18" s="2"/>
      <c r="Y18" s="2"/>
      <c r="Z18" s="2"/>
      <c r="AA18" s="2"/>
      <c r="AB18" s="2"/>
      <c r="AC18" s="2"/>
      <c r="AD18" s="50"/>
      <c r="AE18" s="43"/>
    </row>
    <row r="19" spans="1:31" ht="16.5" customHeight="1" x14ac:dyDescent="0.2">
      <c r="A19" s="43"/>
      <c r="B19" s="35"/>
      <c r="C19" s="84" t="str">
        <f>Personality!B3</f>
        <v>Patience</v>
      </c>
      <c r="D19" s="107" t="str">
        <f>Personality!C3</f>
        <v>Empathy</v>
      </c>
      <c r="E19" s="107" t="str">
        <f>Personality!D3</f>
        <v>Cunning</v>
      </c>
      <c r="F19" s="107" t="str">
        <f>Personality!E3</f>
        <v>Logic</v>
      </c>
      <c r="G19" s="107" t="str">
        <f>Personality!F3</f>
        <v>Kindness</v>
      </c>
      <c r="H19" s="108" t="str">
        <f>Personality!G3</f>
        <v>Charisma</v>
      </c>
      <c r="I19" s="35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60"/>
      <c r="W19" s="583" t="s">
        <v>80</v>
      </c>
      <c r="X19" s="574"/>
      <c r="Y19" s="574"/>
      <c r="Z19" s="574"/>
      <c r="AA19" s="574"/>
      <c r="AB19" s="574"/>
      <c r="AC19" s="575"/>
      <c r="AD19" s="50"/>
      <c r="AE19" s="43"/>
    </row>
    <row r="20" spans="1:31" ht="16.5" customHeight="1" x14ac:dyDescent="0.2">
      <c r="A20" s="43"/>
      <c r="B20" s="35"/>
      <c r="C20" s="109">
        <f>Personality!B4</f>
        <v>0.15</v>
      </c>
      <c r="D20" s="110">
        <f>Personality!C4</f>
        <v>0.15</v>
      </c>
      <c r="E20" s="110">
        <f>Personality!D4</f>
        <v>0.19</v>
      </c>
      <c r="F20" s="110">
        <f>Personality!E4</f>
        <v>0.16</v>
      </c>
      <c r="G20" s="110">
        <f>Personality!F4</f>
        <v>0.16</v>
      </c>
      <c r="H20" s="111">
        <f>Personality!G4</f>
        <v>0.19</v>
      </c>
      <c r="I20" s="35"/>
      <c r="J20" s="43"/>
      <c r="K20" s="590" t="s">
        <v>81</v>
      </c>
      <c r="L20" s="574"/>
      <c r="M20" s="574"/>
      <c r="N20" s="574"/>
      <c r="O20" s="574"/>
      <c r="P20" s="574"/>
      <c r="Q20" s="574"/>
      <c r="R20" s="574"/>
      <c r="S20" s="574"/>
      <c r="T20" s="575"/>
      <c r="U20" s="43"/>
      <c r="V20" s="60"/>
      <c r="W20" s="112" t="s">
        <v>82</v>
      </c>
      <c r="X20" s="113">
        <f>VLOOKUP(CONCATENATE(X$6," - ",X$13),Paths!$C$2:$I$28,2,FALSE)</f>
        <v>0.04</v>
      </c>
      <c r="Y20" s="114">
        <f>VLOOKUP(CONCATENATE(Y6," - ",Y13),Paths!$C$2:$I$28,2,FALSE)</f>
        <v>-0.06</v>
      </c>
      <c r="Z20" s="114">
        <f>VLOOKUP(CONCATENATE(Z6," - ",Z13),Paths!$C$2:$I$28,2,FALSE)</f>
        <v>0.06</v>
      </c>
      <c r="AA20" s="114">
        <f>VLOOKUP(CONCATENATE(AA6," - ",AA13),Paths!$C$2:$I$28,2,FALSE)</f>
        <v>-0.08</v>
      </c>
      <c r="AB20" s="114">
        <f>VLOOKUP(CONCATENATE(AB6," - ",AB13),Paths!$C$2:$I$28,2,FALSE)</f>
        <v>-0.04</v>
      </c>
      <c r="AC20" s="115">
        <f>VLOOKUP(CONCATENATE(AC6," - ",AC13),Paths!$C$2:$I$28,2,FALSE)</f>
        <v>0.08</v>
      </c>
      <c r="AD20" s="50"/>
      <c r="AE20" s="43"/>
    </row>
    <row r="21" spans="1:31" ht="16.5" customHeight="1" x14ac:dyDescent="0.2">
      <c r="A21" s="43"/>
      <c r="B21" s="35"/>
      <c r="C21" s="116"/>
      <c r="D21" s="117"/>
      <c r="E21" s="117"/>
      <c r="F21" s="117"/>
      <c r="G21" s="117"/>
      <c r="H21" s="118"/>
      <c r="I21" s="35"/>
      <c r="J21" s="43"/>
      <c r="K21" s="51"/>
      <c r="L21" s="55"/>
      <c r="M21" s="55"/>
      <c r="N21" s="55"/>
      <c r="O21" s="55"/>
      <c r="P21" s="55"/>
      <c r="Q21" s="55"/>
      <c r="R21" s="55"/>
      <c r="S21" s="55"/>
      <c r="T21" s="53"/>
      <c r="U21" s="43"/>
      <c r="V21" s="60"/>
      <c r="W21" s="119" t="s">
        <v>83</v>
      </c>
      <c r="X21" s="120">
        <f>VLOOKUP(CONCATENATE(X$6," - ",X$13),Paths!$C$2:$I$28,3,FALSE)</f>
        <v>0.05</v>
      </c>
      <c r="Y21" s="121">
        <f>VLOOKUP(CONCATENATE(Y$6," - ",Y$13),Paths!$C$2:$I$28,3,FALSE)</f>
        <v>-6.9999999999999993E-2</v>
      </c>
      <c r="Z21" s="121">
        <f>VLOOKUP(CONCATENATE(Z$6," - ",Z$13),Paths!$C$2:$I$28,3,FALSE)</f>
        <v>6.9999999999999993E-2</v>
      </c>
      <c r="AA21" s="121">
        <f>VLOOKUP(CONCATENATE(AA$6," - ",AA$13),Paths!$C$2:$I$28,3,FALSE)</f>
        <v>-0.09</v>
      </c>
      <c r="AB21" s="121">
        <f>VLOOKUP(CONCATENATE(AB$6," - ",AB$13),Paths!$C$2:$I$28,3,FALSE)</f>
        <v>-0.05</v>
      </c>
      <c r="AC21" s="122">
        <f>VLOOKUP(CONCATENATE(AC$6," - ",AC$13),Paths!$C$2:$I$28,3,FALSE)</f>
        <v>0.09</v>
      </c>
      <c r="AD21" s="50"/>
      <c r="AE21" s="43"/>
    </row>
    <row r="22" spans="1:31" ht="16.5" customHeight="1" x14ac:dyDescent="0.2">
      <c r="A22" s="43"/>
      <c r="B22" s="35"/>
      <c r="C22" s="116"/>
      <c r="D22" s="117"/>
      <c r="E22" s="117"/>
      <c r="F22" s="117"/>
      <c r="G22" s="117"/>
      <c r="H22" s="118"/>
      <c r="I22" s="35"/>
      <c r="J22" s="43"/>
      <c r="K22" s="58"/>
      <c r="L22" s="585" t="s">
        <v>84</v>
      </c>
      <c r="M22" s="565"/>
      <c r="N22" s="586" t="s">
        <v>85</v>
      </c>
      <c r="O22" s="565"/>
      <c r="P22" s="565"/>
      <c r="Q22" s="57" t="s">
        <v>86</v>
      </c>
      <c r="R22" s="57" t="s">
        <v>87</v>
      </c>
      <c r="S22" s="123" t="s">
        <v>88</v>
      </c>
      <c r="T22" s="59"/>
      <c r="U22" s="43"/>
      <c r="V22" s="60"/>
      <c r="W22" s="119" t="s">
        <v>89</v>
      </c>
      <c r="X22" s="120">
        <f>VLOOKUP(CONCATENATE(X$6," - ",X$13),Paths!$C$2:$I$28,4,FALSE)</f>
        <v>6.0000000000000005E-2</v>
      </c>
      <c r="Y22" s="121">
        <f>VLOOKUP(CONCATENATE(Y$6," - ",Y$13),Paths!$C$2:$I$28,4,FALSE)</f>
        <v>-7.9999999999999988E-2</v>
      </c>
      <c r="Z22" s="121">
        <f>VLOOKUP(CONCATENATE(Z$6," - ",Z$13),Paths!$C$2:$I$28,4,FALSE)</f>
        <v>7.9999999999999988E-2</v>
      </c>
      <c r="AA22" s="121">
        <f>VLOOKUP(CONCATENATE(AA$6," - ",AA$13),Paths!$C$2:$I$28,4,FALSE)</f>
        <v>-9.9999999999999992E-2</v>
      </c>
      <c r="AB22" s="121">
        <f>VLOOKUP(CONCATENATE(AB$6," - ",AB$13),Paths!$C$2:$I$28,4,FALSE)</f>
        <v>-6.0000000000000005E-2</v>
      </c>
      <c r="AC22" s="122">
        <f>VLOOKUP(CONCATENATE(AC$6," - ",AC$13),Paths!$C$2:$I$28,4,FALSE)</f>
        <v>9.9999999999999992E-2</v>
      </c>
      <c r="AD22" s="50"/>
      <c r="AE22" s="43"/>
    </row>
    <row r="23" spans="1:31" ht="16.5" customHeight="1" x14ac:dyDescent="0.2">
      <c r="A23" s="43"/>
      <c r="B23" s="35"/>
      <c r="C23" s="116"/>
      <c r="D23" s="117"/>
      <c r="E23" s="117"/>
      <c r="F23" s="117"/>
      <c r="G23" s="117"/>
      <c r="H23" s="118"/>
      <c r="I23" s="35"/>
      <c r="J23" s="43"/>
      <c r="K23" s="58"/>
      <c r="L23" s="608" t="str">
        <f ca="1">'Combatant info data'!L6</f>
        <v/>
      </c>
      <c r="M23" s="565"/>
      <c r="N23" s="609" t="str">
        <f ca="1">'Combatant info data'!M6</f>
        <v/>
      </c>
      <c r="O23" s="565"/>
      <c r="P23" s="565"/>
      <c r="Q23" s="86" t="str">
        <f ca="1">'Combatant info data'!N6</f>
        <v/>
      </c>
      <c r="R23" s="86" t="str">
        <f ca="1">'Combatant info data'!O6</f>
        <v/>
      </c>
      <c r="S23" s="87" t="str">
        <f ca="1">'Combatant info data'!P6</f>
        <v/>
      </c>
      <c r="T23" s="59"/>
      <c r="U23" s="43"/>
      <c r="V23" s="60"/>
      <c r="W23" s="119" t="s">
        <v>90</v>
      </c>
      <c r="X23" s="120">
        <f>VLOOKUP(CONCATENATE(X$6," - ",X$13),Paths!$C$2:$I$28,5,FALSE)</f>
        <v>7.0000000000000007E-2</v>
      </c>
      <c r="Y23" s="121">
        <f>VLOOKUP(CONCATENATE(Y$6," - ",Y$13),Paths!$C$2:$I$28,5,FALSE)</f>
        <v>-8.9999999999999983E-2</v>
      </c>
      <c r="Z23" s="121">
        <f>VLOOKUP(CONCATENATE(Z$6," - ",Z$13),Paths!$C$2:$I$28,5,FALSE)</f>
        <v>8.9999999999999983E-2</v>
      </c>
      <c r="AA23" s="121">
        <f>VLOOKUP(CONCATENATE(AA$6," - ",AA$13),Paths!$C$2:$I$28,5,FALSE)</f>
        <v>-0.10999999999999999</v>
      </c>
      <c r="AB23" s="121">
        <f>VLOOKUP(CONCATENATE(AB$6," - ",AB$13),Paths!$C$2:$I$28,5,FALSE)</f>
        <v>-7.0000000000000007E-2</v>
      </c>
      <c r="AC23" s="122">
        <f>VLOOKUP(CONCATENATE(AC$6," - ",AC$13),Paths!$C$2:$I$28,5,FALSE)</f>
        <v>0.10999999999999999</v>
      </c>
      <c r="AD23" s="50"/>
      <c r="AE23" s="43"/>
    </row>
    <row r="24" spans="1:31" ht="16.5" customHeight="1" x14ac:dyDescent="0.2">
      <c r="A24" s="43"/>
      <c r="B24" s="35"/>
      <c r="C24" s="116"/>
      <c r="D24" s="117"/>
      <c r="E24" s="117"/>
      <c r="F24" s="117"/>
      <c r="G24" s="117"/>
      <c r="H24" s="118"/>
      <c r="I24" s="35"/>
      <c r="J24" s="43"/>
      <c r="K24" s="58"/>
      <c r="L24" s="603" t="str">
        <f ca="1">'Combatant info data'!L7</f>
        <v/>
      </c>
      <c r="M24" s="558"/>
      <c r="N24" s="604" t="str">
        <f ca="1">'Combatant info data'!M7</f>
        <v/>
      </c>
      <c r="O24" s="558"/>
      <c r="P24" s="558"/>
      <c r="Q24" s="125" t="str">
        <f ca="1">'Combatant info data'!N7</f>
        <v/>
      </c>
      <c r="R24" s="125" t="str">
        <f ca="1">'Combatant info data'!O7</f>
        <v/>
      </c>
      <c r="S24" s="126" t="str">
        <f ca="1">'Combatant info data'!P7</f>
        <v/>
      </c>
      <c r="T24" s="59"/>
      <c r="U24" s="43"/>
      <c r="V24" s="60"/>
      <c r="W24" s="119" t="s">
        <v>91</v>
      </c>
      <c r="X24" s="120">
        <f>VLOOKUP(CONCATENATE(X$6," - ",X$13),Paths!$C$2:$I$28,6,FALSE)</f>
        <v>0.08</v>
      </c>
      <c r="Y24" s="121">
        <f>VLOOKUP(CONCATENATE(Y$6," - ",Y$13),Paths!$C$2:$I$28,6,FALSE)</f>
        <v>-9.9999999999999978E-2</v>
      </c>
      <c r="Z24" s="121">
        <f>VLOOKUP(CONCATENATE(Z$6," - ",Z$13),Paths!$C$2:$I$28,6,FALSE)</f>
        <v>9.9999999999999978E-2</v>
      </c>
      <c r="AA24" s="121">
        <f>VLOOKUP(CONCATENATE(AA$6," - ",AA$13),Paths!$C$2:$I$28,6,FALSE)</f>
        <v>-0.11999999999999998</v>
      </c>
      <c r="AB24" s="121">
        <f>VLOOKUP(CONCATENATE(AB$6," - ",AB$13),Paths!$C$2:$I$28,6,FALSE)</f>
        <v>-0.08</v>
      </c>
      <c r="AC24" s="122">
        <f>VLOOKUP(CONCATENATE(AC$6," - ",AC$13),Paths!$C$2:$I$28,6,FALSE)</f>
        <v>0.11999999999999998</v>
      </c>
      <c r="AD24" s="50"/>
      <c r="AE24" s="43"/>
    </row>
    <row r="25" spans="1:31" ht="16.5" customHeight="1" x14ac:dyDescent="0.2">
      <c r="A25" s="43"/>
      <c r="B25" s="35"/>
      <c r="C25" s="116"/>
      <c r="D25" s="117"/>
      <c r="E25" s="117"/>
      <c r="F25" s="117"/>
      <c r="G25" s="117"/>
      <c r="H25" s="118"/>
      <c r="I25" s="35"/>
      <c r="J25" s="43"/>
      <c r="K25" s="58"/>
      <c r="L25" s="603" t="str">
        <f ca="1">'Combatant info data'!L8</f>
        <v/>
      </c>
      <c r="M25" s="558"/>
      <c r="N25" s="604" t="str">
        <f ca="1">'Combatant info data'!M8</f>
        <v/>
      </c>
      <c r="O25" s="558"/>
      <c r="P25" s="558"/>
      <c r="Q25" s="125" t="str">
        <f ca="1">'Combatant info data'!N8</f>
        <v/>
      </c>
      <c r="R25" s="125" t="str">
        <f ca="1">'Combatant info data'!O8</f>
        <v/>
      </c>
      <c r="S25" s="126" t="str">
        <f ca="1">'Combatant info data'!P8</f>
        <v/>
      </c>
      <c r="T25" s="59"/>
      <c r="U25" s="43"/>
      <c r="V25" s="60"/>
      <c r="W25" s="127" t="s">
        <v>92</v>
      </c>
      <c r="X25" s="128">
        <f>VLOOKUP(CONCATENATE(X$6," - ",X$13),Paths!$C$2:$I$28,7,FALSE)</f>
        <v>0.09</v>
      </c>
      <c r="Y25" s="129">
        <f>VLOOKUP(CONCATENATE(Y$6," - ",Y$13),Paths!$C$2:$I$28,7,FALSE)</f>
        <v>-0.10999999999999997</v>
      </c>
      <c r="Z25" s="129">
        <f>VLOOKUP(CONCATENATE(Z$6," - ",Z$13),Paths!$C$2:$I$28,7,FALSE)</f>
        <v>0.10999999999999997</v>
      </c>
      <c r="AA25" s="129">
        <f>VLOOKUP(CONCATENATE(AA$6," - ",AA$13),Paths!$C$2:$I$28,7,FALSE)</f>
        <v>-0.12999999999999998</v>
      </c>
      <c r="AB25" s="129">
        <f>VLOOKUP(CONCATENATE(AB$6," - ",AB$13),Paths!$C$2:$I$28,7,FALSE)</f>
        <v>-0.09</v>
      </c>
      <c r="AC25" s="130">
        <f>VLOOKUP(CONCATENATE(AC$6," - ",AC$13),Paths!$C$2:$I$28,7,FALSE)</f>
        <v>0.12999999999999998</v>
      </c>
      <c r="AD25" s="50"/>
      <c r="AE25" s="43"/>
    </row>
    <row r="26" spans="1:31" ht="16.5" customHeight="1" x14ac:dyDescent="0.2">
      <c r="A26" s="43"/>
      <c r="B26" s="35"/>
      <c r="C26" s="131"/>
      <c r="D26" s="132"/>
      <c r="E26" s="132"/>
      <c r="F26" s="132"/>
      <c r="G26" s="132"/>
      <c r="H26" s="133"/>
      <c r="I26" s="35"/>
      <c r="J26" s="43"/>
      <c r="K26" s="58"/>
      <c r="L26" s="603" t="str">
        <f ca="1">'Combatant info data'!L9</f>
        <v/>
      </c>
      <c r="M26" s="558"/>
      <c r="N26" s="604" t="str">
        <f ca="1">'Combatant info data'!M9</f>
        <v/>
      </c>
      <c r="O26" s="558"/>
      <c r="P26" s="558"/>
      <c r="Q26" s="125" t="str">
        <f ca="1">'Combatant info data'!N9</f>
        <v/>
      </c>
      <c r="R26" s="125" t="str">
        <f ca="1">'Combatant info data'!O9</f>
        <v/>
      </c>
      <c r="S26" s="126" t="str">
        <f ca="1">'Combatant info data'!P9</f>
        <v/>
      </c>
      <c r="T26" s="59"/>
      <c r="U26" s="43"/>
      <c r="V26" s="60"/>
      <c r="W26" s="2"/>
      <c r="X26" s="2"/>
      <c r="Y26" s="2"/>
      <c r="Z26" s="2"/>
      <c r="AA26" s="2"/>
      <c r="AB26" s="2"/>
      <c r="AC26" s="2"/>
      <c r="AD26" s="50"/>
      <c r="AE26" s="43"/>
    </row>
    <row r="27" spans="1:31" ht="16.5" customHeight="1" x14ac:dyDescent="0.2">
      <c r="A27" s="43"/>
      <c r="B27" s="35"/>
      <c r="C27" s="131"/>
      <c r="D27" s="132"/>
      <c r="E27" s="132"/>
      <c r="F27" s="132"/>
      <c r="G27" s="132"/>
      <c r="H27" s="133"/>
      <c r="I27" s="35"/>
      <c r="J27" s="43"/>
      <c r="K27" s="58"/>
      <c r="L27" s="603" t="str">
        <f ca="1">'Combatant info data'!L10</f>
        <v/>
      </c>
      <c r="M27" s="558"/>
      <c r="N27" s="604" t="str">
        <f ca="1">'Combatant info data'!M10</f>
        <v/>
      </c>
      <c r="O27" s="558"/>
      <c r="P27" s="558"/>
      <c r="Q27" s="125" t="str">
        <f ca="1">'Combatant info data'!N10</f>
        <v/>
      </c>
      <c r="R27" s="125" t="str">
        <f ca="1">'Combatant info data'!O10</f>
        <v/>
      </c>
      <c r="S27" s="126" t="str">
        <f ca="1">'Combatant info data'!P10</f>
        <v/>
      </c>
      <c r="T27" s="59"/>
      <c r="U27" s="43"/>
      <c r="V27" s="60"/>
      <c r="W27" s="606" t="s">
        <v>93</v>
      </c>
      <c r="X27" s="565"/>
      <c r="Y27" s="565"/>
      <c r="Z27" s="565"/>
      <c r="AA27" s="565"/>
      <c r="AB27" s="565"/>
      <c r="AC27" s="566"/>
      <c r="AD27" s="50"/>
      <c r="AE27" s="43"/>
    </row>
    <row r="28" spans="1:31" ht="16.5" customHeight="1" x14ac:dyDescent="0.2">
      <c r="A28" s="43"/>
      <c r="B28" s="35"/>
      <c r="C28" s="131"/>
      <c r="D28" s="132"/>
      <c r="E28" s="132"/>
      <c r="F28" s="132"/>
      <c r="G28" s="132"/>
      <c r="H28" s="133"/>
      <c r="I28" s="35"/>
      <c r="J28" s="43"/>
      <c r="K28" s="58"/>
      <c r="L28" s="603" t="str">
        <f ca="1">'Combatant info data'!L11</f>
        <v/>
      </c>
      <c r="M28" s="558"/>
      <c r="N28" s="604" t="str">
        <f ca="1">'Combatant info data'!M11</f>
        <v/>
      </c>
      <c r="O28" s="558"/>
      <c r="P28" s="558"/>
      <c r="Q28" s="125" t="str">
        <f ca="1">'Combatant info data'!N11</f>
        <v/>
      </c>
      <c r="R28" s="125" t="str">
        <f ca="1">'Combatant info data'!O11</f>
        <v/>
      </c>
      <c r="S28" s="126" t="str">
        <f ca="1">'Combatant info data'!P11</f>
        <v/>
      </c>
      <c r="T28" s="59"/>
      <c r="U28" s="43"/>
      <c r="V28" s="60"/>
      <c r="W28" s="88" t="s">
        <v>94</v>
      </c>
      <c r="X28" s="134">
        <f>VLOOKUP(X13,Paths!$P$2:$S$5,3,FALSE)</f>
        <v>0</v>
      </c>
      <c r="Y28" s="135">
        <f>VLOOKUP(Y13,Paths!$P$2:$S$5,3,FALSE)</f>
        <v>0</v>
      </c>
      <c r="Z28" s="135">
        <f>VLOOKUP(Z13,Paths!$P$2:$S$5,3,FALSE)</f>
        <v>0</v>
      </c>
      <c r="AA28" s="135">
        <f>VLOOKUP(AA13,Paths!$P$2:$S$5,3,FALSE)</f>
        <v>0</v>
      </c>
      <c r="AB28" s="135">
        <f>VLOOKUP(AB13,Paths!$P$2:$S$5,3,FALSE)</f>
        <v>0</v>
      </c>
      <c r="AC28" s="136">
        <f>VLOOKUP(AC13,Paths!$P$2:$S$5,3,FALSE)</f>
        <v>0</v>
      </c>
      <c r="AD28" s="50"/>
      <c r="AE28" s="43"/>
    </row>
    <row r="29" spans="1:31" ht="16.5" customHeight="1" x14ac:dyDescent="0.2">
      <c r="A29" s="43"/>
      <c r="B29" s="35"/>
      <c r="C29" s="131"/>
      <c r="D29" s="132"/>
      <c r="E29" s="132"/>
      <c r="F29" s="132"/>
      <c r="G29" s="132"/>
      <c r="H29" s="133"/>
      <c r="I29" s="35"/>
      <c r="J29" s="43"/>
      <c r="K29" s="58"/>
      <c r="L29" s="603" t="str">
        <f ca="1">'Combatant info data'!L12</f>
        <v/>
      </c>
      <c r="M29" s="558"/>
      <c r="N29" s="604" t="str">
        <f ca="1">'Combatant info data'!M12</f>
        <v/>
      </c>
      <c r="O29" s="558"/>
      <c r="P29" s="558"/>
      <c r="Q29" s="125" t="str">
        <f ca="1">'Combatant info data'!N12</f>
        <v/>
      </c>
      <c r="R29" s="125" t="str">
        <f ca="1">'Combatant info data'!O12</f>
        <v/>
      </c>
      <c r="S29" s="126" t="str">
        <f ca="1">'Combatant info data'!P12</f>
        <v/>
      </c>
      <c r="T29" s="59"/>
      <c r="U29" s="43"/>
      <c r="V29" s="60"/>
      <c r="W29" s="95" t="s">
        <v>95</v>
      </c>
      <c r="X29" s="96">
        <f>VLOOKUP(X13,Paths!$P$2:$S$5,4,FALSE)</f>
        <v>0</v>
      </c>
      <c r="Y29" s="97">
        <f>VLOOKUP(Y13,Paths!$P$2:$S$5,4,FALSE)</f>
        <v>0</v>
      </c>
      <c r="Z29" s="97">
        <f>VLOOKUP(Z13,Paths!$P$2:$S$5,4,FALSE)</f>
        <v>0</v>
      </c>
      <c r="AA29" s="97">
        <f>VLOOKUP(AA13,Paths!$P$2:$S$5,4,FALSE)</f>
        <v>0</v>
      </c>
      <c r="AB29" s="97">
        <f>VLOOKUP(AB13,Paths!$P$2:$S$5,4,FALSE)</f>
        <v>0</v>
      </c>
      <c r="AC29" s="98">
        <f>VLOOKUP(AC13,Paths!$P$2:$S$5,4,FALSE)</f>
        <v>0</v>
      </c>
      <c r="AD29" s="50"/>
      <c r="AE29" s="43"/>
    </row>
    <row r="30" spans="1:31" ht="16.5" customHeight="1" x14ac:dyDescent="0.2">
      <c r="A30" s="43"/>
      <c r="B30" s="35"/>
      <c r="C30" s="131"/>
      <c r="D30" s="132"/>
      <c r="E30" s="132"/>
      <c r="F30" s="132"/>
      <c r="G30" s="132"/>
      <c r="H30" s="133"/>
      <c r="I30" s="35"/>
      <c r="J30" s="43"/>
      <c r="K30" s="73"/>
      <c r="L30" s="106"/>
      <c r="M30" s="106"/>
      <c r="N30" s="106"/>
      <c r="O30" s="106"/>
      <c r="P30" s="106"/>
      <c r="Q30" s="106"/>
      <c r="R30" s="106"/>
      <c r="S30" s="106"/>
      <c r="T30" s="75"/>
      <c r="U30" s="43"/>
      <c r="V30" s="58"/>
      <c r="W30" s="35"/>
      <c r="X30" s="35"/>
      <c r="Y30" s="35"/>
      <c r="Z30" s="35"/>
      <c r="AA30" s="35"/>
      <c r="AB30" s="35"/>
      <c r="AC30" s="35"/>
      <c r="AD30" s="59"/>
      <c r="AE30" s="43"/>
    </row>
    <row r="31" spans="1:31" ht="16.5" customHeight="1" x14ac:dyDescent="0.2">
      <c r="A31" s="43"/>
      <c r="B31" s="35"/>
      <c r="C31" s="131"/>
      <c r="D31" s="132"/>
      <c r="E31" s="132"/>
      <c r="F31" s="132"/>
      <c r="G31" s="132"/>
      <c r="H31" s="133"/>
      <c r="I31" s="35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60"/>
      <c r="W31" s="583" t="s">
        <v>96</v>
      </c>
      <c r="X31" s="574"/>
      <c r="Y31" s="574"/>
      <c r="Z31" s="574"/>
      <c r="AA31" s="574"/>
      <c r="AB31" s="574"/>
      <c r="AC31" s="575"/>
      <c r="AD31" s="50"/>
      <c r="AE31" s="43"/>
    </row>
    <row r="32" spans="1:31" ht="16.5" customHeight="1" x14ac:dyDescent="0.2">
      <c r="A32" s="43"/>
      <c r="B32" s="35"/>
      <c r="C32" s="131"/>
      <c r="D32" s="132"/>
      <c r="E32" s="132"/>
      <c r="F32" s="132"/>
      <c r="G32" s="132"/>
      <c r="H32" s="133"/>
      <c r="I32" s="35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58"/>
      <c r="W32" s="605" t="s">
        <v>97</v>
      </c>
      <c r="X32" s="566"/>
      <c r="Y32" s="594" t="s">
        <v>98</v>
      </c>
      <c r="Z32" s="574"/>
      <c r="AA32" s="574"/>
      <c r="AB32" s="574"/>
      <c r="AC32" s="575"/>
      <c r="AD32" s="59"/>
      <c r="AE32" s="43"/>
    </row>
    <row r="33" spans="1:31" ht="16.5" customHeight="1" x14ac:dyDescent="0.2">
      <c r="A33" s="43"/>
      <c r="B33" s="35"/>
      <c r="C33" s="131"/>
      <c r="D33" s="132"/>
      <c r="E33" s="132"/>
      <c r="F33" s="132"/>
      <c r="G33" s="132"/>
      <c r="H33" s="133"/>
      <c r="I33" s="35"/>
      <c r="J33" s="43"/>
      <c r="K33" s="43"/>
      <c r="L33" s="44"/>
      <c r="M33" s="44"/>
      <c r="N33" s="44"/>
      <c r="O33" s="44"/>
      <c r="P33" s="44"/>
      <c r="Q33" s="44"/>
      <c r="R33" s="44"/>
      <c r="S33" s="44"/>
      <c r="T33" s="43"/>
      <c r="U33" s="43"/>
      <c r="V33" s="58"/>
      <c r="W33" s="47" t="s">
        <v>99</v>
      </c>
      <c r="X33" s="137" t="s">
        <v>100</v>
      </c>
      <c r="Y33" s="594" t="s">
        <v>101</v>
      </c>
      <c r="Z33" s="574"/>
      <c r="AA33" s="574"/>
      <c r="AB33" s="607" t="s">
        <v>102</v>
      </c>
      <c r="AC33" s="575"/>
      <c r="AD33" s="59"/>
      <c r="AE33" s="43"/>
    </row>
    <row r="34" spans="1:31" ht="16.5" customHeight="1" x14ac:dyDescent="0.2">
      <c r="A34" s="43"/>
      <c r="B34" s="35"/>
      <c r="C34" s="131"/>
      <c r="D34" s="132"/>
      <c r="E34" s="132"/>
      <c r="F34" s="132"/>
      <c r="G34" s="132"/>
      <c r="H34" s="133"/>
      <c r="I34" s="35"/>
      <c r="J34" s="43"/>
      <c r="K34" s="43"/>
      <c r="L34" s="44"/>
      <c r="M34" s="44"/>
      <c r="N34" s="44"/>
      <c r="O34" s="44"/>
      <c r="P34" s="44"/>
      <c r="Q34" s="44"/>
      <c r="R34" s="44"/>
      <c r="S34" s="44"/>
      <c r="T34" s="43"/>
      <c r="U34" s="43"/>
      <c r="V34" s="58"/>
      <c r="W34" s="100">
        <f>VLOOKUP(W4,'Special Techniques'!$A$2:$E$7,4,FALSE)</f>
        <v>1</v>
      </c>
      <c r="X34" s="102">
        <f>VLOOKUP(W4,'Special Techniques'!$A$2:$E$7,5,FALSE)</f>
        <v>5</v>
      </c>
      <c r="Y34" s="600" t="s">
        <v>103</v>
      </c>
      <c r="Z34" s="561"/>
      <c r="AA34" s="561"/>
      <c r="AB34" s="601" t="str">
        <f>VLOOKUP(W4,'Special Techniques'!A2:H7,7,FALSE)</f>
        <v>Dodge</v>
      </c>
      <c r="AC34" s="562"/>
      <c r="AD34" s="59"/>
      <c r="AE34" s="43"/>
    </row>
    <row r="35" spans="1:31" ht="16.5" customHeight="1" x14ac:dyDescent="0.2">
      <c r="A35" s="43"/>
      <c r="B35" s="35"/>
      <c r="C35" s="131"/>
      <c r="D35" s="132"/>
      <c r="E35" s="132"/>
      <c r="F35" s="132"/>
      <c r="G35" s="132"/>
      <c r="H35" s="133"/>
      <c r="I35" s="35"/>
      <c r="J35" s="43"/>
      <c r="K35" s="43"/>
      <c r="L35" s="44"/>
      <c r="M35" s="602"/>
      <c r="N35" s="558"/>
      <c r="O35" s="44"/>
      <c r="P35" s="44"/>
      <c r="Q35" s="44"/>
      <c r="R35" s="44"/>
      <c r="S35" s="44"/>
      <c r="T35" s="43"/>
      <c r="U35" s="43"/>
      <c r="V35" s="73"/>
      <c r="W35" s="74"/>
      <c r="X35" s="74"/>
      <c r="Y35" s="74"/>
      <c r="Z35" s="74"/>
      <c r="AA35" s="74"/>
      <c r="AB35" s="74"/>
      <c r="AC35" s="74"/>
      <c r="AD35" s="75"/>
      <c r="AE35" s="43"/>
    </row>
    <row r="36" spans="1:31" ht="16.5" customHeight="1" x14ac:dyDescent="0.2">
      <c r="A36" s="43"/>
      <c r="B36" s="35"/>
      <c r="C36" s="138"/>
      <c r="D36" s="139"/>
      <c r="E36" s="139"/>
      <c r="F36" s="139"/>
      <c r="G36" s="139"/>
      <c r="H36" s="140"/>
      <c r="I36" s="35"/>
      <c r="J36" s="43"/>
      <c r="K36" s="43"/>
      <c r="L36" s="44"/>
      <c r="M36" s="44"/>
      <c r="N36" s="44"/>
      <c r="O36" s="44"/>
      <c r="P36" s="44"/>
      <c r="Q36" s="44"/>
      <c r="R36" s="44"/>
      <c r="S36" s="44"/>
      <c r="T36" s="43"/>
      <c r="U36" s="43"/>
      <c r="V36" s="141"/>
      <c r="W36" s="43"/>
      <c r="X36" s="43"/>
      <c r="Y36" s="43"/>
      <c r="Z36" s="43"/>
      <c r="AA36" s="43"/>
      <c r="AB36" s="43"/>
      <c r="AC36" s="43"/>
      <c r="AD36" s="142"/>
      <c r="AE36" s="43"/>
    </row>
    <row r="37" spans="1:31" ht="16.5" customHeight="1" x14ac:dyDescent="0.2">
      <c r="A37" s="43"/>
      <c r="B37" s="35"/>
      <c r="C37" s="35"/>
      <c r="D37" s="35"/>
      <c r="E37" s="35"/>
      <c r="F37" s="35"/>
      <c r="G37" s="35"/>
      <c r="H37" s="35"/>
      <c r="I37" s="35"/>
      <c r="J37" s="43"/>
      <c r="K37" s="43"/>
      <c r="L37" s="44"/>
      <c r="M37" s="143"/>
      <c r="N37" s="143"/>
      <c r="O37" s="143"/>
      <c r="P37" s="143"/>
      <c r="Q37" s="143"/>
      <c r="R37" s="143"/>
      <c r="S37" s="44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31" ht="16.5" customHeight="1" x14ac:dyDescent="0.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4"/>
      <c r="M38" s="44"/>
      <c r="N38" s="44"/>
      <c r="O38" s="44"/>
      <c r="P38" s="44"/>
      <c r="Q38" s="44"/>
      <c r="R38" s="44"/>
      <c r="S38" s="44"/>
      <c r="T38" s="43"/>
      <c r="U38" s="43"/>
      <c r="V38" s="43"/>
      <c r="W38" s="144"/>
      <c r="X38" s="144"/>
      <c r="Y38" s="144"/>
      <c r="Z38" s="144"/>
      <c r="AA38" s="144"/>
      <c r="AB38" s="144"/>
      <c r="AC38" s="144"/>
      <c r="AD38" s="43"/>
      <c r="AE38" s="43"/>
    </row>
  </sheetData>
  <mergeCells count="70">
    <mergeCell ref="L12:N12"/>
    <mergeCell ref="L14:S14"/>
    <mergeCell ref="P15:Q15"/>
    <mergeCell ref="R15:S15"/>
    <mergeCell ref="R16:S16"/>
    <mergeCell ref="P12:Q12"/>
    <mergeCell ref="R12:S12"/>
    <mergeCell ref="L25:M25"/>
    <mergeCell ref="N25:P25"/>
    <mergeCell ref="L26:M26"/>
    <mergeCell ref="N26:P26"/>
    <mergeCell ref="L23:M23"/>
    <mergeCell ref="N23:P23"/>
    <mergeCell ref="L24:M24"/>
    <mergeCell ref="N24:P24"/>
    <mergeCell ref="L27:M27"/>
    <mergeCell ref="N27:P27"/>
    <mergeCell ref="W27:AC27"/>
    <mergeCell ref="Y33:AA33"/>
    <mergeCell ref="AB33:AC33"/>
    <mergeCell ref="Y34:AA34"/>
    <mergeCell ref="AB34:AC34"/>
    <mergeCell ref="M35:N35"/>
    <mergeCell ref="L28:M28"/>
    <mergeCell ref="N28:P28"/>
    <mergeCell ref="L29:M29"/>
    <mergeCell ref="N29:P29"/>
    <mergeCell ref="W31:AC31"/>
    <mergeCell ref="W32:X32"/>
    <mergeCell ref="Y32:AC32"/>
    <mergeCell ref="K2:T2"/>
    <mergeCell ref="V2:AD2"/>
    <mergeCell ref="E4:F4"/>
    <mergeCell ref="G4:H4"/>
    <mergeCell ref="L4:S4"/>
    <mergeCell ref="X4:AC4"/>
    <mergeCell ref="B9:I9"/>
    <mergeCell ref="D11:E11"/>
    <mergeCell ref="D12:E14"/>
    <mergeCell ref="B17:I17"/>
    <mergeCell ref="B2:I2"/>
    <mergeCell ref="C4:D4"/>
    <mergeCell ref="C5:D5"/>
    <mergeCell ref="E5:F5"/>
    <mergeCell ref="G5:H5"/>
    <mergeCell ref="R5:S5"/>
    <mergeCell ref="C6:D6"/>
    <mergeCell ref="R6:S6"/>
    <mergeCell ref="P5:Q5"/>
    <mergeCell ref="P6:Q6"/>
    <mergeCell ref="E6:H6"/>
    <mergeCell ref="L7:N7"/>
    <mergeCell ref="P7:Q7"/>
    <mergeCell ref="R7:S7"/>
    <mergeCell ref="W8:AC8"/>
    <mergeCell ref="L9:S9"/>
    <mergeCell ref="P10:Q10"/>
    <mergeCell ref="R10:S10"/>
    <mergeCell ref="P11:Q11"/>
    <mergeCell ref="R11:S11"/>
    <mergeCell ref="W11:AC11"/>
    <mergeCell ref="W15:AC15"/>
    <mergeCell ref="W19:AC19"/>
    <mergeCell ref="L17:N17"/>
    <mergeCell ref="L22:M22"/>
    <mergeCell ref="N22:P22"/>
    <mergeCell ref="K20:T20"/>
    <mergeCell ref="P16:Q16"/>
    <mergeCell ref="P17:Q17"/>
    <mergeCell ref="R17:S17"/>
  </mergeCells>
  <conditionalFormatting sqref="D12:E14">
    <cfRule type="cellIs" dxfId="37" priority="1" operator="equal">
      <formula>0</formula>
    </cfRule>
    <cfRule type="cellIs" dxfId="36" priority="2" operator="notEqual">
      <formula>0</formula>
    </cfRule>
  </conditionalFormatting>
  <dataValidations count="1">
    <dataValidation type="list" allowBlank="1" sqref="W4" xr:uid="{00000000-0002-0000-0100-000000000000}">
      <formula1>$X$10:$AC$10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38"/>
  <sheetViews>
    <sheetView workbookViewId="0"/>
  </sheetViews>
  <sheetFormatPr defaultColWidth="12.5703125" defaultRowHeight="15.75" customHeight="1" x14ac:dyDescent="0.2"/>
  <cols>
    <col min="1" max="2" width="2.5703125" customWidth="1"/>
    <col min="3" max="8" width="12.5703125" customWidth="1"/>
    <col min="9" max="11" width="2.5703125" customWidth="1"/>
    <col min="12" max="12" width="7.42578125" customWidth="1"/>
    <col min="13" max="13" width="4.85546875" customWidth="1"/>
    <col min="14" max="14" width="9.140625" customWidth="1"/>
    <col min="15" max="15" width="11.28515625" customWidth="1"/>
    <col min="16" max="16" width="13.85546875" customWidth="1"/>
    <col min="17" max="17" width="10.7109375" customWidth="1"/>
    <col min="18" max="18" width="13.28515625" customWidth="1"/>
    <col min="19" max="19" width="13.85546875" customWidth="1"/>
    <col min="20" max="22" width="2.5703125" customWidth="1"/>
    <col min="23" max="23" width="22" customWidth="1"/>
    <col min="24" max="29" width="9.42578125" customWidth="1"/>
    <col min="30" max="31" width="2.5703125" customWidth="1"/>
  </cols>
  <sheetData>
    <row r="1" spans="1:31" ht="16.5" customHeight="1" x14ac:dyDescent="0.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  <c r="M1" s="44"/>
      <c r="N1" s="44"/>
      <c r="O1" s="44"/>
      <c r="P1" s="44"/>
      <c r="Q1" s="44"/>
      <c r="R1" s="44"/>
      <c r="S1" s="44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 ht="16.5" customHeight="1" x14ac:dyDescent="0.2">
      <c r="A2" s="43"/>
      <c r="B2" s="590" t="s">
        <v>48</v>
      </c>
      <c r="C2" s="574"/>
      <c r="D2" s="574"/>
      <c r="E2" s="574"/>
      <c r="F2" s="574"/>
      <c r="G2" s="574"/>
      <c r="H2" s="574"/>
      <c r="I2" s="575"/>
      <c r="J2" s="43"/>
      <c r="K2" s="585" t="s">
        <v>49</v>
      </c>
      <c r="L2" s="565"/>
      <c r="M2" s="565"/>
      <c r="N2" s="565"/>
      <c r="O2" s="565"/>
      <c r="P2" s="565"/>
      <c r="Q2" s="565"/>
      <c r="R2" s="565"/>
      <c r="S2" s="565"/>
      <c r="T2" s="566"/>
      <c r="U2" s="43"/>
      <c r="V2" s="594" t="s">
        <v>50</v>
      </c>
      <c r="W2" s="574"/>
      <c r="X2" s="574"/>
      <c r="Y2" s="574"/>
      <c r="Z2" s="574"/>
      <c r="AA2" s="574"/>
      <c r="AB2" s="574"/>
      <c r="AC2" s="574"/>
      <c r="AD2" s="575"/>
      <c r="AE2" s="43"/>
    </row>
    <row r="3" spans="1:31" ht="16.5" customHeight="1" x14ac:dyDescent="0.2">
      <c r="A3" s="43"/>
      <c r="B3" s="48"/>
      <c r="C3" s="49"/>
      <c r="D3" s="49"/>
      <c r="E3" s="49"/>
      <c r="F3" s="49"/>
      <c r="G3" s="49"/>
      <c r="H3" s="49"/>
      <c r="I3" s="50"/>
      <c r="J3" s="43"/>
      <c r="K3" s="51"/>
      <c r="L3" s="52"/>
      <c r="M3" s="52"/>
      <c r="N3" s="52"/>
      <c r="O3" s="52"/>
      <c r="P3" s="52"/>
      <c r="Q3" s="52"/>
      <c r="R3" s="52"/>
      <c r="S3" s="52"/>
      <c r="T3" s="53"/>
      <c r="U3" s="43"/>
      <c r="V3" s="54"/>
      <c r="W3" s="55"/>
      <c r="X3" s="55"/>
      <c r="Y3" s="55"/>
      <c r="Z3" s="55"/>
      <c r="AA3" s="55"/>
      <c r="AB3" s="55"/>
      <c r="AC3" s="55"/>
      <c r="AD3" s="56"/>
      <c r="AE3" s="43"/>
    </row>
    <row r="4" spans="1:31" ht="16.5" customHeight="1" x14ac:dyDescent="0.2">
      <c r="A4" s="43"/>
      <c r="B4" s="48"/>
      <c r="C4" s="585" t="s">
        <v>51</v>
      </c>
      <c r="D4" s="565"/>
      <c r="E4" s="586" t="s">
        <v>2</v>
      </c>
      <c r="F4" s="565"/>
      <c r="G4" s="586" t="s">
        <v>3</v>
      </c>
      <c r="H4" s="566"/>
      <c r="I4" s="50"/>
      <c r="J4" s="43"/>
      <c r="K4" s="58"/>
      <c r="L4" s="590" t="s">
        <v>18</v>
      </c>
      <c r="M4" s="574"/>
      <c r="N4" s="574"/>
      <c r="O4" s="574"/>
      <c r="P4" s="574"/>
      <c r="Q4" s="574"/>
      <c r="R4" s="574"/>
      <c r="S4" s="575"/>
      <c r="T4" s="59"/>
      <c r="U4" s="43"/>
      <c r="V4" s="60"/>
      <c r="W4" s="61" t="s">
        <v>42</v>
      </c>
      <c r="X4" s="599" t="str">
        <f>VLOOKUP(W4,Paths!$K$2:$N$7,4,FALSE)</f>
        <v>Focuses outward, reducing the chance to successfully block an attack.</v>
      </c>
      <c r="Y4" s="574"/>
      <c r="Z4" s="574"/>
      <c r="AA4" s="574"/>
      <c r="AB4" s="574"/>
      <c r="AC4" s="575"/>
      <c r="AD4" s="50"/>
      <c r="AE4" s="43"/>
    </row>
    <row r="5" spans="1:31" ht="16.5" customHeight="1" x14ac:dyDescent="0.2">
      <c r="A5" s="43"/>
      <c r="B5" s="58"/>
      <c r="C5" s="591" t="s">
        <v>104</v>
      </c>
      <c r="D5" s="574"/>
      <c r="E5" s="592" t="str">
        <f>'Combatant Information'!D3</f>
        <v>1st</v>
      </c>
      <c r="F5" s="574"/>
      <c r="G5" s="593" t="str">
        <f>'Combatant Information'!E3</f>
        <v>Stone</v>
      </c>
      <c r="H5" s="575"/>
      <c r="I5" s="59"/>
      <c r="J5" s="43"/>
      <c r="K5" s="58"/>
      <c r="L5" s="45" t="s">
        <v>3</v>
      </c>
      <c r="M5" s="64" t="s">
        <v>53</v>
      </c>
      <c r="N5" s="64" t="s">
        <v>54</v>
      </c>
      <c r="O5" s="65" t="s">
        <v>55</v>
      </c>
      <c r="P5" s="587" t="s">
        <v>56</v>
      </c>
      <c r="Q5" s="574"/>
      <c r="R5" s="587" t="s">
        <v>57</v>
      </c>
      <c r="S5" s="575"/>
      <c r="T5" s="59"/>
      <c r="U5" s="43"/>
      <c r="V5" s="60"/>
      <c r="W5" s="2"/>
      <c r="X5" s="2"/>
      <c r="Y5" s="2"/>
      <c r="Z5" s="2"/>
      <c r="AA5" s="2"/>
      <c r="AB5" s="2"/>
      <c r="AC5" s="2"/>
      <c r="AD5" s="50"/>
      <c r="AE5" s="43"/>
    </row>
    <row r="6" spans="1:31" ht="16.5" customHeight="1" x14ac:dyDescent="0.2">
      <c r="A6" s="43"/>
      <c r="B6" s="58"/>
      <c r="C6" s="594" t="s">
        <v>58</v>
      </c>
      <c r="D6" s="574"/>
      <c r="E6" s="595" t="str">
        <f>Input!I11</f>
        <v>The Barrels</v>
      </c>
      <c r="F6" s="574"/>
      <c r="G6" s="574"/>
      <c r="H6" s="575"/>
      <c r="I6" s="59"/>
      <c r="J6" s="43"/>
      <c r="K6" s="58"/>
      <c r="L6" s="67">
        <f>IF(M6&gt;='Reaction Progression &amp; Log'!$B$12,'Reaction Progression &amp; Log'!$A$12,IF(M6&gt;='Reaction Progression &amp; Log'!$B$11,'Reaction Progression &amp; Log'!$A$11,IF(M6&gt;='Reaction Progression &amp; Log'!$B$10,'Reaction Progression &amp; Log'!$A$10,IF(M6&gt;='Reaction Progression &amp; Log'!$B$9,'Reaction Progression &amp; Log'!$A$9,IF(M6&gt;='Reaction Progression &amp; Log'!$B$8,'Reaction Progression &amp; Log'!$A$8,IF(M6&gt;='Reaction Progression &amp; Log'!$B$7,'Reaction Progression &amp; Log'!$A$7,IF(M6&gt;='Reaction Progression &amp; Log'!$B$6,'Reaction Progression &amp; Log'!$A$6,IF(M6&gt;='Reaction Progression &amp; Log'!$B$5,'Reaction Progression &amp; Log'!$A$5,IF(M6&gt;='Reaction Progression &amp; Log'!$B$4,'Reaction Progression &amp; Log'!$A$4,IF(M6&gt;='Reaction Progression &amp; Log'!$B$3,'Reaction Progression &amp; Log'!$A$3,'Reaction Progression &amp; Log'!$A$2))))))))))</f>
        <v>1</v>
      </c>
      <c r="M6" s="66">
        <f>SUMIF('Reaction Progression &amp; Log'!$D:$D,$C$5,'Reaction Progression &amp; Log'!$E:$E)</f>
        <v>8</v>
      </c>
      <c r="N6" s="68">
        <f>IF(L6=11,"--",VLOOKUP(L6+1,'Reaction Progression &amp; Log'!$A$2:$B$12,2,FALSE))</f>
        <v>100</v>
      </c>
      <c r="O6" s="69">
        <f>VLOOKUP($L6,'Defense Simulations'!$C$3:$W$13,3,FALSE)</f>
        <v>0.4</v>
      </c>
      <c r="P6" s="588">
        <f>VLOOKUP($L6,'Defense Simulations'!$C$3:$W$13,4,FALSE)</f>
        <v>0.55000000000000004</v>
      </c>
      <c r="Q6" s="565"/>
      <c r="R6" s="588">
        <f>VLOOKUP($L6,'Defense Simulations'!$C$3:$W$13,5,FALSE)</f>
        <v>0.4</v>
      </c>
      <c r="S6" s="566"/>
      <c r="T6" s="59"/>
      <c r="U6" s="43"/>
      <c r="V6" s="60"/>
      <c r="W6" s="2"/>
      <c r="X6" s="70" t="s">
        <v>36</v>
      </c>
      <c r="Y6" s="71" t="s">
        <v>38</v>
      </c>
      <c r="Z6" s="71" t="s">
        <v>40</v>
      </c>
      <c r="AA6" s="71" t="s">
        <v>42</v>
      </c>
      <c r="AB6" s="71" t="s">
        <v>44</v>
      </c>
      <c r="AC6" s="72" t="s">
        <v>46</v>
      </c>
      <c r="AD6" s="50"/>
      <c r="AE6" s="43"/>
    </row>
    <row r="7" spans="1:31" ht="16.5" customHeight="1" x14ac:dyDescent="0.2">
      <c r="A7" s="43"/>
      <c r="B7" s="73"/>
      <c r="C7" s="74"/>
      <c r="D7" s="74"/>
      <c r="E7" s="74"/>
      <c r="F7" s="74"/>
      <c r="G7" s="74"/>
      <c r="H7" s="74"/>
      <c r="I7" s="75"/>
      <c r="J7" s="43"/>
      <c r="K7" s="58"/>
      <c r="L7" s="584" t="s">
        <v>59</v>
      </c>
      <c r="M7" s="561"/>
      <c r="N7" s="561"/>
      <c r="O7" s="76">
        <f>Math!J14</f>
        <v>0.4</v>
      </c>
      <c r="P7" s="589">
        <f>Math!L14</f>
        <v>0.55000000000000004</v>
      </c>
      <c r="Q7" s="561"/>
      <c r="R7" s="589">
        <f>Math!N14</f>
        <v>0.4</v>
      </c>
      <c r="S7" s="562"/>
      <c r="T7" s="59"/>
      <c r="U7" s="43"/>
      <c r="V7" s="60"/>
      <c r="W7" s="2"/>
      <c r="X7" s="2"/>
      <c r="Y7" s="2"/>
      <c r="Z7" s="2"/>
      <c r="AA7" s="2"/>
      <c r="AB7" s="2"/>
      <c r="AC7" s="2"/>
      <c r="AD7" s="50"/>
      <c r="AE7" s="43"/>
    </row>
    <row r="8" spans="1:31" ht="16.5" customHeight="1" x14ac:dyDescent="0.2">
      <c r="A8" s="43"/>
      <c r="B8" s="43"/>
      <c r="C8" s="43"/>
      <c r="D8" s="43"/>
      <c r="E8" s="43"/>
      <c r="F8" s="43"/>
      <c r="G8" s="43"/>
      <c r="H8" s="43"/>
      <c r="I8" s="43"/>
      <c r="J8" s="43"/>
      <c r="K8" s="58"/>
      <c r="L8" s="35"/>
      <c r="M8" s="49"/>
      <c r="N8" s="49"/>
      <c r="O8" s="49"/>
      <c r="P8" s="49"/>
      <c r="Q8" s="49"/>
      <c r="R8" s="49"/>
      <c r="S8" s="49"/>
      <c r="T8" s="59"/>
      <c r="U8" s="43"/>
      <c r="V8" s="60"/>
      <c r="W8" s="583" t="s">
        <v>60</v>
      </c>
      <c r="X8" s="574"/>
      <c r="Y8" s="574"/>
      <c r="Z8" s="574"/>
      <c r="AA8" s="574"/>
      <c r="AB8" s="574"/>
      <c r="AC8" s="575"/>
      <c r="AD8" s="50"/>
      <c r="AE8" s="43"/>
    </row>
    <row r="9" spans="1:31" ht="16.5" customHeight="1" x14ac:dyDescent="0.2">
      <c r="A9" s="43"/>
      <c r="B9" s="590" t="s">
        <v>61</v>
      </c>
      <c r="C9" s="574"/>
      <c r="D9" s="574"/>
      <c r="E9" s="574"/>
      <c r="F9" s="574"/>
      <c r="G9" s="574"/>
      <c r="H9" s="574"/>
      <c r="I9" s="575"/>
      <c r="J9" s="43"/>
      <c r="K9" s="58"/>
      <c r="L9" s="590" t="s">
        <v>20</v>
      </c>
      <c r="M9" s="574"/>
      <c r="N9" s="574"/>
      <c r="O9" s="574"/>
      <c r="P9" s="574"/>
      <c r="Q9" s="574"/>
      <c r="R9" s="574"/>
      <c r="S9" s="575"/>
      <c r="T9" s="59"/>
      <c r="U9" s="43"/>
      <c r="V9" s="60"/>
      <c r="W9" s="77" t="s">
        <v>62</v>
      </c>
      <c r="X9" s="78" t="b">
        <v>0</v>
      </c>
      <c r="Y9" s="78" t="b">
        <v>0</v>
      </c>
      <c r="Z9" s="78" t="b">
        <v>0</v>
      </c>
      <c r="AA9" s="78" t="b">
        <v>1</v>
      </c>
      <c r="AB9" s="78" t="b">
        <v>0</v>
      </c>
      <c r="AC9" s="79" t="b">
        <v>0</v>
      </c>
      <c r="AD9" s="50"/>
      <c r="AE9" s="43"/>
    </row>
    <row r="10" spans="1:31" ht="16.5" customHeight="1" x14ac:dyDescent="0.2">
      <c r="A10" s="43"/>
      <c r="B10" s="80"/>
      <c r="C10" s="55"/>
      <c r="D10" s="55"/>
      <c r="E10" s="55"/>
      <c r="F10" s="55"/>
      <c r="G10" s="55"/>
      <c r="H10" s="55"/>
      <c r="I10" s="56"/>
      <c r="J10" s="43"/>
      <c r="K10" s="58"/>
      <c r="L10" s="45" t="s">
        <v>3</v>
      </c>
      <c r="M10" s="64" t="s">
        <v>53</v>
      </c>
      <c r="N10" s="64" t="s">
        <v>54</v>
      </c>
      <c r="O10" s="65" t="s">
        <v>55</v>
      </c>
      <c r="P10" s="587" t="s">
        <v>56</v>
      </c>
      <c r="Q10" s="574"/>
      <c r="R10" s="587" t="s">
        <v>57</v>
      </c>
      <c r="S10" s="575"/>
      <c r="T10" s="59"/>
      <c r="U10" s="43"/>
      <c r="V10" s="60"/>
      <c r="W10" s="2"/>
      <c r="X10" s="81" t="str">
        <f t="shared" ref="X10:AC10" si="0">IF(X9=TRUE,X6,"")</f>
        <v/>
      </c>
      <c r="Y10" s="81" t="str">
        <f t="shared" si="0"/>
        <v/>
      </c>
      <c r="Z10" s="81" t="str">
        <f t="shared" si="0"/>
        <v/>
      </c>
      <c r="AA10" s="81" t="str">
        <f t="shared" si="0"/>
        <v>Earth</v>
      </c>
      <c r="AB10" s="81" t="str">
        <f t="shared" si="0"/>
        <v/>
      </c>
      <c r="AC10" s="81" t="str">
        <f t="shared" si="0"/>
        <v/>
      </c>
      <c r="AD10" s="50"/>
      <c r="AE10" s="43"/>
    </row>
    <row r="11" spans="1:31" ht="16.5" customHeight="1" x14ac:dyDescent="0.2">
      <c r="A11" s="43"/>
      <c r="B11" s="48"/>
      <c r="C11" s="82"/>
      <c r="D11" s="587" t="s">
        <v>63</v>
      </c>
      <c r="E11" s="574"/>
      <c r="F11" s="65" t="s">
        <v>64</v>
      </c>
      <c r="G11" s="65" t="s">
        <v>65</v>
      </c>
      <c r="H11" s="83" t="s">
        <v>25</v>
      </c>
      <c r="I11" s="50"/>
      <c r="J11" s="43"/>
      <c r="K11" s="58"/>
      <c r="L11" s="67">
        <f>IF(M11&gt;='Reaction Progression &amp; Log'!$B$12,'Reaction Progression &amp; Log'!$A$12,IF(M11&gt;='Reaction Progression &amp; Log'!$B$11,'Reaction Progression &amp; Log'!$A$11,IF(M11&gt;='Reaction Progression &amp; Log'!$B$10,'Reaction Progression &amp; Log'!$A$10,IF(M11&gt;='Reaction Progression &amp; Log'!$B$9,'Reaction Progression &amp; Log'!$A$9,IF(M11&gt;='Reaction Progression &amp; Log'!$B$8,'Reaction Progression &amp; Log'!$A$8,IF(M11&gt;='Reaction Progression &amp; Log'!$B$7,'Reaction Progression &amp; Log'!$A$7,IF(M11&gt;='Reaction Progression &amp; Log'!$B$6,'Reaction Progression &amp; Log'!$A$6,IF(M11&gt;='Reaction Progression &amp; Log'!$B$5,'Reaction Progression &amp; Log'!$A$5,IF(M11&gt;='Reaction Progression &amp; Log'!$B$4,'Reaction Progression &amp; Log'!$A$4,IF(M11&gt;='Reaction Progression &amp; Log'!$B$3,'Reaction Progression &amp; Log'!$A$3,'Reaction Progression &amp; Log'!$A$2))))))))))</f>
        <v>1</v>
      </c>
      <c r="M11" s="66">
        <f>SUMIF('Reaction Progression &amp; Log'!$D:$D,$C$5,'Reaction Progression &amp; Log'!$F:$F)</f>
        <v>4</v>
      </c>
      <c r="N11" s="68">
        <f>IF(L11=11,"--",VLOOKUP(L11+1,'Reaction Progression &amp; Log'!$A$2:$B$12,2,FALSE))</f>
        <v>100</v>
      </c>
      <c r="O11" s="69">
        <f>VLOOKUP($L11,'Defense Simulations'!$C$3:$W$13,11,FALSE)</f>
        <v>0.3</v>
      </c>
      <c r="P11" s="588">
        <f>VLOOKUP($L11,'Defense Simulations'!$C$3:$W$13,12,FALSE)</f>
        <v>0.8</v>
      </c>
      <c r="Q11" s="565"/>
      <c r="R11" s="588">
        <f>VLOOKUP($L11,'Defense Simulations'!$C$3:$W$13,13,FALSE)</f>
        <v>0.1</v>
      </c>
      <c r="S11" s="566"/>
      <c r="T11" s="59"/>
      <c r="U11" s="43"/>
      <c r="V11" s="60"/>
      <c r="W11" s="583" t="s">
        <v>66</v>
      </c>
      <c r="X11" s="574"/>
      <c r="Y11" s="574"/>
      <c r="Z11" s="574"/>
      <c r="AA11" s="574"/>
      <c r="AB11" s="574"/>
      <c r="AC11" s="575"/>
      <c r="AD11" s="50"/>
      <c r="AE11" s="43"/>
    </row>
    <row r="12" spans="1:31" ht="16.5" customHeight="1" x14ac:dyDescent="0.2">
      <c r="A12" s="43"/>
      <c r="B12" s="58"/>
      <c r="C12" s="84" t="s">
        <v>67</v>
      </c>
      <c r="D12" s="596">
        <f>VLOOKUP(CONCATENATE(E5," Degree ",G5),'Rank Progression'!C:G,3,FALSE)-(F13+G13+H13)</f>
        <v>0</v>
      </c>
      <c r="E12" s="566"/>
      <c r="F12" s="85">
        <v>5</v>
      </c>
      <c r="G12" s="86">
        <v>5</v>
      </c>
      <c r="H12" s="87">
        <v>5</v>
      </c>
      <c r="I12" s="59"/>
      <c r="J12" s="43"/>
      <c r="K12" s="58"/>
      <c r="L12" s="584" t="s">
        <v>59</v>
      </c>
      <c r="M12" s="561"/>
      <c r="N12" s="561"/>
      <c r="O12" s="76">
        <f>Math!P14</f>
        <v>0.3</v>
      </c>
      <c r="P12" s="589">
        <f>Math!R14</f>
        <v>0.8</v>
      </c>
      <c r="Q12" s="561"/>
      <c r="R12" s="589">
        <f>Math!T14</f>
        <v>0.1</v>
      </c>
      <c r="S12" s="562"/>
      <c r="T12" s="59"/>
      <c r="U12" s="43"/>
      <c r="V12" s="60"/>
      <c r="W12" s="88" t="s">
        <v>68</v>
      </c>
      <c r="X12" s="89" t="str">
        <f>CONCATENATE(Paths!AE4," / ",VLOOKUP(X13+1,Paths!$P$2:$S$6,2,FALSE))</f>
        <v>0.5 / 35</v>
      </c>
      <c r="Y12" s="90" t="str">
        <f>CONCATENATE(Paths!AG4," / ",VLOOKUP(Y13+1,Paths!$P$2:$S$6,2,FALSE))</f>
        <v>0 / 35</v>
      </c>
      <c r="Z12" s="90" t="str">
        <f>CONCATENATE(Paths!AI4," / ",VLOOKUP(Z13+1,Paths!$P$2:$S$6,2,FALSE))</f>
        <v>1 / 35</v>
      </c>
      <c r="AA12" s="90" t="str">
        <f>CONCATENATE(Paths!AK4," / ",VLOOKUP(AA13+1,Paths!$P$2:$S$6,2,FALSE))</f>
        <v>5.5 / 35</v>
      </c>
      <c r="AB12" s="90" t="str">
        <f>CONCATENATE(Paths!AM4," / ",VLOOKUP(AB13+1,Paths!$P$2:$S$6,2,FALSE))</f>
        <v>3.5 / 35</v>
      </c>
      <c r="AC12" s="91" t="str">
        <f>CONCATENATE(Paths!AO4," / ",VLOOKUP(AC13+1,Paths!$P$2:$S$6,2,FALSE))</f>
        <v>0 / 35</v>
      </c>
      <c r="AD12" s="50"/>
      <c r="AE12" s="43"/>
    </row>
    <row r="13" spans="1:31" ht="16.5" customHeight="1" x14ac:dyDescent="0.2">
      <c r="A13" s="43"/>
      <c r="B13" s="58"/>
      <c r="C13" s="92" t="s">
        <v>69</v>
      </c>
      <c r="D13" s="597"/>
      <c r="E13" s="559"/>
      <c r="F13" s="63"/>
      <c r="G13" s="93"/>
      <c r="H13" s="93"/>
      <c r="I13" s="59"/>
      <c r="J13" s="43"/>
      <c r="K13" s="58"/>
      <c r="L13" s="94"/>
      <c r="M13" s="94"/>
      <c r="N13" s="94"/>
      <c r="O13" s="94"/>
      <c r="P13" s="94"/>
      <c r="Q13" s="94"/>
      <c r="R13" s="94"/>
      <c r="S13" s="94"/>
      <c r="T13" s="59"/>
      <c r="U13" s="43"/>
      <c r="V13" s="60"/>
      <c r="W13" s="95" t="s">
        <v>70</v>
      </c>
      <c r="X13" s="96">
        <f>Paths!AF4</f>
        <v>0</v>
      </c>
      <c r="Y13" s="97">
        <f>Paths!AH4</f>
        <v>0</v>
      </c>
      <c r="Z13" s="97">
        <f>Paths!AJ4</f>
        <v>0</v>
      </c>
      <c r="AA13" s="97">
        <f>Paths!AL4</f>
        <v>0</v>
      </c>
      <c r="AB13" s="97">
        <f>Paths!AN4</f>
        <v>0</v>
      </c>
      <c r="AC13" s="98">
        <f>Paths!AP4</f>
        <v>0</v>
      </c>
      <c r="AD13" s="50"/>
      <c r="AE13" s="43"/>
    </row>
    <row r="14" spans="1:31" ht="16.5" customHeight="1" x14ac:dyDescent="0.2">
      <c r="A14" s="43"/>
      <c r="B14" s="58"/>
      <c r="C14" s="99" t="s">
        <v>59</v>
      </c>
      <c r="D14" s="598"/>
      <c r="E14" s="562"/>
      <c r="F14" s="100">
        <f t="shared" ref="F14:H14" si="1">F12+F13</f>
        <v>5</v>
      </c>
      <c r="G14" s="101">
        <f t="shared" si="1"/>
        <v>5</v>
      </c>
      <c r="H14" s="102">
        <f t="shared" si="1"/>
        <v>5</v>
      </c>
      <c r="I14" s="59"/>
      <c r="J14" s="43"/>
      <c r="K14" s="58"/>
      <c r="L14" s="590" t="s">
        <v>22</v>
      </c>
      <c r="M14" s="574"/>
      <c r="N14" s="574"/>
      <c r="O14" s="574"/>
      <c r="P14" s="574"/>
      <c r="Q14" s="574"/>
      <c r="R14" s="574"/>
      <c r="S14" s="575"/>
      <c r="T14" s="59"/>
      <c r="U14" s="43"/>
      <c r="V14" s="60"/>
      <c r="W14" s="2"/>
      <c r="X14" s="2"/>
      <c r="Y14" s="2"/>
      <c r="Z14" s="2"/>
      <c r="AA14" s="2"/>
      <c r="AB14" s="2"/>
      <c r="AC14" s="2"/>
      <c r="AD14" s="50"/>
      <c r="AE14" s="43"/>
    </row>
    <row r="15" spans="1:31" ht="16.5" customHeight="1" x14ac:dyDescent="0.2">
      <c r="A15" s="43"/>
      <c r="B15" s="103"/>
      <c r="C15" s="104"/>
      <c r="D15" s="104"/>
      <c r="E15" s="104"/>
      <c r="F15" s="104"/>
      <c r="G15" s="104"/>
      <c r="H15" s="104"/>
      <c r="I15" s="105"/>
      <c r="J15" s="43"/>
      <c r="K15" s="58"/>
      <c r="L15" s="45" t="s">
        <v>3</v>
      </c>
      <c r="M15" s="64" t="s">
        <v>53</v>
      </c>
      <c r="N15" s="64" t="s">
        <v>54</v>
      </c>
      <c r="O15" s="65" t="s">
        <v>55</v>
      </c>
      <c r="P15" s="587" t="s">
        <v>56</v>
      </c>
      <c r="Q15" s="574"/>
      <c r="R15" s="587" t="s">
        <v>57</v>
      </c>
      <c r="S15" s="575"/>
      <c r="T15" s="59"/>
      <c r="U15" s="43"/>
      <c r="V15" s="60"/>
      <c r="W15" s="583" t="s">
        <v>71</v>
      </c>
      <c r="X15" s="574"/>
      <c r="Y15" s="574"/>
      <c r="Z15" s="574"/>
      <c r="AA15" s="574"/>
      <c r="AB15" s="574"/>
      <c r="AC15" s="575"/>
      <c r="AD15" s="50"/>
      <c r="AE15" s="43"/>
    </row>
    <row r="16" spans="1:31" ht="16.5" customHeight="1" x14ac:dyDescent="0.2">
      <c r="A16" s="43"/>
      <c r="B16" s="44"/>
      <c r="C16" s="44"/>
      <c r="D16" s="44"/>
      <c r="E16" s="44"/>
      <c r="F16" s="44"/>
      <c r="G16" s="44"/>
      <c r="H16" s="44"/>
      <c r="I16" s="44"/>
      <c r="J16" s="43"/>
      <c r="K16" s="58"/>
      <c r="L16" s="67">
        <f>IF(M16&gt;='Reaction Progression &amp; Log'!$B$12,'Reaction Progression &amp; Log'!$A$12,IF(M16&gt;='Reaction Progression &amp; Log'!$B$11,'Reaction Progression &amp; Log'!$A$11,IF(M16&gt;='Reaction Progression &amp; Log'!$B$10,'Reaction Progression &amp; Log'!$A$10,IF(M16&gt;='Reaction Progression &amp; Log'!$B$9,'Reaction Progression &amp; Log'!$A$9,IF(M16&gt;='Reaction Progression &amp; Log'!$B$8,'Reaction Progression &amp; Log'!$A$8,IF(M16&gt;='Reaction Progression &amp; Log'!$B$7,'Reaction Progression &amp; Log'!$A$7,IF(M16&gt;='Reaction Progression &amp; Log'!$B$6,'Reaction Progression &amp; Log'!$A$6,IF(M16&gt;='Reaction Progression &amp; Log'!$B$5,'Reaction Progression &amp; Log'!$A$5,IF(M16&gt;='Reaction Progression &amp; Log'!$B$4,'Reaction Progression &amp; Log'!$A$4,IF(M16&gt;='Reaction Progression &amp; Log'!$B$3,'Reaction Progression &amp; Log'!$A$3,'Reaction Progression &amp; Log'!$A$2))))))))))</f>
        <v>1</v>
      </c>
      <c r="M16" s="66">
        <f>SUMIF('Reaction Progression &amp; Log'!$D:$D,$C$5,'Reaction Progression &amp; Log'!$G:$G)</f>
        <v>4</v>
      </c>
      <c r="N16" s="68">
        <f>IF(L16=11,"--",VLOOKUP(L16+1,'Reaction Progression &amp; Log'!$A$2:$B$12,2,FALSE))</f>
        <v>100</v>
      </c>
      <c r="O16" s="69">
        <f>VLOOKUP($L16,'Defense Simulations'!$C$3:$W$13,19,FALSE)</f>
        <v>0.1</v>
      </c>
      <c r="P16" s="588">
        <f>VLOOKUP($L16,'Defense Simulations'!$C$3:$W$13,20,FALSE)</f>
        <v>0.9</v>
      </c>
      <c r="Q16" s="565"/>
      <c r="R16" s="588">
        <f>VLOOKUP($L16,'Defense Simulations'!$C$3:$W$13,21,FALSE)</f>
        <v>0</v>
      </c>
      <c r="S16" s="566"/>
      <c r="T16" s="59"/>
      <c r="U16" s="43"/>
      <c r="V16" s="60"/>
      <c r="W16" s="88" t="s">
        <v>72</v>
      </c>
      <c r="X16" s="90" t="s">
        <v>73</v>
      </c>
      <c r="Y16" s="90" t="s">
        <v>74</v>
      </c>
      <c r="Z16" s="90" t="s">
        <v>73</v>
      </c>
      <c r="AA16" s="90" t="s">
        <v>74</v>
      </c>
      <c r="AB16" s="90" t="s">
        <v>74</v>
      </c>
      <c r="AC16" s="91" t="s">
        <v>73</v>
      </c>
      <c r="AD16" s="50"/>
      <c r="AE16" s="43"/>
    </row>
    <row r="17" spans="1:31" ht="16.5" customHeight="1" x14ac:dyDescent="0.2">
      <c r="A17" s="43"/>
      <c r="B17" s="590" t="s">
        <v>75</v>
      </c>
      <c r="C17" s="574"/>
      <c r="D17" s="574"/>
      <c r="E17" s="574"/>
      <c r="F17" s="574"/>
      <c r="G17" s="574"/>
      <c r="H17" s="574"/>
      <c r="I17" s="575"/>
      <c r="J17" s="43"/>
      <c r="K17" s="58"/>
      <c r="L17" s="584" t="s">
        <v>59</v>
      </c>
      <c r="M17" s="561"/>
      <c r="N17" s="561"/>
      <c r="O17" s="76">
        <f>Math!V14</f>
        <v>0.1</v>
      </c>
      <c r="P17" s="589">
        <f>Math!X14</f>
        <v>0.9</v>
      </c>
      <c r="Q17" s="561"/>
      <c r="R17" s="589">
        <f>Math!Z14</f>
        <v>0</v>
      </c>
      <c r="S17" s="562"/>
      <c r="T17" s="59"/>
      <c r="U17" s="43"/>
      <c r="V17" s="60"/>
      <c r="W17" s="95" t="s">
        <v>76</v>
      </c>
      <c r="X17" s="97" t="s">
        <v>77</v>
      </c>
      <c r="Y17" s="97" t="s">
        <v>78</v>
      </c>
      <c r="Z17" s="97" t="s">
        <v>78</v>
      </c>
      <c r="AA17" s="97" t="s">
        <v>79</v>
      </c>
      <c r="AB17" s="97" t="s">
        <v>77</v>
      </c>
      <c r="AC17" s="98" t="s">
        <v>79</v>
      </c>
      <c r="AD17" s="50"/>
      <c r="AE17" s="43"/>
    </row>
    <row r="18" spans="1:31" ht="16.5" customHeight="1" x14ac:dyDescent="0.2">
      <c r="A18" s="43"/>
      <c r="B18" s="35"/>
      <c r="C18" s="35"/>
      <c r="D18" s="35"/>
      <c r="E18" s="35"/>
      <c r="F18" s="35"/>
      <c r="G18" s="35"/>
      <c r="H18" s="35"/>
      <c r="I18" s="35"/>
      <c r="J18" s="43"/>
      <c r="K18" s="73"/>
      <c r="L18" s="106"/>
      <c r="M18" s="106"/>
      <c r="N18" s="106"/>
      <c r="O18" s="106"/>
      <c r="P18" s="106"/>
      <c r="Q18" s="106"/>
      <c r="R18" s="106"/>
      <c r="S18" s="106"/>
      <c r="T18" s="75"/>
      <c r="U18" s="43"/>
      <c r="V18" s="60"/>
      <c r="W18" s="2"/>
      <c r="X18" s="2"/>
      <c r="Y18" s="2"/>
      <c r="Z18" s="2"/>
      <c r="AA18" s="2"/>
      <c r="AB18" s="2"/>
      <c r="AC18" s="2"/>
      <c r="AD18" s="50"/>
      <c r="AE18" s="43"/>
    </row>
    <row r="19" spans="1:31" ht="16.5" customHeight="1" x14ac:dyDescent="0.2">
      <c r="A19" s="43"/>
      <c r="B19" s="35"/>
      <c r="C19" s="84" t="str">
        <f>Personality!B3</f>
        <v>Patience</v>
      </c>
      <c r="D19" s="107" t="str">
        <f>Personality!C3</f>
        <v>Empathy</v>
      </c>
      <c r="E19" s="107" t="str">
        <f>Personality!D3</f>
        <v>Cunning</v>
      </c>
      <c r="F19" s="107" t="str">
        <f>Personality!E3</f>
        <v>Logic</v>
      </c>
      <c r="G19" s="107" t="str">
        <f>Personality!F3</f>
        <v>Kindness</v>
      </c>
      <c r="H19" s="108" t="str">
        <f>Personality!G3</f>
        <v>Charisma</v>
      </c>
      <c r="I19" s="35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60"/>
      <c r="W19" s="583" t="s">
        <v>80</v>
      </c>
      <c r="X19" s="574"/>
      <c r="Y19" s="574"/>
      <c r="Z19" s="574"/>
      <c r="AA19" s="574"/>
      <c r="AB19" s="574"/>
      <c r="AC19" s="575"/>
      <c r="AD19" s="50"/>
      <c r="AE19" s="43"/>
    </row>
    <row r="20" spans="1:31" ht="16.5" customHeight="1" x14ac:dyDescent="0.2">
      <c r="A20" s="43"/>
      <c r="B20" s="35"/>
      <c r="C20" s="109">
        <f>Personality!B5</f>
        <v>0.15</v>
      </c>
      <c r="D20" s="110">
        <f>Personality!C5</f>
        <v>0.19</v>
      </c>
      <c r="E20" s="110">
        <f>Personality!D5</f>
        <v>0.15</v>
      </c>
      <c r="F20" s="110">
        <f>Personality!E5</f>
        <v>0.19</v>
      </c>
      <c r="G20" s="110">
        <f>Personality!F5</f>
        <v>0.16</v>
      </c>
      <c r="H20" s="111">
        <f>Personality!G5</f>
        <v>0.16</v>
      </c>
      <c r="I20" s="35"/>
      <c r="J20" s="43"/>
      <c r="K20" s="590" t="s">
        <v>81</v>
      </c>
      <c r="L20" s="574"/>
      <c r="M20" s="574"/>
      <c r="N20" s="574"/>
      <c r="O20" s="574"/>
      <c r="P20" s="574"/>
      <c r="Q20" s="574"/>
      <c r="R20" s="574"/>
      <c r="S20" s="574"/>
      <c r="T20" s="575"/>
      <c r="U20" s="43"/>
      <c r="V20" s="60"/>
      <c r="W20" s="112" t="s">
        <v>82</v>
      </c>
      <c r="X20" s="113">
        <f>VLOOKUP(CONCATENATE(X$6," - ",X$13),Paths!$C$2:$I$28,2,FALSE)</f>
        <v>0.04</v>
      </c>
      <c r="Y20" s="114">
        <f>VLOOKUP(CONCATENATE(Y6," - ",Y13),Paths!$C$2:$I$28,2,FALSE)</f>
        <v>-0.06</v>
      </c>
      <c r="Z20" s="114">
        <f>VLOOKUP(CONCATENATE(Z6," - ",Z13),Paths!$C$2:$I$28,2,FALSE)</f>
        <v>0.06</v>
      </c>
      <c r="AA20" s="114">
        <f>VLOOKUP(CONCATENATE(AA6," - ",AA13),Paths!$C$2:$I$28,2,FALSE)</f>
        <v>-0.08</v>
      </c>
      <c r="AB20" s="114">
        <f>VLOOKUP(CONCATENATE(AB6," - ",AB13),Paths!$C$2:$I$28,2,FALSE)</f>
        <v>-0.04</v>
      </c>
      <c r="AC20" s="115">
        <f>VLOOKUP(CONCATENATE(AC6," - ",AC13),Paths!$C$2:$I$28,2,FALSE)</f>
        <v>0.08</v>
      </c>
      <c r="AD20" s="50"/>
      <c r="AE20" s="43"/>
    </row>
    <row r="21" spans="1:31" ht="16.5" customHeight="1" x14ac:dyDescent="0.2">
      <c r="A21" s="43"/>
      <c r="B21" s="35"/>
      <c r="C21" s="116"/>
      <c r="D21" s="117"/>
      <c r="E21" s="117"/>
      <c r="F21" s="117"/>
      <c r="G21" s="117"/>
      <c r="H21" s="118"/>
      <c r="I21" s="35"/>
      <c r="J21" s="43"/>
      <c r="K21" s="51"/>
      <c r="L21" s="55"/>
      <c r="M21" s="55"/>
      <c r="N21" s="55"/>
      <c r="O21" s="55"/>
      <c r="P21" s="55"/>
      <c r="Q21" s="55"/>
      <c r="R21" s="55"/>
      <c r="S21" s="55"/>
      <c r="T21" s="53"/>
      <c r="U21" s="43"/>
      <c r="V21" s="60"/>
      <c r="W21" s="119" t="s">
        <v>83</v>
      </c>
      <c r="X21" s="120">
        <f>VLOOKUP(CONCATENATE(X$6," - ",X$13),Paths!$C$2:$I$28,3,FALSE)</f>
        <v>0.05</v>
      </c>
      <c r="Y21" s="121">
        <f>VLOOKUP(CONCATENATE(Y$6," - ",Y$13),Paths!$C$2:$I$28,3,FALSE)</f>
        <v>-6.9999999999999993E-2</v>
      </c>
      <c r="Z21" s="121">
        <f>VLOOKUP(CONCATENATE(Z$6," - ",Z$13),Paths!$C$2:$I$28,3,FALSE)</f>
        <v>6.9999999999999993E-2</v>
      </c>
      <c r="AA21" s="121">
        <f>VLOOKUP(CONCATENATE(AA$6," - ",AA$13),Paths!$C$2:$I$28,3,FALSE)</f>
        <v>-0.09</v>
      </c>
      <c r="AB21" s="121">
        <f>VLOOKUP(CONCATENATE(AB$6," - ",AB$13),Paths!$C$2:$I$28,3,FALSE)</f>
        <v>-0.05</v>
      </c>
      <c r="AC21" s="122">
        <f>VLOOKUP(CONCATENATE(AC$6," - ",AC$13),Paths!$C$2:$I$28,3,FALSE)</f>
        <v>0.09</v>
      </c>
      <c r="AD21" s="50"/>
      <c r="AE21" s="43"/>
    </row>
    <row r="22" spans="1:31" ht="16.5" customHeight="1" x14ac:dyDescent="0.2">
      <c r="A22" s="43"/>
      <c r="B22" s="35"/>
      <c r="C22" s="116"/>
      <c r="D22" s="117"/>
      <c r="E22" s="117"/>
      <c r="F22" s="117"/>
      <c r="G22" s="117"/>
      <c r="H22" s="118"/>
      <c r="I22" s="35"/>
      <c r="J22" s="43"/>
      <c r="K22" s="58"/>
      <c r="L22" s="585" t="s">
        <v>84</v>
      </c>
      <c r="M22" s="565"/>
      <c r="N22" s="586" t="s">
        <v>85</v>
      </c>
      <c r="O22" s="565"/>
      <c r="P22" s="565"/>
      <c r="Q22" s="57" t="s">
        <v>86</v>
      </c>
      <c r="R22" s="57" t="s">
        <v>87</v>
      </c>
      <c r="S22" s="123" t="s">
        <v>88</v>
      </c>
      <c r="T22" s="59"/>
      <c r="U22" s="43"/>
      <c r="V22" s="60"/>
      <c r="W22" s="119" t="s">
        <v>89</v>
      </c>
      <c r="X22" s="120">
        <f>VLOOKUP(CONCATENATE(X$6," - ",X$13),Paths!$C$2:$I$28,4,FALSE)</f>
        <v>6.0000000000000005E-2</v>
      </c>
      <c r="Y22" s="121">
        <f>VLOOKUP(CONCATENATE(Y$6," - ",Y$13),Paths!$C$2:$I$28,4,FALSE)</f>
        <v>-7.9999999999999988E-2</v>
      </c>
      <c r="Z22" s="121">
        <f>VLOOKUP(CONCATENATE(Z$6," - ",Z$13),Paths!$C$2:$I$28,4,FALSE)</f>
        <v>7.9999999999999988E-2</v>
      </c>
      <c r="AA22" s="121">
        <f>VLOOKUP(CONCATENATE(AA$6," - ",AA$13),Paths!$C$2:$I$28,4,FALSE)</f>
        <v>-9.9999999999999992E-2</v>
      </c>
      <c r="AB22" s="121">
        <f>VLOOKUP(CONCATENATE(AB$6," - ",AB$13),Paths!$C$2:$I$28,4,FALSE)</f>
        <v>-6.0000000000000005E-2</v>
      </c>
      <c r="AC22" s="122">
        <f>VLOOKUP(CONCATENATE(AC$6," - ",AC$13),Paths!$C$2:$I$28,4,FALSE)</f>
        <v>9.9999999999999992E-2</v>
      </c>
      <c r="AD22" s="50"/>
      <c r="AE22" s="43"/>
    </row>
    <row r="23" spans="1:31" ht="16.5" customHeight="1" x14ac:dyDescent="0.2">
      <c r="A23" s="43"/>
      <c r="B23" s="35"/>
      <c r="C23" s="116"/>
      <c r="D23" s="117"/>
      <c r="E23" s="117"/>
      <c r="F23" s="117"/>
      <c r="G23" s="117"/>
      <c r="H23" s="118"/>
      <c r="I23" s="35"/>
      <c r="J23" s="43"/>
      <c r="K23" s="58"/>
      <c r="L23" s="608" t="str">
        <f ca="1">'Combatant info data'!V6</f>
        <v/>
      </c>
      <c r="M23" s="565"/>
      <c r="N23" s="609" t="str">
        <f ca="1">'Combatant info data'!W6</f>
        <v/>
      </c>
      <c r="O23" s="565"/>
      <c r="P23" s="565"/>
      <c r="Q23" s="86" t="str">
        <f ca="1">'Combatant info data'!X6</f>
        <v/>
      </c>
      <c r="R23" s="86" t="str">
        <f ca="1">'Combatant info data'!Y6</f>
        <v/>
      </c>
      <c r="S23" s="87" t="str">
        <f ca="1">'Combatant info data'!Z6</f>
        <v/>
      </c>
      <c r="T23" s="59"/>
      <c r="U23" s="43"/>
      <c r="V23" s="60"/>
      <c r="W23" s="119" t="s">
        <v>90</v>
      </c>
      <c r="X23" s="120">
        <f>VLOOKUP(CONCATENATE(X$6," - ",X$13),Paths!$C$2:$I$28,5,FALSE)</f>
        <v>7.0000000000000007E-2</v>
      </c>
      <c r="Y23" s="121">
        <f>VLOOKUP(CONCATENATE(Y$6," - ",Y$13),Paths!$C$2:$I$28,5,FALSE)</f>
        <v>-8.9999999999999983E-2</v>
      </c>
      <c r="Z23" s="121">
        <f>VLOOKUP(CONCATENATE(Z$6," - ",Z$13),Paths!$C$2:$I$28,5,FALSE)</f>
        <v>8.9999999999999983E-2</v>
      </c>
      <c r="AA23" s="121">
        <f>VLOOKUP(CONCATENATE(AA$6," - ",AA$13),Paths!$C$2:$I$28,5,FALSE)</f>
        <v>-0.10999999999999999</v>
      </c>
      <c r="AB23" s="121">
        <f>VLOOKUP(CONCATENATE(AB$6," - ",AB$13),Paths!$C$2:$I$28,5,FALSE)</f>
        <v>-7.0000000000000007E-2</v>
      </c>
      <c r="AC23" s="122">
        <f>VLOOKUP(CONCATENATE(AC$6," - ",AC$13),Paths!$C$2:$I$28,5,FALSE)</f>
        <v>0.10999999999999999</v>
      </c>
      <c r="AD23" s="50"/>
      <c r="AE23" s="43"/>
    </row>
    <row r="24" spans="1:31" ht="16.5" customHeight="1" x14ac:dyDescent="0.2">
      <c r="A24" s="43"/>
      <c r="B24" s="35"/>
      <c r="C24" s="116"/>
      <c r="D24" s="117"/>
      <c r="E24" s="117"/>
      <c r="F24" s="117"/>
      <c r="G24" s="117"/>
      <c r="H24" s="118"/>
      <c r="I24" s="35"/>
      <c r="J24" s="43"/>
      <c r="K24" s="58"/>
      <c r="L24" s="603" t="str">
        <f ca="1">'Combatant info data'!V7</f>
        <v/>
      </c>
      <c r="M24" s="558"/>
      <c r="N24" s="604" t="str">
        <f ca="1">'Combatant info data'!W7</f>
        <v/>
      </c>
      <c r="O24" s="558"/>
      <c r="P24" s="558"/>
      <c r="Q24" s="125" t="str">
        <f ca="1">'Combatant info data'!X7</f>
        <v/>
      </c>
      <c r="R24" s="125" t="str">
        <f ca="1">'Combatant info data'!Y7</f>
        <v/>
      </c>
      <c r="S24" s="126" t="str">
        <f ca="1">'Combatant info data'!Z7</f>
        <v/>
      </c>
      <c r="T24" s="59"/>
      <c r="U24" s="43"/>
      <c r="V24" s="60"/>
      <c r="W24" s="119" t="s">
        <v>91</v>
      </c>
      <c r="X24" s="120">
        <f>VLOOKUP(CONCATENATE(X$6," - ",X$13),Paths!$C$2:$I$28,6,FALSE)</f>
        <v>0.08</v>
      </c>
      <c r="Y24" s="121">
        <f>VLOOKUP(CONCATENATE(Y$6," - ",Y$13),Paths!$C$2:$I$28,6,FALSE)</f>
        <v>-9.9999999999999978E-2</v>
      </c>
      <c r="Z24" s="121">
        <f>VLOOKUP(CONCATENATE(Z$6," - ",Z$13),Paths!$C$2:$I$28,6,FALSE)</f>
        <v>9.9999999999999978E-2</v>
      </c>
      <c r="AA24" s="121">
        <f>VLOOKUP(CONCATENATE(AA$6," - ",AA$13),Paths!$C$2:$I$28,6,FALSE)</f>
        <v>-0.11999999999999998</v>
      </c>
      <c r="AB24" s="121">
        <f>VLOOKUP(CONCATENATE(AB$6," - ",AB$13),Paths!$C$2:$I$28,6,FALSE)</f>
        <v>-0.08</v>
      </c>
      <c r="AC24" s="122">
        <f>VLOOKUP(CONCATENATE(AC$6," - ",AC$13),Paths!$C$2:$I$28,6,FALSE)</f>
        <v>0.11999999999999998</v>
      </c>
      <c r="AD24" s="50"/>
      <c r="AE24" s="43"/>
    </row>
    <row r="25" spans="1:31" ht="16.5" customHeight="1" x14ac:dyDescent="0.2">
      <c r="A25" s="43"/>
      <c r="B25" s="35"/>
      <c r="C25" s="116"/>
      <c r="D25" s="117"/>
      <c r="E25" s="117"/>
      <c r="F25" s="117"/>
      <c r="G25" s="117"/>
      <c r="H25" s="118"/>
      <c r="I25" s="35"/>
      <c r="J25" s="43"/>
      <c r="K25" s="58"/>
      <c r="L25" s="603" t="str">
        <f ca="1">'Combatant info data'!V8</f>
        <v/>
      </c>
      <c r="M25" s="558"/>
      <c r="N25" s="604" t="str">
        <f ca="1">'Combatant info data'!W8</f>
        <v/>
      </c>
      <c r="O25" s="558"/>
      <c r="P25" s="558"/>
      <c r="Q25" s="125" t="str">
        <f ca="1">'Combatant info data'!X8</f>
        <v/>
      </c>
      <c r="R25" s="125" t="str">
        <f ca="1">'Combatant info data'!Y8</f>
        <v/>
      </c>
      <c r="S25" s="126" t="str">
        <f ca="1">'Combatant info data'!Z8</f>
        <v/>
      </c>
      <c r="T25" s="59"/>
      <c r="U25" s="43"/>
      <c r="V25" s="60"/>
      <c r="W25" s="127" t="s">
        <v>92</v>
      </c>
      <c r="X25" s="128">
        <f>VLOOKUP(CONCATENATE(X$6," - ",X$13),Paths!$C$2:$I$28,7,FALSE)</f>
        <v>0.09</v>
      </c>
      <c r="Y25" s="129">
        <f>VLOOKUP(CONCATENATE(Y$6," - ",Y$13),Paths!$C$2:$I$28,7,FALSE)</f>
        <v>-0.10999999999999997</v>
      </c>
      <c r="Z25" s="129">
        <f>VLOOKUP(CONCATENATE(Z$6," - ",Z$13),Paths!$C$2:$I$28,7,FALSE)</f>
        <v>0.10999999999999997</v>
      </c>
      <c r="AA25" s="129">
        <f>VLOOKUP(CONCATENATE(AA$6," - ",AA$13),Paths!$C$2:$I$28,7,FALSE)</f>
        <v>-0.12999999999999998</v>
      </c>
      <c r="AB25" s="129">
        <f>VLOOKUP(CONCATENATE(AB$6," - ",AB$13),Paths!$C$2:$I$28,7,FALSE)</f>
        <v>-0.09</v>
      </c>
      <c r="AC25" s="130">
        <f>VLOOKUP(CONCATENATE(AC$6," - ",AC$13),Paths!$C$2:$I$28,7,FALSE)</f>
        <v>0.12999999999999998</v>
      </c>
      <c r="AD25" s="50"/>
      <c r="AE25" s="43"/>
    </row>
    <row r="26" spans="1:31" ht="16.5" customHeight="1" x14ac:dyDescent="0.2">
      <c r="A26" s="43"/>
      <c r="B26" s="35"/>
      <c r="C26" s="131"/>
      <c r="D26" s="132"/>
      <c r="E26" s="132"/>
      <c r="F26" s="132"/>
      <c r="G26" s="132"/>
      <c r="H26" s="133"/>
      <c r="I26" s="35"/>
      <c r="J26" s="43"/>
      <c r="K26" s="58"/>
      <c r="L26" s="603" t="str">
        <f ca="1">'Combatant info data'!V9</f>
        <v/>
      </c>
      <c r="M26" s="558"/>
      <c r="N26" s="604" t="str">
        <f ca="1">'Combatant info data'!W9</f>
        <v/>
      </c>
      <c r="O26" s="558"/>
      <c r="P26" s="558"/>
      <c r="Q26" s="125" t="str">
        <f ca="1">'Combatant info data'!X9</f>
        <v/>
      </c>
      <c r="R26" s="125" t="str">
        <f ca="1">'Combatant info data'!Y9</f>
        <v/>
      </c>
      <c r="S26" s="126" t="str">
        <f ca="1">'Combatant info data'!Z9</f>
        <v/>
      </c>
      <c r="T26" s="59"/>
      <c r="U26" s="43"/>
      <c r="V26" s="60"/>
      <c r="W26" s="2"/>
      <c r="X26" s="2"/>
      <c r="Y26" s="2"/>
      <c r="Z26" s="2"/>
      <c r="AA26" s="2"/>
      <c r="AB26" s="2"/>
      <c r="AC26" s="2"/>
      <c r="AD26" s="50"/>
      <c r="AE26" s="43"/>
    </row>
    <row r="27" spans="1:31" ht="16.5" customHeight="1" x14ac:dyDescent="0.2">
      <c r="A27" s="43"/>
      <c r="B27" s="35"/>
      <c r="C27" s="131"/>
      <c r="D27" s="132"/>
      <c r="E27" s="132"/>
      <c r="F27" s="132"/>
      <c r="G27" s="132"/>
      <c r="H27" s="133"/>
      <c r="I27" s="35"/>
      <c r="J27" s="43"/>
      <c r="K27" s="58"/>
      <c r="L27" s="603" t="str">
        <f ca="1">'Combatant info data'!V10</f>
        <v/>
      </c>
      <c r="M27" s="558"/>
      <c r="N27" s="604" t="str">
        <f ca="1">'Combatant info data'!W10</f>
        <v/>
      </c>
      <c r="O27" s="558"/>
      <c r="P27" s="558"/>
      <c r="Q27" s="125" t="str">
        <f ca="1">'Combatant info data'!X10</f>
        <v/>
      </c>
      <c r="R27" s="125" t="str">
        <f ca="1">'Combatant info data'!Y10</f>
        <v/>
      </c>
      <c r="S27" s="126" t="str">
        <f ca="1">'Combatant info data'!Z10</f>
        <v/>
      </c>
      <c r="T27" s="59"/>
      <c r="U27" s="43"/>
      <c r="V27" s="60"/>
      <c r="W27" s="606" t="s">
        <v>93</v>
      </c>
      <c r="X27" s="565"/>
      <c r="Y27" s="565"/>
      <c r="Z27" s="565"/>
      <c r="AA27" s="565"/>
      <c r="AB27" s="565"/>
      <c r="AC27" s="566"/>
      <c r="AD27" s="50"/>
      <c r="AE27" s="43"/>
    </row>
    <row r="28" spans="1:31" ht="16.5" customHeight="1" x14ac:dyDescent="0.2">
      <c r="A28" s="43"/>
      <c r="B28" s="35"/>
      <c r="C28" s="131"/>
      <c r="D28" s="132"/>
      <c r="E28" s="132"/>
      <c r="F28" s="132"/>
      <c r="G28" s="132"/>
      <c r="H28" s="133"/>
      <c r="I28" s="35"/>
      <c r="J28" s="43"/>
      <c r="K28" s="58"/>
      <c r="L28" s="603" t="str">
        <f ca="1">'Combatant info data'!V11</f>
        <v/>
      </c>
      <c r="M28" s="558"/>
      <c r="N28" s="604" t="str">
        <f ca="1">'Combatant info data'!W11</f>
        <v/>
      </c>
      <c r="O28" s="558"/>
      <c r="P28" s="558"/>
      <c r="Q28" s="125" t="str">
        <f ca="1">'Combatant info data'!X11</f>
        <v/>
      </c>
      <c r="R28" s="125" t="str">
        <f ca="1">'Combatant info data'!Y11</f>
        <v/>
      </c>
      <c r="S28" s="126" t="str">
        <f ca="1">'Combatant info data'!Z11</f>
        <v/>
      </c>
      <c r="T28" s="59"/>
      <c r="U28" s="43"/>
      <c r="V28" s="60"/>
      <c r="W28" s="88" t="s">
        <v>94</v>
      </c>
      <c r="X28" s="134">
        <f>VLOOKUP(X13,Paths!$P$2:$S$5,3,FALSE)</f>
        <v>0</v>
      </c>
      <c r="Y28" s="135">
        <f>VLOOKUP(Y13,Paths!$P$2:$S$5,3,FALSE)</f>
        <v>0</v>
      </c>
      <c r="Z28" s="135">
        <f>VLOOKUP(Z13,Paths!$P$2:$S$5,3,FALSE)</f>
        <v>0</v>
      </c>
      <c r="AA28" s="135">
        <f>VLOOKUP(AA13,Paths!$P$2:$S$5,3,FALSE)</f>
        <v>0</v>
      </c>
      <c r="AB28" s="135">
        <f>VLOOKUP(AB13,Paths!$P$2:$S$5,3,FALSE)</f>
        <v>0</v>
      </c>
      <c r="AC28" s="136">
        <f>VLOOKUP(AC13,Paths!$P$2:$S$5,3,FALSE)</f>
        <v>0</v>
      </c>
      <c r="AD28" s="50"/>
      <c r="AE28" s="43"/>
    </row>
    <row r="29" spans="1:31" ht="16.5" customHeight="1" x14ac:dyDescent="0.2">
      <c r="A29" s="43"/>
      <c r="B29" s="35"/>
      <c r="C29" s="131"/>
      <c r="D29" s="132"/>
      <c r="E29" s="132"/>
      <c r="F29" s="132"/>
      <c r="G29" s="132"/>
      <c r="H29" s="133"/>
      <c r="I29" s="35"/>
      <c r="J29" s="43"/>
      <c r="K29" s="58"/>
      <c r="L29" s="603" t="str">
        <f ca="1">'Combatant info data'!V12</f>
        <v/>
      </c>
      <c r="M29" s="558"/>
      <c r="N29" s="604" t="str">
        <f ca="1">'Combatant info data'!W12</f>
        <v/>
      </c>
      <c r="O29" s="558"/>
      <c r="P29" s="558"/>
      <c r="Q29" s="125" t="str">
        <f ca="1">'Combatant info data'!X12</f>
        <v/>
      </c>
      <c r="R29" s="125" t="str">
        <f ca="1">'Combatant info data'!Y12</f>
        <v/>
      </c>
      <c r="S29" s="126" t="str">
        <f ca="1">'Combatant info data'!Z12</f>
        <v/>
      </c>
      <c r="T29" s="59"/>
      <c r="U29" s="43"/>
      <c r="V29" s="60"/>
      <c r="W29" s="95" t="s">
        <v>95</v>
      </c>
      <c r="X29" s="96">
        <f>VLOOKUP(X13,Paths!$P$2:$S$5,4,FALSE)</f>
        <v>0</v>
      </c>
      <c r="Y29" s="97">
        <f>VLOOKUP(Y13,Paths!$P$2:$S$5,4,FALSE)</f>
        <v>0</v>
      </c>
      <c r="Z29" s="97">
        <f>VLOOKUP(Z13,Paths!$P$2:$S$5,4,FALSE)</f>
        <v>0</v>
      </c>
      <c r="AA29" s="97">
        <f>VLOOKUP(AA13,Paths!$P$2:$S$5,4,FALSE)</f>
        <v>0</v>
      </c>
      <c r="AB29" s="97">
        <f>VLOOKUP(AB13,Paths!$P$2:$S$5,4,FALSE)</f>
        <v>0</v>
      </c>
      <c r="AC29" s="98">
        <f>VLOOKUP(AC13,Paths!$P$2:$S$5,4,FALSE)</f>
        <v>0</v>
      </c>
      <c r="AD29" s="50"/>
      <c r="AE29" s="43"/>
    </row>
    <row r="30" spans="1:31" ht="16.5" customHeight="1" x14ac:dyDescent="0.2">
      <c r="A30" s="43"/>
      <c r="B30" s="35"/>
      <c r="C30" s="131"/>
      <c r="D30" s="132"/>
      <c r="E30" s="132"/>
      <c r="F30" s="132"/>
      <c r="G30" s="132"/>
      <c r="H30" s="133"/>
      <c r="I30" s="35"/>
      <c r="J30" s="43"/>
      <c r="K30" s="73"/>
      <c r="L30" s="106"/>
      <c r="M30" s="106"/>
      <c r="N30" s="106"/>
      <c r="O30" s="106"/>
      <c r="P30" s="106"/>
      <c r="Q30" s="106"/>
      <c r="R30" s="106"/>
      <c r="S30" s="106"/>
      <c r="T30" s="75"/>
      <c r="U30" s="43"/>
      <c r="V30" s="58"/>
      <c r="W30" s="74"/>
      <c r="X30" s="74"/>
      <c r="Y30" s="74"/>
      <c r="Z30" s="74"/>
      <c r="AA30" s="74"/>
      <c r="AB30" s="74"/>
      <c r="AC30" s="74"/>
      <c r="AD30" s="59"/>
      <c r="AE30" s="43"/>
    </row>
    <row r="31" spans="1:31" ht="16.5" customHeight="1" x14ac:dyDescent="0.2">
      <c r="A31" s="43"/>
      <c r="B31" s="35"/>
      <c r="C31" s="131"/>
      <c r="D31" s="132"/>
      <c r="E31" s="132"/>
      <c r="F31" s="132"/>
      <c r="G31" s="132"/>
      <c r="H31" s="133"/>
      <c r="I31" s="35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60"/>
      <c r="W31" s="583" t="s">
        <v>96</v>
      </c>
      <c r="X31" s="574"/>
      <c r="Y31" s="574"/>
      <c r="Z31" s="574"/>
      <c r="AA31" s="574"/>
      <c r="AB31" s="574"/>
      <c r="AC31" s="575"/>
      <c r="AD31" s="50"/>
      <c r="AE31" s="43"/>
    </row>
    <row r="32" spans="1:31" ht="16.5" customHeight="1" x14ac:dyDescent="0.2">
      <c r="A32" s="43"/>
      <c r="B32" s="35"/>
      <c r="C32" s="131"/>
      <c r="D32" s="132"/>
      <c r="E32" s="132"/>
      <c r="F32" s="132"/>
      <c r="G32" s="132"/>
      <c r="H32" s="133"/>
      <c r="I32" s="35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58"/>
      <c r="W32" s="605" t="s">
        <v>97</v>
      </c>
      <c r="X32" s="566"/>
      <c r="Y32" s="594" t="s">
        <v>98</v>
      </c>
      <c r="Z32" s="574"/>
      <c r="AA32" s="574"/>
      <c r="AB32" s="574"/>
      <c r="AC32" s="575"/>
      <c r="AD32" s="59"/>
      <c r="AE32" s="43"/>
    </row>
    <row r="33" spans="1:31" ht="16.5" customHeight="1" x14ac:dyDescent="0.2">
      <c r="A33" s="43"/>
      <c r="B33" s="35"/>
      <c r="C33" s="131"/>
      <c r="D33" s="132"/>
      <c r="E33" s="132"/>
      <c r="F33" s="132"/>
      <c r="G33" s="132"/>
      <c r="H33" s="133"/>
      <c r="I33" s="35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58"/>
      <c r="W33" s="47" t="s">
        <v>99</v>
      </c>
      <c r="X33" s="137" t="s">
        <v>100</v>
      </c>
      <c r="Y33" s="594" t="s">
        <v>101</v>
      </c>
      <c r="Z33" s="574"/>
      <c r="AA33" s="574"/>
      <c r="AB33" s="607" t="s">
        <v>102</v>
      </c>
      <c r="AC33" s="575"/>
      <c r="AD33" s="59"/>
      <c r="AE33" s="43"/>
    </row>
    <row r="34" spans="1:31" ht="16.5" customHeight="1" x14ac:dyDescent="0.2">
      <c r="A34" s="43"/>
      <c r="B34" s="35"/>
      <c r="C34" s="131"/>
      <c r="D34" s="132"/>
      <c r="E34" s="132"/>
      <c r="F34" s="132"/>
      <c r="G34" s="132"/>
      <c r="H34" s="133"/>
      <c r="I34" s="35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58"/>
      <c r="W34" s="100">
        <f>VLOOKUP(W4,'Special Techniques'!$A$2:$E$7,4,FALSE)</f>
        <v>1</v>
      </c>
      <c r="X34" s="102">
        <f>VLOOKUP(W4,'Special Techniques'!$A$2:$E$7,5,FALSE)</f>
        <v>5</v>
      </c>
      <c r="Y34" s="600" t="s">
        <v>103</v>
      </c>
      <c r="Z34" s="561"/>
      <c r="AA34" s="561"/>
      <c r="AB34" s="601" t="str">
        <f>VLOOKUP(W4,'Special Techniques'!A2:H7,7,FALSE)</f>
        <v>Block</v>
      </c>
      <c r="AC34" s="562"/>
      <c r="AD34" s="59"/>
      <c r="AE34" s="43"/>
    </row>
    <row r="35" spans="1:31" ht="16.5" customHeight="1" x14ac:dyDescent="0.2">
      <c r="A35" s="43"/>
      <c r="B35" s="35"/>
      <c r="C35" s="131"/>
      <c r="D35" s="132"/>
      <c r="E35" s="132"/>
      <c r="F35" s="132"/>
      <c r="G35" s="132"/>
      <c r="H35" s="133"/>
      <c r="I35" s="35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73"/>
      <c r="W35" s="74"/>
      <c r="X35" s="74"/>
      <c r="Y35" s="74"/>
      <c r="Z35" s="74"/>
      <c r="AA35" s="74"/>
      <c r="AB35" s="74"/>
      <c r="AC35" s="74"/>
      <c r="AD35" s="75"/>
      <c r="AE35" s="43"/>
    </row>
    <row r="36" spans="1:31" ht="16.5" customHeight="1" x14ac:dyDescent="0.2">
      <c r="A36" s="43"/>
      <c r="B36" s="35"/>
      <c r="C36" s="138"/>
      <c r="D36" s="139"/>
      <c r="E36" s="139"/>
      <c r="F36" s="139"/>
      <c r="G36" s="139"/>
      <c r="H36" s="140"/>
      <c r="I36" s="35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</row>
    <row r="37" spans="1:31" ht="16.5" customHeight="1" x14ac:dyDescent="0.2">
      <c r="A37" s="43"/>
      <c r="B37" s="35"/>
      <c r="C37" s="35"/>
      <c r="D37" s="35"/>
      <c r="E37" s="35"/>
      <c r="F37" s="35"/>
      <c r="G37" s="35"/>
      <c r="H37" s="35"/>
      <c r="I37" s="35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31" ht="16.5" customHeight="1" x14ac:dyDescent="0.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</row>
  </sheetData>
  <mergeCells count="69">
    <mergeCell ref="L12:N12"/>
    <mergeCell ref="L14:S14"/>
    <mergeCell ref="P15:Q15"/>
    <mergeCell ref="R15:S15"/>
    <mergeCell ref="R16:S16"/>
    <mergeCell ref="P12:Q12"/>
    <mergeCell ref="R12:S12"/>
    <mergeCell ref="L25:M25"/>
    <mergeCell ref="N25:P25"/>
    <mergeCell ref="L26:M26"/>
    <mergeCell ref="N26:P26"/>
    <mergeCell ref="L23:M23"/>
    <mergeCell ref="N23:P23"/>
    <mergeCell ref="L24:M24"/>
    <mergeCell ref="N24:P24"/>
    <mergeCell ref="L27:M27"/>
    <mergeCell ref="N27:P27"/>
    <mergeCell ref="W27:AC27"/>
    <mergeCell ref="Y33:AA33"/>
    <mergeCell ref="AB33:AC33"/>
    <mergeCell ref="Y34:AA34"/>
    <mergeCell ref="AB34:AC34"/>
    <mergeCell ref="L28:M28"/>
    <mergeCell ref="N28:P28"/>
    <mergeCell ref="L29:M29"/>
    <mergeCell ref="N29:P29"/>
    <mergeCell ref="W31:AC31"/>
    <mergeCell ref="W32:X32"/>
    <mergeCell ref="Y32:AC32"/>
    <mergeCell ref="K2:T2"/>
    <mergeCell ref="V2:AD2"/>
    <mergeCell ref="E4:F4"/>
    <mergeCell ref="G4:H4"/>
    <mergeCell ref="L4:S4"/>
    <mergeCell ref="X4:AC4"/>
    <mergeCell ref="B9:I9"/>
    <mergeCell ref="D11:E11"/>
    <mergeCell ref="D12:E14"/>
    <mergeCell ref="B17:I17"/>
    <mergeCell ref="B2:I2"/>
    <mergeCell ref="C4:D4"/>
    <mergeCell ref="C5:D5"/>
    <mergeCell ref="E5:F5"/>
    <mergeCell ref="G5:H5"/>
    <mergeCell ref="R5:S5"/>
    <mergeCell ref="C6:D6"/>
    <mergeCell ref="R6:S6"/>
    <mergeCell ref="P5:Q5"/>
    <mergeCell ref="P6:Q6"/>
    <mergeCell ref="E6:H6"/>
    <mergeCell ref="L7:N7"/>
    <mergeCell ref="P7:Q7"/>
    <mergeCell ref="R7:S7"/>
    <mergeCell ref="W8:AC8"/>
    <mergeCell ref="L9:S9"/>
    <mergeCell ref="P10:Q10"/>
    <mergeCell ref="R10:S10"/>
    <mergeCell ref="P11:Q11"/>
    <mergeCell ref="R11:S11"/>
    <mergeCell ref="W11:AC11"/>
    <mergeCell ref="W15:AC15"/>
    <mergeCell ref="W19:AC19"/>
    <mergeCell ref="L17:N17"/>
    <mergeCell ref="L22:M22"/>
    <mergeCell ref="N22:P22"/>
    <mergeCell ref="K20:T20"/>
    <mergeCell ref="P16:Q16"/>
    <mergeCell ref="P17:Q17"/>
    <mergeCell ref="R17:S17"/>
  </mergeCells>
  <conditionalFormatting sqref="D12:E14">
    <cfRule type="cellIs" dxfId="35" priority="1" operator="equal">
      <formula>0</formula>
    </cfRule>
    <cfRule type="cellIs" dxfId="34" priority="2" operator="notEqual">
      <formula>0</formula>
    </cfRule>
  </conditionalFormatting>
  <dataValidations count="1">
    <dataValidation type="list" allowBlank="1" sqref="W4" xr:uid="{00000000-0002-0000-0200-000000000000}">
      <formula1>$X$10:$AC$10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38"/>
  <sheetViews>
    <sheetView workbookViewId="0"/>
  </sheetViews>
  <sheetFormatPr defaultColWidth="12.5703125" defaultRowHeight="15.75" customHeight="1" x14ac:dyDescent="0.2"/>
  <cols>
    <col min="1" max="2" width="2.5703125" customWidth="1"/>
    <col min="3" max="8" width="12.5703125" customWidth="1"/>
    <col min="9" max="11" width="2.5703125" customWidth="1"/>
    <col min="12" max="12" width="7.42578125" customWidth="1"/>
    <col min="13" max="13" width="4.85546875" customWidth="1"/>
    <col min="14" max="14" width="9.140625" customWidth="1"/>
    <col min="15" max="15" width="11.28515625" customWidth="1"/>
    <col min="16" max="16" width="13.85546875" customWidth="1"/>
    <col min="17" max="17" width="10.7109375" customWidth="1"/>
    <col min="18" max="18" width="13.28515625" customWidth="1"/>
    <col min="19" max="19" width="13.85546875" customWidth="1"/>
    <col min="20" max="22" width="2.5703125" customWidth="1"/>
    <col min="23" max="23" width="22" customWidth="1"/>
    <col min="24" max="29" width="9.42578125" customWidth="1"/>
    <col min="30" max="31" width="2.5703125" customWidth="1"/>
  </cols>
  <sheetData>
    <row r="1" spans="1:31" ht="16.5" customHeight="1" x14ac:dyDescent="0.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  <c r="M1" s="44"/>
      <c r="N1" s="44"/>
      <c r="O1" s="44"/>
      <c r="P1" s="44"/>
      <c r="Q1" s="44"/>
      <c r="R1" s="44"/>
      <c r="S1" s="44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 ht="16.5" customHeight="1" x14ac:dyDescent="0.2">
      <c r="A2" s="43"/>
      <c r="B2" s="590" t="s">
        <v>48</v>
      </c>
      <c r="C2" s="574"/>
      <c r="D2" s="574"/>
      <c r="E2" s="574"/>
      <c r="F2" s="574"/>
      <c r="G2" s="574"/>
      <c r="H2" s="574"/>
      <c r="I2" s="575"/>
      <c r="J2" s="43"/>
      <c r="K2" s="585" t="s">
        <v>49</v>
      </c>
      <c r="L2" s="565"/>
      <c r="M2" s="565"/>
      <c r="N2" s="565"/>
      <c r="O2" s="565"/>
      <c r="P2" s="565"/>
      <c r="Q2" s="565"/>
      <c r="R2" s="565"/>
      <c r="S2" s="565"/>
      <c r="T2" s="566"/>
      <c r="U2" s="43"/>
      <c r="V2" s="594" t="s">
        <v>50</v>
      </c>
      <c r="W2" s="574"/>
      <c r="X2" s="574"/>
      <c r="Y2" s="574"/>
      <c r="Z2" s="574"/>
      <c r="AA2" s="574"/>
      <c r="AB2" s="574"/>
      <c r="AC2" s="574"/>
      <c r="AD2" s="575"/>
      <c r="AE2" s="43"/>
    </row>
    <row r="3" spans="1:31" ht="16.5" customHeight="1" x14ac:dyDescent="0.2">
      <c r="A3" s="43"/>
      <c r="B3" s="48"/>
      <c r="C3" s="49"/>
      <c r="D3" s="49"/>
      <c r="E3" s="49"/>
      <c r="F3" s="49"/>
      <c r="G3" s="49"/>
      <c r="H3" s="49"/>
      <c r="I3" s="50"/>
      <c r="J3" s="43"/>
      <c r="K3" s="51"/>
      <c r="L3" s="52"/>
      <c r="M3" s="52"/>
      <c r="N3" s="52"/>
      <c r="O3" s="52"/>
      <c r="P3" s="52"/>
      <c r="Q3" s="52"/>
      <c r="R3" s="52"/>
      <c r="S3" s="52"/>
      <c r="T3" s="53"/>
      <c r="U3" s="43"/>
      <c r="V3" s="54"/>
      <c r="W3" s="55"/>
      <c r="X3" s="55"/>
      <c r="Y3" s="55"/>
      <c r="Z3" s="55"/>
      <c r="AA3" s="55"/>
      <c r="AB3" s="55"/>
      <c r="AC3" s="55"/>
      <c r="AD3" s="56"/>
      <c r="AE3" s="43"/>
    </row>
    <row r="4" spans="1:31" ht="16.5" customHeight="1" x14ac:dyDescent="0.2">
      <c r="A4" s="43"/>
      <c r="B4" s="48"/>
      <c r="C4" s="585" t="s">
        <v>51</v>
      </c>
      <c r="D4" s="565"/>
      <c r="E4" s="586" t="s">
        <v>2</v>
      </c>
      <c r="F4" s="565"/>
      <c r="G4" s="586" t="s">
        <v>3</v>
      </c>
      <c r="H4" s="566"/>
      <c r="I4" s="50"/>
      <c r="J4" s="43"/>
      <c r="K4" s="58"/>
      <c r="L4" s="590" t="s">
        <v>18</v>
      </c>
      <c r="M4" s="574"/>
      <c r="N4" s="574"/>
      <c r="O4" s="574"/>
      <c r="P4" s="574"/>
      <c r="Q4" s="574"/>
      <c r="R4" s="574"/>
      <c r="S4" s="575"/>
      <c r="T4" s="59"/>
      <c r="U4" s="43"/>
      <c r="V4" s="60"/>
      <c r="W4" s="61" t="s">
        <v>44</v>
      </c>
      <c r="X4" s="599" t="str">
        <f>VLOOKUP(W4,Paths!$K$2:$N$7,4,FALSE)</f>
        <v>Focuses outward, reducing the chance to successfully parry an attack.</v>
      </c>
      <c r="Y4" s="574"/>
      <c r="Z4" s="574"/>
      <c r="AA4" s="574"/>
      <c r="AB4" s="574"/>
      <c r="AC4" s="575"/>
      <c r="AD4" s="50"/>
      <c r="AE4" s="43"/>
    </row>
    <row r="5" spans="1:31" ht="16.5" customHeight="1" x14ac:dyDescent="0.2">
      <c r="A5" s="43"/>
      <c r="B5" s="58"/>
      <c r="C5" s="591" t="s">
        <v>105</v>
      </c>
      <c r="D5" s="574"/>
      <c r="E5" s="592" t="str">
        <f>'Combatant Information'!D3</f>
        <v>1st</v>
      </c>
      <c r="F5" s="574"/>
      <c r="G5" s="593" t="str">
        <f>'Combatant Information'!E3</f>
        <v>Stone</v>
      </c>
      <c r="H5" s="575"/>
      <c r="I5" s="59"/>
      <c r="J5" s="43"/>
      <c r="K5" s="58"/>
      <c r="L5" s="45" t="s">
        <v>3</v>
      </c>
      <c r="M5" s="64" t="s">
        <v>53</v>
      </c>
      <c r="N5" s="64" t="s">
        <v>54</v>
      </c>
      <c r="O5" s="65" t="s">
        <v>55</v>
      </c>
      <c r="P5" s="587" t="s">
        <v>56</v>
      </c>
      <c r="Q5" s="574"/>
      <c r="R5" s="587" t="s">
        <v>57</v>
      </c>
      <c r="S5" s="575"/>
      <c r="T5" s="59"/>
      <c r="U5" s="43"/>
      <c r="V5" s="60"/>
      <c r="W5" s="2"/>
      <c r="X5" s="2"/>
      <c r="Y5" s="2"/>
      <c r="Z5" s="2"/>
      <c r="AA5" s="2"/>
      <c r="AB5" s="2"/>
      <c r="AC5" s="2"/>
      <c r="AD5" s="50"/>
      <c r="AE5" s="43"/>
    </row>
    <row r="6" spans="1:31" ht="16.5" customHeight="1" x14ac:dyDescent="0.2">
      <c r="A6" s="43"/>
      <c r="B6" s="58"/>
      <c r="C6" s="594" t="s">
        <v>58</v>
      </c>
      <c r="D6" s="574"/>
      <c r="E6" s="595" t="str">
        <f>Input!I11</f>
        <v>The Barrels</v>
      </c>
      <c r="F6" s="574"/>
      <c r="G6" s="574"/>
      <c r="H6" s="575"/>
      <c r="I6" s="59"/>
      <c r="J6" s="43"/>
      <c r="K6" s="58"/>
      <c r="L6" s="67">
        <f>IF(M6&gt;='Reaction Progression &amp; Log'!$B$12,'Reaction Progression &amp; Log'!$A$12,IF(M6&gt;='Reaction Progression &amp; Log'!$B$11,'Reaction Progression &amp; Log'!$A$11,IF(M6&gt;='Reaction Progression &amp; Log'!$B$10,'Reaction Progression &amp; Log'!$A$10,IF(M6&gt;='Reaction Progression &amp; Log'!$B$9,'Reaction Progression &amp; Log'!$A$9,IF(M6&gt;='Reaction Progression &amp; Log'!$B$8,'Reaction Progression &amp; Log'!$A$8,IF(M6&gt;='Reaction Progression &amp; Log'!$B$7,'Reaction Progression &amp; Log'!$A$7,IF(M6&gt;='Reaction Progression &amp; Log'!$B$6,'Reaction Progression &amp; Log'!$A$6,IF(M6&gt;='Reaction Progression &amp; Log'!$B$5,'Reaction Progression &amp; Log'!$A$5,IF(M6&gt;='Reaction Progression &amp; Log'!$B$4,'Reaction Progression &amp; Log'!$A$4,IF(M6&gt;='Reaction Progression &amp; Log'!$B$3,'Reaction Progression &amp; Log'!$A$3,'Reaction Progression &amp; Log'!$A$2))))))))))</f>
        <v>1</v>
      </c>
      <c r="M6" s="66">
        <f>SUMIF('Reaction Progression &amp; Log'!$D:$D,$C$5,'Reaction Progression &amp; Log'!$E:$E)</f>
        <v>2</v>
      </c>
      <c r="N6" s="68">
        <f>IF(L6=11,"--",VLOOKUP(L6+1,'Reaction Progression &amp; Log'!$A$2:$B$12,2,FALSE))</f>
        <v>100</v>
      </c>
      <c r="O6" s="69">
        <f>VLOOKUP($L6,'Defense Simulations'!$C$3:$W$13,3,FALSE)</f>
        <v>0.4</v>
      </c>
      <c r="P6" s="588">
        <f>VLOOKUP($L6,'Defense Simulations'!$C$3:$W$13,4,FALSE)</f>
        <v>0.55000000000000004</v>
      </c>
      <c r="Q6" s="565"/>
      <c r="R6" s="588">
        <f>VLOOKUP($L6,'Defense Simulations'!$C$3:$W$13,5,FALSE)</f>
        <v>0.4</v>
      </c>
      <c r="S6" s="566"/>
      <c r="T6" s="59"/>
      <c r="U6" s="43"/>
      <c r="V6" s="60"/>
      <c r="W6" s="2"/>
      <c r="X6" s="70" t="s">
        <v>36</v>
      </c>
      <c r="Y6" s="71" t="s">
        <v>38</v>
      </c>
      <c r="Z6" s="71" t="s">
        <v>40</v>
      </c>
      <c r="AA6" s="71" t="s">
        <v>42</v>
      </c>
      <c r="AB6" s="71" t="s">
        <v>44</v>
      </c>
      <c r="AC6" s="72" t="s">
        <v>46</v>
      </c>
      <c r="AD6" s="50"/>
      <c r="AE6" s="43"/>
    </row>
    <row r="7" spans="1:31" ht="16.5" customHeight="1" x14ac:dyDescent="0.2">
      <c r="A7" s="43"/>
      <c r="B7" s="73"/>
      <c r="C7" s="74"/>
      <c r="D7" s="74"/>
      <c r="E7" s="74"/>
      <c r="F7" s="74"/>
      <c r="G7" s="74"/>
      <c r="H7" s="74"/>
      <c r="I7" s="75"/>
      <c r="J7" s="43"/>
      <c r="K7" s="58"/>
      <c r="L7" s="584" t="s">
        <v>59</v>
      </c>
      <c r="M7" s="561"/>
      <c r="N7" s="561"/>
      <c r="O7" s="76">
        <f>Math!J15</f>
        <v>0.4</v>
      </c>
      <c r="P7" s="589">
        <f>Math!L15</f>
        <v>0.55000000000000004</v>
      </c>
      <c r="Q7" s="561"/>
      <c r="R7" s="589">
        <f>Math!N15</f>
        <v>0.4</v>
      </c>
      <c r="S7" s="562"/>
      <c r="T7" s="59"/>
      <c r="U7" s="43"/>
      <c r="V7" s="60"/>
      <c r="W7" s="2"/>
      <c r="X7" s="2"/>
      <c r="Y7" s="2"/>
      <c r="Z7" s="2"/>
      <c r="AA7" s="2"/>
      <c r="AB7" s="2"/>
      <c r="AC7" s="2"/>
      <c r="AD7" s="50"/>
      <c r="AE7" s="43"/>
    </row>
    <row r="8" spans="1:31" ht="16.5" customHeight="1" x14ac:dyDescent="0.2">
      <c r="A8" s="43"/>
      <c r="B8" s="43"/>
      <c r="C8" s="43"/>
      <c r="D8" s="43"/>
      <c r="E8" s="43"/>
      <c r="F8" s="43"/>
      <c r="G8" s="43"/>
      <c r="H8" s="43"/>
      <c r="I8" s="43"/>
      <c r="J8" s="43"/>
      <c r="K8" s="58"/>
      <c r="L8" s="35"/>
      <c r="M8" s="49"/>
      <c r="N8" s="49"/>
      <c r="O8" s="49"/>
      <c r="P8" s="49"/>
      <c r="Q8" s="49"/>
      <c r="R8" s="49"/>
      <c r="S8" s="49"/>
      <c r="T8" s="59"/>
      <c r="U8" s="43"/>
      <c r="V8" s="60"/>
      <c r="W8" s="583" t="s">
        <v>60</v>
      </c>
      <c r="X8" s="574"/>
      <c r="Y8" s="574"/>
      <c r="Z8" s="574"/>
      <c r="AA8" s="574"/>
      <c r="AB8" s="574"/>
      <c r="AC8" s="575"/>
      <c r="AD8" s="50"/>
      <c r="AE8" s="43"/>
    </row>
    <row r="9" spans="1:31" ht="16.5" customHeight="1" x14ac:dyDescent="0.2">
      <c r="A9" s="43"/>
      <c r="B9" s="590" t="s">
        <v>61</v>
      </c>
      <c r="C9" s="574"/>
      <c r="D9" s="574"/>
      <c r="E9" s="574"/>
      <c r="F9" s="574"/>
      <c r="G9" s="574"/>
      <c r="H9" s="574"/>
      <c r="I9" s="575"/>
      <c r="J9" s="43"/>
      <c r="K9" s="58"/>
      <c r="L9" s="590" t="s">
        <v>20</v>
      </c>
      <c r="M9" s="574"/>
      <c r="N9" s="574"/>
      <c r="O9" s="574"/>
      <c r="P9" s="574"/>
      <c r="Q9" s="574"/>
      <c r="R9" s="574"/>
      <c r="S9" s="575"/>
      <c r="T9" s="59"/>
      <c r="U9" s="43"/>
      <c r="V9" s="60"/>
      <c r="W9" s="77" t="s">
        <v>62</v>
      </c>
      <c r="X9" s="78" t="b">
        <v>0</v>
      </c>
      <c r="Y9" s="78" t="b">
        <v>0</v>
      </c>
      <c r="Z9" s="78" t="b">
        <v>0</v>
      </c>
      <c r="AA9" s="78" t="b">
        <v>0</v>
      </c>
      <c r="AB9" s="78" t="b">
        <v>1</v>
      </c>
      <c r="AC9" s="79" t="b">
        <v>0</v>
      </c>
      <c r="AD9" s="50"/>
      <c r="AE9" s="43"/>
    </row>
    <row r="10" spans="1:31" ht="16.5" customHeight="1" x14ac:dyDescent="0.2">
      <c r="A10" s="43"/>
      <c r="B10" s="80"/>
      <c r="C10" s="55"/>
      <c r="D10" s="55"/>
      <c r="E10" s="55"/>
      <c r="F10" s="55"/>
      <c r="G10" s="55"/>
      <c r="H10" s="55"/>
      <c r="I10" s="56"/>
      <c r="J10" s="43"/>
      <c r="K10" s="58"/>
      <c r="L10" s="45" t="s">
        <v>3</v>
      </c>
      <c r="M10" s="64" t="s">
        <v>53</v>
      </c>
      <c r="N10" s="64" t="s">
        <v>54</v>
      </c>
      <c r="O10" s="65" t="s">
        <v>55</v>
      </c>
      <c r="P10" s="587" t="s">
        <v>56</v>
      </c>
      <c r="Q10" s="574"/>
      <c r="R10" s="587" t="s">
        <v>57</v>
      </c>
      <c r="S10" s="575"/>
      <c r="T10" s="59"/>
      <c r="U10" s="43"/>
      <c r="V10" s="60"/>
      <c r="W10" s="2"/>
      <c r="X10" s="81" t="str">
        <f t="shared" ref="X10:AC10" si="0">IF(X9=TRUE,X6,"")</f>
        <v/>
      </c>
      <c r="Y10" s="81" t="str">
        <f t="shared" si="0"/>
        <v/>
      </c>
      <c r="Z10" s="81" t="str">
        <f t="shared" si="0"/>
        <v/>
      </c>
      <c r="AA10" s="81" t="str">
        <f t="shared" si="0"/>
        <v/>
      </c>
      <c r="AB10" s="81" t="str">
        <f t="shared" si="0"/>
        <v>Shadow</v>
      </c>
      <c r="AC10" s="81" t="str">
        <f t="shared" si="0"/>
        <v/>
      </c>
      <c r="AD10" s="50"/>
      <c r="AE10" s="43"/>
    </row>
    <row r="11" spans="1:31" ht="16.5" customHeight="1" x14ac:dyDescent="0.2">
      <c r="A11" s="43"/>
      <c r="B11" s="48"/>
      <c r="C11" s="82"/>
      <c r="D11" s="587" t="s">
        <v>63</v>
      </c>
      <c r="E11" s="574"/>
      <c r="F11" s="65" t="s">
        <v>64</v>
      </c>
      <c r="G11" s="65" t="s">
        <v>65</v>
      </c>
      <c r="H11" s="83" t="s">
        <v>25</v>
      </c>
      <c r="I11" s="50"/>
      <c r="J11" s="43"/>
      <c r="K11" s="58"/>
      <c r="L11" s="67">
        <f>IF(M11&gt;='Reaction Progression &amp; Log'!$B$12,'Reaction Progression &amp; Log'!$A$12,IF(M11&gt;='Reaction Progression &amp; Log'!$B$11,'Reaction Progression &amp; Log'!$A$11,IF(M11&gt;='Reaction Progression &amp; Log'!$B$10,'Reaction Progression &amp; Log'!$A$10,IF(M11&gt;='Reaction Progression &amp; Log'!$B$9,'Reaction Progression &amp; Log'!$A$9,IF(M11&gt;='Reaction Progression &amp; Log'!$B$8,'Reaction Progression &amp; Log'!$A$8,IF(M11&gt;='Reaction Progression &amp; Log'!$B$7,'Reaction Progression &amp; Log'!$A$7,IF(M11&gt;='Reaction Progression &amp; Log'!$B$6,'Reaction Progression &amp; Log'!$A$6,IF(M11&gt;='Reaction Progression &amp; Log'!$B$5,'Reaction Progression &amp; Log'!$A$5,IF(M11&gt;='Reaction Progression &amp; Log'!$B$4,'Reaction Progression &amp; Log'!$A$4,IF(M11&gt;='Reaction Progression &amp; Log'!$B$3,'Reaction Progression &amp; Log'!$A$3,'Reaction Progression &amp; Log'!$A$2))))))))))</f>
        <v>1</v>
      </c>
      <c r="M11" s="66">
        <f>SUMIF('Reaction Progression &amp; Log'!$D:$D,$C$5,'Reaction Progression &amp; Log'!$F:$F)</f>
        <v>0</v>
      </c>
      <c r="N11" s="68">
        <f>IF(L11=11,"--",VLOOKUP(L11+1,'Reaction Progression &amp; Log'!$A$2:$B$12,2,FALSE))</f>
        <v>100</v>
      </c>
      <c r="O11" s="69">
        <f>VLOOKUP($L11,'Defense Simulations'!$C$3:$W$13,11,FALSE)</f>
        <v>0.3</v>
      </c>
      <c r="P11" s="588">
        <f>VLOOKUP($L11,'Defense Simulations'!$C$3:$W$13,12,FALSE)</f>
        <v>0.8</v>
      </c>
      <c r="Q11" s="565"/>
      <c r="R11" s="588">
        <f>VLOOKUP($L11,'Defense Simulations'!$C$3:$W$13,13,FALSE)</f>
        <v>0.1</v>
      </c>
      <c r="S11" s="566"/>
      <c r="T11" s="59"/>
      <c r="U11" s="43"/>
      <c r="V11" s="60"/>
      <c r="W11" s="583" t="s">
        <v>66</v>
      </c>
      <c r="X11" s="574"/>
      <c r="Y11" s="574"/>
      <c r="Z11" s="574"/>
      <c r="AA11" s="574"/>
      <c r="AB11" s="574"/>
      <c r="AC11" s="575"/>
      <c r="AD11" s="50"/>
      <c r="AE11" s="43"/>
    </row>
    <row r="12" spans="1:31" ht="16.5" customHeight="1" x14ac:dyDescent="0.2">
      <c r="A12" s="43"/>
      <c r="B12" s="58"/>
      <c r="C12" s="84" t="s">
        <v>67</v>
      </c>
      <c r="D12" s="596">
        <f>VLOOKUP(CONCATENATE(E5," Degree ",G5),'Rank Progression'!C:G,3,FALSE)-(F13+G13+H13)</f>
        <v>0</v>
      </c>
      <c r="E12" s="566"/>
      <c r="F12" s="85">
        <v>5</v>
      </c>
      <c r="G12" s="86">
        <v>5</v>
      </c>
      <c r="H12" s="87">
        <v>5</v>
      </c>
      <c r="I12" s="59"/>
      <c r="J12" s="43"/>
      <c r="K12" s="58"/>
      <c r="L12" s="584" t="s">
        <v>59</v>
      </c>
      <c r="M12" s="561"/>
      <c r="N12" s="561"/>
      <c r="O12" s="76">
        <f>Math!P15</f>
        <v>0.3</v>
      </c>
      <c r="P12" s="589">
        <f>Math!R15</f>
        <v>0.8</v>
      </c>
      <c r="Q12" s="561"/>
      <c r="R12" s="589">
        <f>Math!T15</f>
        <v>0.1</v>
      </c>
      <c r="S12" s="562"/>
      <c r="T12" s="59"/>
      <c r="U12" s="43"/>
      <c r="V12" s="60"/>
      <c r="W12" s="88" t="s">
        <v>68</v>
      </c>
      <c r="X12" s="89" t="str">
        <f>CONCATENATE(Paths!AE5," / ",VLOOKUP(X13+1,Paths!$P$2:$S$6,2,FALSE))</f>
        <v>6 / 35</v>
      </c>
      <c r="Y12" s="90" t="str">
        <f>CONCATENATE(Paths!AG5," / ",VLOOKUP(Y13+1,Paths!$P$2:$S$6,2,FALSE))</f>
        <v>0 / 35</v>
      </c>
      <c r="Z12" s="90" t="str">
        <f>CONCATENATE(Paths!AI5," / ",VLOOKUP(Z13+1,Paths!$P$2:$S$6,2,FALSE))</f>
        <v>0 / 35</v>
      </c>
      <c r="AA12" s="90" t="str">
        <f>CONCATENATE(Paths!AK5," / ",VLOOKUP(AA13+1,Paths!$P$2:$S$6,2,FALSE))</f>
        <v>0.75 / 35</v>
      </c>
      <c r="AB12" s="90" t="str">
        <f>CONCATENATE(Paths!AM5," / ",VLOOKUP(AB13+1,Paths!$P$2:$S$6,2,FALSE))</f>
        <v>5.5 / 35</v>
      </c>
      <c r="AC12" s="91" t="str">
        <f>CONCATENATE(Paths!AO5," / ",VLOOKUP(AC13+1,Paths!$P$2:$S$6,2,FALSE))</f>
        <v>0 / 35</v>
      </c>
      <c r="AD12" s="50"/>
      <c r="AE12" s="43"/>
    </row>
    <row r="13" spans="1:31" ht="16.5" customHeight="1" x14ac:dyDescent="0.2">
      <c r="A13" s="43"/>
      <c r="B13" s="58"/>
      <c r="C13" s="92" t="s">
        <v>69</v>
      </c>
      <c r="D13" s="597"/>
      <c r="E13" s="559"/>
      <c r="F13" s="63"/>
      <c r="G13" s="93"/>
      <c r="H13" s="93"/>
      <c r="I13" s="59"/>
      <c r="J13" s="43"/>
      <c r="K13" s="58"/>
      <c r="L13" s="94"/>
      <c r="M13" s="94"/>
      <c r="N13" s="94"/>
      <c r="O13" s="94"/>
      <c r="P13" s="94"/>
      <c r="Q13" s="94"/>
      <c r="R13" s="94"/>
      <c r="S13" s="94"/>
      <c r="T13" s="59"/>
      <c r="U13" s="43"/>
      <c r="V13" s="60"/>
      <c r="W13" s="95" t="s">
        <v>70</v>
      </c>
      <c r="X13" s="96">
        <f>Paths!AF5</f>
        <v>0</v>
      </c>
      <c r="Y13" s="97">
        <f>Paths!AH5</f>
        <v>0</v>
      </c>
      <c r="Z13" s="97">
        <f>Paths!AJ5</f>
        <v>0</v>
      </c>
      <c r="AA13" s="97">
        <f>Paths!AL5</f>
        <v>0</v>
      </c>
      <c r="AB13" s="97">
        <f>Paths!AN5</f>
        <v>0</v>
      </c>
      <c r="AC13" s="98">
        <f>Paths!AP5</f>
        <v>0</v>
      </c>
      <c r="AD13" s="50"/>
      <c r="AE13" s="43"/>
    </row>
    <row r="14" spans="1:31" ht="16.5" customHeight="1" x14ac:dyDescent="0.2">
      <c r="A14" s="43"/>
      <c r="B14" s="58"/>
      <c r="C14" s="99" t="s">
        <v>59</v>
      </c>
      <c r="D14" s="598"/>
      <c r="E14" s="562"/>
      <c r="F14" s="100">
        <f t="shared" ref="F14:H14" si="1">F12+F13</f>
        <v>5</v>
      </c>
      <c r="G14" s="101">
        <f t="shared" si="1"/>
        <v>5</v>
      </c>
      <c r="H14" s="102">
        <f t="shared" si="1"/>
        <v>5</v>
      </c>
      <c r="I14" s="59"/>
      <c r="J14" s="43"/>
      <c r="K14" s="58"/>
      <c r="L14" s="590" t="s">
        <v>22</v>
      </c>
      <c r="M14" s="574"/>
      <c r="N14" s="574"/>
      <c r="O14" s="574"/>
      <c r="P14" s="574"/>
      <c r="Q14" s="574"/>
      <c r="R14" s="574"/>
      <c r="S14" s="575"/>
      <c r="T14" s="59"/>
      <c r="U14" s="43"/>
      <c r="V14" s="60"/>
      <c r="W14" s="2"/>
      <c r="X14" s="2"/>
      <c r="Y14" s="2"/>
      <c r="Z14" s="2"/>
      <c r="AA14" s="2"/>
      <c r="AB14" s="2"/>
      <c r="AC14" s="2"/>
      <c r="AD14" s="50"/>
      <c r="AE14" s="43"/>
    </row>
    <row r="15" spans="1:31" ht="16.5" customHeight="1" x14ac:dyDescent="0.2">
      <c r="A15" s="43"/>
      <c r="B15" s="103"/>
      <c r="C15" s="104"/>
      <c r="D15" s="104"/>
      <c r="E15" s="104"/>
      <c r="F15" s="104"/>
      <c r="G15" s="104"/>
      <c r="H15" s="104"/>
      <c r="I15" s="105"/>
      <c r="J15" s="43"/>
      <c r="K15" s="58"/>
      <c r="L15" s="45" t="s">
        <v>3</v>
      </c>
      <c r="M15" s="64" t="s">
        <v>53</v>
      </c>
      <c r="N15" s="64" t="s">
        <v>54</v>
      </c>
      <c r="O15" s="65" t="s">
        <v>55</v>
      </c>
      <c r="P15" s="587" t="s">
        <v>56</v>
      </c>
      <c r="Q15" s="574"/>
      <c r="R15" s="587" t="s">
        <v>57</v>
      </c>
      <c r="S15" s="575"/>
      <c r="T15" s="59"/>
      <c r="U15" s="43"/>
      <c r="V15" s="60"/>
      <c r="W15" s="583" t="s">
        <v>71</v>
      </c>
      <c r="X15" s="574"/>
      <c r="Y15" s="574"/>
      <c r="Z15" s="574"/>
      <c r="AA15" s="574"/>
      <c r="AB15" s="574"/>
      <c r="AC15" s="575"/>
      <c r="AD15" s="50"/>
      <c r="AE15" s="43"/>
    </row>
    <row r="16" spans="1:31" ht="16.5" customHeight="1" x14ac:dyDescent="0.2">
      <c r="A16" s="43"/>
      <c r="B16" s="145"/>
      <c r="C16" s="146"/>
      <c r="D16" s="146"/>
      <c r="E16" s="146"/>
      <c r="F16" s="146"/>
      <c r="G16" s="146"/>
      <c r="H16" s="146"/>
      <c r="I16" s="147"/>
      <c r="J16" s="43"/>
      <c r="K16" s="58"/>
      <c r="L16" s="67">
        <f>IF(M16&gt;='Reaction Progression &amp; Log'!$B$12,'Reaction Progression &amp; Log'!$A$12,IF(M16&gt;='Reaction Progression &amp; Log'!$B$11,'Reaction Progression &amp; Log'!$A$11,IF(M16&gt;='Reaction Progression &amp; Log'!$B$10,'Reaction Progression &amp; Log'!$A$10,IF(M16&gt;='Reaction Progression &amp; Log'!$B$9,'Reaction Progression &amp; Log'!$A$9,IF(M16&gt;='Reaction Progression &amp; Log'!$B$8,'Reaction Progression &amp; Log'!$A$8,IF(M16&gt;='Reaction Progression &amp; Log'!$B$7,'Reaction Progression &amp; Log'!$A$7,IF(M16&gt;='Reaction Progression &amp; Log'!$B$6,'Reaction Progression &amp; Log'!$A$6,IF(M16&gt;='Reaction Progression &amp; Log'!$B$5,'Reaction Progression &amp; Log'!$A$5,IF(M16&gt;='Reaction Progression &amp; Log'!$B$4,'Reaction Progression &amp; Log'!$A$4,IF(M16&gt;='Reaction Progression &amp; Log'!$B$3,'Reaction Progression &amp; Log'!$A$3,'Reaction Progression &amp; Log'!$A$2))))))))))</f>
        <v>1</v>
      </c>
      <c r="M16" s="66">
        <f>SUMIF('Reaction Progression &amp; Log'!$D:$D,$C$5,'Reaction Progression &amp; Log'!$G:$G)</f>
        <v>8</v>
      </c>
      <c r="N16" s="68">
        <f>IF(L16=11,"--",VLOOKUP(L16+1,'Reaction Progression &amp; Log'!$A$2:$B$12,2,FALSE))</f>
        <v>100</v>
      </c>
      <c r="O16" s="69">
        <f>VLOOKUP($L16,'Defense Simulations'!$C$3:$W$13,19,FALSE)</f>
        <v>0.1</v>
      </c>
      <c r="P16" s="588">
        <f>VLOOKUP($L16,'Defense Simulations'!$C$3:$W$13,20,FALSE)</f>
        <v>0.9</v>
      </c>
      <c r="Q16" s="565"/>
      <c r="R16" s="588">
        <f>VLOOKUP($L16,'Defense Simulations'!$C$3:$W$13,21,FALSE)</f>
        <v>0</v>
      </c>
      <c r="S16" s="566"/>
      <c r="T16" s="59"/>
      <c r="U16" s="43"/>
      <c r="V16" s="60"/>
      <c r="W16" s="88" t="s">
        <v>72</v>
      </c>
      <c r="X16" s="90" t="s">
        <v>73</v>
      </c>
      <c r="Y16" s="90" t="s">
        <v>74</v>
      </c>
      <c r="Z16" s="90" t="s">
        <v>73</v>
      </c>
      <c r="AA16" s="90" t="s">
        <v>74</v>
      </c>
      <c r="AB16" s="90" t="s">
        <v>74</v>
      </c>
      <c r="AC16" s="91" t="s">
        <v>73</v>
      </c>
      <c r="AD16" s="50"/>
      <c r="AE16" s="43"/>
    </row>
    <row r="17" spans="1:31" ht="16.5" customHeight="1" x14ac:dyDescent="0.2">
      <c r="A17" s="43"/>
      <c r="B17" s="590" t="s">
        <v>75</v>
      </c>
      <c r="C17" s="574"/>
      <c r="D17" s="574"/>
      <c r="E17" s="574"/>
      <c r="F17" s="574"/>
      <c r="G17" s="574"/>
      <c r="H17" s="574"/>
      <c r="I17" s="575"/>
      <c r="J17" s="43"/>
      <c r="K17" s="58"/>
      <c r="L17" s="584" t="s">
        <v>59</v>
      </c>
      <c r="M17" s="561"/>
      <c r="N17" s="561"/>
      <c r="O17" s="76">
        <f>Math!V15</f>
        <v>0.1</v>
      </c>
      <c r="P17" s="589">
        <f>Math!X15</f>
        <v>0.9</v>
      </c>
      <c r="Q17" s="561"/>
      <c r="R17" s="589">
        <f>Math!Z15</f>
        <v>0</v>
      </c>
      <c r="S17" s="562"/>
      <c r="T17" s="59"/>
      <c r="U17" s="43"/>
      <c r="V17" s="60"/>
      <c r="W17" s="95" t="s">
        <v>76</v>
      </c>
      <c r="X17" s="97" t="s">
        <v>77</v>
      </c>
      <c r="Y17" s="97" t="s">
        <v>78</v>
      </c>
      <c r="Z17" s="97" t="s">
        <v>78</v>
      </c>
      <c r="AA17" s="97" t="s">
        <v>79</v>
      </c>
      <c r="AB17" s="97" t="s">
        <v>77</v>
      </c>
      <c r="AC17" s="98" t="s">
        <v>79</v>
      </c>
      <c r="AD17" s="50"/>
      <c r="AE17" s="43"/>
    </row>
    <row r="18" spans="1:31" ht="16.5" customHeight="1" x14ac:dyDescent="0.2">
      <c r="A18" s="43"/>
      <c r="B18" s="35"/>
      <c r="C18" s="35"/>
      <c r="D18" s="35"/>
      <c r="E18" s="35"/>
      <c r="F18" s="35"/>
      <c r="G18" s="35"/>
      <c r="H18" s="35"/>
      <c r="I18" s="35"/>
      <c r="J18" s="43"/>
      <c r="K18" s="73"/>
      <c r="L18" s="106"/>
      <c r="M18" s="106"/>
      <c r="N18" s="106"/>
      <c r="O18" s="106"/>
      <c r="P18" s="106"/>
      <c r="Q18" s="106"/>
      <c r="R18" s="106"/>
      <c r="S18" s="106"/>
      <c r="T18" s="75"/>
      <c r="U18" s="43"/>
      <c r="V18" s="60"/>
      <c r="W18" s="2"/>
      <c r="X18" s="2"/>
      <c r="Y18" s="2"/>
      <c r="Z18" s="2"/>
      <c r="AA18" s="2"/>
      <c r="AB18" s="2"/>
      <c r="AC18" s="2"/>
      <c r="AD18" s="50"/>
      <c r="AE18" s="43"/>
    </row>
    <row r="19" spans="1:31" ht="16.5" customHeight="1" x14ac:dyDescent="0.2">
      <c r="A19" s="43"/>
      <c r="B19" s="35"/>
      <c r="C19" s="84" t="str">
        <f>Personality!B3</f>
        <v>Patience</v>
      </c>
      <c r="D19" s="107" t="str">
        <f>Personality!C3</f>
        <v>Empathy</v>
      </c>
      <c r="E19" s="107" t="str">
        <f>Personality!D3</f>
        <v>Cunning</v>
      </c>
      <c r="F19" s="107" t="str">
        <f>Personality!E3</f>
        <v>Logic</v>
      </c>
      <c r="G19" s="107" t="str">
        <f>Personality!F3</f>
        <v>Kindness</v>
      </c>
      <c r="H19" s="108" t="str">
        <f>Personality!G3</f>
        <v>Charisma</v>
      </c>
      <c r="I19" s="35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60"/>
      <c r="W19" s="583" t="s">
        <v>80</v>
      </c>
      <c r="X19" s="574"/>
      <c r="Y19" s="574"/>
      <c r="Z19" s="574"/>
      <c r="AA19" s="574"/>
      <c r="AB19" s="574"/>
      <c r="AC19" s="575"/>
      <c r="AD19" s="50"/>
      <c r="AE19" s="43"/>
    </row>
    <row r="20" spans="1:31" ht="16.5" customHeight="1" x14ac:dyDescent="0.2">
      <c r="A20" s="43"/>
      <c r="B20" s="35"/>
      <c r="C20" s="109">
        <f>Personality!B6</f>
        <v>0.15</v>
      </c>
      <c r="D20" s="110">
        <f>Personality!C6</f>
        <v>0.15</v>
      </c>
      <c r="E20" s="110">
        <f>Personality!D6</f>
        <v>0.19</v>
      </c>
      <c r="F20" s="110">
        <f>Personality!E6</f>
        <v>0.16</v>
      </c>
      <c r="G20" s="110">
        <f>Personality!F6</f>
        <v>0.16</v>
      </c>
      <c r="H20" s="111">
        <f>Personality!G6</f>
        <v>0.19</v>
      </c>
      <c r="I20" s="35"/>
      <c r="J20" s="43"/>
      <c r="K20" s="590" t="s">
        <v>81</v>
      </c>
      <c r="L20" s="574"/>
      <c r="M20" s="574"/>
      <c r="N20" s="574"/>
      <c r="O20" s="574"/>
      <c r="P20" s="574"/>
      <c r="Q20" s="574"/>
      <c r="R20" s="574"/>
      <c r="S20" s="574"/>
      <c r="T20" s="575"/>
      <c r="U20" s="43"/>
      <c r="V20" s="60"/>
      <c r="W20" s="112" t="s">
        <v>82</v>
      </c>
      <c r="X20" s="113">
        <f>VLOOKUP(CONCATENATE(X$6," - ",X$13),Paths!$C$2:$I$28,2,FALSE)</f>
        <v>0.04</v>
      </c>
      <c r="Y20" s="114">
        <f>VLOOKUP(CONCATENATE(Y6," - ",Y13),Paths!$C$2:$I$28,2,FALSE)</f>
        <v>-0.06</v>
      </c>
      <c r="Z20" s="114">
        <f>VLOOKUP(CONCATENATE(Z6," - ",Z13),Paths!$C$2:$I$28,2,FALSE)</f>
        <v>0.06</v>
      </c>
      <c r="AA20" s="114">
        <f>VLOOKUP(CONCATENATE(AA6," - ",AA13),Paths!$C$2:$I$28,2,FALSE)</f>
        <v>-0.08</v>
      </c>
      <c r="AB20" s="114">
        <f>VLOOKUP(CONCATENATE(AB6," - ",AB13),Paths!$C$2:$I$28,2,FALSE)</f>
        <v>-0.04</v>
      </c>
      <c r="AC20" s="115">
        <f>VLOOKUP(CONCATENATE(AC6," - ",AC13),Paths!$C$2:$I$28,2,FALSE)</f>
        <v>0.08</v>
      </c>
      <c r="AD20" s="50"/>
      <c r="AE20" s="43"/>
    </row>
    <row r="21" spans="1:31" ht="16.5" customHeight="1" x14ac:dyDescent="0.2">
      <c r="A21" s="43"/>
      <c r="B21" s="35"/>
      <c r="C21" s="116"/>
      <c r="D21" s="117"/>
      <c r="E21" s="117"/>
      <c r="F21" s="117"/>
      <c r="G21" s="117"/>
      <c r="H21" s="118"/>
      <c r="I21" s="35"/>
      <c r="J21" s="43"/>
      <c r="K21" s="51"/>
      <c r="L21" s="55"/>
      <c r="M21" s="55"/>
      <c r="N21" s="55"/>
      <c r="O21" s="55"/>
      <c r="P21" s="55"/>
      <c r="Q21" s="55"/>
      <c r="R21" s="55"/>
      <c r="S21" s="55"/>
      <c r="T21" s="53"/>
      <c r="U21" s="43"/>
      <c r="V21" s="60"/>
      <c r="W21" s="119" t="s">
        <v>83</v>
      </c>
      <c r="X21" s="120">
        <f>VLOOKUP(CONCATENATE(X$6," - ",X$13),Paths!$C$2:$I$28,3,FALSE)</f>
        <v>0.05</v>
      </c>
      <c r="Y21" s="121">
        <f>VLOOKUP(CONCATENATE(Y$6," - ",Y$13),Paths!$C$2:$I$28,3,FALSE)</f>
        <v>-6.9999999999999993E-2</v>
      </c>
      <c r="Z21" s="121">
        <f>VLOOKUP(CONCATENATE(Z$6," - ",Z$13),Paths!$C$2:$I$28,3,FALSE)</f>
        <v>6.9999999999999993E-2</v>
      </c>
      <c r="AA21" s="121">
        <f>VLOOKUP(CONCATENATE(AA$6," - ",AA$13),Paths!$C$2:$I$28,3,FALSE)</f>
        <v>-0.09</v>
      </c>
      <c r="AB21" s="121">
        <f>VLOOKUP(CONCATENATE(AB$6," - ",AB$13),Paths!$C$2:$I$28,3,FALSE)</f>
        <v>-0.05</v>
      </c>
      <c r="AC21" s="122">
        <f>VLOOKUP(CONCATENATE(AC$6," - ",AC$13),Paths!$C$2:$I$28,3,FALSE)</f>
        <v>0.09</v>
      </c>
      <c r="AD21" s="50"/>
      <c r="AE21" s="43"/>
    </row>
    <row r="22" spans="1:31" ht="16.5" customHeight="1" x14ac:dyDescent="0.2">
      <c r="A22" s="43"/>
      <c r="B22" s="35"/>
      <c r="C22" s="116"/>
      <c r="D22" s="117"/>
      <c r="E22" s="117"/>
      <c r="F22" s="117"/>
      <c r="G22" s="117"/>
      <c r="H22" s="118"/>
      <c r="I22" s="35"/>
      <c r="J22" s="43"/>
      <c r="K22" s="58"/>
      <c r="L22" s="585" t="s">
        <v>84</v>
      </c>
      <c r="M22" s="565"/>
      <c r="N22" s="586" t="s">
        <v>85</v>
      </c>
      <c r="O22" s="565"/>
      <c r="P22" s="565"/>
      <c r="Q22" s="57" t="s">
        <v>86</v>
      </c>
      <c r="R22" s="57" t="s">
        <v>87</v>
      </c>
      <c r="S22" s="123" t="s">
        <v>88</v>
      </c>
      <c r="T22" s="59"/>
      <c r="U22" s="43"/>
      <c r="V22" s="60"/>
      <c r="W22" s="119" t="s">
        <v>89</v>
      </c>
      <c r="X22" s="120">
        <f>VLOOKUP(CONCATENATE(X$6," - ",X$13),Paths!$C$2:$I$28,4,FALSE)</f>
        <v>6.0000000000000005E-2</v>
      </c>
      <c r="Y22" s="121">
        <f>VLOOKUP(CONCATENATE(Y$6," - ",Y$13),Paths!$C$2:$I$28,4,FALSE)</f>
        <v>-7.9999999999999988E-2</v>
      </c>
      <c r="Z22" s="121">
        <f>VLOOKUP(CONCATENATE(Z$6," - ",Z$13),Paths!$C$2:$I$28,4,FALSE)</f>
        <v>7.9999999999999988E-2</v>
      </c>
      <c r="AA22" s="121">
        <f>VLOOKUP(CONCATENATE(AA$6," - ",AA$13),Paths!$C$2:$I$28,4,FALSE)</f>
        <v>-9.9999999999999992E-2</v>
      </c>
      <c r="AB22" s="121">
        <f>VLOOKUP(CONCATENATE(AB$6," - ",AB$13),Paths!$C$2:$I$28,4,FALSE)</f>
        <v>-6.0000000000000005E-2</v>
      </c>
      <c r="AC22" s="122">
        <f>VLOOKUP(CONCATENATE(AC$6," - ",AC$13),Paths!$C$2:$I$28,4,FALSE)</f>
        <v>9.9999999999999992E-2</v>
      </c>
      <c r="AD22" s="50"/>
      <c r="AE22" s="43"/>
    </row>
    <row r="23" spans="1:31" ht="16.5" customHeight="1" x14ac:dyDescent="0.2">
      <c r="A23" s="43"/>
      <c r="B23" s="35"/>
      <c r="C23" s="116"/>
      <c r="D23" s="117"/>
      <c r="E23" s="117"/>
      <c r="F23" s="117"/>
      <c r="G23" s="117"/>
      <c r="H23" s="118"/>
      <c r="I23" s="35"/>
      <c r="J23" s="43"/>
      <c r="K23" s="58"/>
      <c r="L23" s="608" t="str">
        <f ca="1">'Combatant info data'!AF6</f>
        <v/>
      </c>
      <c r="M23" s="565"/>
      <c r="N23" s="609" t="str">
        <f ca="1">'Combatant info data'!AG6</f>
        <v/>
      </c>
      <c r="O23" s="565"/>
      <c r="P23" s="565"/>
      <c r="Q23" s="86" t="str">
        <f ca="1">'Combatant info data'!AH6</f>
        <v/>
      </c>
      <c r="R23" s="86" t="str">
        <f ca="1">'Combatant info data'!AI6</f>
        <v/>
      </c>
      <c r="S23" s="87" t="str">
        <f ca="1">'Combatant info data'!AJ6</f>
        <v/>
      </c>
      <c r="T23" s="59"/>
      <c r="U23" s="43"/>
      <c r="V23" s="60"/>
      <c r="W23" s="119" t="s">
        <v>90</v>
      </c>
      <c r="X23" s="120">
        <f>VLOOKUP(CONCATENATE(X$6," - ",X$13),Paths!$C$2:$I$28,5,FALSE)</f>
        <v>7.0000000000000007E-2</v>
      </c>
      <c r="Y23" s="121">
        <f>VLOOKUP(CONCATENATE(Y$6," - ",Y$13),Paths!$C$2:$I$28,5,FALSE)</f>
        <v>-8.9999999999999983E-2</v>
      </c>
      <c r="Z23" s="121">
        <f>VLOOKUP(CONCATENATE(Z$6," - ",Z$13),Paths!$C$2:$I$28,5,FALSE)</f>
        <v>8.9999999999999983E-2</v>
      </c>
      <c r="AA23" s="121">
        <f>VLOOKUP(CONCATENATE(AA$6," - ",AA$13),Paths!$C$2:$I$28,5,FALSE)</f>
        <v>-0.10999999999999999</v>
      </c>
      <c r="AB23" s="121">
        <f>VLOOKUP(CONCATENATE(AB$6," - ",AB$13),Paths!$C$2:$I$28,5,FALSE)</f>
        <v>-7.0000000000000007E-2</v>
      </c>
      <c r="AC23" s="122">
        <f>VLOOKUP(CONCATENATE(AC$6," - ",AC$13),Paths!$C$2:$I$28,5,FALSE)</f>
        <v>0.10999999999999999</v>
      </c>
      <c r="AD23" s="50"/>
      <c r="AE23" s="43"/>
    </row>
    <row r="24" spans="1:31" ht="16.5" customHeight="1" x14ac:dyDescent="0.2">
      <c r="A24" s="43"/>
      <c r="B24" s="35"/>
      <c r="C24" s="116"/>
      <c r="D24" s="117"/>
      <c r="E24" s="117"/>
      <c r="F24" s="117"/>
      <c r="G24" s="117"/>
      <c r="H24" s="118"/>
      <c r="I24" s="35"/>
      <c r="J24" s="43"/>
      <c r="K24" s="58"/>
      <c r="L24" s="603" t="str">
        <f ca="1">'Combatant info data'!AF7</f>
        <v/>
      </c>
      <c r="M24" s="558"/>
      <c r="N24" s="604" t="str">
        <f ca="1">'Combatant info data'!AG7</f>
        <v/>
      </c>
      <c r="O24" s="558"/>
      <c r="P24" s="558"/>
      <c r="Q24" s="125" t="str">
        <f ca="1">'Combatant info data'!AH7</f>
        <v/>
      </c>
      <c r="R24" s="125" t="str">
        <f ca="1">'Combatant info data'!AI7</f>
        <v/>
      </c>
      <c r="S24" s="126" t="str">
        <f ca="1">'Combatant info data'!AJ7</f>
        <v/>
      </c>
      <c r="T24" s="59"/>
      <c r="U24" s="43"/>
      <c r="V24" s="60"/>
      <c r="W24" s="119" t="s">
        <v>91</v>
      </c>
      <c r="X24" s="120">
        <f>VLOOKUP(CONCATENATE(X$6," - ",X$13),Paths!$C$2:$I$28,6,FALSE)</f>
        <v>0.08</v>
      </c>
      <c r="Y24" s="121">
        <f>VLOOKUP(CONCATENATE(Y$6," - ",Y$13),Paths!$C$2:$I$28,6,FALSE)</f>
        <v>-9.9999999999999978E-2</v>
      </c>
      <c r="Z24" s="121">
        <f>VLOOKUP(CONCATENATE(Z$6," - ",Z$13),Paths!$C$2:$I$28,6,FALSE)</f>
        <v>9.9999999999999978E-2</v>
      </c>
      <c r="AA24" s="121">
        <f>VLOOKUP(CONCATENATE(AA$6," - ",AA$13),Paths!$C$2:$I$28,6,FALSE)</f>
        <v>-0.11999999999999998</v>
      </c>
      <c r="AB24" s="121">
        <f>VLOOKUP(CONCATENATE(AB$6," - ",AB$13),Paths!$C$2:$I$28,6,FALSE)</f>
        <v>-0.08</v>
      </c>
      <c r="AC24" s="122">
        <f>VLOOKUP(CONCATENATE(AC$6," - ",AC$13),Paths!$C$2:$I$28,6,FALSE)</f>
        <v>0.11999999999999998</v>
      </c>
      <c r="AD24" s="50"/>
      <c r="AE24" s="43"/>
    </row>
    <row r="25" spans="1:31" ht="16.5" customHeight="1" x14ac:dyDescent="0.2">
      <c r="A25" s="43"/>
      <c r="B25" s="35"/>
      <c r="C25" s="116"/>
      <c r="D25" s="117"/>
      <c r="E25" s="117"/>
      <c r="F25" s="117"/>
      <c r="G25" s="117"/>
      <c r="H25" s="118"/>
      <c r="I25" s="35"/>
      <c r="J25" s="43"/>
      <c r="K25" s="58"/>
      <c r="L25" s="603" t="str">
        <f ca="1">'Combatant info data'!AF8</f>
        <v/>
      </c>
      <c r="M25" s="558"/>
      <c r="N25" s="604" t="str">
        <f ca="1">'Combatant info data'!AG8</f>
        <v/>
      </c>
      <c r="O25" s="558"/>
      <c r="P25" s="558"/>
      <c r="Q25" s="125" t="str">
        <f ca="1">'Combatant info data'!AH8</f>
        <v/>
      </c>
      <c r="R25" s="125" t="str">
        <f ca="1">'Combatant info data'!AI8</f>
        <v/>
      </c>
      <c r="S25" s="126" t="str">
        <f ca="1">'Combatant info data'!AJ8</f>
        <v/>
      </c>
      <c r="T25" s="59"/>
      <c r="U25" s="43"/>
      <c r="V25" s="60"/>
      <c r="W25" s="127" t="s">
        <v>92</v>
      </c>
      <c r="X25" s="128">
        <f>VLOOKUP(CONCATENATE(X$6," - ",X$13),Paths!$C$2:$I$28,7,FALSE)</f>
        <v>0.09</v>
      </c>
      <c r="Y25" s="129">
        <f>VLOOKUP(CONCATENATE(Y$6," - ",Y$13),Paths!$C$2:$I$28,7,FALSE)</f>
        <v>-0.10999999999999997</v>
      </c>
      <c r="Z25" s="129">
        <f>VLOOKUP(CONCATENATE(Z$6," - ",Z$13),Paths!$C$2:$I$28,7,FALSE)</f>
        <v>0.10999999999999997</v>
      </c>
      <c r="AA25" s="129">
        <f>VLOOKUP(CONCATENATE(AA$6," - ",AA$13),Paths!$C$2:$I$28,7,FALSE)</f>
        <v>-0.12999999999999998</v>
      </c>
      <c r="AB25" s="129">
        <f>VLOOKUP(CONCATENATE(AB$6," - ",AB$13),Paths!$C$2:$I$28,7,FALSE)</f>
        <v>-0.09</v>
      </c>
      <c r="AC25" s="130">
        <f>VLOOKUP(CONCATENATE(AC$6," - ",AC$13),Paths!$C$2:$I$28,7,FALSE)</f>
        <v>0.12999999999999998</v>
      </c>
      <c r="AD25" s="50"/>
      <c r="AE25" s="43"/>
    </row>
    <row r="26" spans="1:31" ht="16.5" customHeight="1" x14ac:dyDescent="0.2">
      <c r="A26" s="43"/>
      <c r="B26" s="35"/>
      <c r="C26" s="131"/>
      <c r="D26" s="132"/>
      <c r="E26" s="132"/>
      <c r="F26" s="132"/>
      <c r="G26" s="132"/>
      <c r="H26" s="133"/>
      <c r="I26" s="35"/>
      <c r="J26" s="43"/>
      <c r="K26" s="58"/>
      <c r="L26" s="603" t="str">
        <f ca="1">'Combatant info data'!AF9</f>
        <v/>
      </c>
      <c r="M26" s="558"/>
      <c r="N26" s="604" t="str">
        <f ca="1">'Combatant info data'!AG9</f>
        <v/>
      </c>
      <c r="O26" s="558"/>
      <c r="P26" s="558"/>
      <c r="Q26" s="125" t="str">
        <f ca="1">'Combatant info data'!AH9</f>
        <v/>
      </c>
      <c r="R26" s="125" t="str">
        <f ca="1">'Combatant info data'!AI9</f>
        <v/>
      </c>
      <c r="S26" s="126" t="str">
        <f ca="1">'Combatant info data'!AJ9</f>
        <v/>
      </c>
      <c r="T26" s="59"/>
      <c r="U26" s="43"/>
      <c r="V26" s="60"/>
      <c r="W26" s="2"/>
      <c r="X26" s="2"/>
      <c r="Y26" s="2"/>
      <c r="Z26" s="2"/>
      <c r="AA26" s="2"/>
      <c r="AB26" s="2"/>
      <c r="AC26" s="2"/>
      <c r="AD26" s="50"/>
      <c r="AE26" s="43"/>
    </row>
    <row r="27" spans="1:31" ht="16.5" customHeight="1" x14ac:dyDescent="0.2">
      <c r="A27" s="43"/>
      <c r="B27" s="35"/>
      <c r="C27" s="131"/>
      <c r="D27" s="132"/>
      <c r="E27" s="132"/>
      <c r="F27" s="132"/>
      <c r="G27" s="132"/>
      <c r="H27" s="133"/>
      <c r="I27" s="35"/>
      <c r="J27" s="43"/>
      <c r="K27" s="58"/>
      <c r="L27" s="603" t="str">
        <f ca="1">'Combatant info data'!AF10</f>
        <v/>
      </c>
      <c r="M27" s="558"/>
      <c r="N27" s="604" t="str">
        <f ca="1">'Combatant info data'!AG10</f>
        <v/>
      </c>
      <c r="O27" s="558"/>
      <c r="P27" s="558"/>
      <c r="Q27" s="125" t="str">
        <f ca="1">'Combatant info data'!AH10</f>
        <v/>
      </c>
      <c r="R27" s="125" t="str">
        <f ca="1">'Combatant info data'!AI10</f>
        <v/>
      </c>
      <c r="S27" s="126" t="str">
        <f ca="1">'Combatant info data'!AJ10</f>
        <v/>
      </c>
      <c r="T27" s="59"/>
      <c r="U27" s="43"/>
      <c r="V27" s="60"/>
      <c r="W27" s="606" t="s">
        <v>93</v>
      </c>
      <c r="X27" s="565"/>
      <c r="Y27" s="565"/>
      <c r="Z27" s="565"/>
      <c r="AA27" s="565"/>
      <c r="AB27" s="565"/>
      <c r="AC27" s="566"/>
      <c r="AD27" s="50"/>
      <c r="AE27" s="43"/>
    </row>
    <row r="28" spans="1:31" ht="16.5" customHeight="1" x14ac:dyDescent="0.2">
      <c r="A28" s="43"/>
      <c r="B28" s="35"/>
      <c r="C28" s="131"/>
      <c r="D28" s="132"/>
      <c r="E28" s="132"/>
      <c r="F28" s="132"/>
      <c r="G28" s="132"/>
      <c r="H28" s="133"/>
      <c r="I28" s="35"/>
      <c r="J28" s="43"/>
      <c r="K28" s="58"/>
      <c r="L28" s="603" t="str">
        <f ca="1">'Combatant info data'!AF11</f>
        <v/>
      </c>
      <c r="M28" s="558"/>
      <c r="N28" s="604" t="str">
        <f ca="1">'Combatant info data'!AG11</f>
        <v/>
      </c>
      <c r="O28" s="558"/>
      <c r="P28" s="558"/>
      <c r="Q28" s="125" t="str">
        <f ca="1">'Combatant info data'!AH11</f>
        <v/>
      </c>
      <c r="R28" s="125" t="str">
        <f ca="1">'Combatant info data'!AI11</f>
        <v/>
      </c>
      <c r="S28" s="126" t="str">
        <f ca="1">'Combatant info data'!AJ11</f>
        <v/>
      </c>
      <c r="T28" s="59"/>
      <c r="U28" s="43"/>
      <c r="V28" s="60"/>
      <c r="W28" s="88" t="s">
        <v>94</v>
      </c>
      <c r="X28" s="134">
        <f>VLOOKUP(X13,Paths!$P$2:$S$5,3,FALSE)</f>
        <v>0</v>
      </c>
      <c r="Y28" s="135">
        <f>VLOOKUP(Y13,Paths!$P$2:$S$5,3,FALSE)</f>
        <v>0</v>
      </c>
      <c r="Z28" s="135">
        <f>VLOOKUP(Z13,Paths!$P$2:$S$5,3,FALSE)</f>
        <v>0</v>
      </c>
      <c r="AA28" s="135">
        <f>VLOOKUP(AA13,Paths!$P$2:$S$5,3,FALSE)</f>
        <v>0</v>
      </c>
      <c r="AB28" s="135">
        <f>VLOOKUP(AB13,Paths!$P$2:$S$5,3,FALSE)</f>
        <v>0</v>
      </c>
      <c r="AC28" s="136">
        <f>VLOOKUP(AC13,Paths!$P$2:$S$5,3,FALSE)</f>
        <v>0</v>
      </c>
      <c r="AD28" s="50"/>
      <c r="AE28" s="43"/>
    </row>
    <row r="29" spans="1:31" ht="16.5" customHeight="1" x14ac:dyDescent="0.2">
      <c r="A29" s="43"/>
      <c r="B29" s="35"/>
      <c r="C29" s="131"/>
      <c r="D29" s="132"/>
      <c r="E29" s="132"/>
      <c r="F29" s="132"/>
      <c r="G29" s="132"/>
      <c r="H29" s="133"/>
      <c r="I29" s="35"/>
      <c r="J29" s="43"/>
      <c r="K29" s="58"/>
      <c r="L29" s="603" t="str">
        <f ca="1">'Combatant info data'!AF12</f>
        <v/>
      </c>
      <c r="M29" s="558"/>
      <c r="N29" s="604" t="str">
        <f ca="1">'Combatant info data'!AG12</f>
        <v/>
      </c>
      <c r="O29" s="558"/>
      <c r="P29" s="558"/>
      <c r="Q29" s="125" t="str">
        <f ca="1">'Combatant info data'!AH12</f>
        <v/>
      </c>
      <c r="R29" s="125" t="str">
        <f ca="1">'Combatant info data'!AI12</f>
        <v/>
      </c>
      <c r="S29" s="126" t="str">
        <f ca="1">'Combatant info data'!AJ12</f>
        <v/>
      </c>
      <c r="T29" s="59"/>
      <c r="U29" s="43"/>
      <c r="V29" s="60"/>
      <c r="W29" s="95" t="s">
        <v>95</v>
      </c>
      <c r="X29" s="96">
        <f>VLOOKUP(X13,Paths!$P$2:$S$5,4,FALSE)</f>
        <v>0</v>
      </c>
      <c r="Y29" s="97">
        <f>VLOOKUP(Y13,Paths!$P$2:$S$5,4,FALSE)</f>
        <v>0</v>
      </c>
      <c r="Z29" s="97">
        <f>VLOOKUP(Z13,Paths!$P$2:$S$5,4,FALSE)</f>
        <v>0</v>
      </c>
      <c r="AA29" s="97">
        <f>VLOOKUP(AA13,Paths!$P$2:$S$5,4,FALSE)</f>
        <v>0</v>
      </c>
      <c r="AB29" s="97">
        <f>VLOOKUP(AB13,Paths!$P$2:$S$5,4,FALSE)</f>
        <v>0</v>
      </c>
      <c r="AC29" s="98">
        <f>VLOOKUP(AC13,Paths!$P$2:$S$5,4,FALSE)</f>
        <v>0</v>
      </c>
      <c r="AD29" s="50"/>
      <c r="AE29" s="43"/>
    </row>
    <row r="30" spans="1:31" ht="16.5" customHeight="1" x14ac:dyDescent="0.2">
      <c r="A30" s="43"/>
      <c r="B30" s="35"/>
      <c r="C30" s="131"/>
      <c r="D30" s="132"/>
      <c r="E30" s="132"/>
      <c r="F30" s="132"/>
      <c r="G30" s="132"/>
      <c r="H30" s="133"/>
      <c r="I30" s="35"/>
      <c r="J30" s="43"/>
      <c r="K30" s="73"/>
      <c r="L30" s="106"/>
      <c r="M30" s="106"/>
      <c r="N30" s="106"/>
      <c r="O30" s="106"/>
      <c r="P30" s="106"/>
      <c r="Q30" s="106"/>
      <c r="R30" s="106"/>
      <c r="S30" s="106"/>
      <c r="T30" s="75"/>
      <c r="U30" s="43"/>
      <c r="V30" s="58"/>
      <c r="W30" s="74"/>
      <c r="X30" s="74"/>
      <c r="Y30" s="74"/>
      <c r="Z30" s="74"/>
      <c r="AA30" s="74"/>
      <c r="AB30" s="74"/>
      <c r="AC30" s="74"/>
      <c r="AD30" s="59"/>
      <c r="AE30" s="43"/>
    </row>
    <row r="31" spans="1:31" ht="16.5" customHeight="1" x14ac:dyDescent="0.2">
      <c r="A31" s="43"/>
      <c r="B31" s="35"/>
      <c r="C31" s="131"/>
      <c r="D31" s="132"/>
      <c r="E31" s="132"/>
      <c r="F31" s="132"/>
      <c r="G31" s="132"/>
      <c r="H31" s="133"/>
      <c r="I31" s="35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60"/>
      <c r="W31" s="583" t="s">
        <v>96</v>
      </c>
      <c r="X31" s="574"/>
      <c r="Y31" s="574"/>
      <c r="Z31" s="574"/>
      <c r="AA31" s="574"/>
      <c r="AB31" s="574"/>
      <c r="AC31" s="575"/>
      <c r="AD31" s="50"/>
      <c r="AE31" s="43"/>
    </row>
    <row r="32" spans="1:31" ht="16.5" customHeight="1" x14ac:dyDescent="0.2">
      <c r="A32" s="43"/>
      <c r="B32" s="35"/>
      <c r="C32" s="131"/>
      <c r="D32" s="132"/>
      <c r="E32" s="132"/>
      <c r="F32" s="132"/>
      <c r="G32" s="132"/>
      <c r="H32" s="133"/>
      <c r="I32" s="35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58"/>
      <c r="W32" s="605" t="s">
        <v>97</v>
      </c>
      <c r="X32" s="566"/>
      <c r="Y32" s="594" t="s">
        <v>98</v>
      </c>
      <c r="Z32" s="574"/>
      <c r="AA32" s="574"/>
      <c r="AB32" s="574"/>
      <c r="AC32" s="575"/>
      <c r="AD32" s="59"/>
      <c r="AE32" s="43"/>
    </row>
    <row r="33" spans="1:31" ht="16.5" customHeight="1" x14ac:dyDescent="0.2">
      <c r="A33" s="43"/>
      <c r="B33" s="35"/>
      <c r="C33" s="131"/>
      <c r="D33" s="132"/>
      <c r="E33" s="132"/>
      <c r="F33" s="132"/>
      <c r="G33" s="132"/>
      <c r="H33" s="133"/>
      <c r="I33" s="35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58"/>
      <c r="W33" s="47" t="s">
        <v>99</v>
      </c>
      <c r="X33" s="137" t="s">
        <v>100</v>
      </c>
      <c r="Y33" s="594" t="s">
        <v>101</v>
      </c>
      <c r="Z33" s="574"/>
      <c r="AA33" s="574"/>
      <c r="AB33" s="607" t="s">
        <v>102</v>
      </c>
      <c r="AC33" s="575"/>
      <c r="AD33" s="59"/>
      <c r="AE33" s="43"/>
    </row>
    <row r="34" spans="1:31" ht="16.5" customHeight="1" x14ac:dyDescent="0.2">
      <c r="A34" s="43"/>
      <c r="B34" s="35"/>
      <c r="C34" s="131"/>
      <c r="D34" s="132"/>
      <c r="E34" s="132"/>
      <c r="F34" s="132"/>
      <c r="G34" s="132"/>
      <c r="H34" s="133"/>
      <c r="I34" s="35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58"/>
      <c r="W34" s="100">
        <f>VLOOKUP(W4,'Special Techniques'!$A$2:$E$7,4,FALSE)</f>
        <v>1</v>
      </c>
      <c r="X34" s="102">
        <f>VLOOKUP(W4,'Special Techniques'!$A$2:$E$7,5,FALSE)</f>
        <v>5</v>
      </c>
      <c r="Y34" s="600" t="s">
        <v>103</v>
      </c>
      <c r="Z34" s="561"/>
      <c r="AA34" s="561"/>
      <c r="AB34" s="601" t="str">
        <f>VLOOKUP(W4,'Special Techniques'!A2:H7,7,FALSE)</f>
        <v>Parry</v>
      </c>
      <c r="AC34" s="562"/>
      <c r="AD34" s="59"/>
      <c r="AE34" s="43"/>
    </row>
    <row r="35" spans="1:31" ht="16.5" customHeight="1" x14ac:dyDescent="0.2">
      <c r="A35" s="43"/>
      <c r="B35" s="35"/>
      <c r="C35" s="131"/>
      <c r="D35" s="132"/>
      <c r="E35" s="132"/>
      <c r="F35" s="132"/>
      <c r="G35" s="132"/>
      <c r="H35" s="133"/>
      <c r="I35" s="35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73"/>
      <c r="W35" s="74"/>
      <c r="X35" s="74"/>
      <c r="Y35" s="74"/>
      <c r="Z35" s="74"/>
      <c r="AA35" s="74"/>
      <c r="AB35" s="74"/>
      <c r="AC35" s="74"/>
      <c r="AD35" s="75"/>
      <c r="AE35" s="43"/>
    </row>
    <row r="36" spans="1:31" ht="16.5" customHeight="1" x14ac:dyDescent="0.2">
      <c r="A36" s="43"/>
      <c r="B36" s="35"/>
      <c r="C36" s="138"/>
      <c r="D36" s="139"/>
      <c r="E36" s="139"/>
      <c r="F36" s="139"/>
      <c r="G36" s="139"/>
      <c r="H36" s="140"/>
      <c r="I36" s="35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</row>
    <row r="37" spans="1:31" ht="16.5" customHeight="1" x14ac:dyDescent="0.2">
      <c r="A37" s="43"/>
      <c r="B37" s="35"/>
      <c r="C37" s="35"/>
      <c r="D37" s="35"/>
      <c r="E37" s="35"/>
      <c r="F37" s="35"/>
      <c r="G37" s="35"/>
      <c r="H37" s="35"/>
      <c r="I37" s="35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31" ht="16.5" customHeight="1" x14ac:dyDescent="0.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</row>
  </sheetData>
  <mergeCells count="69">
    <mergeCell ref="L12:N12"/>
    <mergeCell ref="L14:S14"/>
    <mergeCell ref="P15:Q15"/>
    <mergeCell ref="R15:S15"/>
    <mergeCell ref="R16:S16"/>
    <mergeCell ref="P12:Q12"/>
    <mergeCell ref="R12:S12"/>
    <mergeCell ref="L25:M25"/>
    <mergeCell ref="N25:P25"/>
    <mergeCell ref="L26:M26"/>
    <mergeCell ref="N26:P26"/>
    <mergeCell ref="L23:M23"/>
    <mergeCell ref="N23:P23"/>
    <mergeCell ref="L24:M24"/>
    <mergeCell ref="N24:P24"/>
    <mergeCell ref="L27:M27"/>
    <mergeCell ref="N27:P27"/>
    <mergeCell ref="W27:AC27"/>
    <mergeCell ref="Y33:AA33"/>
    <mergeCell ref="AB33:AC33"/>
    <mergeCell ref="Y34:AA34"/>
    <mergeCell ref="AB34:AC34"/>
    <mergeCell ref="L28:M28"/>
    <mergeCell ref="N28:P28"/>
    <mergeCell ref="L29:M29"/>
    <mergeCell ref="N29:P29"/>
    <mergeCell ref="W31:AC31"/>
    <mergeCell ref="W32:X32"/>
    <mergeCell ref="Y32:AC32"/>
    <mergeCell ref="K2:T2"/>
    <mergeCell ref="V2:AD2"/>
    <mergeCell ref="E4:F4"/>
    <mergeCell ref="G4:H4"/>
    <mergeCell ref="L4:S4"/>
    <mergeCell ref="X4:AC4"/>
    <mergeCell ref="B9:I9"/>
    <mergeCell ref="D11:E11"/>
    <mergeCell ref="D12:E14"/>
    <mergeCell ref="B17:I17"/>
    <mergeCell ref="B2:I2"/>
    <mergeCell ref="C4:D4"/>
    <mergeCell ref="C5:D5"/>
    <mergeCell ref="E5:F5"/>
    <mergeCell ref="G5:H5"/>
    <mergeCell ref="R5:S5"/>
    <mergeCell ref="C6:D6"/>
    <mergeCell ref="R6:S6"/>
    <mergeCell ref="P5:Q5"/>
    <mergeCell ref="P6:Q6"/>
    <mergeCell ref="E6:H6"/>
    <mergeCell ref="L7:N7"/>
    <mergeCell ref="P7:Q7"/>
    <mergeCell ref="R7:S7"/>
    <mergeCell ref="W8:AC8"/>
    <mergeCell ref="L9:S9"/>
    <mergeCell ref="P10:Q10"/>
    <mergeCell ref="R10:S10"/>
    <mergeCell ref="P11:Q11"/>
    <mergeCell ref="R11:S11"/>
    <mergeCell ref="W11:AC11"/>
    <mergeCell ref="W15:AC15"/>
    <mergeCell ref="W19:AC19"/>
    <mergeCell ref="L17:N17"/>
    <mergeCell ref="L22:M22"/>
    <mergeCell ref="N22:P22"/>
    <mergeCell ref="K20:T20"/>
    <mergeCell ref="P16:Q16"/>
    <mergeCell ref="P17:Q17"/>
    <mergeCell ref="R17:S17"/>
  </mergeCells>
  <conditionalFormatting sqref="D12:E14">
    <cfRule type="cellIs" dxfId="33" priority="1" operator="equal">
      <formula>0</formula>
    </cfRule>
    <cfRule type="cellIs" dxfId="32" priority="2" operator="notEqual">
      <formula>0</formula>
    </cfRule>
  </conditionalFormatting>
  <dataValidations count="1">
    <dataValidation type="list" allowBlank="1" sqref="W4" xr:uid="{00000000-0002-0000-0300-000000000000}">
      <formula1>$X$10:$AC$10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365"/>
  <sheetViews>
    <sheetView topLeftCell="A7" workbookViewId="0">
      <selection activeCell="D22" sqref="D22"/>
    </sheetView>
  </sheetViews>
  <sheetFormatPr defaultColWidth="12.5703125" defaultRowHeight="15.75" customHeight="1" x14ac:dyDescent="0.2"/>
  <cols>
    <col min="1" max="1" width="11.42578125" customWidth="1"/>
    <col min="2" max="2" width="10.85546875" customWidth="1"/>
    <col min="3" max="4" width="13.140625" customWidth="1"/>
    <col min="5" max="5" width="18.85546875" customWidth="1"/>
    <col min="6" max="6" width="22.5703125" customWidth="1"/>
    <col min="7" max="7" width="17.7109375" customWidth="1"/>
    <col min="8" max="8" width="17.42578125" customWidth="1"/>
    <col min="9" max="9" width="23.42578125" customWidth="1"/>
    <col min="10" max="10" width="18.5703125" customWidth="1"/>
    <col min="11" max="11" width="17.140625" customWidth="1"/>
    <col min="12" max="12" width="15.5703125" customWidth="1"/>
    <col min="13" max="13" width="18.28515625" customWidth="1"/>
    <col min="14" max="14" width="14.7109375" customWidth="1"/>
    <col min="15" max="15" width="9.28515625" customWidth="1"/>
    <col min="16" max="16" width="11.85546875" customWidth="1"/>
    <col min="17" max="17" width="18.7109375" customWidth="1"/>
    <col min="19" max="19" width="18.140625" customWidth="1"/>
    <col min="20" max="20" width="2.5703125" customWidth="1"/>
    <col min="21" max="22" width="18.140625" customWidth="1"/>
    <col min="23" max="23" width="2.5703125" customWidth="1"/>
    <col min="24" max="24" width="15.140625" customWidth="1"/>
    <col min="25" max="30" width="9.42578125" customWidth="1"/>
  </cols>
  <sheetData>
    <row r="1" spans="1:30" x14ac:dyDescent="0.2">
      <c r="A1" s="612" t="s">
        <v>106</v>
      </c>
      <c r="B1" s="574"/>
      <c r="C1" s="574"/>
      <c r="D1" s="574"/>
      <c r="E1" s="574"/>
      <c r="F1" s="574"/>
      <c r="G1" s="574"/>
      <c r="H1" s="574"/>
      <c r="I1" s="574"/>
      <c r="J1" s="574"/>
      <c r="K1" s="575"/>
      <c r="L1" s="148" t="s">
        <v>107</v>
      </c>
      <c r="M1" s="148" t="s">
        <v>108</v>
      </c>
      <c r="N1" s="149"/>
      <c r="O1" s="149"/>
      <c r="P1" s="149"/>
      <c r="Q1" s="149"/>
      <c r="R1" s="149"/>
      <c r="S1" s="149"/>
      <c r="T1" s="149"/>
      <c r="U1" s="49"/>
      <c r="V1" s="49"/>
      <c r="W1" s="149"/>
      <c r="X1" s="149"/>
      <c r="Y1" s="149"/>
      <c r="Z1" s="149"/>
      <c r="AA1" s="149"/>
      <c r="AB1" s="149"/>
      <c r="AC1" s="149"/>
      <c r="AD1" s="149"/>
    </row>
    <row r="2" spans="1:30" x14ac:dyDescent="0.2">
      <c r="A2" s="150" t="s">
        <v>109</v>
      </c>
      <c r="B2" s="82" t="s">
        <v>2</v>
      </c>
      <c r="C2" s="151" t="s">
        <v>3</v>
      </c>
      <c r="D2" s="68" t="s">
        <v>4</v>
      </c>
      <c r="E2" s="151" t="s">
        <v>64</v>
      </c>
      <c r="F2" s="151" t="s">
        <v>65</v>
      </c>
      <c r="G2" s="151" t="s">
        <v>25</v>
      </c>
      <c r="H2" s="82" t="s">
        <v>110</v>
      </c>
      <c r="I2" s="151" t="s">
        <v>111</v>
      </c>
      <c r="J2" s="151" t="s">
        <v>112</v>
      </c>
      <c r="K2" s="152" t="s">
        <v>113</v>
      </c>
      <c r="L2" s="153" t="s">
        <v>18</v>
      </c>
      <c r="M2" s="154" t="e">
        <f>IF($L$7="Special",IF(VLOOKUP(VLOOKUP($M$7,$A$3:$D$8,4,FALSE),'Special Techniques'!$A$2:$G$7,7,FALSE)=L2,L2,""),IF($L$7="K.O.","",IF($L$7="Blindside","",L2)))</f>
        <v>#N/A</v>
      </c>
      <c r="N2" s="625" t="s">
        <v>114</v>
      </c>
      <c r="O2" s="149"/>
      <c r="P2" s="149"/>
      <c r="Q2" s="149"/>
      <c r="R2" s="149"/>
      <c r="S2" s="149"/>
      <c r="T2" s="149"/>
      <c r="U2" s="49"/>
      <c r="V2" s="49"/>
      <c r="W2" s="149"/>
      <c r="X2" s="149"/>
      <c r="Y2" s="149"/>
      <c r="Z2" s="149"/>
      <c r="AA2" s="149"/>
      <c r="AB2" s="149"/>
      <c r="AC2" s="149"/>
      <c r="AD2" s="149"/>
    </row>
    <row r="3" spans="1:30" x14ac:dyDescent="0.2">
      <c r="A3" s="155" t="str">
        <f>'Character Sheet - P1'!C5</f>
        <v>Will</v>
      </c>
      <c r="B3" s="156" t="str">
        <f>VLOOKUP(Math!A57,'Rank Progression'!$D$2:$Q$101,14,FALSE)</f>
        <v>1st</v>
      </c>
      <c r="C3" s="156" t="str">
        <f>VLOOKUP(Math!A57,'Rank Progression'!$D$2:$Q$101,13,FALSE)</f>
        <v>Stone</v>
      </c>
      <c r="D3" s="156" t="str">
        <f>'Character Sheet - P1'!W4</f>
        <v>Air</v>
      </c>
      <c r="E3" s="157">
        <f>'Character Sheet - P1'!F14</f>
        <v>5</v>
      </c>
      <c r="F3" s="156">
        <f>'Character Sheet - P1'!G14</f>
        <v>5</v>
      </c>
      <c r="G3" s="156">
        <f>'Character Sheet - P1'!H14</f>
        <v>5</v>
      </c>
      <c r="H3" s="157">
        <f>'Character Sheet - P1'!L6</f>
        <v>1</v>
      </c>
      <c r="I3" s="156">
        <f>'Character Sheet - P1'!L11</f>
        <v>1</v>
      </c>
      <c r="J3" s="156">
        <f>'Character Sheet - P1'!L16</f>
        <v>1</v>
      </c>
      <c r="K3" s="158">
        <f>IF(D3=Paths!$AE$1,Paths!AF$3,IF(D3=Paths!$AG$1,Paths!AH3,IF(D3=Paths!$AI$1,Paths!AJ3,IF(D3=Paths!$AK$1,Paths!AL3,IF(D3=Paths!$AM$1,Paths!AN3,IF(D3=Paths!$AO$1,Paths!AP3,"X"))))))</f>
        <v>0</v>
      </c>
      <c r="L3" s="159" t="s">
        <v>20</v>
      </c>
      <c r="M3" s="160" t="e">
        <f>IF($L$7="Special",IF(VLOOKUP(VLOOKUP($M$7,$A$3:$D$8,4,FALSE),'Special Techniques'!$A$2:$G$7,7,FALSE)=L3,L3,""),IF($L$7="K.O.","",IF($L$7="Blindside","",L3)))</f>
        <v>#N/A</v>
      </c>
      <c r="N3" s="558"/>
      <c r="O3" s="149"/>
      <c r="P3" s="149"/>
      <c r="Q3" s="149"/>
      <c r="R3" s="149"/>
      <c r="S3" s="149"/>
      <c r="T3" s="149"/>
      <c r="U3" s="49"/>
      <c r="V3" s="49"/>
      <c r="W3" s="149"/>
      <c r="X3" s="149"/>
      <c r="Y3" s="149"/>
      <c r="Z3" s="149"/>
      <c r="AA3" s="149"/>
      <c r="AB3" s="149"/>
      <c r="AC3" s="149"/>
      <c r="AD3" s="149"/>
    </row>
    <row r="4" spans="1:30" x14ac:dyDescent="0.2">
      <c r="A4" s="155" t="str">
        <f>'Character Sheet - P2'!C5</f>
        <v>Carter</v>
      </c>
      <c r="B4" s="156" t="str">
        <f t="shared" ref="B4:C4" si="0">B3</f>
        <v>1st</v>
      </c>
      <c r="C4" s="156" t="str">
        <f t="shared" si="0"/>
        <v>Stone</v>
      </c>
      <c r="D4" s="156" t="str">
        <f>'Character Sheet - P2'!W4</f>
        <v>Earth</v>
      </c>
      <c r="E4" s="157">
        <f>'Character Sheet - P2'!F14</f>
        <v>5</v>
      </c>
      <c r="F4" s="156">
        <f>'Character Sheet - P2'!G14</f>
        <v>5</v>
      </c>
      <c r="G4" s="156">
        <f>'Character Sheet - P2'!H14</f>
        <v>5</v>
      </c>
      <c r="H4" s="157">
        <f>'Character Sheet - P2'!L6</f>
        <v>1</v>
      </c>
      <c r="I4" s="156">
        <f>'Character Sheet - P2'!L11</f>
        <v>1</v>
      </c>
      <c r="J4" s="156">
        <f>'Character Sheet - P2'!L16</f>
        <v>1</v>
      </c>
      <c r="K4" s="158">
        <f>IF(D4=Paths!$AE$1,Paths!AF$3,IF(D4=Paths!$AG$1,Paths!AH4,IF(D4=Paths!$AI$1,Paths!AJ4,IF(D4=Paths!$AK$1,Paths!AL4,IF(D4=Paths!$AM$1,Paths!AN4,IF(D4=Paths!$AO$1,Paths!AP4,"X"))))))</f>
        <v>0</v>
      </c>
      <c r="L4" s="159" t="s">
        <v>22</v>
      </c>
      <c r="M4" s="160" t="e">
        <f>IF($L$7="Special",IF(VLOOKUP(VLOOKUP($M$7,$A$3:$D$8,4,FALSE),'Special Techniques'!$A$2:$G$7,7,FALSE)=L4,L4,""),IF($L$7="K.O.","",IF($L$7="Blindside","",L4)))</f>
        <v>#N/A</v>
      </c>
      <c r="N4" s="558"/>
      <c r="O4" s="149"/>
      <c r="P4" s="149"/>
      <c r="Q4" s="149"/>
      <c r="R4" s="149"/>
      <c r="S4" s="149"/>
      <c r="T4" s="149"/>
      <c r="U4" s="49"/>
      <c r="V4" s="49"/>
      <c r="W4" s="149"/>
      <c r="X4" s="149"/>
      <c r="Y4" s="149"/>
      <c r="Z4" s="149"/>
      <c r="AA4" s="149"/>
      <c r="AB4" s="149"/>
      <c r="AC4" s="149"/>
      <c r="AD4" s="149"/>
    </row>
    <row r="5" spans="1:30" x14ac:dyDescent="0.2">
      <c r="A5" s="155" t="str">
        <f>'Character Sheet - P3'!C5</f>
        <v>Joe</v>
      </c>
      <c r="B5" s="156" t="str">
        <f t="shared" ref="B5:C5" si="1">B3</f>
        <v>1st</v>
      </c>
      <c r="C5" s="156" t="str">
        <f t="shared" si="1"/>
        <v>Stone</v>
      </c>
      <c r="D5" s="156" t="str">
        <f>'Character Sheet - P3'!W4</f>
        <v>Shadow</v>
      </c>
      <c r="E5" s="157">
        <f>'Character Sheet - P3'!F14</f>
        <v>5</v>
      </c>
      <c r="F5" s="156">
        <f>'Character Sheet - P3'!G14</f>
        <v>5</v>
      </c>
      <c r="G5" s="156">
        <f>'Character Sheet - P3'!H14</f>
        <v>5</v>
      </c>
      <c r="H5" s="157">
        <f>'Character Sheet - P3'!L6</f>
        <v>1</v>
      </c>
      <c r="I5" s="156">
        <f>'Character Sheet - P3'!L11</f>
        <v>1</v>
      </c>
      <c r="J5" s="156">
        <f>'Character Sheet - P3'!L16</f>
        <v>1</v>
      </c>
      <c r="K5" s="158">
        <f>IF(D5=Paths!$AE$1,Paths!AF$3,IF(D5=Paths!$AG$1,Paths!AH5,IF(D5=Paths!$AI$1,Paths!AJ5,IF(D5=Paths!$AK$1,Paths!AL5,IF(D5=Paths!$AM$1,Paths!AN5,IF(D5=Paths!$AO$1,Paths!AP5,"X"))))))</f>
        <v>0</v>
      </c>
      <c r="L5" s="161" t="s">
        <v>115</v>
      </c>
      <c r="M5" s="162" t="e">
        <f>IF($L$7="Blindside",L5,IF(L7="K.O.",L5,""))</f>
        <v>#N/A</v>
      </c>
      <c r="N5" s="558"/>
      <c r="O5" s="149"/>
      <c r="P5" s="149"/>
      <c r="Q5" s="149"/>
      <c r="R5" s="149"/>
      <c r="S5" s="149"/>
      <c r="T5" s="149"/>
      <c r="U5" s="49"/>
      <c r="V5" s="49"/>
      <c r="W5" s="149"/>
      <c r="X5" s="163" t="s">
        <v>116</v>
      </c>
      <c r="Y5" s="626" t="s">
        <v>117</v>
      </c>
      <c r="Z5" s="565"/>
      <c r="AA5" s="565"/>
      <c r="AB5" s="565"/>
      <c r="AC5" s="565"/>
      <c r="AD5" s="566"/>
    </row>
    <row r="6" spans="1:30" x14ac:dyDescent="0.2">
      <c r="A6" s="165" t="str">
        <f>VLOOKUP(J11,'Battle Scenarios'!A:Z,5,FALSE)</f>
        <v>Jake</v>
      </c>
      <c r="B6" s="166" t="str">
        <f>VLOOKUP(J11,'Battle Scenarios'!A:Z,3,FALSE)</f>
        <v>1st</v>
      </c>
      <c r="C6" s="166" t="str">
        <f>VLOOKUP(J11,'Battle Scenarios'!A:Z,4,FALSE)</f>
        <v>Stone</v>
      </c>
      <c r="D6" s="167" t="s">
        <v>42</v>
      </c>
      <c r="E6" s="168">
        <f>VLOOKUP(CONCATENATE($I$14," - ", $A6),'Battle Scenarios'!$F$2:$Y$1000,2,FALSE)</f>
        <v>5</v>
      </c>
      <c r="F6" s="166">
        <f>VLOOKUP(CONCATENATE($I$14," - ", $A6),'Battle Scenarios'!$F$2:$Y$1000,3,FALSE)</f>
        <v>5</v>
      </c>
      <c r="G6" s="166">
        <f>VLOOKUP(CONCATENATE($I$14," - ", $A6),'Battle Scenarios'!$F$2:$Y$1000,4,FALSE)</f>
        <v>5</v>
      </c>
      <c r="H6" s="168">
        <f>VLOOKUP(CONCATENATE($I$14," - ", $A6),'Battle Scenarios'!$F$2:$Y$1000,5,FALSE)</f>
        <v>1</v>
      </c>
      <c r="I6" s="166">
        <f>VLOOKUP(CONCATENATE($I$14," - ", $A6),'Battle Scenarios'!$F$2:$Y$1000,6,FALSE)</f>
        <v>1</v>
      </c>
      <c r="J6" s="166">
        <f>VLOOKUP(CONCATENATE($I$14," - ", $A6),'Battle Scenarios'!$F$2:$Y$1000,7,FALSE)</f>
        <v>1</v>
      </c>
      <c r="K6" s="169">
        <f>VLOOKUP(CONCATENATE($I$14," - ", $A6),'Battle Scenarios'!$F$2:$Y$1000,8+K10,FALSE)</f>
        <v>0</v>
      </c>
      <c r="L6" s="170" t="s">
        <v>118</v>
      </c>
      <c r="M6" s="171" t="s">
        <v>119</v>
      </c>
      <c r="N6" s="172" t="s">
        <v>120</v>
      </c>
      <c r="O6" s="149"/>
      <c r="P6" s="149"/>
      <c r="Q6" s="85" t="s">
        <v>121</v>
      </c>
      <c r="R6" s="87" t="s">
        <v>122</v>
      </c>
      <c r="S6" s="149"/>
      <c r="T6" s="149"/>
      <c r="U6" s="49"/>
      <c r="V6" s="49"/>
      <c r="W6" s="149"/>
      <c r="X6" s="168" t="str">
        <f>VLOOKUP($J$11,'Battle Scenarios'!$A:$AG,25,FALSE)</f>
        <v>Earth</v>
      </c>
      <c r="Y6" s="173" t="str">
        <f>VLOOKUP($J$11,'Battle Scenarios'!$A:$AG,28,FALSE)</f>
        <v/>
      </c>
      <c r="Z6" s="174" t="str">
        <f>VLOOKUP($J$11,'Battle Scenarios'!$A:$AG,29,FALSE)</f>
        <v/>
      </c>
      <c r="AA6" s="174" t="str">
        <f>VLOOKUP($J$11,'Battle Scenarios'!$A:$AG,30,FALSE)</f>
        <v/>
      </c>
      <c r="AB6" s="174" t="str">
        <f>VLOOKUP($J$11,'Battle Scenarios'!$A:$AG,31,FALSE)</f>
        <v>Earth</v>
      </c>
      <c r="AC6" s="174" t="str">
        <f>VLOOKUP($J$11,'Battle Scenarios'!$A:$AG,32,FALSE)</f>
        <v/>
      </c>
      <c r="AD6" s="175" t="str">
        <f>VLOOKUP($J$11,'Battle Scenarios'!$A:$AG,33,FALSE)</f>
        <v/>
      </c>
    </row>
    <row r="7" spans="1:30" x14ac:dyDescent="0.2">
      <c r="A7" s="176" t="str">
        <f>VLOOKUP(J11,'Battle Scenarios'!A:AI,34,FALSE)</f>
        <v>Jim</v>
      </c>
      <c r="B7" s="156" t="str">
        <f t="shared" ref="B7:C7" si="2">B6</f>
        <v>1st</v>
      </c>
      <c r="C7" s="156" t="str">
        <f t="shared" si="2"/>
        <v>Stone</v>
      </c>
      <c r="D7" s="177" t="s">
        <v>42</v>
      </c>
      <c r="E7" s="157">
        <f>VLOOKUP(CONCATENATE($I$14," - ", $A7),'Battle Scenarios'!$F$2:$Y$1000,2,FALSE)</f>
        <v>5</v>
      </c>
      <c r="F7" s="156">
        <f>VLOOKUP(CONCATENATE($I$14," - ", $A7),'Battle Scenarios'!$F$2:$Y$1000,3,FALSE)</f>
        <v>5</v>
      </c>
      <c r="G7" s="156">
        <f>VLOOKUP(CONCATENATE($I$14," - ", $A7),'Battle Scenarios'!$F$2:$Y$1000,4,FALSE)</f>
        <v>5</v>
      </c>
      <c r="H7" s="157">
        <f>VLOOKUP(CONCATENATE($I$14," - ", $A7),'Battle Scenarios'!$F$2:$Y$1000,5,FALSE)</f>
        <v>1</v>
      </c>
      <c r="I7" s="156">
        <f>VLOOKUP(CONCATENATE($I$14," - ", $A7),'Battle Scenarios'!$F$2:$Y$1000,6,FALSE)</f>
        <v>1</v>
      </c>
      <c r="J7" s="156">
        <f>VLOOKUP(CONCATENATE($I$14," - ", $A7),'Battle Scenarios'!$F$2:$Y$1000,7,FALSE)</f>
        <v>1</v>
      </c>
      <c r="K7" s="178">
        <f>VLOOKUP(CONCATENATE($I$14," - ", $A7),'Battle Scenarios'!$F$2:$Y$1000,8+K11,FALSE)</f>
        <v>0</v>
      </c>
      <c r="L7" s="179" t="e">
        <f t="array" ref="L7">IF(ISERROR(INDEX(O32:O46,O13-O12,1)),HLOOKUP("*",B32:B46,O13-O12,FALSE),IF(N7=1,"K.O.",IF(INDEX(O32:O46,O13-O12,1)=1,"Blindside",HLOOKUP("*",B32:B46,O13-O12,FALSE))))</f>
        <v>#N/A</v>
      </c>
      <c r="M7" s="180" t="e">
        <f>HLOOKUP("*",B50:B64,O13-O12,FALSE)</f>
        <v>#N/A</v>
      </c>
      <c r="N7" s="181" t="str">
        <f t="array" ref="N7:N9">INDEX(M32:M46,O13-O12,1)</f>
        <v/>
      </c>
      <c r="O7" s="149"/>
      <c r="P7" s="149"/>
      <c r="Q7" s="100" t="e">
        <f>VLOOKUP(M7,$A$3:$D$8,4,FALSE)</f>
        <v>#N/A</v>
      </c>
      <c r="R7" s="102" t="e">
        <f>VLOOKUP(HLOOKUP("*",H50:H64,O13-O12,FALSE),$A$3:$D$8,4,FALSE)</f>
        <v>#N/A</v>
      </c>
      <c r="S7" s="149"/>
      <c r="T7" s="149"/>
      <c r="U7" s="49"/>
      <c r="V7" s="49"/>
      <c r="W7" s="149"/>
      <c r="X7" s="157" t="str">
        <f>VLOOKUP(CONCATENATE($I$14," - ", $A7),'Battle Scenarios'!$F$2:$Y$1000,20,FALSE)</f>
        <v>Earth</v>
      </c>
      <c r="Y7" s="182" t="str">
        <f>VLOOKUP(CONCATENATE($I$14," - ", $A7),'Battle Scenarios'!$F$2:$AG$1000,23,FALSE)</f>
        <v/>
      </c>
      <c r="Z7" s="183" t="str">
        <f>VLOOKUP(CONCATENATE($I$14," - ", $A7),'Battle Scenarios'!$F$2:$AG$1000,24,FALSE)</f>
        <v/>
      </c>
      <c r="AA7" s="183" t="str">
        <f>VLOOKUP(CONCATENATE($I$14," - ", $A7),'Battle Scenarios'!$F$2:$AG$1000,25,FALSE)</f>
        <v/>
      </c>
      <c r="AB7" s="183" t="str">
        <f>VLOOKUP(CONCATENATE($I$14," - ", $A7),'Battle Scenarios'!$F$2:$AG$1000,26,FALSE)</f>
        <v>Earth</v>
      </c>
      <c r="AC7" s="183" t="str">
        <f>VLOOKUP(CONCATENATE($I$14," - ", $A7),'Battle Scenarios'!$F$2:$AG$1000,27,FALSE)</f>
        <v/>
      </c>
      <c r="AD7" s="184" t="str">
        <f>VLOOKUP(CONCATENATE($I$14," - ", $A7),'Battle Scenarios'!$F$2:$AG$1000,28,FALSE)</f>
        <v/>
      </c>
    </row>
    <row r="8" spans="1:30" x14ac:dyDescent="0.2">
      <c r="A8" s="185" t="str">
        <f>VLOOKUP(J11,'Battle Scenarios'!A:AI,35,FALSE)</f>
        <v>Jordan</v>
      </c>
      <c r="B8" s="186" t="str">
        <f t="shared" ref="B8:C8" si="3">B6</f>
        <v>1st</v>
      </c>
      <c r="C8" s="186" t="str">
        <f t="shared" si="3"/>
        <v>Stone</v>
      </c>
      <c r="D8" s="187" t="s">
        <v>42</v>
      </c>
      <c r="E8" s="188">
        <f>VLOOKUP(CONCATENATE($I$14," - ", $A8),'Battle Scenarios'!$F$2:$Y$1000,2,FALSE)</f>
        <v>5</v>
      </c>
      <c r="F8" s="186">
        <f>VLOOKUP(CONCATENATE($I$14," - ", $A8),'Battle Scenarios'!$F$2:$Y$1000,3,FALSE)</f>
        <v>5</v>
      </c>
      <c r="G8" s="186">
        <f>VLOOKUP(CONCATENATE($I$14," - ", $A8),'Battle Scenarios'!$F$2:$Y$1000,4,FALSE)</f>
        <v>5</v>
      </c>
      <c r="H8" s="188">
        <f>VLOOKUP(CONCATENATE($I$14," - ", $A8),'Battle Scenarios'!$F$2:$Y$1000,5,FALSE)</f>
        <v>1</v>
      </c>
      <c r="I8" s="186">
        <f>VLOOKUP(CONCATENATE($I$14," - ", $A8),'Battle Scenarios'!$F$2:$Y$1000,6,FALSE)</f>
        <v>1</v>
      </c>
      <c r="J8" s="186">
        <f>VLOOKUP(CONCATENATE($I$14," - ", $A8),'Battle Scenarios'!$F$2:$Y$1000,7,FALSE)</f>
        <v>1</v>
      </c>
      <c r="K8" s="189">
        <f>VLOOKUP(CONCATENATE($I$14," - ", $A8),'Battle Scenarios'!$F$2:$Y$1000,8+K12,FALSE)</f>
        <v>0</v>
      </c>
      <c r="L8" s="149"/>
      <c r="M8" s="149"/>
      <c r="N8" s="149" t="str">
        <v/>
      </c>
      <c r="O8" s="149"/>
      <c r="P8" s="149"/>
      <c r="Q8" s="149"/>
      <c r="R8" s="149"/>
      <c r="S8" s="149"/>
      <c r="T8" s="149"/>
      <c r="U8" s="49"/>
      <c r="V8" s="49"/>
      <c r="W8" s="149"/>
      <c r="X8" s="188" t="str">
        <f>VLOOKUP(CONCATENATE($I$14," - ", $A8),'Battle Scenarios'!$F$2:$Y$1000,20,FALSE)</f>
        <v>Earth</v>
      </c>
      <c r="Y8" s="190" t="str">
        <f>VLOOKUP(CONCATENATE($I$14," - ", $A8),'Battle Scenarios'!$F$2:$AG$1000,23,FALSE)</f>
        <v/>
      </c>
      <c r="Z8" s="191" t="str">
        <f>VLOOKUP(CONCATENATE($I$14," - ", $A8),'Battle Scenarios'!$F$2:$AG$1000,24,FALSE)</f>
        <v/>
      </c>
      <c r="AA8" s="191" t="str">
        <f>VLOOKUP(CONCATENATE($I$14," - ", $A8),'Battle Scenarios'!$F$2:$AG$1000,25,FALSE)</f>
        <v/>
      </c>
      <c r="AB8" s="191" t="str">
        <f>VLOOKUP(CONCATENATE($I$14," - ", $A8),'Battle Scenarios'!$F$2:$AG$1000,26,FALSE)</f>
        <v>Earth</v>
      </c>
      <c r="AC8" s="191" t="str">
        <f>VLOOKUP(CONCATENATE($I$14," - ", $A8),'Battle Scenarios'!$F$2:$AG$1000,27,FALSE)</f>
        <v/>
      </c>
      <c r="AD8" s="192" t="str">
        <f>VLOOKUP(CONCATENATE($I$14," - ", $A8),'Battle Scenarios'!$F$2:$AG$1000,28,FALSE)</f>
        <v/>
      </c>
    </row>
    <row r="9" spans="1:30" x14ac:dyDescent="0.2">
      <c r="A9" s="193"/>
      <c r="B9" s="193"/>
      <c r="C9" s="193"/>
      <c r="D9" s="193"/>
      <c r="E9" s="149"/>
      <c r="F9" s="149"/>
      <c r="G9" s="149"/>
      <c r="H9" s="149"/>
      <c r="I9" s="149"/>
      <c r="J9" s="149"/>
      <c r="K9" s="149"/>
      <c r="L9" s="611" t="s">
        <v>123</v>
      </c>
      <c r="M9" s="575"/>
      <c r="N9" s="611" t="str">
        <v/>
      </c>
      <c r="O9" s="575"/>
      <c r="P9" s="149"/>
      <c r="Q9" s="149"/>
      <c r="R9" s="149"/>
      <c r="S9" s="149"/>
      <c r="T9" s="149"/>
      <c r="U9" s="49"/>
      <c r="V9" s="49"/>
      <c r="W9" s="149"/>
      <c r="X9" s="149"/>
      <c r="Y9" s="149"/>
      <c r="Z9" s="149"/>
      <c r="AA9" s="149"/>
      <c r="AB9" s="149"/>
      <c r="AC9" s="149"/>
      <c r="AD9" s="149"/>
    </row>
    <row r="10" spans="1:30" x14ac:dyDescent="0.2">
      <c r="A10" s="82" t="s">
        <v>109</v>
      </c>
      <c r="B10" s="195" t="s">
        <v>124</v>
      </c>
      <c r="C10" s="86" t="s">
        <v>5</v>
      </c>
      <c r="D10" s="196" t="s">
        <v>125</v>
      </c>
      <c r="E10" s="197" t="s">
        <v>126</v>
      </c>
      <c r="F10" s="149"/>
      <c r="G10" s="149"/>
      <c r="H10" s="149"/>
      <c r="I10" s="198" t="s">
        <v>127</v>
      </c>
      <c r="J10" s="198" t="s">
        <v>128</v>
      </c>
      <c r="K10" s="199">
        <f t="shared" ref="K10:K12" si="4">IF(D6="Fire",0,IF(D6="Water",1,IF(D6="Air",2,IF(D6="Earth",3,IF(D6="Shadow",4,IF(D6="Light",5,"X"))))))</f>
        <v>3</v>
      </c>
      <c r="L10" s="200" t="s">
        <v>129</v>
      </c>
      <c r="M10" s="201">
        <v>50</v>
      </c>
      <c r="N10" s="200" t="s">
        <v>129</v>
      </c>
      <c r="O10" s="201">
        <v>50</v>
      </c>
      <c r="P10" s="149"/>
      <c r="Q10" s="149"/>
      <c r="R10" s="149"/>
      <c r="S10" s="149"/>
      <c r="T10" s="149"/>
      <c r="U10" s="49"/>
      <c r="V10" s="49"/>
      <c r="W10" s="149"/>
      <c r="X10" s="149"/>
      <c r="Y10" s="149"/>
      <c r="Z10" s="149"/>
      <c r="AA10" s="149"/>
      <c r="AB10" s="149"/>
      <c r="AC10" s="149"/>
      <c r="AD10" s="149"/>
    </row>
    <row r="11" spans="1:30" x14ac:dyDescent="0.2">
      <c r="A11" s="202" t="str">
        <f t="shared" ref="A11:A16" si="5">A3</f>
        <v>Will</v>
      </c>
      <c r="B11" s="203">
        <f>Math!B13</f>
        <v>25</v>
      </c>
      <c r="C11" s="204">
        <f>Math!C13</f>
        <v>25</v>
      </c>
      <c r="D11" s="205">
        <f>Math!E22</f>
        <v>0</v>
      </c>
      <c r="E11" s="206">
        <f>Math!F22</f>
        <v>0</v>
      </c>
      <c r="F11" s="149"/>
      <c r="G11" s="149"/>
      <c r="H11" s="207"/>
      <c r="I11" s="623" t="s">
        <v>130</v>
      </c>
      <c r="J11" s="622">
        <v>2</v>
      </c>
      <c r="K11" s="208">
        <f t="shared" si="4"/>
        <v>3</v>
      </c>
      <c r="L11" s="171" t="s">
        <v>131</v>
      </c>
      <c r="M11" s="209">
        <v>50</v>
      </c>
      <c r="N11" s="171" t="s">
        <v>131</v>
      </c>
      <c r="O11" s="209">
        <v>50</v>
      </c>
      <c r="P11" s="149"/>
      <c r="Q11" s="149"/>
      <c r="R11" s="149"/>
      <c r="S11" s="149"/>
      <c r="T11" s="149"/>
      <c r="U11" s="49"/>
      <c r="V11" s="49"/>
      <c r="W11" s="149"/>
      <c r="X11" s="611" t="s">
        <v>132</v>
      </c>
      <c r="Y11" s="574"/>
      <c r="Z11" s="574"/>
      <c r="AA11" s="574"/>
      <c r="AB11" s="575"/>
      <c r="AC11" s="149"/>
      <c r="AD11" s="149"/>
    </row>
    <row r="12" spans="1:30" x14ac:dyDescent="0.2">
      <c r="A12" s="202" t="str">
        <f t="shared" si="5"/>
        <v>Carter</v>
      </c>
      <c r="B12" s="210">
        <f>Math!B14</f>
        <v>25</v>
      </c>
      <c r="C12" s="211">
        <f>Math!C14</f>
        <v>25</v>
      </c>
      <c r="D12" s="212">
        <f>Math!E23</f>
        <v>0</v>
      </c>
      <c r="E12" s="213">
        <f>Math!F23</f>
        <v>0</v>
      </c>
      <c r="F12" s="149"/>
      <c r="G12" s="149"/>
      <c r="H12" s="149"/>
      <c r="I12" s="578"/>
      <c r="J12" s="578"/>
      <c r="K12" s="214">
        <f t="shared" si="4"/>
        <v>3</v>
      </c>
      <c r="L12" s="171" t="s">
        <v>133</v>
      </c>
      <c r="M12" s="209">
        <v>73</v>
      </c>
      <c r="N12" s="171" t="s">
        <v>133</v>
      </c>
      <c r="O12" s="209">
        <v>32</v>
      </c>
      <c r="P12" s="149"/>
      <c r="Q12" s="149"/>
      <c r="R12" s="149"/>
      <c r="S12" s="149"/>
      <c r="T12" s="149"/>
      <c r="U12" s="49"/>
      <c r="V12" s="49"/>
      <c r="W12" s="149"/>
      <c r="X12" s="215">
        <v>1</v>
      </c>
      <c r="Y12" s="215">
        <v>14</v>
      </c>
      <c r="Z12" s="216" t="s">
        <v>115</v>
      </c>
      <c r="AA12" s="217"/>
      <c r="AB12" s="217"/>
      <c r="AC12" s="149"/>
      <c r="AD12" s="149"/>
    </row>
    <row r="13" spans="1:30" x14ac:dyDescent="0.2">
      <c r="A13" s="202" t="str">
        <f t="shared" si="5"/>
        <v>Joe</v>
      </c>
      <c r="B13" s="210">
        <f>Math!B15</f>
        <v>25</v>
      </c>
      <c r="C13" s="211">
        <f>Math!C15</f>
        <v>25</v>
      </c>
      <c r="D13" s="212">
        <f>Math!E24</f>
        <v>0</v>
      </c>
      <c r="E13" s="213">
        <f>Math!F24</f>
        <v>0</v>
      </c>
      <c r="F13" s="149"/>
      <c r="G13" s="149"/>
      <c r="H13" s="149"/>
      <c r="I13" s="579"/>
      <c r="J13" s="578"/>
      <c r="K13" s="149"/>
      <c r="L13" s="180" t="s">
        <v>134</v>
      </c>
      <c r="M13" s="218">
        <v>73</v>
      </c>
      <c r="N13" s="180" t="s">
        <v>134</v>
      </c>
      <c r="O13" s="218">
        <v>32</v>
      </c>
      <c r="P13" s="149"/>
      <c r="Q13" s="149"/>
      <c r="R13" s="149"/>
      <c r="S13" s="149"/>
      <c r="T13" s="149"/>
      <c r="U13" s="49"/>
      <c r="V13" s="49"/>
      <c r="W13" s="149"/>
      <c r="X13" s="215">
        <v>1</v>
      </c>
      <c r="Y13" s="219">
        <v>5</v>
      </c>
      <c r="Z13" s="220" t="s">
        <v>18</v>
      </c>
      <c r="AA13" s="221">
        <v>12</v>
      </c>
      <c r="AB13" s="222">
        <v>15</v>
      </c>
      <c r="AC13" s="149"/>
      <c r="AD13" s="149"/>
    </row>
    <row r="14" spans="1:30" x14ac:dyDescent="0.2">
      <c r="A14" s="223" t="str">
        <f t="shared" si="5"/>
        <v>Jake</v>
      </c>
      <c r="B14" s="203">
        <f>Math!B16</f>
        <v>25</v>
      </c>
      <c r="C14" s="204">
        <f>Math!C16</f>
        <v>25</v>
      </c>
      <c r="D14" s="205">
        <f>Math!E25</f>
        <v>0</v>
      </c>
      <c r="E14" s="206">
        <f>Math!F25</f>
        <v>0</v>
      </c>
      <c r="F14" s="149"/>
      <c r="G14" s="149"/>
      <c r="H14" s="149"/>
      <c r="I14" s="624" t="str">
        <f>VLOOKUP(J11,'Battle Scenarios'!A:Z,2,FALSE)</f>
        <v>Triple J</v>
      </c>
      <c r="J14" s="578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49"/>
      <c r="V14" s="49"/>
      <c r="W14" s="149"/>
      <c r="X14" s="215">
        <v>1</v>
      </c>
      <c r="Y14" s="219">
        <v>6</v>
      </c>
      <c r="Z14" s="220" t="s">
        <v>20</v>
      </c>
      <c r="AA14" s="221">
        <v>6</v>
      </c>
      <c r="AB14" s="217"/>
      <c r="AC14" s="149"/>
      <c r="AD14" s="149"/>
    </row>
    <row r="15" spans="1:30" x14ac:dyDescent="0.2">
      <c r="A15" s="224" t="str">
        <f t="shared" si="5"/>
        <v>Jim</v>
      </c>
      <c r="B15" s="210">
        <f>Math!B17</f>
        <v>25</v>
      </c>
      <c r="C15" s="211">
        <f>Math!C17</f>
        <v>25</v>
      </c>
      <c r="D15" s="212">
        <f>Math!E26</f>
        <v>0</v>
      </c>
      <c r="E15" s="213">
        <f>Math!F26</f>
        <v>0</v>
      </c>
      <c r="F15" s="149"/>
      <c r="G15" s="149"/>
      <c r="H15" s="149"/>
      <c r="I15" s="578"/>
      <c r="J15" s="578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49"/>
      <c r="V15" s="49"/>
      <c r="W15" s="149"/>
      <c r="X15" s="225"/>
      <c r="Y15" s="226"/>
      <c r="Z15" s="220" t="s">
        <v>22</v>
      </c>
      <c r="AA15" s="221">
        <v>12</v>
      </c>
      <c r="AB15" s="217"/>
      <c r="AC15" s="149"/>
      <c r="AD15" s="149"/>
    </row>
    <row r="16" spans="1:30" x14ac:dyDescent="0.2">
      <c r="A16" s="227" t="str">
        <f t="shared" si="5"/>
        <v>Jordan</v>
      </c>
      <c r="B16" s="228">
        <f>Math!B18</f>
        <v>25</v>
      </c>
      <c r="C16" s="229">
        <f>Math!C18</f>
        <v>25</v>
      </c>
      <c r="D16" s="230">
        <f>Math!E27</f>
        <v>0</v>
      </c>
      <c r="E16" s="231">
        <f>Math!F27</f>
        <v>0</v>
      </c>
      <c r="F16" s="149"/>
      <c r="G16" s="149"/>
      <c r="H16" s="149"/>
      <c r="I16" s="579"/>
      <c r="J16" s="57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232"/>
      <c r="V16" s="232"/>
      <c r="W16" s="232"/>
      <c r="X16" s="222">
        <v>1</v>
      </c>
      <c r="Y16" s="221">
        <v>5</v>
      </c>
      <c r="Z16" s="220" t="s">
        <v>20</v>
      </c>
      <c r="AA16" s="221">
        <v>7</v>
      </c>
      <c r="AB16" s="217"/>
      <c r="AC16" s="149"/>
      <c r="AD16" s="149"/>
    </row>
    <row r="17" spans="1:30" x14ac:dyDescent="0.2">
      <c r="A17" s="233"/>
      <c r="B17" s="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234"/>
      <c r="V17" s="234"/>
      <c r="W17" s="235"/>
      <c r="X17" s="217"/>
      <c r="Y17" s="236"/>
      <c r="Z17" s="220" t="s">
        <v>18</v>
      </c>
      <c r="AA17" s="221">
        <v>9</v>
      </c>
      <c r="AB17" s="217"/>
      <c r="AC17" s="149"/>
      <c r="AD17" s="149"/>
    </row>
    <row r="18" spans="1:30" x14ac:dyDescent="0.2">
      <c r="A18" s="45" t="s">
        <v>135</v>
      </c>
      <c r="B18" s="237">
        <v>1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234"/>
      <c r="V18" s="234"/>
      <c r="W18" s="235"/>
      <c r="X18" s="217"/>
      <c r="Y18" s="236"/>
      <c r="Z18" s="220" t="s">
        <v>20</v>
      </c>
      <c r="AA18" s="219">
        <v>6</v>
      </c>
      <c r="AB18" s="217"/>
      <c r="AC18" s="149"/>
      <c r="AD18" s="149"/>
    </row>
    <row r="19" spans="1:30" x14ac:dyDescent="0.2">
      <c r="A19" s="149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238"/>
      <c r="V19" s="232"/>
      <c r="W19" s="232"/>
      <c r="X19" s="217"/>
      <c r="Y19" s="226"/>
      <c r="Z19" s="226"/>
      <c r="AA19" s="226"/>
      <c r="AB19" s="217"/>
      <c r="AC19" s="149"/>
      <c r="AD19" s="149"/>
    </row>
    <row r="20" spans="1:30" x14ac:dyDescent="0.2">
      <c r="A20" s="614" t="s">
        <v>136</v>
      </c>
      <c r="B20" s="574"/>
      <c r="C20" s="574"/>
      <c r="D20" s="574"/>
      <c r="E20" s="574"/>
      <c r="F20" s="575"/>
      <c r="G20" s="612" t="s">
        <v>137</v>
      </c>
      <c r="H20" s="574"/>
      <c r="I20" s="575"/>
      <c r="J20" s="60"/>
      <c r="K20" s="49"/>
      <c r="L20" s="149"/>
      <c r="M20" s="149"/>
      <c r="N20" s="149"/>
      <c r="O20" s="149"/>
      <c r="P20" s="149"/>
      <c r="Q20" s="149"/>
      <c r="R20" s="149"/>
      <c r="S20" s="149"/>
      <c r="T20" s="149"/>
      <c r="U20" s="238"/>
      <c r="V20" s="232"/>
      <c r="W20" s="232"/>
      <c r="X20" s="217"/>
      <c r="Y20" s="226"/>
      <c r="Z20" s="226"/>
      <c r="AA20" s="226"/>
      <c r="AB20" s="217"/>
      <c r="AC20" s="149"/>
      <c r="AD20" s="149"/>
    </row>
    <row r="21" spans="1:30" x14ac:dyDescent="0.2">
      <c r="A21" s="150" t="s">
        <v>138</v>
      </c>
      <c r="B21" s="151" t="s">
        <v>85</v>
      </c>
      <c r="C21" s="240" t="s">
        <v>139</v>
      </c>
      <c r="D21" s="151" t="s">
        <v>140</v>
      </c>
      <c r="E21" s="151" t="s">
        <v>141</v>
      </c>
      <c r="F21" s="66"/>
      <c r="G21" s="241" t="s">
        <v>138</v>
      </c>
      <c r="H21" s="242" t="s">
        <v>85</v>
      </c>
      <c r="I21" s="242" t="s">
        <v>140</v>
      </c>
      <c r="J21" s="48"/>
      <c r="K21" s="49"/>
      <c r="L21" s="615" t="s">
        <v>142</v>
      </c>
      <c r="M21" s="574"/>
      <c r="N21" s="575"/>
      <c r="O21" s="621" t="s">
        <v>143</v>
      </c>
      <c r="P21" s="565"/>
      <c r="Q21" s="566"/>
      <c r="R21" s="149"/>
      <c r="S21" s="149"/>
      <c r="T21" s="149"/>
      <c r="U21" s="238"/>
      <c r="V21" s="232"/>
      <c r="W21" s="238"/>
      <c r="X21" s="217"/>
      <c r="Y21" s="226"/>
      <c r="Z21" s="226"/>
      <c r="AA21" s="226"/>
      <c r="AB21" s="217"/>
      <c r="AC21" s="149"/>
      <c r="AD21" s="149"/>
    </row>
    <row r="22" spans="1:30" x14ac:dyDescent="0.2">
      <c r="A22" s="243" t="str">
        <f t="shared" ref="A22:A27" si="6">A3</f>
        <v>Will</v>
      </c>
      <c r="B22" s="244" t="s">
        <v>9</v>
      </c>
      <c r="C22" s="245"/>
      <c r="D22" s="246" t="s">
        <v>285</v>
      </c>
      <c r="E22" s="247"/>
      <c r="F22" s="125"/>
      <c r="G22" s="248" t="str">
        <f>Math!J31</f>
        <v>Will</v>
      </c>
      <c r="H22" s="249">
        <f>Math!K31</f>
        <v>0</v>
      </c>
      <c r="I22" s="249">
        <f>Math!L31</f>
        <v>0</v>
      </c>
      <c r="J22" s="58"/>
      <c r="K22" s="35"/>
      <c r="L22" s="250">
        <f t="shared" ref="L22:L27" si="7">IF(C11&gt;0,1,0)</f>
        <v>1</v>
      </c>
      <c r="M22" s="251">
        <f t="shared" ref="M22:M27" si="8">IF(ISBLANK(B22),0,1)</f>
        <v>1</v>
      </c>
      <c r="N22" s="251">
        <f t="shared" ref="N22:N27" si="9">IF(L22=0,1,IF(M22=1,1,0))</f>
        <v>1</v>
      </c>
      <c r="O22" s="621" t="str">
        <f t="shared" ref="O22:O27" si="10">CONCATENATE(I22, " - ",H22)</f>
        <v>0 - 0</v>
      </c>
      <c r="P22" s="565"/>
      <c r="Q22" s="170" t="str">
        <f t="shared" ref="Q22:Q27" si="11">G22</f>
        <v>Will</v>
      </c>
      <c r="R22" s="149"/>
      <c r="S22" s="149"/>
      <c r="T22" s="149"/>
      <c r="U22" s="49"/>
      <c r="V22" s="49"/>
      <c r="W22" s="149"/>
      <c r="X22" s="225"/>
      <c r="Y22" s="226"/>
      <c r="Z22" s="226"/>
      <c r="AA22" s="226"/>
      <c r="AB22" s="217"/>
      <c r="AC22" s="149"/>
      <c r="AD22" s="149"/>
    </row>
    <row r="23" spans="1:30" x14ac:dyDescent="0.2">
      <c r="A23" s="243" t="str">
        <f t="shared" si="6"/>
        <v>Carter</v>
      </c>
      <c r="B23" s="252"/>
      <c r="C23" s="253"/>
      <c r="D23" s="254"/>
      <c r="E23" s="247"/>
      <c r="F23" s="125"/>
      <c r="G23" s="255" t="str">
        <f>Math!J32</f>
        <v>Carter</v>
      </c>
      <c r="H23" s="249">
        <f>Math!K32</f>
        <v>0</v>
      </c>
      <c r="I23" s="249">
        <f>Math!L32</f>
        <v>0</v>
      </c>
      <c r="J23" s="58"/>
      <c r="K23" s="35"/>
      <c r="L23" s="250">
        <f t="shared" si="7"/>
        <v>1</v>
      </c>
      <c r="M23" s="251">
        <f t="shared" si="8"/>
        <v>0</v>
      </c>
      <c r="N23" s="251">
        <f t="shared" si="9"/>
        <v>0</v>
      </c>
      <c r="O23" s="618" t="str">
        <f t="shared" si="10"/>
        <v>0 - 0</v>
      </c>
      <c r="P23" s="558"/>
      <c r="Q23" s="256" t="str">
        <f t="shared" si="11"/>
        <v>Carter</v>
      </c>
      <c r="R23" s="149"/>
      <c r="S23" s="149"/>
      <c r="T23" s="149"/>
      <c r="U23" s="49"/>
      <c r="V23" s="49"/>
      <c r="W23" s="149"/>
      <c r="X23" s="225"/>
      <c r="Y23" s="226"/>
      <c r="Z23" s="226"/>
      <c r="AA23" s="226"/>
      <c r="AB23" s="217"/>
      <c r="AC23" s="149"/>
      <c r="AD23" s="149"/>
    </row>
    <row r="24" spans="1:30" x14ac:dyDescent="0.2">
      <c r="A24" s="243" t="str">
        <f t="shared" si="6"/>
        <v>Joe</v>
      </c>
      <c r="B24" s="257"/>
      <c r="C24" s="258"/>
      <c r="D24" s="259"/>
      <c r="E24" s="247"/>
      <c r="F24" s="125"/>
      <c r="G24" s="255" t="str">
        <f>Math!J33</f>
        <v>Joe</v>
      </c>
      <c r="H24" s="249">
        <f>Math!K33</f>
        <v>0</v>
      </c>
      <c r="I24" s="249">
        <f>Math!L33</f>
        <v>0</v>
      </c>
      <c r="J24" s="58"/>
      <c r="K24" s="35"/>
      <c r="L24" s="250">
        <f t="shared" si="7"/>
        <v>1</v>
      </c>
      <c r="M24" s="251">
        <f t="shared" si="8"/>
        <v>0</v>
      </c>
      <c r="N24" s="251">
        <f t="shared" si="9"/>
        <v>0</v>
      </c>
      <c r="O24" s="618" t="str">
        <f t="shared" si="10"/>
        <v>0 - 0</v>
      </c>
      <c r="P24" s="558"/>
      <c r="Q24" s="256" t="str">
        <f t="shared" si="11"/>
        <v>Joe</v>
      </c>
      <c r="R24" s="149"/>
      <c r="S24" s="149"/>
      <c r="T24" s="149"/>
      <c r="U24" s="49"/>
      <c r="V24" s="49"/>
      <c r="W24" s="149"/>
      <c r="X24" s="225"/>
      <c r="Y24" s="226"/>
      <c r="Z24" s="226"/>
      <c r="AA24" s="226"/>
      <c r="AB24" s="217"/>
      <c r="AC24" s="149"/>
      <c r="AD24" s="149"/>
    </row>
    <row r="25" spans="1:30" x14ac:dyDescent="0.2">
      <c r="A25" s="260" t="str">
        <f t="shared" si="6"/>
        <v>Jake</v>
      </c>
      <c r="B25" s="252"/>
      <c r="C25" s="253"/>
      <c r="D25" s="254"/>
      <c r="E25" s="261"/>
      <c r="F25" s="86"/>
      <c r="G25" s="262" t="str">
        <f>Math!J34</f>
        <v>Jake</v>
      </c>
      <c r="H25" s="263">
        <f>Math!K34</f>
        <v>0</v>
      </c>
      <c r="I25" s="264">
        <f>Math!L34</f>
        <v>0</v>
      </c>
      <c r="J25" s="58"/>
      <c r="K25" s="35"/>
      <c r="L25" s="250">
        <f t="shared" si="7"/>
        <v>1</v>
      </c>
      <c r="M25" s="251">
        <f t="shared" si="8"/>
        <v>0</v>
      </c>
      <c r="N25" s="251">
        <f t="shared" si="9"/>
        <v>0</v>
      </c>
      <c r="O25" s="618" t="str">
        <f t="shared" si="10"/>
        <v>0 - 0</v>
      </c>
      <c r="P25" s="558"/>
      <c r="Q25" s="265" t="str">
        <f t="shared" si="11"/>
        <v>Jake</v>
      </c>
      <c r="R25" s="149"/>
      <c r="S25" s="149"/>
      <c r="T25" s="149"/>
      <c r="U25" s="49"/>
      <c r="V25" s="49"/>
      <c r="W25" s="149"/>
      <c r="X25" s="225"/>
      <c r="Y25" s="226"/>
      <c r="Z25" s="226"/>
      <c r="AA25" s="226"/>
      <c r="AB25" s="217"/>
      <c r="AC25" s="149"/>
      <c r="AD25" s="149"/>
    </row>
    <row r="26" spans="1:30" x14ac:dyDescent="0.2">
      <c r="A26" s="266" t="str">
        <f t="shared" si="6"/>
        <v>Jim</v>
      </c>
      <c r="B26" s="252"/>
      <c r="C26" s="253"/>
      <c r="D26" s="254"/>
      <c r="E26" s="247"/>
      <c r="F26" s="125"/>
      <c r="G26" s="267" t="str">
        <f>Math!J35</f>
        <v>Jim</v>
      </c>
      <c r="H26" s="249">
        <f>Math!K35</f>
        <v>0</v>
      </c>
      <c r="I26" s="268">
        <f>Math!L35</f>
        <v>0</v>
      </c>
      <c r="J26" s="58"/>
      <c r="K26" s="35"/>
      <c r="L26" s="250">
        <f t="shared" si="7"/>
        <v>1</v>
      </c>
      <c r="M26" s="251">
        <f t="shared" si="8"/>
        <v>0</v>
      </c>
      <c r="N26" s="251">
        <f t="shared" si="9"/>
        <v>0</v>
      </c>
      <c r="O26" s="618" t="str">
        <f t="shared" si="10"/>
        <v>0 - 0</v>
      </c>
      <c r="P26" s="558"/>
      <c r="Q26" s="184" t="str">
        <f t="shared" si="11"/>
        <v>Jim</v>
      </c>
      <c r="R26" s="149"/>
      <c r="S26" s="149"/>
      <c r="T26" s="149"/>
      <c r="U26" s="49"/>
      <c r="V26" s="49"/>
      <c r="W26" s="149"/>
      <c r="X26" s="225"/>
      <c r="Y26" s="225"/>
      <c r="Z26" s="225"/>
      <c r="AA26" s="225"/>
      <c r="AB26" s="217"/>
      <c r="AC26" s="149"/>
      <c r="AD26" s="149"/>
    </row>
    <row r="27" spans="1:30" x14ac:dyDescent="0.2">
      <c r="A27" s="269" t="str">
        <f t="shared" si="6"/>
        <v>Jordan</v>
      </c>
      <c r="B27" s="257"/>
      <c r="C27" s="258"/>
      <c r="D27" s="259"/>
      <c r="E27" s="270"/>
      <c r="F27" s="101"/>
      <c r="G27" s="271" t="str">
        <f>Math!J36</f>
        <v>Jordan</v>
      </c>
      <c r="H27" s="272">
        <f>Math!K36</f>
        <v>0</v>
      </c>
      <c r="I27" s="273">
        <f>Math!L36</f>
        <v>0</v>
      </c>
      <c r="J27" s="58"/>
      <c r="K27" s="35"/>
      <c r="L27" s="274">
        <f t="shared" si="7"/>
        <v>1</v>
      </c>
      <c r="M27" s="275">
        <f t="shared" si="8"/>
        <v>0</v>
      </c>
      <c r="N27" s="251">
        <f t="shared" si="9"/>
        <v>0</v>
      </c>
      <c r="O27" s="619" t="str">
        <f t="shared" si="10"/>
        <v>0 - 0</v>
      </c>
      <c r="P27" s="561"/>
      <c r="Q27" s="192" t="str">
        <f t="shared" si="11"/>
        <v>Jordan</v>
      </c>
      <c r="R27" s="149"/>
      <c r="S27" s="149"/>
      <c r="T27" s="149"/>
      <c r="U27" s="49"/>
      <c r="V27" s="49"/>
      <c r="W27" s="149"/>
      <c r="X27" s="149"/>
      <c r="Y27" s="149"/>
      <c r="Z27" s="149"/>
      <c r="AA27" s="149"/>
      <c r="AB27" s="149"/>
      <c r="AC27" s="149"/>
      <c r="AD27" s="149"/>
    </row>
    <row r="28" spans="1:30" x14ac:dyDescent="0.2">
      <c r="A28" s="276"/>
      <c r="B28" s="277"/>
      <c r="C28" s="277"/>
      <c r="D28" s="277"/>
      <c r="E28" s="277"/>
      <c r="F28" s="277"/>
      <c r="G28" s="277"/>
      <c r="H28" s="277"/>
      <c r="I28" s="277"/>
      <c r="J28" s="149"/>
      <c r="K28" s="149"/>
      <c r="L28" s="278"/>
      <c r="M28" s="278"/>
      <c r="N28" s="198">
        <f>SUM(N22:N27)</f>
        <v>1</v>
      </c>
      <c r="O28" s="620">
        <f>I28</f>
        <v>0</v>
      </c>
      <c r="P28" s="558"/>
      <c r="Q28" s="149"/>
      <c r="R28" s="149"/>
      <c r="S28" s="149"/>
      <c r="T28" s="149"/>
      <c r="U28" s="49"/>
      <c r="V28" s="49"/>
      <c r="W28" s="149"/>
      <c r="X28" s="149"/>
      <c r="Y28" s="149"/>
      <c r="Z28" s="149"/>
      <c r="AA28" s="149"/>
      <c r="AB28" s="149"/>
      <c r="AC28" s="149"/>
      <c r="AD28" s="149"/>
    </row>
    <row r="29" spans="1:30" x14ac:dyDescent="0.2">
      <c r="A29" s="612" t="s">
        <v>144</v>
      </c>
      <c r="B29" s="574"/>
      <c r="C29" s="574"/>
      <c r="D29" s="574"/>
      <c r="E29" s="574"/>
      <c r="F29" s="574"/>
      <c r="G29" s="574"/>
      <c r="H29" s="574"/>
      <c r="I29" s="574"/>
      <c r="J29" s="575"/>
      <c r="K29" s="49"/>
      <c r="L29" s="35"/>
      <c r="M29" s="35"/>
      <c r="N29" s="149"/>
      <c r="O29" s="620"/>
      <c r="P29" s="558"/>
      <c r="Q29" s="35"/>
      <c r="R29" s="35"/>
      <c r="S29" s="35"/>
      <c r="T29" s="35"/>
      <c r="U29" s="49"/>
      <c r="V29" s="49"/>
      <c r="W29" s="35"/>
      <c r="X29" s="35"/>
      <c r="Y29" s="35"/>
      <c r="Z29" s="35"/>
      <c r="AA29" s="35"/>
      <c r="AB29" s="35"/>
      <c r="AC29" s="35"/>
      <c r="AD29" s="35"/>
    </row>
    <row r="30" spans="1:30" x14ac:dyDescent="0.2">
      <c r="A30" s="239"/>
      <c r="B30" s="613" t="s">
        <v>145</v>
      </c>
      <c r="C30" s="574"/>
      <c r="D30" s="574"/>
      <c r="E30" s="575"/>
      <c r="F30" s="280" t="s">
        <v>146</v>
      </c>
      <c r="G30" s="279" t="s">
        <v>147</v>
      </c>
      <c r="H30" s="614" t="s">
        <v>148</v>
      </c>
      <c r="I30" s="574"/>
      <c r="J30" s="198" t="s">
        <v>149</v>
      </c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49"/>
      <c r="V30" s="49"/>
      <c r="W30" s="149"/>
      <c r="X30" s="149"/>
      <c r="Y30" s="149"/>
      <c r="Z30" s="149"/>
      <c r="AA30" s="149"/>
      <c r="AB30" s="149"/>
      <c r="AC30" s="149"/>
      <c r="AD30" s="149"/>
    </row>
    <row r="31" spans="1:30" x14ac:dyDescent="0.2">
      <c r="A31" s="150" t="s">
        <v>138</v>
      </c>
      <c r="B31" s="239" t="s">
        <v>85</v>
      </c>
      <c r="C31" s="240" t="s">
        <v>139</v>
      </c>
      <c r="D31" s="279" t="s">
        <v>140</v>
      </c>
      <c r="E31" s="281" t="s">
        <v>141</v>
      </c>
      <c r="F31" s="282" t="s">
        <v>150</v>
      </c>
      <c r="G31" s="282" t="s">
        <v>151</v>
      </c>
      <c r="H31" s="62" t="s">
        <v>152</v>
      </c>
      <c r="I31" s="282" t="s">
        <v>153</v>
      </c>
      <c r="J31" s="152" t="s">
        <v>154</v>
      </c>
      <c r="K31" s="152" t="s">
        <v>155</v>
      </c>
      <c r="L31" s="615" t="s">
        <v>156</v>
      </c>
      <c r="M31" s="575"/>
      <c r="N31" s="615" t="s">
        <v>157</v>
      </c>
      <c r="O31" s="575"/>
      <c r="P31" s="615" t="s">
        <v>158</v>
      </c>
      <c r="Q31" s="575"/>
      <c r="R31" s="615" t="s">
        <v>159</v>
      </c>
      <c r="S31" s="575"/>
      <c r="T31" s="149"/>
      <c r="U31" s="49"/>
      <c r="V31" s="49"/>
      <c r="W31" s="149"/>
      <c r="X31" s="149"/>
      <c r="Y31" s="149"/>
      <c r="Z31" s="149"/>
      <c r="AA31" s="149"/>
      <c r="AB31" s="149"/>
      <c r="AC31" s="149"/>
      <c r="AD31" s="149"/>
    </row>
    <row r="32" spans="1:30" x14ac:dyDescent="0.2">
      <c r="A32" s="164"/>
      <c r="B32" s="250"/>
      <c r="C32" s="144"/>
      <c r="D32" s="251"/>
      <c r="E32" s="283"/>
      <c r="F32" s="284"/>
      <c r="G32" s="285"/>
      <c r="H32" s="286"/>
      <c r="I32" s="284"/>
      <c r="J32" s="287"/>
      <c r="K32" s="288"/>
      <c r="L32" s="289">
        <f>Math!D40</f>
        <v>0</v>
      </c>
      <c r="M32" s="283" t="str">
        <f>Math!E40</f>
        <v/>
      </c>
      <c r="N32" s="289">
        <f>Math!H40</f>
        <v>0</v>
      </c>
      <c r="O32" s="283" t="str">
        <f>Math!I40</f>
        <v/>
      </c>
      <c r="P32" s="289">
        <f>Math!AF40</f>
        <v>0</v>
      </c>
      <c r="Q32" s="283" t="str">
        <f>Math!AG40</f>
        <v/>
      </c>
      <c r="R32" s="289">
        <f>Math!W40</f>
        <v>0</v>
      </c>
      <c r="S32" s="283" t="str">
        <f>Math!X40</f>
        <v/>
      </c>
      <c r="T32" s="278"/>
      <c r="U32" s="49"/>
      <c r="V32" s="49"/>
      <c r="W32" s="149"/>
      <c r="X32" s="149"/>
      <c r="Y32" s="149"/>
      <c r="Z32" s="149"/>
      <c r="AA32" s="149"/>
      <c r="AB32" s="149"/>
      <c r="AC32" s="149"/>
      <c r="AD32" s="149"/>
    </row>
    <row r="33" spans="1:30" x14ac:dyDescent="0.2">
      <c r="A33" s="250"/>
      <c r="B33" s="250"/>
      <c r="C33" s="144"/>
      <c r="D33" s="251"/>
      <c r="E33" s="283"/>
      <c r="F33" s="284"/>
      <c r="G33" s="285"/>
      <c r="H33" s="286"/>
      <c r="I33" s="284"/>
      <c r="J33" s="287"/>
      <c r="K33" s="288"/>
      <c r="L33" s="289">
        <f>Math!D41</f>
        <v>0</v>
      </c>
      <c r="M33" s="283" t="str">
        <f>Math!E41</f>
        <v/>
      </c>
      <c r="N33" s="289">
        <f>Math!H41</f>
        <v>0</v>
      </c>
      <c r="O33" s="283" t="str">
        <f>Math!I41</f>
        <v/>
      </c>
      <c r="P33" s="289">
        <f>Math!AF41</f>
        <v>0</v>
      </c>
      <c r="Q33" s="283" t="str">
        <f>Math!AG41</f>
        <v/>
      </c>
      <c r="R33" s="289">
        <f>Math!W41</f>
        <v>0</v>
      </c>
      <c r="S33" s="283" t="str">
        <f>Math!X41</f>
        <v/>
      </c>
      <c r="T33" s="278"/>
      <c r="U33" s="49"/>
      <c r="V33" s="49"/>
      <c r="W33" s="149"/>
      <c r="X33" s="149"/>
      <c r="Y33" s="149"/>
      <c r="Z33" s="149"/>
      <c r="AA33" s="149"/>
      <c r="AB33" s="149"/>
      <c r="AC33" s="149"/>
      <c r="AD33" s="149"/>
    </row>
    <row r="34" spans="1:30" x14ac:dyDescent="0.2">
      <c r="A34" s="250"/>
      <c r="B34" s="250"/>
      <c r="C34" s="144"/>
      <c r="D34" s="251"/>
      <c r="E34" s="283"/>
      <c r="F34" s="284"/>
      <c r="G34" s="285"/>
      <c r="H34" s="286"/>
      <c r="I34" s="284"/>
      <c r="J34" s="287"/>
      <c r="K34" s="288"/>
      <c r="L34" s="289">
        <f>Math!D42</f>
        <v>0</v>
      </c>
      <c r="M34" s="283" t="str">
        <f>Math!E42</f>
        <v/>
      </c>
      <c r="N34" s="289">
        <f>Math!H42</f>
        <v>0</v>
      </c>
      <c r="O34" s="283" t="str">
        <f>Math!I42</f>
        <v/>
      </c>
      <c r="P34" s="289">
        <f>Math!AF42</f>
        <v>0</v>
      </c>
      <c r="Q34" s="283" t="str">
        <f>Math!AG42</f>
        <v/>
      </c>
      <c r="R34" s="289">
        <f>Math!W42</f>
        <v>0</v>
      </c>
      <c r="S34" s="283" t="str">
        <f>Math!X42</f>
        <v/>
      </c>
      <c r="T34" s="278"/>
      <c r="U34" s="49"/>
      <c r="V34" s="49"/>
      <c r="W34" s="149"/>
      <c r="X34" s="149"/>
      <c r="Y34" s="149"/>
      <c r="Z34" s="149"/>
      <c r="AA34" s="149"/>
      <c r="AB34" s="149"/>
      <c r="AC34" s="149"/>
      <c r="AD34" s="149"/>
    </row>
    <row r="35" spans="1:30" x14ac:dyDescent="0.2">
      <c r="A35" s="250"/>
      <c r="B35" s="250"/>
      <c r="C35" s="144"/>
      <c r="D35" s="251"/>
      <c r="E35" s="283"/>
      <c r="F35" s="284"/>
      <c r="G35" s="285"/>
      <c r="H35" s="286"/>
      <c r="I35" s="284"/>
      <c r="J35" s="287"/>
      <c r="K35" s="288"/>
      <c r="L35" s="289">
        <f>Math!D43</f>
        <v>0</v>
      </c>
      <c r="M35" s="283" t="str">
        <f>Math!E43</f>
        <v/>
      </c>
      <c r="N35" s="289">
        <f>Math!H43</f>
        <v>0</v>
      </c>
      <c r="O35" s="283" t="str">
        <f>Math!I43</f>
        <v/>
      </c>
      <c r="P35" s="289">
        <f>Math!AF43</f>
        <v>0</v>
      </c>
      <c r="Q35" s="283" t="str">
        <f>Math!AG43</f>
        <v/>
      </c>
      <c r="R35" s="289">
        <f>Math!W43</f>
        <v>0</v>
      </c>
      <c r="S35" s="283" t="str">
        <f>Math!X43</f>
        <v/>
      </c>
      <c r="T35" s="278"/>
      <c r="U35" s="49"/>
      <c r="V35" s="49"/>
      <c r="W35" s="149"/>
      <c r="X35" s="149"/>
      <c r="Y35" s="149"/>
      <c r="Z35" s="149"/>
      <c r="AA35" s="149"/>
      <c r="AB35" s="149"/>
      <c r="AC35" s="149"/>
      <c r="AD35" s="149"/>
    </row>
    <row r="36" spans="1:30" x14ac:dyDescent="0.2">
      <c r="A36" s="250"/>
      <c r="B36" s="250"/>
      <c r="C36" s="144"/>
      <c r="D36" s="251"/>
      <c r="E36" s="283"/>
      <c r="F36" s="284"/>
      <c r="G36" s="285"/>
      <c r="H36" s="286"/>
      <c r="I36" s="284"/>
      <c r="J36" s="287"/>
      <c r="K36" s="288"/>
      <c r="L36" s="289">
        <f>Math!D44</f>
        <v>0</v>
      </c>
      <c r="M36" s="283" t="str">
        <f>Math!E44</f>
        <v/>
      </c>
      <c r="N36" s="289">
        <f>Math!H44</f>
        <v>0</v>
      </c>
      <c r="O36" s="283" t="str">
        <f>Math!I44</f>
        <v/>
      </c>
      <c r="P36" s="289">
        <f>Math!AF44</f>
        <v>0</v>
      </c>
      <c r="Q36" s="283" t="str">
        <f>Math!AG44</f>
        <v/>
      </c>
      <c r="R36" s="289">
        <f>Math!W44</f>
        <v>0</v>
      </c>
      <c r="S36" s="283" t="str">
        <f>Math!X44</f>
        <v/>
      </c>
      <c r="T36" s="278"/>
      <c r="U36" s="49"/>
      <c r="V36" s="49"/>
      <c r="W36" s="149"/>
      <c r="X36" s="149"/>
      <c r="Y36" s="149"/>
      <c r="Z36" s="149"/>
      <c r="AA36" s="149"/>
      <c r="AB36" s="149"/>
      <c r="AC36" s="149"/>
      <c r="AD36" s="149"/>
    </row>
    <row r="37" spans="1:30" x14ac:dyDescent="0.2">
      <c r="A37" s="250"/>
      <c r="B37" s="250"/>
      <c r="C37" s="144"/>
      <c r="D37" s="251"/>
      <c r="E37" s="283"/>
      <c r="F37" s="284"/>
      <c r="G37" s="285"/>
      <c r="H37" s="286"/>
      <c r="I37" s="284"/>
      <c r="J37" s="287"/>
      <c r="K37" s="288"/>
      <c r="L37" s="289">
        <f>Math!D45</f>
        <v>0</v>
      </c>
      <c r="M37" s="283" t="str">
        <f>Math!E45</f>
        <v/>
      </c>
      <c r="N37" s="289">
        <f>Math!H45</f>
        <v>0</v>
      </c>
      <c r="O37" s="283" t="str">
        <f>Math!I45</f>
        <v/>
      </c>
      <c r="P37" s="289">
        <f>Math!AF45</f>
        <v>0</v>
      </c>
      <c r="Q37" s="283" t="str">
        <f>Math!AG45</f>
        <v/>
      </c>
      <c r="R37" s="289">
        <f>Math!W45</f>
        <v>0</v>
      </c>
      <c r="S37" s="283" t="str">
        <f>Math!X45</f>
        <v/>
      </c>
      <c r="T37" s="278"/>
      <c r="U37" s="49"/>
      <c r="V37" s="49"/>
      <c r="W37" s="149"/>
      <c r="X37" s="149"/>
      <c r="Y37" s="149"/>
      <c r="Z37" s="149"/>
      <c r="AA37" s="149"/>
      <c r="AB37" s="149"/>
      <c r="AC37" s="149"/>
      <c r="AD37" s="149"/>
    </row>
    <row r="38" spans="1:30" x14ac:dyDescent="0.2">
      <c r="A38" s="250"/>
      <c r="B38" s="250"/>
      <c r="C38" s="144"/>
      <c r="D38" s="251"/>
      <c r="E38" s="283"/>
      <c r="F38" s="284"/>
      <c r="G38" s="285"/>
      <c r="H38" s="286"/>
      <c r="I38" s="284"/>
      <c r="J38" s="287"/>
      <c r="K38" s="288"/>
      <c r="L38" s="289">
        <f>Math!D46</f>
        <v>0</v>
      </c>
      <c r="M38" s="283" t="str">
        <f>Math!E46</f>
        <v/>
      </c>
      <c r="N38" s="289">
        <f>Math!H46</f>
        <v>0</v>
      </c>
      <c r="O38" s="283" t="str">
        <f>Math!I46</f>
        <v/>
      </c>
      <c r="P38" s="289">
        <f>Math!AF46</f>
        <v>0</v>
      </c>
      <c r="Q38" s="283" t="str">
        <f>Math!AG46</f>
        <v/>
      </c>
      <c r="R38" s="289">
        <f>Math!W46</f>
        <v>0</v>
      </c>
      <c r="S38" s="283" t="str">
        <f>Math!X46</f>
        <v/>
      </c>
      <c r="T38" s="278"/>
      <c r="U38" s="49"/>
      <c r="V38" s="49"/>
      <c r="W38" s="149"/>
      <c r="X38" s="149"/>
      <c r="Y38" s="149"/>
      <c r="Z38" s="149"/>
      <c r="AA38" s="149"/>
      <c r="AB38" s="149"/>
      <c r="AC38" s="149"/>
      <c r="AD38" s="149"/>
    </row>
    <row r="39" spans="1:30" x14ac:dyDescent="0.2">
      <c r="A39" s="250"/>
      <c r="B39" s="250"/>
      <c r="C39" s="144"/>
      <c r="D39" s="251"/>
      <c r="E39" s="283"/>
      <c r="F39" s="284"/>
      <c r="G39" s="285"/>
      <c r="H39" s="286"/>
      <c r="I39" s="284"/>
      <c r="J39" s="287"/>
      <c r="K39" s="288"/>
      <c r="L39" s="289">
        <f>Math!D47</f>
        <v>0</v>
      </c>
      <c r="M39" s="283" t="str">
        <f>Math!E47</f>
        <v/>
      </c>
      <c r="N39" s="289">
        <f>Math!H47</f>
        <v>0</v>
      </c>
      <c r="O39" s="283" t="str">
        <f>Math!I47</f>
        <v/>
      </c>
      <c r="P39" s="289">
        <f>Math!AF47</f>
        <v>0</v>
      </c>
      <c r="Q39" s="283" t="str">
        <f>Math!AG47</f>
        <v/>
      </c>
      <c r="R39" s="289">
        <f>Math!W47</f>
        <v>0</v>
      </c>
      <c r="S39" s="283" t="str">
        <f>Math!X47</f>
        <v/>
      </c>
      <c r="T39" s="278"/>
      <c r="U39" s="49"/>
      <c r="V39" s="49"/>
      <c r="W39" s="149"/>
      <c r="X39" s="149"/>
      <c r="Y39" s="149"/>
      <c r="Z39" s="149"/>
      <c r="AA39" s="149"/>
      <c r="AB39" s="149"/>
      <c r="AC39" s="149"/>
      <c r="AD39" s="149"/>
    </row>
    <row r="40" spans="1:30" x14ac:dyDescent="0.2">
      <c r="A40" s="250"/>
      <c r="B40" s="250"/>
      <c r="C40" s="144"/>
      <c r="D40" s="251"/>
      <c r="E40" s="283"/>
      <c r="F40" s="284"/>
      <c r="G40" s="285"/>
      <c r="H40" s="286"/>
      <c r="I40" s="284"/>
      <c r="J40" s="287"/>
      <c r="K40" s="288"/>
      <c r="L40" s="289">
        <f>Math!D48</f>
        <v>0</v>
      </c>
      <c r="M40" s="283" t="str">
        <f>Math!E48</f>
        <v/>
      </c>
      <c r="N40" s="289">
        <f>Math!H48</f>
        <v>0</v>
      </c>
      <c r="O40" s="283" t="str">
        <f>Math!I48</f>
        <v/>
      </c>
      <c r="P40" s="289">
        <f>Math!AF48</f>
        <v>0</v>
      </c>
      <c r="Q40" s="283" t="str">
        <f>Math!AG48</f>
        <v/>
      </c>
      <c r="R40" s="289">
        <f>Math!W48</f>
        <v>0</v>
      </c>
      <c r="S40" s="283" t="str">
        <f>Math!X48</f>
        <v/>
      </c>
      <c r="T40" s="278"/>
      <c r="U40" s="49"/>
      <c r="V40" s="49"/>
      <c r="W40" s="149"/>
      <c r="X40" s="149"/>
      <c r="Y40" s="149"/>
      <c r="Z40" s="149"/>
      <c r="AA40" s="149"/>
      <c r="AB40" s="149"/>
      <c r="AC40" s="149"/>
      <c r="AD40" s="149"/>
    </row>
    <row r="41" spans="1:30" x14ac:dyDescent="0.2">
      <c r="A41" s="250"/>
      <c r="B41" s="250"/>
      <c r="C41" s="144"/>
      <c r="D41" s="251"/>
      <c r="E41" s="283"/>
      <c r="F41" s="284"/>
      <c r="G41" s="285"/>
      <c r="H41" s="286"/>
      <c r="I41" s="284"/>
      <c r="J41" s="287"/>
      <c r="K41" s="288"/>
      <c r="L41" s="289">
        <f>Math!D49</f>
        <v>0</v>
      </c>
      <c r="M41" s="283" t="str">
        <f>Math!E49</f>
        <v/>
      </c>
      <c r="N41" s="289">
        <f>Math!H49</f>
        <v>0</v>
      </c>
      <c r="O41" s="283" t="str">
        <f>Math!I49</f>
        <v/>
      </c>
      <c r="P41" s="289">
        <f>Math!AF49</f>
        <v>0</v>
      </c>
      <c r="Q41" s="283" t="str">
        <f>Math!AG49</f>
        <v/>
      </c>
      <c r="R41" s="289">
        <f>Math!W49</f>
        <v>0</v>
      </c>
      <c r="S41" s="283" t="str">
        <f>Math!X49</f>
        <v/>
      </c>
      <c r="T41" s="278"/>
      <c r="U41" s="49"/>
      <c r="V41" s="49"/>
      <c r="W41" s="149"/>
      <c r="X41" s="149"/>
      <c r="Y41" s="149"/>
      <c r="Z41" s="149"/>
      <c r="AA41" s="149"/>
      <c r="AB41" s="149"/>
      <c r="AC41" s="149"/>
      <c r="AD41" s="149"/>
    </row>
    <row r="42" spans="1:30" x14ac:dyDescent="0.2">
      <c r="A42" s="250"/>
      <c r="B42" s="250"/>
      <c r="C42" s="144"/>
      <c r="D42" s="251"/>
      <c r="E42" s="283"/>
      <c r="F42" s="284"/>
      <c r="G42" s="285"/>
      <c r="H42" s="286"/>
      <c r="I42" s="284"/>
      <c r="J42" s="287"/>
      <c r="K42" s="288"/>
      <c r="L42" s="289">
        <f>Math!D50</f>
        <v>0</v>
      </c>
      <c r="M42" s="283" t="str">
        <f>Math!E50</f>
        <v/>
      </c>
      <c r="N42" s="289">
        <f>Math!H50</f>
        <v>0</v>
      </c>
      <c r="O42" s="283" t="str">
        <f>Math!I50</f>
        <v/>
      </c>
      <c r="P42" s="289">
        <f>Math!AF50</f>
        <v>0</v>
      </c>
      <c r="Q42" s="283" t="str">
        <f>Math!AG50</f>
        <v/>
      </c>
      <c r="R42" s="289">
        <f>Math!W50</f>
        <v>0</v>
      </c>
      <c r="S42" s="283" t="str">
        <f>Math!X50</f>
        <v/>
      </c>
      <c r="T42" s="278"/>
      <c r="U42" s="49"/>
      <c r="V42" s="49"/>
      <c r="W42" s="149"/>
      <c r="X42" s="149"/>
      <c r="Y42" s="149"/>
      <c r="Z42" s="149"/>
      <c r="AA42" s="149"/>
      <c r="AB42" s="149"/>
      <c r="AC42" s="149"/>
      <c r="AD42" s="149"/>
    </row>
    <row r="43" spans="1:30" x14ac:dyDescent="0.2">
      <c r="A43" s="250"/>
      <c r="B43" s="250"/>
      <c r="C43" s="144"/>
      <c r="D43" s="251"/>
      <c r="E43" s="283"/>
      <c r="F43" s="284"/>
      <c r="G43" s="285"/>
      <c r="H43" s="286"/>
      <c r="I43" s="284"/>
      <c r="J43" s="287"/>
      <c r="K43" s="288"/>
      <c r="L43" s="289">
        <f>Math!D51</f>
        <v>0</v>
      </c>
      <c r="M43" s="283" t="str">
        <f>Math!E51</f>
        <v/>
      </c>
      <c r="N43" s="289">
        <f>Math!H51</f>
        <v>0</v>
      </c>
      <c r="O43" s="283" t="str">
        <f>Math!I51</f>
        <v/>
      </c>
      <c r="P43" s="289">
        <f>Math!AF51</f>
        <v>0</v>
      </c>
      <c r="Q43" s="283" t="str">
        <f>Math!AG51</f>
        <v/>
      </c>
      <c r="R43" s="289">
        <f>Math!W51</f>
        <v>0</v>
      </c>
      <c r="S43" s="283" t="str">
        <f>Math!X51</f>
        <v/>
      </c>
      <c r="T43" s="278"/>
      <c r="U43" s="49"/>
      <c r="V43" s="49"/>
      <c r="W43" s="149"/>
      <c r="X43" s="149"/>
      <c r="Y43" s="149"/>
      <c r="Z43" s="149"/>
      <c r="AA43" s="149"/>
      <c r="AB43" s="149"/>
      <c r="AC43" s="149"/>
      <c r="AD43" s="149"/>
    </row>
    <row r="44" spans="1:30" x14ac:dyDescent="0.2">
      <c r="A44" s="250"/>
      <c r="B44" s="250"/>
      <c r="C44" s="144"/>
      <c r="D44" s="251"/>
      <c r="E44" s="283"/>
      <c r="F44" s="284"/>
      <c r="G44" s="285"/>
      <c r="H44" s="286"/>
      <c r="I44" s="284"/>
      <c r="J44" s="287"/>
      <c r="K44" s="288"/>
      <c r="L44" s="289">
        <f>Math!D52</f>
        <v>0</v>
      </c>
      <c r="M44" s="283" t="str">
        <f>Math!E52</f>
        <v/>
      </c>
      <c r="N44" s="289">
        <f>Math!H52</f>
        <v>0</v>
      </c>
      <c r="O44" s="283" t="str">
        <f>Math!I52</f>
        <v/>
      </c>
      <c r="P44" s="289">
        <f>Math!AF52</f>
        <v>0</v>
      </c>
      <c r="Q44" s="283" t="str">
        <f>Math!AG52</f>
        <v/>
      </c>
      <c r="R44" s="289">
        <f>Math!W52</f>
        <v>0</v>
      </c>
      <c r="S44" s="283" t="str">
        <f>Math!X52</f>
        <v/>
      </c>
      <c r="T44" s="278"/>
      <c r="U44" s="49"/>
      <c r="V44" s="49"/>
      <c r="W44" s="149"/>
      <c r="X44" s="149"/>
      <c r="Y44" s="149"/>
      <c r="Z44" s="149"/>
      <c r="AA44" s="149"/>
      <c r="AB44" s="149"/>
      <c r="AC44" s="149"/>
      <c r="AD44" s="149"/>
    </row>
    <row r="45" spans="1:30" x14ac:dyDescent="0.2">
      <c r="A45" s="250"/>
      <c r="B45" s="250"/>
      <c r="C45" s="144"/>
      <c r="D45" s="251"/>
      <c r="E45" s="283"/>
      <c r="F45" s="284"/>
      <c r="G45" s="285"/>
      <c r="H45" s="286"/>
      <c r="I45" s="284"/>
      <c r="J45" s="287"/>
      <c r="K45" s="288"/>
      <c r="L45" s="289">
        <f>Math!D53</f>
        <v>0</v>
      </c>
      <c r="M45" s="283" t="str">
        <f>Math!E53</f>
        <v/>
      </c>
      <c r="N45" s="289">
        <f>Math!H53</f>
        <v>0</v>
      </c>
      <c r="O45" s="283" t="str">
        <f>Math!I53</f>
        <v/>
      </c>
      <c r="P45" s="289">
        <f>Math!AF53</f>
        <v>0</v>
      </c>
      <c r="Q45" s="283" t="str">
        <f>Math!AG53</f>
        <v/>
      </c>
      <c r="R45" s="289">
        <f>Math!W53</f>
        <v>0</v>
      </c>
      <c r="S45" s="283" t="str">
        <f>Math!X53</f>
        <v/>
      </c>
      <c r="T45" s="278"/>
      <c r="U45" s="49"/>
      <c r="V45" s="49"/>
      <c r="W45" s="149"/>
      <c r="X45" s="149"/>
      <c r="Y45" s="149"/>
      <c r="Z45" s="149"/>
      <c r="AA45" s="149"/>
      <c r="AB45" s="149"/>
      <c r="AC45" s="149"/>
      <c r="AD45" s="149"/>
    </row>
    <row r="46" spans="1:30" x14ac:dyDescent="0.2">
      <c r="A46" s="274"/>
      <c r="B46" s="250"/>
      <c r="C46" s="144"/>
      <c r="D46" s="251"/>
      <c r="E46" s="283"/>
      <c r="F46" s="290"/>
      <c r="G46" s="285"/>
      <c r="H46" s="286"/>
      <c r="I46" s="284"/>
      <c r="J46" s="287"/>
      <c r="K46" s="291"/>
      <c r="L46" s="289">
        <f>Math!D54</f>
        <v>0</v>
      </c>
      <c r="M46" s="292" t="str">
        <f>Math!E54</f>
        <v/>
      </c>
      <c r="N46" s="293">
        <f>Math!H54</f>
        <v>0</v>
      </c>
      <c r="O46" s="283" t="str">
        <f>Math!I54</f>
        <v/>
      </c>
      <c r="P46" s="289">
        <f>Math!AF54</f>
        <v>0</v>
      </c>
      <c r="Q46" s="283" t="str">
        <f>Math!AG54</f>
        <v/>
      </c>
      <c r="R46" s="289">
        <f>Math!W54</f>
        <v>0</v>
      </c>
      <c r="S46" s="283" t="str">
        <f>Math!X54</f>
        <v/>
      </c>
      <c r="T46" s="278"/>
      <c r="U46" s="49"/>
      <c r="V46" s="49"/>
      <c r="W46" s="149"/>
      <c r="X46" s="149"/>
      <c r="Y46" s="149"/>
      <c r="Z46" s="149"/>
      <c r="AA46" s="149"/>
      <c r="AB46" s="149"/>
      <c r="AC46" s="149"/>
      <c r="AD46" s="149"/>
    </row>
    <row r="47" spans="1:30" x14ac:dyDescent="0.2">
      <c r="A47" s="80"/>
      <c r="B47" s="193"/>
      <c r="C47" s="193"/>
      <c r="D47" s="193"/>
      <c r="E47" s="193"/>
      <c r="F47" s="193"/>
      <c r="G47" s="193"/>
      <c r="H47" s="193"/>
      <c r="I47" s="193"/>
      <c r="J47" s="193"/>
      <c r="K47" s="149"/>
      <c r="L47" s="193"/>
      <c r="M47" s="193"/>
      <c r="N47" s="193"/>
      <c r="O47" s="193"/>
      <c r="P47" s="193"/>
      <c r="Q47" s="193"/>
      <c r="R47" s="193"/>
      <c r="S47" s="193"/>
      <c r="T47" s="149"/>
      <c r="U47" s="49"/>
      <c r="V47" s="49"/>
      <c r="W47" s="149"/>
      <c r="X47" s="149"/>
      <c r="Y47" s="149"/>
      <c r="Z47" s="149"/>
      <c r="AA47" s="149"/>
      <c r="AB47" s="149"/>
      <c r="AC47" s="149"/>
      <c r="AD47" s="149"/>
    </row>
    <row r="48" spans="1:30" x14ac:dyDescent="0.2">
      <c r="A48" s="616" t="s">
        <v>160</v>
      </c>
      <c r="B48" s="565"/>
      <c r="C48" s="565"/>
      <c r="D48" s="565"/>
      <c r="E48" s="565"/>
      <c r="F48" s="565"/>
      <c r="G48" s="565"/>
      <c r="H48" s="565"/>
      <c r="I48" s="565"/>
      <c r="J48" s="565"/>
      <c r="K48" s="566"/>
      <c r="L48" s="610" t="s">
        <v>161</v>
      </c>
      <c r="M48" s="574"/>
      <c r="N48" s="574"/>
      <c r="O48" s="574"/>
      <c r="P48" s="574"/>
      <c r="Q48" s="574"/>
      <c r="R48" s="574"/>
      <c r="S48" s="575"/>
      <c r="T48" s="49"/>
      <c r="U48" s="49"/>
      <c r="V48" s="49"/>
      <c r="W48" s="149"/>
      <c r="X48" s="149"/>
      <c r="Y48" s="149"/>
      <c r="Z48" s="149"/>
      <c r="AA48" s="149"/>
      <c r="AB48" s="149"/>
      <c r="AC48" s="149"/>
      <c r="AD48" s="149"/>
    </row>
    <row r="49" spans="1:30" x14ac:dyDescent="0.2">
      <c r="A49" s="239" t="s">
        <v>0</v>
      </c>
      <c r="B49" s="279" t="s">
        <v>138</v>
      </c>
      <c r="C49" s="279" t="s">
        <v>162</v>
      </c>
      <c r="D49" s="295" t="s">
        <v>163</v>
      </c>
      <c r="E49" s="279" t="s">
        <v>141</v>
      </c>
      <c r="F49" s="279" t="str">
        <f>Math!AD39</f>
        <v>Actor Energy Segment Gains</v>
      </c>
      <c r="G49" s="279" t="s">
        <v>164</v>
      </c>
      <c r="H49" s="279" t="s">
        <v>140</v>
      </c>
      <c r="I49" s="279" t="str">
        <f>Math!AA39</f>
        <v>Target Energy Segment Gains</v>
      </c>
      <c r="J49" s="279" t="s">
        <v>165</v>
      </c>
      <c r="K49" s="296" t="s">
        <v>166</v>
      </c>
      <c r="L49" s="151" t="s">
        <v>167</v>
      </c>
      <c r="M49" s="66" t="s">
        <v>138</v>
      </c>
      <c r="N49" s="66" t="s">
        <v>85</v>
      </c>
      <c r="O49" s="240" t="s">
        <v>139</v>
      </c>
      <c r="P49" s="66" t="s">
        <v>140</v>
      </c>
      <c r="Q49" s="66" t="s">
        <v>141</v>
      </c>
      <c r="R49" s="66" t="s">
        <v>168</v>
      </c>
      <c r="S49" s="297" t="s">
        <v>169</v>
      </c>
      <c r="T49" s="49"/>
      <c r="U49" s="49"/>
      <c r="V49" s="49"/>
      <c r="W49" s="149"/>
      <c r="X49" s="149"/>
      <c r="Y49" s="149"/>
      <c r="Z49" s="149"/>
      <c r="AA49" s="149"/>
      <c r="AB49" s="149"/>
      <c r="AC49" s="149"/>
      <c r="AD49" s="149"/>
    </row>
    <row r="50" spans="1:30" x14ac:dyDescent="0.2">
      <c r="A50" s="250">
        <f t="shared" ref="A50:A64" si="12">$B$18</f>
        <v>1</v>
      </c>
      <c r="B50" s="251">
        <f t="shared" ref="B50:D50" si="13">A32</f>
        <v>0</v>
      </c>
      <c r="C50" s="251">
        <f t="shared" si="13"/>
        <v>0</v>
      </c>
      <c r="D50" s="298">
        <f t="shared" si="13"/>
        <v>0</v>
      </c>
      <c r="E50" s="251">
        <f t="shared" ref="E50:E64" si="14">E32</f>
        <v>0</v>
      </c>
      <c r="F50" s="299">
        <f>Math!AD40</f>
        <v>0</v>
      </c>
      <c r="G50" s="300">
        <f>Math!AB40</f>
        <v>0</v>
      </c>
      <c r="H50" s="251">
        <f t="shared" ref="H50:H64" si="15">D32</f>
        <v>0</v>
      </c>
      <c r="I50" s="300">
        <f>Math!AA40</f>
        <v>0</v>
      </c>
      <c r="J50" s="300">
        <f>Math!Y40</f>
        <v>0</v>
      </c>
      <c r="K50" s="283" t="str">
        <f>Math!X40</f>
        <v/>
      </c>
      <c r="L50" s="301">
        <v>1</v>
      </c>
      <c r="M50" s="86" t="str">
        <f>IF(L50="","",IF(ISNUMBER(RIGHT(L50,1)*1),HLOOKUP("*",$G$22:$G$27,L50,FALSE),"d"))</f>
        <v>Will</v>
      </c>
      <c r="N50" s="86" t="str">
        <f>IF(L50="","",IF(ISNUMBER(RIGHT(L50,1)*1),VLOOKUP(M50,$A$22:$F$27,2,FALSE),"d"))</f>
        <v>Attack</v>
      </c>
      <c r="O50" s="302">
        <f t="shared" ref="O50:O64" si="16">IF(L50="","",IF(ISNUMBER(RIGHT(L50,1)*1),VLOOKUP(M50,$A$22:$F$27,3,FALSE),""))</f>
        <v>0</v>
      </c>
      <c r="P50" s="86" t="str">
        <f t="shared" ref="P50:P64" si="17">R67</f>
        <v>Jake</v>
      </c>
      <c r="Q50" s="166">
        <f t="shared" ref="Q50:Q64" si="18">IF(L50="","",IF(ISNUMBER(RIGHT(L50,1)*1),VLOOKUP(M50,$A$22:$F$27,5,FALSE),""))</f>
        <v>0</v>
      </c>
      <c r="R50" s="86">
        <f t="shared" ref="R50:R64" si="19">IF(AND(H32=$L$4,S32=1),1,0)</f>
        <v>0</v>
      </c>
      <c r="S50" s="87">
        <f t="shared" ref="S50:S64" si="20">IF(L50="","",IF(LEFT(L50,1)+1&lt;=6,IF(VLOOKUP(LEFT(L50,1)+1,$L$67:$N$72,3,FALSE)=0,LEFT(L50,1)+1,IF(LEFT(L50,1)+2&lt;=6,IF(VLOOKUP(LEFT(L50,1)+2,$L$67:$N$72,3,FALSE)=0,LEFT(L50,1)+2,IF(LEFT(L50,1)+3&lt;=6,IF(VLOOKUP(LEFT(L50,1)+3,$L$67:$N$72,3,FALSE)=0,LEFT(L50,1)+3,IF(LEFT(L50,1)+4&lt;=6,IF(VLOOKUP(LEFT(L50,1)+4,$L$67:$N$72,3,FALSE)=0,LEFT(L50,1)+4,IF(LEFT(L50,1)+5&lt;=6,IF(VLOOKUP(LEFT(L50,1)+5,$L$67:$N$72,3,FALSE)=0,LEFT(L50,1)+5,""),"")),"")),"")),"")),""))</f>
        <v>2</v>
      </c>
      <c r="T50" s="49"/>
      <c r="U50" s="49"/>
      <c r="V50" s="49"/>
      <c r="W50" s="149"/>
      <c r="X50" s="149"/>
      <c r="Y50" s="149"/>
      <c r="Z50" s="149"/>
      <c r="AA50" s="149"/>
      <c r="AB50" s="149"/>
      <c r="AC50" s="149"/>
      <c r="AD50" s="149"/>
    </row>
    <row r="51" spans="1:30" x14ac:dyDescent="0.2">
      <c r="A51" s="250">
        <f t="shared" si="12"/>
        <v>1</v>
      </c>
      <c r="B51" s="251">
        <f t="shared" ref="B51:D51" si="21">A33</f>
        <v>0</v>
      </c>
      <c r="C51" s="251">
        <f t="shared" si="21"/>
        <v>0</v>
      </c>
      <c r="D51" s="298">
        <f t="shared" si="21"/>
        <v>0</v>
      </c>
      <c r="E51" s="251">
        <f t="shared" si="14"/>
        <v>0</v>
      </c>
      <c r="F51" s="299">
        <f>Math!AD41</f>
        <v>0</v>
      </c>
      <c r="G51" s="300">
        <f>Math!AB41</f>
        <v>0</v>
      </c>
      <c r="H51" s="251">
        <f t="shared" si="15"/>
        <v>0</v>
      </c>
      <c r="I51" s="300">
        <f>Math!AA41</f>
        <v>0</v>
      </c>
      <c r="J51" s="300">
        <f>Math!Y41</f>
        <v>0</v>
      </c>
      <c r="K51" s="283" t="str">
        <f>Math!X41</f>
        <v/>
      </c>
      <c r="L51" s="303">
        <f t="shared" ref="L51:L64" si="22">IF(L50="","",IF(R50=0,S50,IF(VLOOKUP(P50,$M$67:$N$72,2,FALSE)=1,S50,CONCATENATE(LEFT(L50,1),"c"))))</f>
        <v>2</v>
      </c>
      <c r="M51" s="125" t="str">
        <f t="shared" ref="M51:M64" si="23">IF(L51="","",IF(ISNUMBER(RIGHT(L51,1)*1),HLOOKUP("*",$G$22:$G$27,L51,FALSE),P50))</f>
        <v>Carter</v>
      </c>
      <c r="N51" s="125">
        <f t="shared" ref="N51:N64" si="24">IF(L51="","",IF(ISNUMBER(RIGHT(L51,1)*1),VLOOKUP(M51,$A$22:$F$27,2,FALSE),"Counter"))</f>
        <v>0</v>
      </c>
      <c r="O51" s="143">
        <f t="shared" si="16"/>
        <v>0</v>
      </c>
      <c r="P51" s="125">
        <f t="shared" si="17"/>
        <v>0</v>
      </c>
      <c r="Q51" s="156">
        <f t="shared" si="18"/>
        <v>0</v>
      </c>
      <c r="R51" s="125">
        <f t="shared" si="19"/>
        <v>0</v>
      </c>
      <c r="S51" s="126">
        <f t="shared" si="20"/>
        <v>3</v>
      </c>
      <c r="T51" s="49"/>
      <c r="U51" s="49"/>
      <c r="V51" s="49"/>
      <c r="W51" s="149"/>
      <c r="X51" s="149"/>
      <c r="Y51" s="149"/>
      <c r="Z51" s="149"/>
      <c r="AA51" s="149"/>
      <c r="AB51" s="149"/>
      <c r="AC51" s="149"/>
      <c r="AD51" s="149"/>
    </row>
    <row r="52" spans="1:30" x14ac:dyDescent="0.2">
      <c r="A52" s="250">
        <f t="shared" si="12"/>
        <v>1</v>
      </c>
      <c r="B52" s="251">
        <f t="shared" ref="B52:D52" si="25">A34</f>
        <v>0</v>
      </c>
      <c r="C52" s="251">
        <f t="shared" si="25"/>
        <v>0</v>
      </c>
      <c r="D52" s="298">
        <f t="shared" si="25"/>
        <v>0</v>
      </c>
      <c r="E52" s="251">
        <f t="shared" si="14"/>
        <v>0</v>
      </c>
      <c r="F52" s="299">
        <f>Math!AD42</f>
        <v>0</v>
      </c>
      <c r="G52" s="300">
        <f>Math!AB42</f>
        <v>0</v>
      </c>
      <c r="H52" s="251">
        <f t="shared" si="15"/>
        <v>0</v>
      </c>
      <c r="I52" s="300">
        <f>Math!AA42</f>
        <v>0</v>
      </c>
      <c r="J52" s="300">
        <f>Math!Y42</f>
        <v>0</v>
      </c>
      <c r="K52" s="283" t="str">
        <f>Math!X42</f>
        <v/>
      </c>
      <c r="L52" s="303">
        <f t="shared" si="22"/>
        <v>3</v>
      </c>
      <c r="M52" s="125" t="str">
        <f t="shared" si="23"/>
        <v>Joe</v>
      </c>
      <c r="N52" s="125">
        <f t="shared" si="24"/>
        <v>0</v>
      </c>
      <c r="O52" s="143">
        <f t="shared" si="16"/>
        <v>0</v>
      </c>
      <c r="P52" s="125">
        <f t="shared" si="17"/>
        <v>0</v>
      </c>
      <c r="Q52" s="156">
        <f t="shared" si="18"/>
        <v>0</v>
      </c>
      <c r="R52" s="125">
        <f t="shared" si="19"/>
        <v>0</v>
      </c>
      <c r="S52" s="126">
        <f t="shared" si="20"/>
        <v>4</v>
      </c>
      <c r="T52" s="49"/>
      <c r="U52" s="49"/>
      <c r="V52" s="49"/>
      <c r="W52" s="149"/>
      <c r="X52" s="149"/>
      <c r="Y52" s="149"/>
      <c r="Z52" s="149"/>
      <c r="AA52" s="149"/>
      <c r="AB52" s="149"/>
      <c r="AC52" s="149"/>
      <c r="AD52" s="149"/>
    </row>
    <row r="53" spans="1:30" x14ac:dyDescent="0.2">
      <c r="A53" s="250">
        <f t="shared" si="12"/>
        <v>1</v>
      </c>
      <c r="B53" s="251">
        <f t="shared" ref="B53:D53" si="26">A35</f>
        <v>0</v>
      </c>
      <c r="C53" s="251">
        <f t="shared" si="26"/>
        <v>0</v>
      </c>
      <c r="D53" s="298">
        <f t="shared" si="26"/>
        <v>0</v>
      </c>
      <c r="E53" s="251">
        <f t="shared" si="14"/>
        <v>0</v>
      </c>
      <c r="F53" s="299">
        <f>Math!AD43</f>
        <v>0</v>
      </c>
      <c r="G53" s="300">
        <f>Math!AB43</f>
        <v>0</v>
      </c>
      <c r="H53" s="251">
        <f t="shared" si="15"/>
        <v>0</v>
      </c>
      <c r="I53" s="300">
        <f>Math!AA43</f>
        <v>0</v>
      </c>
      <c r="J53" s="300">
        <f>Math!Y43</f>
        <v>0</v>
      </c>
      <c r="K53" s="283" t="str">
        <f>Math!X43</f>
        <v/>
      </c>
      <c r="L53" s="303">
        <f t="shared" si="22"/>
        <v>4</v>
      </c>
      <c r="M53" s="156" t="str">
        <f t="shared" si="23"/>
        <v>Jake</v>
      </c>
      <c r="N53" s="125">
        <f t="shared" si="24"/>
        <v>0</v>
      </c>
      <c r="O53" s="143">
        <f t="shared" si="16"/>
        <v>0</v>
      </c>
      <c r="P53" s="125">
        <f t="shared" si="17"/>
        <v>0</v>
      </c>
      <c r="Q53" s="156">
        <f t="shared" si="18"/>
        <v>0</v>
      </c>
      <c r="R53" s="125">
        <f t="shared" si="19"/>
        <v>0</v>
      </c>
      <c r="S53" s="126">
        <f t="shared" si="20"/>
        <v>5</v>
      </c>
      <c r="T53" s="49"/>
      <c r="U53" s="49"/>
      <c r="V53" s="49"/>
      <c r="W53" s="149"/>
      <c r="X53" s="149"/>
      <c r="Y53" s="149"/>
      <c r="Z53" s="149"/>
      <c r="AA53" s="149"/>
      <c r="AB53" s="149"/>
      <c r="AC53" s="149"/>
      <c r="AD53" s="149"/>
    </row>
    <row r="54" spans="1:30" x14ac:dyDescent="0.2">
      <c r="A54" s="250">
        <f t="shared" si="12"/>
        <v>1</v>
      </c>
      <c r="B54" s="251">
        <f t="shared" ref="B54:D54" si="27">A36</f>
        <v>0</v>
      </c>
      <c r="C54" s="251">
        <f t="shared" si="27"/>
        <v>0</v>
      </c>
      <c r="D54" s="298">
        <f t="shared" si="27"/>
        <v>0</v>
      </c>
      <c r="E54" s="251">
        <f t="shared" si="14"/>
        <v>0</v>
      </c>
      <c r="F54" s="299">
        <f>Math!AD44</f>
        <v>0</v>
      </c>
      <c r="G54" s="300">
        <f>Math!AB44</f>
        <v>0</v>
      </c>
      <c r="H54" s="251">
        <f t="shared" si="15"/>
        <v>0</v>
      </c>
      <c r="I54" s="300">
        <f>Math!AA44</f>
        <v>0</v>
      </c>
      <c r="J54" s="300">
        <f>Math!Y44</f>
        <v>0</v>
      </c>
      <c r="K54" s="283" t="str">
        <f>Math!X44</f>
        <v/>
      </c>
      <c r="L54" s="303">
        <f t="shared" si="22"/>
        <v>5</v>
      </c>
      <c r="M54" s="304" t="str">
        <f t="shared" si="23"/>
        <v>Jim</v>
      </c>
      <c r="N54" s="125">
        <f t="shared" si="24"/>
        <v>0</v>
      </c>
      <c r="O54" s="143">
        <f t="shared" si="16"/>
        <v>0</v>
      </c>
      <c r="P54" s="125">
        <f t="shared" si="17"/>
        <v>0</v>
      </c>
      <c r="Q54" s="156">
        <f t="shared" si="18"/>
        <v>0</v>
      </c>
      <c r="R54" s="125">
        <f t="shared" si="19"/>
        <v>0</v>
      </c>
      <c r="S54" s="126">
        <f t="shared" si="20"/>
        <v>6</v>
      </c>
      <c r="T54" s="49"/>
      <c r="U54" s="49"/>
      <c r="V54" s="49"/>
      <c r="W54" s="149"/>
      <c r="X54" s="149"/>
      <c r="Y54" s="149"/>
      <c r="Z54" s="149"/>
      <c r="AA54" s="149"/>
      <c r="AB54" s="149"/>
      <c r="AC54" s="149"/>
      <c r="AD54" s="149"/>
    </row>
    <row r="55" spans="1:30" x14ac:dyDescent="0.2">
      <c r="A55" s="250">
        <f t="shared" si="12"/>
        <v>1</v>
      </c>
      <c r="B55" s="251">
        <f t="shared" ref="B55:D55" si="28">A37</f>
        <v>0</v>
      </c>
      <c r="C55" s="251">
        <f t="shared" si="28"/>
        <v>0</v>
      </c>
      <c r="D55" s="298">
        <f t="shared" si="28"/>
        <v>0</v>
      </c>
      <c r="E55" s="251">
        <f t="shared" si="14"/>
        <v>0</v>
      </c>
      <c r="F55" s="299">
        <f>Math!AD45</f>
        <v>0</v>
      </c>
      <c r="G55" s="300">
        <f>Math!AB45</f>
        <v>0</v>
      </c>
      <c r="H55" s="251">
        <f t="shared" si="15"/>
        <v>0</v>
      </c>
      <c r="I55" s="300">
        <f>Math!AA45</f>
        <v>0</v>
      </c>
      <c r="J55" s="300">
        <f>Math!Y45</f>
        <v>0</v>
      </c>
      <c r="K55" s="283" t="str">
        <f>Math!X45</f>
        <v/>
      </c>
      <c r="L55" s="303">
        <f t="shared" si="22"/>
        <v>6</v>
      </c>
      <c r="M55" s="304" t="str">
        <f t="shared" si="23"/>
        <v>Jordan</v>
      </c>
      <c r="N55" s="125">
        <f t="shared" si="24"/>
        <v>0</v>
      </c>
      <c r="O55" s="143">
        <f t="shared" si="16"/>
        <v>0</v>
      </c>
      <c r="P55" s="125">
        <f t="shared" si="17"/>
        <v>0</v>
      </c>
      <c r="Q55" s="156">
        <f t="shared" si="18"/>
        <v>0</v>
      </c>
      <c r="R55" s="125">
        <f t="shared" si="19"/>
        <v>0</v>
      </c>
      <c r="S55" s="126" t="str">
        <f t="shared" si="20"/>
        <v/>
      </c>
      <c r="T55" s="49"/>
      <c r="U55" s="49"/>
      <c r="V55" s="49"/>
      <c r="W55" s="149"/>
      <c r="X55" s="149"/>
      <c r="Y55" s="149"/>
      <c r="Z55" s="149"/>
      <c r="AA55" s="149"/>
      <c r="AB55" s="149"/>
      <c r="AC55" s="149"/>
      <c r="AD55" s="149"/>
    </row>
    <row r="56" spans="1:30" x14ac:dyDescent="0.2">
      <c r="A56" s="250">
        <f t="shared" si="12"/>
        <v>1</v>
      </c>
      <c r="B56" s="251">
        <f t="shared" ref="B56:D56" si="29">A38</f>
        <v>0</v>
      </c>
      <c r="C56" s="251">
        <f t="shared" si="29"/>
        <v>0</v>
      </c>
      <c r="D56" s="298">
        <f t="shared" si="29"/>
        <v>0</v>
      </c>
      <c r="E56" s="251">
        <f t="shared" si="14"/>
        <v>0</v>
      </c>
      <c r="F56" s="299">
        <f>Math!AD46</f>
        <v>0</v>
      </c>
      <c r="G56" s="300">
        <f>Math!AB46</f>
        <v>0</v>
      </c>
      <c r="H56" s="251">
        <f t="shared" si="15"/>
        <v>0</v>
      </c>
      <c r="I56" s="300">
        <f>Math!AA46</f>
        <v>0</v>
      </c>
      <c r="J56" s="300">
        <f>Math!Y46</f>
        <v>0</v>
      </c>
      <c r="K56" s="283" t="str">
        <f>Math!X46</f>
        <v/>
      </c>
      <c r="L56" s="303" t="str">
        <f t="shared" si="22"/>
        <v/>
      </c>
      <c r="M56" s="125" t="str">
        <f t="shared" si="23"/>
        <v/>
      </c>
      <c r="N56" s="125" t="str">
        <f t="shared" si="24"/>
        <v/>
      </c>
      <c r="O56" s="143" t="str">
        <f t="shared" si="16"/>
        <v/>
      </c>
      <c r="P56" s="125" t="str">
        <f t="shared" si="17"/>
        <v/>
      </c>
      <c r="Q56" s="125" t="str">
        <f t="shared" si="18"/>
        <v/>
      </c>
      <c r="R56" s="125">
        <f t="shared" si="19"/>
        <v>0</v>
      </c>
      <c r="S56" s="126" t="str">
        <f t="shared" si="20"/>
        <v/>
      </c>
      <c r="T56" s="49"/>
      <c r="U56" s="49"/>
      <c r="V56" s="49"/>
      <c r="W56" s="149"/>
      <c r="X56" s="149"/>
      <c r="Y56" s="149"/>
      <c r="Z56" s="149"/>
      <c r="AA56" s="149"/>
      <c r="AB56" s="149"/>
      <c r="AC56" s="149"/>
      <c r="AD56" s="149"/>
    </row>
    <row r="57" spans="1:30" x14ac:dyDescent="0.2">
      <c r="A57" s="250">
        <f t="shared" si="12"/>
        <v>1</v>
      </c>
      <c r="B57" s="251">
        <f t="shared" ref="B57:D57" si="30">A39</f>
        <v>0</v>
      </c>
      <c r="C57" s="251">
        <f t="shared" si="30"/>
        <v>0</v>
      </c>
      <c r="D57" s="298">
        <f t="shared" si="30"/>
        <v>0</v>
      </c>
      <c r="E57" s="251">
        <f t="shared" si="14"/>
        <v>0</v>
      </c>
      <c r="F57" s="299">
        <f>Math!AD47</f>
        <v>0</v>
      </c>
      <c r="G57" s="300">
        <f>Math!AB47</f>
        <v>0</v>
      </c>
      <c r="H57" s="251">
        <f t="shared" si="15"/>
        <v>0</v>
      </c>
      <c r="I57" s="300">
        <f>Math!AA47</f>
        <v>0</v>
      </c>
      <c r="J57" s="300">
        <f>Math!Y47</f>
        <v>0</v>
      </c>
      <c r="K57" s="283" t="str">
        <f>Math!X47</f>
        <v/>
      </c>
      <c r="L57" s="303" t="str">
        <f t="shared" si="22"/>
        <v/>
      </c>
      <c r="M57" s="125" t="str">
        <f t="shared" si="23"/>
        <v/>
      </c>
      <c r="N57" s="125" t="str">
        <f t="shared" si="24"/>
        <v/>
      </c>
      <c r="O57" s="143" t="str">
        <f t="shared" si="16"/>
        <v/>
      </c>
      <c r="P57" s="125" t="str">
        <f t="shared" si="17"/>
        <v/>
      </c>
      <c r="Q57" s="125" t="str">
        <f t="shared" si="18"/>
        <v/>
      </c>
      <c r="R57" s="125">
        <f t="shared" si="19"/>
        <v>0</v>
      </c>
      <c r="S57" s="126" t="str">
        <f t="shared" si="20"/>
        <v/>
      </c>
      <c r="T57" s="49"/>
      <c r="U57" s="49"/>
      <c r="V57" s="49"/>
      <c r="W57" s="149"/>
      <c r="X57" s="149"/>
      <c r="Y57" s="149"/>
      <c r="Z57" s="149"/>
      <c r="AA57" s="149"/>
      <c r="AB57" s="149"/>
      <c r="AC57" s="149"/>
      <c r="AD57" s="149"/>
    </row>
    <row r="58" spans="1:30" x14ac:dyDescent="0.2">
      <c r="A58" s="250">
        <f t="shared" si="12"/>
        <v>1</v>
      </c>
      <c r="B58" s="251">
        <f t="shared" ref="B58:D58" si="31">A40</f>
        <v>0</v>
      </c>
      <c r="C58" s="251">
        <f t="shared" si="31"/>
        <v>0</v>
      </c>
      <c r="D58" s="298">
        <f t="shared" si="31"/>
        <v>0</v>
      </c>
      <c r="E58" s="251">
        <f t="shared" si="14"/>
        <v>0</v>
      </c>
      <c r="F58" s="299">
        <f>Math!AD48</f>
        <v>0</v>
      </c>
      <c r="G58" s="300">
        <f>Math!AB48</f>
        <v>0</v>
      </c>
      <c r="H58" s="251">
        <f t="shared" si="15"/>
        <v>0</v>
      </c>
      <c r="I58" s="300">
        <f>Math!AA48</f>
        <v>0</v>
      </c>
      <c r="J58" s="300">
        <f>Math!Y48</f>
        <v>0</v>
      </c>
      <c r="K58" s="283" t="str">
        <f>Math!X48</f>
        <v/>
      </c>
      <c r="L58" s="303" t="str">
        <f t="shared" si="22"/>
        <v/>
      </c>
      <c r="M58" s="125" t="str">
        <f t="shared" si="23"/>
        <v/>
      </c>
      <c r="N58" s="125" t="str">
        <f t="shared" si="24"/>
        <v/>
      </c>
      <c r="O58" s="143" t="str">
        <f t="shared" si="16"/>
        <v/>
      </c>
      <c r="P58" s="125" t="str">
        <f t="shared" si="17"/>
        <v/>
      </c>
      <c r="Q58" s="125" t="str">
        <f t="shared" si="18"/>
        <v/>
      </c>
      <c r="R58" s="125">
        <f t="shared" si="19"/>
        <v>0</v>
      </c>
      <c r="S58" s="126" t="str">
        <f t="shared" si="20"/>
        <v/>
      </c>
      <c r="T58" s="49"/>
      <c r="U58" s="49"/>
      <c r="V58" s="49"/>
      <c r="W58" s="149"/>
      <c r="X58" s="149"/>
      <c r="Y58" s="149"/>
      <c r="Z58" s="149"/>
      <c r="AA58" s="149"/>
      <c r="AB58" s="149"/>
      <c r="AC58" s="149"/>
      <c r="AD58" s="149"/>
    </row>
    <row r="59" spans="1:30" x14ac:dyDescent="0.2">
      <c r="A59" s="250">
        <f t="shared" si="12"/>
        <v>1</v>
      </c>
      <c r="B59" s="251">
        <f t="shared" ref="B59:D59" si="32">A41</f>
        <v>0</v>
      </c>
      <c r="C59" s="251">
        <f t="shared" si="32"/>
        <v>0</v>
      </c>
      <c r="D59" s="298">
        <f t="shared" si="32"/>
        <v>0</v>
      </c>
      <c r="E59" s="251">
        <f t="shared" si="14"/>
        <v>0</v>
      </c>
      <c r="F59" s="299">
        <f>Math!AD49</f>
        <v>0</v>
      </c>
      <c r="G59" s="300">
        <f>Math!AB49</f>
        <v>0</v>
      </c>
      <c r="H59" s="251">
        <f t="shared" si="15"/>
        <v>0</v>
      </c>
      <c r="I59" s="300">
        <f>Math!AA49</f>
        <v>0</v>
      </c>
      <c r="J59" s="300">
        <f>Math!Y49</f>
        <v>0</v>
      </c>
      <c r="K59" s="283" t="str">
        <f>Math!X49</f>
        <v/>
      </c>
      <c r="L59" s="303" t="str">
        <f t="shared" si="22"/>
        <v/>
      </c>
      <c r="M59" s="125" t="str">
        <f t="shared" si="23"/>
        <v/>
      </c>
      <c r="N59" s="125" t="str">
        <f t="shared" si="24"/>
        <v/>
      </c>
      <c r="O59" s="143" t="str">
        <f t="shared" si="16"/>
        <v/>
      </c>
      <c r="P59" s="125" t="str">
        <f t="shared" si="17"/>
        <v/>
      </c>
      <c r="Q59" s="125" t="str">
        <f t="shared" si="18"/>
        <v/>
      </c>
      <c r="R59" s="125">
        <f t="shared" si="19"/>
        <v>0</v>
      </c>
      <c r="S59" s="126" t="str">
        <f t="shared" si="20"/>
        <v/>
      </c>
      <c r="T59" s="49"/>
      <c r="U59" s="49"/>
      <c r="V59" s="49"/>
      <c r="W59" s="149"/>
      <c r="X59" s="149"/>
      <c r="Y59" s="149"/>
      <c r="Z59" s="149"/>
      <c r="AA59" s="149"/>
      <c r="AB59" s="149"/>
      <c r="AC59" s="149"/>
      <c r="AD59" s="149"/>
    </row>
    <row r="60" spans="1:30" x14ac:dyDescent="0.2">
      <c r="A60" s="250">
        <f t="shared" si="12"/>
        <v>1</v>
      </c>
      <c r="B60" s="251">
        <f t="shared" ref="B60:D60" si="33">A42</f>
        <v>0</v>
      </c>
      <c r="C60" s="251">
        <f t="shared" si="33"/>
        <v>0</v>
      </c>
      <c r="D60" s="298">
        <f t="shared" si="33"/>
        <v>0</v>
      </c>
      <c r="E60" s="251">
        <f t="shared" si="14"/>
        <v>0</v>
      </c>
      <c r="F60" s="299">
        <f>Math!AD50</f>
        <v>0</v>
      </c>
      <c r="G60" s="300">
        <f>Math!AB50</f>
        <v>0</v>
      </c>
      <c r="H60" s="251">
        <f t="shared" si="15"/>
        <v>0</v>
      </c>
      <c r="I60" s="300">
        <f>Math!AA50</f>
        <v>0</v>
      </c>
      <c r="J60" s="300">
        <f>Math!Y50</f>
        <v>0</v>
      </c>
      <c r="K60" s="283" t="str">
        <f>Math!X50</f>
        <v/>
      </c>
      <c r="L60" s="303" t="str">
        <f t="shared" si="22"/>
        <v/>
      </c>
      <c r="M60" s="125" t="str">
        <f t="shared" si="23"/>
        <v/>
      </c>
      <c r="N60" s="125" t="str">
        <f t="shared" si="24"/>
        <v/>
      </c>
      <c r="O60" s="143" t="str">
        <f t="shared" si="16"/>
        <v/>
      </c>
      <c r="P60" s="125" t="str">
        <f t="shared" si="17"/>
        <v/>
      </c>
      <c r="Q60" s="125" t="str">
        <f t="shared" si="18"/>
        <v/>
      </c>
      <c r="R60" s="125">
        <f t="shared" si="19"/>
        <v>0</v>
      </c>
      <c r="S60" s="126" t="str">
        <f t="shared" si="20"/>
        <v/>
      </c>
      <c r="T60" s="49"/>
      <c r="U60" s="49"/>
      <c r="V60" s="49"/>
      <c r="W60" s="149"/>
      <c r="X60" s="149"/>
      <c r="Y60" s="149"/>
      <c r="Z60" s="149"/>
      <c r="AA60" s="149"/>
      <c r="AB60" s="149"/>
      <c r="AC60" s="149"/>
      <c r="AD60" s="149"/>
    </row>
    <row r="61" spans="1:30" x14ac:dyDescent="0.2">
      <c r="A61" s="250">
        <f t="shared" si="12"/>
        <v>1</v>
      </c>
      <c r="B61" s="251">
        <f t="shared" ref="B61:D61" si="34">A43</f>
        <v>0</v>
      </c>
      <c r="C61" s="251">
        <f t="shared" si="34"/>
        <v>0</v>
      </c>
      <c r="D61" s="298">
        <f t="shared" si="34"/>
        <v>0</v>
      </c>
      <c r="E61" s="251">
        <f t="shared" si="14"/>
        <v>0</v>
      </c>
      <c r="F61" s="299">
        <f>Math!AD51</f>
        <v>0</v>
      </c>
      <c r="G61" s="300">
        <f>Math!AB51</f>
        <v>0</v>
      </c>
      <c r="H61" s="251">
        <f t="shared" si="15"/>
        <v>0</v>
      </c>
      <c r="I61" s="300">
        <f>Math!AA51</f>
        <v>0</v>
      </c>
      <c r="J61" s="300">
        <f>Math!Y51</f>
        <v>0</v>
      </c>
      <c r="K61" s="283" t="str">
        <f>Math!X51</f>
        <v/>
      </c>
      <c r="L61" s="303" t="str">
        <f t="shared" si="22"/>
        <v/>
      </c>
      <c r="M61" s="125" t="str">
        <f t="shared" si="23"/>
        <v/>
      </c>
      <c r="N61" s="125" t="str">
        <f t="shared" si="24"/>
        <v/>
      </c>
      <c r="O61" s="143" t="str">
        <f t="shared" si="16"/>
        <v/>
      </c>
      <c r="P61" s="125" t="str">
        <f t="shared" si="17"/>
        <v/>
      </c>
      <c r="Q61" s="125" t="str">
        <f t="shared" si="18"/>
        <v/>
      </c>
      <c r="R61" s="125">
        <f t="shared" si="19"/>
        <v>0</v>
      </c>
      <c r="S61" s="126" t="str">
        <f t="shared" si="20"/>
        <v/>
      </c>
      <c r="T61" s="49"/>
      <c r="U61" s="49"/>
      <c r="V61" s="49"/>
      <c r="W61" s="149"/>
      <c r="X61" s="149"/>
      <c r="Y61" s="149"/>
      <c r="Z61" s="149"/>
      <c r="AA61" s="149"/>
      <c r="AB61" s="149"/>
      <c r="AC61" s="149"/>
      <c r="AD61" s="149"/>
    </row>
    <row r="62" spans="1:30" x14ac:dyDescent="0.2">
      <c r="A62" s="250">
        <f t="shared" si="12"/>
        <v>1</v>
      </c>
      <c r="B62" s="251">
        <f t="shared" ref="B62:D62" si="35">A44</f>
        <v>0</v>
      </c>
      <c r="C62" s="251">
        <f t="shared" si="35"/>
        <v>0</v>
      </c>
      <c r="D62" s="298">
        <f t="shared" si="35"/>
        <v>0</v>
      </c>
      <c r="E62" s="251">
        <f t="shared" si="14"/>
        <v>0</v>
      </c>
      <c r="F62" s="299">
        <f>Math!AD52</f>
        <v>0</v>
      </c>
      <c r="G62" s="300">
        <f>Math!AB52</f>
        <v>0</v>
      </c>
      <c r="H62" s="251">
        <f t="shared" si="15"/>
        <v>0</v>
      </c>
      <c r="I62" s="300">
        <f>Math!AA52</f>
        <v>0</v>
      </c>
      <c r="J62" s="300">
        <f>Math!Y52</f>
        <v>0</v>
      </c>
      <c r="K62" s="283" t="str">
        <f>Math!X52</f>
        <v/>
      </c>
      <c r="L62" s="303" t="str">
        <f t="shared" si="22"/>
        <v/>
      </c>
      <c r="M62" s="125" t="str">
        <f t="shared" si="23"/>
        <v/>
      </c>
      <c r="N62" s="125" t="str">
        <f t="shared" si="24"/>
        <v/>
      </c>
      <c r="O62" s="143" t="str">
        <f t="shared" si="16"/>
        <v/>
      </c>
      <c r="P62" s="125" t="str">
        <f t="shared" si="17"/>
        <v/>
      </c>
      <c r="Q62" s="125" t="str">
        <f t="shared" si="18"/>
        <v/>
      </c>
      <c r="R62" s="125">
        <f t="shared" si="19"/>
        <v>0</v>
      </c>
      <c r="S62" s="126" t="str">
        <f t="shared" si="20"/>
        <v/>
      </c>
      <c r="T62" s="49"/>
      <c r="U62" s="49"/>
      <c r="V62" s="49"/>
      <c r="W62" s="149"/>
      <c r="X62" s="149"/>
      <c r="Y62" s="149"/>
      <c r="Z62" s="149"/>
      <c r="AA62" s="149"/>
      <c r="AB62" s="149"/>
      <c r="AC62" s="149"/>
      <c r="AD62" s="149"/>
    </row>
    <row r="63" spans="1:30" x14ac:dyDescent="0.2">
      <c r="A63" s="250">
        <f t="shared" si="12"/>
        <v>1</v>
      </c>
      <c r="B63" s="251">
        <f t="shared" ref="B63:D63" si="36">A45</f>
        <v>0</v>
      </c>
      <c r="C63" s="251">
        <f t="shared" si="36"/>
        <v>0</v>
      </c>
      <c r="D63" s="298">
        <f t="shared" si="36"/>
        <v>0</v>
      </c>
      <c r="E63" s="251">
        <f t="shared" si="14"/>
        <v>0</v>
      </c>
      <c r="F63" s="299">
        <f>Math!AD53</f>
        <v>0</v>
      </c>
      <c r="G63" s="300">
        <f>Math!AB53</f>
        <v>0</v>
      </c>
      <c r="H63" s="251">
        <f t="shared" si="15"/>
        <v>0</v>
      </c>
      <c r="I63" s="300">
        <f>Math!AA53</f>
        <v>0</v>
      </c>
      <c r="J63" s="300">
        <f>Math!Y53</f>
        <v>0</v>
      </c>
      <c r="K63" s="283" t="str">
        <f>Math!X53</f>
        <v/>
      </c>
      <c r="L63" s="303" t="str">
        <f t="shared" si="22"/>
        <v/>
      </c>
      <c r="M63" s="125" t="str">
        <f t="shared" si="23"/>
        <v/>
      </c>
      <c r="N63" s="125" t="str">
        <f t="shared" si="24"/>
        <v/>
      </c>
      <c r="O63" s="143" t="str">
        <f t="shared" si="16"/>
        <v/>
      </c>
      <c r="P63" s="125" t="str">
        <f t="shared" si="17"/>
        <v/>
      </c>
      <c r="Q63" s="125" t="str">
        <f t="shared" si="18"/>
        <v/>
      </c>
      <c r="R63" s="125">
        <f t="shared" si="19"/>
        <v>0</v>
      </c>
      <c r="S63" s="126" t="str">
        <f t="shared" si="20"/>
        <v/>
      </c>
      <c r="T63" s="49"/>
      <c r="U63" s="49"/>
      <c r="V63" s="49"/>
      <c r="W63" s="149"/>
      <c r="X63" s="149"/>
      <c r="Y63" s="149"/>
      <c r="Z63" s="149"/>
      <c r="AA63" s="149"/>
      <c r="AB63" s="149"/>
      <c r="AC63" s="149"/>
      <c r="AD63" s="149"/>
    </row>
    <row r="64" spans="1:30" x14ac:dyDescent="0.2">
      <c r="A64" s="274">
        <f t="shared" si="12"/>
        <v>1</v>
      </c>
      <c r="B64" s="275">
        <f t="shared" ref="B64:D64" si="37">A46</f>
        <v>0</v>
      </c>
      <c r="C64" s="275">
        <f t="shared" si="37"/>
        <v>0</v>
      </c>
      <c r="D64" s="305">
        <f t="shared" si="37"/>
        <v>0</v>
      </c>
      <c r="E64" s="275">
        <f t="shared" si="14"/>
        <v>0</v>
      </c>
      <c r="F64" s="306">
        <f>Math!AD54</f>
        <v>0</v>
      </c>
      <c r="G64" s="307">
        <f>Math!AB54</f>
        <v>0</v>
      </c>
      <c r="H64" s="275">
        <f t="shared" si="15"/>
        <v>0</v>
      </c>
      <c r="I64" s="307">
        <f>Math!AA54</f>
        <v>0</v>
      </c>
      <c r="J64" s="307">
        <f>Math!Y54</f>
        <v>0</v>
      </c>
      <c r="K64" s="292" t="str">
        <f>Math!X54</f>
        <v/>
      </c>
      <c r="L64" s="242" t="str">
        <f t="shared" si="22"/>
        <v/>
      </c>
      <c r="M64" s="101" t="str">
        <f t="shared" si="23"/>
        <v/>
      </c>
      <c r="N64" s="101" t="str">
        <f t="shared" si="24"/>
        <v/>
      </c>
      <c r="O64" s="308" t="str">
        <f t="shared" si="16"/>
        <v/>
      </c>
      <c r="P64" s="101" t="str">
        <f t="shared" si="17"/>
        <v/>
      </c>
      <c r="Q64" s="101" t="str">
        <f t="shared" si="18"/>
        <v/>
      </c>
      <c r="R64" s="101">
        <f t="shared" si="19"/>
        <v>0</v>
      </c>
      <c r="S64" s="102" t="str">
        <f t="shared" si="20"/>
        <v/>
      </c>
      <c r="T64" s="49"/>
      <c r="U64" s="49"/>
      <c r="V64" s="49"/>
      <c r="W64" s="149"/>
      <c r="X64" s="149"/>
      <c r="Y64" s="149"/>
      <c r="Z64" s="149"/>
      <c r="AA64" s="149"/>
      <c r="AB64" s="149"/>
      <c r="AC64" s="149"/>
      <c r="AD64" s="149"/>
    </row>
    <row r="65" spans="1:30" x14ac:dyDescent="0.2">
      <c r="A65" s="617" t="s">
        <v>170</v>
      </c>
      <c r="B65" s="558"/>
      <c r="C65" s="558"/>
      <c r="D65" s="558"/>
      <c r="E65" s="558"/>
      <c r="F65" s="558"/>
      <c r="G65" s="558"/>
      <c r="H65" s="558"/>
      <c r="I65" s="558"/>
      <c r="J65" s="559"/>
      <c r="K65" s="149"/>
      <c r="L65" s="612" t="s">
        <v>171</v>
      </c>
      <c r="M65" s="574"/>
      <c r="N65" s="575"/>
      <c r="O65" s="49"/>
      <c r="P65" s="610" t="s">
        <v>172</v>
      </c>
      <c r="Q65" s="574"/>
      <c r="R65" s="575"/>
      <c r="S65" s="49"/>
      <c r="T65" s="49"/>
      <c r="U65" s="610" t="s">
        <v>160</v>
      </c>
      <c r="V65" s="575"/>
      <c r="W65" s="149"/>
      <c r="X65" s="149"/>
      <c r="Y65" s="149"/>
      <c r="Z65" s="149"/>
      <c r="AA65" s="149"/>
      <c r="AB65" s="149"/>
      <c r="AC65" s="149"/>
      <c r="AD65" s="149"/>
    </row>
    <row r="66" spans="1:30" x14ac:dyDescent="0.2">
      <c r="A66" s="239" t="s">
        <v>0</v>
      </c>
      <c r="B66" s="279" t="s">
        <v>138</v>
      </c>
      <c r="C66" s="279" t="s">
        <v>162</v>
      </c>
      <c r="D66" s="295" t="s">
        <v>163</v>
      </c>
      <c r="E66" s="279" t="s">
        <v>141</v>
      </c>
      <c r="F66" s="279" t="s">
        <v>173</v>
      </c>
      <c r="G66" s="279" t="s">
        <v>164</v>
      </c>
      <c r="H66" s="279" t="s">
        <v>140</v>
      </c>
      <c r="I66" s="279" t="s">
        <v>174</v>
      </c>
      <c r="J66" s="281" t="s">
        <v>165</v>
      </c>
      <c r="K66" s="149"/>
      <c r="L66" s="85" t="s">
        <v>175</v>
      </c>
      <c r="M66" s="86" t="s">
        <v>138</v>
      </c>
      <c r="N66" s="87" t="s">
        <v>176</v>
      </c>
      <c r="O66" s="49"/>
      <c r="P66" s="85" t="s">
        <v>140</v>
      </c>
      <c r="Q66" s="86" t="s">
        <v>177</v>
      </c>
      <c r="R66" s="87" t="s">
        <v>178</v>
      </c>
      <c r="S66" s="49"/>
      <c r="T66" s="49"/>
      <c r="U66" s="100" t="s">
        <v>179</v>
      </c>
      <c r="V66" s="102" t="s">
        <v>122</v>
      </c>
      <c r="W66" s="149"/>
      <c r="X66" s="149"/>
      <c r="Y66" s="149"/>
      <c r="Z66" s="149"/>
      <c r="AA66" s="149"/>
      <c r="AB66" s="149"/>
      <c r="AC66" s="149"/>
      <c r="AD66" s="149"/>
    </row>
    <row r="67" spans="1:30" x14ac:dyDescent="0.2">
      <c r="A67" s="250"/>
      <c r="B67" s="251"/>
      <c r="C67" s="251"/>
      <c r="D67" s="298"/>
      <c r="E67" s="251"/>
      <c r="F67" s="299"/>
      <c r="G67" s="299"/>
      <c r="H67" s="251"/>
      <c r="I67" s="299"/>
      <c r="J67" s="309"/>
      <c r="K67" s="149"/>
      <c r="L67" s="85">
        <v>1</v>
      </c>
      <c r="M67" s="86" t="str">
        <f t="shared" ref="M67:M72" si="38">IF(L67="","",IF(ISNUMBER(RIGHT(L67,1)*1),HLOOKUP("*",$G$22:$G$27,L67,FALSE),P49))</f>
        <v>Will</v>
      </c>
      <c r="N67" s="87">
        <f t="shared" ref="N67:N72" si="39">IF(VLOOKUP(M67,$A$11:$C$16,3,FALSE)&lt;=0,1,0)</f>
        <v>0</v>
      </c>
      <c r="O67" s="49"/>
      <c r="P67" s="85" t="str">
        <f t="shared" ref="P67:P81" si="40">IF(L50="","",IF(ISNUMBER(RIGHT(L50,1)*1),VLOOKUP(M50,$A$22:$F$27,4,FALSE),M49))</f>
        <v>Jake</v>
      </c>
      <c r="Q67" s="86" t="str">
        <f t="shared" ref="Q67:Q81" si="41">IF(ISERROR(VLOOKUP(CONCATENATE(P67," - Defend"),$O$22:$Q$26,3,FALSE)),"",IF(VLOOKUP(VLOOKUP(CONCATENATE(P67," - Defend"),$O$22:$Q$26,3,FALSE),$M$67:$N$72,2,FALSE)=1,"",VLOOKUP(CONCATENATE(P67," - Defend"),$O$22:$Q$26,3,FALSE)))</f>
        <v/>
      </c>
      <c r="R67" s="87" t="str">
        <f t="shared" ref="R67:R81" si="42">IF(N50="Defend",P67,IF(Q67="",P67,Q67))</f>
        <v>Jake</v>
      </c>
      <c r="S67" s="49"/>
      <c r="T67" s="49"/>
      <c r="U67" s="85"/>
      <c r="V67" s="87"/>
      <c r="W67" s="149"/>
      <c r="X67" s="149"/>
      <c r="Y67" s="149"/>
      <c r="Z67" s="149"/>
      <c r="AA67" s="149"/>
      <c r="AB67" s="149"/>
      <c r="AC67" s="149"/>
      <c r="AD67" s="149"/>
    </row>
    <row r="68" spans="1:30" x14ac:dyDescent="0.2">
      <c r="A68" s="250"/>
      <c r="B68" s="251"/>
      <c r="C68" s="251"/>
      <c r="D68" s="298"/>
      <c r="E68" s="251"/>
      <c r="F68" s="299"/>
      <c r="G68" s="299"/>
      <c r="H68" s="251"/>
      <c r="I68" s="299"/>
      <c r="J68" s="309"/>
      <c r="K68" s="149"/>
      <c r="L68" s="124">
        <v>2</v>
      </c>
      <c r="M68" s="125" t="str">
        <f t="shared" si="38"/>
        <v>Carter</v>
      </c>
      <c r="N68" s="126">
        <f t="shared" si="39"/>
        <v>0</v>
      </c>
      <c r="O68" s="49"/>
      <c r="P68" s="124">
        <f t="shared" si="40"/>
        <v>0</v>
      </c>
      <c r="Q68" s="125" t="str">
        <f t="shared" si="41"/>
        <v/>
      </c>
      <c r="R68" s="126">
        <f t="shared" si="42"/>
        <v>0</v>
      </c>
      <c r="S68" s="49"/>
      <c r="T68" s="49"/>
      <c r="U68" s="124"/>
      <c r="V68" s="126"/>
      <c r="W68" s="149"/>
      <c r="X68" s="149"/>
      <c r="Y68" s="149"/>
      <c r="Z68" s="149"/>
      <c r="AA68" s="149"/>
      <c r="AB68" s="149"/>
      <c r="AC68" s="149"/>
      <c r="AD68" s="149"/>
    </row>
    <row r="69" spans="1:30" x14ac:dyDescent="0.2">
      <c r="A69" s="250"/>
      <c r="B69" s="251"/>
      <c r="C69" s="251"/>
      <c r="D69" s="298"/>
      <c r="E69" s="251"/>
      <c r="F69" s="299"/>
      <c r="G69" s="299"/>
      <c r="H69" s="251"/>
      <c r="I69" s="299"/>
      <c r="J69" s="309"/>
      <c r="K69" s="149"/>
      <c r="L69" s="124">
        <v>3</v>
      </c>
      <c r="M69" s="125" t="str">
        <f t="shared" si="38"/>
        <v>Joe</v>
      </c>
      <c r="N69" s="126">
        <f t="shared" si="39"/>
        <v>0</v>
      </c>
      <c r="O69" s="49"/>
      <c r="P69" s="124">
        <f t="shared" si="40"/>
        <v>0</v>
      </c>
      <c r="Q69" s="125" t="str">
        <f t="shared" si="41"/>
        <v/>
      </c>
      <c r="R69" s="126">
        <f t="shared" si="42"/>
        <v>0</v>
      </c>
      <c r="S69" s="49"/>
      <c r="T69" s="49"/>
      <c r="U69" s="124"/>
      <c r="V69" s="126"/>
      <c r="W69" s="149"/>
      <c r="X69" s="149"/>
      <c r="Y69" s="149"/>
      <c r="Z69" s="149"/>
      <c r="AA69" s="149"/>
      <c r="AB69" s="149"/>
      <c r="AC69" s="149"/>
      <c r="AD69" s="149"/>
    </row>
    <row r="70" spans="1:30" x14ac:dyDescent="0.2">
      <c r="A70" s="250"/>
      <c r="B70" s="251"/>
      <c r="C70" s="251"/>
      <c r="D70" s="298"/>
      <c r="E70" s="251"/>
      <c r="F70" s="299"/>
      <c r="G70" s="299"/>
      <c r="H70" s="251"/>
      <c r="I70" s="299"/>
      <c r="J70" s="309"/>
      <c r="K70" s="149"/>
      <c r="L70" s="124">
        <v>4</v>
      </c>
      <c r="M70" s="156" t="str">
        <f t="shared" si="38"/>
        <v>Jake</v>
      </c>
      <c r="N70" s="126">
        <f t="shared" si="39"/>
        <v>0</v>
      </c>
      <c r="O70" s="49"/>
      <c r="P70" s="124">
        <f t="shared" si="40"/>
        <v>0</v>
      </c>
      <c r="Q70" s="125" t="str">
        <f t="shared" si="41"/>
        <v/>
      </c>
      <c r="R70" s="126">
        <f t="shared" si="42"/>
        <v>0</v>
      </c>
      <c r="S70" s="49"/>
      <c r="T70" s="49"/>
      <c r="U70" s="124"/>
      <c r="V70" s="126"/>
      <c r="W70" s="149"/>
      <c r="X70" s="149"/>
      <c r="Y70" s="149"/>
      <c r="Z70" s="149"/>
      <c r="AA70" s="149"/>
      <c r="AB70" s="149"/>
      <c r="AC70" s="149"/>
      <c r="AD70" s="149"/>
    </row>
    <row r="71" spans="1:30" x14ac:dyDescent="0.2">
      <c r="A71" s="250"/>
      <c r="B71" s="251"/>
      <c r="C71" s="251"/>
      <c r="D71" s="298"/>
      <c r="E71" s="251"/>
      <c r="F71" s="299"/>
      <c r="G71" s="299"/>
      <c r="H71" s="251"/>
      <c r="I71" s="299"/>
      <c r="J71" s="309"/>
      <c r="K71" s="149"/>
      <c r="L71" s="124">
        <v>5</v>
      </c>
      <c r="M71" s="304" t="str">
        <f t="shared" si="38"/>
        <v>Jim</v>
      </c>
      <c r="N71" s="126">
        <f t="shared" si="39"/>
        <v>0</v>
      </c>
      <c r="O71" s="49"/>
      <c r="P71" s="124">
        <f t="shared" si="40"/>
        <v>0</v>
      </c>
      <c r="Q71" s="125" t="str">
        <f t="shared" si="41"/>
        <v/>
      </c>
      <c r="R71" s="126">
        <f t="shared" si="42"/>
        <v>0</v>
      </c>
      <c r="S71" s="49"/>
      <c r="T71" s="49"/>
      <c r="U71" s="124"/>
      <c r="V71" s="126"/>
      <c r="W71" s="149"/>
      <c r="X71" s="149"/>
      <c r="Y71" s="149"/>
      <c r="Z71" s="149"/>
      <c r="AA71" s="149"/>
      <c r="AB71" s="149"/>
      <c r="AC71" s="149"/>
      <c r="AD71" s="149"/>
    </row>
    <row r="72" spans="1:30" x14ac:dyDescent="0.2">
      <c r="A72" s="250"/>
      <c r="B72" s="251"/>
      <c r="C72" s="251"/>
      <c r="D72" s="298"/>
      <c r="E72" s="251"/>
      <c r="F72" s="299"/>
      <c r="G72" s="299"/>
      <c r="H72" s="251"/>
      <c r="I72" s="299"/>
      <c r="J72" s="309"/>
      <c r="K72" s="149"/>
      <c r="L72" s="100">
        <v>6</v>
      </c>
      <c r="M72" s="310" t="str">
        <f t="shared" si="38"/>
        <v>Jordan</v>
      </c>
      <c r="N72" s="102">
        <f t="shared" si="39"/>
        <v>0</v>
      </c>
      <c r="O72" s="49"/>
      <c r="P72" s="124">
        <f t="shared" si="40"/>
        <v>0</v>
      </c>
      <c r="Q72" s="125" t="str">
        <f t="shared" si="41"/>
        <v/>
      </c>
      <c r="R72" s="126">
        <f t="shared" si="42"/>
        <v>0</v>
      </c>
      <c r="S72" s="49"/>
      <c r="T72" s="49"/>
      <c r="U72" s="124"/>
      <c r="V72" s="126"/>
      <c r="W72" s="149"/>
      <c r="X72" s="149"/>
      <c r="Y72" s="149"/>
      <c r="Z72" s="149"/>
      <c r="AA72" s="149"/>
      <c r="AB72" s="149"/>
      <c r="AC72" s="149"/>
      <c r="AD72" s="149"/>
    </row>
    <row r="73" spans="1:30" x14ac:dyDescent="0.2">
      <c r="A73" s="250"/>
      <c r="B73" s="251"/>
      <c r="C73" s="251"/>
      <c r="D73" s="298"/>
      <c r="E73" s="251"/>
      <c r="F73" s="299"/>
      <c r="G73" s="299"/>
      <c r="H73" s="251"/>
      <c r="I73" s="299"/>
      <c r="J73" s="309"/>
      <c r="K73" s="149"/>
      <c r="L73" s="49"/>
      <c r="M73" s="49"/>
      <c r="N73" s="49"/>
      <c r="O73" s="49"/>
      <c r="P73" s="124" t="str">
        <f t="shared" si="40"/>
        <v/>
      </c>
      <c r="Q73" s="125" t="str">
        <f t="shared" si="41"/>
        <v/>
      </c>
      <c r="R73" s="126" t="str">
        <f t="shared" si="42"/>
        <v/>
      </c>
      <c r="S73" s="49"/>
      <c r="T73" s="49"/>
      <c r="U73" s="124"/>
      <c r="V73" s="126"/>
      <c r="W73" s="149"/>
      <c r="X73" s="149"/>
      <c r="Y73" s="149"/>
      <c r="Z73" s="149"/>
      <c r="AA73" s="149"/>
      <c r="AB73" s="149"/>
      <c r="AC73" s="149"/>
      <c r="AD73" s="149"/>
    </row>
    <row r="74" spans="1:30" x14ac:dyDescent="0.2">
      <c r="A74" s="250"/>
      <c r="B74" s="251"/>
      <c r="C74" s="251"/>
      <c r="D74" s="298"/>
      <c r="E74" s="251"/>
      <c r="F74" s="299"/>
      <c r="G74" s="299"/>
      <c r="H74" s="251"/>
      <c r="I74" s="299"/>
      <c r="J74" s="309"/>
      <c r="K74" s="149"/>
      <c r="L74" s="49"/>
      <c r="M74" s="49"/>
      <c r="N74" s="49"/>
      <c r="O74" s="49"/>
      <c r="P74" s="124" t="str">
        <f t="shared" si="40"/>
        <v/>
      </c>
      <c r="Q74" s="125" t="str">
        <f t="shared" si="41"/>
        <v/>
      </c>
      <c r="R74" s="126" t="str">
        <f t="shared" si="42"/>
        <v/>
      </c>
      <c r="S74" s="49"/>
      <c r="T74" s="49"/>
      <c r="U74" s="124"/>
      <c r="V74" s="126"/>
      <c r="W74" s="149"/>
      <c r="X74" s="149"/>
      <c r="Y74" s="149"/>
      <c r="Z74" s="149"/>
      <c r="AA74" s="149"/>
      <c r="AB74" s="149"/>
      <c r="AC74" s="149"/>
      <c r="AD74" s="149"/>
    </row>
    <row r="75" spans="1:30" x14ac:dyDescent="0.2">
      <c r="A75" s="250"/>
      <c r="B75" s="251"/>
      <c r="C75" s="251"/>
      <c r="D75" s="298"/>
      <c r="E75" s="251"/>
      <c r="F75" s="299"/>
      <c r="G75" s="299"/>
      <c r="H75" s="251"/>
      <c r="I75" s="299"/>
      <c r="J75" s="309"/>
      <c r="K75" s="149"/>
      <c r="L75" s="49"/>
      <c r="M75" s="49"/>
      <c r="N75" s="49"/>
      <c r="O75" s="49"/>
      <c r="P75" s="124" t="str">
        <f t="shared" si="40"/>
        <v/>
      </c>
      <c r="Q75" s="125" t="str">
        <f t="shared" si="41"/>
        <v/>
      </c>
      <c r="R75" s="126" t="str">
        <f t="shared" si="42"/>
        <v/>
      </c>
      <c r="S75" s="49"/>
      <c r="T75" s="49"/>
      <c r="U75" s="124"/>
      <c r="V75" s="126"/>
      <c r="W75" s="149"/>
      <c r="X75" s="149"/>
      <c r="Y75" s="149"/>
      <c r="Z75" s="149"/>
      <c r="AA75" s="149"/>
      <c r="AB75" s="149"/>
      <c r="AC75" s="149"/>
      <c r="AD75" s="149"/>
    </row>
    <row r="76" spans="1:30" x14ac:dyDescent="0.2">
      <c r="A76" s="250"/>
      <c r="B76" s="251"/>
      <c r="C76" s="251"/>
      <c r="D76" s="298"/>
      <c r="E76" s="251"/>
      <c r="F76" s="299"/>
      <c r="G76" s="299"/>
      <c r="H76" s="251"/>
      <c r="I76" s="299"/>
      <c r="J76" s="309"/>
      <c r="K76" s="149"/>
      <c r="L76" s="49"/>
      <c r="M76" s="49"/>
      <c r="N76" s="49"/>
      <c r="O76" s="49"/>
      <c r="P76" s="124" t="str">
        <f t="shared" si="40"/>
        <v/>
      </c>
      <c r="Q76" s="125" t="str">
        <f t="shared" si="41"/>
        <v/>
      </c>
      <c r="R76" s="126" t="str">
        <f t="shared" si="42"/>
        <v/>
      </c>
      <c r="S76" s="49"/>
      <c r="T76" s="49"/>
      <c r="U76" s="124"/>
      <c r="V76" s="126"/>
      <c r="W76" s="149"/>
      <c r="X76" s="149"/>
      <c r="Y76" s="149"/>
      <c r="Z76" s="149"/>
      <c r="AA76" s="149"/>
      <c r="AB76" s="149"/>
      <c r="AC76" s="149"/>
      <c r="AD76" s="149"/>
    </row>
    <row r="77" spans="1:30" x14ac:dyDescent="0.2">
      <c r="A77" s="250"/>
      <c r="B77" s="251"/>
      <c r="C77" s="251"/>
      <c r="D77" s="298"/>
      <c r="E77" s="251"/>
      <c r="F77" s="299"/>
      <c r="G77" s="299"/>
      <c r="H77" s="251"/>
      <c r="I77" s="299"/>
      <c r="J77" s="309"/>
      <c r="K77" s="149"/>
      <c r="L77" s="49"/>
      <c r="M77" s="49"/>
      <c r="N77" s="49"/>
      <c r="O77" s="49"/>
      <c r="P77" s="124" t="str">
        <f t="shared" si="40"/>
        <v/>
      </c>
      <c r="Q77" s="125" t="str">
        <f t="shared" si="41"/>
        <v/>
      </c>
      <c r="R77" s="126" t="str">
        <f t="shared" si="42"/>
        <v/>
      </c>
      <c r="S77" s="49"/>
      <c r="T77" s="49"/>
      <c r="U77" s="124"/>
      <c r="V77" s="126"/>
      <c r="W77" s="149"/>
      <c r="X77" s="149"/>
      <c r="Y77" s="149"/>
      <c r="Z77" s="149"/>
      <c r="AA77" s="149"/>
      <c r="AB77" s="149"/>
      <c r="AC77" s="149"/>
      <c r="AD77" s="149"/>
    </row>
    <row r="78" spans="1:30" x14ac:dyDescent="0.2">
      <c r="A78" s="250"/>
      <c r="B78" s="251"/>
      <c r="C78" s="251"/>
      <c r="D78" s="298"/>
      <c r="E78" s="251"/>
      <c r="F78" s="299"/>
      <c r="G78" s="299"/>
      <c r="H78" s="251"/>
      <c r="I78" s="299"/>
      <c r="J78" s="309"/>
      <c r="K78" s="149"/>
      <c r="L78" s="49"/>
      <c r="M78" s="49"/>
      <c r="N78" s="49"/>
      <c r="O78" s="49"/>
      <c r="P78" s="124" t="str">
        <f t="shared" si="40"/>
        <v/>
      </c>
      <c r="Q78" s="125" t="str">
        <f t="shared" si="41"/>
        <v/>
      </c>
      <c r="R78" s="126" t="str">
        <f t="shared" si="42"/>
        <v/>
      </c>
      <c r="S78" s="49"/>
      <c r="T78" s="49"/>
      <c r="U78" s="124"/>
      <c r="V78" s="126"/>
      <c r="W78" s="149"/>
      <c r="X78" s="149"/>
      <c r="Y78" s="149"/>
      <c r="Z78" s="149"/>
      <c r="AA78" s="149"/>
      <c r="AB78" s="149"/>
      <c r="AC78" s="149"/>
      <c r="AD78" s="149"/>
    </row>
    <row r="79" spans="1:30" x14ac:dyDescent="0.2">
      <c r="A79" s="250"/>
      <c r="B79" s="251"/>
      <c r="C79" s="251"/>
      <c r="D79" s="298"/>
      <c r="E79" s="251"/>
      <c r="F79" s="299"/>
      <c r="G79" s="299"/>
      <c r="H79" s="251"/>
      <c r="I79" s="299"/>
      <c r="J79" s="309"/>
      <c r="K79" s="149"/>
      <c r="L79" s="49"/>
      <c r="M79" s="49"/>
      <c r="N79" s="49"/>
      <c r="O79" s="49"/>
      <c r="P79" s="124" t="str">
        <f t="shared" si="40"/>
        <v/>
      </c>
      <c r="Q79" s="125" t="str">
        <f t="shared" si="41"/>
        <v/>
      </c>
      <c r="R79" s="126" t="str">
        <f t="shared" si="42"/>
        <v/>
      </c>
      <c r="S79" s="49"/>
      <c r="T79" s="49"/>
      <c r="U79" s="124"/>
      <c r="V79" s="126"/>
      <c r="W79" s="149"/>
      <c r="X79" s="149"/>
      <c r="Y79" s="149"/>
      <c r="Z79" s="149"/>
      <c r="AA79" s="149"/>
      <c r="AB79" s="149"/>
      <c r="AC79" s="149"/>
      <c r="AD79" s="149"/>
    </row>
    <row r="80" spans="1:30" x14ac:dyDescent="0.2">
      <c r="A80" s="250"/>
      <c r="B80" s="251"/>
      <c r="C80" s="251"/>
      <c r="D80" s="298"/>
      <c r="E80" s="251"/>
      <c r="F80" s="299"/>
      <c r="G80" s="299"/>
      <c r="H80" s="251"/>
      <c r="I80" s="299"/>
      <c r="J80" s="309"/>
      <c r="K80" s="149"/>
      <c r="L80" s="49"/>
      <c r="M80" s="49"/>
      <c r="N80" s="49"/>
      <c r="O80" s="49"/>
      <c r="P80" s="124" t="str">
        <f t="shared" si="40"/>
        <v/>
      </c>
      <c r="Q80" s="125" t="str">
        <f t="shared" si="41"/>
        <v/>
      </c>
      <c r="R80" s="126" t="str">
        <f t="shared" si="42"/>
        <v/>
      </c>
      <c r="S80" s="49"/>
      <c r="T80" s="49"/>
      <c r="U80" s="124"/>
      <c r="V80" s="126"/>
      <c r="W80" s="149"/>
      <c r="X80" s="149"/>
      <c r="Y80" s="149"/>
      <c r="Z80" s="149"/>
      <c r="AA80" s="149"/>
      <c r="AB80" s="149"/>
      <c r="AC80" s="149"/>
      <c r="AD80" s="149"/>
    </row>
    <row r="81" spans="1:30" x14ac:dyDescent="0.2">
      <c r="A81" s="250"/>
      <c r="B81" s="251"/>
      <c r="C81" s="251"/>
      <c r="D81" s="298"/>
      <c r="E81" s="251"/>
      <c r="F81" s="299"/>
      <c r="G81" s="299"/>
      <c r="H81" s="251"/>
      <c r="I81" s="299"/>
      <c r="J81" s="309"/>
      <c r="K81" s="149"/>
      <c r="L81" s="49"/>
      <c r="M81" s="49"/>
      <c r="N81" s="49"/>
      <c r="O81" s="49"/>
      <c r="P81" s="100" t="str">
        <f t="shared" si="40"/>
        <v/>
      </c>
      <c r="Q81" s="101" t="str">
        <f t="shared" si="41"/>
        <v/>
      </c>
      <c r="R81" s="102" t="str">
        <f t="shared" si="42"/>
        <v/>
      </c>
      <c r="S81" s="49"/>
      <c r="T81" s="49"/>
      <c r="U81" s="124"/>
      <c r="V81" s="126"/>
      <c r="W81" s="149"/>
      <c r="X81" s="149"/>
      <c r="Y81" s="149"/>
      <c r="Z81" s="149"/>
      <c r="AA81" s="149"/>
      <c r="AB81" s="149"/>
      <c r="AC81" s="149"/>
      <c r="AD81" s="149"/>
    </row>
    <row r="82" spans="1:30" x14ac:dyDescent="0.2">
      <c r="A82" s="250"/>
      <c r="B82" s="251"/>
      <c r="C82" s="251"/>
      <c r="D82" s="298"/>
      <c r="E82" s="251"/>
      <c r="F82" s="299"/>
      <c r="G82" s="299"/>
      <c r="H82" s="251"/>
      <c r="I82" s="299"/>
      <c r="J82" s="30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24"/>
      <c r="V82" s="126"/>
      <c r="W82" s="149"/>
      <c r="X82" s="149"/>
      <c r="Y82" s="149"/>
      <c r="Z82" s="149"/>
      <c r="AA82" s="149"/>
      <c r="AB82" s="149"/>
      <c r="AC82" s="149"/>
      <c r="AD82" s="149"/>
    </row>
    <row r="83" spans="1:30" x14ac:dyDescent="0.2">
      <c r="A83" s="250"/>
      <c r="B83" s="251"/>
      <c r="C83" s="251"/>
      <c r="D83" s="298"/>
      <c r="E83" s="251"/>
      <c r="F83" s="299"/>
      <c r="G83" s="299"/>
      <c r="H83" s="251"/>
      <c r="I83" s="299"/>
      <c r="J83" s="30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24"/>
      <c r="V83" s="126"/>
      <c r="W83" s="149"/>
      <c r="X83" s="149"/>
      <c r="Y83" s="149"/>
      <c r="Z83" s="149"/>
      <c r="AA83" s="149"/>
      <c r="AB83" s="149"/>
      <c r="AC83" s="149"/>
      <c r="AD83" s="149"/>
    </row>
    <row r="84" spans="1:30" x14ac:dyDescent="0.2">
      <c r="A84" s="250"/>
      <c r="B84" s="251"/>
      <c r="C84" s="251"/>
      <c r="D84" s="298"/>
      <c r="E84" s="251"/>
      <c r="F84" s="299"/>
      <c r="G84" s="299"/>
      <c r="H84" s="251"/>
      <c r="I84" s="299"/>
      <c r="J84" s="30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24"/>
      <c r="V84" s="126"/>
      <c r="W84" s="149"/>
      <c r="X84" s="149"/>
      <c r="Y84" s="149"/>
      <c r="Z84" s="149"/>
      <c r="AA84" s="149"/>
      <c r="AB84" s="149"/>
      <c r="AC84" s="149"/>
      <c r="AD84" s="149"/>
    </row>
    <row r="85" spans="1:30" x14ac:dyDescent="0.2">
      <c r="A85" s="250"/>
      <c r="B85" s="251"/>
      <c r="C85" s="251"/>
      <c r="D85" s="298"/>
      <c r="E85" s="251"/>
      <c r="F85" s="299"/>
      <c r="G85" s="299"/>
      <c r="H85" s="251"/>
      <c r="I85" s="299"/>
      <c r="J85" s="30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24"/>
      <c r="V85" s="126"/>
      <c r="W85" s="149"/>
      <c r="X85" s="149"/>
      <c r="Y85" s="149"/>
      <c r="Z85" s="149"/>
      <c r="AA85" s="149"/>
      <c r="AB85" s="149"/>
      <c r="AC85" s="149"/>
      <c r="AD85" s="149"/>
    </row>
    <row r="86" spans="1:30" x14ac:dyDescent="0.2">
      <c r="A86" s="250"/>
      <c r="B86" s="251"/>
      <c r="C86" s="251"/>
      <c r="D86" s="298"/>
      <c r="E86" s="251"/>
      <c r="F86" s="299"/>
      <c r="G86" s="299"/>
      <c r="H86" s="251"/>
      <c r="I86" s="299"/>
      <c r="J86" s="30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24"/>
      <c r="V86" s="126"/>
      <c r="W86" s="149"/>
      <c r="X86" s="149"/>
      <c r="Y86" s="149"/>
      <c r="Z86" s="149"/>
      <c r="AA86" s="149"/>
      <c r="AB86" s="149"/>
      <c r="AC86" s="149"/>
      <c r="AD86" s="149"/>
    </row>
    <row r="87" spans="1:30" x14ac:dyDescent="0.2">
      <c r="A87" s="250"/>
      <c r="B87" s="251"/>
      <c r="C87" s="251"/>
      <c r="D87" s="298"/>
      <c r="E87" s="251"/>
      <c r="F87" s="299"/>
      <c r="G87" s="299"/>
      <c r="H87" s="251"/>
      <c r="I87" s="299"/>
      <c r="J87" s="30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24"/>
      <c r="V87" s="126"/>
      <c r="W87" s="149"/>
      <c r="X87" s="149"/>
      <c r="Y87" s="149"/>
      <c r="Z87" s="149"/>
      <c r="AA87" s="149"/>
      <c r="AB87" s="149"/>
      <c r="AC87" s="149"/>
      <c r="AD87" s="149"/>
    </row>
    <row r="88" spans="1:30" x14ac:dyDescent="0.2">
      <c r="A88" s="250"/>
      <c r="B88" s="251"/>
      <c r="C88" s="251"/>
      <c r="D88" s="298"/>
      <c r="E88" s="251"/>
      <c r="F88" s="299"/>
      <c r="G88" s="299"/>
      <c r="H88" s="251"/>
      <c r="I88" s="299"/>
      <c r="J88" s="309"/>
      <c r="K88" s="149"/>
      <c r="L88" s="49"/>
      <c r="M88" s="49"/>
      <c r="N88" s="49"/>
      <c r="O88" s="49"/>
      <c r="P88" s="49"/>
      <c r="Q88" s="49"/>
      <c r="R88" s="278"/>
      <c r="S88" s="149"/>
      <c r="T88" s="149"/>
      <c r="U88" s="124"/>
      <c r="V88" s="126"/>
      <c r="W88" s="149"/>
      <c r="X88" s="149"/>
      <c r="Y88" s="149"/>
      <c r="Z88" s="149"/>
      <c r="AA88" s="149"/>
      <c r="AB88" s="149"/>
      <c r="AC88" s="149"/>
      <c r="AD88" s="149"/>
    </row>
    <row r="89" spans="1:30" x14ac:dyDescent="0.2">
      <c r="A89" s="250"/>
      <c r="B89" s="251"/>
      <c r="C89" s="251"/>
      <c r="D89" s="298"/>
      <c r="E89" s="251"/>
      <c r="F89" s="299"/>
      <c r="G89" s="299"/>
      <c r="H89" s="251"/>
      <c r="I89" s="299"/>
      <c r="J89" s="309"/>
      <c r="K89" s="149"/>
      <c r="L89" s="278"/>
      <c r="M89" s="278"/>
      <c r="N89" s="278"/>
      <c r="O89" s="278"/>
      <c r="P89" s="278"/>
      <c r="Q89" s="278"/>
      <c r="R89" s="278"/>
      <c r="S89" s="149"/>
      <c r="T89" s="149"/>
      <c r="U89" s="124"/>
      <c r="V89" s="126"/>
      <c r="W89" s="149"/>
      <c r="X89" s="149"/>
      <c r="Y89" s="149"/>
      <c r="Z89" s="149"/>
      <c r="AA89" s="149"/>
      <c r="AB89" s="149"/>
      <c r="AC89" s="149"/>
      <c r="AD89" s="149"/>
    </row>
    <row r="90" spans="1:30" x14ac:dyDescent="0.2">
      <c r="A90" s="250"/>
      <c r="B90" s="251"/>
      <c r="C90" s="251"/>
      <c r="D90" s="298"/>
      <c r="E90" s="251"/>
      <c r="F90" s="299"/>
      <c r="G90" s="299"/>
      <c r="H90" s="251"/>
      <c r="I90" s="299"/>
      <c r="J90" s="309"/>
      <c r="K90" s="611" t="s">
        <v>180</v>
      </c>
      <c r="L90" s="574"/>
      <c r="M90" s="574"/>
      <c r="N90" s="574"/>
      <c r="O90" s="574"/>
      <c r="P90" s="574"/>
      <c r="Q90" s="574"/>
      <c r="R90" s="574"/>
      <c r="S90" s="574"/>
      <c r="T90" s="575"/>
      <c r="U90" s="124"/>
      <c r="V90" s="126"/>
      <c r="W90" s="149"/>
      <c r="X90" s="149"/>
      <c r="Y90" s="149"/>
      <c r="Z90" s="149"/>
      <c r="AA90" s="149"/>
      <c r="AB90" s="149"/>
      <c r="AC90" s="149"/>
      <c r="AD90" s="149"/>
    </row>
    <row r="91" spans="1:30" x14ac:dyDescent="0.2">
      <c r="A91" s="250"/>
      <c r="B91" s="251"/>
      <c r="C91" s="251"/>
      <c r="D91" s="298"/>
      <c r="E91" s="251"/>
      <c r="F91" s="299"/>
      <c r="G91" s="299"/>
      <c r="H91" s="251"/>
      <c r="I91" s="299"/>
      <c r="J91" s="309"/>
      <c r="K91" s="195" t="s">
        <v>0</v>
      </c>
      <c r="L91" s="311" t="s">
        <v>138</v>
      </c>
      <c r="M91" s="311"/>
      <c r="N91" s="196"/>
      <c r="O91" s="311"/>
      <c r="P91" s="311" t="s">
        <v>173</v>
      </c>
      <c r="Q91" s="311"/>
      <c r="R91" s="311"/>
      <c r="S91" s="311"/>
      <c r="T91" s="312"/>
      <c r="U91" s="124"/>
      <c r="V91" s="126"/>
      <c r="W91" s="149"/>
      <c r="X91" s="149"/>
      <c r="Y91" s="149"/>
      <c r="Z91" s="149"/>
      <c r="AA91" s="149"/>
      <c r="AB91" s="149"/>
      <c r="AC91" s="149"/>
      <c r="AD91" s="149"/>
    </row>
    <row r="92" spans="1:30" x14ac:dyDescent="0.2">
      <c r="A92" s="250"/>
      <c r="B92" s="251"/>
      <c r="C92" s="251"/>
      <c r="D92" s="298"/>
      <c r="E92" s="251"/>
      <c r="F92" s="299"/>
      <c r="G92" s="299"/>
      <c r="H92" s="251"/>
      <c r="I92" s="299"/>
      <c r="J92" s="299"/>
      <c r="K92" s="200">
        <v>0</v>
      </c>
      <c r="L92" s="196" t="str">
        <f t="shared" ref="L92:L97" si="43">A3</f>
        <v>Will</v>
      </c>
      <c r="M92" s="313"/>
      <c r="N92" s="313"/>
      <c r="O92" s="313"/>
      <c r="P92" s="196">
        <f>VLOOKUP(L92,Math!$A$22:$N$27,14,FALSE)</f>
        <v>0</v>
      </c>
      <c r="Q92" s="313"/>
      <c r="R92" s="313"/>
      <c r="S92" s="314"/>
      <c r="T92" s="315"/>
      <c r="U92" s="125"/>
      <c r="V92" s="126"/>
      <c r="W92" s="149"/>
      <c r="X92" s="149"/>
      <c r="Y92" s="149"/>
      <c r="Z92" s="149"/>
      <c r="AA92" s="149"/>
      <c r="AB92" s="149"/>
      <c r="AC92" s="149"/>
      <c r="AD92" s="149"/>
    </row>
    <row r="93" spans="1:30" x14ac:dyDescent="0.2">
      <c r="A93" s="250"/>
      <c r="B93" s="251"/>
      <c r="C93" s="251"/>
      <c r="D93" s="298"/>
      <c r="E93" s="251"/>
      <c r="F93" s="299"/>
      <c r="G93" s="299"/>
      <c r="H93" s="251"/>
      <c r="I93" s="299"/>
      <c r="J93" s="299"/>
      <c r="K93" s="171">
        <v>0</v>
      </c>
      <c r="L93" s="251" t="str">
        <f t="shared" si="43"/>
        <v>Carter</v>
      </c>
      <c r="M93" s="298"/>
      <c r="N93" s="298"/>
      <c r="O93" s="298"/>
      <c r="P93" s="251">
        <f>VLOOKUP(L93,Math!$A$22:$N$27,14,FALSE)</f>
        <v>0</v>
      </c>
      <c r="Q93" s="298"/>
      <c r="R93" s="298"/>
      <c r="S93" s="144"/>
      <c r="T93" s="316"/>
      <c r="U93" s="125"/>
      <c r="V93" s="126"/>
      <c r="W93" s="149"/>
      <c r="X93" s="149"/>
      <c r="Y93" s="149"/>
      <c r="Z93" s="149"/>
      <c r="AA93" s="149"/>
      <c r="AB93" s="149"/>
      <c r="AC93" s="149"/>
      <c r="AD93" s="149"/>
    </row>
    <row r="94" spans="1:30" x14ac:dyDescent="0.2">
      <c r="A94" s="250"/>
      <c r="B94" s="251"/>
      <c r="C94" s="251"/>
      <c r="D94" s="298"/>
      <c r="E94" s="251"/>
      <c r="F94" s="299"/>
      <c r="G94" s="299"/>
      <c r="H94" s="251"/>
      <c r="I94" s="299"/>
      <c r="J94" s="299"/>
      <c r="K94" s="171">
        <v>0</v>
      </c>
      <c r="L94" s="251" t="str">
        <f t="shared" si="43"/>
        <v>Joe</v>
      </c>
      <c r="M94" s="298"/>
      <c r="N94" s="298"/>
      <c r="O94" s="298"/>
      <c r="P94" s="251">
        <f>VLOOKUP(L94,Math!$A$22:$N$27,14,FALSE)</f>
        <v>0</v>
      </c>
      <c r="Q94" s="298"/>
      <c r="R94" s="298"/>
      <c r="S94" s="144"/>
      <c r="T94" s="316"/>
      <c r="U94" s="125"/>
      <c r="V94" s="126"/>
      <c r="W94" s="149"/>
      <c r="X94" s="149"/>
      <c r="Y94" s="149"/>
      <c r="Z94" s="149"/>
      <c r="AA94" s="149"/>
      <c r="AB94" s="149"/>
      <c r="AC94" s="149"/>
      <c r="AD94" s="149"/>
    </row>
    <row r="95" spans="1:30" x14ac:dyDescent="0.2">
      <c r="A95" s="250"/>
      <c r="B95" s="251"/>
      <c r="C95" s="251"/>
      <c r="D95" s="298"/>
      <c r="E95" s="251"/>
      <c r="F95" s="299"/>
      <c r="G95" s="299"/>
      <c r="H95" s="251"/>
      <c r="I95" s="299"/>
      <c r="J95" s="299"/>
      <c r="K95" s="171">
        <v>0</v>
      </c>
      <c r="L95" s="317" t="str">
        <f t="shared" si="43"/>
        <v>Jake</v>
      </c>
      <c r="M95" s="298"/>
      <c r="N95" s="298"/>
      <c r="O95" s="298"/>
      <c r="P95" s="251">
        <f>VLOOKUP(L95,Math!$A$22:$N$27,14,FALSE)</f>
        <v>0</v>
      </c>
      <c r="Q95" s="298"/>
      <c r="R95" s="298"/>
      <c r="S95" s="144"/>
      <c r="T95" s="316"/>
      <c r="U95" s="125"/>
      <c r="V95" s="126"/>
      <c r="W95" s="149"/>
      <c r="X95" s="149"/>
      <c r="Y95" s="149"/>
      <c r="Z95" s="149"/>
      <c r="AA95" s="149"/>
      <c r="AB95" s="149"/>
      <c r="AC95" s="149"/>
      <c r="AD95" s="149"/>
    </row>
    <row r="96" spans="1:30" x14ac:dyDescent="0.2">
      <c r="A96" s="250"/>
      <c r="B96" s="251"/>
      <c r="C96" s="251"/>
      <c r="D96" s="298"/>
      <c r="E96" s="251"/>
      <c r="F96" s="299"/>
      <c r="G96" s="299"/>
      <c r="H96" s="251"/>
      <c r="I96" s="299"/>
      <c r="J96" s="299"/>
      <c r="K96" s="171">
        <v>0</v>
      </c>
      <c r="L96" s="300" t="str">
        <f t="shared" si="43"/>
        <v>Jim</v>
      </c>
      <c r="M96" s="298"/>
      <c r="N96" s="298"/>
      <c r="O96" s="298"/>
      <c r="P96" s="251">
        <f>VLOOKUP(L96,Math!$A$22:$N$27,14,FALSE)</f>
        <v>0</v>
      </c>
      <c r="Q96" s="298"/>
      <c r="R96" s="298"/>
      <c r="S96" s="144"/>
      <c r="T96" s="316"/>
      <c r="U96" s="125"/>
      <c r="V96" s="126"/>
      <c r="W96" s="149"/>
      <c r="X96" s="149"/>
      <c r="Y96" s="149"/>
      <c r="Z96" s="149"/>
      <c r="AA96" s="149"/>
      <c r="AB96" s="149"/>
      <c r="AC96" s="149"/>
      <c r="AD96" s="149"/>
    </row>
    <row r="97" spans="1:30" x14ac:dyDescent="0.2">
      <c r="A97" s="250"/>
      <c r="B97" s="251"/>
      <c r="C97" s="251"/>
      <c r="D97" s="298"/>
      <c r="E97" s="251"/>
      <c r="F97" s="299"/>
      <c r="G97" s="299"/>
      <c r="H97" s="251"/>
      <c r="I97" s="299"/>
      <c r="J97" s="299"/>
      <c r="K97" s="180">
        <v>0</v>
      </c>
      <c r="L97" s="307" t="str">
        <f t="shared" si="43"/>
        <v>Jordan</v>
      </c>
      <c r="M97" s="305"/>
      <c r="N97" s="305"/>
      <c r="O97" s="305"/>
      <c r="P97" s="275">
        <f>VLOOKUP(L97,Math!$A$22:$N$27,14,FALSE)</f>
        <v>0</v>
      </c>
      <c r="Q97" s="305"/>
      <c r="R97" s="305"/>
      <c r="S97" s="318"/>
      <c r="T97" s="319"/>
      <c r="U97" s="125"/>
      <c r="V97" s="126"/>
      <c r="W97" s="149"/>
      <c r="X97" s="149"/>
      <c r="Y97" s="149"/>
      <c r="Z97" s="149"/>
      <c r="AA97" s="149"/>
      <c r="AB97" s="149"/>
      <c r="AC97" s="149"/>
      <c r="AD97" s="149"/>
    </row>
    <row r="98" spans="1:30" x14ac:dyDescent="0.2">
      <c r="A98" s="250"/>
      <c r="B98" s="251"/>
      <c r="C98" s="251"/>
      <c r="D98" s="298"/>
      <c r="E98" s="251"/>
      <c r="F98" s="299"/>
      <c r="G98" s="299"/>
      <c r="H98" s="251"/>
      <c r="I98" s="299"/>
      <c r="J98" s="309"/>
      <c r="K98" s="149"/>
      <c r="L98" s="278"/>
      <c r="M98" s="278"/>
      <c r="N98" s="278"/>
      <c r="O98" s="278"/>
      <c r="P98" s="278"/>
      <c r="Q98" s="278"/>
      <c r="R98" s="278"/>
      <c r="S98" s="149"/>
      <c r="T98" s="149"/>
      <c r="U98" s="124"/>
      <c r="V98" s="126"/>
      <c r="W98" s="149"/>
      <c r="X98" s="149"/>
      <c r="Y98" s="149"/>
      <c r="Z98" s="149"/>
      <c r="AA98" s="149"/>
      <c r="AB98" s="149"/>
      <c r="AC98" s="149"/>
      <c r="AD98" s="149"/>
    </row>
    <row r="99" spans="1:30" x14ac:dyDescent="0.2">
      <c r="A99" s="250"/>
      <c r="B99" s="251"/>
      <c r="C99" s="251"/>
      <c r="D99" s="298"/>
      <c r="E99" s="251"/>
      <c r="F99" s="299"/>
      <c r="G99" s="299"/>
      <c r="H99" s="251"/>
      <c r="I99" s="299"/>
      <c r="J99" s="30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4"/>
      <c r="V99" s="126"/>
      <c r="W99" s="149"/>
      <c r="X99" s="149"/>
      <c r="Y99" s="149"/>
      <c r="Z99" s="149"/>
      <c r="AA99" s="149"/>
      <c r="AB99" s="149"/>
      <c r="AC99" s="149"/>
      <c r="AD99" s="149"/>
    </row>
    <row r="100" spans="1:30" x14ac:dyDescent="0.2">
      <c r="A100" s="250"/>
      <c r="B100" s="251"/>
      <c r="C100" s="251"/>
      <c r="D100" s="298"/>
      <c r="E100" s="251"/>
      <c r="F100" s="299"/>
      <c r="G100" s="299"/>
      <c r="H100" s="251"/>
      <c r="I100" s="299"/>
      <c r="J100" s="30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24"/>
      <c r="V100" s="126"/>
      <c r="W100" s="149"/>
      <c r="X100" s="149"/>
      <c r="Y100" s="149"/>
      <c r="Z100" s="149"/>
      <c r="AA100" s="149"/>
      <c r="AB100" s="149"/>
      <c r="AC100" s="149"/>
      <c r="AD100" s="149"/>
    </row>
    <row r="101" spans="1:30" x14ac:dyDescent="0.2">
      <c r="A101" s="250"/>
      <c r="B101" s="251"/>
      <c r="C101" s="251"/>
      <c r="D101" s="298"/>
      <c r="E101" s="251"/>
      <c r="F101" s="299"/>
      <c r="G101" s="299"/>
      <c r="H101" s="251"/>
      <c r="I101" s="299"/>
      <c r="J101" s="30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4"/>
      <c r="V101" s="126"/>
      <c r="W101" s="149"/>
      <c r="X101" s="149"/>
      <c r="Y101" s="149"/>
      <c r="Z101" s="149"/>
      <c r="AA101" s="149"/>
      <c r="AB101" s="149"/>
      <c r="AC101" s="149"/>
      <c r="AD101" s="149"/>
    </row>
    <row r="102" spans="1:30" x14ac:dyDescent="0.2">
      <c r="A102" s="250"/>
      <c r="B102" s="251"/>
      <c r="C102" s="251"/>
      <c r="D102" s="298"/>
      <c r="E102" s="251"/>
      <c r="F102" s="299"/>
      <c r="G102" s="299"/>
      <c r="H102" s="251"/>
      <c r="I102" s="299"/>
      <c r="J102" s="30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24"/>
      <c r="V102" s="126"/>
      <c r="W102" s="149"/>
      <c r="X102" s="149"/>
      <c r="Y102" s="149"/>
      <c r="Z102" s="149"/>
      <c r="AA102" s="149"/>
      <c r="AB102" s="149"/>
      <c r="AC102" s="149"/>
      <c r="AD102" s="149"/>
    </row>
    <row r="103" spans="1:30" x14ac:dyDescent="0.2">
      <c r="A103" s="250"/>
      <c r="B103" s="251"/>
      <c r="C103" s="251"/>
      <c r="D103" s="298"/>
      <c r="E103" s="251"/>
      <c r="F103" s="299"/>
      <c r="G103" s="299"/>
      <c r="H103" s="251"/>
      <c r="I103" s="299"/>
      <c r="J103" s="30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4"/>
      <c r="V103" s="126"/>
      <c r="W103" s="149"/>
      <c r="X103" s="149"/>
      <c r="Y103" s="149"/>
      <c r="Z103" s="149"/>
      <c r="AA103" s="149"/>
      <c r="AB103" s="149"/>
      <c r="AC103" s="149"/>
      <c r="AD103" s="149"/>
    </row>
    <row r="104" spans="1:30" x14ac:dyDescent="0.2">
      <c r="A104" s="250"/>
      <c r="B104" s="251"/>
      <c r="C104" s="251"/>
      <c r="D104" s="298"/>
      <c r="E104" s="251"/>
      <c r="F104" s="299"/>
      <c r="G104" s="299"/>
      <c r="H104" s="251"/>
      <c r="I104" s="299"/>
      <c r="J104" s="30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24"/>
      <c r="V104" s="126"/>
      <c r="W104" s="149"/>
      <c r="X104" s="149"/>
      <c r="Y104" s="149"/>
      <c r="Z104" s="149"/>
      <c r="AA104" s="149"/>
      <c r="AB104" s="149"/>
      <c r="AC104" s="149"/>
      <c r="AD104" s="149"/>
    </row>
    <row r="105" spans="1:30" x14ac:dyDescent="0.2">
      <c r="A105" s="250"/>
      <c r="B105" s="251"/>
      <c r="C105" s="251"/>
      <c r="D105" s="298"/>
      <c r="E105" s="251"/>
      <c r="F105" s="299"/>
      <c r="G105" s="299"/>
      <c r="H105" s="251"/>
      <c r="I105" s="299"/>
      <c r="J105" s="30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4"/>
      <c r="V105" s="126"/>
      <c r="W105" s="149"/>
      <c r="X105" s="149"/>
      <c r="Y105" s="149"/>
      <c r="Z105" s="149"/>
      <c r="AA105" s="149"/>
      <c r="AB105" s="149"/>
      <c r="AC105" s="149"/>
      <c r="AD105" s="149"/>
    </row>
    <row r="106" spans="1:30" x14ac:dyDescent="0.2">
      <c r="A106" s="250"/>
      <c r="B106" s="251"/>
      <c r="C106" s="251"/>
      <c r="D106" s="298"/>
      <c r="E106" s="251"/>
      <c r="F106" s="299"/>
      <c r="G106" s="299"/>
      <c r="H106" s="251"/>
      <c r="I106" s="299"/>
      <c r="J106" s="30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24"/>
      <c r="V106" s="126"/>
      <c r="W106" s="149"/>
      <c r="X106" s="149"/>
      <c r="Y106" s="149"/>
      <c r="Z106" s="149"/>
      <c r="AA106" s="149"/>
      <c r="AB106" s="149"/>
      <c r="AC106" s="149"/>
      <c r="AD106" s="149"/>
    </row>
    <row r="107" spans="1:30" x14ac:dyDescent="0.2">
      <c r="A107" s="250"/>
      <c r="B107" s="251"/>
      <c r="C107" s="251"/>
      <c r="D107" s="298"/>
      <c r="E107" s="251"/>
      <c r="F107" s="299"/>
      <c r="G107" s="299"/>
      <c r="H107" s="251"/>
      <c r="I107" s="299"/>
      <c r="J107" s="30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4"/>
      <c r="V107" s="126"/>
      <c r="W107" s="149"/>
      <c r="X107" s="149"/>
      <c r="Y107" s="149"/>
      <c r="Z107" s="149"/>
      <c r="AA107" s="149"/>
      <c r="AB107" s="149"/>
      <c r="AC107" s="149"/>
      <c r="AD107" s="149"/>
    </row>
    <row r="108" spans="1:30" x14ac:dyDescent="0.2">
      <c r="A108" s="250"/>
      <c r="B108" s="251"/>
      <c r="C108" s="251"/>
      <c r="D108" s="298"/>
      <c r="E108" s="251"/>
      <c r="F108" s="299"/>
      <c r="G108" s="299"/>
      <c r="H108" s="251"/>
      <c r="I108" s="299"/>
      <c r="J108" s="30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24"/>
      <c r="V108" s="126"/>
      <c r="W108" s="149"/>
      <c r="X108" s="149"/>
      <c r="Y108" s="149"/>
      <c r="Z108" s="149"/>
      <c r="AA108" s="149"/>
      <c r="AB108" s="149"/>
      <c r="AC108" s="149"/>
      <c r="AD108" s="149"/>
    </row>
    <row r="109" spans="1:30" x14ac:dyDescent="0.2">
      <c r="A109" s="250"/>
      <c r="B109" s="251"/>
      <c r="C109" s="251"/>
      <c r="D109" s="298"/>
      <c r="E109" s="251"/>
      <c r="F109" s="299"/>
      <c r="G109" s="299"/>
      <c r="H109" s="251"/>
      <c r="I109" s="299"/>
      <c r="J109" s="30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24"/>
      <c r="V109" s="126"/>
      <c r="W109" s="149"/>
      <c r="X109" s="149"/>
      <c r="Y109" s="149"/>
      <c r="Z109" s="149"/>
      <c r="AA109" s="149"/>
      <c r="AB109" s="149"/>
      <c r="AC109" s="149"/>
      <c r="AD109" s="149"/>
    </row>
    <row r="110" spans="1:30" x14ac:dyDescent="0.2">
      <c r="A110" s="250"/>
      <c r="B110" s="251"/>
      <c r="C110" s="251"/>
      <c r="D110" s="298"/>
      <c r="E110" s="251"/>
      <c r="F110" s="299"/>
      <c r="G110" s="299"/>
      <c r="H110" s="251"/>
      <c r="I110" s="299"/>
      <c r="J110" s="30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24"/>
      <c r="V110" s="126"/>
      <c r="W110" s="149"/>
      <c r="X110" s="149"/>
      <c r="Y110" s="149"/>
      <c r="Z110" s="149"/>
      <c r="AA110" s="149"/>
      <c r="AB110" s="149"/>
      <c r="AC110" s="149"/>
      <c r="AD110" s="149"/>
    </row>
    <row r="111" spans="1:30" x14ac:dyDescent="0.2">
      <c r="A111" s="250"/>
      <c r="B111" s="251"/>
      <c r="C111" s="251"/>
      <c r="D111" s="298"/>
      <c r="E111" s="251"/>
      <c r="F111" s="299"/>
      <c r="G111" s="299"/>
      <c r="H111" s="251"/>
      <c r="I111" s="299"/>
      <c r="J111" s="30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24"/>
      <c r="V111" s="126"/>
      <c r="W111" s="149"/>
      <c r="X111" s="149"/>
      <c r="Y111" s="149"/>
      <c r="Z111" s="149"/>
      <c r="AA111" s="149"/>
      <c r="AB111" s="149"/>
      <c r="AC111" s="149"/>
      <c r="AD111" s="149"/>
    </row>
    <row r="112" spans="1:30" x14ac:dyDescent="0.2">
      <c r="A112" s="250"/>
      <c r="B112" s="251"/>
      <c r="C112" s="251"/>
      <c r="D112" s="298"/>
      <c r="E112" s="251"/>
      <c r="F112" s="299"/>
      <c r="G112" s="299"/>
      <c r="H112" s="251"/>
      <c r="I112" s="299"/>
      <c r="J112" s="30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24"/>
      <c r="V112" s="126"/>
      <c r="W112" s="149"/>
      <c r="X112" s="149"/>
      <c r="Y112" s="149"/>
      <c r="Z112" s="149"/>
      <c r="AA112" s="149"/>
      <c r="AB112" s="149"/>
      <c r="AC112" s="149"/>
      <c r="AD112" s="149"/>
    </row>
    <row r="113" spans="1:30" x14ac:dyDescent="0.2">
      <c r="A113" s="250"/>
      <c r="B113" s="251"/>
      <c r="C113" s="251"/>
      <c r="D113" s="298"/>
      <c r="E113" s="251"/>
      <c r="F113" s="299"/>
      <c r="G113" s="299"/>
      <c r="H113" s="251"/>
      <c r="I113" s="299"/>
      <c r="J113" s="30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24"/>
      <c r="V113" s="126"/>
      <c r="W113" s="149"/>
      <c r="X113" s="149"/>
      <c r="Y113" s="149"/>
      <c r="Z113" s="149"/>
      <c r="AA113" s="149"/>
      <c r="AB113" s="149"/>
      <c r="AC113" s="149"/>
      <c r="AD113" s="149"/>
    </row>
    <row r="114" spans="1:30" x14ac:dyDescent="0.2">
      <c r="A114" s="250"/>
      <c r="B114" s="251"/>
      <c r="C114" s="251"/>
      <c r="D114" s="298"/>
      <c r="E114" s="251"/>
      <c r="F114" s="299"/>
      <c r="G114" s="299"/>
      <c r="H114" s="251"/>
      <c r="I114" s="299"/>
      <c r="J114" s="30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24"/>
      <c r="V114" s="126"/>
      <c r="W114" s="149"/>
      <c r="X114" s="149"/>
      <c r="Y114" s="149"/>
      <c r="Z114" s="149"/>
      <c r="AA114" s="149"/>
      <c r="AB114" s="149"/>
      <c r="AC114" s="149"/>
      <c r="AD114" s="149"/>
    </row>
    <row r="115" spans="1:30" x14ac:dyDescent="0.2">
      <c r="A115" s="250"/>
      <c r="B115" s="251"/>
      <c r="C115" s="251"/>
      <c r="D115" s="298"/>
      <c r="E115" s="251"/>
      <c r="F115" s="299"/>
      <c r="G115" s="299"/>
      <c r="H115" s="251"/>
      <c r="I115" s="299"/>
      <c r="J115" s="30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24"/>
      <c r="V115" s="126"/>
      <c r="W115" s="149"/>
      <c r="X115" s="149"/>
      <c r="Y115" s="149"/>
      <c r="Z115" s="149"/>
      <c r="AA115" s="149"/>
      <c r="AB115" s="149"/>
      <c r="AC115" s="149"/>
      <c r="AD115" s="149"/>
    </row>
    <row r="116" spans="1:30" x14ac:dyDescent="0.2">
      <c r="A116" s="250"/>
      <c r="B116" s="251"/>
      <c r="C116" s="251"/>
      <c r="D116" s="298"/>
      <c r="E116" s="251"/>
      <c r="F116" s="299"/>
      <c r="G116" s="299"/>
      <c r="H116" s="251"/>
      <c r="I116" s="299"/>
      <c r="J116" s="30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24"/>
      <c r="V116" s="126"/>
      <c r="W116" s="149"/>
      <c r="X116" s="149"/>
      <c r="Y116" s="149"/>
      <c r="Z116" s="149"/>
      <c r="AA116" s="149"/>
      <c r="AB116" s="149"/>
      <c r="AC116" s="149"/>
      <c r="AD116" s="149"/>
    </row>
    <row r="117" spans="1:30" x14ac:dyDescent="0.2">
      <c r="A117" s="250"/>
      <c r="B117" s="251"/>
      <c r="C117" s="251"/>
      <c r="D117" s="298"/>
      <c r="E117" s="251"/>
      <c r="F117" s="299"/>
      <c r="G117" s="299"/>
      <c r="H117" s="251"/>
      <c r="I117" s="299"/>
      <c r="J117" s="30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24"/>
      <c r="V117" s="126"/>
      <c r="W117" s="149"/>
      <c r="X117" s="149"/>
      <c r="Y117" s="149"/>
      <c r="Z117" s="149"/>
      <c r="AA117" s="149"/>
      <c r="AB117" s="149"/>
      <c r="AC117" s="149"/>
      <c r="AD117" s="149"/>
    </row>
    <row r="118" spans="1:30" x14ac:dyDescent="0.2">
      <c r="A118" s="250"/>
      <c r="B118" s="251"/>
      <c r="C118" s="251"/>
      <c r="D118" s="298"/>
      <c r="E118" s="251"/>
      <c r="F118" s="299"/>
      <c r="G118" s="299"/>
      <c r="H118" s="251"/>
      <c r="I118" s="299"/>
      <c r="J118" s="30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24"/>
      <c r="V118" s="126"/>
      <c r="W118" s="149"/>
      <c r="X118" s="149"/>
      <c r="Y118" s="149"/>
      <c r="Z118" s="149"/>
      <c r="AA118" s="149"/>
      <c r="AB118" s="149"/>
      <c r="AC118" s="149"/>
      <c r="AD118" s="149"/>
    </row>
    <row r="119" spans="1:30" x14ac:dyDescent="0.2">
      <c r="A119" s="250"/>
      <c r="B119" s="251"/>
      <c r="C119" s="251"/>
      <c r="D119" s="298"/>
      <c r="E119" s="251"/>
      <c r="F119" s="299"/>
      <c r="G119" s="299"/>
      <c r="H119" s="251"/>
      <c r="I119" s="299"/>
      <c r="J119" s="30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24"/>
      <c r="V119" s="126"/>
      <c r="W119" s="149"/>
      <c r="X119" s="149"/>
      <c r="Y119" s="149"/>
      <c r="Z119" s="149"/>
      <c r="AA119" s="149"/>
      <c r="AB119" s="149"/>
      <c r="AC119" s="149"/>
      <c r="AD119" s="149"/>
    </row>
    <row r="120" spans="1:30" x14ac:dyDescent="0.2">
      <c r="A120" s="250"/>
      <c r="B120" s="251"/>
      <c r="C120" s="251"/>
      <c r="D120" s="298"/>
      <c r="E120" s="251"/>
      <c r="F120" s="299"/>
      <c r="G120" s="299"/>
      <c r="H120" s="251"/>
      <c r="I120" s="299"/>
      <c r="J120" s="30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24"/>
      <c r="V120" s="126"/>
      <c r="W120" s="149"/>
      <c r="X120" s="149"/>
      <c r="Y120" s="149"/>
      <c r="Z120" s="149"/>
      <c r="AA120" s="149"/>
      <c r="AB120" s="149"/>
      <c r="AC120" s="149"/>
      <c r="AD120" s="149"/>
    </row>
    <row r="121" spans="1:30" x14ac:dyDescent="0.2">
      <c r="A121" s="250"/>
      <c r="B121" s="251"/>
      <c r="C121" s="251"/>
      <c r="D121" s="298"/>
      <c r="E121" s="251"/>
      <c r="F121" s="299"/>
      <c r="G121" s="299"/>
      <c r="H121" s="251"/>
      <c r="I121" s="299"/>
      <c r="J121" s="30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24"/>
      <c r="V121" s="126"/>
      <c r="W121" s="149"/>
      <c r="X121" s="149"/>
      <c r="Y121" s="149"/>
      <c r="Z121" s="149"/>
      <c r="AA121" s="149"/>
      <c r="AB121" s="149"/>
      <c r="AC121" s="149"/>
      <c r="AD121" s="149"/>
    </row>
    <row r="122" spans="1:30" x14ac:dyDescent="0.2">
      <c r="A122" s="250"/>
      <c r="B122" s="251"/>
      <c r="C122" s="251"/>
      <c r="D122" s="298"/>
      <c r="E122" s="251"/>
      <c r="F122" s="299"/>
      <c r="G122" s="299"/>
      <c r="H122" s="251"/>
      <c r="I122" s="299"/>
      <c r="J122" s="30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24"/>
      <c r="V122" s="126"/>
      <c r="W122" s="149"/>
      <c r="X122" s="149"/>
      <c r="Y122" s="149"/>
      <c r="Z122" s="149"/>
      <c r="AA122" s="149"/>
      <c r="AB122" s="149"/>
      <c r="AC122" s="149"/>
      <c r="AD122" s="149"/>
    </row>
    <row r="123" spans="1:30" x14ac:dyDescent="0.2">
      <c r="A123" s="250"/>
      <c r="B123" s="251"/>
      <c r="C123" s="251"/>
      <c r="D123" s="298"/>
      <c r="E123" s="251"/>
      <c r="F123" s="299"/>
      <c r="G123" s="299"/>
      <c r="H123" s="251"/>
      <c r="I123" s="299"/>
      <c r="J123" s="30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24"/>
      <c r="V123" s="126"/>
      <c r="W123" s="149"/>
      <c r="X123" s="149"/>
      <c r="Y123" s="149"/>
      <c r="Z123" s="149"/>
      <c r="AA123" s="149"/>
      <c r="AB123" s="149"/>
      <c r="AC123" s="149"/>
      <c r="AD123" s="149"/>
    </row>
    <row r="124" spans="1:30" x14ac:dyDescent="0.2">
      <c r="A124" s="250"/>
      <c r="B124" s="251"/>
      <c r="C124" s="251"/>
      <c r="D124" s="298"/>
      <c r="E124" s="251"/>
      <c r="F124" s="299"/>
      <c r="G124" s="299"/>
      <c r="H124" s="251"/>
      <c r="I124" s="299"/>
      <c r="J124" s="30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24"/>
      <c r="V124" s="126"/>
      <c r="W124" s="149"/>
      <c r="X124" s="149"/>
      <c r="Y124" s="149"/>
      <c r="Z124" s="149"/>
      <c r="AA124" s="149"/>
      <c r="AB124" s="149"/>
      <c r="AC124" s="149"/>
      <c r="AD124" s="149"/>
    </row>
    <row r="125" spans="1:30" x14ac:dyDescent="0.2">
      <c r="A125" s="250"/>
      <c r="B125" s="251"/>
      <c r="C125" s="251"/>
      <c r="D125" s="298"/>
      <c r="E125" s="251"/>
      <c r="F125" s="299"/>
      <c r="G125" s="299"/>
      <c r="H125" s="251"/>
      <c r="I125" s="299"/>
      <c r="J125" s="30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24"/>
      <c r="V125" s="126"/>
      <c r="W125" s="149"/>
      <c r="X125" s="149"/>
      <c r="Y125" s="149"/>
      <c r="Z125" s="149"/>
      <c r="AA125" s="149"/>
      <c r="AB125" s="149"/>
      <c r="AC125" s="149"/>
      <c r="AD125" s="149"/>
    </row>
    <row r="126" spans="1:30" x14ac:dyDescent="0.2">
      <c r="A126" s="250"/>
      <c r="B126" s="251"/>
      <c r="C126" s="251"/>
      <c r="D126" s="298"/>
      <c r="E126" s="251"/>
      <c r="F126" s="299"/>
      <c r="G126" s="299"/>
      <c r="H126" s="251"/>
      <c r="I126" s="299"/>
      <c r="J126" s="30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24"/>
      <c r="V126" s="126"/>
      <c r="W126" s="149"/>
      <c r="X126" s="149"/>
      <c r="Y126" s="149"/>
      <c r="Z126" s="149"/>
      <c r="AA126" s="149"/>
      <c r="AB126" s="149"/>
      <c r="AC126" s="149"/>
      <c r="AD126" s="149"/>
    </row>
    <row r="127" spans="1:30" x14ac:dyDescent="0.2">
      <c r="A127" s="250"/>
      <c r="B127" s="251"/>
      <c r="C127" s="251"/>
      <c r="D127" s="298"/>
      <c r="E127" s="251"/>
      <c r="F127" s="299"/>
      <c r="G127" s="299"/>
      <c r="H127" s="251"/>
      <c r="I127" s="299"/>
      <c r="J127" s="30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24"/>
      <c r="V127" s="126"/>
      <c r="W127" s="149"/>
      <c r="X127" s="149"/>
      <c r="Y127" s="149"/>
      <c r="Z127" s="149"/>
      <c r="AA127" s="149"/>
      <c r="AB127" s="149"/>
      <c r="AC127" s="149"/>
      <c r="AD127" s="149"/>
    </row>
    <row r="128" spans="1:30" x14ac:dyDescent="0.2">
      <c r="A128" s="250"/>
      <c r="B128" s="251"/>
      <c r="C128" s="251"/>
      <c r="D128" s="298"/>
      <c r="E128" s="251"/>
      <c r="F128" s="299"/>
      <c r="G128" s="299"/>
      <c r="H128" s="251"/>
      <c r="I128" s="299"/>
      <c r="J128" s="30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24"/>
      <c r="V128" s="126"/>
      <c r="W128" s="149"/>
      <c r="X128" s="149"/>
      <c r="Y128" s="149"/>
      <c r="Z128" s="149"/>
      <c r="AA128" s="149"/>
      <c r="AB128" s="149"/>
      <c r="AC128" s="149"/>
      <c r="AD128" s="149"/>
    </row>
    <row r="129" spans="1:30" x14ac:dyDescent="0.2">
      <c r="A129" s="250"/>
      <c r="B129" s="251"/>
      <c r="C129" s="251"/>
      <c r="D129" s="298"/>
      <c r="E129" s="251"/>
      <c r="F129" s="299"/>
      <c r="G129" s="299"/>
      <c r="H129" s="251"/>
      <c r="I129" s="299"/>
      <c r="J129" s="30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24"/>
      <c r="V129" s="126"/>
      <c r="W129" s="149"/>
      <c r="X129" s="149"/>
      <c r="Y129" s="149"/>
      <c r="Z129" s="149"/>
      <c r="AA129" s="149"/>
      <c r="AB129" s="149"/>
      <c r="AC129" s="149"/>
      <c r="AD129" s="149"/>
    </row>
    <row r="130" spans="1:30" x14ac:dyDescent="0.2">
      <c r="A130" s="250"/>
      <c r="B130" s="251"/>
      <c r="C130" s="251"/>
      <c r="D130" s="298"/>
      <c r="E130" s="251"/>
      <c r="F130" s="299"/>
      <c r="G130" s="299"/>
      <c r="H130" s="251"/>
      <c r="I130" s="299"/>
      <c r="J130" s="30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24"/>
      <c r="V130" s="126"/>
      <c r="W130" s="149"/>
      <c r="X130" s="149"/>
      <c r="Y130" s="149"/>
      <c r="Z130" s="149"/>
      <c r="AA130" s="149"/>
      <c r="AB130" s="149"/>
      <c r="AC130" s="149"/>
      <c r="AD130" s="149"/>
    </row>
    <row r="131" spans="1:30" x14ac:dyDescent="0.2">
      <c r="A131" s="250"/>
      <c r="B131" s="251"/>
      <c r="C131" s="251"/>
      <c r="D131" s="298"/>
      <c r="E131" s="251"/>
      <c r="F131" s="299"/>
      <c r="G131" s="299"/>
      <c r="H131" s="251"/>
      <c r="I131" s="299"/>
      <c r="J131" s="30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24"/>
      <c r="V131" s="126"/>
      <c r="W131" s="149"/>
      <c r="X131" s="149"/>
      <c r="Y131" s="149"/>
      <c r="Z131" s="149"/>
      <c r="AA131" s="149"/>
      <c r="AB131" s="149"/>
      <c r="AC131" s="149"/>
      <c r="AD131" s="149"/>
    </row>
    <row r="132" spans="1:30" x14ac:dyDescent="0.2">
      <c r="A132" s="250"/>
      <c r="B132" s="251"/>
      <c r="C132" s="251"/>
      <c r="D132" s="298"/>
      <c r="E132" s="251"/>
      <c r="F132" s="299"/>
      <c r="G132" s="299"/>
      <c r="H132" s="251"/>
      <c r="I132" s="299"/>
      <c r="J132" s="30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24"/>
      <c r="V132" s="126"/>
      <c r="W132" s="149"/>
      <c r="X132" s="149"/>
      <c r="Y132" s="149"/>
      <c r="Z132" s="149"/>
      <c r="AA132" s="149"/>
      <c r="AB132" s="149"/>
      <c r="AC132" s="149"/>
      <c r="AD132" s="149"/>
    </row>
    <row r="133" spans="1:30" x14ac:dyDescent="0.2">
      <c r="A133" s="250"/>
      <c r="B133" s="251"/>
      <c r="C133" s="251"/>
      <c r="D133" s="298"/>
      <c r="E133" s="251"/>
      <c r="F133" s="299"/>
      <c r="G133" s="299"/>
      <c r="H133" s="251"/>
      <c r="I133" s="299"/>
      <c r="J133" s="30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24"/>
      <c r="V133" s="126"/>
      <c r="W133" s="149"/>
      <c r="X133" s="149"/>
      <c r="Y133" s="149"/>
      <c r="Z133" s="149"/>
      <c r="AA133" s="149"/>
      <c r="AB133" s="149"/>
      <c r="AC133" s="149"/>
      <c r="AD133" s="149"/>
    </row>
    <row r="134" spans="1:30" x14ac:dyDescent="0.2">
      <c r="A134" s="250"/>
      <c r="B134" s="251"/>
      <c r="C134" s="251"/>
      <c r="D134" s="298"/>
      <c r="E134" s="251"/>
      <c r="F134" s="299"/>
      <c r="G134" s="299"/>
      <c r="H134" s="251"/>
      <c r="I134" s="299"/>
      <c r="J134" s="30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24"/>
      <c r="V134" s="126"/>
      <c r="W134" s="149"/>
      <c r="X134" s="149"/>
      <c r="Y134" s="149"/>
      <c r="Z134" s="149"/>
      <c r="AA134" s="149"/>
      <c r="AB134" s="149"/>
      <c r="AC134" s="149"/>
      <c r="AD134" s="149"/>
    </row>
    <row r="135" spans="1:30" x14ac:dyDescent="0.2">
      <c r="A135" s="250"/>
      <c r="B135" s="251"/>
      <c r="C135" s="251"/>
      <c r="D135" s="298"/>
      <c r="E135" s="251"/>
      <c r="F135" s="299"/>
      <c r="G135" s="299"/>
      <c r="H135" s="251"/>
      <c r="I135" s="299"/>
      <c r="J135" s="30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24"/>
      <c r="V135" s="126"/>
      <c r="W135" s="149"/>
      <c r="X135" s="149"/>
      <c r="Y135" s="149"/>
      <c r="Z135" s="149"/>
      <c r="AA135" s="149"/>
      <c r="AB135" s="149"/>
      <c r="AC135" s="149"/>
      <c r="AD135" s="149"/>
    </row>
    <row r="136" spans="1:30" x14ac:dyDescent="0.2">
      <c r="A136" s="250"/>
      <c r="B136" s="251"/>
      <c r="C136" s="251"/>
      <c r="D136" s="298"/>
      <c r="E136" s="251"/>
      <c r="F136" s="299"/>
      <c r="G136" s="299"/>
      <c r="H136" s="251"/>
      <c r="I136" s="299"/>
      <c r="J136" s="30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24"/>
      <c r="V136" s="126"/>
      <c r="W136" s="149"/>
      <c r="X136" s="149"/>
      <c r="Y136" s="149"/>
      <c r="Z136" s="149"/>
      <c r="AA136" s="149"/>
      <c r="AB136" s="149"/>
      <c r="AC136" s="149"/>
      <c r="AD136" s="149"/>
    </row>
    <row r="137" spans="1:30" x14ac:dyDescent="0.2">
      <c r="A137" s="250"/>
      <c r="B137" s="251"/>
      <c r="C137" s="251"/>
      <c r="D137" s="298"/>
      <c r="E137" s="251"/>
      <c r="F137" s="299"/>
      <c r="G137" s="299"/>
      <c r="H137" s="251"/>
      <c r="I137" s="299"/>
      <c r="J137" s="30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24"/>
      <c r="V137" s="126"/>
      <c r="W137" s="149"/>
      <c r="X137" s="149"/>
      <c r="Y137" s="149"/>
      <c r="Z137" s="149"/>
      <c r="AA137" s="149"/>
      <c r="AB137" s="149"/>
      <c r="AC137" s="149"/>
      <c r="AD137" s="149"/>
    </row>
    <row r="138" spans="1:30" x14ac:dyDescent="0.2">
      <c r="A138" s="250"/>
      <c r="B138" s="251"/>
      <c r="C138" s="251"/>
      <c r="D138" s="298"/>
      <c r="E138" s="251"/>
      <c r="F138" s="299"/>
      <c r="G138" s="299"/>
      <c r="H138" s="251"/>
      <c r="I138" s="299"/>
      <c r="J138" s="30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24"/>
      <c r="V138" s="126"/>
      <c r="W138" s="149"/>
      <c r="X138" s="149"/>
      <c r="Y138" s="149"/>
      <c r="Z138" s="149"/>
      <c r="AA138" s="149"/>
      <c r="AB138" s="149"/>
      <c r="AC138" s="149"/>
      <c r="AD138" s="149"/>
    </row>
    <row r="139" spans="1:30" x14ac:dyDescent="0.2">
      <c r="A139" s="250"/>
      <c r="B139" s="251"/>
      <c r="C139" s="251"/>
      <c r="D139" s="298"/>
      <c r="E139" s="251"/>
      <c r="F139" s="299"/>
      <c r="G139" s="299"/>
      <c r="H139" s="251"/>
      <c r="I139" s="299"/>
      <c r="J139" s="30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24"/>
      <c r="V139" s="126"/>
      <c r="W139" s="149"/>
      <c r="X139" s="149"/>
      <c r="Y139" s="149"/>
      <c r="Z139" s="149"/>
      <c r="AA139" s="149"/>
      <c r="AB139" s="149"/>
      <c r="AC139" s="149"/>
      <c r="AD139" s="149"/>
    </row>
    <row r="140" spans="1:30" x14ac:dyDescent="0.2">
      <c r="A140" s="250"/>
      <c r="B140" s="251"/>
      <c r="C140" s="251"/>
      <c r="D140" s="298"/>
      <c r="E140" s="251"/>
      <c r="F140" s="299"/>
      <c r="G140" s="299"/>
      <c r="H140" s="251"/>
      <c r="I140" s="299"/>
      <c r="J140" s="30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24"/>
      <c r="V140" s="126"/>
      <c r="W140" s="149"/>
      <c r="X140" s="149"/>
      <c r="Y140" s="149"/>
      <c r="Z140" s="149"/>
      <c r="AA140" s="149"/>
      <c r="AB140" s="149"/>
      <c r="AC140" s="149"/>
      <c r="AD140" s="149"/>
    </row>
    <row r="141" spans="1:30" x14ac:dyDescent="0.2">
      <c r="A141" s="250"/>
      <c r="B141" s="251"/>
      <c r="C141" s="251"/>
      <c r="D141" s="298"/>
      <c r="E141" s="251"/>
      <c r="F141" s="299"/>
      <c r="G141" s="299"/>
      <c r="H141" s="251"/>
      <c r="I141" s="299"/>
      <c r="J141" s="30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24"/>
      <c r="V141" s="126"/>
      <c r="W141" s="149"/>
      <c r="X141" s="149"/>
      <c r="Y141" s="149"/>
      <c r="Z141" s="149"/>
      <c r="AA141" s="149"/>
      <c r="AB141" s="149"/>
      <c r="AC141" s="149"/>
      <c r="AD141" s="149"/>
    </row>
    <row r="142" spans="1:30" x14ac:dyDescent="0.2">
      <c r="A142" s="250"/>
      <c r="B142" s="251"/>
      <c r="C142" s="251"/>
      <c r="D142" s="298"/>
      <c r="E142" s="251"/>
      <c r="F142" s="299"/>
      <c r="G142" s="299"/>
      <c r="H142" s="251"/>
      <c r="I142" s="299"/>
      <c r="J142" s="30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24"/>
      <c r="V142" s="126"/>
      <c r="W142" s="149"/>
      <c r="X142" s="149"/>
      <c r="Y142" s="149"/>
      <c r="Z142" s="149"/>
      <c r="AA142" s="149"/>
      <c r="AB142" s="149"/>
      <c r="AC142" s="149"/>
      <c r="AD142" s="149"/>
    </row>
    <row r="143" spans="1:30" x14ac:dyDescent="0.2">
      <c r="A143" s="250"/>
      <c r="B143" s="251"/>
      <c r="C143" s="251"/>
      <c r="D143" s="298"/>
      <c r="E143" s="251"/>
      <c r="F143" s="299"/>
      <c r="G143" s="299"/>
      <c r="H143" s="251"/>
      <c r="I143" s="299"/>
      <c r="J143" s="30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24"/>
      <c r="V143" s="126"/>
      <c r="W143" s="149"/>
      <c r="X143" s="149"/>
      <c r="Y143" s="149"/>
      <c r="Z143" s="149"/>
      <c r="AA143" s="149"/>
      <c r="AB143" s="149"/>
      <c r="AC143" s="149"/>
      <c r="AD143" s="149"/>
    </row>
    <row r="144" spans="1:30" x14ac:dyDescent="0.2">
      <c r="A144" s="250"/>
      <c r="B144" s="251"/>
      <c r="C144" s="251"/>
      <c r="D144" s="298"/>
      <c r="E144" s="251"/>
      <c r="F144" s="299"/>
      <c r="G144" s="299"/>
      <c r="H144" s="251"/>
      <c r="I144" s="299"/>
      <c r="J144" s="30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24"/>
      <c r="V144" s="126"/>
      <c r="W144" s="149"/>
      <c r="X144" s="149"/>
      <c r="Y144" s="149"/>
      <c r="Z144" s="149"/>
      <c r="AA144" s="149"/>
      <c r="AB144" s="149"/>
      <c r="AC144" s="149"/>
      <c r="AD144" s="149"/>
    </row>
    <row r="145" spans="1:30" x14ac:dyDescent="0.2">
      <c r="A145" s="250"/>
      <c r="B145" s="251"/>
      <c r="C145" s="251"/>
      <c r="D145" s="298"/>
      <c r="E145" s="251"/>
      <c r="F145" s="299"/>
      <c r="G145" s="299"/>
      <c r="H145" s="251"/>
      <c r="I145" s="299"/>
      <c r="J145" s="30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24"/>
      <c r="V145" s="126"/>
      <c r="W145" s="149"/>
      <c r="X145" s="149"/>
      <c r="Y145" s="149"/>
      <c r="Z145" s="149"/>
      <c r="AA145" s="149"/>
      <c r="AB145" s="149"/>
      <c r="AC145" s="149"/>
      <c r="AD145" s="149"/>
    </row>
    <row r="146" spans="1:30" x14ac:dyDescent="0.2">
      <c r="A146" s="250"/>
      <c r="B146" s="251"/>
      <c r="C146" s="251"/>
      <c r="D146" s="298"/>
      <c r="E146" s="251"/>
      <c r="F146" s="299"/>
      <c r="G146" s="299"/>
      <c r="H146" s="251"/>
      <c r="I146" s="299"/>
      <c r="J146" s="30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24"/>
      <c r="V146" s="126"/>
      <c r="W146" s="149"/>
      <c r="X146" s="149"/>
      <c r="Y146" s="149"/>
      <c r="Z146" s="149"/>
      <c r="AA146" s="149"/>
      <c r="AB146" s="149"/>
      <c r="AC146" s="149"/>
      <c r="AD146" s="149"/>
    </row>
    <row r="147" spans="1:30" x14ac:dyDescent="0.2">
      <c r="A147" s="250"/>
      <c r="B147" s="251"/>
      <c r="C147" s="251"/>
      <c r="D147" s="298"/>
      <c r="E147" s="251"/>
      <c r="F147" s="299"/>
      <c r="G147" s="299"/>
      <c r="H147" s="251"/>
      <c r="I147" s="299"/>
      <c r="J147" s="30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24"/>
      <c r="V147" s="126"/>
      <c r="W147" s="149"/>
      <c r="X147" s="149"/>
      <c r="Y147" s="149"/>
      <c r="Z147" s="149"/>
      <c r="AA147" s="149"/>
      <c r="AB147" s="149"/>
      <c r="AC147" s="149"/>
      <c r="AD147" s="149"/>
    </row>
    <row r="148" spans="1:30" x14ac:dyDescent="0.2">
      <c r="A148" s="250"/>
      <c r="B148" s="251"/>
      <c r="C148" s="251"/>
      <c r="D148" s="298"/>
      <c r="E148" s="251"/>
      <c r="F148" s="299"/>
      <c r="G148" s="299"/>
      <c r="H148" s="251"/>
      <c r="I148" s="299"/>
      <c r="J148" s="30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24"/>
      <c r="V148" s="126"/>
      <c r="W148" s="149"/>
      <c r="X148" s="149"/>
      <c r="Y148" s="149"/>
      <c r="Z148" s="149"/>
      <c r="AA148" s="149"/>
      <c r="AB148" s="149"/>
      <c r="AC148" s="149"/>
      <c r="AD148" s="149"/>
    </row>
    <row r="149" spans="1:30" x14ac:dyDescent="0.2">
      <c r="A149" s="250"/>
      <c r="B149" s="251"/>
      <c r="C149" s="251"/>
      <c r="D149" s="298"/>
      <c r="E149" s="251"/>
      <c r="F149" s="299"/>
      <c r="G149" s="299"/>
      <c r="H149" s="251"/>
      <c r="I149" s="299"/>
      <c r="J149" s="30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24"/>
      <c r="V149" s="126"/>
      <c r="W149" s="149"/>
      <c r="X149" s="149"/>
      <c r="Y149" s="149"/>
      <c r="Z149" s="149"/>
      <c r="AA149" s="149"/>
      <c r="AB149" s="149"/>
      <c r="AC149" s="149"/>
      <c r="AD149" s="149"/>
    </row>
    <row r="150" spans="1:30" x14ac:dyDescent="0.2">
      <c r="A150" s="250"/>
      <c r="B150" s="251"/>
      <c r="C150" s="251"/>
      <c r="D150" s="298"/>
      <c r="E150" s="251"/>
      <c r="F150" s="299"/>
      <c r="G150" s="299"/>
      <c r="H150" s="251"/>
      <c r="I150" s="299"/>
      <c r="J150" s="30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24"/>
      <c r="V150" s="126"/>
      <c r="W150" s="149"/>
      <c r="X150" s="149"/>
      <c r="Y150" s="149"/>
      <c r="Z150" s="149"/>
      <c r="AA150" s="149"/>
      <c r="AB150" s="149"/>
      <c r="AC150" s="149"/>
      <c r="AD150" s="149"/>
    </row>
    <row r="151" spans="1:30" x14ac:dyDescent="0.2">
      <c r="A151" s="250"/>
      <c r="B151" s="251"/>
      <c r="C151" s="251"/>
      <c r="D151" s="298"/>
      <c r="E151" s="251"/>
      <c r="F151" s="299"/>
      <c r="G151" s="299"/>
      <c r="H151" s="251"/>
      <c r="I151" s="299"/>
      <c r="J151" s="30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24"/>
      <c r="V151" s="126"/>
      <c r="W151" s="149"/>
      <c r="X151" s="149"/>
      <c r="Y151" s="149"/>
      <c r="Z151" s="149"/>
      <c r="AA151" s="149"/>
      <c r="AB151" s="149"/>
      <c r="AC151" s="149"/>
      <c r="AD151" s="149"/>
    </row>
    <row r="152" spans="1:30" x14ac:dyDescent="0.2">
      <c r="A152" s="250"/>
      <c r="B152" s="251"/>
      <c r="C152" s="251"/>
      <c r="D152" s="298"/>
      <c r="E152" s="251"/>
      <c r="F152" s="299"/>
      <c r="G152" s="299"/>
      <c r="H152" s="251"/>
      <c r="I152" s="299"/>
      <c r="J152" s="30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24"/>
      <c r="V152" s="126"/>
      <c r="W152" s="149"/>
      <c r="X152" s="149"/>
      <c r="Y152" s="149"/>
      <c r="Z152" s="149"/>
      <c r="AA152" s="149"/>
      <c r="AB152" s="149"/>
      <c r="AC152" s="149"/>
      <c r="AD152" s="149"/>
    </row>
    <row r="153" spans="1:30" x14ac:dyDescent="0.2">
      <c r="A153" s="250"/>
      <c r="B153" s="251"/>
      <c r="C153" s="251"/>
      <c r="D153" s="298"/>
      <c r="E153" s="251"/>
      <c r="F153" s="299"/>
      <c r="G153" s="299"/>
      <c r="H153" s="251"/>
      <c r="I153" s="299"/>
      <c r="J153" s="30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24"/>
      <c r="V153" s="126"/>
      <c r="W153" s="149"/>
      <c r="X153" s="149"/>
      <c r="Y153" s="149"/>
      <c r="Z153" s="149"/>
      <c r="AA153" s="149"/>
      <c r="AB153" s="149"/>
      <c r="AC153" s="149"/>
      <c r="AD153" s="149"/>
    </row>
    <row r="154" spans="1:30" x14ac:dyDescent="0.2">
      <c r="A154" s="250"/>
      <c r="B154" s="251"/>
      <c r="C154" s="251"/>
      <c r="D154" s="298"/>
      <c r="E154" s="251"/>
      <c r="F154" s="299"/>
      <c r="G154" s="299"/>
      <c r="H154" s="251"/>
      <c r="I154" s="299"/>
      <c r="J154" s="30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24"/>
      <c r="V154" s="126"/>
      <c r="W154" s="149"/>
      <c r="X154" s="149"/>
      <c r="Y154" s="149"/>
      <c r="Z154" s="149"/>
      <c r="AA154" s="149"/>
      <c r="AB154" s="149"/>
      <c r="AC154" s="149"/>
      <c r="AD154" s="149"/>
    </row>
    <row r="155" spans="1:30" x14ac:dyDescent="0.2">
      <c r="A155" s="250"/>
      <c r="B155" s="251"/>
      <c r="C155" s="251"/>
      <c r="D155" s="298"/>
      <c r="E155" s="251"/>
      <c r="F155" s="299"/>
      <c r="G155" s="299"/>
      <c r="H155" s="251"/>
      <c r="I155" s="299"/>
      <c r="J155" s="30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24"/>
      <c r="V155" s="126"/>
      <c r="W155" s="149"/>
      <c r="X155" s="149"/>
      <c r="Y155" s="149"/>
      <c r="Z155" s="149"/>
      <c r="AA155" s="149"/>
      <c r="AB155" s="149"/>
      <c r="AC155" s="149"/>
      <c r="AD155" s="149"/>
    </row>
    <row r="156" spans="1:30" x14ac:dyDescent="0.2">
      <c r="A156" s="250"/>
      <c r="B156" s="251"/>
      <c r="C156" s="251"/>
      <c r="D156" s="298"/>
      <c r="E156" s="251"/>
      <c r="F156" s="299"/>
      <c r="G156" s="299"/>
      <c r="H156" s="251"/>
      <c r="I156" s="299"/>
      <c r="J156" s="30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24"/>
      <c r="V156" s="126"/>
      <c r="W156" s="149"/>
      <c r="X156" s="149"/>
      <c r="Y156" s="149"/>
      <c r="Z156" s="149"/>
      <c r="AA156" s="149"/>
      <c r="AB156" s="149"/>
      <c r="AC156" s="149"/>
      <c r="AD156" s="149"/>
    </row>
    <row r="157" spans="1:30" x14ac:dyDescent="0.2">
      <c r="A157" s="250"/>
      <c r="B157" s="251"/>
      <c r="C157" s="251"/>
      <c r="D157" s="298"/>
      <c r="E157" s="251"/>
      <c r="F157" s="299"/>
      <c r="G157" s="299"/>
      <c r="H157" s="251"/>
      <c r="I157" s="299"/>
      <c r="J157" s="30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24"/>
      <c r="V157" s="126"/>
      <c r="W157" s="149"/>
      <c r="X157" s="149"/>
      <c r="Y157" s="149"/>
      <c r="Z157" s="149"/>
      <c r="AA157" s="149"/>
      <c r="AB157" s="149"/>
      <c r="AC157" s="149"/>
      <c r="AD157" s="149"/>
    </row>
    <row r="158" spans="1:30" x14ac:dyDescent="0.2">
      <c r="A158" s="250"/>
      <c r="B158" s="251"/>
      <c r="C158" s="251"/>
      <c r="D158" s="298"/>
      <c r="E158" s="251"/>
      <c r="F158" s="299"/>
      <c r="G158" s="299"/>
      <c r="H158" s="251"/>
      <c r="I158" s="299"/>
      <c r="J158" s="30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24"/>
      <c r="V158" s="126"/>
      <c r="W158" s="149"/>
      <c r="X158" s="149"/>
      <c r="Y158" s="149"/>
      <c r="Z158" s="149"/>
      <c r="AA158" s="149"/>
      <c r="AB158" s="149"/>
      <c r="AC158" s="149"/>
      <c r="AD158" s="149"/>
    </row>
    <row r="159" spans="1:30" x14ac:dyDescent="0.2">
      <c r="A159" s="250"/>
      <c r="B159" s="251"/>
      <c r="C159" s="251"/>
      <c r="D159" s="298"/>
      <c r="E159" s="251"/>
      <c r="F159" s="299"/>
      <c r="G159" s="299"/>
      <c r="H159" s="251"/>
      <c r="I159" s="299"/>
      <c r="J159" s="30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24"/>
      <c r="V159" s="126"/>
      <c r="W159" s="149"/>
      <c r="X159" s="149"/>
      <c r="Y159" s="149"/>
      <c r="Z159" s="149"/>
      <c r="AA159" s="149"/>
      <c r="AB159" s="149"/>
      <c r="AC159" s="149"/>
      <c r="AD159" s="149"/>
    </row>
    <row r="160" spans="1:30" x14ac:dyDescent="0.2">
      <c r="A160" s="250"/>
      <c r="B160" s="251"/>
      <c r="C160" s="251"/>
      <c r="D160" s="298"/>
      <c r="E160" s="251"/>
      <c r="F160" s="299"/>
      <c r="G160" s="299"/>
      <c r="H160" s="251"/>
      <c r="I160" s="299"/>
      <c r="J160" s="30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24"/>
      <c r="V160" s="126"/>
      <c r="W160" s="149"/>
      <c r="X160" s="149"/>
      <c r="Y160" s="149"/>
      <c r="Z160" s="149"/>
      <c r="AA160" s="149"/>
      <c r="AB160" s="149"/>
      <c r="AC160" s="149"/>
      <c r="AD160" s="149"/>
    </row>
    <row r="161" spans="1:30" x14ac:dyDescent="0.2">
      <c r="A161" s="250"/>
      <c r="B161" s="251"/>
      <c r="C161" s="251"/>
      <c r="D161" s="298"/>
      <c r="E161" s="251"/>
      <c r="F161" s="299"/>
      <c r="G161" s="299"/>
      <c r="H161" s="251"/>
      <c r="I161" s="299"/>
      <c r="J161" s="30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24"/>
      <c r="V161" s="126"/>
      <c r="W161" s="149"/>
      <c r="X161" s="149"/>
      <c r="Y161" s="149"/>
      <c r="Z161" s="149"/>
      <c r="AA161" s="149"/>
      <c r="AB161" s="149"/>
      <c r="AC161" s="149"/>
      <c r="AD161" s="149"/>
    </row>
    <row r="162" spans="1:30" x14ac:dyDescent="0.2">
      <c r="A162" s="250"/>
      <c r="B162" s="251"/>
      <c r="C162" s="251"/>
      <c r="D162" s="298"/>
      <c r="E162" s="251"/>
      <c r="F162" s="299"/>
      <c r="G162" s="299"/>
      <c r="H162" s="251"/>
      <c r="I162" s="299"/>
      <c r="J162" s="30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24"/>
      <c r="V162" s="126"/>
      <c r="W162" s="149"/>
      <c r="X162" s="149"/>
      <c r="Y162" s="149"/>
      <c r="Z162" s="149"/>
      <c r="AA162" s="149"/>
      <c r="AB162" s="149"/>
      <c r="AC162" s="149"/>
      <c r="AD162" s="149"/>
    </row>
    <row r="163" spans="1:30" x14ac:dyDescent="0.2">
      <c r="A163" s="250"/>
      <c r="B163" s="251"/>
      <c r="C163" s="251"/>
      <c r="D163" s="298"/>
      <c r="E163" s="251"/>
      <c r="F163" s="299"/>
      <c r="G163" s="299"/>
      <c r="H163" s="251"/>
      <c r="I163" s="299"/>
      <c r="J163" s="30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24"/>
      <c r="V163" s="126"/>
      <c r="W163" s="149"/>
      <c r="X163" s="149"/>
      <c r="Y163" s="149"/>
      <c r="Z163" s="149"/>
      <c r="AA163" s="149"/>
      <c r="AB163" s="149"/>
      <c r="AC163" s="149"/>
      <c r="AD163" s="149"/>
    </row>
    <row r="164" spans="1:30" x14ac:dyDescent="0.2">
      <c r="A164" s="250"/>
      <c r="B164" s="251"/>
      <c r="C164" s="251"/>
      <c r="D164" s="298"/>
      <c r="E164" s="251"/>
      <c r="F164" s="299"/>
      <c r="G164" s="299"/>
      <c r="H164" s="251"/>
      <c r="I164" s="299"/>
      <c r="J164" s="30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24"/>
      <c r="V164" s="126"/>
      <c r="W164" s="149"/>
      <c r="X164" s="149"/>
      <c r="Y164" s="149"/>
      <c r="Z164" s="149"/>
      <c r="AA164" s="149"/>
      <c r="AB164" s="149"/>
      <c r="AC164" s="149"/>
      <c r="AD164" s="149"/>
    </row>
    <row r="165" spans="1:30" x14ac:dyDescent="0.2">
      <c r="A165" s="250"/>
      <c r="B165" s="251"/>
      <c r="C165" s="251"/>
      <c r="D165" s="298"/>
      <c r="E165" s="251"/>
      <c r="F165" s="299"/>
      <c r="G165" s="299"/>
      <c r="H165" s="251"/>
      <c r="I165" s="299"/>
      <c r="J165" s="30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24"/>
      <c r="V165" s="126"/>
      <c r="W165" s="149"/>
      <c r="X165" s="149"/>
      <c r="Y165" s="149"/>
      <c r="Z165" s="149"/>
      <c r="AA165" s="149"/>
      <c r="AB165" s="149"/>
      <c r="AC165" s="149"/>
      <c r="AD165" s="149"/>
    </row>
    <row r="166" spans="1:30" x14ac:dyDescent="0.2">
      <c r="A166" s="250"/>
      <c r="B166" s="251"/>
      <c r="C166" s="251"/>
      <c r="D166" s="298"/>
      <c r="E166" s="251"/>
      <c r="F166" s="299"/>
      <c r="G166" s="299"/>
      <c r="H166" s="251"/>
      <c r="I166" s="299"/>
      <c r="J166" s="30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24"/>
      <c r="V166" s="126"/>
      <c r="W166" s="149"/>
      <c r="X166" s="149"/>
      <c r="Y166" s="149"/>
      <c r="Z166" s="149"/>
      <c r="AA166" s="149"/>
      <c r="AB166" s="149"/>
      <c r="AC166" s="149"/>
      <c r="AD166" s="149"/>
    </row>
    <row r="167" spans="1:30" x14ac:dyDescent="0.2">
      <c r="A167" s="250"/>
      <c r="B167" s="251"/>
      <c r="C167" s="251"/>
      <c r="D167" s="298"/>
      <c r="E167" s="251"/>
      <c r="F167" s="299"/>
      <c r="G167" s="299"/>
      <c r="H167" s="251"/>
      <c r="I167" s="299"/>
      <c r="J167" s="30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24"/>
      <c r="V167" s="126"/>
      <c r="W167" s="149"/>
      <c r="X167" s="149"/>
      <c r="Y167" s="149"/>
      <c r="Z167" s="149"/>
      <c r="AA167" s="149"/>
      <c r="AB167" s="149"/>
      <c r="AC167" s="149"/>
      <c r="AD167" s="149"/>
    </row>
    <row r="168" spans="1:30" x14ac:dyDescent="0.2">
      <c r="A168" s="250"/>
      <c r="B168" s="251"/>
      <c r="C168" s="251"/>
      <c r="D168" s="298"/>
      <c r="E168" s="251"/>
      <c r="F168" s="299"/>
      <c r="G168" s="299"/>
      <c r="H168" s="251"/>
      <c r="I168" s="299"/>
      <c r="J168" s="30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24"/>
      <c r="V168" s="126"/>
      <c r="W168" s="149"/>
      <c r="X168" s="149"/>
      <c r="Y168" s="149"/>
      <c r="Z168" s="149"/>
      <c r="AA168" s="149"/>
      <c r="AB168" s="149"/>
      <c r="AC168" s="149"/>
      <c r="AD168" s="149"/>
    </row>
    <row r="169" spans="1:30" x14ac:dyDescent="0.2">
      <c r="A169" s="250"/>
      <c r="B169" s="251"/>
      <c r="C169" s="251"/>
      <c r="D169" s="298"/>
      <c r="E169" s="251"/>
      <c r="F169" s="299"/>
      <c r="G169" s="299"/>
      <c r="H169" s="251"/>
      <c r="I169" s="299"/>
      <c r="J169" s="30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24"/>
      <c r="V169" s="126"/>
      <c r="W169" s="149"/>
      <c r="X169" s="149"/>
      <c r="Y169" s="149"/>
      <c r="Z169" s="149"/>
      <c r="AA169" s="149"/>
      <c r="AB169" s="149"/>
      <c r="AC169" s="149"/>
      <c r="AD169" s="149"/>
    </row>
    <row r="170" spans="1:30" x14ac:dyDescent="0.2">
      <c r="A170" s="250"/>
      <c r="B170" s="251"/>
      <c r="C170" s="251"/>
      <c r="D170" s="298"/>
      <c r="E170" s="251"/>
      <c r="F170" s="299"/>
      <c r="G170" s="299"/>
      <c r="H170" s="251"/>
      <c r="I170" s="299"/>
      <c r="J170" s="30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24"/>
      <c r="V170" s="126"/>
      <c r="W170" s="149"/>
      <c r="X170" s="149"/>
      <c r="Y170" s="149"/>
      <c r="Z170" s="149"/>
      <c r="AA170" s="149"/>
      <c r="AB170" s="149"/>
      <c r="AC170" s="149"/>
      <c r="AD170" s="149"/>
    </row>
    <row r="171" spans="1:30" x14ac:dyDescent="0.2">
      <c r="A171" s="250"/>
      <c r="B171" s="251"/>
      <c r="C171" s="251"/>
      <c r="D171" s="298"/>
      <c r="E171" s="251"/>
      <c r="F171" s="299"/>
      <c r="G171" s="299"/>
      <c r="H171" s="251"/>
      <c r="I171" s="299"/>
      <c r="J171" s="30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24"/>
      <c r="V171" s="126"/>
      <c r="W171" s="149"/>
      <c r="X171" s="149"/>
      <c r="Y171" s="149"/>
      <c r="Z171" s="149"/>
      <c r="AA171" s="149"/>
      <c r="AB171" s="149"/>
      <c r="AC171" s="149"/>
      <c r="AD171" s="149"/>
    </row>
    <row r="172" spans="1:30" x14ac:dyDescent="0.2">
      <c r="A172" s="250"/>
      <c r="B172" s="251"/>
      <c r="C172" s="251"/>
      <c r="D172" s="298"/>
      <c r="E172" s="251"/>
      <c r="F172" s="299"/>
      <c r="G172" s="299"/>
      <c r="H172" s="251"/>
      <c r="I172" s="299"/>
      <c r="J172" s="30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24"/>
      <c r="V172" s="126"/>
      <c r="W172" s="149"/>
      <c r="X172" s="149"/>
      <c r="Y172" s="149"/>
      <c r="Z172" s="149"/>
      <c r="AA172" s="149"/>
      <c r="AB172" s="149"/>
      <c r="AC172" s="149"/>
      <c r="AD172" s="149"/>
    </row>
    <row r="173" spans="1:30" x14ac:dyDescent="0.2">
      <c r="A173" s="250"/>
      <c r="B173" s="251"/>
      <c r="C173" s="251"/>
      <c r="D173" s="298"/>
      <c r="E173" s="251"/>
      <c r="F173" s="299"/>
      <c r="G173" s="299"/>
      <c r="H173" s="251"/>
      <c r="I173" s="299"/>
      <c r="J173" s="30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24"/>
      <c r="V173" s="126"/>
      <c r="W173" s="149"/>
      <c r="X173" s="149"/>
      <c r="Y173" s="149"/>
      <c r="Z173" s="149"/>
      <c r="AA173" s="149"/>
      <c r="AB173" s="149"/>
      <c r="AC173" s="149"/>
      <c r="AD173" s="149"/>
    </row>
    <row r="174" spans="1:30" x14ac:dyDescent="0.2">
      <c r="A174" s="250"/>
      <c r="B174" s="251"/>
      <c r="C174" s="251"/>
      <c r="D174" s="298"/>
      <c r="E174" s="251"/>
      <c r="F174" s="299"/>
      <c r="G174" s="299"/>
      <c r="H174" s="251"/>
      <c r="I174" s="299"/>
      <c r="J174" s="30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24"/>
      <c r="V174" s="126"/>
      <c r="W174" s="149"/>
      <c r="X174" s="149"/>
      <c r="Y174" s="149"/>
      <c r="Z174" s="149"/>
      <c r="AA174" s="149"/>
      <c r="AB174" s="149"/>
      <c r="AC174" s="149"/>
      <c r="AD174" s="149"/>
    </row>
    <row r="175" spans="1:30" x14ac:dyDescent="0.2">
      <c r="A175" s="250"/>
      <c r="B175" s="251"/>
      <c r="C175" s="251"/>
      <c r="D175" s="298"/>
      <c r="E175" s="251"/>
      <c r="F175" s="299"/>
      <c r="G175" s="299"/>
      <c r="H175" s="251"/>
      <c r="I175" s="299"/>
      <c r="J175" s="30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24"/>
      <c r="V175" s="126"/>
      <c r="W175" s="149"/>
      <c r="X175" s="149"/>
      <c r="Y175" s="149"/>
      <c r="Z175" s="149"/>
      <c r="AA175" s="149"/>
      <c r="AB175" s="149"/>
      <c r="AC175" s="149"/>
      <c r="AD175" s="149"/>
    </row>
    <row r="176" spans="1:30" x14ac:dyDescent="0.2">
      <c r="A176" s="250"/>
      <c r="B176" s="251"/>
      <c r="C176" s="251"/>
      <c r="D176" s="298"/>
      <c r="E176" s="251"/>
      <c r="F176" s="299"/>
      <c r="G176" s="299"/>
      <c r="H176" s="251"/>
      <c r="I176" s="299"/>
      <c r="J176" s="30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24"/>
      <c r="V176" s="126"/>
      <c r="W176" s="149"/>
      <c r="X176" s="149"/>
      <c r="Y176" s="149"/>
      <c r="Z176" s="149"/>
      <c r="AA176" s="149"/>
      <c r="AB176" s="149"/>
      <c r="AC176" s="149"/>
      <c r="AD176" s="149"/>
    </row>
    <row r="177" spans="1:30" x14ac:dyDescent="0.2">
      <c r="A177" s="250"/>
      <c r="B177" s="251"/>
      <c r="C177" s="251"/>
      <c r="D177" s="298"/>
      <c r="E177" s="251"/>
      <c r="F177" s="299"/>
      <c r="G177" s="299"/>
      <c r="H177" s="251"/>
      <c r="I177" s="299"/>
      <c r="J177" s="30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24"/>
      <c r="V177" s="126"/>
      <c r="W177" s="149"/>
      <c r="X177" s="149"/>
      <c r="Y177" s="149"/>
      <c r="Z177" s="149"/>
      <c r="AA177" s="149"/>
      <c r="AB177" s="149"/>
      <c r="AC177" s="149"/>
      <c r="AD177" s="149"/>
    </row>
    <row r="178" spans="1:30" x14ac:dyDescent="0.2">
      <c r="A178" s="250"/>
      <c r="B178" s="251"/>
      <c r="C178" s="251"/>
      <c r="D178" s="298"/>
      <c r="E178" s="251"/>
      <c r="F178" s="299"/>
      <c r="G178" s="299"/>
      <c r="H178" s="251"/>
      <c r="I178" s="299"/>
      <c r="J178" s="30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24"/>
      <c r="V178" s="126"/>
      <c r="W178" s="149"/>
      <c r="X178" s="149"/>
      <c r="Y178" s="149"/>
      <c r="Z178" s="149"/>
      <c r="AA178" s="149"/>
      <c r="AB178" s="149"/>
      <c r="AC178" s="149"/>
      <c r="AD178" s="149"/>
    </row>
    <row r="179" spans="1:30" x14ac:dyDescent="0.2">
      <c r="A179" s="250"/>
      <c r="B179" s="251"/>
      <c r="C179" s="251"/>
      <c r="D179" s="298"/>
      <c r="E179" s="251"/>
      <c r="F179" s="299"/>
      <c r="G179" s="299"/>
      <c r="H179" s="251"/>
      <c r="I179" s="299"/>
      <c r="J179" s="30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24"/>
      <c r="V179" s="126"/>
      <c r="W179" s="149"/>
      <c r="X179" s="149"/>
      <c r="Y179" s="149"/>
      <c r="Z179" s="149"/>
      <c r="AA179" s="149"/>
      <c r="AB179" s="149"/>
      <c r="AC179" s="149"/>
      <c r="AD179" s="149"/>
    </row>
    <row r="180" spans="1:30" x14ac:dyDescent="0.2">
      <c r="A180" s="250"/>
      <c r="B180" s="251"/>
      <c r="C180" s="251"/>
      <c r="D180" s="298"/>
      <c r="E180" s="251"/>
      <c r="F180" s="299"/>
      <c r="G180" s="299"/>
      <c r="H180" s="251"/>
      <c r="I180" s="299"/>
      <c r="J180" s="30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24"/>
      <c r="V180" s="126"/>
      <c r="W180" s="149"/>
      <c r="X180" s="149"/>
      <c r="Y180" s="149"/>
      <c r="Z180" s="149"/>
      <c r="AA180" s="149"/>
      <c r="AB180" s="149"/>
      <c r="AC180" s="149"/>
      <c r="AD180" s="149"/>
    </row>
    <row r="181" spans="1:30" x14ac:dyDescent="0.2">
      <c r="A181" s="250"/>
      <c r="B181" s="251"/>
      <c r="C181" s="251"/>
      <c r="D181" s="298"/>
      <c r="E181" s="251"/>
      <c r="F181" s="299"/>
      <c r="G181" s="299"/>
      <c r="H181" s="251"/>
      <c r="I181" s="299"/>
      <c r="J181" s="30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24"/>
      <c r="V181" s="126"/>
      <c r="W181" s="149"/>
      <c r="X181" s="149"/>
      <c r="Y181" s="149"/>
      <c r="Z181" s="149"/>
      <c r="AA181" s="149"/>
      <c r="AB181" s="149"/>
      <c r="AC181" s="149"/>
      <c r="AD181" s="149"/>
    </row>
    <row r="182" spans="1:30" x14ac:dyDescent="0.2">
      <c r="A182" s="250"/>
      <c r="B182" s="251"/>
      <c r="C182" s="251"/>
      <c r="D182" s="298"/>
      <c r="E182" s="251"/>
      <c r="F182" s="299"/>
      <c r="G182" s="299"/>
      <c r="H182" s="251"/>
      <c r="I182" s="299"/>
      <c r="J182" s="30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24"/>
      <c r="V182" s="126"/>
      <c r="W182" s="149"/>
      <c r="X182" s="149"/>
      <c r="Y182" s="149"/>
      <c r="Z182" s="149"/>
      <c r="AA182" s="149"/>
      <c r="AB182" s="149"/>
      <c r="AC182" s="149"/>
      <c r="AD182" s="149"/>
    </row>
    <row r="183" spans="1:30" x14ac:dyDescent="0.2">
      <c r="A183" s="250"/>
      <c r="B183" s="251"/>
      <c r="C183" s="251"/>
      <c r="D183" s="298"/>
      <c r="E183" s="251"/>
      <c r="F183" s="299"/>
      <c r="G183" s="299"/>
      <c r="H183" s="251"/>
      <c r="I183" s="299"/>
      <c r="J183" s="30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24"/>
      <c r="V183" s="126"/>
      <c r="W183" s="149"/>
      <c r="X183" s="149"/>
      <c r="Y183" s="149"/>
      <c r="Z183" s="149"/>
      <c r="AA183" s="149"/>
      <c r="AB183" s="149"/>
      <c r="AC183" s="149"/>
      <c r="AD183" s="149"/>
    </row>
    <row r="184" spans="1:30" x14ac:dyDescent="0.2">
      <c r="A184" s="250"/>
      <c r="B184" s="251"/>
      <c r="C184" s="251"/>
      <c r="D184" s="298"/>
      <c r="E184" s="251"/>
      <c r="F184" s="299"/>
      <c r="G184" s="299"/>
      <c r="H184" s="251"/>
      <c r="I184" s="299"/>
      <c r="J184" s="30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24"/>
      <c r="V184" s="126"/>
      <c r="W184" s="149"/>
      <c r="X184" s="149"/>
      <c r="Y184" s="149"/>
      <c r="Z184" s="149"/>
      <c r="AA184" s="149"/>
      <c r="AB184" s="149"/>
      <c r="AC184" s="149"/>
      <c r="AD184" s="149"/>
    </row>
    <row r="185" spans="1:30" x14ac:dyDescent="0.2">
      <c r="A185" s="250"/>
      <c r="B185" s="251"/>
      <c r="C185" s="251"/>
      <c r="D185" s="298"/>
      <c r="E185" s="251"/>
      <c r="F185" s="299"/>
      <c r="G185" s="299"/>
      <c r="H185" s="251"/>
      <c r="I185" s="299"/>
      <c r="J185" s="30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24"/>
      <c r="V185" s="126"/>
      <c r="W185" s="149"/>
      <c r="X185" s="149"/>
      <c r="Y185" s="149"/>
      <c r="Z185" s="149"/>
      <c r="AA185" s="149"/>
      <c r="AB185" s="149"/>
      <c r="AC185" s="149"/>
      <c r="AD185" s="149"/>
    </row>
    <row r="186" spans="1:30" x14ac:dyDescent="0.2">
      <c r="A186" s="250"/>
      <c r="B186" s="251"/>
      <c r="C186" s="251"/>
      <c r="D186" s="298"/>
      <c r="E186" s="251"/>
      <c r="F186" s="299"/>
      <c r="G186" s="299"/>
      <c r="H186" s="251"/>
      <c r="I186" s="299"/>
      <c r="J186" s="30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24"/>
      <c r="V186" s="126"/>
      <c r="W186" s="149"/>
      <c r="X186" s="149"/>
      <c r="Y186" s="149"/>
      <c r="Z186" s="149"/>
      <c r="AA186" s="149"/>
      <c r="AB186" s="149"/>
      <c r="AC186" s="149"/>
      <c r="AD186" s="149"/>
    </row>
    <row r="187" spans="1:30" x14ac:dyDescent="0.2">
      <c r="A187" s="250"/>
      <c r="B187" s="251"/>
      <c r="C187" s="251"/>
      <c r="D187" s="298"/>
      <c r="E187" s="251"/>
      <c r="F187" s="299"/>
      <c r="G187" s="299"/>
      <c r="H187" s="251"/>
      <c r="I187" s="299"/>
      <c r="J187" s="30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24"/>
      <c r="V187" s="126"/>
      <c r="W187" s="149"/>
      <c r="X187" s="149"/>
      <c r="Y187" s="149"/>
      <c r="Z187" s="149"/>
      <c r="AA187" s="149"/>
      <c r="AB187" s="149"/>
      <c r="AC187" s="149"/>
      <c r="AD187" s="149"/>
    </row>
    <row r="188" spans="1:30" x14ac:dyDescent="0.2">
      <c r="A188" s="250"/>
      <c r="B188" s="251"/>
      <c r="C188" s="251"/>
      <c r="D188" s="298"/>
      <c r="E188" s="251"/>
      <c r="F188" s="299"/>
      <c r="G188" s="299"/>
      <c r="H188" s="251"/>
      <c r="I188" s="299"/>
      <c r="J188" s="30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24"/>
      <c r="V188" s="126"/>
      <c r="W188" s="149"/>
      <c r="X188" s="149"/>
      <c r="Y188" s="149"/>
      <c r="Z188" s="149"/>
      <c r="AA188" s="149"/>
      <c r="AB188" s="149"/>
      <c r="AC188" s="149"/>
      <c r="AD188" s="149"/>
    </row>
    <row r="189" spans="1:30" x14ac:dyDescent="0.2">
      <c r="A189" s="250"/>
      <c r="B189" s="251"/>
      <c r="C189" s="251"/>
      <c r="D189" s="298"/>
      <c r="E189" s="251"/>
      <c r="F189" s="299"/>
      <c r="G189" s="299"/>
      <c r="H189" s="251"/>
      <c r="I189" s="299"/>
      <c r="J189" s="30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24"/>
      <c r="V189" s="126"/>
      <c r="W189" s="149"/>
      <c r="X189" s="149"/>
      <c r="Y189" s="149"/>
      <c r="Z189" s="149"/>
      <c r="AA189" s="149"/>
      <c r="AB189" s="149"/>
      <c r="AC189" s="149"/>
      <c r="AD189" s="149"/>
    </row>
    <row r="190" spans="1:30" x14ac:dyDescent="0.2">
      <c r="A190" s="250"/>
      <c r="B190" s="251"/>
      <c r="C190" s="251"/>
      <c r="D190" s="298"/>
      <c r="E190" s="251"/>
      <c r="F190" s="299"/>
      <c r="G190" s="299"/>
      <c r="H190" s="251"/>
      <c r="I190" s="299"/>
      <c r="J190" s="30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24"/>
      <c r="V190" s="126"/>
      <c r="W190" s="149"/>
      <c r="X190" s="149"/>
      <c r="Y190" s="149"/>
      <c r="Z190" s="149"/>
      <c r="AA190" s="149"/>
      <c r="AB190" s="149"/>
      <c r="AC190" s="149"/>
      <c r="AD190" s="149"/>
    </row>
    <row r="191" spans="1:30" x14ac:dyDescent="0.2">
      <c r="A191" s="250"/>
      <c r="B191" s="251"/>
      <c r="C191" s="251"/>
      <c r="D191" s="298"/>
      <c r="E191" s="251"/>
      <c r="F191" s="299"/>
      <c r="G191" s="299"/>
      <c r="H191" s="251"/>
      <c r="I191" s="299"/>
      <c r="J191" s="30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24"/>
      <c r="V191" s="126"/>
      <c r="W191" s="149"/>
      <c r="X191" s="149"/>
      <c r="Y191" s="149"/>
      <c r="Z191" s="149"/>
      <c r="AA191" s="149"/>
      <c r="AB191" s="149"/>
      <c r="AC191" s="149"/>
      <c r="AD191" s="149"/>
    </row>
    <row r="192" spans="1:30" x14ac:dyDescent="0.2">
      <c r="A192" s="250"/>
      <c r="B192" s="251"/>
      <c r="C192" s="251"/>
      <c r="D192" s="298"/>
      <c r="E192" s="251"/>
      <c r="F192" s="299"/>
      <c r="G192" s="299"/>
      <c r="H192" s="251"/>
      <c r="I192" s="299"/>
      <c r="J192" s="30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24"/>
      <c r="V192" s="126"/>
      <c r="W192" s="149"/>
      <c r="X192" s="149"/>
      <c r="Y192" s="149"/>
      <c r="Z192" s="149"/>
      <c r="AA192" s="149"/>
      <c r="AB192" s="149"/>
      <c r="AC192" s="149"/>
      <c r="AD192" s="149"/>
    </row>
    <row r="193" spans="1:30" x14ac:dyDescent="0.2">
      <c r="A193" s="250"/>
      <c r="B193" s="251"/>
      <c r="C193" s="251"/>
      <c r="D193" s="298"/>
      <c r="E193" s="251"/>
      <c r="F193" s="299"/>
      <c r="G193" s="299"/>
      <c r="H193" s="251"/>
      <c r="I193" s="299"/>
      <c r="J193" s="30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24"/>
      <c r="V193" s="126"/>
      <c r="W193" s="149"/>
      <c r="X193" s="149"/>
      <c r="Y193" s="149"/>
      <c r="Z193" s="149"/>
      <c r="AA193" s="149"/>
      <c r="AB193" s="149"/>
      <c r="AC193" s="149"/>
      <c r="AD193" s="149"/>
    </row>
    <row r="194" spans="1:30" x14ac:dyDescent="0.2">
      <c r="A194" s="250"/>
      <c r="B194" s="251"/>
      <c r="C194" s="251"/>
      <c r="D194" s="298"/>
      <c r="E194" s="251"/>
      <c r="F194" s="299"/>
      <c r="G194" s="299"/>
      <c r="H194" s="251"/>
      <c r="I194" s="299"/>
      <c r="J194" s="30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24"/>
      <c r="V194" s="126"/>
      <c r="W194" s="149"/>
      <c r="X194" s="149"/>
      <c r="Y194" s="149"/>
      <c r="Z194" s="149"/>
      <c r="AA194" s="149"/>
      <c r="AB194" s="149"/>
      <c r="AC194" s="149"/>
      <c r="AD194" s="149"/>
    </row>
    <row r="195" spans="1:30" x14ac:dyDescent="0.2">
      <c r="A195" s="250"/>
      <c r="B195" s="251"/>
      <c r="C195" s="251"/>
      <c r="D195" s="298"/>
      <c r="E195" s="251"/>
      <c r="F195" s="299"/>
      <c r="G195" s="299"/>
      <c r="H195" s="251"/>
      <c r="I195" s="299"/>
      <c r="J195" s="30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24"/>
      <c r="V195" s="126"/>
      <c r="W195" s="149"/>
      <c r="X195" s="149"/>
      <c r="Y195" s="149"/>
      <c r="Z195" s="149"/>
      <c r="AA195" s="149"/>
      <c r="AB195" s="149"/>
      <c r="AC195" s="149"/>
      <c r="AD195" s="149"/>
    </row>
    <row r="196" spans="1:30" x14ac:dyDescent="0.2">
      <c r="A196" s="250"/>
      <c r="B196" s="251"/>
      <c r="C196" s="251"/>
      <c r="D196" s="298"/>
      <c r="E196" s="251"/>
      <c r="F196" s="299"/>
      <c r="G196" s="299"/>
      <c r="H196" s="251"/>
      <c r="I196" s="299"/>
      <c r="J196" s="30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24"/>
      <c r="V196" s="126"/>
      <c r="W196" s="149"/>
      <c r="X196" s="149"/>
      <c r="Y196" s="149"/>
      <c r="Z196" s="149"/>
      <c r="AA196" s="149"/>
      <c r="AB196" s="149"/>
      <c r="AC196" s="149"/>
      <c r="AD196" s="149"/>
    </row>
    <row r="197" spans="1:30" x14ac:dyDescent="0.2">
      <c r="A197" s="250"/>
      <c r="B197" s="251"/>
      <c r="C197" s="251"/>
      <c r="D197" s="298"/>
      <c r="E197" s="251"/>
      <c r="F197" s="299"/>
      <c r="G197" s="299"/>
      <c r="H197" s="251"/>
      <c r="I197" s="299"/>
      <c r="J197" s="30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24"/>
      <c r="V197" s="126"/>
      <c r="W197" s="149"/>
      <c r="X197" s="149"/>
      <c r="Y197" s="149"/>
      <c r="Z197" s="149"/>
      <c r="AA197" s="149"/>
      <c r="AB197" s="149"/>
      <c r="AC197" s="149"/>
      <c r="AD197" s="149"/>
    </row>
    <row r="198" spans="1:30" x14ac:dyDescent="0.2">
      <c r="A198" s="250"/>
      <c r="B198" s="251"/>
      <c r="C198" s="251"/>
      <c r="D198" s="298"/>
      <c r="E198" s="251"/>
      <c r="F198" s="299"/>
      <c r="G198" s="299"/>
      <c r="H198" s="251"/>
      <c r="I198" s="299"/>
      <c r="J198" s="30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24"/>
      <c r="V198" s="126"/>
      <c r="W198" s="149"/>
      <c r="X198" s="149"/>
      <c r="Y198" s="149"/>
      <c r="Z198" s="149"/>
      <c r="AA198" s="149"/>
      <c r="AB198" s="149"/>
      <c r="AC198" s="149"/>
      <c r="AD198" s="149"/>
    </row>
    <row r="199" spans="1:30" x14ac:dyDescent="0.2">
      <c r="A199" s="250"/>
      <c r="B199" s="251"/>
      <c r="C199" s="251"/>
      <c r="D199" s="298"/>
      <c r="E199" s="251"/>
      <c r="F199" s="299"/>
      <c r="G199" s="299"/>
      <c r="H199" s="251"/>
      <c r="I199" s="299"/>
      <c r="J199" s="30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24"/>
      <c r="V199" s="126"/>
      <c r="W199" s="149"/>
      <c r="X199" s="149"/>
      <c r="Y199" s="149"/>
      <c r="Z199" s="149"/>
      <c r="AA199" s="149"/>
      <c r="AB199" s="149"/>
      <c r="AC199" s="149"/>
      <c r="AD199" s="149"/>
    </row>
    <row r="200" spans="1:30" x14ac:dyDescent="0.2">
      <c r="A200" s="250"/>
      <c r="B200" s="251"/>
      <c r="C200" s="251"/>
      <c r="D200" s="298"/>
      <c r="E200" s="251"/>
      <c r="F200" s="299"/>
      <c r="G200" s="299"/>
      <c r="H200" s="251"/>
      <c r="I200" s="299"/>
      <c r="J200" s="30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24"/>
      <c r="V200" s="126"/>
      <c r="W200" s="149"/>
      <c r="X200" s="149"/>
      <c r="Y200" s="149"/>
      <c r="Z200" s="149"/>
      <c r="AA200" s="149"/>
      <c r="AB200" s="149"/>
      <c r="AC200" s="149"/>
      <c r="AD200" s="149"/>
    </row>
    <row r="201" spans="1:30" x14ac:dyDescent="0.2">
      <c r="A201" s="250"/>
      <c r="B201" s="251"/>
      <c r="C201" s="251"/>
      <c r="D201" s="298"/>
      <c r="E201" s="251"/>
      <c r="F201" s="299"/>
      <c r="G201" s="299"/>
      <c r="H201" s="251"/>
      <c r="I201" s="299"/>
      <c r="J201" s="30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24"/>
      <c r="V201" s="126"/>
      <c r="W201" s="149"/>
      <c r="X201" s="149"/>
      <c r="Y201" s="149"/>
      <c r="Z201" s="149"/>
      <c r="AA201" s="149"/>
      <c r="AB201" s="149"/>
      <c r="AC201" s="149"/>
      <c r="AD201" s="149"/>
    </row>
    <row r="202" spans="1:30" x14ac:dyDescent="0.2">
      <c r="A202" s="250"/>
      <c r="B202" s="251"/>
      <c r="C202" s="251"/>
      <c r="D202" s="298"/>
      <c r="E202" s="251"/>
      <c r="F202" s="299"/>
      <c r="G202" s="299"/>
      <c r="H202" s="251"/>
      <c r="I202" s="299"/>
      <c r="J202" s="30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24"/>
      <c r="V202" s="126"/>
      <c r="W202" s="149"/>
      <c r="X202" s="149"/>
      <c r="Y202" s="149"/>
      <c r="Z202" s="149"/>
      <c r="AA202" s="149"/>
      <c r="AB202" s="149"/>
      <c r="AC202" s="149"/>
      <c r="AD202" s="149"/>
    </row>
    <row r="203" spans="1:30" x14ac:dyDescent="0.2">
      <c r="A203" s="250"/>
      <c r="B203" s="251"/>
      <c r="C203" s="251"/>
      <c r="D203" s="298"/>
      <c r="E203" s="251"/>
      <c r="F203" s="299"/>
      <c r="G203" s="299"/>
      <c r="H203" s="251"/>
      <c r="I203" s="299"/>
      <c r="J203" s="30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24"/>
      <c r="V203" s="126"/>
      <c r="W203" s="149"/>
      <c r="X203" s="149"/>
      <c r="Y203" s="149"/>
      <c r="Z203" s="149"/>
      <c r="AA203" s="149"/>
      <c r="AB203" s="149"/>
      <c r="AC203" s="149"/>
      <c r="AD203" s="149"/>
    </row>
    <row r="204" spans="1:30" x14ac:dyDescent="0.2">
      <c r="A204" s="250"/>
      <c r="B204" s="251"/>
      <c r="C204" s="251"/>
      <c r="D204" s="298"/>
      <c r="E204" s="251"/>
      <c r="F204" s="299"/>
      <c r="G204" s="299"/>
      <c r="H204" s="251"/>
      <c r="I204" s="299"/>
      <c r="J204" s="30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24"/>
      <c r="V204" s="126"/>
      <c r="W204" s="149"/>
      <c r="X204" s="149"/>
      <c r="Y204" s="149"/>
      <c r="Z204" s="149"/>
      <c r="AA204" s="149"/>
      <c r="AB204" s="149"/>
      <c r="AC204" s="149"/>
      <c r="AD204" s="149"/>
    </row>
    <row r="205" spans="1:30" x14ac:dyDescent="0.2">
      <c r="A205" s="250"/>
      <c r="B205" s="251"/>
      <c r="C205" s="251"/>
      <c r="D205" s="298"/>
      <c r="E205" s="251"/>
      <c r="F205" s="299"/>
      <c r="G205" s="299"/>
      <c r="H205" s="251"/>
      <c r="I205" s="299"/>
      <c r="J205" s="30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24"/>
      <c r="V205" s="126"/>
      <c r="W205" s="149"/>
      <c r="X205" s="149"/>
      <c r="Y205" s="149"/>
      <c r="Z205" s="149"/>
      <c r="AA205" s="149"/>
      <c r="AB205" s="149"/>
      <c r="AC205" s="149"/>
      <c r="AD205" s="149"/>
    </row>
    <row r="206" spans="1:30" x14ac:dyDescent="0.2">
      <c r="A206" s="250"/>
      <c r="B206" s="251"/>
      <c r="C206" s="251"/>
      <c r="D206" s="298"/>
      <c r="E206" s="251"/>
      <c r="F206" s="299"/>
      <c r="G206" s="299"/>
      <c r="H206" s="251"/>
      <c r="I206" s="299"/>
      <c r="J206" s="30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24"/>
      <c r="V206" s="126"/>
      <c r="W206" s="149"/>
      <c r="X206" s="149"/>
      <c r="Y206" s="149"/>
      <c r="Z206" s="149"/>
      <c r="AA206" s="149"/>
      <c r="AB206" s="149"/>
      <c r="AC206" s="149"/>
      <c r="AD206" s="149"/>
    </row>
    <row r="207" spans="1:30" x14ac:dyDescent="0.2">
      <c r="A207" s="250"/>
      <c r="B207" s="251"/>
      <c r="C207" s="251"/>
      <c r="D207" s="298"/>
      <c r="E207" s="251"/>
      <c r="F207" s="299"/>
      <c r="G207" s="299"/>
      <c r="H207" s="251"/>
      <c r="I207" s="299"/>
      <c r="J207" s="30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24"/>
      <c r="V207" s="126"/>
      <c r="W207" s="149"/>
      <c r="X207" s="149"/>
      <c r="Y207" s="149"/>
      <c r="Z207" s="149"/>
      <c r="AA207" s="149"/>
      <c r="AB207" s="149"/>
      <c r="AC207" s="149"/>
      <c r="AD207" s="149"/>
    </row>
    <row r="208" spans="1:30" x14ac:dyDescent="0.2">
      <c r="A208" s="250"/>
      <c r="B208" s="251"/>
      <c r="C208" s="251"/>
      <c r="D208" s="298"/>
      <c r="E208" s="251"/>
      <c r="F208" s="299"/>
      <c r="G208" s="299"/>
      <c r="H208" s="251"/>
      <c r="I208" s="299"/>
      <c r="J208" s="30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24"/>
      <c r="V208" s="126"/>
      <c r="W208" s="149"/>
      <c r="X208" s="149"/>
      <c r="Y208" s="149"/>
      <c r="Z208" s="149"/>
      <c r="AA208" s="149"/>
      <c r="AB208" s="149"/>
      <c r="AC208" s="149"/>
      <c r="AD208" s="149"/>
    </row>
    <row r="209" spans="1:30" x14ac:dyDescent="0.2">
      <c r="A209" s="250"/>
      <c r="B209" s="251"/>
      <c r="C209" s="251"/>
      <c r="D209" s="298"/>
      <c r="E209" s="251"/>
      <c r="F209" s="299"/>
      <c r="G209" s="299"/>
      <c r="H209" s="251"/>
      <c r="I209" s="299"/>
      <c r="J209" s="30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24"/>
      <c r="V209" s="126"/>
      <c r="W209" s="149"/>
      <c r="X209" s="149"/>
      <c r="Y209" s="149"/>
      <c r="Z209" s="149"/>
      <c r="AA209" s="149"/>
      <c r="AB209" s="149"/>
      <c r="AC209" s="149"/>
      <c r="AD209" s="149"/>
    </row>
    <row r="210" spans="1:30" x14ac:dyDescent="0.2">
      <c r="A210" s="250"/>
      <c r="B210" s="251"/>
      <c r="C210" s="251"/>
      <c r="D210" s="298"/>
      <c r="E210" s="251"/>
      <c r="F210" s="299"/>
      <c r="G210" s="299"/>
      <c r="H210" s="251"/>
      <c r="I210" s="299"/>
      <c r="J210" s="30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24"/>
      <c r="V210" s="126"/>
      <c r="W210" s="149"/>
      <c r="X210" s="149"/>
      <c r="Y210" s="149"/>
      <c r="Z210" s="149"/>
      <c r="AA210" s="149"/>
      <c r="AB210" s="149"/>
      <c r="AC210" s="149"/>
      <c r="AD210" s="149"/>
    </row>
    <row r="211" spans="1:30" x14ac:dyDescent="0.2">
      <c r="A211" s="250"/>
      <c r="B211" s="251"/>
      <c r="C211" s="251"/>
      <c r="D211" s="298"/>
      <c r="E211" s="251"/>
      <c r="F211" s="299"/>
      <c r="G211" s="299"/>
      <c r="H211" s="251"/>
      <c r="I211" s="299"/>
      <c r="J211" s="30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24"/>
      <c r="V211" s="126"/>
      <c r="W211" s="149"/>
      <c r="X211" s="149"/>
      <c r="Y211" s="149"/>
      <c r="Z211" s="149"/>
      <c r="AA211" s="149"/>
      <c r="AB211" s="149"/>
      <c r="AC211" s="149"/>
      <c r="AD211" s="149"/>
    </row>
    <row r="212" spans="1:30" x14ac:dyDescent="0.2">
      <c r="A212" s="250"/>
      <c r="B212" s="251"/>
      <c r="C212" s="251"/>
      <c r="D212" s="298"/>
      <c r="E212" s="251"/>
      <c r="F212" s="299"/>
      <c r="G212" s="299"/>
      <c r="H212" s="251"/>
      <c r="I212" s="299"/>
      <c r="J212" s="30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24"/>
      <c r="V212" s="126"/>
      <c r="W212" s="149"/>
      <c r="X212" s="149"/>
      <c r="Y212" s="149"/>
      <c r="Z212" s="149"/>
      <c r="AA212" s="149"/>
      <c r="AB212" s="149"/>
      <c r="AC212" s="149"/>
      <c r="AD212" s="149"/>
    </row>
    <row r="213" spans="1:30" x14ac:dyDescent="0.2">
      <c r="A213" s="250"/>
      <c r="B213" s="251"/>
      <c r="C213" s="251"/>
      <c r="D213" s="298"/>
      <c r="E213" s="251"/>
      <c r="F213" s="299"/>
      <c r="G213" s="299"/>
      <c r="H213" s="251"/>
      <c r="I213" s="299"/>
      <c r="J213" s="30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24"/>
      <c r="V213" s="126"/>
      <c r="W213" s="149"/>
      <c r="X213" s="149"/>
      <c r="Y213" s="149"/>
      <c r="Z213" s="149"/>
      <c r="AA213" s="149"/>
      <c r="AB213" s="149"/>
      <c r="AC213" s="149"/>
      <c r="AD213" s="149"/>
    </row>
    <row r="214" spans="1:30" x14ac:dyDescent="0.2">
      <c r="A214" s="250"/>
      <c r="B214" s="251"/>
      <c r="C214" s="251"/>
      <c r="D214" s="298"/>
      <c r="E214" s="251"/>
      <c r="F214" s="299"/>
      <c r="G214" s="299"/>
      <c r="H214" s="251"/>
      <c r="I214" s="299"/>
      <c r="J214" s="30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24"/>
      <c r="V214" s="126"/>
      <c r="W214" s="149"/>
      <c r="X214" s="149"/>
      <c r="Y214" s="149"/>
      <c r="Z214" s="149"/>
      <c r="AA214" s="149"/>
      <c r="AB214" s="149"/>
      <c r="AC214" s="149"/>
      <c r="AD214" s="149"/>
    </row>
    <row r="215" spans="1:30" x14ac:dyDescent="0.2">
      <c r="A215" s="250"/>
      <c r="B215" s="251"/>
      <c r="C215" s="251"/>
      <c r="D215" s="298"/>
      <c r="E215" s="251"/>
      <c r="F215" s="299"/>
      <c r="G215" s="299"/>
      <c r="H215" s="251"/>
      <c r="I215" s="299"/>
      <c r="J215" s="30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24"/>
      <c r="V215" s="126"/>
      <c r="W215" s="149"/>
      <c r="X215" s="149"/>
      <c r="Y215" s="149"/>
      <c r="Z215" s="149"/>
      <c r="AA215" s="149"/>
      <c r="AB215" s="149"/>
      <c r="AC215" s="149"/>
      <c r="AD215" s="149"/>
    </row>
    <row r="216" spans="1:30" x14ac:dyDescent="0.2">
      <c r="A216" s="250"/>
      <c r="B216" s="251"/>
      <c r="C216" s="251"/>
      <c r="D216" s="298"/>
      <c r="E216" s="251"/>
      <c r="F216" s="299"/>
      <c r="G216" s="299"/>
      <c r="H216" s="251"/>
      <c r="I216" s="299"/>
      <c r="J216" s="30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24"/>
      <c r="V216" s="126"/>
      <c r="W216" s="149"/>
      <c r="X216" s="149"/>
      <c r="Y216" s="149"/>
      <c r="Z216" s="149"/>
      <c r="AA216" s="149"/>
      <c r="AB216" s="149"/>
      <c r="AC216" s="149"/>
      <c r="AD216" s="149"/>
    </row>
    <row r="217" spans="1:30" x14ac:dyDescent="0.2">
      <c r="A217" s="250"/>
      <c r="B217" s="251"/>
      <c r="C217" s="251"/>
      <c r="D217" s="298"/>
      <c r="E217" s="251"/>
      <c r="F217" s="299"/>
      <c r="G217" s="299"/>
      <c r="H217" s="251"/>
      <c r="I217" s="299"/>
      <c r="J217" s="30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24"/>
      <c r="V217" s="126"/>
      <c r="W217" s="149"/>
      <c r="X217" s="149"/>
      <c r="Y217" s="149"/>
      <c r="Z217" s="149"/>
      <c r="AA217" s="149"/>
      <c r="AB217" s="149"/>
      <c r="AC217" s="149"/>
      <c r="AD217" s="149"/>
    </row>
    <row r="218" spans="1:30" x14ac:dyDescent="0.2">
      <c r="A218" s="250"/>
      <c r="B218" s="251"/>
      <c r="C218" s="251"/>
      <c r="D218" s="298"/>
      <c r="E218" s="251"/>
      <c r="F218" s="299"/>
      <c r="G218" s="299"/>
      <c r="H218" s="251"/>
      <c r="I218" s="299"/>
      <c r="J218" s="30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24"/>
      <c r="V218" s="126"/>
      <c r="W218" s="149"/>
      <c r="X218" s="149"/>
      <c r="Y218" s="149"/>
      <c r="Z218" s="149"/>
      <c r="AA218" s="149"/>
      <c r="AB218" s="149"/>
      <c r="AC218" s="149"/>
      <c r="AD218" s="149"/>
    </row>
    <row r="219" spans="1:30" x14ac:dyDescent="0.2">
      <c r="A219" s="250"/>
      <c r="B219" s="251"/>
      <c r="C219" s="251"/>
      <c r="D219" s="298"/>
      <c r="E219" s="251"/>
      <c r="F219" s="299"/>
      <c r="G219" s="299"/>
      <c r="H219" s="251"/>
      <c r="I219" s="299"/>
      <c r="J219" s="30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24"/>
      <c r="V219" s="126"/>
      <c r="W219" s="149"/>
      <c r="X219" s="149"/>
      <c r="Y219" s="149"/>
      <c r="Z219" s="149"/>
      <c r="AA219" s="149"/>
      <c r="AB219" s="149"/>
      <c r="AC219" s="149"/>
      <c r="AD219" s="149"/>
    </row>
    <row r="220" spans="1:30" x14ac:dyDescent="0.2">
      <c r="A220" s="250"/>
      <c r="B220" s="251"/>
      <c r="C220" s="251"/>
      <c r="D220" s="298"/>
      <c r="E220" s="251"/>
      <c r="F220" s="299"/>
      <c r="G220" s="299"/>
      <c r="H220" s="251"/>
      <c r="I220" s="299"/>
      <c r="J220" s="30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24"/>
      <c r="V220" s="126"/>
      <c r="W220" s="149"/>
      <c r="X220" s="149"/>
      <c r="Y220" s="149"/>
      <c r="Z220" s="149"/>
      <c r="AA220" s="149"/>
      <c r="AB220" s="149"/>
      <c r="AC220" s="149"/>
      <c r="AD220" s="149"/>
    </row>
    <row r="221" spans="1:30" x14ac:dyDescent="0.2">
      <c r="A221" s="250"/>
      <c r="B221" s="251"/>
      <c r="C221" s="251"/>
      <c r="D221" s="298"/>
      <c r="E221" s="251"/>
      <c r="F221" s="299"/>
      <c r="G221" s="299"/>
      <c r="H221" s="251"/>
      <c r="I221" s="299"/>
      <c r="J221" s="30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24"/>
      <c r="V221" s="126"/>
      <c r="W221" s="149"/>
      <c r="X221" s="149"/>
      <c r="Y221" s="149"/>
      <c r="Z221" s="149"/>
      <c r="AA221" s="149"/>
      <c r="AB221" s="149"/>
      <c r="AC221" s="149"/>
      <c r="AD221" s="149"/>
    </row>
    <row r="222" spans="1:30" x14ac:dyDescent="0.2">
      <c r="A222" s="250"/>
      <c r="B222" s="251"/>
      <c r="C222" s="251"/>
      <c r="D222" s="298"/>
      <c r="E222" s="251"/>
      <c r="F222" s="299"/>
      <c r="G222" s="299"/>
      <c r="H222" s="251"/>
      <c r="I222" s="299"/>
      <c r="J222" s="30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24"/>
      <c r="V222" s="126"/>
      <c r="W222" s="149"/>
      <c r="X222" s="149"/>
      <c r="Y222" s="149"/>
      <c r="Z222" s="149"/>
      <c r="AA222" s="149"/>
      <c r="AB222" s="149"/>
      <c r="AC222" s="149"/>
      <c r="AD222" s="149"/>
    </row>
    <row r="223" spans="1:30" x14ac:dyDescent="0.2">
      <c r="A223" s="250"/>
      <c r="B223" s="251"/>
      <c r="C223" s="251"/>
      <c r="D223" s="298"/>
      <c r="E223" s="251"/>
      <c r="F223" s="299"/>
      <c r="G223" s="299"/>
      <c r="H223" s="251"/>
      <c r="I223" s="299"/>
      <c r="J223" s="30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24"/>
      <c r="V223" s="126"/>
      <c r="W223" s="149"/>
      <c r="X223" s="149"/>
      <c r="Y223" s="149"/>
      <c r="Z223" s="149"/>
      <c r="AA223" s="149"/>
      <c r="AB223" s="149"/>
      <c r="AC223" s="149"/>
      <c r="AD223" s="149"/>
    </row>
    <row r="224" spans="1:30" x14ac:dyDescent="0.2">
      <c r="A224" s="250"/>
      <c r="B224" s="251"/>
      <c r="C224" s="251"/>
      <c r="D224" s="298"/>
      <c r="E224" s="251"/>
      <c r="F224" s="299"/>
      <c r="G224" s="299"/>
      <c r="H224" s="251"/>
      <c r="I224" s="299"/>
      <c r="J224" s="30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24"/>
      <c r="V224" s="126"/>
      <c r="W224" s="149"/>
      <c r="X224" s="149"/>
      <c r="Y224" s="149"/>
      <c r="Z224" s="149"/>
      <c r="AA224" s="149"/>
      <c r="AB224" s="149"/>
      <c r="AC224" s="149"/>
      <c r="AD224" s="149"/>
    </row>
    <row r="225" spans="1:30" x14ac:dyDescent="0.2">
      <c r="A225" s="250"/>
      <c r="B225" s="251"/>
      <c r="C225" s="251"/>
      <c r="D225" s="298"/>
      <c r="E225" s="251"/>
      <c r="F225" s="299"/>
      <c r="G225" s="299"/>
      <c r="H225" s="251"/>
      <c r="I225" s="299"/>
      <c r="J225" s="30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24"/>
      <c r="V225" s="126"/>
      <c r="W225" s="149"/>
      <c r="X225" s="149"/>
      <c r="Y225" s="149"/>
      <c r="Z225" s="149"/>
      <c r="AA225" s="149"/>
      <c r="AB225" s="149"/>
      <c r="AC225" s="149"/>
      <c r="AD225" s="149"/>
    </row>
    <row r="226" spans="1:30" x14ac:dyDescent="0.2">
      <c r="A226" s="250"/>
      <c r="B226" s="251"/>
      <c r="C226" s="251"/>
      <c r="D226" s="298"/>
      <c r="E226" s="251"/>
      <c r="F226" s="299"/>
      <c r="G226" s="299"/>
      <c r="H226" s="251"/>
      <c r="I226" s="299"/>
      <c r="J226" s="30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24"/>
      <c r="V226" s="126"/>
      <c r="W226" s="149"/>
      <c r="X226" s="149"/>
      <c r="Y226" s="149"/>
      <c r="Z226" s="149"/>
      <c r="AA226" s="149"/>
      <c r="AB226" s="149"/>
      <c r="AC226" s="149"/>
      <c r="AD226" s="149"/>
    </row>
    <row r="227" spans="1:30" x14ac:dyDescent="0.2">
      <c r="A227" s="250"/>
      <c r="B227" s="251"/>
      <c r="C227" s="251"/>
      <c r="D227" s="298"/>
      <c r="E227" s="251"/>
      <c r="F227" s="299"/>
      <c r="G227" s="299"/>
      <c r="H227" s="251"/>
      <c r="I227" s="299"/>
      <c r="J227" s="30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24"/>
      <c r="V227" s="126"/>
      <c r="W227" s="149"/>
      <c r="X227" s="149"/>
      <c r="Y227" s="149"/>
      <c r="Z227" s="149"/>
      <c r="AA227" s="149"/>
      <c r="AB227" s="149"/>
      <c r="AC227" s="149"/>
      <c r="AD227" s="149"/>
    </row>
    <row r="228" spans="1:30" x14ac:dyDescent="0.2">
      <c r="A228" s="250"/>
      <c r="B228" s="251"/>
      <c r="C228" s="251"/>
      <c r="D228" s="298"/>
      <c r="E228" s="251"/>
      <c r="F228" s="299"/>
      <c r="G228" s="299"/>
      <c r="H228" s="251"/>
      <c r="I228" s="299"/>
      <c r="J228" s="30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24"/>
      <c r="V228" s="126"/>
      <c r="W228" s="149"/>
      <c r="X228" s="149"/>
      <c r="Y228" s="149"/>
      <c r="Z228" s="149"/>
      <c r="AA228" s="149"/>
      <c r="AB228" s="149"/>
      <c r="AC228" s="149"/>
      <c r="AD228" s="149"/>
    </row>
    <row r="229" spans="1:30" x14ac:dyDescent="0.2">
      <c r="A229" s="250"/>
      <c r="B229" s="251"/>
      <c r="C229" s="251"/>
      <c r="D229" s="298"/>
      <c r="E229" s="251"/>
      <c r="F229" s="299"/>
      <c r="G229" s="299"/>
      <c r="H229" s="251"/>
      <c r="I229" s="299"/>
      <c r="J229" s="30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24"/>
      <c r="V229" s="126"/>
      <c r="W229" s="149"/>
      <c r="X229" s="149"/>
      <c r="Y229" s="149"/>
      <c r="Z229" s="149"/>
      <c r="AA229" s="149"/>
      <c r="AB229" s="149"/>
      <c r="AC229" s="149"/>
      <c r="AD229" s="149"/>
    </row>
    <row r="230" spans="1:30" x14ac:dyDescent="0.2">
      <c r="A230" s="250"/>
      <c r="B230" s="251"/>
      <c r="C230" s="251"/>
      <c r="D230" s="298"/>
      <c r="E230" s="251"/>
      <c r="F230" s="299"/>
      <c r="G230" s="299"/>
      <c r="H230" s="251"/>
      <c r="I230" s="299"/>
      <c r="J230" s="30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24"/>
      <c r="V230" s="126"/>
      <c r="W230" s="149"/>
      <c r="X230" s="149"/>
      <c r="Y230" s="149"/>
      <c r="Z230" s="149"/>
      <c r="AA230" s="149"/>
      <c r="AB230" s="149"/>
      <c r="AC230" s="149"/>
      <c r="AD230" s="149"/>
    </row>
    <row r="231" spans="1:30" x14ac:dyDescent="0.2">
      <c r="A231" s="250"/>
      <c r="B231" s="251"/>
      <c r="C231" s="251"/>
      <c r="D231" s="298"/>
      <c r="E231" s="251"/>
      <c r="F231" s="299"/>
      <c r="G231" s="299"/>
      <c r="H231" s="251"/>
      <c r="I231" s="299"/>
      <c r="J231" s="30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24"/>
      <c r="V231" s="126"/>
      <c r="W231" s="149"/>
      <c r="X231" s="149"/>
      <c r="Y231" s="149"/>
      <c r="Z231" s="149"/>
      <c r="AA231" s="149"/>
      <c r="AB231" s="149"/>
      <c r="AC231" s="149"/>
      <c r="AD231" s="149"/>
    </row>
    <row r="232" spans="1:30" x14ac:dyDescent="0.2">
      <c r="A232" s="250"/>
      <c r="B232" s="251"/>
      <c r="C232" s="251"/>
      <c r="D232" s="298"/>
      <c r="E232" s="251"/>
      <c r="F232" s="299"/>
      <c r="G232" s="299"/>
      <c r="H232" s="251"/>
      <c r="I232" s="299"/>
      <c r="J232" s="30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24"/>
      <c r="V232" s="126"/>
      <c r="W232" s="149"/>
      <c r="X232" s="149"/>
      <c r="Y232" s="149"/>
      <c r="Z232" s="149"/>
      <c r="AA232" s="149"/>
      <c r="AB232" s="149"/>
      <c r="AC232" s="149"/>
      <c r="AD232" s="149"/>
    </row>
    <row r="233" spans="1:30" x14ac:dyDescent="0.2">
      <c r="A233" s="250"/>
      <c r="B233" s="251"/>
      <c r="C233" s="251"/>
      <c r="D233" s="298"/>
      <c r="E233" s="251"/>
      <c r="F233" s="299"/>
      <c r="G233" s="299"/>
      <c r="H233" s="251"/>
      <c r="I233" s="299"/>
      <c r="J233" s="30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24"/>
      <c r="V233" s="126"/>
      <c r="W233" s="149"/>
      <c r="X233" s="149"/>
      <c r="Y233" s="149"/>
      <c r="Z233" s="149"/>
      <c r="AA233" s="149"/>
      <c r="AB233" s="149"/>
      <c r="AC233" s="149"/>
      <c r="AD233" s="149"/>
    </row>
    <row r="234" spans="1:30" x14ac:dyDescent="0.2">
      <c r="A234" s="250"/>
      <c r="B234" s="251"/>
      <c r="C234" s="251"/>
      <c r="D234" s="298"/>
      <c r="E234" s="251"/>
      <c r="F234" s="299"/>
      <c r="G234" s="299"/>
      <c r="H234" s="251"/>
      <c r="I234" s="299"/>
      <c r="J234" s="30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24"/>
      <c r="V234" s="126"/>
      <c r="W234" s="149"/>
      <c r="X234" s="149"/>
      <c r="Y234" s="149"/>
      <c r="Z234" s="149"/>
      <c r="AA234" s="149"/>
      <c r="AB234" s="149"/>
      <c r="AC234" s="149"/>
      <c r="AD234" s="149"/>
    </row>
    <row r="235" spans="1:30" x14ac:dyDescent="0.2">
      <c r="A235" s="250"/>
      <c r="B235" s="251"/>
      <c r="C235" s="251"/>
      <c r="D235" s="298"/>
      <c r="E235" s="251"/>
      <c r="F235" s="299"/>
      <c r="G235" s="299"/>
      <c r="H235" s="251"/>
      <c r="I235" s="299"/>
      <c r="J235" s="30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24"/>
      <c r="V235" s="126"/>
      <c r="W235" s="149"/>
      <c r="X235" s="149"/>
      <c r="Y235" s="149"/>
      <c r="Z235" s="149"/>
      <c r="AA235" s="149"/>
      <c r="AB235" s="149"/>
      <c r="AC235" s="149"/>
      <c r="AD235" s="149"/>
    </row>
    <row r="236" spans="1:30" x14ac:dyDescent="0.2">
      <c r="A236" s="250"/>
      <c r="B236" s="251"/>
      <c r="C236" s="251"/>
      <c r="D236" s="298"/>
      <c r="E236" s="251"/>
      <c r="F236" s="299"/>
      <c r="G236" s="299"/>
      <c r="H236" s="251"/>
      <c r="I236" s="299"/>
      <c r="J236" s="30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24"/>
      <c r="V236" s="126"/>
      <c r="W236" s="149"/>
      <c r="X236" s="149"/>
      <c r="Y236" s="149"/>
      <c r="Z236" s="149"/>
      <c r="AA236" s="149"/>
      <c r="AB236" s="149"/>
      <c r="AC236" s="149"/>
      <c r="AD236" s="149"/>
    </row>
    <row r="237" spans="1:30" x14ac:dyDescent="0.2">
      <c r="A237" s="250"/>
      <c r="B237" s="251"/>
      <c r="C237" s="251"/>
      <c r="D237" s="298"/>
      <c r="E237" s="251"/>
      <c r="F237" s="299"/>
      <c r="G237" s="299"/>
      <c r="H237" s="251"/>
      <c r="I237" s="299"/>
      <c r="J237" s="30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24"/>
      <c r="V237" s="126"/>
      <c r="W237" s="149"/>
      <c r="X237" s="149"/>
      <c r="Y237" s="149"/>
      <c r="Z237" s="149"/>
      <c r="AA237" s="149"/>
      <c r="AB237" s="149"/>
      <c r="AC237" s="149"/>
      <c r="AD237" s="149"/>
    </row>
    <row r="238" spans="1:30" x14ac:dyDescent="0.2">
      <c r="A238" s="250"/>
      <c r="B238" s="251"/>
      <c r="C238" s="251"/>
      <c r="D238" s="298"/>
      <c r="E238" s="251"/>
      <c r="F238" s="299"/>
      <c r="G238" s="299"/>
      <c r="H238" s="251"/>
      <c r="I238" s="299"/>
      <c r="J238" s="30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24"/>
      <c r="V238" s="126"/>
      <c r="W238" s="149"/>
      <c r="X238" s="149"/>
      <c r="Y238" s="149"/>
      <c r="Z238" s="149"/>
      <c r="AA238" s="149"/>
      <c r="AB238" s="149"/>
      <c r="AC238" s="149"/>
      <c r="AD238" s="149"/>
    </row>
    <row r="239" spans="1:30" x14ac:dyDescent="0.2">
      <c r="A239" s="250"/>
      <c r="B239" s="251"/>
      <c r="C239" s="251"/>
      <c r="D239" s="298"/>
      <c r="E239" s="251"/>
      <c r="F239" s="299"/>
      <c r="G239" s="299"/>
      <c r="H239" s="251"/>
      <c r="I239" s="299"/>
      <c r="J239" s="30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24"/>
      <c r="V239" s="126"/>
      <c r="W239" s="149"/>
      <c r="X239" s="149"/>
      <c r="Y239" s="149"/>
      <c r="Z239" s="149"/>
      <c r="AA239" s="149"/>
      <c r="AB239" s="149"/>
      <c r="AC239" s="149"/>
      <c r="AD239" s="149"/>
    </row>
    <row r="240" spans="1:30" x14ac:dyDescent="0.2">
      <c r="A240" s="250"/>
      <c r="B240" s="251"/>
      <c r="C240" s="251"/>
      <c r="D240" s="298"/>
      <c r="E240" s="251"/>
      <c r="F240" s="299"/>
      <c r="G240" s="299"/>
      <c r="H240" s="251"/>
      <c r="I240" s="299"/>
      <c r="J240" s="30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24"/>
      <c r="V240" s="126"/>
      <c r="W240" s="149"/>
      <c r="X240" s="149"/>
      <c r="Y240" s="149"/>
      <c r="Z240" s="149"/>
      <c r="AA240" s="149"/>
      <c r="AB240" s="149"/>
      <c r="AC240" s="149"/>
      <c r="AD240" s="149"/>
    </row>
    <row r="241" spans="1:30" x14ac:dyDescent="0.2">
      <c r="A241" s="250"/>
      <c r="B241" s="251"/>
      <c r="C241" s="251"/>
      <c r="D241" s="298"/>
      <c r="E241" s="251"/>
      <c r="F241" s="299"/>
      <c r="G241" s="299"/>
      <c r="H241" s="251"/>
      <c r="I241" s="299"/>
      <c r="J241" s="30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24"/>
      <c r="V241" s="126"/>
      <c r="W241" s="149"/>
      <c r="X241" s="149"/>
      <c r="Y241" s="149"/>
      <c r="Z241" s="149"/>
      <c r="AA241" s="149"/>
      <c r="AB241" s="149"/>
      <c r="AC241" s="149"/>
      <c r="AD241" s="149"/>
    </row>
    <row r="242" spans="1:30" x14ac:dyDescent="0.2">
      <c r="A242" s="250"/>
      <c r="B242" s="251"/>
      <c r="C242" s="251"/>
      <c r="D242" s="298"/>
      <c r="E242" s="251"/>
      <c r="F242" s="299"/>
      <c r="G242" s="299"/>
      <c r="H242" s="251"/>
      <c r="I242" s="299"/>
      <c r="J242" s="30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24"/>
      <c r="V242" s="126"/>
      <c r="W242" s="149"/>
      <c r="X242" s="149"/>
      <c r="Y242" s="149"/>
      <c r="Z242" s="149"/>
      <c r="AA242" s="149"/>
      <c r="AB242" s="149"/>
      <c r="AC242" s="149"/>
      <c r="AD242" s="149"/>
    </row>
    <row r="243" spans="1:30" x14ac:dyDescent="0.2">
      <c r="A243" s="250"/>
      <c r="B243" s="251"/>
      <c r="C243" s="251"/>
      <c r="D243" s="298"/>
      <c r="E243" s="251"/>
      <c r="F243" s="299"/>
      <c r="G243" s="299"/>
      <c r="H243" s="251"/>
      <c r="I243" s="299"/>
      <c r="J243" s="30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24"/>
      <c r="V243" s="126"/>
      <c r="W243" s="149"/>
      <c r="X243" s="149"/>
      <c r="Y243" s="149"/>
      <c r="Z243" s="149"/>
      <c r="AA243" s="149"/>
      <c r="AB243" s="149"/>
      <c r="AC243" s="149"/>
      <c r="AD243" s="149"/>
    </row>
    <row r="244" spans="1:30" x14ac:dyDescent="0.2">
      <c r="A244" s="250"/>
      <c r="B244" s="251"/>
      <c r="C244" s="251"/>
      <c r="D244" s="298"/>
      <c r="E244" s="251"/>
      <c r="F244" s="299"/>
      <c r="G244" s="299"/>
      <c r="H244" s="251"/>
      <c r="I244" s="299"/>
      <c r="J244" s="30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24"/>
      <c r="V244" s="126"/>
      <c r="W244" s="149"/>
      <c r="X244" s="149"/>
      <c r="Y244" s="149"/>
      <c r="Z244" s="149"/>
      <c r="AA244" s="149"/>
      <c r="AB244" s="149"/>
      <c r="AC244" s="149"/>
      <c r="AD244" s="149"/>
    </row>
    <row r="245" spans="1:30" x14ac:dyDescent="0.2">
      <c r="A245" s="250"/>
      <c r="B245" s="251"/>
      <c r="C245" s="251"/>
      <c r="D245" s="298"/>
      <c r="E245" s="251"/>
      <c r="F245" s="299"/>
      <c r="G245" s="299"/>
      <c r="H245" s="251"/>
      <c r="I245" s="299"/>
      <c r="J245" s="30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24"/>
      <c r="V245" s="126"/>
      <c r="W245" s="149"/>
      <c r="X245" s="149"/>
      <c r="Y245" s="149"/>
      <c r="Z245" s="149"/>
      <c r="AA245" s="149"/>
      <c r="AB245" s="149"/>
      <c r="AC245" s="149"/>
      <c r="AD245" s="149"/>
    </row>
    <row r="246" spans="1:30" x14ac:dyDescent="0.2">
      <c r="A246" s="250"/>
      <c r="B246" s="251"/>
      <c r="C246" s="251"/>
      <c r="D246" s="298"/>
      <c r="E246" s="251"/>
      <c r="F246" s="299"/>
      <c r="G246" s="299"/>
      <c r="H246" s="251"/>
      <c r="I246" s="299"/>
      <c r="J246" s="30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24"/>
      <c r="V246" s="126"/>
      <c r="W246" s="149"/>
      <c r="X246" s="149"/>
      <c r="Y246" s="149"/>
      <c r="Z246" s="149"/>
      <c r="AA246" s="149"/>
      <c r="AB246" s="149"/>
      <c r="AC246" s="149"/>
      <c r="AD246" s="149"/>
    </row>
    <row r="247" spans="1:30" x14ac:dyDescent="0.2">
      <c r="A247" s="250"/>
      <c r="B247" s="251"/>
      <c r="C247" s="251"/>
      <c r="D247" s="298"/>
      <c r="E247" s="251"/>
      <c r="F247" s="299"/>
      <c r="G247" s="299"/>
      <c r="H247" s="251"/>
      <c r="I247" s="299"/>
      <c r="J247" s="30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24"/>
      <c r="V247" s="126"/>
      <c r="W247" s="149"/>
      <c r="X247" s="149"/>
      <c r="Y247" s="149"/>
      <c r="Z247" s="149"/>
      <c r="AA247" s="149"/>
      <c r="AB247" s="149"/>
      <c r="AC247" s="149"/>
      <c r="AD247" s="149"/>
    </row>
    <row r="248" spans="1:30" x14ac:dyDescent="0.2">
      <c r="A248" s="250"/>
      <c r="B248" s="251"/>
      <c r="C248" s="251"/>
      <c r="D248" s="298"/>
      <c r="E248" s="251"/>
      <c r="F248" s="299"/>
      <c r="G248" s="299"/>
      <c r="H248" s="251"/>
      <c r="I248" s="299"/>
      <c r="J248" s="30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24"/>
      <c r="V248" s="126"/>
      <c r="W248" s="149"/>
      <c r="X248" s="149"/>
      <c r="Y248" s="149"/>
      <c r="Z248" s="149"/>
      <c r="AA248" s="149"/>
      <c r="AB248" s="149"/>
      <c r="AC248" s="149"/>
      <c r="AD248" s="149"/>
    </row>
    <row r="249" spans="1:30" x14ac:dyDescent="0.2">
      <c r="A249" s="250"/>
      <c r="B249" s="251"/>
      <c r="C249" s="251"/>
      <c r="D249" s="298"/>
      <c r="E249" s="251"/>
      <c r="F249" s="299"/>
      <c r="G249" s="299"/>
      <c r="H249" s="251"/>
      <c r="I249" s="299"/>
      <c r="J249" s="30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24"/>
      <c r="V249" s="126"/>
      <c r="W249" s="149"/>
      <c r="X249" s="149"/>
      <c r="Y249" s="149"/>
      <c r="Z249" s="149"/>
      <c r="AA249" s="149"/>
      <c r="AB249" s="149"/>
      <c r="AC249" s="149"/>
      <c r="AD249" s="149"/>
    </row>
    <row r="250" spans="1:30" x14ac:dyDescent="0.2">
      <c r="A250" s="250"/>
      <c r="B250" s="251"/>
      <c r="C250" s="251"/>
      <c r="D250" s="298"/>
      <c r="E250" s="251"/>
      <c r="F250" s="299"/>
      <c r="G250" s="299"/>
      <c r="H250" s="251"/>
      <c r="I250" s="299"/>
      <c r="J250" s="30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24"/>
      <c r="V250" s="126"/>
      <c r="W250" s="149"/>
      <c r="X250" s="149"/>
      <c r="Y250" s="149"/>
      <c r="Z250" s="149"/>
      <c r="AA250" s="149"/>
      <c r="AB250" s="149"/>
      <c r="AC250" s="149"/>
      <c r="AD250" s="149"/>
    </row>
    <row r="251" spans="1:30" x14ac:dyDescent="0.2">
      <c r="A251" s="250"/>
      <c r="B251" s="251"/>
      <c r="C251" s="251"/>
      <c r="D251" s="298"/>
      <c r="E251" s="251"/>
      <c r="F251" s="299"/>
      <c r="G251" s="299"/>
      <c r="H251" s="251"/>
      <c r="I251" s="299"/>
      <c r="J251" s="30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24"/>
      <c r="V251" s="126"/>
      <c r="W251" s="149"/>
      <c r="X251" s="149"/>
      <c r="Y251" s="149"/>
      <c r="Z251" s="149"/>
      <c r="AA251" s="149"/>
      <c r="AB251" s="149"/>
      <c r="AC251" s="149"/>
      <c r="AD251" s="149"/>
    </row>
    <row r="252" spans="1:30" x14ac:dyDescent="0.2">
      <c r="A252" s="250"/>
      <c r="B252" s="251"/>
      <c r="C252" s="251"/>
      <c r="D252" s="298"/>
      <c r="E252" s="251"/>
      <c r="F252" s="299"/>
      <c r="G252" s="299"/>
      <c r="H252" s="251"/>
      <c r="I252" s="299"/>
      <c r="J252" s="30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24"/>
      <c r="V252" s="126"/>
      <c r="W252" s="149"/>
      <c r="X252" s="149"/>
      <c r="Y252" s="149"/>
      <c r="Z252" s="149"/>
      <c r="AA252" s="149"/>
      <c r="AB252" s="149"/>
      <c r="AC252" s="149"/>
      <c r="AD252" s="149"/>
    </row>
    <row r="253" spans="1:30" x14ac:dyDescent="0.2">
      <c r="A253" s="250"/>
      <c r="B253" s="251"/>
      <c r="C253" s="251"/>
      <c r="D253" s="298"/>
      <c r="E253" s="251"/>
      <c r="F253" s="299"/>
      <c r="G253" s="299"/>
      <c r="H253" s="251"/>
      <c r="I253" s="299"/>
      <c r="J253" s="30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24"/>
      <c r="V253" s="126"/>
      <c r="W253" s="149"/>
      <c r="X253" s="149"/>
      <c r="Y253" s="149"/>
      <c r="Z253" s="149"/>
      <c r="AA253" s="149"/>
      <c r="AB253" s="149"/>
      <c r="AC253" s="149"/>
      <c r="AD253" s="149"/>
    </row>
    <row r="254" spans="1:30" x14ac:dyDescent="0.2">
      <c r="A254" s="250"/>
      <c r="B254" s="251"/>
      <c r="C254" s="251"/>
      <c r="D254" s="298"/>
      <c r="E254" s="251"/>
      <c r="F254" s="299"/>
      <c r="G254" s="299"/>
      <c r="H254" s="251"/>
      <c r="I254" s="299"/>
      <c r="J254" s="30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24"/>
      <c r="V254" s="126"/>
      <c r="W254" s="149"/>
      <c r="X254" s="149"/>
      <c r="Y254" s="149"/>
      <c r="Z254" s="149"/>
      <c r="AA254" s="149"/>
      <c r="AB254" s="149"/>
      <c r="AC254" s="149"/>
      <c r="AD254" s="149"/>
    </row>
    <row r="255" spans="1:30" x14ac:dyDescent="0.2">
      <c r="A255" s="250"/>
      <c r="B255" s="251"/>
      <c r="C255" s="251"/>
      <c r="D255" s="298"/>
      <c r="E255" s="251"/>
      <c r="F255" s="299"/>
      <c r="G255" s="299"/>
      <c r="H255" s="251"/>
      <c r="I255" s="299"/>
      <c r="J255" s="30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24"/>
      <c r="V255" s="126"/>
      <c r="W255" s="149"/>
      <c r="X255" s="149"/>
      <c r="Y255" s="149"/>
      <c r="Z255" s="149"/>
      <c r="AA255" s="149"/>
      <c r="AB255" s="149"/>
      <c r="AC255" s="149"/>
      <c r="AD255" s="149"/>
    </row>
    <row r="256" spans="1:30" x14ac:dyDescent="0.2">
      <c r="A256" s="250"/>
      <c r="B256" s="251"/>
      <c r="C256" s="251"/>
      <c r="D256" s="298"/>
      <c r="E256" s="251"/>
      <c r="F256" s="299"/>
      <c r="G256" s="299"/>
      <c r="H256" s="251"/>
      <c r="I256" s="299"/>
      <c r="J256" s="30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24"/>
      <c r="V256" s="126"/>
      <c r="W256" s="149"/>
      <c r="X256" s="149"/>
      <c r="Y256" s="149"/>
      <c r="Z256" s="149"/>
      <c r="AA256" s="149"/>
      <c r="AB256" s="149"/>
      <c r="AC256" s="149"/>
      <c r="AD256" s="149"/>
    </row>
    <row r="257" spans="1:30" x14ac:dyDescent="0.2">
      <c r="A257" s="250"/>
      <c r="B257" s="251"/>
      <c r="C257" s="251"/>
      <c r="D257" s="298"/>
      <c r="E257" s="251"/>
      <c r="F257" s="299"/>
      <c r="G257" s="299"/>
      <c r="H257" s="251"/>
      <c r="I257" s="299"/>
      <c r="J257" s="30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24"/>
      <c r="V257" s="126"/>
      <c r="W257" s="149"/>
      <c r="X257" s="149"/>
      <c r="Y257" s="149"/>
      <c r="Z257" s="149"/>
      <c r="AA257" s="149"/>
      <c r="AB257" s="149"/>
      <c r="AC257" s="149"/>
      <c r="AD257" s="149"/>
    </row>
    <row r="258" spans="1:30" x14ac:dyDescent="0.2">
      <c r="A258" s="250"/>
      <c r="B258" s="251"/>
      <c r="C258" s="251"/>
      <c r="D258" s="298"/>
      <c r="E258" s="251"/>
      <c r="F258" s="299"/>
      <c r="G258" s="299"/>
      <c r="H258" s="251"/>
      <c r="I258" s="299"/>
      <c r="J258" s="30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24"/>
      <c r="V258" s="126"/>
      <c r="W258" s="149"/>
      <c r="X258" s="149"/>
      <c r="Y258" s="149"/>
      <c r="Z258" s="149"/>
      <c r="AA258" s="149"/>
      <c r="AB258" s="149"/>
      <c r="AC258" s="149"/>
      <c r="AD258" s="149"/>
    </row>
    <row r="259" spans="1:30" x14ac:dyDescent="0.2">
      <c r="A259" s="250"/>
      <c r="B259" s="251"/>
      <c r="C259" s="251"/>
      <c r="D259" s="298"/>
      <c r="E259" s="251"/>
      <c r="F259" s="299"/>
      <c r="G259" s="299"/>
      <c r="H259" s="251"/>
      <c r="I259" s="299"/>
      <c r="J259" s="30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24"/>
      <c r="V259" s="126"/>
      <c r="W259" s="149"/>
      <c r="X259" s="149"/>
      <c r="Y259" s="149"/>
      <c r="Z259" s="149"/>
      <c r="AA259" s="149"/>
      <c r="AB259" s="149"/>
      <c r="AC259" s="149"/>
      <c r="AD259" s="149"/>
    </row>
    <row r="260" spans="1:30" x14ac:dyDescent="0.2">
      <c r="A260" s="250"/>
      <c r="B260" s="251"/>
      <c r="C260" s="251"/>
      <c r="D260" s="298"/>
      <c r="E260" s="251"/>
      <c r="F260" s="299"/>
      <c r="G260" s="299"/>
      <c r="H260" s="251"/>
      <c r="I260" s="299"/>
      <c r="J260" s="30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24"/>
      <c r="V260" s="126"/>
      <c r="W260" s="149"/>
      <c r="X260" s="149"/>
      <c r="Y260" s="149"/>
      <c r="Z260" s="149"/>
      <c r="AA260" s="149"/>
      <c r="AB260" s="149"/>
      <c r="AC260" s="149"/>
      <c r="AD260" s="149"/>
    </row>
    <row r="261" spans="1:30" x14ac:dyDescent="0.2">
      <c r="A261" s="250"/>
      <c r="B261" s="251"/>
      <c r="C261" s="251"/>
      <c r="D261" s="298"/>
      <c r="E261" s="251"/>
      <c r="F261" s="299"/>
      <c r="G261" s="299"/>
      <c r="H261" s="251"/>
      <c r="I261" s="299"/>
      <c r="J261" s="30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24"/>
      <c r="V261" s="126"/>
      <c r="W261" s="149"/>
      <c r="X261" s="149"/>
      <c r="Y261" s="149"/>
      <c r="Z261" s="149"/>
      <c r="AA261" s="149"/>
      <c r="AB261" s="149"/>
      <c r="AC261" s="149"/>
      <c r="AD261" s="149"/>
    </row>
    <row r="262" spans="1:30" x14ac:dyDescent="0.2">
      <c r="A262" s="250"/>
      <c r="B262" s="251"/>
      <c r="C262" s="251"/>
      <c r="D262" s="298"/>
      <c r="E262" s="251"/>
      <c r="F262" s="299"/>
      <c r="G262" s="299"/>
      <c r="H262" s="251"/>
      <c r="I262" s="299"/>
      <c r="J262" s="30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24"/>
      <c r="V262" s="126"/>
      <c r="W262" s="149"/>
      <c r="X262" s="149"/>
      <c r="Y262" s="149"/>
      <c r="Z262" s="149"/>
      <c r="AA262" s="149"/>
      <c r="AB262" s="149"/>
      <c r="AC262" s="149"/>
      <c r="AD262" s="149"/>
    </row>
    <row r="263" spans="1:30" x14ac:dyDescent="0.2">
      <c r="A263" s="250"/>
      <c r="B263" s="251"/>
      <c r="C263" s="251"/>
      <c r="D263" s="298"/>
      <c r="E263" s="251"/>
      <c r="F263" s="299"/>
      <c r="G263" s="299"/>
      <c r="H263" s="251"/>
      <c r="I263" s="299"/>
      <c r="J263" s="30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24"/>
      <c r="V263" s="126"/>
      <c r="W263" s="149"/>
      <c r="X263" s="149"/>
      <c r="Y263" s="149"/>
      <c r="Z263" s="149"/>
      <c r="AA263" s="149"/>
      <c r="AB263" s="149"/>
      <c r="AC263" s="149"/>
      <c r="AD263" s="149"/>
    </row>
    <row r="264" spans="1:30" x14ac:dyDescent="0.2">
      <c r="A264" s="250"/>
      <c r="B264" s="251"/>
      <c r="C264" s="251"/>
      <c r="D264" s="298"/>
      <c r="E264" s="251"/>
      <c r="F264" s="299"/>
      <c r="G264" s="299"/>
      <c r="H264" s="251"/>
      <c r="I264" s="299"/>
      <c r="J264" s="30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24"/>
      <c r="V264" s="126"/>
      <c r="W264" s="149"/>
      <c r="X264" s="149"/>
      <c r="Y264" s="149"/>
      <c r="Z264" s="149"/>
      <c r="AA264" s="149"/>
      <c r="AB264" s="149"/>
      <c r="AC264" s="149"/>
      <c r="AD264" s="149"/>
    </row>
    <row r="265" spans="1:30" x14ac:dyDescent="0.2">
      <c r="A265" s="250"/>
      <c r="B265" s="251"/>
      <c r="C265" s="251"/>
      <c r="D265" s="298"/>
      <c r="E265" s="251"/>
      <c r="F265" s="299"/>
      <c r="G265" s="299"/>
      <c r="H265" s="251"/>
      <c r="I265" s="299"/>
      <c r="J265" s="30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24"/>
      <c r="V265" s="126"/>
      <c r="W265" s="149"/>
      <c r="X265" s="149"/>
      <c r="Y265" s="149"/>
      <c r="Z265" s="149"/>
      <c r="AA265" s="149"/>
      <c r="AB265" s="149"/>
      <c r="AC265" s="149"/>
      <c r="AD265" s="149"/>
    </row>
    <row r="266" spans="1:30" x14ac:dyDescent="0.2">
      <c r="A266" s="250"/>
      <c r="B266" s="251"/>
      <c r="C266" s="251"/>
      <c r="D266" s="298"/>
      <c r="E266" s="251"/>
      <c r="F266" s="299"/>
      <c r="G266" s="299"/>
      <c r="H266" s="251"/>
      <c r="I266" s="299"/>
      <c r="J266" s="30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24"/>
      <c r="V266" s="126"/>
      <c r="W266" s="149"/>
      <c r="X266" s="149"/>
      <c r="Y266" s="149"/>
      <c r="Z266" s="149"/>
      <c r="AA266" s="149"/>
      <c r="AB266" s="149"/>
      <c r="AC266" s="149"/>
      <c r="AD266" s="149"/>
    </row>
    <row r="267" spans="1:30" x14ac:dyDescent="0.2">
      <c r="A267" s="250"/>
      <c r="B267" s="251"/>
      <c r="C267" s="251"/>
      <c r="D267" s="298"/>
      <c r="E267" s="251"/>
      <c r="F267" s="299"/>
      <c r="G267" s="299"/>
      <c r="H267" s="251"/>
      <c r="I267" s="299"/>
      <c r="J267" s="30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24"/>
      <c r="V267" s="126"/>
      <c r="W267" s="149"/>
      <c r="X267" s="149"/>
      <c r="Y267" s="149"/>
      <c r="Z267" s="149"/>
      <c r="AA267" s="149"/>
      <c r="AB267" s="149"/>
      <c r="AC267" s="149"/>
      <c r="AD267" s="149"/>
    </row>
    <row r="268" spans="1:30" x14ac:dyDescent="0.2">
      <c r="A268" s="250"/>
      <c r="B268" s="251"/>
      <c r="C268" s="251"/>
      <c r="D268" s="298"/>
      <c r="E268" s="251"/>
      <c r="F268" s="299"/>
      <c r="G268" s="299"/>
      <c r="H268" s="251"/>
      <c r="I268" s="299"/>
      <c r="J268" s="30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24"/>
      <c r="V268" s="126"/>
      <c r="W268" s="149"/>
      <c r="X268" s="149"/>
      <c r="Y268" s="149"/>
      <c r="Z268" s="149"/>
      <c r="AA268" s="149"/>
      <c r="AB268" s="149"/>
      <c r="AC268" s="149"/>
      <c r="AD268" s="149"/>
    </row>
    <row r="269" spans="1:30" x14ac:dyDescent="0.2">
      <c r="A269" s="250"/>
      <c r="B269" s="251"/>
      <c r="C269" s="251"/>
      <c r="D269" s="298"/>
      <c r="E269" s="251"/>
      <c r="F269" s="299"/>
      <c r="G269" s="299"/>
      <c r="H269" s="251"/>
      <c r="I269" s="299"/>
      <c r="J269" s="30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24"/>
      <c r="V269" s="126"/>
      <c r="W269" s="149"/>
      <c r="X269" s="149"/>
      <c r="Y269" s="149"/>
      <c r="Z269" s="149"/>
      <c r="AA269" s="149"/>
      <c r="AB269" s="149"/>
      <c r="AC269" s="149"/>
      <c r="AD269" s="149"/>
    </row>
    <row r="270" spans="1:30" x14ac:dyDescent="0.2">
      <c r="A270" s="250"/>
      <c r="B270" s="251"/>
      <c r="C270" s="251"/>
      <c r="D270" s="298"/>
      <c r="E270" s="251"/>
      <c r="F270" s="299"/>
      <c r="G270" s="299"/>
      <c r="H270" s="251"/>
      <c r="I270" s="299"/>
      <c r="J270" s="30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24"/>
      <c r="V270" s="126"/>
      <c r="W270" s="149"/>
      <c r="X270" s="149"/>
      <c r="Y270" s="149"/>
      <c r="Z270" s="149"/>
      <c r="AA270" s="149"/>
      <c r="AB270" s="149"/>
      <c r="AC270" s="149"/>
      <c r="AD270" s="149"/>
    </row>
    <row r="271" spans="1:30" x14ac:dyDescent="0.2">
      <c r="A271" s="250"/>
      <c r="B271" s="251"/>
      <c r="C271" s="251"/>
      <c r="D271" s="298"/>
      <c r="E271" s="251"/>
      <c r="F271" s="299"/>
      <c r="G271" s="299"/>
      <c r="H271" s="251"/>
      <c r="I271" s="299"/>
      <c r="J271" s="30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24"/>
      <c r="V271" s="126"/>
      <c r="W271" s="149"/>
      <c r="X271" s="149"/>
      <c r="Y271" s="149"/>
      <c r="Z271" s="149"/>
      <c r="AA271" s="149"/>
      <c r="AB271" s="149"/>
      <c r="AC271" s="149"/>
      <c r="AD271" s="149"/>
    </row>
    <row r="272" spans="1:30" x14ac:dyDescent="0.2">
      <c r="A272" s="250"/>
      <c r="B272" s="251"/>
      <c r="C272" s="251"/>
      <c r="D272" s="298"/>
      <c r="E272" s="251"/>
      <c r="F272" s="299"/>
      <c r="G272" s="299"/>
      <c r="H272" s="251"/>
      <c r="I272" s="299"/>
      <c r="J272" s="30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24"/>
      <c r="V272" s="126"/>
      <c r="W272" s="149"/>
      <c r="X272" s="149"/>
      <c r="Y272" s="149"/>
      <c r="Z272" s="149"/>
      <c r="AA272" s="149"/>
      <c r="AB272" s="149"/>
      <c r="AC272" s="149"/>
      <c r="AD272" s="149"/>
    </row>
    <row r="273" spans="1:30" x14ac:dyDescent="0.2">
      <c r="A273" s="250"/>
      <c r="B273" s="251"/>
      <c r="C273" s="251"/>
      <c r="D273" s="298"/>
      <c r="E273" s="251"/>
      <c r="F273" s="299"/>
      <c r="G273" s="299"/>
      <c r="H273" s="251"/>
      <c r="I273" s="299"/>
      <c r="J273" s="30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24"/>
      <c r="V273" s="126"/>
      <c r="W273" s="149"/>
      <c r="X273" s="149"/>
      <c r="Y273" s="149"/>
      <c r="Z273" s="149"/>
      <c r="AA273" s="149"/>
      <c r="AB273" s="149"/>
      <c r="AC273" s="149"/>
      <c r="AD273" s="149"/>
    </row>
    <row r="274" spans="1:30" x14ac:dyDescent="0.2">
      <c r="A274" s="250"/>
      <c r="B274" s="251"/>
      <c r="C274" s="251"/>
      <c r="D274" s="298"/>
      <c r="E274" s="251"/>
      <c r="F274" s="299"/>
      <c r="G274" s="299"/>
      <c r="H274" s="251"/>
      <c r="I274" s="299"/>
      <c r="J274" s="30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24"/>
      <c r="V274" s="126"/>
      <c r="W274" s="149"/>
      <c r="X274" s="149"/>
      <c r="Y274" s="149"/>
      <c r="Z274" s="149"/>
      <c r="AA274" s="149"/>
      <c r="AB274" s="149"/>
      <c r="AC274" s="149"/>
      <c r="AD274" s="149"/>
    </row>
    <row r="275" spans="1:30" x14ac:dyDescent="0.2">
      <c r="A275" s="250"/>
      <c r="B275" s="251"/>
      <c r="C275" s="251"/>
      <c r="D275" s="298"/>
      <c r="E275" s="251"/>
      <c r="F275" s="299"/>
      <c r="G275" s="299"/>
      <c r="H275" s="251"/>
      <c r="I275" s="299"/>
      <c r="J275" s="30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24"/>
      <c r="V275" s="126"/>
      <c r="W275" s="149"/>
      <c r="X275" s="149"/>
      <c r="Y275" s="149"/>
      <c r="Z275" s="149"/>
      <c r="AA275" s="149"/>
      <c r="AB275" s="149"/>
      <c r="AC275" s="149"/>
      <c r="AD275" s="149"/>
    </row>
    <row r="276" spans="1:30" x14ac:dyDescent="0.2">
      <c r="A276" s="250"/>
      <c r="B276" s="251"/>
      <c r="C276" s="251"/>
      <c r="D276" s="298"/>
      <c r="E276" s="251"/>
      <c r="F276" s="299"/>
      <c r="G276" s="299"/>
      <c r="H276" s="251"/>
      <c r="I276" s="299"/>
      <c r="J276" s="30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24"/>
      <c r="V276" s="126"/>
      <c r="W276" s="149"/>
      <c r="X276" s="149"/>
      <c r="Y276" s="149"/>
      <c r="Z276" s="149"/>
      <c r="AA276" s="149"/>
      <c r="AB276" s="149"/>
      <c r="AC276" s="149"/>
      <c r="AD276" s="149"/>
    </row>
    <row r="277" spans="1:30" x14ac:dyDescent="0.2">
      <c r="A277" s="250"/>
      <c r="B277" s="251"/>
      <c r="C277" s="251"/>
      <c r="D277" s="298"/>
      <c r="E277" s="251"/>
      <c r="F277" s="299"/>
      <c r="G277" s="299"/>
      <c r="H277" s="251"/>
      <c r="I277" s="299"/>
      <c r="J277" s="30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24"/>
      <c r="V277" s="126"/>
      <c r="W277" s="149"/>
      <c r="X277" s="149"/>
      <c r="Y277" s="149"/>
      <c r="Z277" s="149"/>
      <c r="AA277" s="149"/>
      <c r="AB277" s="149"/>
      <c r="AC277" s="149"/>
      <c r="AD277" s="149"/>
    </row>
    <row r="278" spans="1:30" x14ac:dyDescent="0.2">
      <c r="A278" s="250"/>
      <c r="B278" s="251"/>
      <c r="C278" s="251"/>
      <c r="D278" s="298"/>
      <c r="E278" s="251"/>
      <c r="F278" s="299"/>
      <c r="G278" s="299"/>
      <c r="H278" s="251"/>
      <c r="I278" s="299"/>
      <c r="J278" s="30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24"/>
      <c r="V278" s="126"/>
      <c r="W278" s="149"/>
      <c r="X278" s="149"/>
      <c r="Y278" s="149"/>
      <c r="Z278" s="149"/>
      <c r="AA278" s="149"/>
      <c r="AB278" s="149"/>
      <c r="AC278" s="149"/>
      <c r="AD278" s="149"/>
    </row>
    <row r="279" spans="1:30" x14ac:dyDescent="0.2">
      <c r="A279" s="250"/>
      <c r="B279" s="251"/>
      <c r="C279" s="251"/>
      <c r="D279" s="298"/>
      <c r="E279" s="251"/>
      <c r="F279" s="299"/>
      <c r="G279" s="299"/>
      <c r="H279" s="251"/>
      <c r="I279" s="299"/>
      <c r="J279" s="30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24"/>
      <c r="V279" s="126"/>
      <c r="W279" s="149"/>
      <c r="X279" s="149"/>
      <c r="Y279" s="149"/>
      <c r="Z279" s="149"/>
      <c r="AA279" s="149"/>
      <c r="AB279" s="149"/>
      <c r="AC279" s="149"/>
      <c r="AD279" s="149"/>
    </row>
    <row r="280" spans="1:30" x14ac:dyDescent="0.2">
      <c r="A280" s="250"/>
      <c r="B280" s="251"/>
      <c r="C280" s="251"/>
      <c r="D280" s="298"/>
      <c r="E280" s="251"/>
      <c r="F280" s="299"/>
      <c r="G280" s="299"/>
      <c r="H280" s="251"/>
      <c r="I280" s="299"/>
      <c r="J280" s="30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24"/>
      <c r="V280" s="126"/>
      <c r="W280" s="149"/>
      <c r="X280" s="149"/>
      <c r="Y280" s="149"/>
      <c r="Z280" s="149"/>
      <c r="AA280" s="149"/>
      <c r="AB280" s="149"/>
      <c r="AC280" s="149"/>
      <c r="AD280" s="149"/>
    </row>
    <row r="281" spans="1:30" x14ac:dyDescent="0.2">
      <c r="A281" s="250"/>
      <c r="B281" s="251"/>
      <c r="C281" s="251"/>
      <c r="D281" s="298"/>
      <c r="E281" s="251"/>
      <c r="F281" s="299"/>
      <c r="G281" s="299"/>
      <c r="H281" s="251"/>
      <c r="I281" s="299"/>
      <c r="J281" s="30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24"/>
      <c r="V281" s="126"/>
      <c r="W281" s="149"/>
      <c r="X281" s="149"/>
      <c r="Y281" s="149"/>
      <c r="Z281" s="149"/>
      <c r="AA281" s="149"/>
      <c r="AB281" s="149"/>
      <c r="AC281" s="149"/>
      <c r="AD281" s="149"/>
    </row>
    <row r="282" spans="1:30" x14ac:dyDescent="0.2">
      <c r="A282" s="250"/>
      <c r="B282" s="251"/>
      <c r="C282" s="251"/>
      <c r="D282" s="298"/>
      <c r="E282" s="251"/>
      <c r="F282" s="299"/>
      <c r="G282" s="299"/>
      <c r="H282" s="251"/>
      <c r="I282" s="299"/>
      <c r="J282" s="30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24"/>
      <c r="V282" s="126"/>
      <c r="W282" s="149"/>
      <c r="X282" s="149"/>
      <c r="Y282" s="149"/>
      <c r="Z282" s="149"/>
      <c r="AA282" s="149"/>
      <c r="AB282" s="149"/>
      <c r="AC282" s="149"/>
      <c r="AD282" s="149"/>
    </row>
    <row r="283" spans="1:30" x14ac:dyDescent="0.2">
      <c r="A283" s="250"/>
      <c r="B283" s="251"/>
      <c r="C283" s="251"/>
      <c r="D283" s="298"/>
      <c r="E283" s="251"/>
      <c r="F283" s="299"/>
      <c r="G283" s="299"/>
      <c r="H283" s="251"/>
      <c r="I283" s="299"/>
      <c r="J283" s="30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24"/>
      <c r="V283" s="126"/>
      <c r="W283" s="149"/>
      <c r="X283" s="149"/>
      <c r="Y283" s="149"/>
      <c r="Z283" s="149"/>
      <c r="AA283" s="149"/>
      <c r="AB283" s="149"/>
      <c r="AC283" s="149"/>
      <c r="AD283" s="149"/>
    </row>
    <row r="284" spans="1:30" x14ac:dyDescent="0.2">
      <c r="A284" s="250"/>
      <c r="B284" s="251"/>
      <c r="C284" s="251"/>
      <c r="D284" s="298"/>
      <c r="E284" s="251"/>
      <c r="F284" s="299"/>
      <c r="G284" s="299"/>
      <c r="H284" s="251"/>
      <c r="I284" s="299"/>
      <c r="J284" s="30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24"/>
      <c r="V284" s="126"/>
      <c r="W284" s="149"/>
      <c r="X284" s="149"/>
      <c r="Y284" s="149"/>
      <c r="Z284" s="149"/>
      <c r="AA284" s="149"/>
      <c r="AB284" s="149"/>
      <c r="AC284" s="149"/>
      <c r="AD284" s="149"/>
    </row>
    <row r="285" spans="1:30" x14ac:dyDescent="0.2">
      <c r="A285" s="250"/>
      <c r="B285" s="251"/>
      <c r="C285" s="251"/>
      <c r="D285" s="298"/>
      <c r="E285" s="251"/>
      <c r="F285" s="299"/>
      <c r="G285" s="299"/>
      <c r="H285" s="251"/>
      <c r="I285" s="299"/>
      <c r="J285" s="30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24"/>
      <c r="V285" s="126"/>
      <c r="W285" s="149"/>
      <c r="X285" s="149"/>
      <c r="Y285" s="149"/>
      <c r="Z285" s="149"/>
      <c r="AA285" s="149"/>
      <c r="AB285" s="149"/>
      <c r="AC285" s="149"/>
      <c r="AD285" s="149"/>
    </row>
    <row r="286" spans="1:30" x14ac:dyDescent="0.2">
      <c r="A286" s="250"/>
      <c r="B286" s="251"/>
      <c r="C286" s="251"/>
      <c r="D286" s="298"/>
      <c r="E286" s="251"/>
      <c r="F286" s="299"/>
      <c r="G286" s="299"/>
      <c r="H286" s="251"/>
      <c r="I286" s="299"/>
      <c r="J286" s="30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24"/>
      <c r="V286" s="126"/>
      <c r="W286" s="149"/>
      <c r="X286" s="149"/>
      <c r="Y286" s="149"/>
      <c r="Z286" s="149"/>
      <c r="AA286" s="149"/>
      <c r="AB286" s="149"/>
      <c r="AC286" s="149"/>
      <c r="AD286" s="149"/>
    </row>
    <row r="287" spans="1:30" x14ac:dyDescent="0.2">
      <c r="A287" s="250"/>
      <c r="B287" s="251"/>
      <c r="C287" s="251"/>
      <c r="D287" s="298"/>
      <c r="E287" s="251"/>
      <c r="F287" s="299"/>
      <c r="G287" s="299"/>
      <c r="H287" s="251"/>
      <c r="I287" s="299"/>
      <c r="J287" s="30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24"/>
      <c r="V287" s="126"/>
      <c r="W287" s="149"/>
      <c r="X287" s="149"/>
      <c r="Y287" s="149"/>
      <c r="Z287" s="149"/>
      <c r="AA287" s="149"/>
      <c r="AB287" s="149"/>
      <c r="AC287" s="149"/>
      <c r="AD287" s="149"/>
    </row>
    <row r="288" spans="1:30" x14ac:dyDescent="0.2">
      <c r="A288" s="250"/>
      <c r="B288" s="251"/>
      <c r="C288" s="251"/>
      <c r="D288" s="298"/>
      <c r="E288" s="251"/>
      <c r="F288" s="299"/>
      <c r="G288" s="299"/>
      <c r="H288" s="251"/>
      <c r="I288" s="299"/>
      <c r="J288" s="30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24"/>
      <c r="V288" s="126"/>
      <c r="W288" s="149"/>
      <c r="X288" s="149"/>
      <c r="Y288" s="149"/>
      <c r="Z288" s="149"/>
      <c r="AA288" s="149"/>
      <c r="AB288" s="149"/>
      <c r="AC288" s="149"/>
      <c r="AD288" s="149"/>
    </row>
    <row r="289" spans="1:30" x14ac:dyDescent="0.2">
      <c r="A289" s="250"/>
      <c r="B289" s="251"/>
      <c r="C289" s="251"/>
      <c r="D289" s="298"/>
      <c r="E289" s="251"/>
      <c r="F289" s="299"/>
      <c r="G289" s="299"/>
      <c r="H289" s="251"/>
      <c r="I289" s="299"/>
      <c r="J289" s="30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24"/>
      <c r="V289" s="126"/>
      <c r="W289" s="149"/>
      <c r="X289" s="149"/>
      <c r="Y289" s="149"/>
      <c r="Z289" s="149"/>
      <c r="AA289" s="149"/>
      <c r="AB289" s="149"/>
      <c r="AC289" s="149"/>
      <c r="AD289" s="149"/>
    </row>
    <row r="290" spans="1:30" x14ac:dyDescent="0.2">
      <c r="A290" s="250"/>
      <c r="B290" s="251"/>
      <c r="C290" s="251"/>
      <c r="D290" s="298"/>
      <c r="E290" s="251"/>
      <c r="F290" s="299"/>
      <c r="G290" s="299"/>
      <c r="H290" s="251"/>
      <c r="I290" s="299"/>
      <c r="J290" s="30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24"/>
      <c r="V290" s="126"/>
      <c r="W290" s="149"/>
      <c r="X290" s="149"/>
      <c r="Y290" s="149"/>
      <c r="Z290" s="149"/>
      <c r="AA290" s="149"/>
      <c r="AB290" s="149"/>
      <c r="AC290" s="149"/>
      <c r="AD290" s="149"/>
    </row>
    <row r="291" spans="1:30" x14ac:dyDescent="0.2">
      <c r="A291" s="250"/>
      <c r="B291" s="251"/>
      <c r="C291" s="251"/>
      <c r="D291" s="298"/>
      <c r="E291" s="251"/>
      <c r="F291" s="299"/>
      <c r="G291" s="299"/>
      <c r="H291" s="251"/>
      <c r="I291" s="299"/>
      <c r="J291" s="30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24"/>
      <c r="V291" s="126"/>
      <c r="W291" s="149"/>
      <c r="X291" s="149"/>
      <c r="Y291" s="149"/>
      <c r="Z291" s="149"/>
      <c r="AA291" s="149"/>
      <c r="AB291" s="149"/>
      <c r="AC291" s="149"/>
      <c r="AD291" s="149"/>
    </row>
    <row r="292" spans="1:30" x14ac:dyDescent="0.2">
      <c r="A292" s="250"/>
      <c r="B292" s="251"/>
      <c r="C292" s="251"/>
      <c r="D292" s="298"/>
      <c r="E292" s="251"/>
      <c r="F292" s="299"/>
      <c r="G292" s="299"/>
      <c r="H292" s="251"/>
      <c r="I292" s="299"/>
      <c r="J292" s="30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24"/>
      <c r="V292" s="126"/>
      <c r="W292" s="149"/>
      <c r="X292" s="149"/>
      <c r="Y292" s="149"/>
      <c r="Z292" s="149"/>
      <c r="AA292" s="149"/>
      <c r="AB292" s="149"/>
      <c r="AC292" s="149"/>
      <c r="AD292" s="149"/>
    </row>
    <row r="293" spans="1:30" x14ac:dyDescent="0.2">
      <c r="A293" s="250"/>
      <c r="B293" s="251"/>
      <c r="C293" s="251"/>
      <c r="D293" s="298"/>
      <c r="E293" s="251"/>
      <c r="F293" s="299"/>
      <c r="G293" s="299"/>
      <c r="H293" s="251"/>
      <c r="I293" s="299"/>
      <c r="J293" s="30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24"/>
      <c r="V293" s="126"/>
      <c r="W293" s="149"/>
      <c r="X293" s="149"/>
      <c r="Y293" s="149"/>
      <c r="Z293" s="149"/>
      <c r="AA293" s="149"/>
      <c r="AB293" s="149"/>
      <c r="AC293" s="149"/>
      <c r="AD293" s="149"/>
    </row>
    <row r="294" spans="1:30" x14ac:dyDescent="0.2">
      <c r="A294" s="250"/>
      <c r="B294" s="251"/>
      <c r="C294" s="251"/>
      <c r="D294" s="298"/>
      <c r="E294" s="251"/>
      <c r="F294" s="299"/>
      <c r="G294" s="299"/>
      <c r="H294" s="251"/>
      <c r="I294" s="299"/>
      <c r="J294" s="30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24"/>
      <c r="V294" s="126"/>
      <c r="W294" s="149"/>
      <c r="X294" s="149"/>
      <c r="Y294" s="149"/>
      <c r="Z294" s="149"/>
      <c r="AA294" s="149"/>
      <c r="AB294" s="149"/>
      <c r="AC294" s="149"/>
      <c r="AD294" s="149"/>
    </row>
    <row r="295" spans="1:30" x14ac:dyDescent="0.2">
      <c r="A295" s="250"/>
      <c r="B295" s="251"/>
      <c r="C295" s="251"/>
      <c r="D295" s="298"/>
      <c r="E295" s="251"/>
      <c r="F295" s="299"/>
      <c r="G295" s="299"/>
      <c r="H295" s="251"/>
      <c r="I295" s="299"/>
      <c r="J295" s="30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24"/>
      <c r="V295" s="126"/>
      <c r="W295" s="149"/>
      <c r="X295" s="149"/>
      <c r="Y295" s="149"/>
      <c r="Z295" s="149"/>
      <c r="AA295" s="149"/>
      <c r="AB295" s="149"/>
      <c r="AC295" s="149"/>
      <c r="AD295" s="149"/>
    </row>
    <row r="296" spans="1:30" x14ac:dyDescent="0.2">
      <c r="A296" s="250"/>
      <c r="B296" s="251"/>
      <c r="C296" s="251"/>
      <c r="D296" s="298"/>
      <c r="E296" s="251"/>
      <c r="F296" s="299"/>
      <c r="G296" s="299"/>
      <c r="H296" s="251"/>
      <c r="I296" s="299"/>
      <c r="J296" s="30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24"/>
      <c r="V296" s="126"/>
      <c r="W296" s="149"/>
      <c r="X296" s="149"/>
      <c r="Y296" s="149"/>
      <c r="Z296" s="149"/>
      <c r="AA296" s="149"/>
      <c r="AB296" s="149"/>
      <c r="AC296" s="149"/>
      <c r="AD296" s="149"/>
    </row>
    <row r="297" spans="1:30" x14ac:dyDescent="0.2">
      <c r="A297" s="250"/>
      <c r="B297" s="251"/>
      <c r="C297" s="251"/>
      <c r="D297" s="298"/>
      <c r="E297" s="251"/>
      <c r="F297" s="299"/>
      <c r="G297" s="299"/>
      <c r="H297" s="251"/>
      <c r="I297" s="299"/>
      <c r="J297" s="30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24"/>
      <c r="V297" s="126"/>
      <c r="W297" s="149"/>
      <c r="X297" s="149"/>
      <c r="Y297" s="149"/>
      <c r="Z297" s="149"/>
      <c r="AA297" s="149"/>
      <c r="AB297" s="149"/>
      <c r="AC297" s="149"/>
      <c r="AD297" s="149"/>
    </row>
    <row r="298" spans="1:30" x14ac:dyDescent="0.2">
      <c r="A298" s="250"/>
      <c r="B298" s="251"/>
      <c r="C298" s="251"/>
      <c r="D298" s="298"/>
      <c r="E298" s="251"/>
      <c r="F298" s="299"/>
      <c r="G298" s="299"/>
      <c r="H298" s="251"/>
      <c r="I298" s="299"/>
      <c r="J298" s="30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24"/>
      <c r="V298" s="126"/>
      <c r="W298" s="149"/>
      <c r="X298" s="149"/>
      <c r="Y298" s="149"/>
      <c r="Z298" s="149"/>
      <c r="AA298" s="149"/>
      <c r="AB298" s="149"/>
      <c r="AC298" s="149"/>
      <c r="AD298" s="149"/>
    </row>
    <row r="299" spans="1:30" x14ac:dyDescent="0.2">
      <c r="A299" s="250"/>
      <c r="B299" s="251"/>
      <c r="C299" s="251"/>
      <c r="D299" s="298"/>
      <c r="E299" s="251"/>
      <c r="F299" s="299"/>
      <c r="G299" s="299"/>
      <c r="H299" s="251"/>
      <c r="I299" s="299"/>
      <c r="J299" s="30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24"/>
      <c r="V299" s="126"/>
      <c r="W299" s="149"/>
      <c r="X299" s="149"/>
      <c r="Y299" s="149"/>
      <c r="Z299" s="149"/>
      <c r="AA299" s="149"/>
      <c r="AB299" s="149"/>
      <c r="AC299" s="149"/>
      <c r="AD299" s="149"/>
    </row>
    <row r="300" spans="1:30" x14ac:dyDescent="0.2">
      <c r="A300" s="250"/>
      <c r="B300" s="251"/>
      <c r="C300" s="251"/>
      <c r="D300" s="298"/>
      <c r="E300" s="251"/>
      <c r="F300" s="299"/>
      <c r="G300" s="299"/>
      <c r="H300" s="251"/>
      <c r="I300" s="299"/>
      <c r="J300" s="30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24"/>
      <c r="V300" s="126"/>
      <c r="W300" s="149"/>
      <c r="X300" s="149"/>
      <c r="Y300" s="149"/>
      <c r="Z300" s="149"/>
      <c r="AA300" s="149"/>
      <c r="AB300" s="149"/>
      <c r="AC300" s="149"/>
      <c r="AD300" s="149"/>
    </row>
    <row r="301" spans="1:30" x14ac:dyDescent="0.2">
      <c r="A301" s="250"/>
      <c r="B301" s="251"/>
      <c r="C301" s="251"/>
      <c r="D301" s="298"/>
      <c r="E301" s="251"/>
      <c r="F301" s="299"/>
      <c r="G301" s="299"/>
      <c r="H301" s="251"/>
      <c r="I301" s="299"/>
      <c r="J301" s="30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24"/>
      <c r="V301" s="126"/>
      <c r="W301" s="149"/>
      <c r="X301" s="149"/>
      <c r="Y301" s="149"/>
      <c r="Z301" s="149"/>
      <c r="AA301" s="149"/>
      <c r="AB301" s="149"/>
      <c r="AC301" s="149"/>
      <c r="AD301" s="149"/>
    </row>
    <row r="302" spans="1:30" x14ac:dyDescent="0.2">
      <c r="A302" s="250"/>
      <c r="B302" s="251"/>
      <c r="C302" s="251"/>
      <c r="D302" s="298"/>
      <c r="E302" s="251"/>
      <c r="F302" s="299"/>
      <c r="G302" s="299"/>
      <c r="H302" s="251"/>
      <c r="I302" s="299"/>
      <c r="J302" s="30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24"/>
      <c r="V302" s="126"/>
      <c r="W302" s="149"/>
      <c r="X302" s="149"/>
      <c r="Y302" s="149"/>
      <c r="Z302" s="149"/>
      <c r="AA302" s="149"/>
      <c r="AB302" s="149"/>
      <c r="AC302" s="149"/>
      <c r="AD302" s="149"/>
    </row>
    <row r="303" spans="1:30" x14ac:dyDescent="0.2">
      <c r="A303" s="250"/>
      <c r="B303" s="251"/>
      <c r="C303" s="251"/>
      <c r="D303" s="298"/>
      <c r="E303" s="251"/>
      <c r="F303" s="299"/>
      <c r="G303" s="299"/>
      <c r="H303" s="251"/>
      <c r="I303" s="299"/>
      <c r="J303" s="30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24"/>
      <c r="V303" s="126"/>
      <c r="W303" s="149"/>
      <c r="X303" s="149"/>
      <c r="Y303" s="149"/>
      <c r="Z303" s="149"/>
      <c r="AA303" s="149"/>
      <c r="AB303" s="149"/>
      <c r="AC303" s="149"/>
      <c r="AD303" s="149"/>
    </row>
    <row r="304" spans="1:30" x14ac:dyDescent="0.2">
      <c r="A304" s="250"/>
      <c r="B304" s="251"/>
      <c r="C304" s="251"/>
      <c r="D304" s="298"/>
      <c r="E304" s="251"/>
      <c r="F304" s="299"/>
      <c r="G304" s="299"/>
      <c r="H304" s="251"/>
      <c r="I304" s="299"/>
      <c r="J304" s="30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24"/>
      <c r="V304" s="126"/>
      <c r="W304" s="149"/>
      <c r="X304" s="149"/>
      <c r="Y304" s="149"/>
      <c r="Z304" s="149"/>
      <c r="AA304" s="149"/>
      <c r="AB304" s="149"/>
      <c r="AC304" s="149"/>
      <c r="AD304" s="149"/>
    </row>
    <row r="305" spans="1:30" x14ac:dyDescent="0.2">
      <c r="A305" s="250"/>
      <c r="B305" s="251"/>
      <c r="C305" s="251"/>
      <c r="D305" s="298"/>
      <c r="E305" s="251"/>
      <c r="F305" s="299"/>
      <c r="G305" s="299"/>
      <c r="H305" s="251"/>
      <c r="I305" s="299"/>
      <c r="J305" s="30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24"/>
      <c r="V305" s="126"/>
      <c r="W305" s="149"/>
      <c r="X305" s="149"/>
      <c r="Y305" s="149"/>
      <c r="Z305" s="149"/>
      <c r="AA305" s="149"/>
      <c r="AB305" s="149"/>
      <c r="AC305" s="149"/>
      <c r="AD305" s="149"/>
    </row>
    <row r="306" spans="1:30" x14ac:dyDescent="0.2">
      <c r="A306" s="250"/>
      <c r="B306" s="251"/>
      <c r="C306" s="251"/>
      <c r="D306" s="298"/>
      <c r="E306" s="251"/>
      <c r="F306" s="299"/>
      <c r="G306" s="299"/>
      <c r="H306" s="251"/>
      <c r="I306" s="299"/>
      <c r="J306" s="30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24"/>
      <c r="V306" s="126"/>
      <c r="W306" s="149"/>
      <c r="X306" s="149"/>
      <c r="Y306" s="149"/>
      <c r="Z306" s="149"/>
      <c r="AA306" s="149"/>
      <c r="AB306" s="149"/>
      <c r="AC306" s="149"/>
      <c r="AD306" s="149"/>
    </row>
    <row r="307" spans="1:30" x14ac:dyDescent="0.2">
      <c r="A307" s="250"/>
      <c r="B307" s="251"/>
      <c r="C307" s="251"/>
      <c r="D307" s="298"/>
      <c r="E307" s="251"/>
      <c r="F307" s="299"/>
      <c r="G307" s="299"/>
      <c r="H307" s="251"/>
      <c r="I307" s="299"/>
      <c r="J307" s="30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24"/>
      <c r="V307" s="126"/>
      <c r="W307" s="149"/>
      <c r="X307" s="149"/>
      <c r="Y307" s="149"/>
      <c r="Z307" s="149"/>
      <c r="AA307" s="149"/>
      <c r="AB307" s="149"/>
      <c r="AC307" s="149"/>
      <c r="AD307" s="149"/>
    </row>
    <row r="308" spans="1:30" x14ac:dyDescent="0.2">
      <c r="A308" s="250"/>
      <c r="B308" s="251"/>
      <c r="C308" s="251"/>
      <c r="D308" s="298"/>
      <c r="E308" s="251"/>
      <c r="F308" s="299"/>
      <c r="G308" s="299"/>
      <c r="H308" s="251"/>
      <c r="I308" s="299"/>
      <c r="J308" s="30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24"/>
      <c r="V308" s="126"/>
      <c r="W308" s="149"/>
      <c r="X308" s="149"/>
      <c r="Y308" s="149"/>
      <c r="Z308" s="149"/>
      <c r="AA308" s="149"/>
      <c r="AB308" s="149"/>
      <c r="AC308" s="149"/>
      <c r="AD308" s="149"/>
    </row>
    <row r="309" spans="1:30" x14ac:dyDescent="0.2">
      <c r="A309" s="250"/>
      <c r="B309" s="251"/>
      <c r="C309" s="251"/>
      <c r="D309" s="298"/>
      <c r="E309" s="251"/>
      <c r="F309" s="299"/>
      <c r="G309" s="299"/>
      <c r="H309" s="251"/>
      <c r="I309" s="299"/>
      <c r="J309" s="30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24"/>
      <c r="V309" s="126"/>
      <c r="W309" s="149"/>
      <c r="X309" s="149"/>
      <c r="Y309" s="149"/>
      <c r="Z309" s="149"/>
      <c r="AA309" s="149"/>
      <c r="AB309" s="149"/>
      <c r="AC309" s="149"/>
      <c r="AD309" s="149"/>
    </row>
    <row r="310" spans="1:30" x14ac:dyDescent="0.2">
      <c r="A310" s="250"/>
      <c r="B310" s="251"/>
      <c r="C310" s="251"/>
      <c r="D310" s="298"/>
      <c r="E310" s="251"/>
      <c r="F310" s="299"/>
      <c r="G310" s="299"/>
      <c r="H310" s="251"/>
      <c r="I310" s="299"/>
      <c r="J310" s="30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24"/>
      <c r="V310" s="126"/>
      <c r="W310" s="149"/>
      <c r="X310" s="149"/>
      <c r="Y310" s="149"/>
      <c r="Z310" s="149"/>
      <c r="AA310" s="149"/>
      <c r="AB310" s="149"/>
      <c r="AC310" s="149"/>
      <c r="AD310" s="149"/>
    </row>
    <row r="311" spans="1:30" x14ac:dyDescent="0.2">
      <c r="A311" s="250"/>
      <c r="B311" s="251"/>
      <c r="C311" s="251"/>
      <c r="D311" s="298"/>
      <c r="E311" s="251"/>
      <c r="F311" s="299"/>
      <c r="G311" s="299"/>
      <c r="H311" s="251"/>
      <c r="I311" s="299"/>
      <c r="J311" s="30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24"/>
      <c r="V311" s="126"/>
      <c r="W311" s="149"/>
      <c r="X311" s="149"/>
      <c r="Y311" s="149"/>
      <c r="Z311" s="149"/>
      <c r="AA311" s="149"/>
      <c r="AB311" s="149"/>
      <c r="AC311" s="149"/>
      <c r="AD311" s="149"/>
    </row>
    <row r="312" spans="1:30" x14ac:dyDescent="0.2">
      <c r="A312" s="250"/>
      <c r="B312" s="251"/>
      <c r="C312" s="251"/>
      <c r="D312" s="298"/>
      <c r="E312" s="251"/>
      <c r="F312" s="299"/>
      <c r="G312" s="299"/>
      <c r="H312" s="251"/>
      <c r="I312" s="299"/>
      <c r="J312" s="30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24"/>
      <c r="V312" s="126"/>
      <c r="W312" s="149"/>
      <c r="X312" s="149"/>
      <c r="Y312" s="149"/>
      <c r="Z312" s="149"/>
      <c r="AA312" s="149"/>
      <c r="AB312" s="149"/>
      <c r="AC312" s="149"/>
      <c r="AD312" s="149"/>
    </row>
    <row r="313" spans="1:30" x14ac:dyDescent="0.2">
      <c r="A313" s="250"/>
      <c r="B313" s="251"/>
      <c r="C313" s="251"/>
      <c r="D313" s="298"/>
      <c r="E313" s="251"/>
      <c r="F313" s="299"/>
      <c r="G313" s="299"/>
      <c r="H313" s="251"/>
      <c r="I313" s="299"/>
      <c r="J313" s="30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24"/>
      <c r="V313" s="126"/>
      <c r="W313" s="149"/>
      <c r="X313" s="149"/>
      <c r="Y313" s="149"/>
      <c r="Z313" s="149"/>
      <c r="AA313" s="149"/>
      <c r="AB313" s="149"/>
      <c r="AC313" s="149"/>
      <c r="AD313" s="149"/>
    </row>
    <row r="314" spans="1:30" x14ac:dyDescent="0.2">
      <c r="A314" s="250"/>
      <c r="B314" s="251"/>
      <c r="C314" s="251"/>
      <c r="D314" s="298"/>
      <c r="E314" s="251"/>
      <c r="F314" s="299"/>
      <c r="G314" s="299"/>
      <c r="H314" s="251"/>
      <c r="I314" s="299"/>
      <c r="J314" s="30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24"/>
      <c r="V314" s="126"/>
      <c r="W314" s="149"/>
      <c r="X314" s="149"/>
      <c r="Y314" s="149"/>
      <c r="Z314" s="149"/>
      <c r="AA314" s="149"/>
      <c r="AB314" s="149"/>
      <c r="AC314" s="149"/>
      <c r="AD314" s="149"/>
    </row>
    <row r="315" spans="1:30" x14ac:dyDescent="0.2">
      <c r="A315" s="250"/>
      <c r="B315" s="251"/>
      <c r="C315" s="251"/>
      <c r="D315" s="298"/>
      <c r="E315" s="251"/>
      <c r="F315" s="299"/>
      <c r="G315" s="299"/>
      <c r="H315" s="251"/>
      <c r="I315" s="299"/>
      <c r="J315" s="30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24"/>
      <c r="V315" s="126"/>
      <c r="W315" s="149"/>
      <c r="X315" s="149"/>
      <c r="Y315" s="149"/>
      <c r="Z315" s="149"/>
      <c r="AA315" s="149"/>
      <c r="AB315" s="149"/>
      <c r="AC315" s="149"/>
      <c r="AD315" s="149"/>
    </row>
    <row r="316" spans="1:30" x14ac:dyDescent="0.2">
      <c r="A316" s="250"/>
      <c r="B316" s="251"/>
      <c r="C316" s="251"/>
      <c r="D316" s="298"/>
      <c r="E316" s="251"/>
      <c r="F316" s="299"/>
      <c r="G316" s="299"/>
      <c r="H316" s="251"/>
      <c r="I316" s="299"/>
      <c r="J316" s="30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24"/>
      <c r="V316" s="126"/>
      <c r="W316" s="149"/>
      <c r="X316" s="149"/>
      <c r="Y316" s="149"/>
      <c r="Z316" s="149"/>
      <c r="AA316" s="149"/>
      <c r="AB316" s="149"/>
      <c r="AC316" s="149"/>
      <c r="AD316" s="149"/>
    </row>
    <row r="317" spans="1:30" x14ac:dyDescent="0.2">
      <c r="A317" s="250"/>
      <c r="B317" s="251"/>
      <c r="C317" s="251"/>
      <c r="D317" s="298"/>
      <c r="E317" s="251"/>
      <c r="F317" s="299"/>
      <c r="G317" s="299"/>
      <c r="H317" s="251"/>
      <c r="I317" s="299"/>
      <c r="J317" s="30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24"/>
      <c r="V317" s="126"/>
      <c r="W317" s="149"/>
      <c r="X317" s="149"/>
      <c r="Y317" s="149"/>
      <c r="Z317" s="149"/>
      <c r="AA317" s="149"/>
      <c r="AB317" s="149"/>
      <c r="AC317" s="149"/>
      <c r="AD317" s="149"/>
    </row>
    <row r="318" spans="1:30" x14ac:dyDescent="0.2">
      <c r="A318" s="250"/>
      <c r="B318" s="251"/>
      <c r="C318" s="251"/>
      <c r="D318" s="298"/>
      <c r="E318" s="251"/>
      <c r="F318" s="299"/>
      <c r="G318" s="299"/>
      <c r="H318" s="251"/>
      <c r="I318" s="299"/>
      <c r="J318" s="30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24"/>
      <c r="V318" s="126"/>
      <c r="W318" s="149"/>
      <c r="X318" s="149"/>
      <c r="Y318" s="149"/>
      <c r="Z318" s="149"/>
      <c r="AA318" s="149"/>
      <c r="AB318" s="149"/>
      <c r="AC318" s="149"/>
      <c r="AD318" s="149"/>
    </row>
    <row r="319" spans="1:30" x14ac:dyDescent="0.2">
      <c r="A319" s="250"/>
      <c r="B319" s="251"/>
      <c r="C319" s="251"/>
      <c r="D319" s="298"/>
      <c r="E319" s="251"/>
      <c r="F319" s="299"/>
      <c r="G319" s="299"/>
      <c r="H319" s="251"/>
      <c r="I319" s="299"/>
      <c r="J319" s="30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24"/>
      <c r="V319" s="126"/>
      <c r="W319" s="149"/>
      <c r="X319" s="149"/>
      <c r="Y319" s="149"/>
      <c r="Z319" s="149"/>
      <c r="AA319" s="149"/>
      <c r="AB319" s="149"/>
      <c r="AC319" s="149"/>
      <c r="AD319" s="149"/>
    </row>
    <row r="320" spans="1:30" x14ac:dyDescent="0.2">
      <c r="A320" s="250"/>
      <c r="B320" s="251"/>
      <c r="C320" s="251"/>
      <c r="D320" s="298"/>
      <c r="E320" s="251"/>
      <c r="F320" s="299"/>
      <c r="G320" s="299"/>
      <c r="H320" s="251"/>
      <c r="I320" s="299"/>
      <c r="J320" s="30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24"/>
      <c r="V320" s="126"/>
      <c r="W320" s="149"/>
      <c r="X320" s="149"/>
      <c r="Y320" s="149"/>
      <c r="Z320" s="149"/>
      <c r="AA320" s="149"/>
      <c r="AB320" s="149"/>
      <c r="AC320" s="149"/>
      <c r="AD320" s="149"/>
    </row>
    <row r="321" spans="1:30" x14ac:dyDescent="0.2">
      <c r="A321" s="250"/>
      <c r="B321" s="251"/>
      <c r="C321" s="251"/>
      <c r="D321" s="298"/>
      <c r="E321" s="251"/>
      <c r="F321" s="299"/>
      <c r="G321" s="299"/>
      <c r="H321" s="251"/>
      <c r="I321" s="299"/>
      <c r="J321" s="30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24"/>
      <c r="V321" s="126"/>
      <c r="W321" s="149"/>
      <c r="X321" s="149"/>
      <c r="Y321" s="149"/>
      <c r="Z321" s="149"/>
      <c r="AA321" s="149"/>
      <c r="AB321" s="149"/>
      <c r="AC321" s="149"/>
      <c r="AD321" s="149"/>
    </row>
    <row r="322" spans="1:30" x14ac:dyDescent="0.2">
      <c r="A322" s="250"/>
      <c r="B322" s="251"/>
      <c r="C322" s="251"/>
      <c r="D322" s="298"/>
      <c r="E322" s="251"/>
      <c r="F322" s="299"/>
      <c r="G322" s="299"/>
      <c r="H322" s="251"/>
      <c r="I322" s="299"/>
      <c r="J322" s="30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24"/>
      <c r="V322" s="126"/>
      <c r="W322" s="149"/>
      <c r="X322" s="149"/>
      <c r="Y322" s="149"/>
      <c r="Z322" s="149"/>
      <c r="AA322" s="149"/>
      <c r="AB322" s="149"/>
      <c r="AC322" s="149"/>
      <c r="AD322" s="149"/>
    </row>
    <row r="323" spans="1:30" x14ac:dyDescent="0.2">
      <c r="A323" s="250"/>
      <c r="B323" s="251"/>
      <c r="C323" s="251"/>
      <c r="D323" s="298"/>
      <c r="E323" s="251"/>
      <c r="F323" s="299"/>
      <c r="G323" s="299"/>
      <c r="H323" s="251"/>
      <c r="I323" s="299"/>
      <c r="J323" s="30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24"/>
      <c r="V323" s="126"/>
      <c r="W323" s="149"/>
      <c r="X323" s="149"/>
      <c r="Y323" s="149"/>
      <c r="Z323" s="149"/>
      <c r="AA323" s="149"/>
      <c r="AB323" s="149"/>
      <c r="AC323" s="149"/>
      <c r="AD323" s="149"/>
    </row>
    <row r="324" spans="1:30" x14ac:dyDescent="0.2">
      <c r="A324" s="250"/>
      <c r="B324" s="251"/>
      <c r="C324" s="251"/>
      <c r="D324" s="298"/>
      <c r="E324" s="251"/>
      <c r="F324" s="299"/>
      <c r="G324" s="299"/>
      <c r="H324" s="251"/>
      <c r="I324" s="299"/>
      <c r="J324" s="30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24"/>
      <c r="V324" s="126"/>
      <c r="W324" s="149"/>
      <c r="X324" s="149"/>
      <c r="Y324" s="149"/>
      <c r="Z324" s="149"/>
      <c r="AA324" s="149"/>
      <c r="AB324" s="149"/>
      <c r="AC324" s="149"/>
      <c r="AD324" s="149"/>
    </row>
    <row r="325" spans="1:30" x14ac:dyDescent="0.2">
      <c r="A325" s="250"/>
      <c r="B325" s="251"/>
      <c r="C325" s="251"/>
      <c r="D325" s="298"/>
      <c r="E325" s="251"/>
      <c r="F325" s="299"/>
      <c r="G325" s="299"/>
      <c r="H325" s="251"/>
      <c r="I325" s="299"/>
      <c r="J325" s="30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24"/>
      <c r="V325" s="126"/>
      <c r="W325" s="149"/>
      <c r="X325" s="149"/>
      <c r="Y325" s="149"/>
      <c r="Z325" s="149"/>
      <c r="AA325" s="149"/>
      <c r="AB325" s="149"/>
      <c r="AC325" s="149"/>
      <c r="AD325" s="149"/>
    </row>
    <row r="326" spans="1:30" x14ac:dyDescent="0.2">
      <c r="A326" s="250"/>
      <c r="B326" s="251"/>
      <c r="C326" s="251"/>
      <c r="D326" s="298"/>
      <c r="E326" s="251"/>
      <c r="F326" s="299"/>
      <c r="G326" s="299"/>
      <c r="H326" s="251"/>
      <c r="I326" s="299"/>
      <c r="J326" s="30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24"/>
      <c r="V326" s="126"/>
      <c r="W326" s="149"/>
      <c r="X326" s="149"/>
      <c r="Y326" s="149"/>
      <c r="Z326" s="149"/>
      <c r="AA326" s="149"/>
      <c r="AB326" s="149"/>
      <c r="AC326" s="149"/>
      <c r="AD326" s="149"/>
    </row>
    <row r="327" spans="1:30" x14ac:dyDescent="0.2">
      <c r="A327" s="250"/>
      <c r="B327" s="251"/>
      <c r="C327" s="251"/>
      <c r="D327" s="298"/>
      <c r="E327" s="251"/>
      <c r="F327" s="299"/>
      <c r="G327" s="299"/>
      <c r="H327" s="251"/>
      <c r="I327" s="299"/>
      <c r="J327" s="30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24"/>
      <c r="V327" s="126"/>
      <c r="W327" s="149"/>
      <c r="X327" s="149"/>
      <c r="Y327" s="149"/>
      <c r="Z327" s="149"/>
      <c r="AA327" s="149"/>
      <c r="AB327" s="149"/>
      <c r="AC327" s="149"/>
      <c r="AD327" s="149"/>
    </row>
    <row r="328" spans="1:30" x14ac:dyDescent="0.2">
      <c r="A328" s="250"/>
      <c r="B328" s="251"/>
      <c r="C328" s="251"/>
      <c r="D328" s="298"/>
      <c r="E328" s="251"/>
      <c r="F328" s="299"/>
      <c r="G328" s="299"/>
      <c r="H328" s="251"/>
      <c r="I328" s="299"/>
      <c r="J328" s="30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24"/>
      <c r="V328" s="126"/>
      <c r="W328" s="149"/>
      <c r="X328" s="149"/>
      <c r="Y328" s="149"/>
      <c r="Z328" s="149"/>
      <c r="AA328" s="149"/>
      <c r="AB328" s="149"/>
      <c r="AC328" s="149"/>
      <c r="AD328" s="149"/>
    </row>
    <row r="329" spans="1:30" x14ac:dyDescent="0.2">
      <c r="A329" s="250"/>
      <c r="B329" s="251"/>
      <c r="C329" s="251"/>
      <c r="D329" s="298"/>
      <c r="E329" s="251"/>
      <c r="F329" s="299"/>
      <c r="G329" s="299"/>
      <c r="H329" s="251"/>
      <c r="I329" s="299"/>
      <c r="J329" s="30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24"/>
      <c r="V329" s="126"/>
      <c r="W329" s="149"/>
      <c r="X329" s="149"/>
      <c r="Y329" s="149"/>
      <c r="Z329" s="149"/>
      <c r="AA329" s="149"/>
      <c r="AB329" s="149"/>
      <c r="AC329" s="149"/>
      <c r="AD329" s="149"/>
    </row>
    <row r="330" spans="1:30" x14ac:dyDescent="0.2">
      <c r="A330" s="250"/>
      <c r="B330" s="251"/>
      <c r="C330" s="251"/>
      <c r="D330" s="298"/>
      <c r="E330" s="251"/>
      <c r="F330" s="299"/>
      <c r="G330" s="299"/>
      <c r="H330" s="251"/>
      <c r="I330" s="299"/>
      <c r="J330" s="30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24"/>
      <c r="V330" s="126"/>
      <c r="W330" s="149"/>
      <c r="X330" s="149"/>
      <c r="Y330" s="149"/>
      <c r="Z330" s="149"/>
      <c r="AA330" s="149"/>
      <c r="AB330" s="149"/>
      <c r="AC330" s="149"/>
      <c r="AD330" s="149"/>
    </row>
    <row r="331" spans="1:30" x14ac:dyDescent="0.2">
      <c r="A331" s="250"/>
      <c r="B331" s="251"/>
      <c r="C331" s="251"/>
      <c r="D331" s="298"/>
      <c r="E331" s="251"/>
      <c r="F331" s="299"/>
      <c r="G331" s="299"/>
      <c r="H331" s="251"/>
      <c r="I331" s="299"/>
      <c r="J331" s="30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24"/>
      <c r="V331" s="126"/>
      <c r="W331" s="149"/>
      <c r="X331" s="149"/>
      <c r="Y331" s="149"/>
      <c r="Z331" s="149"/>
      <c r="AA331" s="149"/>
      <c r="AB331" s="149"/>
      <c r="AC331" s="149"/>
      <c r="AD331" s="149"/>
    </row>
    <row r="332" spans="1:30" x14ac:dyDescent="0.2">
      <c r="A332" s="250"/>
      <c r="B332" s="251"/>
      <c r="C332" s="251"/>
      <c r="D332" s="298"/>
      <c r="E332" s="251"/>
      <c r="F332" s="299"/>
      <c r="G332" s="299"/>
      <c r="H332" s="251"/>
      <c r="I332" s="299"/>
      <c r="J332" s="30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24"/>
      <c r="V332" s="126"/>
      <c r="W332" s="149"/>
      <c r="X332" s="149"/>
      <c r="Y332" s="149"/>
      <c r="Z332" s="149"/>
      <c r="AA332" s="149"/>
      <c r="AB332" s="149"/>
      <c r="AC332" s="149"/>
      <c r="AD332" s="149"/>
    </row>
    <row r="333" spans="1:30" x14ac:dyDescent="0.2">
      <c r="A333" s="250"/>
      <c r="B333" s="251"/>
      <c r="C333" s="251"/>
      <c r="D333" s="298"/>
      <c r="E333" s="251"/>
      <c r="F333" s="299"/>
      <c r="G333" s="299"/>
      <c r="H333" s="251"/>
      <c r="I333" s="299"/>
      <c r="J333" s="30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24"/>
      <c r="V333" s="126"/>
      <c r="W333" s="149"/>
      <c r="X333" s="149"/>
      <c r="Y333" s="149"/>
      <c r="Z333" s="149"/>
      <c r="AA333" s="149"/>
      <c r="AB333" s="149"/>
      <c r="AC333" s="149"/>
      <c r="AD333" s="149"/>
    </row>
    <row r="334" spans="1:30" x14ac:dyDescent="0.2">
      <c r="A334" s="250"/>
      <c r="B334" s="251"/>
      <c r="C334" s="251"/>
      <c r="D334" s="298"/>
      <c r="E334" s="251"/>
      <c r="F334" s="299"/>
      <c r="G334" s="299"/>
      <c r="H334" s="251"/>
      <c r="I334" s="299"/>
      <c r="J334" s="30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24"/>
      <c r="V334" s="126"/>
      <c r="W334" s="149"/>
      <c r="X334" s="149"/>
      <c r="Y334" s="149"/>
      <c r="Z334" s="149"/>
      <c r="AA334" s="149"/>
      <c r="AB334" s="149"/>
      <c r="AC334" s="149"/>
      <c r="AD334" s="149"/>
    </row>
    <row r="335" spans="1:30" x14ac:dyDescent="0.2">
      <c r="A335" s="250"/>
      <c r="B335" s="251"/>
      <c r="C335" s="251"/>
      <c r="D335" s="298"/>
      <c r="E335" s="251"/>
      <c r="F335" s="299"/>
      <c r="G335" s="299"/>
      <c r="H335" s="251"/>
      <c r="I335" s="299"/>
      <c r="J335" s="30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24"/>
      <c r="V335" s="126"/>
      <c r="W335" s="149"/>
      <c r="X335" s="149"/>
      <c r="Y335" s="149"/>
      <c r="Z335" s="149"/>
      <c r="AA335" s="149"/>
      <c r="AB335" s="149"/>
      <c r="AC335" s="149"/>
      <c r="AD335" s="149"/>
    </row>
    <row r="336" spans="1:30" x14ac:dyDescent="0.2">
      <c r="A336" s="250"/>
      <c r="B336" s="251"/>
      <c r="C336" s="251"/>
      <c r="D336" s="298"/>
      <c r="E336" s="251"/>
      <c r="F336" s="299"/>
      <c r="G336" s="299"/>
      <c r="H336" s="251"/>
      <c r="I336" s="299"/>
      <c r="J336" s="30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24"/>
      <c r="V336" s="126"/>
      <c r="W336" s="149"/>
      <c r="X336" s="149"/>
      <c r="Y336" s="149"/>
      <c r="Z336" s="149"/>
      <c r="AA336" s="149"/>
      <c r="AB336" s="149"/>
      <c r="AC336" s="149"/>
      <c r="AD336" s="149"/>
    </row>
    <row r="337" spans="1:30" x14ac:dyDescent="0.2">
      <c r="A337" s="250"/>
      <c r="B337" s="251"/>
      <c r="C337" s="251"/>
      <c r="D337" s="298"/>
      <c r="E337" s="251"/>
      <c r="F337" s="299"/>
      <c r="G337" s="299"/>
      <c r="H337" s="251"/>
      <c r="I337" s="299"/>
      <c r="J337" s="30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24"/>
      <c r="V337" s="126"/>
      <c r="W337" s="149"/>
      <c r="X337" s="149"/>
      <c r="Y337" s="149"/>
      <c r="Z337" s="149"/>
      <c r="AA337" s="149"/>
      <c r="AB337" s="149"/>
      <c r="AC337" s="149"/>
      <c r="AD337" s="149"/>
    </row>
    <row r="338" spans="1:30" x14ac:dyDescent="0.2">
      <c r="A338" s="250"/>
      <c r="B338" s="251"/>
      <c r="C338" s="251"/>
      <c r="D338" s="298"/>
      <c r="E338" s="251"/>
      <c r="F338" s="299"/>
      <c r="G338" s="299"/>
      <c r="H338" s="251"/>
      <c r="I338" s="299"/>
      <c r="J338" s="30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24"/>
      <c r="V338" s="126"/>
      <c r="W338" s="149"/>
      <c r="X338" s="149"/>
      <c r="Y338" s="149"/>
      <c r="Z338" s="149"/>
      <c r="AA338" s="149"/>
      <c r="AB338" s="149"/>
      <c r="AC338" s="149"/>
      <c r="AD338" s="149"/>
    </row>
    <row r="339" spans="1:30" x14ac:dyDescent="0.2">
      <c r="A339" s="250"/>
      <c r="B339" s="251"/>
      <c r="C339" s="251"/>
      <c r="D339" s="298"/>
      <c r="E339" s="251"/>
      <c r="F339" s="299"/>
      <c r="G339" s="299"/>
      <c r="H339" s="251"/>
      <c r="I339" s="299"/>
      <c r="J339" s="30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24"/>
      <c r="V339" s="126"/>
      <c r="W339" s="149"/>
      <c r="X339" s="149"/>
      <c r="Y339" s="149"/>
      <c r="Z339" s="149"/>
      <c r="AA339" s="149"/>
      <c r="AB339" s="149"/>
      <c r="AC339" s="149"/>
      <c r="AD339" s="149"/>
    </row>
    <row r="340" spans="1:30" x14ac:dyDescent="0.2">
      <c r="A340" s="250"/>
      <c r="B340" s="251"/>
      <c r="C340" s="251"/>
      <c r="D340" s="298"/>
      <c r="E340" s="251"/>
      <c r="F340" s="299"/>
      <c r="G340" s="299"/>
      <c r="H340" s="251"/>
      <c r="I340" s="299"/>
      <c r="J340" s="30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24"/>
      <c r="V340" s="126"/>
      <c r="W340" s="149"/>
      <c r="X340" s="149"/>
      <c r="Y340" s="149"/>
      <c r="Z340" s="149"/>
      <c r="AA340" s="149"/>
      <c r="AB340" s="149"/>
      <c r="AC340" s="149"/>
      <c r="AD340" s="149"/>
    </row>
    <row r="341" spans="1:30" x14ac:dyDescent="0.2">
      <c r="A341" s="250"/>
      <c r="B341" s="251"/>
      <c r="C341" s="251"/>
      <c r="D341" s="298"/>
      <c r="E341" s="251"/>
      <c r="F341" s="299"/>
      <c r="G341" s="299"/>
      <c r="H341" s="251"/>
      <c r="I341" s="299"/>
      <c r="J341" s="30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24"/>
      <c r="V341" s="126"/>
      <c r="W341" s="149"/>
      <c r="X341" s="149"/>
      <c r="Y341" s="149"/>
      <c r="Z341" s="149"/>
      <c r="AA341" s="149"/>
      <c r="AB341" s="149"/>
      <c r="AC341" s="149"/>
      <c r="AD341" s="149"/>
    </row>
    <row r="342" spans="1:30" x14ac:dyDescent="0.2">
      <c r="A342" s="250"/>
      <c r="B342" s="251"/>
      <c r="C342" s="251"/>
      <c r="D342" s="298"/>
      <c r="E342" s="251"/>
      <c r="F342" s="299"/>
      <c r="G342" s="299"/>
      <c r="H342" s="251"/>
      <c r="I342" s="299"/>
      <c r="J342" s="30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24"/>
      <c r="V342" s="126"/>
      <c r="W342" s="149"/>
      <c r="X342" s="149"/>
      <c r="Y342" s="149"/>
      <c r="Z342" s="149"/>
      <c r="AA342" s="149"/>
      <c r="AB342" s="149"/>
      <c r="AC342" s="149"/>
      <c r="AD342" s="149"/>
    </row>
    <row r="343" spans="1:30" x14ac:dyDescent="0.2">
      <c r="A343" s="250"/>
      <c r="B343" s="251"/>
      <c r="C343" s="251"/>
      <c r="D343" s="298"/>
      <c r="E343" s="251"/>
      <c r="F343" s="299"/>
      <c r="G343" s="299"/>
      <c r="H343" s="251"/>
      <c r="I343" s="299"/>
      <c r="J343" s="30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24"/>
      <c r="V343" s="126"/>
      <c r="W343" s="149"/>
      <c r="X343" s="149"/>
      <c r="Y343" s="149"/>
      <c r="Z343" s="149"/>
      <c r="AA343" s="149"/>
      <c r="AB343" s="149"/>
      <c r="AC343" s="149"/>
      <c r="AD343" s="149"/>
    </row>
    <row r="344" spans="1:30" x14ac:dyDescent="0.2">
      <c r="A344" s="250"/>
      <c r="B344" s="251"/>
      <c r="C344" s="251"/>
      <c r="D344" s="298"/>
      <c r="E344" s="251"/>
      <c r="F344" s="299"/>
      <c r="G344" s="299"/>
      <c r="H344" s="251"/>
      <c r="I344" s="299"/>
      <c r="J344" s="30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24"/>
      <c r="V344" s="126"/>
      <c r="W344" s="149"/>
      <c r="X344" s="149"/>
      <c r="Y344" s="149"/>
      <c r="Z344" s="149"/>
      <c r="AA344" s="149"/>
      <c r="AB344" s="149"/>
      <c r="AC344" s="149"/>
      <c r="AD344" s="149"/>
    </row>
    <row r="345" spans="1:30" x14ac:dyDescent="0.2">
      <c r="A345" s="250"/>
      <c r="B345" s="251"/>
      <c r="C345" s="251"/>
      <c r="D345" s="298"/>
      <c r="E345" s="251"/>
      <c r="F345" s="299"/>
      <c r="G345" s="299"/>
      <c r="H345" s="251"/>
      <c r="I345" s="299"/>
      <c r="J345" s="30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24"/>
      <c r="V345" s="126"/>
      <c r="W345" s="149"/>
      <c r="X345" s="149"/>
      <c r="Y345" s="149"/>
      <c r="Z345" s="149"/>
      <c r="AA345" s="149"/>
      <c r="AB345" s="149"/>
      <c r="AC345" s="149"/>
      <c r="AD345" s="149"/>
    </row>
    <row r="346" spans="1:30" x14ac:dyDescent="0.2">
      <c r="A346" s="250"/>
      <c r="B346" s="251"/>
      <c r="C346" s="251"/>
      <c r="D346" s="298"/>
      <c r="E346" s="251"/>
      <c r="F346" s="299"/>
      <c r="G346" s="299"/>
      <c r="H346" s="251"/>
      <c r="I346" s="299"/>
      <c r="J346" s="30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24"/>
      <c r="V346" s="126"/>
      <c r="W346" s="149"/>
      <c r="X346" s="149"/>
      <c r="Y346" s="149"/>
      <c r="Z346" s="149"/>
      <c r="AA346" s="149"/>
      <c r="AB346" s="149"/>
      <c r="AC346" s="149"/>
      <c r="AD346" s="149"/>
    </row>
    <row r="347" spans="1:30" x14ac:dyDescent="0.2">
      <c r="A347" s="250"/>
      <c r="B347" s="251"/>
      <c r="C347" s="251"/>
      <c r="D347" s="298"/>
      <c r="E347" s="251"/>
      <c r="F347" s="299"/>
      <c r="G347" s="299"/>
      <c r="H347" s="251"/>
      <c r="I347" s="299"/>
      <c r="J347" s="30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24"/>
      <c r="V347" s="126"/>
      <c r="W347" s="149"/>
      <c r="X347" s="149"/>
      <c r="Y347" s="149"/>
      <c r="Z347" s="149"/>
      <c r="AA347" s="149"/>
      <c r="AB347" s="149"/>
      <c r="AC347" s="149"/>
      <c r="AD347" s="149"/>
    </row>
    <row r="348" spans="1:30" x14ac:dyDescent="0.2">
      <c r="A348" s="250"/>
      <c r="B348" s="251"/>
      <c r="C348" s="251"/>
      <c r="D348" s="298"/>
      <c r="E348" s="251"/>
      <c r="F348" s="299"/>
      <c r="G348" s="299"/>
      <c r="H348" s="251"/>
      <c r="I348" s="299"/>
      <c r="J348" s="30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24"/>
      <c r="V348" s="126"/>
      <c r="W348" s="149"/>
      <c r="X348" s="149"/>
      <c r="Y348" s="149"/>
      <c r="Z348" s="149"/>
      <c r="AA348" s="149"/>
      <c r="AB348" s="149"/>
      <c r="AC348" s="149"/>
      <c r="AD348" s="149"/>
    </row>
    <row r="349" spans="1:30" x14ac:dyDescent="0.2">
      <c r="A349" s="250"/>
      <c r="B349" s="251"/>
      <c r="C349" s="251"/>
      <c r="D349" s="298"/>
      <c r="E349" s="251"/>
      <c r="F349" s="299"/>
      <c r="G349" s="299"/>
      <c r="H349" s="251"/>
      <c r="I349" s="299"/>
      <c r="J349" s="30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24"/>
      <c r="V349" s="126"/>
      <c r="W349" s="149"/>
      <c r="X349" s="149"/>
      <c r="Y349" s="149"/>
      <c r="Z349" s="149"/>
      <c r="AA349" s="149"/>
      <c r="AB349" s="149"/>
      <c r="AC349" s="149"/>
      <c r="AD349" s="149"/>
    </row>
    <row r="350" spans="1:30" x14ac:dyDescent="0.2">
      <c r="A350" s="250"/>
      <c r="B350" s="251"/>
      <c r="C350" s="251"/>
      <c r="D350" s="298"/>
      <c r="E350" s="251"/>
      <c r="F350" s="299"/>
      <c r="G350" s="299"/>
      <c r="H350" s="251"/>
      <c r="I350" s="299"/>
      <c r="J350" s="30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24"/>
      <c r="V350" s="126"/>
      <c r="W350" s="149"/>
      <c r="X350" s="149"/>
      <c r="Y350" s="149"/>
      <c r="Z350" s="149"/>
      <c r="AA350" s="149"/>
      <c r="AB350" s="149"/>
      <c r="AC350" s="149"/>
      <c r="AD350" s="149"/>
    </row>
    <row r="351" spans="1:30" x14ac:dyDescent="0.2">
      <c r="A351" s="250"/>
      <c r="B351" s="251"/>
      <c r="C351" s="251"/>
      <c r="D351" s="298"/>
      <c r="E351" s="251"/>
      <c r="F351" s="299"/>
      <c r="G351" s="299"/>
      <c r="H351" s="251"/>
      <c r="I351" s="299"/>
      <c r="J351" s="30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24"/>
      <c r="V351" s="126"/>
      <c r="W351" s="149"/>
      <c r="X351" s="149"/>
      <c r="Y351" s="149"/>
      <c r="Z351" s="149"/>
      <c r="AA351" s="149"/>
      <c r="AB351" s="149"/>
      <c r="AC351" s="149"/>
      <c r="AD351" s="149"/>
    </row>
    <row r="352" spans="1:30" x14ac:dyDescent="0.2">
      <c r="A352" s="250"/>
      <c r="B352" s="251"/>
      <c r="C352" s="251"/>
      <c r="D352" s="298"/>
      <c r="E352" s="251"/>
      <c r="F352" s="299"/>
      <c r="G352" s="299"/>
      <c r="H352" s="251"/>
      <c r="I352" s="299"/>
      <c r="J352" s="30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24"/>
      <c r="V352" s="126"/>
      <c r="W352" s="149"/>
      <c r="X352" s="149"/>
      <c r="Y352" s="149"/>
      <c r="Z352" s="149"/>
      <c r="AA352" s="149"/>
      <c r="AB352" s="149"/>
      <c r="AC352" s="149"/>
      <c r="AD352" s="149"/>
    </row>
    <row r="353" spans="1:30" x14ac:dyDescent="0.2">
      <c r="A353" s="250"/>
      <c r="B353" s="251"/>
      <c r="C353" s="251"/>
      <c r="D353" s="298"/>
      <c r="E353" s="251"/>
      <c r="F353" s="299"/>
      <c r="G353" s="299"/>
      <c r="H353" s="251"/>
      <c r="I353" s="299"/>
      <c r="J353" s="30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24"/>
      <c r="V353" s="126"/>
      <c r="W353" s="149"/>
      <c r="X353" s="149"/>
      <c r="Y353" s="149"/>
      <c r="Z353" s="149"/>
      <c r="AA353" s="149"/>
      <c r="AB353" s="149"/>
      <c r="AC353" s="149"/>
      <c r="AD353" s="149"/>
    </row>
    <row r="354" spans="1:30" x14ac:dyDescent="0.2">
      <c r="A354" s="250"/>
      <c r="B354" s="251"/>
      <c r="C354" s="251"/>
      <c r="D354" s="298"/>
      <c r="E354" s="251"/>
      <c r="F354" s="299"/>
      <c r="G354" s="299"/>
      <c r="H354" s="251"/>
      <c r="I354" s="299"/>
      <c r="J354" s="30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24"/>
      <c r="V354" s="126"/>
      <c r="W354" s="149"/>
      <c r="X354" s="149"/>
      <c r="Y354" s="149"/>
      <c r="Z354" s="149"/>
      <c r="AA354" s="149"/>
      <c r="AB354" s="149"/>
      <c r="AC354" s="149"/>
      <c r="AD354" s="149"/>
    </row>
    <row r="355" spans="1:30" x14ac:dyDescent="0.2">
      <c r="A355" s="250"/>
      <c r="B355" s="251"/>
      <c r="C355" s="251"/>
      <c r="D355" s="298"/>
      <c r="E355" s="251"/>
      <c r="F355" s="299"/>
      <c r="G355" s="299"/>
      <c r="H355" s="251"/>
      <c r="I355" s="299"/>
      <c r="J355" s="30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24"/>
      <c r="V355" s="126"/>
      <c r="W355" s="149"/>
      <c r="X355" s="149"/>
      <c r="Y355" s="149"/>
      <c r="Z355" s="149"/>
      <c r="AA355" s="149"/>
      <c r="AB355" s="149"/>
      <c r="AC355" s="149"/>
      <c r="AD355" s="149"/>
    </row>
    <row r="356" spans="1:30" x14ac:dyDescent="0.2">
      <c r="A356" s="250"/>
      <c r="B356" s="251"/>
      <c r="C356" s="251"/>
      <c r="D356" s="298"/>
      <c r="E356" s="251"/>
      <c r="F356" s="299"/>
      <c r="G356" s="299"/>
      <c r="H356" s="251"/>
      <c r="I356" s="299"/>
      <c r="J356" s="30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24"/>
      <c r="V356" s="126"/>
      <c r="W356" s="149"/>
      <c r="X356" s="149"/>
      <c r="Y356" s="149"/>
      <c r="Z356" s="149"/>
      <c r="AA356" s="149"/>
      <c r="AB356" s="149"/>
      <c r="AC356" s="149"/>
      <c r="AD356" s="149"/>
    </row>
    <row r="357" spans="1:30" x14ac:dyDescent="0.2">
      <c r="A357" s="250"/>
      <c r="B357" s="251"/>
      <c r="C357" s="251"/>
      <c r="D357" s="298"/>
      <c r="E357" s="251"/>
      <c r="F357" s="299"/>
      <c r="G357" s="299"/>
      <c r="H357" s="251"/>
      <c r="I357" s="299"/>
      <c r="J357" s="30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24"/>
      <c r="V357" s="126"/>
      <c r="W357" s="149"/>
      <c r="X357" s="149"/>
      <c r="Y357" s="149"/>
      <c r="Z357" s="149"/>
      <c r="AA357" s="149"/>
      <c r="AB357" s="149"/>
      <c r="AC357" s="149"/>
      <c r="AD357" s="149"/>
    </row>
    <row r="358" spans="1:30" x14ac:dyDescent="0.2">
      <c r="A358" s="250"/>
      <c r="B358" s="251"/>
      <c r="C358" s="251"/>
      <c r="D358" s="298"/>
      <c r="E358" s="251"/>
      <c r="F358" s="299"/>
      <c r="G358" s="299"/>
      <c r="H358" s="251"/>
      <c r="I358" s="299"/>
      <c r="J358" s="30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24"/>
      <c r="V358" s="126"/>
      <c r="W358" s="149"/>
      <c r="X358" s="149"/>
      <c r="Y358" s="149"/>
      <c r="Z358" s="149"/>
      <c r="AA358" s="149"/>
      <c r="AB358" s="149"/>
      <c r="AC358" s="149"/>
      <c r="AD358" s="149"/>
    </row>
    <row r="359" spans="1:30" x14ac:dyDescent="0.2">
      <c r="A359" s="250"/>
      <c r="B359" s="251"/>
      <c r="C359" s="251"/>
      <c r="D359" s="298"/>
      <c r="E359" s="251"/>
      <c r="F359" s="299"/>
      <c r="G359" s="299"/>
      <c r="H359" s="251"/>
      <c r="I359" s="299"/>
      <c r="J359" s="30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24"/>
      <c r="V359" s="126"/>
      <c r="W359" s="149"/>
      <c r="X359" s="149"/>
      <c r="Y359" s="149"/>
      <c r="Z359" s="149"/>
      <c r="AA359" s="149"/>
      <c r="AB359" s="149"/>
      <c r="AC359" s="149"/>
      <c r="AD359" s="149"/>
    </row>
    <row r="360" spans="1:30" x14ac:dyDescent="0.2">
      <c r="A360" s="250"/>
      <c r="B360" s="251"/>
      <c r="C360" s="251"/>
      <c r="D360" s="298"/>
      <c r="E360" s="251"/>
      <c r="F360" s="299"/>
      <c r="G360" s="299"/>
      <c r="H360" s="251"/>
      <c r="I360" s="299"/>
      <c r="J360" s="30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24"/>
      <c r="V360" s="126"/>
      <c r="W360" s="149"/>
      <c r="X360" s="149"/>
      <c r="Y360" s="149"/>
      <c r="Z360" s="149"/>
      <c r="AA360" s="149"/>
      <c r="AB360" s="149"/>
      <c r="AC360" s="149"/>
      <c r="AD360" s="149"/>
    </row>
    <row r="361" spans="1:30" x14ac:dyDescent="0.2">
      <c r="A361" s="250"/>
      <c r="B361" s="251"/>
      <c r="C361" s="251"/>
      <c r="D361" s="298"/>
      <c r="E361" s="251"/>
      <c r="F361" s="299"/>
      <c r="G361" s="299"/>
      <c r="H361" s="251"/>
      <c r="I361" s="299"/>
      <c r="J361" s="30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24"/>
      <c r="V361" s="126"/>
      <c r="W361" s="149"/>
      <c r="X361" s="149"/>
      <c r="Y361" s="149"/>
      <c r="Z361" s="149"/>
      <c r="AA361" s="149"/>
      <c r="AB361" s="149"/>
      <c r="AC361" s="149"/>
      <c r="AD361" s="149"/>
    </row>
    <row r="362" spans="1:30" x14ac:dyDescent="0.2">
      <c r="A362" s="250"/>
      <c r="B362" s="251"/>
      <c r="C362" s="251"/>
      <c r="D362" s="298"/>
      <c r="E362" s="251"/>
      <c r="F362" s="299"/>
      <c r="G362" s="299"/>
      <c r="H362" s="251"/>
      <c r="I362" s="299"/>
      <c r="J362" s="30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24"/>
      <c r="V362" s="126"/>
      <c r="W362" s="149"/>
      <c r="X362" s="149"/>
      <c r="Y362" s="149"/>
      <c r="Z362" s="149"/>
      <c r="AA362" s="149"/>
      <c r="AB362" s="149"/>
      <c r="AC362" s="149"/>
      <c r="AD362" s="149"/>
    </row>
    <row r="363" spans="1:30" x14ac:dyDescent="0.2">
      <c r="A363" s="250"/>
      <c r="B363" s="251"/>
      <c r="C363" s="251"/>
      <c r="D363" s="298"/>
      <c r="E363" s="251"/>
      <c r="F363" s="299"/>
      <c r="G363" s="299"/>
      <c r="H363" s="251"/>
      <c r="I363" s="299"/>
      <c r="J363" s="30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24"/>
      <c r="V363" s="126"/>
      <c r="W363" s="149"/>
      <c r="X363" s="149"/>
      <c r="Y363" s="149"/>
      <c r="Z363" s="149"/>
      <c r="AA363" s="149"/>
      <c r="AB363" s="149"/>
      <c r="AC363" s="149"/>
      <c r="AD363" s="149"/>
    </row>
    <row r="364" spans="1:30" x14ac:dyDescent="0.2">
      <c r="A364" s="250"/>
      <c r="B364" s="251"/>
      <c r="C364" s="251"/>
      <c r="D364" s="298"/>
      <c r="E364" s="251"/>
      <c r="F364" s="299"/>
      <c r="G364" s="299"/>
      <c r="H364" s="251"/>
      <c r="I364" s="299"/>
      <c r="J364" s="30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00"/>
      <c r="V364" s="102"/>
      <c r="W364" s="149"/>
      <c r="X364" s="149"/>
      <c r="Y364" s="149"/>
      <c r="Z364" s="149"/>
      <c r="AA364" s="149"/>
      <c r="AB364" s="149"/>
      <c r="AC364" s="149"/>
      <c r="AD364" s="149"/>
    </row>
    <row r="365" spans="1:30" x14ac:dyDescent="0.2">
      <c r="A365" s="320"/>
      <c r="B365" s="320"/>
      <c r="C365" s="320"/>
      <c r="D365" s="320"/>
      <c r="E365" s="320"/>
      <c r="F365" s="320"/>
      <c r="G365" s="320"/>
      <c r="H365" s="320"/>
      <c r="I365" s="320"/>
      <c r="J365" s="320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49"/>
      <c r="V365" s="49"/>
      <c r="W365" s="149"/>
      <c r="X365" s="149"/>
      <c r="Y365" s="149"/>
      <c r="Z365" s="149"/>
      <c r="AA365" s="149"/>
      <c r="AB365" s="149"/>
      <c r="AC365" s="149"/>
      <c r="AD365" s="149"/>
    </row>
  </sheetData>
  <mergeCells count="35">
    <mergeCell ref="A1:K1"/>
    <mergeCell ref="N2:N5"/>
    <mergeCell ref="Y5:AD5"/>
    <mergeCell ref="L9:M9"/>
    <mergeCell ref="N9:O9"/>
    <mergeCell ref="J11:J16"/>
    <mergeCell ref="X11:AB11"/>
    <mergeCell ref="I11:I13"/>
    <mergeCell ref="I14:I16"/>
    <mergeCell ref="A20:F20"/>
    <mergeCell ref="G20:I20"/>
    <mergeCell ref="L21:N21"/>
    <mergeCell ref="O21:Q21"/>
    <mergeCell ref="O22:P22"/>
    <mergeCell ref="O23:P23"/>
    <mergeCell ref="O24:P24"/>
    <mergeCell ref="O25:P25"/>
    <mergeCell ref="O26:P26"/>
    <mergeCell ref="O27:P27"/>
    <mergeCell ref="O28:P28"/>
    <mergeCell ref="O29:P29"/>
    <mergeCell ref="U65:V65"/>
    <mergeCell ref="K90:T90"/>
    <mergeCell ref="A29:J29"/>
    <mergeCell ref="B30:E30"/>
    <mergeCell ref="H30:I30"/>
    <mergeCell ref="L31:M31"/>
    <mergeCell ref="N31:O31"/>
    <mergeCell ref="P31:Q31"/>
    <mergeCell ref="R31:S31"/>
    <mergeCell ref="A48:K48"/>
    <mergeCell ref="L48:S48"/>
    <mergeCell ref="A65:J65"/>
    <mergeCell ref="L65:N65"/>
    <mergeCell ref="P65:R65"/>
  </mergeCells>
  <conditionalFormatting sqref="B11:B16">
    <cfRule type="expression" dxfId="31" priority="20">
      <formula>C11&lt;=0</formula>
    </cfRule>
  </conditionalFormatting>
  <conditionalFormatting sqref="B22:B27">
    <cfRule type="expression" dxfId="30" priority="24">
      <formula>C11&lt;=0</formula>
    </cfRule>
  </conditionalFormatting>
  <conditionalFormatting sqref="C11:C16">
    <cfRule type="expression" dxfId="29" priority="21">
      <formula>C11&lt;=0</formula>
    </cfRule>
  </conditionalFormatting>
  <conditionalFormatting sqref="D11:D16">
    <cfRule type="expression" dxfId="28" priority="22">
      <formula>C11&lt;=0</formula>
    </cfRule>
  </conditionalFormatting>
  <conditionalFormatting sqref="D22:D27">
    <cfRule type="expression" dxfId="27" priority="17">
      <formula>C11&lt;=0</formula>
    </cfRule>
    <cfRule type="expression" dxfId="26" priority="18">
      <formula>B22="Evade"</formula>
    </cfRule>
  </conditionalFormatting>
  <conditionalFormatting sqref="E11:E16">
    <cfRule type="expression" dxfId="25" priority="23">
      <formula>C11&lt;=0</formula>
    </cfRule>
  </conditionalFormatting>
  <conditionalFormatting sqref="E22:E27">
    <cfRule type="expression" dxfId="24" priority="25">
      <formula>B22="Special"</formula>
    </cfRule>
  </conditionalFormatting>
  <conditionalFormatting sqref="F32:F46">
    <cfRule type="expression" dxfId="23" priority="1">
      <formula>L32=0</formula>
    </cfRule>
    <cfRule type="expression" dxfId="22" priority="2">
      <formula>M32=1</formula>
    </cfRule>
    <cfRule type="expression" dxfId="21" priority="3">
      <formula>M32=0</formula>
    </cfRule>
  </conditionalFormatting>
  <conditionalFormatting sqref="G32:G46">
    <cfRule type="expression" dxfId="20" priority="4">
      <formula>N32=0</formula>
    </cfRule>
    <cfRule type="expression" dxfId="19" priority="5">
      <formula>O32=1</formula>
    </cfRule>
    <cfRule type="expression" dxfId="18" priority="6">
      <formula>O32=0</formula>
    </cfRule>
  </conditionalFormatting>
  <conditionalFormatting sqref="H32:H46">
    <cfRule type="expression" dxfId="17" priority="7">
      <formula>OR(B32="Defend",B32="Evade")</formula>
    </cfRule>
    <cfRule type="expression" dxfId="16" priority="16">
      <formula>A32=""</formula>
    </cfRule>
  </conditionalFormatting>
  <conditionalFormatting sqref="I22:I27">
    <cfRule type="expression" dxfId="15" priority="19">
      <formula>H22="Evade"</formula>
    </cfRule>
  </conditionalFormatting>
  <conditionalFormatting sqref="I32:I46">
    <cfRule type="expression" dxfId="14" priority="8">
      <formula>OR(B32="Defend",B32="Evade")</formula>
    </cfRule>
    <cfRule type="expression" dxfId="13" priority="9">
      <formula>H32="Defenseless"</formula>
    </cfRule>
    <cfRule type="expression" dxfId="12" priority="13">
      <formula>R32=0</formula>
    </cfRule>
    <cfRule type="expression" dxfId="11" priority="14">
      <formula>S32=1</formula>
    </cfRule>
    <cfRule type="expression" dxfId="10" priority="15">
      <formula>S32=0</formula>
    </cfRule>
  </conditionalFormatting>
  <conditionalFormatting sqref="J32:J46">
    <cfRule type="expression" dxfId="9" priority="10">
      <formula>P32=0</formula>
    </cfRule>
    <cfRule type="expression" dxfId="8" priority="11">
      <formula>Q32=1</formula>
    </cfRule>
    <cfRule type="expression" dxfId="7" priority="12">
      <formula>Q32=0</formula>
    </cfRule>
  </conditionalFormatting>
  <dataValidations count="6">
    <dataValidation type="list" allowBlank="1" sqref="D22:D27" xr:uid="{00000000-0002-0000-0400-000000000000}">
      <formula1>$A$3:$A$8</formula1>
    </dataValidation>
    <dataValidation type="list" allowBlank="1" sqref="D6" xr:uid="{00000000-0002-0000-0400-000001000000}">
      <formula1>$Y$6:$AD$6</formula1>
    </dataValidation>
    <dataValidation type="list" allowBlank="1" sqref="B22:B27" xr:uid="{00000000-0002-0000-0400-000002000000}">
      <formula1>"Evade,Defend,Attack,Special,Group"</formula1>
    </dataValidation>
    <dataValidation type="list" allowBlank="1" sqref="D8" xr:uid="{00000000-0002-0000-0400-000003000000}">
      <formula1>$Y$8:$AD$8</formula1>
    </dataValidation>
    <dataValidation type="list" allowBlank="1" sqref="D7" xr:uid="{00000000-0002-0000-0400-000004000000}">
      <formula1>$Y$7:$AD$7</formula1>
    </dataValidation>
    <dataValidation type="list" allowBlank="1" sqref="H32:H46" xr:uid="{00000000-0002-0000-0400-000005000000}">
      <formula1>$M$2:$M$5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1.140625" customWidth="1"/>
    <col min="2" max="2" width="6.5703125" customWidth="1"/>
    <col min="3" max="3" width="20.85546875" customWidth="1"/>
    <col min="4" max="4" width="9.7109375" customWidth="1"/>
    <col min="5" max="5" width="8.5703125" customWidth="1"/>
    <col min="6" max="6" width="20.42578125" customWidth="1"/>
    <col min="7" max="7" width="17.42578125" customWidth="1"/>
    <col min="8" max="8" width="78.28515625" customWidth="1"/>
    <col min="23" max="23" width="13" customWidth="1"/>
  </cols>
  <sheetData>
    <row r="1" spans="1:27" x14ac:dyDescent="0.2">
      <c r="A1" s="321" t="s">
        <v>181</v>
      </c>
      <c r="B1" s="321" t="s">
        <v>2</v>
      </c>
      <c r="C1" s="321" t="s">
        <v>182</v>
      </c>
      <c r="D1" s="322" t="s">
        <v>183</v>
      </c>
      <c r="E1" s="321" t="s">
        <v>184</v>
      </c>
      <c r="F1" s="321"/>
      <c r="G1" s="321"/>
      <c r="H1" s="323"/>
      <c r="I1" s="323"/>
      <c r="J1" s="323"/>
      <c r="K1" s="321" t="s">
        <v>185</v>
      </c>
      <c r="L1" s="321" t="s">
        <v>186</v>
      </c>
      <c r="M1" s="323"/>
      <c r="N1" s="323"/>
      <c r="O1" s="323"/>
      <c r="P1" s="321" t="s">
        <v>3</v>
      </c>
      <c r="Q1" s="321" t="s">
        <v>2</v>
      </c>
      <c r="R1" s="323"/>
      <c r="S1" s="323"/>
      <c r="T1" s="323"/>
      <c r="U1" s="321" t="s">
        <v>185</v>
      </c>
      <c r="V1" s="321" t="s">
        <v>186</v>
      </c>
      <c r="W1" s="324" t="s">
        <v>187</v>
      </c>
      <c r="X1" s="323"/>
      <c r="Y1" s="323"/>
      <c r="Z1" s="323"/>
      <c r="AA1" s="323"/>
    </row>
    <row r="2" spans="1:27" x14ac:dyDescent="0.2">
      <c r="A2" s="325" t="s">
        <v>188</v>
      </c>
      <c r="B2" s="325" t="s">
        <v>189</v>
      </c>
      <c r="C2" s="326" t="str">
        <f t="shared" ref="C2:C101" si="0">CONCATENATE(B2," Degree ",A2)</f>
        <v>1st Degree Stone</v>
      </c>
      <c r="D2" s="327">
        <v>1</v>
      </c>
      <c r="E2" s="328">
        <v>0</v>
      </c>
      <c r="F2" s="325">
        <f>E2</f>
        <v>0</v>
      </c>
      <c r="G2" s="326" t="s">
        <v>190</v>
      </c>
      <c r="H2" s="159" t="e">
        <f t="shared" ref="H2:H101" si="1">CONCATENATE("rankDatabase.Add(new RankData(RankEchelon.",SUBSTITUTE(A2," ","_",),", RankDegree.",VLOOKUP(B2,$B$2:$G$11,6,FALSE),", ",TEXT(D2,"0.0"),"f, ",F2,", ",E2,"));")</f>
        <v>#VALUE!</v>
      </c>
      <c r="K2" s="325">
        <v>-10</v>
      </c>
      <c r="L2" s="329">
        <v>10</v>
      </c>
      <c r="P2" s="159" t="str">
        <f t="shared" ref="P2:Q2" si="2">A2</f>
        <v>Stone</v>
      </c>
      <c r="Q2" s="159" t="str">
        <f t="shared" si="2"/>
        <v>1st</v>
      </c>
      <c r="U2" s="159">
        <f t="shared" ref="U2:U22" si="3">K2/10</f>
        <v>-1</v>
      </c>
      <c r="V2" s="330">
        <f t="shared" ref="V2:V22" si="4">L2</f>
        <v>10</v>
      </c>
      <c r="W2" s="159" t="str">
        <f t="shared" ref="W2:W22" si="5">CONCATENATE("rankXPGainsDatabase.Add(new RankXPGainsData(",U2,"f, ",V2,"));")</f>
        <v>rankXPGainsDatabase.Add(new RankXPGainsData(-1f, 10));</v>
      </c>
    </row>
    <row r="3" spans="1:27" x14ac:dyDescent="0.2">
      <c r="A3" s="325" t="s">
        <v>188</v>
      </c>
      <c r="B3" s="325" t="s">
        <v>191</v>
      </c>
      <c r="C3" s="326" t="str">
        <f t="shared" si="0"/>
        <v>2nd Degree Stone</v>
      </c>
      <c r="D3" s="327">
        <v>1.1000000000000001</v>
      </c>
      <c r="E3" s="328">
        <v>2</v>
      </c>
      <c r="F3" s="325">
        <f t="shared" ref="F3:F101" si="6">E3-E2</f>
        <v>2</v>
      </c>
      <c r="G3" s="326" t="s">
        <v>192</v>
      </c>
      <c r="H3" s="159" t="e">
        <f t="shared" si="1"/>
        <v>#VALUE!</v>
      </c>
      <c r="K3" s="325">
        <v>-9</v>
      </c>
      <c r="L3" s="329">
        <v>14</v>
      </c>
      <c r="P3" s="159" t="str">
        <f t="shared" ref="P3:Q3" si="7">A3</f>
        <v>Stone</v>
      </c>
      <c r="Q3" s="159" t="str">
        <f t="shared" si="7"/>
        <v>2nd</v>
      </c>
      <c r="U3" s="159">
        <f t="shared" si="3"/>
        <v>-0.9</v>
      </c>
      <c r="V3" s="330">
        <f t="shared" si="4"/>
        <v>14</v>
      </c>
      <c r="W3" s="159" t="str">
        <f t="shared" si="5"/>
        <v>rankXPGainsDatabase.Add(new RankXPGainsData(-0.9f, 14));</v>
      </c>
    </row>
    <row r="4" spans="1:27" x14ac:dyDescent="0.2">
      <c r="A4" s="325" t="s">
        <v>188</v>
      </c>
      <c r="B4" s="325" t="s">
        <v>193</v>
      </c>
      <c r="C4" s="326" t="str">
        <f t="shared" si="0"/>
        <v>3rd Degree Stone</v>
      </c>
      <c r="D4" s="327">
        <v>1.2</v>
      </c>
      <c r="E4" s="328">
        <v>4</v>
      </c>
      <c r="F4" s="325">
        <f t="shared" si="6"/>
        <v>2</v>
      </c>
      <c r="G4" s="326" t="s">
        <v>194</v>
      </c>
      <c r="H4" s="159" t="e">
        <f t="shared" si="1"/>
        <v>#VALUE!</v>
      </c>
      <c r="K4" s="325">
        <v>-8</v>
      </c>
      <c r="L4" s="329">
        <v>18</v>
      </c>
      <c r="P4" s="159" t="str">
        <f t="shared" ref="P4:Q4" si="8">A4</f>
        <v>Stone</v>
      </c>
      <c r="Q4" s="159" t="str">
        <f t="shared" si="8"/>
        <v>3rd</v>
      </c>
      <c r="U4" s="159">
        <f t="shared" si="3"/>
        <v>-0.8</v>
      </c>
      <c r="V4" s="330">
        <f t="shared" si="4"/>
        <v>18</v>
      </c>
      <c r="W4" s="159" t="str">
        <f t="shared" si="5"/>
        <v>rankXPGainsDatabase.Add(new RankXPGainsData(-0.8f, 18));</v>
      </c>
    </row>
    <row r="5" spans="1:27" x14ac:dyDescent="0.2">
      <c r="A5" s="325" t="s">
        <v>188</v>
      </c>
      <c r="B5" s="325" t="s">
        <v>195</v>
      </c>
      <c r="C5" s="326" t="str">
        <f t="shared" si="0"/>
        <v>4th Degree Stone</v>
      </c>
      <c r="D5" s="327">
        <v>1.3</v>
      </c>
      <c r="E5" s="328">
        <v>6</v>
      </c>
      <c r="F5" s="325">
        <f t="shared" si="6"/>
        <v>2</v>
      </c>
      <c r="G5" s="326" t="s">
        <v>196</v>
      </c>
      <c r="H5" s="159" t="e">
        <f t="shared" si="1"/>
        <v>#VALUE!</v>
      </c>
      <c r="K5" s="325">
        <v>-7</v>
      </c>
      <c r="L5" s="329">
        <v>23</v>
      </c>
      <c r="P5" s="159" t="str">
        <f t="shared" ref="P5:Q5" si="9">A5</f>
        <v>Stone</v>
      </c>
      <c r="Q5" s="159" t="str">
        <f t="shared" si="9"/>
        <v>4th</v>
      </c>
      <c r="U5" s="159">
        <f t="shared" si="3"/>
        <v>-0.7</v>
      </c>
      <c r="V5" s="330">
        <f t="shared" si="4"/>
        <v>23</v>
      </c>
      <c r="W5" s="159" t="str">
        <f t="shared" si="5"/>
        <v>rankXPGainsDatabase.Add(new RankXPGainsData(-0.7f, 23));</v>
      </c>
    </row>
    <row r="6" spans="1:27" x14ac:dyDescent="0.2">
      <c r="A6" s="325" t="s">
        <v>188</v>
      </c>
      <c r="B6" s="325" t="s">
        <v>197</v>
      </c>
      <c r="C6" s="326" t="str">
        <f t="shared" si="0"/>
        <v>5th Degree Stone</v>
      </c>
      <c r="D6" s="327">
        <v>1.4</v>
      </c>
      <c r="E6" s="328">
        <v>8</v>
      </c>
      <c r="F6" s="325">
        <f t="shared" si="6"/>
        <v>2</v>
      </c>
      <c r="G6" s="326" t="s">
        <v>198</v>
      </c>
      <c r="H6" s="159" t="e">
        <f t="shared" si="1"/>
        <v>#VALUE!</v>
      </c>
      <c r="K6" s="325">
        <v>-6</v>
      </c>
      <c r="L6" s="329">
        <v>28</v>
      </c>
      <c r="P6" s="159" t="str">
        <f t="shared" ref="P6:Q6" si="10">A6</f>
        <v>Stone</v>
      </c>
      <c r="Q6" s="159" t="str">
        <f t="shared" si="10"/>
        <v>5th</v>
      </c>
      <c r="U6" s="159">
        <f t="shared" si="3"/>
        <v>-0.6</v>
      </c>
      <c r="V6" s="330">
        <f t="shared" si="4"/>
        <v>28</v>
      </c>
      <c r="W6" s="159" t="str">
        <f t="shared" si="5"/>
        <v>rankXPGainsDatabase.Add(new RankXPGainsData(-0.6f, 28));</v>
      </c>
    </row>
    <row r="7" spans="1:27" x14ac:dyDescent="0.2">
      <c r="A7" s="325" t="s">
        <v>188</v>
      </c>
      <c r="B7" s="325" t="s">
        <v>199</v>
      </c>
      <c r="C7" s="326" t="str">
        <f t="shared" si="0"/>
        <v>6th Degree Stone</v>
      </c>
      <c r="D7" s="327">
        <v>1.5</v>
      </c>
      <c r="E7" s="328">
        <v>10</v>
      </c>
      <c r="F7" s="325">
        <f t="shared" si="6"/>
        <v>2</v>
      </c>
      <c r="G7" s="326" t="s">
        <v>200</v>
      </c>
      <c r="H7" s="159" t="e">
        <f t="shared" si="1"/>
        <v>#VALUE!</v>
      </c>
      <c r="K7" s="325">
        <v>-5</v>
      </c>
      <c r="L7" s="329">
        <v>33</v>
      </c>
      <c r="P7" s="159" t="str">
        <f t="shared" ref="P7:Q7" si="11">A7</f>
        <v>Stone</v>
      </c>
      <c r="Q7" s="159" t="str">
        <f t="shared" si="11"/>
        <v>6th</v>
      </c>
      <c r="U7" s="159">
        <f t="shared" si="3"/>
        <v>-0.5</v>
      </c>
      <c r="V7" s="330">
        <f t="shared" si="4"/>
        <v>33</v>
      </c>
      <c r="W7" s="159" t="str">
        <f t="shared" si="5"/>
        <v>rankXPGainsDatabase.Add(new RankXPGainsData(-0.5f, 33));</v>
      </c>
    </row>
    <row r="8" spans="1:27" x14ac:dyDescent="0.2">
      <c r="A8" s="325" t="s">
        <v>188</v>
      </c>
      <c r="B8" s="325" t="s">
        <v>201</v>
      </c>
      <c r="C8" s="326" t="str">
        <f t="shared" si="0"/>
        <v>7th Degree Stone</v>
      </c>
      <c r="D8" s="327">
        <v>1.6</v>
      </c>
      <c r="E8" s="328">
        <v>12</v>
      </c>
      <c r="F8" s="325">
        <f t="shared" si="6"/>
        <v>2</v>
      </c>
      <c r="G8" s="326" t="s">
        <v>202</v>
      </c>
      <c r="H8" s="159" t="e">
        <f t="shared" si="1"/>
        <v>#VALUE!</v>
      </c>
      <c r="K8" s="325">
        <v>-4</v>
      </c>
      <c r="L8" s="329">
        <v>38</v>
      </c>
      <c r="P8" s="159" t="str">
        <f t="shared" ref="P8:Q8" si="12">A8</f>
        <v>Stone</v>
      </c>
      <c r="Q8" s="159" t="str">
        <f t="shared" si="12"/>
        <v>7th</v>
      </c>
      <c r="U8" s="159">
        <f t="shared" si="3"/>
        <v>-0.4</v>
      </c>
      <c r="V8" s="330">
        <f t="shared" si="4"/>
        <v>38</v>
      </c>
      <c r="W8" s="159" t="str">
        <f t="shared" si="5"/>
        <v>rankXPGainsDatabase.Add(new RankXPGainsData(-0.4f, 38));</v>
      </c>
    </row>
    <row r="9" spans="1:27" x14ac:dyDescent="0.2">
      <c r="A9" s="325" t="s">
        <v>188</v>
      </c>
      <c r="B9" s="325" t="s">
        <v>203</v>
      </c>
      <c r="C9" s="326" t="str">
        <f t="shared" si="0"/>
        <v>8th Degree Stone</v>
      </c>
      <c r="D9" s="327">
        <v>1.7</v>
      </c>
      <c r="E9" s="328">
        <v>15</v>
      </c>
      <c r="F9" s="325">
        <f t="shared" si="6"/>
        <v>3</v>
      </c>
      <c r="G9" s="326" t="s">
        <v>204</v>
      </c>
      <c r="H9" s="159" t="e">
        <f t="shared" si="1"/>
        <v>#VALUE!</v>
      </c>
      <c r="K9" s="325">
        <v>-3</v>
      </c>
      <c r="L9" s="329">
        <v>41</v>
      </c>
      <c r="P9" s="159" t="str">
        <f t="shared" ref="P9:Q9" si="13">A9</f>
        <v>Stone</v>
      </c>
      <c r="Q9" s="159" t="str">
        <f t="shared" si="13"/>
        <v>8th</v>
      </c>
      <c r="U9" s="159">
        <f t="shared" si="3"/>
        <v>-0.3</v>
      </c>
      <c r="V9" s="330">
        <f t="shared" si="4"/>
        <v>41</v>
      </c>
      <c r="W9" s="159" t="str">
        <f t="shared" si="5"/>
        <v>rankXPGainsDatabase.Add(new RankXPGainsData(-0.3f, 41));</v>
      </c>
    </row>
    <row r="10" spans="1:27" x14ac:dyDescent="0.2">
      <c r="A10" s="325" t="s">
        <v>188</v>
      </c>
      <c r="B10" s="325" t="s">
        <v>205</v>
      </c>
      <c r="C10" s="326" t="str">
        <f t="shared" si="0"/>
        <v>9th Degree Stone</v>
      </c>
      <c r="D10" s="327">
        <v>1.8</v>
      </c>
      <c r="E10" s="328">
        <v>18</v>
      </c>
      <c r="F10" s="325">
        <f t="shared" si="6"/>
        <v>3</v>
      </c>
      <c r="G10" s="326" t="s">
        <v>206</v>
      </c>
      <c r="H10" s="159" t="e">
        <f t="shared" si="1"/>
        <v>#VALUE!</v>
      </c>
      <c r="K10" s="325">
        <v>-2</v>
      </c>
      <c r="L10" s="329">
        <v>44</v>
      </c>
      <c r="P10" s="159" t="str">
        <f t="shared" ref="P10:Q10" si="14">A10</f>
        <v>Stone</v>
      </c>
      <c r="Q10" s="159" t="str">
        <f t="shared" si="14"/>
        <v>9th</v>
      </c>
      <c r="U10" s="159">
        <f t="shared" si="3"/>
        <v>-0.2</v>
      </c>
      <c r="V10" s="330">
        <f t="shared" si="4"/>
        <v>44</v>
      </c>
      <c r="W10" s="159" t="str">
        <f t="shared" si="5"/>
        <v>rankXPGainsDatabase.Add(new RankXPGainsData(-0.2f, 44));</v>
      </c>
    </row>
    <row r="11" spans="1:27" x14ac:dyDescent="0.2">
      <c r="A11" s="325" t="s">
        <v>188</v>
      </c>
      <c r="B11" s="325" t="s">
        <v>207</v>
      </c>
      <c r="C11" s="326" t="str">
        <f t="shared" si="0"/>
        <v>10th Degree Stone</v>
      </c>
      <c r="D11" s="327">
        <v>1.9</v>
      </c>
      <c r="E11" s="328">
        <v>21</v>
      </c>
      <c r="F11" s="325">
        <f t="shared" si="6"/>
        <v>3</v>
      </c>
      <c r="G11" s="326" t="s">
        <v>208</v>
      </c>
      <c r="H11" s="159" t="e">
        <f t="shared" si="1"/>
        <v>#VALUE!</v>
      </c>
      <c r="K11" s="325">
        <v>-1</v>
      </c>
      <c r="L11" s="329">
        <v>47</v>
      </c>
      <c r="P11" s="159" t="str">
        <f t="shared" ref="P11:Q11" si="15">A11</f>
        <v>Stone</v>
      </c>
      <c r="Q11" s="159" t="str">
        <f t="shared" si="15"/>
        <v>10th</v>
      </c>
      <c r="U11" s="159">
        <f t="shared" si="3"/>
        <v>-0.1</v>
      </c>
      <c r="V11" s="330">
        <f t="shared" si="4"/>
        <v>47</v>
      </c>
      <c r="W11" s="159" t="str">
        <f t="shared" si="5"/>
        <v>rankXPGainsDatabase.Add(new RankXPGainsData(-0.1f, 47));</v>
      </c>
    </row>
    <row r="12" spans="1:27" x14ac:dyDescent="0.2">
      <c r="A12" s="325" t="s">
        <v>209</v>
      </c>
      <c r="B12" s="325" t="s">
        <v>189</v>
      </c>
      <c r="C12" s="326" t="str">
        <f t="shared" si="0"/>
        <v>1st Degree Iron</v>
      </c>
      <c r="D12" s="327">
        <v>2</v>
      </c>
      <c r="E12" s="328">
        <v>24</v>
      </c>
      <c r="F12" s="325">
        <f t="shared" si="6"/>
        <v>3</v>
      </c>
      <c r="G12" s="326"/>
      <c r="H12" s="159" t="e">
        <f t="shared" si="1"/>
        <v>#VALUE!</v>
      </c>
      <c r="K12" s="325">
        <v>0</v>
      </c>
      <c r="L12" s="329">
        <v>50</v>
      </c>
      <c r="P12" s="159" t="str">
        <f t="shared" ref="P12:Q12" si="16">A12</f>
        <v>Iron</v>
      </c>
      <c r="Q12" s="159" t="str">
        <f t="shared" si="16"/>
        <v>1st</v>
      </c>
      <c r="U12" s="159">
        <f t="shared" si="3"/>
        <v>0</v>
      </c>
      <c r="V12" s="330">
        <f t="shared" si="4"/>
        <v>50</v>
      </c>
      <c r="W12" s="159" t="str">
        <f t="shared" si="5"/>
        <v>rankXPGainsDatabase.Add(new RankXPGainsData(0f, 50));</v>
      </c>
    </row>
    <row r="13" spans="1:27" x14ac:dyDescent="0.2">
      <c r="A13" s="325" t="s">
        <v>209</v>
      </c>
      <c r="B13" s="325" t="s">
        <v>191</v>
      </c>
      <c r="C13" s="326" t="str">
        <f t="shared" si="0"/>
        <v>2nd Degree Iron</v>
      </c>
      <c r="D13" s="327">
        <v>2.1</v>
      </c>
      <c r="E13" s="328">
        <v>27</v>
      </c>
      <c r="F13" s="325">
        <f t="shared" si="6"/>
        <v>3</v>
      </c>
      <c r="G13" s="326"/>
      <c r="H13" s="159" t="e">
        <f t="shared" si="1"/>
        <v>#VALUE!</v>
      </c>
      <c r="K13" s="325">
        <v>1</v>
      </c>
      <c r="L13" s="329">
        <v>60</v>
      </c>
      <c r="P13" s="159" t="str">
        <f t="shared" ref="P13:Q13" si="17">A13</f>
        <v>Iron</v>
      </c>
      <c r="Q13" s="159" t="str">
        <f t="shared" si="17"/>
        <v>2nd</v>
      </c>
      <c r="U13" s="159">
        <f t="shared" si="3"/>
        <v>0.1</v>
      </c>
      <c r="V13" s="330">
        <f t="shared" si="4"/>
        <v>60</v>
      </c>
      <c r="W13" s="159" t="str">
        <f t="shared" si="5"/>
        <v>rankXPGainsDatabase.Add(new RankXPGainsData(0.1f, 60));</v>
      </c>
    </row>
    <row r="14" spans="1:27" x14ac:dyDescent="0.2">
      <c r="A14" s="325" t="s">
        <v>209</v>
      </c>
      <c r="B14" s="325" t="s">
        <v>193</v>
      </c>
      <c r="C14" s="326" t="str">
        <f t="shared" si="0"/>
        <v>3rd Degree Iron</v>
      </c>
      <c r="D14" s="327">
        <v>2.2000000000000002</v>
      </c>
      <c r="E14" s="328">
        <v>30</v>
      </c>
      <c r="F14" s="325">
        <f t="shared" si="6"/>
        <v>3</v>
      </c>
      <c r="G14" s="326"/>
      <c r="H14" s="159" t="e">
        <f t="shared" si="1"/>
        <v>#VALUE!</v>
      </c>
      <c r="K14" s="325">
        <v>2</v>
      </c>
      <c r="L14" s="329">
        <v>70</v>
      </c>
      <c r="P14" s="159" t="str">
        <f t="shared" ref="P14:Q14" si="18">A14</f>
        <v>Iron</v>
      </c>
      <c r="Q14" s="159" t="str">
        <f t="shared" si="18"/>
        <v>3rd</v>
      </c>
      <c r="U14" s="159">
        <f t="shared" si="3"/>
        <v>0.2</v>
      </c>
      <c r="V14" s="330">
        <f t="shared" si="4"/>
        <v>70</v>
      </c>
      <c r="W14" s="159" t="str">
        <f t="shared" si="5"/>
        <v>rankXPGainsDatabase.Add(new RankXPGainsData(0.2f, 70));</v>
      </c>
    </row>
    <row r="15" spans="1:27" x14ac:dyDescent="0.2">
      <c r="A15" s="325" t="s">
        <v>209</v>
      </c>
      <c r="B15" s="325" t="s">
        <v>195</v>
      </c>
      <c r="C15" s="326" t="str">
        <f t="shared" si="0"/>
        <v>4th Degree Iron</v>
      </c>
      <c r="D15" s="327">
        <v>2.2999999999999998</v>
      </c>
      <c r="E15" s="328">
        <v>33</v>
      </c>
      <c r="F15" s="325">
        <f t="shared" si="6"/>
        <v>3</v>
      </c>
      <c r="G15" s="326"/>
      <c r="H15" s="159" t="e">
        <f t="shared" si="1"/>
        <v>#VALUE!</v>
      </c>
      <c r="K15" s="325">
        <v>3</v>
      </c>
      <c r="L15" s="329">
        <v>80</v>
      </c>
      <c r="P15" s="159" t="str">
        <f t="shared" ref="P15:Q15" si="19">A15</f>
        <v>Iron</v>
      </c>
      <c r="Q15" s="159" t="str">
        <f t="shared" si="19"/>
        <v>4th</v>
      </c>
      <c r="U15" s="159">
        <f t="shared" si="3"/>
        <v>0.3</v>
      </c>
      <c r="V15" s="330">
        <f t="shared" si="4"/>
        <v>80</v>
      </c>
      <c r="W15" s="159" t="str">
        <f t="shared" si="5"/>
        <v>rankXPGainsDatabase.Add(new RankXPGainsData(0.3f, 80));</v>
      </c>
    </row>
    <row r="16" spans="1:27" x14ac:dyDescent="0.2">
      <c r="A16" s="325" t="s">
        <v>209</v>
      </c>
      <c r="B16" s="325" t="s">
        <v>197</v>
      </c>
      <c r="C16" s="326" t="str">
        <f t="shared" si="0"/>
        <v>5th Degree Iron</v>
      </c>
      <c r="D16" s="327">
        <v>2.4</v>
      </c>
      <c r="E16" s="328">
        <v>37</v>
      </c>
      <c r="F16" s="325">
        <f t="shared" si="6"/>
        <v>4</v>
      </c>
      <c r="G16" s="326"/>
      <c r="H16" s="159" t="e">
        <f t="shared" si="1"/>
        <v>#VALUE!</v>
      </c>
      <c r="K16" s="325">
        <v>4</v>
      </c>
      <c r="L16" s="329">
        <v>90</v>
      </c>
      <c r="P16" s="159" t="str">
        <f t="shared" ref="P16:Q16" si="20">A16</f>
        <v>Iron</v>
      </c>
      <c r="Q16" s="159" t="str">
        <f t="shared" si="20"/>
        <v>5th</v>
      </c>
      <c r="U16" s="159">
        <f t="shared" si="3"/>
        <v>0.4</v>
      </c>
      <c r="V16" s="330">
        <f t="shared" si="4"/>
        <v>90</v>
      </c>
      <c r="W16" s="159" t="str">
        <f t="shared" si="5"/>
        <v>rankXPGainsDatabase.Add(new RankXPGainsData(0.4f, 90));</v>
      </c>
    </row>
    <row r="17" spans="1:23" x14ac:dyDescent="0.2">
      <c r="A17" s="325" t="s">
        <v>209</v>
      </c>
      <c r="B17" s="325" t="s">
        <v>199</v>
      </c>
      <c r="C17" s="326" t="str">
        <f t="shared" si="0"/>
        <v>6th Degree Iron</v>
      </c>
      <c r="D17" s="327">
        <v>2.5</v>
      </c>
      <c r="E17" s="328">
        <v>41</v>
      </c>
      <c r="F17" s="325">
        <f t="shared" si="6"/>
        <v>4</v>
      </c>
      <c r="G17" s="326"/>
      <c r="H17" s="159" t="e">
        <f t="shared" si="1"/>
        <v>#VALUE!</v>
      </c>
      <c r="K17" s="325">
        <v>5</v>
      </c>
      <c r="L17" s="329">
        <v>100</v>
      </c>
      <c r="P17" s="159" t="str">
        <f t="shared" ref="P17:Q17" si="21">A17</f>
        <v>Iron</v>
      </c>
      <c r="Q17" s="159" t="str">
        <f t="shared" si="21"/>
        <v>6th</v>
      </c>
      <c r="U17" s="159">
        <f t="shared" si="3"/>
        <v>0.5</v>
      </c>
      <c r="V17" s="330">
        <f t="shared" si="4"/>
        <v>100</v>
      </c>
      <c r="W17" s="159" t="str">
        <f t="shared" si="5"/>
        <v>rankXPGainsDatabase.Add(new RankXPGainsData(0.5f, 100));</v>
      </c>
    </row>
    <row r="18" spans="1:23" x14ac:dyDescent="0.2">
      <c r="A18" s="325" t="s">
        <v>209</v>
      </c>
      <c r="B18" s="325" t="s">
        <v>201</v>
      </c>
      <c r="C18" s="326" t="str">
        <f t="shared" si="0"/>
        <v>7th Degree Iron</v>
      </c>
      <c r="D18" s="327">
        <v>2.6</v>
      </c>
      <c r="E18" s="328">
        <v>45</v>
      </c>
      <c r="F18" s="325">
        <f t="shared" si="6"/>
        <v>4</v>
      </c>
      <c r="G18" s="326"/>
      <c r="H18" s="159" t="e">
        <f t="shared" si="1"/>
        <v>#VALUE!</v>
      </c>
      <c r="K18" s="325">
        <v>6</v>
      </c>
      <c r="L18" s="329">
        <v>140</v>
      </c>
      <c r="P18" s="159" t="str">
        <f t="shared" ref="P18:Q18" si="22">A18</f>
        <v>Iron</v>
      </c>
      <c r="Q18" s="159" t="str">
        <f t="shared" si="22"/>
        <v>7th</v>
      </c>
      <c r="U18" s="159">
        <f t="shared" si="3"/>
        <v>0.6</v>
      </c>
      <c r="V18" s="330">
        <f t="shared" si="4"/>
        <v>140</v>
      </c>
      <c r="W18" s="159" t="str">
        <f t="shared" si="5"/>
        <v>rankXPGainsDatabase.Add(new RankXPGainsData(0.6f, 140));</v>
      </c>
    </row>
    <row r="19" spans="1:23" x14ac:dyDescent="0.2">
      <c r="A19" s="325" t="s">
        <v>209</v>
      </c>
      <c r="B19" s="325" t="s">
        <v>203</v>
      </c>
      <c r="C19" s="326" t="str">
        <f t="shared" si="0"/>
        <v>8th Degree Iron</v>
      </c>
      <c r="D19" s="327">
        <v>2.7</v>
      </c>
      <c r="E19" s="328">
        <v>49</v>
      </c>
      <c r="F19" s="325">
        <f t="shared" si="6"/>
        <v>4</v>
      </c>
      <c r="G19" s="326"/>
      <c r="H19" s="159" t="e">
        <f t="shared" si="1"/>
        <v>#VALUE!</v>
      </c>
      <c r="K19" s="325">
        <v>7</v>
      </c>
      <c r="L19" s="329">
        <v>180</v>
      </c>
      <c r="P19" s="159" t="str">
        <f t="shared" ref="P19:Q19" si="23">A19</f>
        <v>Iron</v>
      </c>
      <c r="Q19" s="159" t="str">
        <f t="shared" si="23"/>
        <v>8th</v>
      </c>
      <c r="U19" s="159">
        <f t="shared" si="3"/>
        <v>0.7</v>
      </c>
      <c r="V19" s="330">
        <f t="shared" si="4"/>
        <v>180</v>
      </c>
      <c r="W19" s="159" t="str">
        <f t="shared" si="5"/>
        <v>rankXPGainsDatabase.Add(new RankXPGainsData(0.7f, 180));</v>
      </c>
    </row>
    <row r="20" spans="1:23" x14ac:dyDescent="0.2">
      <c r="A20" s="325" t="s">
        <v>209</v>
      </c>
      <c r="B20" s="325" t="s">
        <v>205</v>
      </c>
      <c r="C20" s="326" t="str">
        <f t="shared" si="0"/>
        <v>9th Degree Iron</v>
      </c>
      <c r="D20" s="327">
        <v>2.8</v>
      </c>
      <c r="E20" s="328">
        <v>53</v>
      </c>
      <c r="F20" s="325">
        <f t="shared" si="6"/>
        <v>4</v>
      </c>
      <c r="G20" s="326"/>
      <c r="H20" s="159" t="e">
        <f t="shared" si="1"/>
        <v>#VALUE!</v>
      </c>
      <c r="K20" s="325">
        <v>8</v>
      </c>
      <c r="L20" s="329">
        <v>220</v>
      </c>
      <c r="P20" s="159" t="str">
        <f t="shared" ref="P20:Q20" si="24">A20</f>
        <v>Iron</v>
      </c>
      <c r="Q20" s="159" t="str">
        <f t="shared" si="24"/>
        <v>9th</v>
      </c>
      <c r="U20" s="159">
        <f t="shared" si="3"/>
        <v>0.8</v>
      </c>
      <c r="V20" s="330">
        <f t="shared" si="4"/>
        <v>220</v>
      </c>
      <c r="W20" s="159" t="str">
        <f t="shared" si="5"/>
        <v>rankXPGainsDatabase.Add(new RankXPGainsData(0.8f, 220));</v>
      </c>
    </row>
    <row r="21" spans="1:23" x14ac:dyDescent="0.2">
      <c r="A21" s="325" t="s">
        <v>209</v>
      </c>
      <c r="B21" s="325" t="s">
        <v>207</v>
      </c>
      <c r="C21" s="326" t="str">
        <f t="shared" si="0"/>
        <v>10th Degree Iron</v>
      </c>
      <c r="D21" s="327">
        <v>2.9</v>
      </c>
      <c r="E21" s="328">
        <v>58</v>
      </c>
      <c r="F21" s="325">
        <f t="shared" si="6"/>
        <v>5</v>
      </c>
      <c r="G21" s="326"/>
      <c r="H21" s="159" t="e">
        <f t="shared" si="1"/>
        <v>#VALUE!</v>
      </c>
      <c r="K21" s="325">
        <v>9</v>
      </c>
      <c r="L21" s="329">
        <v>260</v>
      </c>
      <c r="P21" s="159" t="str">
        <f t="shared" ref="P21:Q21" si="25">A21</f>
        <v>Iron</v>
      </c>
      <c r="Q21" s="159" t="str">
        <f t="shared" si="25"/>
        <v>10th</v>
      </c>
      <c r="U21" s="159">
        <f t="shared" si="3"/>
        <v>0.9</v>
      </c>
      <c r="V21" s="330">
        <f t="shared" si="4"/>
        <v>260</v>
      </c>
      <c r="W21" s="159" t="str">
        <f t="shared" si="5"/>
        <v>rankXPGainsDatabase.Add(new RankXPGainsData(0.9f, 260));</v>
      </c>
    </row>
    <row r="22" spans="1:23" x14ac:dyDescent="0.2">
      <c r="A22" s="325" t="s">
        <v>210</v>
      </c>
      <c r="B22" s="325" t="s">
        <v>189</v>
      </c>
      <c r="C22" s="326" t="str">
        <f t="shared" si="0"/>
        <v>1st Degree Bronze</v>
      </c>
      <c r="D22" s="327">
        <v>3</v>
      </c>
      <c r="E22" s="328">
        <v>63</v>
      </c>
      <c r="F22" s="325">
        <f t="shared" si="6"/>
        <v>5</v>
      </c>
      <c r="G22" s="326"/>
      <c r="H22" s="159" t="e">
        <f t="shared" si="1"/>
        <v>#VALUE!</v>
      </c>
      <c r="K22" s="325">
        <v>10</v>
      </c>
      <c r="L22" s="329">
        <v>300</v>
      </c>
      <c r="P22" s="159" t="str">
        <f t="shared" ref="P22:Q22" si="26">A22</f>
        <v>Bronze</v>
      </c>
      <c r="Q22" s="159" t="str">
        <f t="shared" si="26"/>
        <v>1st</v>
      </c>
      <c r="U22" s="159">
        <f t="shared" si="3"/>
        <v>1</v>
      </c>
      <c r="V22" s="330">
        <f t="shared" si="4"/>
        <v>300</v>
      </c>
      <c r="W22" s="159" t="str">
        <f t="shared" si="5"/>
        <v>rankXPGainsDatabase.Add(new RankXPGainsData(1f, 300));</v>
      </c>
    </row>
    <row r="23" spans="1:23" x14ac:dyDescent="0.2">
      <c r="A23" s="325" t="s">
        <v>210</v>
      </c>
      <c r="B23" s="325" t="s">
        <v>191</v>
      </c>
      <c r="C23" s="326" t="str">
        <f t="shared" si="0"/>
        <v>2nd Degree Bronze</v>
      </c>
      <c r="D23" s="327">
        <v>3.1</v>
      </c>
      <c r="E23" s="328">
        <v>68</v>
      </c>
      <c r="F23" s="325">
        <f t="shared" si="6"/>
        <v>5</v>
      </c>
      <c r="G23" s="326"/>
      <c r="H23" s="159" t="e">
        <f t="shared" si="1"/>
        <v>#VALUE!</v>
      </c>
      <c r="K23" s="323"/>
      <c r="L23" s="323"/>
      <c r="P23" s="159" t="str">
        <f t="shared" ref="P23:Q23" si="27">A23</f>
        <v>Bronze</v>
      </c>
      <c r="Q23" s="159" t="str">
        <f t="shared" si="27"/>
        <v>2nd</v>
      </c>
    </row>
    <row r="24" spans="1:23" x14ac:dyDescent="0.2">
      <c r="A24" s="325" t="s">
        <v>210</v>
      </c>
      <c r="B24" s="325" t="s">
        <v>193</v>
      </c>
      <c r="C24" s="326" t="str">
        <f t="shared" si="0"/>
        <v>3rd Degree Bronze</v>
      </c>
      <c r="D24" s="327">
        <v>3.2</v>
      </c>
      <c r="E24" s="328">
        <v>73</v>
      </c>
      <c r="F24" s="325">
        <f t="shared" si="6"/>
        <v>5</v>
      </c>
      <c r="G24" s="326"/>
      <c r="H24" s="159" t="e">
        <f t="shared" si="1"/>
        <v>#VALUE!</v>
      </c>
      <c r="K24" s="323"/>
      <c r="L24" s="323"/>
      <c r="P24" s="159" t="str">
        <f t="shared" ref="P24:Q24" si="28">A24</f>
        <v>Bronze</v>
      </c>
      <c r="Q24" s="159" t="str">
        <f t="shared" si="28"/>
        <v>3rd</v>
      </c>
    </row>
    <row r="25" spans="1:23" x14ac:dyDescent="0.2">
      <c r="A25" s="325" t="s">
        <v>210</v>
      </c>
      <c r="B25" s="325" t="s">
        <v>195</v>
      </c>
      <c r="C25" s="326" t="str">
        <f t="shared" si="0"/>
        <v>4th Degree Bronze</v>
      </c>
      <c r="D25" s="327">
        <v>3.3</v>
      </c>
      <c r="E25" s="328">
        <v>79</v>
      </c>
      <c r="F25" s="325">
        <f t="shared" si="6"/>
        <v>6</v>
      </c>
      <c r="G25" s="326"/>
      <c r="H25" s="159" t="e">
        <f t="shared" si="1"/>
        <v>#VALUE!</v>
      </c>
      <c r="K25" s="323"/>
      <c r="L25" s="323"/>
      <c r="P25" s="159" t="str">
        <f t="shared" ref="P25:Q25" si="29">A25</f>
        <v>Bronze</v>
      </c>
      <c r="Q25" s="159" t="str">
        <f t="shared" si="29"/>
        <v>4th</v>
      </c>
    </row>
    <row r="26" spans="1:23" x14ac:dyDescent="0.2">
      <c r="A26" s="325" t="s">
        <v>210</v>
      </c>
      <c r="B26" s="325" t="s">
        <v>197</v>
      </c>
      <c r="C26" s="326" t="str">
        <f t="shared" si="0"/>
        <v>5th Degree Bronze</v>
      </c>
      <c r="D26" s="327">
        <v>3.4</v>
      </c>
      <c r="E26" s="328">
        <v>85</v>
      </c>
      <c r="F26" s="325">
        <f t="shared" si="6"/>
        <v>6</v>
      </c>
      <c r="G26" s="326"/>
      <c r="H26" s="159" t="e">
        <f t="shared" si="1"/>
        <v>#VALUE!</v>
      </c>
      <c r="K26" s="323"/>
      <c r="L26" s="323"/>
      <c r="P26" s="159" t="str">
        <f t="shared" ref="P26:Q26" si="30">A26</f>
        <v>Bronze</v>
      </c>
      <c r="Q26" s="159" t="str">
        <f t="shared" si="30"/>
        <v>5th</v>
      </c>
    </row>
    <row r="27" spans="1:23" x14ac:dyDescent="0.2">
      <c r="A27" s="325" t="s">
        <v>210</v>
      </c>
      <c r="B27" s="325" t="s">
        <v>199</v>
      </c>
      <c r="C27" s="326" t="str">
        <f t="shared" si="0"/>
        <v>6th Degree Bronze</v>
      </c>
      <c r="D27" s="327">
        <v>3.5</v>
      </c>
      <c r="E27" s="328">
        <v>91</v>
      </c>
      <c r="F27" s="325">
        <f t="shared" si="6"/>
        <v>6</v>
      </c>
      <c r="G27" s="326" t="s">
        <v>18</v>
      </c>
      <c r="H27" s="159" t="e">
        <f t="shared" si="1"/>
        <v>#VALUE!</v>
      </c>
      <c r="K27" s="323"/>
      <c r="L27" s="323"/>
      <c r="P27" s="159" t="str">
        <f t="shared" ref="P27:Q27" si="31">A27</f>
        <v>Bronze</v>
      </c>
      <c r="Q27" s="159" t="str">
        <f t="shared" si="31"/>
        <v>6th</v>
      </c>
    </row>
    <row r="28" spans="1:23" x14ac:dyDescent="0.2">
      <c r="A28" s="325" t="s">
        <v>210</v>
      </c>
      <c r="B28" s="325" t="s">
        <v>201</v>
      </c>
      <c r="C28" s="326" t="str">
        <f t="shared" si="0"/>
        <v>7th Degree Bronze</v>
      </c>
      <c r="D28" s="327">
        <v>3.6</v>
      </c>
      <c r="E28" s="328">
        <v>98</v>
      </c>
      <c r="F28" s="325">
        <f t="shared" si="6"/>
        <v>7</v>
      </c>
      <c r="G28" s="326"/>
      <c r="H28" s="159" t="e">
        <f t="shared" si="1"/>
        <v>#VALUE!</v>
      </c>
      <c r="K28" s="323"/>
      <c r="L28" s="323"/>
      <c r="P28" s="159" t="str">
        <f t="shared" ref="P28:Q28" si="32">A28</f>
        <v>Bronze</v>
      </c>
      <c r="Q28" s="159" t="str">
        <f t="shared" si="32"/>
        <v>7th</v>
      </c>
    </row>
    <row r="29" spans="1:23" x14ac:dyDescent="0.2">
      <c r="A29" s="325" t="s">
        <v>210</v>
      </c>
      <c r="B29" s="325" t="s">
        <v>203</v>
      </c>
      <c r="C29" s="326" t="str">
        <f t="shared" si="0"/>
        <v>8th Degree Bronze</v>
      </c>
      <c r="D29" s="327">
        <v>3.7</v>
      </c>
      <c r="E29" s="328">
        <v>105</v>
      </c>
      <c r="F29" s="325">
        <f t="shared" si="6"/>
        <v>7</v>
      </c>
      <c r="G29" s="326"/>
      <c r="H29" s="159" t="e">
        <f t="shared" si="1"/>
        <v>#VALUE!</v>
      </c>
      <c r="K29" s="323"/>
      <c r="L29" s="323"/>
      <c r="P29" s="159" t="str">
        <f t="shared" ref="P29:Q29" si="33">A29</f>
        <v>Bronze</v>
      </c>
      <c r="Q29" s="159" t="str">
        <f t="shared" si="33"/>
        <v>8th</v>
      </c>
    </row>
    <row r="30" spans="1:23" x14ac:dyDescent="0.2">
      <c r="A30" s="325" t="s">
        <v>210</v>
      </c>
      <c r="B30" s="325" t="s">
        <v>205</v>
      </c>
      <c r="C30" s="326" t="str">
        <f t="shared" si="0"/>
        <v>9th Degree Bronze</v>
      </c>
      <c r="D30" s="327">
        <v>3.8</v>
      </c>
      <c r="E30" s="328">
        <v>112</v>
      </c>
      <c r="F30" s="325">
        <f t="shared" si="6"/>
        <v>7</v>
      </c>
      <c r="G30" s="326"/>
      <c r="H30" s="159" t="e">
        <f t="shared" si="1"/>
        <v>#VALUE!</v>
      </c>
      <c r="K30" s="323"/>
      <c r="L30" s="323"/>
      <c r="P30" s="159" t="str">
        <f t="shared" ref="P30:Q30" si="34">A30</f>
        <v>Bronze</v>
      </c>
      <c r="Q30" s="159" t="str">
        <f t="shared" si="34"/>
        <v>9th</v>
      </c>
    </row>
    <row r="31" spans="1:23" x14ac:dyDescent="0.2">
      <c r="A31" s="325" t="s">
        <v>210</v>
      </c>
      <c r="B31" s="325" t="s">
        <v>207</v>
      </c>
      <c r="C31" s="326" t="str">
        <f t="shared" si="0"/>
        <v>10th Degree Bronze</v>
      </c>
      <c r="D31" s="327">
        <v>3.9</v>
      </c>
      <c r="E31" s="328">
        <v>120</v>
      </c>
      <c r="F31" s="325">
        <f t="shared" si="6"/>
        <v>8</v>
      </c>
      <c r="G31" s="326"/>
      <c r="H31" s="159" t="e">
        <f t="shared" si="1"/>
        <v>#VALUE!</v>
      </c>
      <c r="K31" s="323"/>
      <c r="L31" s="323"/>
      <c r="P31" s="159" t="str">
        <f t="shared" ref="P31:Q31" si="35">A31</f>
        <v>Bronze</v>
      </c>
      <c r="Q31" s="159" t="str">
        <f t="shared" si="35"/>
        <v>10th</v>
      </c>
    </row>
    <row r="32" spans="1:23" x14ac:dyDescent="0.2">
      <c r="A32" s="325" t="s">
        <v>211</v>
      </c>
      <c r="B32" s="325" t="s">
        <v>189</v>
      </c>
      <c r="C32" s="326" t="str">
        <f t="shared" si="0"/>
        <v>1st Degree Silver</v>
      </c>
      <c r="D32" s="327">
        <v>4</v>
      </c>
      <c r="E32" s="328">
        <v>128</v>
      </c>
      <c r="F32" s="325">
        <f t="shared" si="6"/>
        <v>8</v>
      </c>
      <c r="G32" s="326" t="s">
        <v>20</v>
      </c>
      <c r="H32" s="159" t="e">
        <f t="shared" si="1"/>
        <v>#VALUE!</v>
      </c>
      <c r="K32" s="323"/>
      <c r="L32" s="323"/>
      <c r="P32" s="159" t="str">
        <f t="shared" ref="P32:Q32" si="36">A32</f>
        <v>Silver</v>
      </c>
      <c r="Q32" s="159" t="str">
        <f t="shared" si="36"/>
        <v>1st</v>
      </c>
    </row>
    <row r="33" spans="1:17" x14ac:dyDescent="0.2">
      <c r="A33" s="325" t="s">
        <v>211</v>
      </c>
      <c r="B33" s="325" t="s">
        <v>191</v>
      </c>
      <c r="C33" s="326" t="str">
        <f t="shared" si="0"/>
        <v>2nd Degree Silver</v>
      </c>
      <c r="D33" s="327">
        <v>4.0999999999999996</v>
      </c>
      <c r="E33" s="328">
        <v>136</v>
      </c>
      <c r="F33" s="325">
        <f t="shared" si="6"/>
        <v>8</v>
      </c>
      <c r="G33" s="326"/>
      <c r="H33" s="159" t="e">
        <f t="shared" si="1"/>
        <v>#VALUE!</v>
      </c>
      <c r="K33" s="323"/>
      <c r="L33" s="323"/>
      <c r="P33" s="159" t="str">
        <f t="shared" ref="P33:Q33" si="37">A33</f>
        <v>Silver</v>
      </c>
      <c r="Q33" s="159" t="str">
        <f t="shared" si="37"/>
        <v>2nd</v>
      </c>
    </row>
    <row r="34" spans="1:17" x14ac:dyDescent="0.2">
      <c r="A34" s="325" t="s">
        <v>211</v>
      </c>
      <c r="B34" s="325" t="s">
        <v>193</v>
      </c>
      <c r="C34" s="326" t="str">
        <f t="shared" si="0"/>
        <v>3rd Degree Silver</v>
      </c>
      <c r="D34" s="327">
        <v>4.2</v>
      </c>
      <c r="E34" s="328">
        <v>145</v>
      </c>
      <c r="F34" s="325">
        <f t="shared" si="6"/>
        <v>9</v>
      </c>
      <c r="G34" s="326"/>
      <c r="H34" s="159" t="e">
        <f t="shared" si="1"/>
        <v>#VALUE!</v>
      </c>
      <c r="K34" s="323"/>
      <c r="L34" s="323"/>
      <c r="P34" s="159" t="str">
        <f t="shared" ref="P34:Q34" si="38">A34</f>
        <v>Silver</v>
      </c>
      <c r="Q34" s="159" t="str">
        <f t="shared" si="38"/>
        <v>3rd</v>
      </c>
    </row>
    <row r="35" spans="1:17" x14ac:dyDescent="0.2">
      <c r="A35" s="325" t="s">
        <v>211</v>
      </c>
      <c r="B35" s="325" t="s">
        <v>195</v>
      </c>
      <c r="C35" s="326" t="str">
        <f t="shared" si="0"/>
        <v>4th Degree Silver</v>
      </c>
      <c r="D35" s="327">
        <v>4.3</v>
      </c>
      <c r="E35" s="328">
        <v>154</v>
      </c>
      <c r="F35" s="325">
        <f t="shared" si="6"/>
        <v>9</v>
      </c>
      <c r="G35" s="326"/>
      <c r="H35" s="159" t="e">
        <f t="shared" si="1"/>
        <v>#VALUE!</v>
      </c>
      <c r="K35" s="323"/>
      <c r="L35" s="323"/>
      <c r="P35" s="159" t="str">
        <f t="shared" ref="P35:Q35" si="39">A35</f>
        <v>Silver</v>
      </c>
      <c r="Q35" s="159" t="str">
        <f t="shared" si="39"/>
        <v>4th</v>
      </c>
    </row>
    <row r="36" spans="1:17" x14ac:dyDescent="0.2">
      <c r="A36" s="325" t="s">
        <v>211</v>
      </c>
      <c r="B36" s="325" t="s">
        <v>197</v>
      </c>
      <c r="C36" s="326" t="str">
        <f t="shared" si="0"/>
        <v>5th Degree Silver</v>
      </c>
      <c r="D36" s="327">
        <v>4.4000000000000004</v>
      </c>
      <c r="E36" s="328">
        <v>164</v>
      </c>
      <c r="F36" s="325">
        <f t="shared" si="6"/>
        <v>10</v>
      </c>
      <c r="G36" s="326" t="s">
        <v>22</v>
      </c>
      <c r="H36" s="159" t="e">
        <f t="shared" si="1"/>
        <v>#VALUE!</v>
      </c>
      <c r="K36" s="323"/>
      <c r="L36" s="323"/>
      <c r="P36" s="159" t="str">
        <f t="shared" ref="P36:Q36" si="40">A36</f>
        <v>Silver</v>
      </c>
      <c r="Q36" s="159" t="str">
        <f t="shared" si="40"/>
        <v>5th</v>
      </c>
    </row>
    <row r="37" spans="1:17" x14ac:dyDescent="0.2">
      <c r="A37" s="325" t="s">
        <v>211</v>
      </c>
      <c r="B37" s="325" t="s">
        <v>199</v>
      </c>
      <c r="C37" s="326" t="str">
        <f t="shared" si="0"/>
        <v>6th Degree Silver</v>
      </c>
      <c r="D37" s="327">
        <v>4.5</v>
      </c>
      <c r="E37" s="328">
        <v>174</v>
      </c>
      <c r="F37" s="325">
        <f t="shared" si="6"/>
        <v>10</v>
      </c>
      <c r="G37" s="326"/>
      <c r="H37" s="159" t="e">
        <f t="shared" si="1"/>
        <v>#VALUE!</v>
      </c>
      <c r="K37" s="323"/>
      <c r="L37" s="323"/>
      <c r="P37" s="159" t="str">
        <f t="shared" ref="P37:Q37" si="41">A37</f>
        <v>Silver</v>
      </c>
      <c r="Q37" s="159" t="str">
        <f t="shared" si="41"/>
        <v>6th</v>
      </c>
    </row>
    <row r="38" spans="1:17" x14ac:dyDescent="0.2">
      <c r="A38" s="325" t="s">
        <v>211</v>
      </c>
      <c r="B38" s="325" t="s">
        <v>201</v>
      </c>
      <c r="C38" s="326" t="str">
        <f t="shared" si="0"/>
        <v>7th Degree Silver</v>
      </c>
      <c r="D38" s="327">
        <v>4.5999999999999996</v>
      </c>
      <c r="E38" s="328">
        <v>185</v>
      </c>
      <c r="F38" s="325">
        <f t="shared" si="6"/>
        <v>11</v>
      </c>
      <c r="G38" s="326"/>
      <c r="H38" s="159" t="e">
        <f t="shared" si="1"/>
        <v>#VALUE!</v>
      </c>
      <c r="K38" s="323"/>
      <c r="L38" s="323"/>
      <c r="P38" s="159" t="str">
        <f t="shared" ref="P38:Q38" si="42">A38</f>
        <v>Silver</v>
      </c>
      <c r="Q38" s="159" t="str">
        <f t="shared" si="42"/>
        <v>7th</v>
      </c>
    </row>
    <row r="39" spans="1:17" x14ac:dyDescent="0.2">
      <c r="A39" s="325" t="s">
        <v>211</v>
      </c>
      <c r="B39" s="325" t="s">
        <v>203</v>
      </c>
      <c r="C39" s="326" t="str">
        <f t="shared" si="0"/>
        <v>8th Degree Silver</v>
      </c>
      <c r="D39" s="327">
        <v>4.7</v>
      </c>
      <c r="E39" s="328">
        <v>196</v>
      </c>
      <c r="F39" s="325">
        <f t="shared" si="6"/>
        <v>11</v>
      </c>
      <c r="G39" s="326"/>
      <c r="H39" s="159" t="e">
        <f t="shared" si="1"/>
        <v>#VALUE!</v>
      </c>
      <c r="K39" s="323"/>
      <c r="L39" s="323"/>
      <c r="P39" s="159" t="str">
        <f t="shared" ref="P39:Q39" si="43">A39</f>
        <v>Silver</v>
      </c>
      <c r="Q39" s="159" t="str">
        <f t="shared" si="43"/>
        <v>8th</v>
      </c>
    </row>
    <row r="40" spans="1:17" x14ac:dyDescent="0.2">
      <c r="A40" s="325" t="s">
        <v>211</v>
      </c>
      <c r="B40" s="325" t="s">
        <v>205</v>
      </c>
      <c r="C40" s="326" t="str">
        <f t="shared" si="0"/>
        <v>9th Degree Silver</v>
      </c>
      <c r="D40" s="327">
        <v>4.8</v>
      </c>
      <c r="E40" s="328">
        <v>208</v>
      </c>
      <c r="F40" s="325">
        <f t="shared" si="6"/>
        <v>12</v>
      </c>
      <c r="G40" s="326"/>
      <c r="H40" s="159" t="e">
        <f t="shared" si="1"/>
        <v>#VALUE!</v>
      </c>
      <c r="K40" s="323"/>
      <c r="L40" s="323"/>
      <c r="P40" s="159" t="str">
        <f t="shared" ref="P40:Q40" si="44">A40</f>
        <v>Silver</v>
      </c>
      <c r="Q40" s="159" t="str">
        <f t="shared" si="44"/>
        <v>9th</v>
      </c>
    </row>
    <row r="41" spans="1:17" x14ac:dyDescent="0.2">
      <c r="A41" s="325" t="s">
        <v>211</v>
      </c>
      <c r="B41" s="325" t="s">
        <v>207</v>
      </c>
      <c r="C41" s="326" t="str">
        <f t="shared" si="0"/>
        <v>10th Degree Silver</v>
      </c>
      <c r="D41" s="327">
        <v>4.9000000000000004</v>
      </c>
      <c r="E41" s="328">
        <v>220</v>
      </c>
      <c r="F41" s="325">
        <f t="shared" si="6"/>
        <v>12</v>
      </c>
      <c r="G41" s="326"/>
      <c r="H41" s="159" t="e">
        <f t="shared" si="1"/>
        <v>#VALUE!</v>
      </c>
      <c r="K41" s="323"/>
      <c r="L41" s="323"/>
      <c r="P41" s="159" t="str">
        <f t="shared" ref="P41:Q41" si="45">A41</f>
        <v>Silver</v>
      </c>
      <c r="Q41" s="159" t="str">
        <f t="shared" si="45"/>
        <v>10th</v>
      </c>
    </row>
    <row r="42" spans="1:17" x14ac:dyDescent="0.2">
      <c r="A42" s="325" t="s">
        <v>212</v>
      </c>
      <c r="B42" s="325" t="s">
        <v>189</v>
      </c>
      <c r="C42" s="326" t="str">
        <f t="shared" si="0"/>
        <v>1st Degree Gold</v>
      </c>
      <c r="D42" s="327">
        <v>5</v>
      </c>
      <c r="E42" s="328">
        <v>233</v>
      </c>
      <c r="F42" s="325">
        <f t="shared" si="6"/>
        <v>13</v>
      </c>
      <c r="G42" s="326"/>
      <c r="H42" s="159" t="e">
        <f t="shared" si="1"/>
        <v>#VALUE!</v>
      </c>
      <c r="K42" s="323"/>
      <c r="L42" s="323"/>
      <c r="P42" s="159" t="str">
        <f t="shared" ref="P42:Q42" si="46">A42</f>
        <v>Gold</v>
      </c>
      <c r="Q42" s="159" t="str">
        <f t="shared" si="46"/>
        <v>1st</v>
      </c>
    </row>
    <row r="43" spans="1:17" x14ac:dyDescent="0.2">
      <c r="A43" s="325" t="s">
        <v>212</v>
      </c>
      <c r="B43" s="325" t="s">
        <v>191</v>
      </c>
      <c r="C43" s="326" t="str">
        <f t="shared" si="0"/>
        <v>2nd Degree Gold</v>
      </c>
      <c r="D43" s="327">
        <v>5.0999999999999996</v>
      </c>
      <c r="E43" s="328">
        <v>247</v>
      </c>
      <c r="F43" s="325">
        <f t="shared" si="6"/>
        <v>14</v>
      </c>
      <c r="G43" s="326"/>
      <c r="H43" s="159" t="e">
        <f t="shared" si="1"/>
        <v>#VALUE!</v>
      </c>
      <c r="K43" s="323"/>
      <c r="L43" s="323"/>
      <c r="P43" s="159" t="str">
        <f t="shared" ref="P43:Q43" si="47">A43</f>
        <v>Gold</v>
      </c>
      <c r="Q43" s="159" t="str">
        <f t="shared" si="47"/>
        <v>2nd</v>
      </c>
    </row>
    <row r="44" spans="1:17" x14ac:dyDescent="0.2">
      <c r="A44" s="325" t="s">
        <v>212</v>
      </c>
      <c r="B44" s="325" t="s">
        <v>193</v>
      </c>
      <c r="C44" s="326" t="str">
        <f t="shared" si="0"/>
        <v>3rd Degree Gold</v>
      </c>
      <c r="D44" s="327">
        <v>5.2</v>
      </c>
      <c r="E44" s="328">
        <v>261</v>
      </c>
      <c r="F44" s="325">
        <f t="shared" si="6"/>
        <v>14</v>
      </c>
      <c r="G44" s="326"/>
      <c r="H44" s="159" t="e">
        <f t="shared" si="1"/>
        <v>#VALUE!</v>
      </c>
      <c r="K44" s="323"/>
      <c r="L44" s="323"/>
      <c r="P44" s="159" t="str">
        <f t="shared" ref="P44:Q44" si="48">A44</f>
        <v>Gold</v>
      </c>
      <c r="Q44" s="159" t="str">
        <f t="shared" si="48"/>
        <v>3rd</v>
      </c>
    </row>
    <row r="45" spans="1:17" x14ac:dyDescent="0.2">
      <c r="A45" s="325" t="s">
        <v>212</v>
      </c>
      <c r="B45" s="325" t="s">
        <v>195</v>
      </c>
      <c r="C45" s="326" t="str">
        <f t="shared" si="0"/>
        <v>4th Degree Gold</v>
      </c>
      <c r="D45" s="327">
        <v>5.3</v>
      </c>
      <c r="E45" s="328">
        <v>276</v>
      </c>
      <c r="F45" s="325">
        <f t="shared" si="6"/>
        <v>15</v>
      </c>
      <c r="G45" s="326"/>
      <c r="H45" s="159" t="e">
        <f t="shared" si="1"/>
        <v>#VALUE!</v>
      </c>
      <c r="K45" s="323"/>
      <c r="L45" s="323"/>
      <c r="P45" s="159" t="str">
        <f t="shared" ref="P45:Q45" si="49">A45</f>
        <v>Gold</v>
      </c>
      <c r="Q45" s="159" t="str">
        <f t="shared" si="49"/>
        <v>4th</v>
      </c>
    </row>
    <row r="46" spans="1:17" x14ac:dyDescent="0.2">
      <c r="A46" s="325" t="s">
        <v>212</v>
      </c>
      <c r="B46" s="325" t="s">
        <v>197</v>
      </c>
      <c r="C46" s="326" t="str">
        <f t="shared" si="0"/>
        <v>5th Degree Gold</v>
      </c>
      <c r="D46" s="327">
        <v>5.4</v>
      </c>
      <c r="E46" s="328">
        <v>292</v>
      </c>
      <c r="F46" s="325">
        <f t="shared" si="6"/>
        <v>16</v>
      </c>
      <c r="G46" s="326"/>
      <c r="H46" s="159" t="e">
        <f t="shared" si="1"/>
        <v>#VALUE!</v>
      </c>
      <c r="K46" s="323"/>
      <c r="L46" s="323"/>
      <c r="P46" s="159" t="str">
        <f t="shared" ref="P46:Q46" si="50">A46</f>
        <v>Gold</v>
      </c>
      <c r="Q46" s="159" t="str">
        <f t="shared" si="50"/>
        <v>5th</v>
      </c>
    </row>
    <row r="47" spans="1:17" x14ac:dyDescent="0.2">
      <c r="A47" s="325" t="s">
        <v>212</v>
      </c>
      <c r="B47" s="325" t="s">
        <v>199</v>
      </c>
      <c r="C47" s="326" t="str">
        <f t="shared" si="0"/>
        <v>6th Degree Gold</v>
      </c>
      <c r="D47" s="327">
        <v>5.5</v>
      </c>
      <c r="E47" s="328">
        <v>309</v>
      </c>
      <c r="F47" s="325">
        <f t="shared" si="6"/>
        <v>17</v>
      </c>
      <c r="G47" s="326"/>
      <c r="H47" s="159" t="e">
        <f t="shared" si="1"/>
        <v>#VALUE!</v>
      </c>
      <c r="K47" s="323"/>
      <c r="L47" s="323"/>
      <c r="P47" s="159" t="str">
        <f t="shared" ref="P47:Q47" si="51">A47</f>
        <v>Gold</v>
      </c>
      <c r="Q47" s="159" t="str">
        <f t="shared" si="51"/>
        <v>6th</v>
      </c>
    </row>
    <row r="48" spans="1:17" x14ac:dyDescent="0.2">
      <c r="A48" s="325" t="s">
        <v>212</v>
      </c>
      <c r="B48" s="325" t="s">
        <v>201</v>
      </c>
      <c r="C48" s="326" t="str">
        <f t="shared" si="0"/>
        <v>7th Degree Gold</v>
      </c>
      <c r="D48" s="327">
        <v>5.6</v>
      </c>
      <c r="E48" s="328">
        <v>326</v>
      </c>
      <c r="F48" s="325">
        <f t="shared" si="6"/>
        <v>17</v>
      </c>
      <c r="G48" s="326"/>
      <c r="H48" s="159" t="e">
        <f t="shared" si="1"/>
        <v>#VALUE!</v>
      </c>
      <c r="K48" s="323"/>
      <c r="L48" s="323"/>
      <c r="P48" s="159" t="str">
        <f t="shared" ref="P48:Q48" si="52">A48</f>
        <v>Gold</v>
      </c>
      <c r="Q48" s="159" t="str">
        <f t="shared" si="52"/>
        <v>7th</v>
      </c>
    </row>
    <row r="49" spans="1:17" x14ac:dyDescent="0.2">
      <c r="A49" s="325" t="s">
        <v>212</v>
      </c>
      <c r="B49" s="325" t="s">
        <v>203</v>
      </c>
      <c r="C49" s="326" t="str">
        <f t="shared" si="0"/>
        <v>8th Degree Gold</v>
      </c>
      <c r="D49" s="327">
        <v>5.7</v>
      </c>
      <c r="E49" s="328">
        <v>344</v>
      </c>
      <c r="F49" s="325">
        <f t="shared" si="6"/>
        <v>18</v>
      </c>
      <c r="G49" s="326"/>
      <c r="H49" s="159" t="e">
        <f t="shared" si="1"/>
        <v>#VALUE!</v>
      </c>
      <c r="K49" s="323"/>
      <c r="L49" s="323"/>
      <c r="P49" s="159" t="str">
        <f t="shared" ref="P49:Q49" si="53">A49</f>
        <v>Gold</v>
      </c>
      <c r="Q49" s="159" t="str">
        <f t="shared" si="53"/>
        <v>8th</v>
      </c>
    </row>
    <row r="50" spans="1:17" x14ac:dyDescent="0.2">
      <c r="A50" s="325" t="s">
        <v>212</v>
      </c>
      <c r="B50" s="325" t="s">
        <v>205</v>
      </c>
      <c r="C50" s="326" t="str">
        <f t="shared" si="0"/>
        <v>9th Degree Gold</v>
      </c>
      <c r="D50" s="327">
        <v>5.8</v>
      </c>
      <c r="E50" s="328">
        <v>363</v>
      </c>
      <c r="F50" s="325">
        <f t="shared" si="6"/>
        <v>19</v>
      </c>
      <c r="G50" s="326"/>
      <c r="H50" s="159" t="e">
        <f t="shared" si="1"/>
        <v>#VALUE!</v>
      </c>
      <c r="K50" s="323"/>
      <c r="L50" s="323"/>
      <c r="P50" s="159" t="str">
        <f t="shared" ref="P50:Q50" si="54">A50</f>
        <v>Gold</v>
      </c>
      <c r="Q50" s="159" t="str">
        <f t="shared" si="54"/>
        <v>9th</v>
      </c>
    </row>
    <row r="51" spans="1:17" x14ac:dyDescent="0.2">
      <c r="A51" s="325" t="s">
        <v>212</v>
      </c>
      <c r="B51" s="325" t="s">
        <v>207</v>
      </c>
      <c r="C51" s="326" t="str">
        <f t="shared" si="0"/>
        <v>10th Degree Gold</v>
      </c>
      <c r="D51" s="327">
        <v>5.9</v>
      </c>
      <c r="E51" s="328">
        <v>383</v>
      </c>
      <c r="F51" s="325">
        <f t="shared" si="6"/>
        <v>20</v>
      </c>
      <c r="G51" s="326"/>
      <c r="H51" s="159" t="e">
        <f t="shared" si="1"/>
        <v>#VALUE!</v>
      </c>
      <c r="K51" s="323"/>
      <c r="L51" s="323"/>
      <c r="P51" s="159" t="str">
        <f t="shared" ref="P51:Q51" si="55">A51</f>
        <v>Gold</v>
      </c>
      <c r="Q51" s="159" t="str">
        <f t="shared" si="55"/>
        <v>10th</v>
      </c>
    </row>
    <row r="52" spans="1:17" x14ac:dyDescent="0.2">
      <c r="A52" s="325" t="s">
        <v>213</v>
      </c>
      <c r="B52" s="325" t="s">
        <v>189</v>
      </c>
      <c r="C52" s="326" t="str">
        <f t="shared" si="0"/>
        <v>1st Degree Platinum</v>
      </c>
      <c r="D52" s="327">
        <v>6</v>
      </c>
      <c r="E52" s="328">
        <v>404</v>
      </c>
      <c r="F52" s="325">
        <f t="shared" si="6"/>
        <v>21</v>
      </c>
      <c r="G52" s="326"/>
      <c r="H52" s="159" t="e">
        <f t="shared" si="1"/>
        <v>#VALUE!</v>
      </c>
      <c r="K52" s="323"/>
      <c r="L52" s="323"/>
      <c r="P52" s="159" t="str">
        <f t="shared" ref="P52:Q52" si="56">A52</f>
        <v>Platinum</v>
      </c>
      <c r="Q52" s="159" t="str">
        <f t="shared" si="56"/>
        <v>1st</v>
      </c>
    </row>
    <row r="53" spans="1:17" x14ac:dyDescent="0.2">
      <c r="A53" s="325" t="s">
        <v>213</v>
      </c>
      <c r="B53" s="325" t="s">
        <v>191</v>
      </c>
      <c r="C53" s="326" t="str">
        <f t="shared" si="0"/>
        <v>2nd Degree Platinum</v>
      </c>
      <c r="D53" s="327">
        <v>6.1</v>
      </c>
      <c r="E53" s="328">
        <v>426</v>
      </c>
      <c r="F53" s="325">
        <f t="shared" si="6"/>
        <v>22</v>
      </c>
      <c r="G53" s="326"/>
      <c r="H53" s="159" t="e">
        <f t="shared" si="1"/>
        <v>#VALUE!</v>
      </c>
      <c r="K53" s="323"/>
      <c r="L53" s="323"/>
      <c r="P53" s="159" t="str">
        <f t="shared" ref="P53:Q53" si="57">A53</f>
        <v>Platinum</v>
      </c>
      <c r="Q53" s="159" t="str">
        <f t="shared" si="57"/>
        <v>2nd</v>
      </c>
    </row>
    <row r="54" spans="1:17" x14ac:dyDescent="0.2">
      <c r="A54" s="325" t="s">
        <v>213</v>
      </c>
      <c r="B54" s="325" t="s">
        <v>193</v>
      </c>
      <c r="C54" s="326" t="str">
        <f t="shared" si="0"/>
        <v>3rd Degree Platinum</v>
      </c>
      <c r="D54" s="327">
        <v>6.2</v>
      </c>
      <c r="E54" s="328">
        <v>449</v>
      </c>
      <c r="F54" s="325">
        <f t="shared" si="6"/>
        <v>23</v>
      </c>
      <c r="G54" s="326"/>
      <c r="H54" s="159" t="e">
        <f t="shared" si="1"/>
        <v>#VALUE!</v>
      </c>
      <c r="K54" s="323"/>
      <c r="L54" s="323"/>
      <c r="P54" s="159" t="str">
        <f t="shared" ref="P54:Q54" si="58">A54</f>
        <v>Platinum</v>
      </c>
      <c r="Q54" s="159" t="str">
        <f t="shared" si="58"/>
        <v>3rd</v>
      </c>
    </row>
    <row r="55" spans="1:17" x14ac:dyDescent="0.2">
      <c r="A55" s="325" t="s">
        <v>213</v>
      </c>
      <c r="B55" s="325" t="s">
        <v>195</v>
      </c>
      <c r="C55" s="326" t="str">
        <f t="shared" si="0"/>
        <v>4th Degree Platinum</v>
      </c>
      <c r="D55" s="327">
        <v>6.3</v>
      </c>
      <c r="E55" s="328">
        <v>473</v>
      </c>
      <c r="F55" s="325">
        <f t="shared" si="6"/>
        <v>24</v>
      </c>
      <c r="G55" s="326"/>
      <c r="H55" s="159" t="e">
        <f t="shared" si="1"/>
        <v>#VALUE!</v>
      </c>
      <c r="K55" s="323"/>
      <c r="L55" s="323"/>
      <c r="P55" s="159" t="str">
        <f t="shared" ref="P55:Q55" si="59">A55</f>
        <v>Platinum</v>
      </c>
      <c r="Q55" s="159" t="str">
        <f t="shared" si="59"/>
        <v>4th</v>
      </c>
    </row>
    <row r="56" spans="1:17" x14ac:dyDescent="0.2">
      <c r="A56" s="325" t="s">
        <v>213</v>
      </c>
      <c r="B56" s="325" t="s">
        <v>197</v>
      </c>
      <c r="C56" s="326" t="str">
        <f t="shared" si="0"/>
        <v>5th Degree Platinum</v>
      </c>
      <c r="D56" s="327">
        <v>6.4</v>
      </c>
      <c r="E56" s="328">
        <v>499</v>
      </c>
      <c r="F56" s="325">
        <f t="shared" si="6"/>
        <v>26</v>
      </c>
      <c r="G56" s="326"/>
      <c r="H56" s="159" t="e">
        <f t="shared" si="1"/>
        <v>#VALUE!</v>
      </c>
      <c r="K56" s="323"/>
      <c r="L56" s="323"/>
      <c r="P56" s="159" t="str">
        <f t="shared" ref="P56:Q56" si="60">A56</f>
        <v>Platinum</v>
      </c>
      <c r="Q56" s="159" t="str">
        <f t="shared" si="60"/>
        <v>5th</v>
      </c>
    </row>
    <row r="57" spans="1:17" x14ac:dyDescent="0.2">
      <c r="A57" s="325" t="s">
        <v>213</v>
      </c>
      <c r="B57" s="325" t="s">
        <v>199</v>
      </c>
      <c r="C57" s="326" t="str">
        <f t="shared" si="0"/>
        <v>6th Degree Platinum</v>
      </c>
      <c r="D57" s="327">
        <v>6.5</v>
      </c>
      <c r="E57" s="328">
        <v>526</v>
      </c>
      <c r="F57" s="325">
        <f t="shared" si="6"/>
        <v>27</v>
      </c>
      <c r="G57" s="326"/>
      <c r="H57" s="159" t="e">
        <f t="shared" si="1"/>
        <v>#VALUE!</v>
      </c>
      <c r="K57" s="323"/>
      <c r="L57" s="323"/>
      <c r="P57" s="159" t="str">
        <f t="shared" ref="P57:Q57" si="61">A57</f>
        <v>Platinum</v>
      </c>
      <c r="Q57" s="159" t="str">
        <f t="shared" si="61"/>
        <v>6th</v>
      </c>
    </row>
    <row r="58" spans="1:17" x14ac:dyDescent="0.2">
      <c r="A58" s="325" t="s">
        <v>213</v>
      </c>
      <c r="B58" s="325" t="s">
        <v>201</v>
      </c>
      <c r="C58" s="326" t="str">
        <f t="shared" si="0"/>
        <v>7th Degree Platinum</v>
      </c>
      <c r="D58" s="327">
        <v>6.6</v>
      </c>
      <c r="E58" s="328">
        <v>554</v>
      </c>
      <c r="F58" s="325">
        <f t="shared" si="6"/>
        <v>28</v>
      </c>
      <c r="G58" s="326"/>
      <c r="H58" s="159" t="e">
        <f t="shared" si="1"/>
        <v>#VALUE!</v>
      </c>
      <c r="K58" s="323"/>
      <c r="L58" s="323"/>
      <c r="P58" s="159" t="str">
        <f t="shared" ref="P58:Q58" si="62">A58</f>
        <v>Platinum</v>
      </c>
      <c r="Q58" s="159" t="str">
        <f t="shared" si="62"/>
        <v>7th</v>
      </c>
    </row>
    <row r="59" spans="1:17" x14ac:dyDescent="0.2">
      <c r="A59" s="325" t="s">
        <v>213</v>
      </c>
      <c r="B59" s="325" t="s">
        <v>203</v>
      </c>
      <c r="C59" s="326" t="str">
        <f t="shared" si="0"/>
        <v>8th Degree Platinum</v>
      </c>
      <c r="D59" s="327">
        <v>6.7</v>
      </c>
      <c r="E59" s="328">
        <v>584</v>
      </c>
      <c r="F59" s="325">
        <f t="shared" si="6"/>
        <v>30</v>
      </c>
      <c r="G59" s="326"/>
      <c r="H59" s="159" t="e">
        <f t="shared" si="1"/>
        <v>#VALUE!</v>
      </c>
      <c r="K59" s="323"/>
      <c r="L59" s="323"/>
      <c r="P59" s="159" t="str">
        <f t="shared" ref="P59:Q59" si="63">A59</f>
        <v>Platinum</v>
      </c>
      <c r="Q59" s="159" t="str">
        <f t="shared" si="63"/>
        <v>8th</v>
      </c>
    </row>
    <row r="60" spans="1:17" x14ac:dyDescent="0.2">
      <c r="A60" s="325" t="s">
        <v>213</v>
      </c>
      <c r="B60" s="325" t="s">
        <v>205</v>
      </c>
      <c r="C60" s="326" t="str">
        <f t="shared" si="0"/>
        <v>9th Degree Platinum</v>
      </c>
      <c r="D60" s="327">
        <v>6.8</v>
      </c>
      <c r="E60" s="328">
        <v>615</v>
      </c>
      <c r="F60" s="325">
        <f t="shared" si="6"/>
        <v>31</v>
      </c>
      <c r="G60" s="326"/>
      <c r="H60" s="159" t="e">
        <f t="shared" si="1"/>
        <v>#VALUE!</v>
      </c>
      <c r="K60" s="323"/>
      <c r="L60" s="323"/>
      <c r="P60" s="159" t="str">
        <f t="shared" ref="P60:Q60" si="64">A60</f>
        <v>Platinum</v>
      </c>
      <c r="Q60" s="159" t="str">
        <f t="shared" si="64"/>
        <v>9th</v>
      </c>
    </row>
    <row r="61" spans="1:17" x14ac:dyDescent="0.2">
      <c r="A61" s="325" t="s">
        <v>213</v>
      </c>
      <c r="B61" s="325" t="s">
        <v>207</v>
      </c>
      <c r="C61" s="326" t="str">
        <f t="shared" si="0"/>
        <v>10th Degree Platinum</v>
      </c>
      <c r="D61" s="327">
        <v>6.9</v>
      </c>
      <c r="E61" s="328">
        <v>648</v>
      </c>
      <c r="F61" s="325">
        <f t="shared" si="6"/>
        <v>33</v>
      </c>
      <c r="G61" s="326"/>
      <c r="H61" s="159" t="e">
        <f t="shared" si="1"/>
        <v>#VALUE!</v>
      </c>
      <c r="K61" s="323"/>
      <c r="L61" s="323"/>
      <c r="P61" s="159" t="str">
        <f t="shared" ref="P61:Q61" si="65">A61</f>
        <v>Platinum</v>
      </c>
      <c r="Q61" s="159" t="str">
        <f t="shared" si="65"/>
        <v>10th</v>
      </c>
    </row>
    <row r="62" spans="1:17" x14ac:dyDescent="0.2">
      <c r="A62" s="325" t="s">
        <v>214</v>
      </c>
      <c r="B62" s="325" t="s">
        <v>189</v>
      </c>
      <c r="C62" s="326" t="str">
        <f t="shared" si="0"/>
        <v>1st Degree Diamond</v>
      </c>
      <c r="D62" s="327">
        <v>7</v>
      </c>
      <c r="E62" s="328">
        <v>682</v>
      </c>
      <c r="F62" s="325">
        <f t="shared" si="6"/>
        <v>34</v>
      </c>
      <c r="G62" s="326"/>
      <c r="H62" s="159" t="e">
        <f t="shared" si="1"/>
        <v>#VALUE!</v>
      </c>
      <c r="K62" s="323"/>
      <c r="L62" s="323"/>
      <c r="P62" s="159" t="str">
        <f t="shared" ref="P62:Q62" si="66">A62</f>
        <v>Diamond</v>
      </c>
      <c r="Q62" s="159" t="str">
        <f t="shared" si="66"/>
        <v>1st</v>
      </c>
    </row>
    <row r="63" spans="1:17" x14ac:dyDescent="0.2">
      <c r="A63" s="325" t="s">
        <v>214</v>
      </c>
      <c r="B63" s="325" t="s">
        <v>191</v>
      </c>
      <c r="C63" s="326" t="str">
        <f t="shared" si="0"/>
        <v>2nd Degree Diamond</v>
      </c>
      <c r="D63" s="327">
        <v>7.1</v>
      </c>
      <c r="E63" s="328">
        <v>718</v>
      </c>
      <c r="F63" s="325">
        <f t="shared" si="6"/>
        <v>36</v>
      </c>
      <c r="G63" s="326"/>
      <c r="H63" s="159" t="e">
        <f t="shared" si="1"/>
        <v>#VALUE!</v>
      </c>
      <c r="K63" s="323"/>
      <c r="L63" s="323"/>
      <c r="P63" s="159" t="str">
        <f t="shared" ref="P63:Q63" si="67">A63</f>
        <v>Diamond</v>
      </c>
      <c r="Q63" s="159" t="str">
        <f t="shared" si="67"/>
        <v>2nd</v>
      </c>
    </row>
    <row r="64" spans="1:17" x14ac:dyDescent="0.2">
      <c r="A64" s="325" t="s">
        <v>214</v>
      </c>
      <c r="B64" s="325" t="s">
        <v>193</v>
      </c>
      <c r="C64" s="326" t="str">
        <f t="shared" si="0"/>
        <v>3rd Degree Diamond</v>
      </c>
      <c r="D64" s="327">
        <v>7.2</v>
      </c>
      <c r="E64" s="328">
        <v>756</v>
      </c>
      <c r="F64" s="325">
        <f t="shared" si="6"/>
        <v>38</v>
      </c>
      <c r="G64" s="326"/>
      <c r="H64" s="159" t="e">
        <f t="shared" si="1"/>
        <v>#VALUE!</v>
      </c>
      <c r="K64" s="323"/>
      <c r="L64" s="323"/>
      <c r="P64" s="159" t="str">
        <f t="shared" ref="P64:Q64" si="68">A64</f>
        <v>Diamond</v>
      </c>
      <c r="Q64" s="159" t="str">
        <f t="shared" si="68"/>
        <v>3rd</v>
      </c>
    </row>
    <row r="65" spans="1:17" x14ac:dyDescent="0.2">
      <c r="A65" s="325" t="s">
        <v>214</v>
      </c>
      <c r="B65" s="325" t="s">
        <v>195</v>
      </c>
      <c r="C65" s="326" t="str">
        <f t="shared" si="0"/>
        <v>4th Degree Diamond</v>
      </c>
      <c r="D65" s="327">
        <v>7.3</v>
      </c>
      <c r="E65" s="328">
        <v>796</v>
      </c>
      <c r="F65" s="325">
        <f t="shared" si="6"/>
        <v>40</v>
      </c>
      <c r="G65" s="326"/>
      <c r="H65" s="159" t="e">
        <f t="shared" si="1"/>
        <v>#VALUE!</v>
      </c>
      <c r="K65" s="323"/>
      <c r="L65" s="323"/>
      <c r="P65" s="159" t="str">
        <f t="shared" ref="P65:Q65" si="69">A65</f>
        <v>Diamond</v>
      </c>
      <c r="Q65" s="159" t="str">
        <f t="shared" si="69"/>
        <v>4th</v>
      </c>
    </row>
    <row r="66" spans="1:17" x14ac:dyDescent="0.2">
      <c r="A66" s="325" t="s">
        <v>214</v>
      </c>
      <c r="B66" s="325" t="s">
        <v>197</v>
      </c>
      <c r="C66" s="326" t="str">
        <f t="shared" si="0"/>
        <v>5th Degree Diamond</v>
      </c>
      <c r="D66" s="327">
        <v>7.4</v>
      </c>
      <c r="E66" s="328">
        <v>838</v>
      </c>
      <c r="F66" s="325">
        <f t="shared" si="6"/>
        <v>42</v>
      </c>
      <c r="G66" s="326"/>
      <c r="H66" s="159" t="e">
        <f t="shared" si="1"/>
        <v>#VALUE!</v>
      </c>
      <c r="K66" s="323"/>
      <c r="L66" s="323"/>
      <c r="P66" s="159" t="str">
        <f t="shared" ref="P66:Q66" si="70">A66</f>
        <v>Diamond</v>
      </c>
      <c r="Q66" s="159" t="str">
        <f t="shared" si="70"/>
        <v>5th</v>
      </c>
    </row>
    <row r="67" spans="1:17" x14ac:dyDescent="0.2">
      <c r="A67" s="325" t="s">
        <v>214</v>
      </c>
      <c r="B67" s="325" t="s">
        <v>199</v>
      </c>
      <c r="C67" s="326" t="str">
        <f t="shared" si="0"/>
        <v>6th Degree Diamond</v>
      </c>
      <c r="D67" s="327">
        <v>7.5</v>
      </c>
      <c r="E67" s="328">
        <v>882</v>
      </c>
      <c r="F67" s="325">
        <f t="shared" si="6"/>
        <v>44</v>
      </c>
      <c r="G67" s="326"/>
      <c r="H67" s="159" t="e">
        <f t="shared" si="1"/>
        <v>#VALUE!</v>
      </c>
      <c r="K67" s="323"/>
      <c r="L67" s="323"/>
      <c r="P67" s="159" t="str">
        <f t="shared" ref="P67:Q67" si="71">A67</f>
        <v>Diamond</v>
      </c>
      <c r="Q67" s="159" t="str">
        <f t="shared" si="71"/>
        <v>6th</v>
      </c>
    </row>
    <row r="68" spans="1:17" x14ac:dyDescent="0.2">
      <c r="A68" s="325" t="s">
        <v>214</v>
      </c>
      <c r="B68" s="325" t="s">
        <v>201</v>
      </c>
      <c r="C68" s="326" t="str">
        <f t="shared" si="0"/>
        <v>7th Degree Diamond</v>
      </c>
      <c r="D68" s="327">
        <v>7.6</v>
      </c>
      <c r="E68" s="328">
        <v>928</v>
      </c>
      <c r="F68" s="325">
        <f t="shared" si="6"/>
        <v>46</v>
      </c>
      <c r="G68" s="326"/>
      <c r="H68" s="159" t="e">
        <f t="shared" si="1"/>
        <v>#VALUE!</v>
      </c>
      <c r="K68" s="323"/>
      <c r="L68" s="323"/>
      <c r="P68" s="159" t="str">
        <f t="shared" ref="P68:Q68" si="72">A68</f>
        <v>Diamond</v>
      </c>
      <c r="Q68" s="159" t="str">
        <f t="shared" si="72"/>
        <v>7th</v>
      </c>
    </row>
    <row r="69" spans="1:17" x14ac:dyDescent="0.2">
      <c r="A69" s="325" t="s">
        <v>214</v>
      </c>
      <c r="B69" s="325" t="s">
        <v>203</v>
      </c>
      <c r="C69" s="326" t="str">
        <f t="shared" si="0"/>
        <v>8th Degree Diamond</v>
      </c>
      <c r="D69" s="327">
        <v>7.7</v>
      </c>
      <c r="E69" s="328">
        <v>976</v>
      </c>
      <c r="F69" s="325">
        <f t="shared" si="6"/>
        <v>48</v>
      </c>
      <c r="G69" s="326"/>
      <c r="H69" s="159" t="e">
        <f t="shared" si="1"/>
        <v>#VALUE!</v>
      </c>
      <c r="K69" s="323"/>
      <c r="L69" s="323"/>
      <c r="P69" s="159" t="str">
        <f t="shared" ref="P69:Q69" si="73">A69</f>
        <v>Diamond</v>
      </c>
      <c r="Q69" s="159" t="str">
        <f t="shared" si="73"/>
        <v>8th</v>
      </c>
    </row>
    <row r="70" spans="1:17" x14ac:dyDescent="0.2">
      <c r="A70" s="325" t="s">
        <v>214</v>
      </c>
      <c r="B70" s="325" t="s">
        <v>205</v>
      </c>
      <c r="C70" s="326" t="str">
        <f t="shared" si="0"/>
        <v>9th Degree Diamond</v>
      </c>
      <c r="D70" s="327">
        <v>7.8</v>
      </c>
      <c r="E70" s="328">
        <v>1027</v>
      </c>
      <c r="F70" s="325">
        <f t="shared" si="6"/>
        <v>51</v>
      </c>
      <c r="G70" s="326"/>
      <c r="H70" s="159" t="e">
        <f t="shared" si="1"/>
        <v>#VALUE!</v>
      </c>
      <c r="K70" s="323"/>
      <c r="L70" s="323"/>
      <c r="P70" s="159" t="str">
        <f t="shared" ref="P70:Q70" si="74">A70</f>
        <v>Diamond</v>
      </c>
      <c r="Q70" s="159" t="str">
        <f t="shared" si="74"/>
        <v>9th</v>
      </c>
    </row>
    <row r="71" spans="1:17" x14ac:dyDescent="0.2">
      <c r="A71" s="325" t="s">
        <v>214</v>
      </c>
      <c r="B71" s="325" t="s">
        <v>207</v>
      </c>
      <c r="C71" s="326" t="str">
        <f t="shared" si="0"/>
        <v>10th Degree Diamond</v>
      </c>
      <c r="D71" s="327">
        <v>7.9</v>
      </c>
      <c r="E71" s="328">
        <v>1080</v>
      </c>
      <c r="F71" s="325">
        <f t="shared" si="6"/>
        <v>53</v>
      </c>
      <c r="G71" s="326"/>
      <c r="H71" s="159" t="e">
        <f t="shared" si="1"/>
        <v>#VALUE!</v>
      </c>
      <c r="K71" s="323"/>
      <c r="L71" s="323"/>
      <c r="P71" s="159" t="str">
        <f t="shared" ref="P71:Q71" si="75">A71</f>
        <v>Diamond</v>
      </c>
      <c r="Q71" s="159" t="str">
        <f t="shared" si="75"/>
        <v>10th</v>
      </c>
    </row>
    <row r="72" spans="1:17" x14ac:dyDescent="0.2">
      <c r="A72" s="325" t="s">
        <v>215</v>
      </c>
      <c r="B72" s="325" t="s">
        <v>189</v>
      </c>
      <c r="C72" s="326" t="str">
        <f t="shared" si="0"/>
        <v>1st Degree Master</v>
      </c>
      <c r="D72" s="327">
        <v>8</v>
      </c>
      <c r="E72" s="328">
        <v>1136</v>
      </c>
      <c r="F72" s="325">
        <f t="shared" si="6"/>
        <v>56</v>
      </c>
      <c r="G72" s="326"/>
      <c r="H72" s="159" t="e">
        <f t="shared" si="1"/>
        <v>#VALUE!</v>
      </c>
      <c r="K72" s="323"/>
      <c r="L72" s="323"/>
      <c r="P72" s="159" t="str">
        <f t="shared" ref="P72:Q72" si="76">A72</f>
        <v>Master</v>
      </c>
      <c r="Q72" s="159" t="str">
        <f t="shared" si="76"/>
        <v>1st</v>
      </c>
    </row>
    <row r="73" spans="1:17" x14ac:dyDescent="0.2">
      <c r="A73" s="325" t="s">
        <v>215</v>
      </c>
      <c r="B73" s="325" t="s">
        <v>191</v>
      </c>
      <c r="C73" s="326" t="str">
        <f t="shared" si="0"/>
        <v>2nd Degree Master</v>
      </c>
      <c r="D73" s="327">
        <v>8.1</v>
      </c>
      <c r="E73" s="328">
        <v>1195</v>
      </c>
      <c r="F73" s="325">
        <f t="shared" si="6"/>
        <v>59</v>
      </c>
      <c r="G73" s="326"/>
      <c r="H73" s="159" t="e">
        <f t="shared" si="1"/>
        <v>#VALUE!</v>
      </c>
      <c r="K73" s="323"/>
      <c r="L73" s="323"/>
      <c r="P73" s="159" t="str">
        <f t="shared" ref="P73:Q73" si="77">A73</f>
        <v>Master</v>
      </c>
      <c r="Q73" s="159" t="str">
        <f t="shared" si="77"/>
        <v>2nd</v>
      </c>
    </row>
    <row r="74" spans="1:17" x14ac:dyDescent="0.2">
      <c r="A74" s="325" t="s">
        <v>215</v>
      </c>
      <c r="B74" s="325" t="s">
        <v>193</v>
      </c>
      <c r="C74" s="326" t="str">
        <f t="shared" si="0"/>
        <v>3rd Degree Master</v>
      </c>
      <c r="D74" s="327">
        <v>8.1999999999999993</v>
      </c>
      <c r="E74" s="328">
        <v>1257</v>
      </c>
      <c r="F74" s="325">
        <f t="shared" si="6"/>
        <v>62</v>
      </c>
      <c r="G74" s="326"/>
      <c r="H74" s="159" t="e">
        <f t="shared" si="1"/>
        <v>#VALUE!</v>
      </c>
      <c r="K74" s="323"/>
      <c r="L74" s="323"/>
      <c r="P74" s="159" t="str">
        <f t="shared" ref="P74:Q74" si="78">A74</f>
        <v>Master</v>
      </c>
      <c r="Q74" s="159" t="str">
        <f t="shared" si="78"/>
        <v>3rd</v>
      </c>
    </row>
    <row r="75" spans="1:17" x14ac:dyDescent="0.2">
      <c r="A75" s="325" t="s">
        <v>215</v>
      </c>
      <c r="B75" s="325" t="s">
        <v>195</v>
      </c>
      <c r="C75" s="326" t="str">
        <f t="shared" si="0"/>
        <v>4th Degree Master</v>
      </c>
      <c r="D75" s="327">
        <v>8.3000000000000007</v>
      </c>
      <c r="E75" s="328">
        <v>1322</v>
      </c>
      <c r="F75" s="325">
        <f t="shared" si="6"/>
        <v>65</v>
      </c>
      <c r="G75" s="326"/>
      <c r="H75" s="159" t="e">
        <f t="shared" si="1"/>
        <v>#VALUE!</v>
      </c>
      <c r="K75" s="323"/>
      <c r="L75" s="323"/>
      <c r="P75" s="159" t="str">
        <f t="shared" ref="P75:Q75" si="79">A75</f>
        <v>Master</v>
      </c>
      <c r="Q75" s="159" t="str">
        <f t="shared" si="79"/>
        <v>4th</v>
      </c>
    </row>
    <row r="76" spans="1:17" x14ac:dyDescent="0.2">
      <c r="A76" s="325" t="s">
        <v>215</v>
      </c>
      <c r="B76" s="325" t="s">
        <v>197</v>
      </c>
      <c r="C76" s="326" t="str">
        <f t="shared" si="0"/>
        <v>5th Degree Master</v>
      </c>
      <c r="D76" s="327">
        <v>8.4</v>
      </c>
      <c r="E76" s="328">
        <v>1390</v>
      </c>
      <c r="F76" s="325">
        <f t="shared" si="6"/>
        <v>68</v>
      </c>
      <c r="G76" s="326"/>
      <c r="H76" s="159" t="e">
        <f t="shared" si="1"/>
        <v>#VALUE!</v>
      </c>
      <c r="K76" s="323"/>
      <c r="L76" s="323"/>
      <c r="P76" s="159" t="str">
        <f t="shared" ref="P76:Q76" si="80">A76</f>
        <v>Master</v>
      </c>
      <c r="Q76" s="159" t="str">
        <f t="shared" si="80"/>
        <v>5th</v>
      </c>
    </row>
    <row r="77" spans="1:17" x14ac:dyDescent="0.2">
      <c r="A77" s="325" t="s">
        <v>215</v>
      </c>
      <c r="B77" s="325" t="s">
        <v>199</v>
      </c>
      <c r="C77" s="326" t="str">
        <f t="shared" si="0"/>
        <v>6th Degree Master</v>
      </c>
      <c r="D77" s="327">
        <v>8.5</v>
      </c>
      <c r="E77" s="328">
        <v>1461</v>
      </c>
      <c r="F77" s="325">
        <f t="shared" si="6"/>
        <v>71</v>
      </c>
      <c r="G77" s="326"/>
      <c r="H77" s="159" t="e">
        <f t="shared" si="1"/>
        <v>#VALUE!</v>
      </c>
      <c r="K77" s="323"/>
      <c r="L77" s="323"/>
      <c r="P77" s="159" t="str">
        <f t="shared" ref="P77:Q77" si="81">A77</f>
        <v>Master</v>
      </c>
      <c r="Q77" s="159" t="str">
        <f t="shared" si="81"/>
        <v>6th</v>
      </c>
    </row>
    <row r="78" spans="1:17" x14ac:dyDescent="0.2">
      <c r="A78" s="325" t="s">
        <v>215</v>
      </c>
      <c r="B78" s="325" t="s">
        <v>201</v>
      </c>
      <c r="C78" s="326" t="str">
        <f t="shared" si="0"/>
        <v>7th Degree Master</v>
      </c>
      <c r="D78" s="327">
        <v>8.6</v>
      </c>
      <c r="E78" s="328">
        <v>1536</v>
      </c>
      <c r="F78" s="325">
        <f t="shared" si="6"/>
        <v>75</v>
      </c>
      <c r="G78" s="326"/>
      <c r="H78" s="159" t="e">
        <f t="shared" si="1"/>
        <v>#VALUE!</v>
      </c>
      <c r="K78" s="323"/>
      <c r="L78" s="323"/>
      <c r="P78" s="159" t="str">
        <f t="shared" ref="P78:Q78" si="82">A78</f>
        <v>Master</v>
      </c>
      <c r="Q78" s="159" t="str">
        <f t="shared" si="82"/>
        <v>7th</v>
      </c>
    </row>
    <row r="79" spans="1:17" x14ac:dyDescent="0.2">
      <c r="A79" s="325" t="s">
        <v>215</v>
      </c>
      <c r="B79" s="325" t="s">
        <v>203</v>
      </c>
      <c r="C79" s="326" t="str">
        <f t="shared" si="0"/>
        <v>8th Degree Master</v>
      </c>
      <c r="D79" s="327">
        <v>8.6999999999999993</v>
      </c>
      <c r="E79" s="328">
        <v>1615</v>
      </c>
      <c r="F79" s="325">
        <f t="shared" si="6"/>
        <v>79</v>
      </c>
      <c r="G79" s="326"/>
      <c r="H79" s="159" t="e">
        <f t="shared" si="1"/>
        <v>#VALUE!</v>
      </c>
      <c r="K79" s="323"/>
      <c r="L79" s="323"/>
      <c r="P79" s="159" t="str">
        <f t="shared" ref="P79:Q79" si="83">A79</f>
        <v>Master</v>
      </c>
      <c r="Q79" s="159" t="str">
        <f t="shared" si="83"/>
        <v>8th</v>
      </c>
    </row>
    <row r="80" spans="1:17" x14ac:dyDescent="0.2">
      <c r="A80" s="325" t="s">
        <v>215</v>
      </c>
      <c r="B80" s="325" t="s">
        <v>205</v>
      </c>
      <c r="C80" s="326" t="str">
        <f t="shared" si="0"/>
        <v>9th Degree Master</v>
      </c>
      <c r="D80" s="327">
        <v>8.8000000000000007</v>
      </c>
      <c r="E80" s="328">
        <v>1698</v>
      </c>
      <c r="F80" s="325">
        <f t="shared" si="6"/>
        <v>83</v>
      </c>
      <c r="G80" s="326"/>
      <c r="H80" s="159" t="e">
        <f t="shared" si="1"/>
        <v>#VALUE!</v>
      </c>
      <c r="K80" s="323"/>
      <c r="L80" s="323"/>
      <c r="P80" s="159" t="str">
        <f t="shared" ref="P80:Q80" si="84">A80</f>
        <v>Master</v>
      </c>
      <c r="Q80" s="159" t="str">
        <f t="shared" si="84"/>
        <v>9th</v>
      </c>
    </row>
    <row r="81" spans="1:17" x14ac:dyDescent="0.2">
      <c r="A81" s="325" t="s">
        <v>215</v>
      </c>
      <c r="B81" s="325" t="s">
        <v>207</v>
      </c>
      <c r="C81" s="326" t="str">
        <f t="shared" si="0"/>
        <v>10th Degree Master</v>
      </c>
      <c r="D81" s="327">
        <v>8.9</v>
      </c>
      <c r="E81" s="328">
        <v>1785</v>
      </c>
      <c r="F81" s="325">
        <f t="shared" si="6"/>
        <v>87</v>
      </c>
      <c r="G81" s="326"/>
      <c r="H81" s="159" t="e">
        <f t="shared" si="1"/>
        <v>#VALUE!</v>
      </c>
      <c r="K81" s="323"/>
      <c r="L81" s="323"/>
      <c r="P81" s="159" t="str">
        <f t="shared" ref="P81:Q81" si="85">A81</f>
        <v>Master</v>
      </c>
      <c r="Q81" s="159" t="str">
        <f t="shared" si="85"/>
        <v>10th</v>
      </c>
    </row>
    <row r="82" spans="1:17" x14ac:dyDescent="0.2">
      <c r="A82" s="325" t="s">
        <v>216</v>
      </c>
      <c r="B82" s="325" t="s">
        <v>189</v>
      </c>
      <c r="C82" s="326" t="str">
        <f t="shared" si="0"/>
        <v>1st Degree Grand Master</v>
      </c>
      <c r="D82" s="327">
        <v>9</v>
      </c>
      <c r="E82" s="328">
        <v>1876</v>
      </c>
      <c r="F82" s="325">
        <f t="shared" si="6"/>
        <v>91</v>
      </c>
      <c r="G82" s="326"/>
      <c r="H82" s="159" t="e">
        <f t="shared" si="1"/>
        <v>#VALUE!</v>
      </c>
      <c r="K82" s="323"/>
      <c r="L82" s="323"/>
      <c r="P82" s="159" t="str">
        <f t="shared" ref="P82:Q82" si="86">A82</f>
        <v>Grand Master</v>
      </c>
      <c r="Q82" s="159" t="str">
        <f t="shared" si="86"/>
        <v>1st</v>
      </c>
    </row>
    <row r="83" spans="1:17" x14ac:dyDescent="0.2">
      <c r="A83" s="325" t="s">
        <v>216</v>
      </c>
      <c r="B83" s="325" t="s">
        <v>191</v>
      </c>
      <c r="C83" s="326" t="str">
        <f t="shared" si="0"/>
        <v>2nd Degree Grand Master</v>
      </c>
      <c r="D83" s="327">
        <v>9.1</v>
      </c>
      <c r="E83" s="328">
        <v>1972</v>
      </c>
      <c r="F83" s="325">
        <f t="shared" si="6"/>
        <v>96</v>
      </c>
      <c r="G83" s="326"/>
      <c r="H83" s="159" t="e">
        <f t="shared" si="1"/>
        <v>#VALUE!</v>
      </c>
      <c r="K83" s="323"/>
      <c r="L83" s="323"/>
      <c r="P83" s="159" t="str">
        <f t="shared" ref="P83:Q83" si="87">A83</f>
        <v>Grand Master</v>
      </c>
      <c r="Q83" s="159" t="str">
        <f t="shared" si="87"/>
        <v>2nd</v>
      </c>
    </row>
    <row r="84" spans="1:17" x14ac:dyDescent="0.2">
      <c r="A84" s="325" t="s">
        <v>216</v>
      </c>
      <c r="B84" s="325" t="s">
        <v>193</v>
      </c>
      <c r="C84" s="326" t="str">
        <f t="shared" si="0"/>
        <v>3rd Degree Grand Master</v>
      </c>
      <c r="D84" s="327">
        <v>9.1999999999999993</v>
      </c>
      <c r="E84" s="328">
        <v>2073</v>
      </c>
      <c r="F84" s="325">
        <f t="shared" si="6"/>
        <v>101</v>
      </c>
      <c r="G84" s="326"/>
      <c r="H84" s="159" t="e">
        <f t="shared" si="1"/>
        <v>#VALUE!</v>
      </c>
      <c r="K84" s="323"/>
      <c r="L84" s="323"/>
      <c r="P84" s="159" t="str">
        <f t="shared" ref="P84:Q84" si="88">A84</f>
        <v>Grand Master</v>
      </c>
      <c r="Q84" s="159" t="str">
        <f t="shared" si="88"/>
        <v>3rd</v>
      </c>
    </row>
    <row r="85" spans="1:17" x14ac:dyDescent="0.2">
      <c r="A85" s="325" t="s">
        <v>216</v>
      </c>
      <c r="B85" s="325" t="s">
        <v>195</v>
      </c>
      <c r="C85" s="326" t="str">
        <f t="shared" si="0"/>
        <v>4th Degree Grand Master</v>
      </c>
      <c r="D85" s="327">
        <v>9.3000000000000007</v>
      </c>
      <c r="E85" s="328">
        <v>2179</v>
      </c>
      <c r="F85" s="325">
        <f t="shared" si="6"/>
        <v>106</v>
      </c>
      <c r="G85" s="326"/>
      <c r="H85" s="159" t="e">
        <f t="shared" si="1"/>
        <v>#VALUE!</v>
      </c>
      <c r="K85" s="323"/>
      <c r="L85" s="323"/>
      <c r="P85" s="159" t="str">
        <f t="shared" ref="P85:Q85" si="89">A85</f>
        <v>Grand Master</v>
      </c>
      <c r="Q85" s="159" t="str">
        <f t="shared" si="89"/>
        <v>4th</v>
      </c>
    </row>
    <row r="86" spans="1:17" x14ac:dyDescent="0.2">
      <c r="A86" s="325" t="s">
        <v>216</v>
      </c>
      <c r="B86" s="325" t="s">
        <v>197</v>
      </c>
      <c r="C86" s="326" t="str">
        <f t="shared" si="0"/>
        <v>5th Degree Grand Master</v>
      </c>
      <c r="D86" s="327">
        <v>9.4</v>
      </c>
      <c r="E86" s="328">
        <v>2290</v>
      </c>
      <c r="F86" s="325">
        <f t="shared" si="6"/>
        <v>111</v>
      </c>
      <c r="G86" s="326"/>
      <c r="H86" s="159" t="e">
        <f t="shared" si="1"/>
        <v>#VALUE!</v>
      </c>
      <c r="K86" s="323"/>
      <c r="L86" s="323"/>
      <c r="P86" s="159" t="str">
        <f t="shared" ref="P86:Q86" si="90">A86</f>
        <v>Grand Master</v>
      </c>
      <c r="Q86" s="159" t="str">
        <f t="shared" si="90"/>
        <v>5th</v>
      </c>
    </row>
    <row r="87" spans="1:17" x14ac:dyDescent="0.2">
      <c r="A87" s="325" t="s">
        <v>216</v>
      </c>
      <c r="B87" s="325" t="s">
        <v>199</v>
      </c>
      <c r="C87" s="326" t="str">
        <f t="shared" si="0"/>
        <v>6th Degree Grand Master</v>
      </c>
      <c r="D87" s="327">
        <v>9.5</v>
      </c>
      <c r="E87" s="328">
        <v>2406</v>
      </c>
      <c r="F87" s="325">
        <f t="shared" si="6"/>
        <v>116</v>
      </c>
      <c r="G87" s="326"/>
      <c r="H87" s="159" t="e">
        <f t="shared" si="1"/>
        <v>#VALUE!</v>
      </c>
      <c r="K87" s="323"/>
      <c r="L87" s="323"/>
      <c r="P87" s="159" t="str">
        <f t="shared" ref="P87:Q87" si="91">A87</f>
        <v>Grand Master</v>
      </c>
      <c r="Q87" s="159" t="str">
        <f t="shared" si="91"/>
        <v>6th</v>
      </c>
    </row>
    <row r="88" spans="1:17" x14ac:dyDescent="0.2">
      <c r="A88" s="325" t="s">
        <v>216</v>
      </c>
      <c r="B88" s="325" t="s">
        <v>201</v>
      </c>
      <c r="C88" s="326" t="str">
        <f t="shared" si="0"/>
        <v>7th Degree Grand Master</v>
      </c>
      <c r="D88" s="327">
        <v>9.6</v>
      </c>
      <c r="E88" s="328">
        <v>2528</v>
      </c>
      <c r="F88" s="325">
        <f t="shared" si="6"/>
        <v>122</v>
      </c>
      <c r="G88" s="326"/>
      <c r="H88" s="159" t="e">
        <f t="shared" si="1"/>
        <v>#VALUE!</v>
      </c>
      <c r="K88" s="323"/>
      <c r="L88" s="323"/>
      <c r="P88" s="159" t="str">
        <f t="shared" ref="P88:Q88" si="92">A88</f>
        <v>Grand Master</v>
      </c>
      <c r="Q88" s="159" t="str">
        <f t="shared" si="92"/>
        <v>7th</v>
      </c>
    </row>
    <row r="89" spans="1:17" x14ac:dyDescent="0.2">
      <c r="A89" s="325" t="s">
        <v>216</v>
      </c>
      <c r="B89" s="325" t="s">
        <v>203</v>
      </c>
      <c r="C89" s="326" t="str">
        <f t="shared" si="0"/>
        <v>8th Degree Grand Master</v>
      </c>
      <c r="D89" s="327">
        <v>9.6999999999999993</v>
      </c>
      <c r="E89" s="328">
        <v>2656</v>
      </c>
      <c r="F89" s="325">
        <f t="shared" si="6"/>
        <v>128</v>
      </c>
      <c r="G89" s="326"/>
      <c r="H89" s="159" t="e">
        <f t="shared" si="1"/>
        <v>#VALUE!</v>
      </c>
      <c r="K89" s="323"/>
      <c r="L89" s="323"/>
      <c r="P89" s="159" t="str">
        <f t="shared" ref="P89:Q89" si="93">A89</f>
        <v>Grand Master</v>
      </c>
      <c r="Q89" s="159" t="str">
        <f t="shared" si="93"/>
        <v>8th</v>
      </c>
    </row>
    <row r="90" spans="1:17" x14ac:dyDescent="0.2">
      <c r="A90" s="325" t="s">
        <v>216</v>
      </c>
      <c r="B90" s="325" t="s">
        <v>205</v>
      </c>
      <c r="C90" s="326" t="str">
        <f t="shared" si="0"/>
        <v>9th Degree Grand Master</v>
      </c>
      <c r="D90" s="327">
        <v>9.8000000000000007</v>
      </c>
      <c r="E90" s="328">
        <v>2791</v>
      </c>
      <c r="F90" s="325">
        <f t="shared" si="6"/>
        <v>135</v>
      </c>
      <c r="G90" s="326"/>
      <c r="H90" s="159" t="e">
        <f t="shared" si="1"/>
        <v>#VALUE!</v>
      </c>
      <c r="K90" s="323"/>
      <c r="L90" s="323"/>
      <c r="P90" s="159" t="str">
        <f t="shared" ref="P90:Q90" si="94">A90</f>
        <v>Grand Master</v>
      </c>
      <c r="Q90" s="159" t="str">
        <f t="shared" si="94"/>
        <v>9th</v>
      </c>
    </row>
    <row r="91" spans="1:17" x14ac:dyDescent="0.2">
      <c r="A91" s="325" t="s">
        <v>216</v>
      </c>
      <c r="B91" s="325" t="s">
        <v>207</v>
      </c>
      <c r="C91" s="326" t="str">
        <f t="shared" si="0"/>
        <v>10th Degree Grand Master</v>
      </c>
      <c r="D91" s="327">
        <v>9.9</v>
      </c>
      <c r="E91" s="328">
        <v>2933</v>
      </c>
      <c r="F91" s="325">
        <f t="shared" si="6"/>
        <v>142</v>
      </c>
      <c r="G91" s="326" t="s">
        <v>217</v>
      </c>
      <c r="H91" s="159" t="e">
        <f t="shared" si="1"/>
        <v>#VALUE!</v>
      </c>
      <c r="K91" s="323"/>
      <c r="L91" s="323"/>
      <c r="P91" s="159" t="str">
        <f t="shared" ref="P91:Q91" si="95">A91</f>
        <v>Grand Master</v>
      </c>
      <c r="Q91" s="159" t="str">
        <f t="shared" si="95"/>
        <v>10th</v>
      </c>
    </row>
    <row r="92" spans="1:17" x14ac:dyDescent="0.2">
      <c r="A92" s="325" t="s">
        <v>218</v>
      </c>
      <c r="B92" s="325" t="s">
        <v>189</v>
      </c>
      <c r="C92" s="326" t="str">
        <f t="shared" si="0"/>
        <v>1st Degree Legend</v>
      </c>
      <c r="D92" s="327">
        <v>10</v>
      </c>
      <c r="E92" s="328">
        <v>3230</v>
      </c>
      <c r="F92" s="325">
        <f t="shared" si="6"/>
        <v>297</v>
      </c>
      <c r="G92" s="326"/>
      <c r="H92" s="159" t="e">
        <f t="shared" si="1"/>
        <v>#VALUE!</v>
      </c>
      <c r="K92" s="323"/>
      <c r="L92" s="323"/>
      <c r="P92" s="159" t="str">
        <f t="shared" ref="P92:Q92" si="96">A92</f>
        <v>Legend</v>
      </c>
      <c r="Q92" s="159" t="str">
        <f t="shared" si="96"/>
        <v>1st</v>
      </c>
    </row>
    <row r="93" spans="1:17" x14ac:dyDescent="0.2">
      <c r="A93" s="325" t="s">
        <v>218</v>
      </c>
      <c r="B93" s="325" t="s">
        <v>191</v>
      </c>
      <c r="C93" s="326" t="str">
        <f t="shared" si="0"/>
        <v>2nd Degree Legend</v>
      </c>
      <c r="D93" s="327">
        <v>10.1</v>
      </c>
      <c r="E93" s="328">
        <v>3556</v>
      </c>
      <c r="F93" s="325">
        <f t="shared" si="6"/>
        <v>326</v>
      </c>
      <c r="G93" s="326"/>
      <c r="H93" s="159" t="e">
        <f t="shared" si="1"/>
        <v>#VALUE!</v>
      </c>
      <c r="K93" s="323"/>
      <c r="L93" s="323"/>
      <c r="P93" s="159" t="str">
        <f t="shared" ref="P93:Q93" si="97">A93</f>
        <v>Legend</v>
      </c>
      <c r="Q93" s="159" t="str">
        <f t="shared" si="97"/>
        <v>2nd</v>
      </c>
    </row>
    <row r="94" spans="1:17" x14ac:dyDescent="0.2">
      <c r="A94" s="325" t="s">
        <v>218</v>
      </c>
      <c r="B94" s="325" t="s">
        <v>193</v>
      </c>
      <c r="C94" s="326" t="str">
        <f t="shared" si="0"/>
        <v>3rd Degree Legend</v>
      </c>
      <c r="D94" s="327">
        <v>10.199999999999999</v>
      </c>
      <c r="E94" s="328">
        <v>3915</v>
      </c>
      <c r="F94" s="325">
        <f t="shared" si="6"/>
        <v>359</v>
      </c>
      <c r="G94" s="326"/>
      <c r="H94" s="159" t="e">
        <f t="shared" si="1"/>
        <v>#VALUE!</v>
      </c>
      <c r="K94" s="323"/>
      <c r="L94" s="323"/>
      <c r="P94" s="159" t="str">
        <f t="shared" ref="P94:Q94" si="98">A94</f>
        <v>Legend</v>
      </c>
      <c r="Q94" s="159" t="str">
        <f t="shared" si="98"/>
        <v>3rd</v>
      </c>
    </row>
    <row r="95" spans="1:17" x14ac:dyDescent="0.2">
      <c r="A95" s="325" t="s">
        <v>218</v>
      </c>
      <c r="B95" s="325" t="s">
        <v>195</v>
      </c>
      <c r="C95" s="326" t="str">
        <f t="shared" si="0"/>
        <v>4th Degree Legend</v>
      </c>
      <c r="D95" s="327">
        <v>10.3</v>
      </c>
      <c r="E95" s="328">
        <v>4310</v>
      </c>
      <c r="F95" s="325">
        <f t="shared" si="6"/>
        <v>395</v>
      </c>
      <c r="G95" s="326"/>
      <c r="H95" s="159" t="e">
        <f t="shared" si="1"/>
        <v>#VALUE!</v>
      </c>
      <c r="K95" s="323"/>
      <c r="L95" s="323"/>
      <c r="P95" s="159" t="str">
        <f t="shared" ref="P95:Q95" si="99">A95</f>
        <v>Legend</v>
      </c>
      <c r="Q95" s="159" t="str">
        <f t="shared" si="99"/>
        <v>4th</v>
      </c>
    </row>
    <row r="96" spans="1:17" x14ac:dyDescent="0.2">
      <c r="A96" s="325" t="s">
        <v>218</v>
      </c>
      <c r="B96" s="325" t="s">
        <v>197</v>
      </c>
      <c r="C96" s="326" t="str">
        <f t="shared" si="0"/>
        <v>5th Degree Legend</v>
      </c>
      <c r="D96" s="327">
        <v>10.4</v>
      </c>
      <c r="E96" s="328">
        <v>4744</v>
      </c>
      <c r="F96" s="325">
        <f t="shared" si="6"/>
        <v>434</v>
      </c>
      <c r="G96" s="326"/>
      <c r="H96" s="159" t="e">
        <f t="shared" si="1"/>
        <v>#VALUE!</v>
      </c>
      <c r="K96" s="323"/>
      <c r="L96" s="323"/>
      <c r="P96" s="159" t="str">
        <f t="shared" ref="P96:Q96" si="100">A96</f>
        <v>Legend</v>
      </c>
      <c r="Q96" s="159" t="str">
        <f t="shared" si="100"/>
        <v>5th</v>
      </c>
    </row>
    <row r="97" spans="1:17" x14ac:dyDescent="0.2">
      <c r="A97" s="325" t="s">
        <v>218</v>
      </c>
      <c r="B97" s="325" t="s">
        <v>199</v>
      </c>
      <c r="C97" s="326" t="str">
        <f t="shared" si="0"/>
        <v>6th Degree Legend</v>
      </c>
      <c r="D97" s="327">
        <v>10.5</v>
      </c>
      <c r="E97" s="328">
        <v>5222</v>
      </c>
      <c r="F97" s="325">
        <f t="shared" si="6"/>
        <v>478</v>
      </c>
      <c r="G97" s="326"/>
      <c r="H97" s="159" t="e">
        <f t="shared" si="1"/>
        <v>#VALUE!</v>
      </c>
      <c r="K97" s="323"/>
      <c r="L97" s="323"/>
      <c r="P97" s="159" t="str">
        <f t="shared" ref="P97:Q97" si="101">A97</f>
        <v>Legend</v>
      </c>
      <c r="Q97" s="159" t="str">
        <f t="shared" si="101"/>
        <v>6th</v>
      </c>
    </row>
    <row r="98" spans="1:17" x14ac:dyDescent="0.2">
      <c r="A98" s="325" t="s">
        <v>218</v>
      </c>
      <c r="B98" s="325" t="s">
        <v>201</v>
      </c>
      <c r="C98" s="326" t="str">
        <f t="shared" si="0"/>
        <v>7th Degree Legend</v>
      </c>
      <c r="D98" s="327">
        <v>10.6</v>
      </c>
      <c r="E98" s="328">
        <v>5748</v>
      </c>
      <c r="F98" s="325">
        <f t="shared" si="6"/>
        <v>526</v>
      </c>
      <c r="G98" s="326"/>
      <c r="H98" s="159" t="e">
        <f t="shared" si="1"/>
        <v>#VALUE!</v>
      </c>
      <c r="K98" s="323"/>
      <c r="L98" s="323"/>
      <c r="P98" s="159" t="str">
        <f t="shared" ref="P98:Q98" si="102">A98</f>
        <v>Legend</v>
      </c>
      <c r="Q98" s="159" t="str">
        <f t="shared" si="102"/>
        <v>7th</v>
      </c>
    </row>
    <row r="99" spans="1:17" x14ac:dyDescent="0.2">
      <c r="A99" s="325" t="s">
        <v>218</v>
      </c>
      <c r="B99" s="325" t="s">
        <v>203</v>
      </c>
      <c r="C99" s="326" t="str">
        <f t="shared" si="0"/>
        <v>8th Degree Legend</v>
      </c>
      <c r="D99" s="327">
        <v>10.7</v>
      </c>
      <c r="E99" s="328">
        <v>6326</v>
      </c>
      <c r="F99" s="325">
        <f t="shared" si="6"/>
        <v>578</v>
      </c>
      <c r="G99" s="326"/>
      <c r="H99" s="159" t="e">
        <f t="shared" si="1"/>
        <v>#VALUE!</v>
      </c>
      <c r="K99" s="323"/>
      <c r="L99" s="323"/>
      <c r="P99" s="159" t="str">
        <f t="shared" ref="P99:Q99" si="103">A99</f>
        <v>Legend</v>
      </c>
      <c r="Q99" s="159" t="str">
        <f t="shared" si="103"/>
        <v>8th</v>
      </c>
    </row>
    <row r="100" spans="1:17" x14ac:dyDescent="0.2">
      <c r="A100" s="325" t="s">
        <v>218</v>
      </c>
      <c r="B100" s="325" t="s">
        <v>205</v>
      </c>
      <c r="C100" s="326" t="str">
        <f t="shared" si="0"/>
        <v>9th Degree Legend</v>
      </c>
      <c r="D100" s="327">
        <v>10.8</v>
      </c>
      <c r="E100" s="328">
        <v>6962</v>
      </c>
      <c r="F100" s="325">
        <f t="shared" si="6"/>
        <v>636</v>
      </c>
      <c r="G100" s="326"/>
      <c r="H100" s="159" t="e">
        <f t="shared" si="1"/>
        <v>#VALUE!</v>
      </c>
      <c r="K100" s="323"/>
      <c r="L100" s="323"/>
      <c r="P100" s="159" t="str">
        <f t="shared" ref="P100:Q100" si="104">A100</f>
        <v>Legend</v>
      </c>
      <c r="Q100" s="159" t="str">
        <f t="shared" si="104"/>
        <v>9th</v>
      </c>
    </row>
    <row r="101" spans="1:17" x14ac:dyDescent="0.2">
      <c r="A101" s="325" t="s">
        <v>218</v>
      </c>
      <c r="B101" s="325" t="s">
        <v>207</v>
      </c>
      <c r="C101" s="326" t="str">
        <f t="shared" si="0"/>
        <v>10th Degree Legend</v>
      </c>
      <c r="D101" s="327">
        <v>10.9</v>
      </c>
      <c r="E101" s="328">
        <v>7662</v>
      </c>
      <c r="F101" s="325">
        <f t="shared" si="6"/>
        <v>700</v>
      </c>
      <c r="G101" s="326"/>
      <c r="H101" s="159" t="e">
        <f t="shared" si="1"/>
        <v>#VALUE!</v>
      </c>
      <c r="K101" s="323"/>
      <c r="L101" s="323"/>
      <c r="P101" s="159" t="str">
        <f t="shared" ref="P101:Q101" si="105">A101</f>
        <v>Legend</v>
      </c>
      <c r="Q101" s="159" t="str">
        <f t="shared" si="105"/>
        <v>10th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M8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2" width="13.5703125" customWidth="1"/>
    <col min="3" max="3" width="20.28515625" customWidth="1"/>
    <col min="4" max="4" width="17.42578125" customWidth="1"/>
    <col min="5" max="5" width="23.7109375" customWidth="1"/>
    <col min="6" max="6" width="16.5703125" customWidth="1"/>
    <col min="7" max="7" width="17.7109375" customWidth="1"/>
    <col min="8" max="8" width="16.28515625" customWidth="1"/>
    <col min="9" max="9" width="19.5703125" customWidth="1"/>
    <col min="10" max="10" width="25.7109375" customWidth="1"/>
    <col min="11" max="11" width="23.28515625" customWidth="1"/>
    <col min="12" max="12" width="23.140625" customWidth="1"/>
    <col min="13" max="13" width="29.42578125" customWidth="1"/>
    <col min="14" max="14" width="19.7109375" customWidth="1"/>
    <col min="15" max="15" width="26.28515625" customWidth="1"/>
    <col min="16" max="16" width="16.5703125" customWidth="1"/>
    <col min="17" max="17" width="23" customWidth="1"/>
    <col min="18" max="18" width="24.28515625" customWidth="1"/>
    <col min="19" max="19" width="30.85546875" customWidth="1"/>
    <col min="20" max="20" width="20.5703125" customWidth="1"/>
    <col min="21" max="21" width="20" customWidth="1"/>
    <col min="22" max="22" width="15.7109375" customWidth="1"/>
    <col min="23" max="23" width="22.140625" customWidth="1"/>
    <col min="24" max="24" width="23.42578125" customWidth="1"/>
    <col min="25" max="25" width="29.7109375" customWidth="1"/>
    <col min="26" max="26" width="19.7109375" customWidth="1"/>
    <col min="27" max="27" width="26.140625" customWidth="1"/>
    <col min="28" max="28" width="19.85546875" customWidth="1"/>
    <col min="29" max="29" width="21.42578125" customWidth="1"/>
    <col min="30" max="30" width="22.7109375" customWidth="1"/>
    <col min="31" max="31" width="15.85546875" customWidth="1"/>
    <col min="32" max="32" width="11.140625" customWidth="1"/>
    <col min="33" max="33" width="16.7109375" customWidth="1"/>
    <col min="34" max="34" width="9.42578125" customWidth="1"/>
    <col min="35" max="35" width="15.85546875" customWidth="1"/>
    <col min="36" max="36" width="11.7109375" customWidth="1"/>
    <col min="37" max="37" width="18.140625" customWidth="1"/>
    <col min="38" max="38" width="15.7109375" customWidth="1"/>
    <col min="39" max="39" width="22.28515625" customWidth="1"/>
  </cols>
  <sheetData>
    <row r="1" spans="1:39" ht="12.75" x14ac:dyDescent="0.2">
      <c r="A1" s="82">
        <v>1</v>
      </c>
      <c r="B1" s="151">
        <v>2</v>
      </c>
      <c r="C1" s="151">
        <v>3</v>
      </c>
      <c r="D1" s="151">
        <v>4</v>
      </c>
      <c r="E1" s="151">
        <v>5</v>
      </c>
      <c r="F1" s="151">
        <v>6</v>
      </c>
      <c r="G1" s="151">
        <v>7</v>
      </c>
      <c r="H1" s="151">
        <v>8</v>
      </c>
      <c r="I1" s="151">
        <v>9</v>
      </c>
      <c r="J1" s="151">
        <v>10</v>
      </c>
      <c r="K1" s="151">
        <v>11</v>
      </c>
      <c r="L1" s="151">
        <v>12</v>
      </c>
      <c r="M1" s="151">
        <v>13</v>
      </c>
      <c r="N1" s="151">
        <v>14</v>
      </c>
      <c r="O1" s="151">
        <v>15</v>
      </c>
      <c r="P1" s="151">
        <v>16</v>
      </c>
      <c r="Q1" s="151">
        <v>17</v>
      </c>
      <c r="R1" s="151">
        <v>18</v>
      </c>
      <c r="S1" s="151">
        <v>19</v>
      </c>
      <c r="T1" s="151">
        <v>20</v>
      </c>
      <c r="U1" s="151">
        <v>21</v>
      </c>
      <c r="V1" s="151">
        <v>22</v>
      </c>
      <c r="W1" s="151">
        <v>23</v>
      </c>
      <c r="X1" s="151">
        <v>24</v>
      </c>
      <c r="Y1" s="151">
        <v>25</v>
      </c>
      <c r="Z1" s="151">
        <v>26</v>
      </c>
      <c r="AA1" s="151">
        <v>27</v>
      </c>
      <c r="AB1" s="151">
        <v>28</v>
      </c>
      <c r="AC1" s="151">
        <v>29</v>
      </c>
      <c r="AD1" s="151">
        <v>30</v>
      </c>
      <c r="AE1" s="151">
        <v>31</v>
      </c>
      <c r="AF1" s="151">
        <v>32</v>
      </c>
      <c r="AG1" s="151">
        <v>33</v>
      </c>
      <c r="AH1" s="151">
        <v>34</v>
      </c>
      <c r="AI1" s="151">
        <v>35</v>
      </c>
      <c r="AJ1" s="151">
        <v>36</v>
      </c>
      <c r="AK1" s="151">
        <v>37</v>
      </c>
      <c r="AL1" s="151">
        <v>38</v>
      </c>
      <c r="AM1" s="68">
        <v>39</v>
      </c>
    </row>
    <row r="2" spans="1:39" ht="12.75" x14ac:dyDescent="0.2">
      <c r="A2" s="590" t="s">
        <v>219</v>
      </c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  <c r="Q2" s="575"/>
      <c r="R2" s="331"/>
      <c r="S2" s="627" t="s">
        <v>220</v>
      </c>
      <c r="T2" s="566"/>
      <c r="U2" s="332" t="s">
        <v>221</v>
      </c>
      <c r="V2" s="333"/>
      <c r="W2" s="333"/>
      <c r="X2" s="333"/>
      <c r="Y2" s="333"/>
      <c r="Z2" s="333"/>
      <c r="AA2" s="149"/>
      <c r="AB2" s="149"/>
      <c r="AC2" s="149"/>
      <c r="AD2" s="149"/>
      <c r="AE2" s="35"/>
      <c r="AF2" s="35"/>
      <c r="AG2" s="35"/>
      <c r="AH2" s="35"/>
      <c r="AI2" s="35"/>
      <c r="AJ2" s="35"/>
      <c r="AK2" s="35"/>
      <c r="AL2" s="35"/>
      <c r="AM2" s="149"/>
    </row>
    <row r="3" spans="1:39" ht="12.75" x14ac:dyDescent="0.2">
      <c r="A3" s="334" t="s">
        <v>109</v>
      </c>
      <c r="B3" s="335" t="s">
        <v>222</v>
      </c>
      <c r="C3" s="336" t="s">
        <v>223</v>
      </c>
      <c r="D3" s="336" t="s">
        <v>224</v>
      </c>
      <c r="E3" s="336" t="s">
        <v>225</v>
      </c>
      <c r="F3" s="336" t="s">
        <v>226</v>
      </c>
      <c r="G3" s="336" t="s">
        <v>227</v>
      </c>
      <c r="H3" s="336" t="s">
        <v>228</v>
      </c>
      <c r="I3" s="336" t="s">
        <v>229</v>
      </c>
      <c r="J3" s="336" t="s">
        <v>230</v>
      </c>
      <c r="K3" s="337" t="s">
        <v>231</v>
      </c>
      <c r="L3" s="336" t="s">
        <v>232</v>
      </c>
      <c r="M3" s="338" t="s">
        <v>233</v>
      </c>
      <c r="N3" s="279" t="s">
        <v>234</v>
      </c>
      <c r="O3" s="336" t="s">
        <v>235</v>
      </c>
      <c r="P3" s="336" t="s">
        <v>236</v>
      </c>
      <c r="Q3" s="339" t="s">
        <v>237</v>
      </c>
      <c r="R3" s="340"/>
      <c r="S3" s="341" t="s">
        <v>74</v>
      </c>
      <c r="T3" s="342" t="s">
        <v>238</v>
      </c>
      <c r="U3" s="343" t="s">
        <v>74</v>
      </c>
      <c r="V3" s="35"/>
      <c r="W3" s="35"/>
      <c r="X3" s="35"/>
      <c r="Y3" s="35"/>
      <c r="Z3" s="35"/>
      <c r="AA3" s="35"/>
      <c r="AB3" s="35"/>
      <c r="AC3" s="35"/>
      <c r="AD3" s="149"/>
      <c r="AE3" s="149"/>
      <c r="AF3" s="149"/>
      <c r="AG3" s="149"/>
      <c r="AH3" s="149"/>
      <c r="AI3" s="149"/>
      <c r="AJ3" s="149"/>
      <c r="AK3" s="149"/>
      <c r="AL3" s="149"/>
      <c r="AM3" s="149"/>
    </row>
    <row r="4" spans="1:39" ht="12.75" x14ac:dyDescent="0.2">
      <c r="A4" s="202" t="str">
        <f>Input!$A$3</f>
        <v>Will</v>
      </c>
      <c r="B4" s="344">
        <f>IF(Input!H3="","",VLOOKUP(Input!H3,'Defense Simulations'!$C$3:$W$13,3,FALSE))</f>
        <v>0.4</v>
      </c>
      <c r="C4" s="345">
        <f>IF(Input!H3="","",VLOOKUP(Input!H3,'Defense Simulations'!$C$3:$W$13,4,FALSE))</f>
        <v>0.55000000000000004</v>
      </c>
      <c r="D4" s="345">
        <f>IF(Input!H3="","",VLOOKUP(Input!H3,'Defense Simulations'!$C$3:$W$13,5,FALSE))</f>
        <v>0.4</v>
      </c>
      <c r="E4" s="345">
        <f>IF(Input!I3="","",VLOOKUP(Input!I3,'Defense Simulations'!$C$3:$W$13,11,FALSE))</f>
        <v>0.3</v>
      </c>
      <c r="F4" s="345">
        <f>IF(Input!I3="","",VLOOKUP(Input!I3,'Defense Simulations'!$C$3:$W$13,12,FALSE))</f>
        <v>0.8</v>
      </c>
      <c r="G4" s="345">
        <f>IF(Input!I3="","",VLOOKUP(Input!I3,'Defense Simulations'!$C$3:$W$13,13,FALSE))</f>
        <v>0.1</v>
      </c>
      <c r="H4" s="345">
        <f>IF(Input!J3="","",VLOOKUP(Input!J3,'Defense Simulations'!$C$3:$W$13,19,FALSE))</f>
        <v>0.1</v>
      </c>
      <c r="I4" s="345">
        <f>IF(Input!J3="","",VLOOKUP(Input!J3,'Defense Simulations'!$C$3:$W$13,20,FALSE))</f>
        <v>0.9</v>
      </c>
      <c r="J4" s="345">
        <f>IF(Input!J3="","",VLOOKUP(Input!J3,'Defense Simulations'!$C$3:$W$13,21,FALSE))</f>
        <v>0</v>
      </c>
      <c r="K4" s="346">
        <v>1</v>
      </c>
      <c r="L4" s="346">
        <v>0.3</v>
      </c>
      <c r="M4" s="347">
        <v>0</v>
      </c>
      <c r="N4" s="348">
        <v>0</v>
      </c>
      <c r="O4" s="346">
        <v>0.25</v>
      </c>
      <c r="P4" s="346">
        <v>0.25</v>
      </c>
      <c r="Q4" s="346">
        <v>0.25</v>
      </c>
      <c r="R4" s="48"/>
      <c r="S4" s="341" t="s">
        <v>11</v>
      </c>
      <c r="T4" s="349">
        <v>1</v>
      </c>
      <c r="U4" s="154" t="s">
        <v>18</v>
      </c>
      <c r="V4" s="35"/>
      <c r="W4" s="35"/>
      <c r="X4" s="35"/>
      <c r="Y4" s="35"/>
      <c r="Z4" s="35"/>
      <c r="AA4" s="35"/>
      <c r="AB4" s="35"/>
      <c r="AC4" s="35"/>
      <c r="AD4" s="149"/>
      <c r="AE4" s="149"/>
      <c r="AF4" s="149"/>
      <c r="AG4" s="149"/>
      <c r="AH4" s="149"/>
      <c r="AI4" s="149"/>
      <c r="AJ4" s="149"/>
      <c r="AK4" s="149"/>
      <c r="AL4" s="149"/>
      <c r="AM4" s="149"/>
    </row>
    <row r="5" spans="1:39" ht="12.75" x14ac:dyDescent="0.2">
      <c r="A5" s="202" t="str">
        <f>Input!$A$4</f>
        <v>Carter</v>
      </c>
      <c r="B5" s="344">
        <f>IF(Input!H4="","",VLOOKUP(Input!H4,'Defense Simulations'!$C$3:$W$13,3,FALSE))</f>
        <v>0.4</v>
      </c>
      <c r="C5" s="345">
        <f>IF(Input!H4="","",VLOOKUP(Input!H4,'Defense Simulations'!$C$3:$W$13,4,FALSE))</f>
        <v>0.55000000000000004</v>
      </c>
      <c r="D5" s="345">
        <f>IF(Input!H4="","",VLOOKUP(Input!H4,'Defense Simulations'!$C$3:$W$13,5,FALSE))</f>
        <v>0.4</v>
      </c>
      <c r="E5" s="345">
        <f>IF(Input!I4="","",VLOOKUP(Input!I4,'Defense Simulations'!$C$3:$W$13,11,FALSE))</f>
        <v>0.3</v>
      </c>
      <c r="F5" s="345">
        <f>IF(Input!I4="","",VLOOKUP(Input!I4,'Defense Simulations'!$C$3:$W$13,12,FALSE))</f>
        <v>0.8</v>
      </c>
      <c r="G5" s="345">
        <f>IF(Input!I4="","",VLOOKUP(Input!I4,'Defense Simulations'!$C$3:$W$13,13,FALSE))</f>
        <v>0.1</v>
      </c>
      <c r="H5" s="345">
        <f>IF(Input!J4="","",VLOOKUP(Input!J4,'Defense Simulations'!$C$3:$W$13,19,FALSE))</f>
        <v>0.1</v>
      </c>
      <c r="I5" s="345">
        <f>IF(Input!J4="","",VLOOKUP(Input!J4,'Defense Simulations'!$C$3:$W$13,20,FALSE))</f>
        <v>0.9</v>
      </c>
      <c r="J5" s="345">
        <f>IF(Input!J4="","",VLOOKUP(Input!J4,'Defense Simulations'!$C$3:$W$13,21,FALSE))</f>
        <v>0</v>
      </c>
      <c r="K5" s="346">
        <v>1</v>
      </c>
      <c r="L5" s="346">
        <v>0.3</v>
      </c>
      <c r="M5" s="347">
        <v>0</v>
      </c>
      <c r="N5" s="348">
        <v>0</v>
      </c>
      <c r="O5" s="346">
        <v>0.25</v>
      </c>
      <c r="P5" s="346">
        <v>0.25</v>
      </c>
      <c r="Q5" s="346">
        <v>0.25</v>
      </c>
      <c r="R5" s="48"/>
      <c r="S5" s="350" t="s">
        <v>239</v>
      </c>
      <c r="T5" s="351">
        <v>2</v>
      </c>
      <c r="U5" s="160" t="s">
        <v>20</v>
      </c>
      <c r="V5" s="35"/>
      <c r="W5" s="35"/>
      <c r="X5" s="35"/>
      <c r="Y5" s="35"/>
      <c r="Z5" s="35"/>
      <c r="AA5" s="35"/>
      <c r="AB5" s="35"/>
      <c r="AC5" s="35"/>
      <c r="AD5" s="149"/>
      <c r="AE5" s="149"/>
      <c r="AF5" s="149"/>
      <c r="AG5" s="149"/>
      <c r="AH5" s="149"/>
      <c r="AI5" s="149"/>
      <c r="AJ5" s="149"/>
      <c r="AK5" s="149"/>
      <c r="AL5" s="149"/>
      <c r="AM5" s="149"/>
    </row>
    <row r="6" spans="1:39" ht="12.75" x14ac:dyDescent="0.2">
      <c r="A6" s="202" t="str">
        <f>Input!$A$5</f>
        <v>Joe</v>
      </c>
      <c r="B6" s="344">
        <f>IF(Input!H5="","",VLOOKUP(Input!H5,'Defense Simulations'!$C$3:$W$13,3,FALSE))</f>
        <v>0.4</v>
      </c>
      <c r="C6" s="345">
        <f>IF(Input!H5="","",VLOOKUP(Input!H5,'Defense Simulations'!$C$3:$W$13,4,FALSE))</f>
        <v>0.55000000000000004</v>
      </c>
      <c r="D6" s="345">
        <f>IF(Input!H5="","",VLOOKUP(Input!H5,'Defense Simulations'!$C$3:$W$13,5,FALSE))</f>
        <v>0.4</v>
      </c>
      <c r="E6" s="345">
        <f>IF(Input!I5="","",VLOOKUP(Input!I5,'Defense Simulations'!$C$3:$W$13,11,FALSE))</f>
        <v>0.3</v>
      </c>
      <c r="F6" s="345">
        <f>IF(Input!I5="","",VLOOKUP(Input!I5,'Defense Simulations'!$C$3:$W$13,12,FALSE))</f>
        <v>0.8</v>
      </c>
      <c r="G6" s="345">
        <f>IF(Input!I5="","",VLOOKUP(Input!I5,'Defense Simulations'!$C$3:$W$13,13,FALSE))</f>
        <v>0.1</v>
      </c>
      <c r="H6" s="345">
        <f>IF(Input!J5="","",VLOOKUP(Input!J5,'Defense Simulations'!$C$3:$W$13,19,FALSE))</f>
        <v>0.1</v>
      </c>
      <c r="I6" s="345">
        <f>IF(Input!J5="","",VLOOKUP(Input!J5,'Defense Simulations'!$C$3:$W$13,20,FALSE))</f>
        <v>0.9</v>
      </c>
      <c r="J6" s="345">
        <f>IF(Input!J5="","",VLOOKUP(Input!J5,'Defense Simulations'!$C$3:$W$13,21,FALSE))</f>
        <v>0</v>
      </c>
      <c r="K6" s="346">
        <v>1</v>
      </c>
      <c r="L6" s="346">
        <v>0.3</v>
      </c>
      <c r="M6" s="347">
        <v>0</v>
      </c>
      <c r="N6" s="348">
        <v>0</v>
      </c>
      <c r="O6" s="346">
        <v>0.25</v>
      </c>
      <c r="P6" s="346">
        <v>0.25</v>
      </c>
      <c r="Q6" s="346">
        <v>0.25</v>
      </c>
      <c r="R6" s="48"/>
      <c r="S6" s="350" t="s">
        <v>15</v>
      </c>
      <c r="T6" s="351">
        <v>3</v>
      </c>
      <c r="U6" s="160" t="s">
        <v>22</v>
      </c>
      <c r="V6" s="35"/>
      <c r="W6" s="35"/>
      <c r="X6" s="35"/>
      <c r="Y6" s="35"/>
      <c r="Z6" s="35"/>
      <c r="AA6" s="35"/>
      <c r="AB6" s="35"/>
      <c r="AC6" s="35"/>
      <c r="AD6" s="149"/>
      <c r="AE6" s="149"/>
      <c r="AF6" s="149"/>
      <c r="AG6" s="149"/>
      <c r="AH6" s="149"/>
      <c r="AI6" s="149"/>
      <c r="AJ6" s="149"/>
      <c r="AK6" s="149"/>
      <c r="AL6" s="149"/>
      <c r="AM6" s="149"/>
    </row>
    <row r="7" spans="1:39" ht="12.75" x14ac:dyDescent="0.2">
      <c r="A7" s="352" t="str">
        <f>Input!$A$6</f>
        <v>Jake</v>
      </c>
      <c r="B7" s="344">
        <f>IF(Input!H6="","",VLOOKUP(Input!H6,'Defense Simulations'!$C$3:$W$13,3,FALSE))</f>
        <v>0.4</v>
      </c>
      <c r="C7" s="345">
        <f>IF(Input!H6="","",VLOOKUP(Input!H6,'Defense Simulations'!$C$3:$W$13,4,FALSE))</f>
        <v>0.55000000000000004</v>
      </c>
      <c r="D7" s="345">
        <f>IF(Input!H6="","",VLOOKUP(Input!H6,'Defense Simulations'!$C$3:$W$13,5,FALSE))</f>
        <v>0.4</v>
      </c>
      <c r="E7" s="345">
        <f>IF(Input!I6="","",VLOOKUP(Input!I6,'Defense Simulations'!$C$3:$W$13,11,FALSE))</f>
        <v>0.3</v>
      </c>
      <c r="F7" s="345">
        <f>IF(Input!I6="","",VLOOKUP(Input!I6,'Defense Simulations'!$C$3:$W$13,12,FALSE))</f>
        <v>0.8</v>
      </c>
      <c r="G7" s="345">
        <f>IF(Input!I6="","",VLOOKUP(Input!I6,'Defense Simulations'!$C$3:$W$13,13,FALSE))</f>
        <v>0.1</v>
      </c>
      <c r="H7" s="345">
        <f>IF(Input!J6="","",VLOOKUP(Input!J6,'Defense Simulations'!$C$3:$W$13,19,FALSE))</f>
        <v>0.1</v>
      </c>
      <c r="I7" s="345">
        <f>IF(Input!J6="","",VLOOKUP(Input!J6,'Defense Simulations'!$C$3:$W$13,20,FALSE))</f>
        <v>0.9</v>
      </c>
      <c r="J7" s="345">
        <f>IF(Input!J6="","",VLOOKUP(Input!J6,'Defense Simulations'!$C$3:$W$13,21,FALSE))</f>
        <v>0</v>
      </c>
      <c r="K7" s="346">
        <v>1</v>
      </c>
      <c r="L7" s="346">
        <v>0.3</v>
      </c>
      <c r="M7" s="347">
        <v>0</v>
      </c>
      <c r="N7" s="348">
        <v>0</v>
      </c>
      <c r="O7" s="346">
        <v>0.25</v>
      </c>
      <c r="P7" s="346">
        <v>0.25</v>
      </c>
      <c r="Q7" s="346">
        <v>0.25</v>
      </c>
      <c r="R7" s="48"/>
      <c r="S7" s="350" t="s">
        <v>9</v>
      </c>
      <c r="T7" s="351">
        <v>3</v>
      </c>
      <c r="U7" s="353" t="s">
        <v>115</v>
      </c>
      <c r="V7" s="35"/>
      <c r="W7" s="35"/>
      <c r="X7" s="35"/>
      <c r="Y7" s="35"/>
      <c r="Z7" s="35"/>
      <c r="AA7" s="35"/>
      <c r="AB7" s="35"/>
      <c r="AC7" s="35"/>
      <c r="AD7" s="149"/>
      <c r="AE7" s="149"/>
      <c r="AF7" s="149"/>
      <c r="AG7" s="149"/>
      <c r="AH7" s="149"/>
      <c r="AI7" s="149"/>
      <c r="AJ7" s="149"/>
      <c r="AK7" s="149"/>
      <c r="AL7" s="149"/>
      <c r="AM7" s="149"/>
    </row>
    <row r="8" spans="1:39" ht="12.75" x14ac:dyDescent="0.2">
      <c r="A8" s="224" t="str">
        <f>Input!$A$7</f>
        <v>Jim</v>
      </c>
      <c r="B8" s="344">
        <f>IF(Input!H7="","",VLOOKUP(Input!H7,'Defense Simulations'!$C$3:$W$13,3,FALSE))</f>
        <v>0.4</v>
      </c>
      <c r="C8" s="345">
        <f>IF(Input!H7="","",VLOOKUP(Input!H7,'Defense Simulations'!$C$3:$W$13,4,FALSE))</f>
        <v>0.55000000000000004</v>
      </c>
      <c r="D8" s="345">
        <f>IF(Input!H7="","",VLOOKUP(Input!H7,'Defense Simulations'!$C$3:$W$13,5,FALSE))</f>
        <v>0.4</v>
      </c>
      <c r="E8" s="345">
        <f>IF(Input!I7="","",VLOOKUP(Input!I7,'Defense Simulations'!$C$3:$W$13,11,FALSE))</f>
        <v>0.3</v>
      </c>
      <c r="F8" s="345">
        <f>IF(Input!I7="","",VLOOKUP(Input!I7,'Defense Simulations'!$C$3:$W$13,12,FALSE))</f>
        <v>0.8</v>
      </c>
      <c r="G8" s="345">
        <f>IF(Input!I7="","",VLOOKUP(Input!I7,'Defense Simulations'!$C$3:$W$13,13,FALSE))</f>
        <v>0.1</v>
      </c>
      <c r="H8" s="345">
        <f>IF(Input!J7="","",VLOOKUP(Input!J7,'Defense Simulations'!$C$3:$W$13,19,FALSE))</f>
        <v>0.1</v>
      </c>
      <c r="I8" s="345">
        <f>IF(Input!J7="","",VLOOKUP(Input!J7,'Defense Simulations'!$C$3:$W$13,20,FALSE))</f>
        <v>0.9</v>
      </c>
      <c r="J8" s="345">
        <f>IF(Input!J7="","",VLOOKUP(Input!J7,'Defense Simulations'!$C$3:$W$13,21,FALSE))</f>
        <v>0</v>
      </c>
      <c r="K8" s="346">
        <v>1</v>
      </c>
      <c r="L8" s="346">
        <v>0.3</v>
      </c>
      <c r="M8" s="347">
        <v>0</v>
      </c>
      <c r="N8" s="348">
        <v>0</v>
      </c>
      <c r="O8" s="346">
        <v>0.25</v>
      </c>
      <c r="P8" s="346">
        <v>0.25</v>
      </c>
      <c r="Q8" s="346">
        <v>0.25</v>
      </c>
      <c r="R8" s="48"/>
      <c r="S8" s="350" t="s">
        <v>13</v>
      </c>
      <c r="T8" s="351">
        <v>4</v>
      </c>
      <c r="U8" s="35"/>
      <c r="V8" s="35"/>
      <c r="W8" s="35"/>
      <c r="X8" s="35"/>
      <c r="Y8" s="35"/>
      <c r="Z8" s="35"/>
      <c r="AA8" s="35"/>
      <c r="AB8" s="35"/>
      <c r="AC8" s="35"/>
      <c r="AD8" s="149"/>
      <c r="AE8" s="149"/>
      <c r="AF8" s="149"/>
      <c r="AG8" s="149"/>
      <c r="AH8" s="149"/>
      <c r="AI8" s="149"/>
      <c r="AJ8" s="149"/>
      <c r="AK8" s="149"/>
      <c r="AL8" s="149"/>
      <c r="AM8" s="149"/>
    </row>
    <row r="9" spans="1:39" ht="12.75" x14ac:dyDescent="0.2">
      <c r="A9" s="224" t="str">
        <f>Input!$A$8</f>
        <v>Jordan</v>
      </c>
      <c r="B9" s="344">
        <f>IF(Input!H8="","",VLOOKUP(Input!H8,'Defense Simulations'!$C$3:$W$13,3,FALSE))</f>
        <v>0.4</v>
      </c>
      <c r="C9" s="345">
        <f>IF(Input!H8="","",VLOOKUP(Input!H8,'Defense Simulations'!$C$3:$W$13,4,FALSE))</f>
        <v>0.55000000000000004</v>
      </c>
      <c r="D9" s="345">
        <f>IF(Input!H8="","",VLOOKUP(Input!H8,'Defense Simulations'!$C$3:$W$13,5,FALSE))</f>
        <v>0.4</v>
      </c>
      <c r="E9" s="345">
        <f>IF(Input!I8="","",VLOOKUP(Input!I8,'Defense Simulations'!$C$3:$W$13,11,FALSE))</f>
        <v>0.3</v>
      </c>
      <c r="F9" s="345">
        <f>IF(Input!I8="","",VLOOKUP(Input!I8,'Defense Simulations'!$C$3:$W$13,12,FALSE))</f>
        <v>0.8</v>
      </c>
      <c r="G9" s="345">
        <f>IF(Input!I8="","",VLOOKUP(Input!I8,'Defense Simulations'!$C$3:$W$13,13,FALSE))</f>
        <v>0.1</v>
      </c>
      <c r="H9" s="345">
        <f>IF(Input!J8="","",VLOOKUP(Input!J8,'Defense Simulations'!$C$3:$W$13,19,FALSE))</f>
        <v>0.1</v>
      </c>
      <c r="I9" s="345">
        <f>IF(Input!J8="","",VLOOKUP(Input!J8,'Defense Simulations'!$C$3:$W$13,20,FALSE))</f>
        <v>0.9</v>
      </c>
      <c r="J9" s="345">
        <f>IF(Input!J8="","",VLOOKUP(Input!J8,'Defense Simulations'!$C$3:$W$13,21,FALSE))</f>
        <v>0</v>
      </c>
      <c r="K9" s="354">
        <v>1</v>
      </c>
      <c r="L9" s="354">
        <v>0.3</v>
      </c>
      <c r="M9" s="355">
        <v>0</v>
      </c>
      <c r="N9" s="356">
        <v>0</v>
      </c>
      <c r="O9" s="346">
        <v>0.25</v>
      </c>
      <c r="P9" s="346">
        <v>0.25</v>
      </c>
      <c r="Q9" s="346">
        <v>0.25</v>
      </c>
      <c r="R9" s="48"/>
      <c r="S9" s="193"/>
      <c r="T9" s="193"/>
      <c r="U9" s="149"/>
      <c r="V9" s="35"/>
      <c r="W9" s="35"/>
      <c r="X9" s="35"/>
      <c r="Y9" s="35"/>
      <c r="Z9" s="35"/>
      <c r="AA9" s="35"/>
      <c r="AB9" s="35"/>
      <c r="AC9" s="35"/>
      <c r="AD9" s="149"/>
      <c r="AE9" s="149"/>
      <c r="AF9" s="149"/>
      <c r="AG9" s="149"/>
      <c r="AH9" s="149"/>
      <c r="AI9" s="149"/>
      <c r="AJ9" s="149"/>
      <c r="AK9" s="149"/>
      <c r="AL9" s="149"/>
      <c r="AM9" s="149"/>
    </row>
    <row r="10" spans="1:39" ht="7.5" customHeight="1" x14ac:dyDescent="0.2">
      <c r="A10" s="276"/>
      <c r="B10" s="277"/>
      <c r="C10" s="277"/>
      <c r="D10" s="277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357"/>
      <c r="S10" s="357"/>
      <c r="T10" s="357"/>
      <c r="U10" s="357"/>
      <c r="V10" s="357"/>
      <c r="W10" s="357"/>
      <c r="X10" s="357"/>
      <c r="Y10" s="357"/>
      <c r="Z10" s="357"/>
      <c r="AA10" s="357"/>
      <c r="AB10" s="357"/>
      <c r="AC10" s="357"/>
      <c r="AD10" s="357"/>
      <c r="AE10" s="357"/>
      <c r="AF10" s="357"/>
      <c r="AG10" s="357"/>
      <c r="AH10" s="357"/>
      <c r="AI10" s="357"/>
      <c r="AJ10" s="357"/>
      <c r="AK10" s="357"/>
      <c r="AL10" s="357"/>
      <c r="AM10" s="358"/>
    </row>
    <row r="11" spans="1:39" ht="12.75" x14ac:dyDescent="0.2">
      <c r="A11" s="590" t="s">
        <v>240</v>
      </c>
      <c r="B11" s="574"/>
      <c r="C11" s="574"/>
      <c r="D11" s="574"/>
      <c r="E11" s="574"/>
      <c r="F11" s="574"/>
      <c r="G11" s="574"/>
      <c r="H11" s="574"/>
      <c r="I11" s="574"/>
      <c r="J11" s="574"/>
      <c r="K11" s="574"/>
      <c r="L11" s="574"/>
      <c r="M11" s="574"/>
      <c r="N11" s="574"/>
      <c r="O11" s="574"/>
      <c r="P11" s="574"/>
      <c r="Q11" s="574"/>
      <c r="R11" s="574"/>
      <c r="S11" s="574"/>
      <c r="T11" s="574"/>
      <c r="U11" s="574"/>
      <c r="V11" s="574"/>
      <c r="W11" s="574"/>
      <c r="X11" s="574"/>
      <c r="Y11" s="574"/>
      <c r="Z11" s="574"/>
      <c r="AA11" s="574"/>
      <c r="AB11" s="574"/>
      <c r="AC11" s="574"/>
      <c r="AD11" s="574"/>
      <c r="AE11" s="574"/>
      <c r="AF11" s="574"/>
      <c r="AG11" s="574"/>
      <c r="AH11" s="574"/>
      <c r="AI11" s="574"/>
      <c r="AJ11" s="574"/>
      <c r="AK11" s="574"/>
      <c r="AL11" s="574"/>
      <c r="AM11" s="575"/>
    </row>
    <row r="12" spans="1:39" ht="12.75" x14ac:dyDescent="0.2">
      <c r="A12" s="150" t="s">
        <v>109</v>
      </c>
      <c r="B12" s="151" t="s">
        <v>124</v>
      </c>
      <c r="C12" s="359" t="s">
        <v>5</v>
      </c>
      <c r="D12" s="151" t="s">
        <v>231</v>
      </c>
      <c r="E12" s="151" t="s">
        <v>241</v>
      </c>
      <c r="F12" s="151" t="s">
        <v>65</v>
      </c>
      <c r="G12" s="151" t="s">
        <v>242</v>
      </c>
      <c r="H12" s="151" t="s">
        <v>25</v>
      </c>
      <c r="I12" s="151" t="s">
        <v>243</v>
      </c>
      <c r="J12" s="151" t="s">
        <v>244</v>
      </c>
      <c r="K12" s="151" t="s">
        <v>245</v>
      </c>
      <c r="L12" s="151" t="s">
        <v>246</v>
      </c>
      <c r="M12" s="151" t="s">
        <v>247</v>
      </c>
      <c r="N12" s="151" t="s">
        <v>248</v>
      </c>
      <c r="O12" s="151" t="s">
        <v>249</v>
      </c>
      <c r="P12" s="151" t="s">
        <v>250</v>
      </c>
      <c r="Q12" s="360" t="s">
        <v>251</v>
      </c>
      <c r="R12" s="151" t="s">
        <v>252</v>
      </c>
      <c r="S12" s="151" t="s">
        <v>253</v>
      </c>
      <c r="T12" s="151" t="s">
        <v>254</v>
      </c>
      <c r="U12" s="360" t="s">
        <v>255</v>
      </c>
      <c r="V12" s="151" t="s">
        <v>256</v>
      </c>
      <c r="W12" s="151" t="s">
        <v>257</v>
      </c>
      <c r="X12" s="151" t="s">
        <v>258</v>
      </c>
      <c r="Y12" s="151" t="s">
        <v>259</v>
      </c>
      <c r="Z12" s="151" t="s">
        <v>260</v>
      </c>
      <c r="AA12" s="151" t="s">
        <v>261</v>
      </c>
      <c r="AB12" s="151" t="s">
        <v>232</v>
      </c>
      <c r="AC12" s="151" t="s">
        <v>262</v>
      </c>
      <c r="AD12" s="151" t="s">
        <v>235</v>
      </c>
      <c r="AE12" s="151" t="s">
        <v>263</v>
      </c>
      <c r="AF12" s="279" t="s">
        <v>236</v>
      </c>
      <c r="AG12" s="279" t="s">
        <v>264</v>
      </c>
      <c r="AH12" s="279" t="s">
        <v>237</v>
      </c>
      <c r="AI12" s="361" t="s">
        <v>265</v>
      </c>
      <c r="AJ12" s="361" t="s">
        <v>234</v>
      </c>
      <c r="AK12" s="279" t="s">
        <v>266</v>
      </c>
      <c r="AL12" s="279" t="s">
        <v>233</v>
      </c>
      <c r="AM12" s="281" t="s">
        <v>267</v>
      </c>
    </row>
    <row r="13" spans="1:39" ht="12.75" x14ac:dyDescent="0.2">
      <c r="A13" s="243" t="str">
        <f>Input!$A$3</f>
        <v>Will</v>
      </c>
      <c r="B13" s="362">
        <f>Input!E3*5</f>
        <v>25</v>
      </c>
      <c r="C13" s="211">
        <f>ROUND(B13+SUMIF(Input!$B$67:$B$364,"=" &amp; $A13,Input!$G$67:$G$364)+SUMIF(Input!$H$67:$H$364,"=" &amp; $A13,Input!$J$67:$J$364),2)</f>
        <v>25</v>
      </c>
      <c r="D13" s="347">
        <f t="shared" ref="D13:D18" si="0">K4+E13</f>
        <v>1</v>
      </c>
      <c r="E13" s="347">
        <f>SUMIF(BuffsDebuffs!$G:$G,"=" &amp; $A13,BuffsDebuffs!O:O)</f>
        <v>0</v>
      </c>
      <c r="F13" s="363">
        <f>Input!F3*(1+G13)</f>
        <v>5</v>
      </c>
      <c r="G13" s="347">
        <f>SUMIF(BuffsDebuffs!$G:$G,"=" &amp; $A13,BuffsDebuffs!Q:Q)</f>
        <v>0</v>
      </c>
      <c r="H13" s="363">
        <f>Input!G3*(1+I13)</f>
        <v>5</v>
      </c>
      <c r="I13" s="347">
        <f>SUMIF(BuffsDebuffs!$G:$G,"=" &amp; $A13,BuffsDebuffs!S:S)</f>
        <v>0</v>
      </c>
      <c r="J13" s="347">
        <f t="shared" ref="J13:J18" si="1">B4+K13+J22</f>
        <v>0.4</v>
      </c>
      <c r="K13" s="347">
        <f>SUMIF(BuffsDebuffs!$G:$G,"=" &amp; $A13,BuffsDebuffs!U:U)</f>
        <v>0</v>
      </c>
      <c r="L13" s="347">
        <f t="shared" ref="L13:L18" si="2">C4+M13</f>
        <v>0.55000000000000004</v>
      </c>
      <c r="M13" s="347">
        <f>SUMIF(BuffsDebuffs!$G:$G,"=" &amp; $A13,BuffsDebuffs!W:W)</f>
        <v>0</v>
      </c>
      <c r="N13" s="347">
        <f t="shared" ref="N13:N18" si="3">D4+O13</f>
        <v>0.4</v>
      </c>
      <c r="O13" s="347">
        <f>SUMIF(BuffsDebuffs!$G:$G,"=" &amp; $A13,BuffsDebuffs!Y:Y)</f>
        <v>0</v>
      </c>
      <c r="P13" s="347">
        <f t="shared" ref="P13:P18" si="4">E4+Q13+K22</f>
        <v>0.3</v>
      </c>
      <c r="Q13" s="347">
        <f>SUMIF(BuffsDebuffs!$G:$G,"=" &amp; $A13,BuffsDebuffs!AA:AA)</f>
        <v>0</v>
      </c>
      <c r="R13" s="347">
        <f t="shared" ref="R13:R18" si="5">F4+S13</f>
        <v>0.8</v>
      </c>
      <c r="S13" s="347">
        <f>SUMIF(BuffsDebuffs!$G:$G,"=" &amp; $A13,BuffsDebuffs!AC:AC)</f>
        <v>0</v>
      </c>
      <c r="T13" s="347">
        <f t="shared" ref="T13:T18" si="6">G4+U13</f>
        <v>0.1</v>
      </c>
      <c r="U13" s="347">
        <f>SUMIF(BuffsDebuffs!$G:$G,"=" &amp; $A13,BuffsDebuffs!AE:AE)</f>
        <v>0</v>
      </c>
      <c r="V13" s="347">
        <f t="shared" ref="V13:V18" si="7">H4+W13+L22</f>
        <v>0.1</v>
      </c>
      <c r="W13" s="347">
        <f>SUMIF(BuffsDebuffs!$G:$G,"=" &amp; $A13,BuffsDebuffs!AG:AG)</f>
        <v>0</v>
      </c>
      <c r="X13" s="347">
        <f t="shared" ref="X13:X18" si="8">I4+Y13</f>
        <v>0.9</v>
      </c>
      <c r="Y13" s="347">
        <f>SUMIF(BuffsDebuffs!$G:$G,"=" &amp; $A13,BuffsDebuffs!AI:AI)</f>
        <v>0</v>
      </c>
      <c r="Z13" s="347">
        <f t="shared" ref="Z13:Z18" si="9">J4+AA13</f>
        <v>0</v>
      </c>
      <c r="AA13" s="347">
        <f>SUMIF(BuffsDebuffs!$G:$G,"=" &amp; $A13,BuffsDebuffs!AK:AK)</f>
        <v>0</v>
      </c>
      <c r="AB13" s="347">
        <f t="shared" ref="AB13:AB18" si="10">L4+AC13</f>
        <v>0.3</v>
      </c>
      <c r="AC13" s="347">
        <f>SUMIF(BuffsDebuffs!$G:$G,"=" &amp; $A13,BuffsDebuffs!AM:AM)</f>
        <v>0</v>
      </c>
      <c r="AD13" s="347">
        <f t="shared" ref="AD13:AD18" si="11">O4+AE13</f>
        <v>0.25</v>
      </c>
      <c r="AE13" s="347">
        <f>SUMIF(BuffsDebuffs!$G:$G,"=" &amp; $A13,BuffsDebuffs!AO:AO)</f>
        <v>0</v>
      </c>
      <c r="AF13" s="347">
        <f t="shared" ref="AF13:AF18" si="12">P4+AG13</f>
        <v>0.25</v>
      </c>
      <c r="AG13" s="347">
        <f>SUMIF(BuffsDebuffs!$G:$G,"=" &amp; $A13,BuffsDebuffs!AQ:AQ)</f>
        <v>0</v>
      </c>
      <c r="AH13" s="347">
        <f t="shared" ref="AH13:AH18" si="13">Q4+AI13</f>
        <v>0.25</v>
      </c>
      <c r="AI13" s="347">
        <f>SUMIF(BuffsDebuffs!$G:$G,"=" &amp; $A13,BuffsDebuffs!AS:AS)</f>
        <v>0</v>
      </c>
      <c r="AJ13" s="347">
        <f t="shared" ref="AJ13:AJ18" si="14">N4+AK13</f>
        <v>0</v>
      </c>
      <c r="AK13" s="347">
        <f>SUMIF(BuffsDebuffs!$G:$G,"=" &amp; $A13,BuffsDebuffs!AU:AU)</f>
        <v>0</v>
      </c>
      <c r="AL13" s="347">
        <f t="shared" ref="AL13:AL18" si="15">M4+AM13</f>
        <v>0</v>
      </c>
      <c r="AM13" s="347">
        <f>SUMIF(BuffsDebuffs!$G:$G,"=" &amp; $A13,BuffsDebuffs!AW:AW)</f>
        <v>0</v>
      </c>
    </row>
    <row r="14" spans="1:39" ht="12.75" x14ac:dyDescent="0.2">
      <c r="A14" s="243" t="str">
        <f>Input!$A$4</f>
        <v>Carter</v>
      </c>
      <c r="B14" s="362">
        <f>Input!E4*5</f>
        <v>25</v>
      </c>
      <c r="C14" s="211">
        <f>ROUND(B14+SUMIF(Input!$B$67:$B$364,"=" &amp; $A14,Input!$G$67:$G$364)+SUMIF(Input!$H$67:$H$364,"=" &amp; $A14,Input!$J$67:$J$364),2)</f>
        <v>25</v>
      </c>
      <c r="D14" s="347">
        <f t="shared" si="0"/>
        <v>1</v>
      </c>
      <c r="E14" s="347">
        <f>SUMIF(BuffsDebuffs!$G:$G,"=" &amp; $A14,BuffsDebuffs!O:O)</f>
        <v>0</v>
      </c>
      <c r="F14" s="363">
        <f>Input!F4*(1+G14)</f>
        <v>5</v>
      </c>
      <c r="G14" s="347">
        <f>SUMIF(BuffsDebuffs!$G:$G,"=" &amp; $A14,BuffsDebuffs!Q:Q)</f>
        <v>0</v>
      </c>
      <c r="H14" s="363">
        <f>Input!G4*(1+I14)</f>
        <v>5</v>
      </c>
      <c r="I14" s="347">
        <f>SUMIF(BuffsDebuffs!$G:$G,"=" &amp; $A14,BuffsDebuffs!S:S)</f>
        <v>0</v>
      </c>
      <c r="J14" s="347">
        <f t="shared" si="1"/>
        <v>0.4</v>
      </c>
      <c r="K14" s="347">
        <f>SUMIF(BuffsDebuffs!$G:$G,"=" &amp; $A14,BuffsDebuffs!U:U)</f>
        <v>0</v>
      </c>
      <c r="L14" s="347">
        <f t="shared" si="2"/>
        <v>0.55000000000000004</v>
      </c>
      <c r="M14" s="347">
        <f>SUMIF(BuffsDebuffs!$G:$G,"=" &amp; $A14,BuffsDebuffs!W:W)</f>
        <v>0</v>
      </c>
      <c r="N14" s="347">
        <f t="shared" si="3"/>
        <v>0.4</v>
      </c>
      <c r="O14" s="347">
        <f>SUMIF(BuffsDebuffs!$G:$G,"=" &amp; $A14,BuffsDebuffs!Y:Y)</f>
        <v>0</v>
      </c>
      <c r="P14" s="347">
        <f t="shared" si="4"/>
        <v>0.3</v>
      </c>
      <c r="Q14" s="347">
        <f>SUMIF(BuffsDebuffs!$G:$G,"=" &amp; $A14,BuffsDebuffs!AA:AA)</f>
        <v>0</v>
      </c>
      <c r="R14" s="347">
        <f t="shared" si="5"/>
        <v>0.8</v>
      </c>
      <c r="S14" s="347">
        <f>SUMIF(BuffsDebuffs!$G:$G,"=" &amp; $A14,BuffsDebuffs!AC:AC)</f>
        <v>0</v>
      </c>
      <c r="T14" s="347">
        <f t="shared" si="6"/>
        <v>0.1</v>
      </c>
      <c r="U14" s="347">
        <f>SUMIF(BuffsDebuffs!$G:$G,"=" &amp; $A14,BuffsDebuffs!AE:AE)</f>
        <v>0</v>
      </c>
      <c r="V14" s="347">
        <f t="shared" si="7"/>
        <v>0.1</v>
      </c>
      <c r="W14" s="347">
        <f>SUMIF(BuffsDebuffs!$G:$G,"=" &amp; $A14,BuffsDebuffs!AG:AG)</f>
        <v>0</v>
      </c>
      <c r="X14" s="347">
        <f t="shared" si="8"/>
        <v>0.9</v>
      </c>
      <c r="Y14" s="347">
        <f>SUMIF(BuffsDebuffs!$G:$G,"=" &amp; $A14,BuffsDebuffs!AI:AI)</f>
        <v>0</v>
      </c>
      <c r="Z14" s="347">
        <f t="shared" si="9"/>
        <v>0</v>
      </c>
      <c r="AA14" s="347">
        <f>SUMIF(BuffsDebuffs!$G:$G,"=" &amp; $A14,BuffsDebuffs!AK:AK)</f>
        <v>0</v>
      </c>
      <c r="AB14" s="347">
        <f t="shared" si="10"/>
        <v>0.3</v>
      </c>
      <c r="AC14" s="347">
        <f>SUMIF(BuffsDebuffs!$G:$G,"=" &amp; $A14,BuffsDebuffs!AM:AM)</f>
        <v>0</v>
      </c>
      <c r="AD14" s="347">
        <f t="shared" si="11"/>
        <v>0.25</v>
      </c>
      <c r="AE14" s="347">
        <f>SUMIF(BuffsDebuffs!$G:$G,"=" &amp; $A14,BuffsDebuffs!AO:AO)</f>
        <v>0</v>
      </c>
      <c r="AF14" s="347">
        <f t="shared" si="12"/>
        <v>0.25</v>
      </c>
      <c r="AG14" s="347">
        <f>SUMIF(BuffsDebuffs!$G:$G,"=" &amp; $A14,BuffsDebuffs!AQ:AQ)</f>
        <v>0</v>
      </c>
      <c r="AH14" s="347">
        <f t="shared" si="13"/>
        <v>0.25</v>
      </c>
      <c r="AI14" s="347">
        <f>SUMIF(BuffsDebuffs!$G:$G,"=" &amp; $A14,BuffsDebuffs!AS:AS)</f>
        <v>0</v>
      </c>
      <c r="AJ14" s="347">
        <f t="shared" si="14"/>
        <v>0</v>
      </c>
      <c r="AK14" s="347">
        <f>SUMIF(BuffsDebuffs!$G:$G,"=" &amp; $A14,BuffsDebuffs!AU:AU)</f>
        <v>0</v>
      </c>
      <c r="AL14" s="347">
        <f t="shared" si="15"/>
        <v>0</v>
      </c>
      <c r="AM14" s="347">
        <f>SUMIF(BuffsDebuffs!$G:$G,"=" &amp; $A14,BuffsDebuffs!AW:AW)</f>
        <v>0</v>
      </c>
    </row>
    <row r="15" spans="1:39" ht="12.75" x14ac:dyDescent="0.2">
      <c r="A15" s="243" t="str">
        <f>Input!$A$5</f>
        <v>Joe</v>
      </c>
      <c r="B15" s="362">
        <f>Input!E5*5</f>
        <v>25</v>
      </c>
      <c r="C15" s="211">
        <f>ROUND(B15+SUMIF(Input!$B$67:$B$364,"=" &amp; $A15,Input!$G$67:$G$364)+SUMIF(Input!$H$67:$H$364,"=" &amp; $A15,Input!$J$67:$J$364),2)</f>
        <v>25</v>
      </c>
      <c r="D15" s="347">
        <f t="shared" si="0"/>
        <v>1</v>
      </c>
      <c r="E15" s="347">
        <f>SUMIF(BuffsDebuffs!$G:$G,"=" &amp; $A15,BuffsDebuffs!O:O)</f>
        <v>0</v>
      </c>
      <c r="F15" s="363">
        <f>Input!F5*(1+G15)</f>
        <v>5</v>
      </c>
      <c r="G15" s="347">
        <f>SUMIF(BuffsDebuffs!$G:$G,"=" &amp; $A15,BuffsDebuffs!Q:Q)</f>
        <v>0</v>
      </c>
      <c r="H15" s="363">
        <f>Input!G5*(1+I15)</f>
        <v>5</v>
      </c>
      <c r="I15" s="347">
        <f>SUMIF(BuffsDebuffs!$G:$G,"=" &amp; $A15,BuffsDebuffs!S:S)</f>
        <v>0</v>
      </c>
      <c r="J15" s="347">
        <f t="shared" si="1"/>
        <v>0.4</v>
      </c>
      <c r="K15" s="347">
        <f>SUMIF(BuffsDebuffs!$G:$G,"=" &amp; $A15,BuffsDebuffs!U:U)</f>
        <v>0</v>
      </c>
      <c r="L15" s="347">
        <f t="shared" si="2"/>
        <v>0.55000000000000004</v>
      </c>
      <c r="M15" s="347">
        <f>SUMIF(BuffsDebuffs!$G:$G,"=" &amp; $A15,BuffsDebuffs!W:W)</f>
        <v>0</v>
      </c>
      <c r="N15" s="347">
        <f t="shared" si="3"/>
        <v>0.4</v>
      </c>
      <c r="O15" s="347">
        <f>SUMIF(BuffsDebuffs!$G:$G,"=" &amp; $A15,BuffsDebuffs!Y:Y)</f>
        <v>0</v>
      </c>
      <c r="P15" s="347">
        <f t="shared" si="4"/>
        <v>0.3</v>
      </c>
      <c r="Q15" s="347">
        <f>SUMIF(BuffsDebuffs!$G:$G,"=" &amp; $A15,BuffsDebuffs!AA:AA)</f>
        <v>0</v>
      </c>
      <c r="R15" s="347">
        <f t="shared" si="5"/>
        <v>0.8</v>
      </c>
      <c r="S15" s="347">
        <f>SUMIF(BuffsDebuffs!$G:$G,"=" &amp; $A15,BuffsDebuffs!AC:AC)</f>
        <v>0</v>
      </c>
      <c r="T15" s="347">
        <f t="shared" si="6"/>
        <v>0.1</v>
      </c>
      <c r="U15" s="347">
        <f>SUMIF(BuffsDebuffs!$G:$G,"=" &amp; $A15,BuffsDebuffs!AE:AE)</f>
        <v>0</v>
      </c>
      <c r="V15" s="347">
        <f t="shared" si="7"/>
        <v>0.1</v>
      </c>
      <c r="W15" s="347">
        <f>SUMIF(BuffsDebuffs!$G:$G,"=" &amp; $A15,BuffsDebuffs!AG:AG)</f>
        <v>0</v>
      </c>
      <c r="X15" s="347">
        <f t="shared" si="8"/>
        <v>0.9</v>
      </c>
      <c r="Y15" s="347">
        <f>SUMIF(BuffsDebuffs!$G:$G,"=" &amp; $A15,BuffsDebuffs!AI:AI)</f>
        <v>0</v>
      </c>
      <c r="Z15" s="347">
        <f t="shared" si="9"/>
        <v>0</v>
      </c>
      <c r="AA15" s="347">
        <f>SUMIF(BuffsDebuffs!$G:$G,"=" &amp; $A15,BuffsDebuffs!AK:AK)</f>
        <v>0</v>
      </c>
      <c r="AB15" s="347">
        <f t="shared" si="10"/>
        <v>0.3</v>
      </c>
      <c r="AC15" s="347">
        <f>SUMIF(BuffsDebuffs!$G:$G,"=" &amp; $A15,BuffsDebuffs!AM:AM)</f>
        <v>0</v>
      </c>
      <c r="AD15" s="347">
        <f t="shared" si="11"/>
        <v>0.25</v>
      </c>
      <c r="AE15" s="347">
        <f>SUMIF(BuffsDebuffs!$G:$G,"=" &amp; $A15,BuffsDebuffs!AO:AO)</f>
        <v>0</v>
      </c>
      <c r="AF15" s="347">
        <f t="shared" si="12"/>
        <v>0.25</v>
      </c>
      <c r="AG15" s="347">
        <f>SUMIF(BuffsDebuffs!$G:$G,"=" &amp; $A15,BuffsDebuffs!AQ:AQ)</f>
        <v>0</v>
      </c>
      <c r="AH15" s="347">
        <f t="shared" si="13"/>
        <v>0.25</v>
      </c>
      <c r="AI15" s="347">
        <f>SUMIF(BuffsDebuffs!$G:$G,"=" &amp; $A15,BuffsDebuffs!AS:AS)</f>
        <v>0</v>
      </c>
      <c r="AJ15" s="347">
        <f t="shared" si="14"/>
        <v>0</v>
      </c>
      <c r="AK15" s="347">
        <f>SUMIF(BuffsDebuffs!$G:$G,"=" &amp; $A15,BuffsDebuffs!AU:AU)</f>
        <v>0</v>
      </c>
      <c r="AL15" s="347">
        <f t="shared" si="15"/>
        <v>0</v>
      </c>
      <c r="AM15" s="347">
        <f>SUMIF(BuffsDebuffs!$G:$G,"=" &amp; $A15,BuffsDebuffs!AW:AW)</f>
        <v>0</v>
      </c>
    </row>
    <row r="16" spans="1:39" ht="12.75" x14ac:dyDescent="0.2">
      <c r="A16" s="364" t="str">
        <f>Input!$A$6</f>
        <v>Jake</v>
      </c>
      <c r="B16" s="362">
        <f>Input!E6*5</f>
        <v>25</v>
      </c>
      <c r="C16" s="211">
        <f>ROUND(B16+SUMIF(Input!$B$67:$B$364,"=" &amp; $A16,Input!$G$67:$G$364)+SUMIF(Input!$H$67:$H$364,"=" &amp; $A16,Input!$J$67:$J$364),2)</f>
        <v>25</v>
      </c>
      <c r="D16" s="347">
        <f t="shared" si="0"/>
        <v>1</v>
      </c>
      <c r="E16" s="347">
        <f>SUMIF(BuffsDebuffs!$G:$G,"=" &amp; $A16,BuffsDebuffs!O:O)</f>
        <v>0</v>
      </c>
      <c r="F16" s="363">
        <f>Input!F6*(1+G16)</f>
        <v>5</v>
      </c>
      <c r="G16" s="347">
        <f>SUMIF(BuffsDebuffs!$G:$G,"=" &amp; $A16,BuffsDebuffs!Q:Q)</f>
        <v>0</v>
      </c>
      <c r="H16" s="363">
        <f>Input!G6*(1+I16)</f>
        <v>5</v>
      </c>
      <c r="I16" s="347">
        <f>SUMIF(BuffsDebuffs!$G:$G,"=" &amp; $A16,BuffsDebuffs!S:S)</f>
        <v>0</v>
      </c>
      <c r="J16" s="347">
        <f t="shared" si="1"/>
        <v>0.4</v>
      </c>
      <c r="K16" s="347">
        <f>SUMIF(BuffsDebuffs!$G:$G,"=" &amp; $A16,BuffsDebuffs!U:U)</f>
        <v>0</v>
      </c>
      <c r="L16" s="347">
        <f t="shared" si="2"/>
        <v>0.55000000000000004</v>
      </c>
      <c r="M16" s="347">
        <f>SUMIF(BuffsDebuffs!$G:$G,"=" &amp; $A16,BuffsDebuffs!W:W)</f>
        <v>0</v>
      </c>
      <c r="N16" s="347">
        <f t="shared" si="3"/>
        <v>0.4</v>
      </c>
      <c r="O16" s="347">
        <f>SUMIF(BuffsDebuffs!$G:$G,"=" &amp; $A16,BuffsDebuffs!Y:Y)</f>
        <v>0</v>
      </c>
      <c r="P16" s="347">
        <f t="shared" si="4"/>
        <v>0.3</v>
      </c>
      <c r="Q16" s="347">
        <f>SUMIF(BuffsDebuffs!$G:$G,"=" &amp; $A16,BuffsDebuffs!AA:AA)</f>
        <v>0</v>
      </c>
      <c r="R16" s="347">
        <f t="shared" si="5"/>
        <v>0.8</v>
      </c>
      <c r="S16" s="347">
        <f>SUMIF(BuffsDebuffs!$G:$G,"=" &amp; $A16,BuffsDebuffs!AC:AC)</f>
        <v>0</v>
      </c>
      <c r="T16" s="347">
        <f t="shared" si="6"/>
        <v>0.1</v>
      </c>
      <c r="U16" s="347">
        <f>SUMIF(BuffsDebuffs!$G:$G,"=" &amp; $A16,BuffsDebuffs!AE:AE)</f>
        <v>0</v>
      </c>
      <c r="V16" s="347">
        <f t="shared" si="7"/>
        <v>0.1</v>
      </c>
      <c r="W16" s="347">
        <f>SUMIF(BuffsDebuffs!$G:$G,"=" &amp; $A16,BuffsDebuffs!AG:AG)</f>
        <v>0</v>
      </c>
      <c r="X16" s="347">
        <f t="shared" si="8"/>
        <v>0.9</v>
      </c>
      <c r="Y16" s="347">
        <f>SUMIF(BuffsDebuffs!$G:$G,"=" &amp; $A16,BuffsDebuffs!AI:AI)</f>
        <v>0</v>
      </c>
      <c r="Z16" s="347">
        <f t="shared" si="9"/>
        <v>0</v>
      </c>
      <c r="AA16" s="347">
        <f>SUMIF(BuffsDebuffs!$G:$G,"=" &amp; $A16,BuffsDebuffs!AK:AK)</f>
        <v>0</v>
      </c>
      <c r="AB16" s="347">
        <f t="shared" si="10"/>
        <v>0.3</v>
      </c>
      <c r="AC16" s="347">
        <f>SUMIF(BuffsDebuffs!$G:$G,"=" &amp; $A16,BuffsDebuffs!AM:AM)</f>
        <v>0</v>
      </c>
      <c r="AD16" s="347">
        <f t="shared" si="11"/>
        <v>0.25</v>
      </c>
      <c r="AE16" s="347">
        <f>SUMIF(BuffsDebuffs!$G:$G,"=" &amp; $A16,BuffsDebuffs!AO:AO)</f>
        <v>0</v>
      </c>
      <c r="AF16" s="347">
        <f t="shared" si="12"/>
        <v>0.25</v>
      </c>
      <c r="AG16" s="347">
        <f>SUMIF(BuffsDebuffs!$G:$G,"=" &amp; $A16,BuffsDebuffs!AQ:AQ)</f>
        <v>0</v>
      </c>
      <c r="AH16" s="347">
        <f t="shared" si="13"/>
        <v>0.25</v>
      </c>
      <c r="AI16" s="347">
        <f>SUMIF(BuffsDebuffs!$G:$G,"=" &amp; $A16,BuffsDebuffs!AS:AS)</f>
        <v>0</v>
      </c>
      <c r="AJ16" s="347">
        <f t="shared" si="14"/>
        <v>0</v>
      </c>
      <c r="AK16" s="347">
        <f>SUMIF(BuffsDebuffs!$G:$G,"=" &amp; $A16,BuffsDebuffs!AU:AU)</f>
        <v>0</v>
      </c>
      <c r="AL16" s="347">
        <f t="shared" si="15"/>
        <v>0</v>
      </c>
      <c r="AM16" s="347">
        <f>SUMIF(BuffsDebuffs!$G:$G,"=" &amp; $A16,BuffsDebuffs!AW:AW)</f>
        <v>0</v>
      </c>
    </row>
    <row r="17" spans="1:39" ht="12.75" x14ac:dyDescent="0.2">
      <c r="A17" s="266" t="str">
        <f>Input!$A$7</f>
        <v>Jim</v>
      </c>
      <c r="B17" s="362">
        <f>Input!E7*5</f>
        <v>25</v>
      </c>
      <c r="C17" s="211">
        <f>ROUND(B17+SUMIF(Input!$B$67:$B$364,"=" &amp; $A17,Input!$G$67:$G$364)+SUMIF(Input!$H$67:$H$364,"=" &amp; $A17,Input!$J$67:$J$364),2)</f>
        <v>25</v>
      </c>
      <c r="D17" s="347">
        <f t="shared" si="0"/>
        <v>1</v>
      </c>
      <c r="E17" s="347">
        <f>SUMIF(BuffsDebuffs!$G:$G,"=" &amp; $A17,BuffsDebuffs!O:O)</f>
        <v>0</v>
      </c>
      <c r="F17" s="363">
        <f>Input!F7*(1+G17)</f>
        <v>5</v>
      </c>
      <c r="G17" s="347">
        <f>SUMIF(BuffsDebuffs!$G:$G,"=" &amp; $A17,BuffsDebuffs!Q:Q)</f>
        <v>0</v>
      </c>
      <c r="H17" s="363">
        <f>Input!G7*(1+I17)</f>
        <v>5</v>
      </c>
      <c r="I17" s="347">
        <f>SUMIF(BuffsDebuffs!$G:$G,"=" &amp; $A17,BuffsDebuffs!S:S)</f>
        <v>0</v>
      </c>
      <c r="J17" s="347">
        <f t="shared" si="1"/>
        <v>0.4</v>
      </c>
      <c r="K17" s="347">
        <f>SUMIF(BuffsDebuffs!$G:$G,"=" &amp; $A17,BuffsDebuffs!U:U)</f>
        <v>0</v>
      </c>
      <c r="L17" s="347">
        <f t="shared" si="2"/>
        <v>0.55000000000000004</v>
      </c>
      <c r="M17" s="347">
        <f>SUMIF(BuffsDebuffs!$G:$G,"=" &amp; $A17,BuffsDebuffs!W:W)</f>
        <v>0</v>
      </c>
      <c r="N17" s="347">
        <f t="shared" si="3"/>
        <v>0.4</v>
      </c>
      <c r="O17" s="347">
        <f>SUMIF(BuffsDebuffs!$G:$G,"=" &amp; $A17,BuffsDebuffs!Y:Y)</f>
        <v>0</v>
      </c>
      <c r="P17" s="347">
        <f t="shared" si="4"/>
        <v>0.3</v>
      </c>
      <c r="Q17" s="347">
        <f>SUMIF(BuffsDebuffs!$G:$G,"=" &amp; $A17,BuffsDebuffs!AA:AA)</f>
        <v>0</v>
      </c>
      <c r="R17" s="347">
        <f t="shared" si="5"/>
        <v>0.8</v>
      </c>
      <c r="S17" s="347">
        <f>SUMIF(BuffsDebuffs!$G:$G,"=" &amp; $A17,BuffsDebuffs!AC:AC)</f>
        <v>0</v>
      </c>
      <c r="T17" s="347">
        <f t="shared" si="6"/>
        <v>0.1</v>
      </c>
      <c r="U17" s="347">
        <f>SUMIF(BuffsDebuffs!$G:$G,"=" &amp; $A17,BuffsDebuffs!AE:AE)</f>
        <v>0</v>
      </c>
      <c r="V17" s="347">
        <f t="shared" si="7"/>
        <v>0.1</v>
      </c>
      <c r="W17" s="347">
        <f>SUMIF(BuffsDebuffs!$G:$G,"=" &amp; $A17,BuffsDebuffs!AG:AG)</f>
        <v>0</v>
      </c>
      <c r="X17" s="347">
        <f t="shared" si="8"/>
        <v>0.9</v>
      </c>
      <c r="Y17" s="347">
        <f>SUMIF(BuffsDebuffs!$G:$G,"=" &amp; $A17,BuffsDebuffs!AI:AI)</f>
        <v>0</v>
      </c>
      <c r="Z17" s="347">
        <f t="shared" si="9"/>
        <v>0</v>
      </c>
      <c r="AA17" s="347">
        <f>SUMIF(BuffsDebuffs!$G:$G,"=" &amp; $A17,BuffsDebuffs!AK:AK)</f>
        <v>0</v>
      </c>
      <c r="AB17" s="347">
        <f t="shared" si="10"/>
        <v>0.3</v>
      </c>
      <c r="AC17" s="347">
        <f>SUMIF(BuffsDebuffs!$G:$G,"=" &amp; $A17,BuffsDebuffs!AM:AM)</f>
        <v>0</v>
      </c>
      <c r="AD17" s="347">
        <f t="shared" si="11"/>
        <v>0.25</v>
      </c>
      <c r="AE17" s="347">
        <f>SUMIF(BuffsDebuffs!$G:$G,"=" &amp; $A17,BuffsDebuffs!AO:AO)</f>
        <v>0</v>
      </c>
      <c r="AF17" s="347">
        <f t="shared" si="12"/>
        <v>0.25</v>
      </c>
      <c r="AG17" s="347">
        <f>SUMIF(BuffsDebuffs!$G:$G,"=" &amp; $A17,BuffsDebuffs!AQ:AQ)</f>
        <v>0</v>
      </c>
      <c r="AH17" s="347">
        <f t="shared" si="13"/>
        <v>0.25</v>
      </c>
      <c r="AI17" s="347">
        <f>SUMIF(BuffsDebuffs!$G:$G,"=" &amp; $A17,BuffsDebuffs!AS:AS)</f>
        <v>0</v>
      </c>
      <c r="AJ17" s="347">
        <f t="shared" si="14"/>
        <v>0</v>
      </c>
      <c r="AK17" s="347">
        <f>SUMIF(BuffsDebuffs!$G:$G,"=" &amp; $A17,BuffsDebuffs!AU:AU)</f>
        <v>0</v>
      </c>
      <c r="AL17" s="347">
        <f t="shared" si="15"/>
        <v>0</v>
      </c>
      <c r="AM17" s="347">
        <f>SUMIF(BuffsDebuffs!$G:$G,"=" &amp; $A17,BuffsDebuffs!AW:AW)</f>
        <v>0</v>
      </c>
    </row>
    <row r="18" spans="1:39" ht="12.75" x14ac:dyDescent="0.2">
      <c r="A18" s="269" t="str">
        <f>Input!$A$8</f>
        <v>Jordan</v>
      </c>
      <c r="B18" s="362">
        <f>Input!E8*5</f>
        <v>25</v>
      </c>
      <c r="C18" s="211">
        <f>ROUND(B18+SUMIF(Input!$B$67:$B$364,"=" &amp; $A18,Input!$G$67:$G$364)+SUMIF(Input!$H$67:$H$364,"=" &amp; $A18,Input!$J$67:$J$364),2)</f>
        <v>25</v>
      </c>
      <c r="D18" s="347">
        <f t="shared" si="0"/>
        <v>1</v>
      </c>
      <c r="E18" s="347">
        <f>SUMIF(BuffsDebuffs!$G:$G,"=" &amp; $A18,BuffsDebuffs!O:O)</f>
        <v>0</v>
      </c>
      <c r="F18" s="363">
        <f>Input!F8*(1+G18)</f>
        <v>5</v>
      </c>
      <c r="G18" s="347">
        <f>SUMIF(BuffsDebuffs!$G:$G,"=" &amp; $A18,BuffsDebuffs!Q:Q)</f>
        <v>0</v>
      </c>
      <c r="H18" s="363">
        <f>Input!G8*(1+I18)</f>
        <v>5</v>
      </c>
      <c r="I18" s="347">
        <f>SUMIF(BuffsDebuffs!$G:$G,"=" &amp; $A18,BuffsDebuffs!S:S)</f>
        <v>0</v>
      </c>
      <c r="J18" s="347">
        <f t="shared" si="1"/>
        <v>0.4</v>
      </c>
      <c r="K18" s="347">
        <f>SUMIF(BuffsDebuffs!$G:$G,"=" &amp; $A18,BuffsDebuffs!U:U)</f>
        <v>0</v>
      </c>
      <c r="L18" s="347">
        <f t="shared" si="2"/>
        <v>0.55000000000000004</v>
      </c>
      <c r="M18" s="347">
        <f>SUMIF(BuffsDebuffs!$G:$G,"=" &amp; $A18,BuffsDebuffs!W:W)</f>
        <v>0</v>
      </c>
      <c r="N18" s="347">
        <f t="shared" si="3"/>
        <v>0.4</v>
      </c>
      <c r="O18" s="347">
        <f>SUMIF(BuffsDebuffs!$G:$G,"=" &amp; $A18,BuffsDebuffs!Y:Y)</f>
        <v>0</v>
      </c>
      <c r="P18" s="347">
        <f t="shared" si="4"/>
        <v>0.3</v>
      </c>
      <c r="Q18" s="347">
        <f>SUMIF(BuffsDebuffs!$G:$G,"=" &amp; $A18,BuffsDebuffs!AA:AA)</f>
        <v>0</v>
      </c>
      <c r="R18" s="347">
        <f t="shared" si="5"/>
        <v>0.8</v>
      </c>
      <c r="S18" s="347">
        <f>SUMIF(BuffsDebuffs!$G:$G,"=" &amp; $A18,BuffsDebuffs!AC:AC)</f>
        <v>0</v>
      </c>
      <c r="T18" s="347">
        <f t="shared" si="6"/>
        <v>0.1</v>
      </c>
      <c r="U18" s="347">
        <f>SUMIF(BuffsDebuffs!$G:$G,"=" &amp; $A18,BuffsDebuffs!AE:AE)</f>
        <v>0</v>
      </c>
      <c r="V18" s="347">
        <f t="shared" si="7"/>
        <v>0.1</v>
      </c>
      <c r="W18" s="347">
        <f>SUMIF(BuffsDebuffs!$G:$G,"=" &amp; $A18,BuffsDebuffs!AG:AG)</f>
        <v>0</v>
      </c>
      <c r="X18" s="347">
        <f t="shared" si="8"/>
        <v>0.9</v>
      </c>
      <c r="Y18" s="347">
        <f>SUMIF(BuffsDebuffs!$G:$G,"=" &amp; $A18,BuffsDebuffs!AI:AI)</f>
        <v>0</v>
      </c>
      <c r="Z18" s="347">
        <f t="shared" si="9"/>
        <v>0</v>
      </c>
      <c r="AA18" s="347">
        <f>SUMIF(BuffsDebuffs!$G:$G,"=" &amp; $A18,BuffsDebuffs!AK:AK)</f>
        <v>0</v>
      </c>
      <c r="AB18" s="347">
        <f t="shared" si="10"/>
        <v>0.3</v>
      </c>
      <c r="AC18" s="347">
        <f>SUMIF(BuffsDebuffs!$G:$G,"=" &amp; $A18,BuffsDebuffs!AM:AM)</f>
        <v>0</v>
      </c>
      <c r="AD18" s="347">
        <f t="shared" si="11"/>
        <v>0.25</v>
      </c>
      <c r="AE18" s="347">
        <f>SUMIF(BuffsDebuffs!$G:$G,"=" &amp; $A18,BuffsDebuffs!AO:AO)</f>
        <v>0</v>
      </c>
      <c r="AF18" s="347">
        <f t="shared" si="12"/>
        <v>0.25</v>
      </c>
      <c r="AG18" s="347">
        <f>SUMIF(BuffsDebuffs!$G:$G,"=" &amp; $A18,BuffsDebuffs!AQ:AQ)</f>
        <v>0</v>
      </c>
      <c r="AH18" s="347">
        <f t="shared" si="13"/>
        <v>0.25</v>
      </c>
      <c r="AI18" s="347">
        <f>SUMIF(BuffsDebuffs!$G:$G,"=" &amp; $A18,BuffsDebuffs!AS:AS)</f>
        <v>0</v>
      </c>
      <c r="AJ18" s="347">
        <f t="shared" si="14"/>
        <v>0</v>
      </c>
      <c r="AK18" s="347">
        <f>SUMIF(BuffsDebuffs!$G:$G,"=" &amp; $A18,BuffsDebuffs!AU:AU)</f>
        <v>0</v>
      </c>
      <c r="AL18" s="347">
        <f t="shared" si="15"/>
        <v>0</v>
      </c>
      <c r="AM18" s="347">
        <f>SUMIF(BuffsDebuffs!$G:$G,"=" &amp; $A18,BuffsDebuffs!AW:AW)</f>
        <v>0</v>
      </c>
    </row>
    <row r="19" spans="1:39" ht="7.5" customHeight="1" x14ac:dyDescent="0.2">
      <c r="A19" s="5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3"/>
    </row>
    <row r="20" spans="1:39" ht="12.75" x14ac:dyDescent="0.2">
      <c r="A20" s="612" t="s">
        <v>268</v>
      </c>
      <c r="B20" s="574"/>
      <c r="C20" s="574"/>
      <c r="D20" s="574"/>
      <c r="E20" s="574"/>
      <c r="F20" s="574"/>
      <c r="G20" s="574"/>
      <c r="H20" s="574"/>
      <c r="I20" s="574"/>
      <c r="J20" s="574"/>
      <c r="K20" s="574"/>
      <c r="L20" s="574"/>
      <c r="M20" s="574"/>
      <c r="N20" s="575"/>
      <c r="O20" s="149"/>
      <c r="P20" s="628" t="s">
        <v>269</v>
      </c>
      <c r="Q20" s="574"/>
      <c r="R20" s="574"/>
      <c r="S20" s="574"/>
      <c r="T20" s="574"/>
      <c r="U20" s="57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149"/>
      <c r="AI20" s="232"/>
      <c r="AJ20" s="232"/>
      <c r="AK20" s="232"/>
      <c r="AL20" s="149"/>
      <c r="AM20" s="149"/>
    </row>
    <row r="21" spans="1:39" ht="12.75" x14ac:dyDescent="0.2">
      <c r="A21" s="366" t="s">
        <v>109</v>
      </c>
      <c r="B21" s="82" t="s">
        <v>4</v>
      </c>
      <c r="C21" s="66" t="s">
        <v>270</v>
      </c>
      <c r="D21" s="66" t="s">
        <v>271</v>
      </c>
      <c r="E21" s="359" t="s">
        <v>272</v>
      </c>
      <c r="F21" s="151" t="s">
        <v>273</v>
      </c>
      <c r="G21" s="151" t="s">
        <v>274</v>
      </c>
      <c r="H21" s="151" t="s">
        <v>275</v>
      </c>
      <c r="I21" s="151" t="s">
        <v>72</v>
      </c>
      <c r="J21" s="66" t="s">
        <v>276</v>
      </c>
      <c r="K21" s="66" t="s">
        <v>277</v>
      </c>
      <c r="L21" s="367" t="s">
        <v>278</v>
      </c>
      <c r="M21" s="194" t="s">
        <v>94</v>
      </c>
      <c r="N21" s="368" t="s">
        <v>279</v>
      </c>
      <c r="O21" s="149"/>
      <c r="P21" s="365" t="str">
        <f>A31</f>
        <v>Will</v>
      </c>
      <c r="Q21" s="369" t="str">
        <f>A32</f>
        <v>Carter</v>
      </c>
      <c r="R21" s="369" t="str">
        <f>A33</f>
        <v>Joe</v>
      </c>
      <c r="S21" s="370" t="str">
        <f>A34</f>
        <v>Jake</v>
      </c>
      <c r="T21" s="371" t="str">
        <f>A35</f>
        <v>Jim</v>
      </c>
      <c r="U21" s="372" t="str">
        <f>A36</f>
        <v>Jordan</v>
      </c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149"/>
      <c r="AI21" s="232"/>
      <c r="AJ21" s="232"/>
      <c r="AK21" s="232"/>
      <c r="AL21" s="149"/>
      <c r="AM21" s="149"/>
    </row>
    <row r="22" spans="1:39" ht="12.75" x14ac:dyDescent="0.2">
      <c r="A22" s="202" t="str">
        <f>Input!$A$3</f>
        <v>Will</v>
      </c>
      <c r="B22" s="223" t="str">
        <f>Input!D3</f>
        <v>Air</v>
      </c>
      <c r="C22" s="373">
        <f>Input!K3</f>
        <v>0</v>
      </c>
      <c r="D22" s="373" t="str">
        <f t="shared" ref="D22:D27" si="16">CONCATENATE(B22," - ",C22)</f>
        <v>Air - 0</v>
      </c>
      <c r="E22" s="204">
        <f>SUMIF(Input!$B$67:$B$364,"=" &amp; $A22,Input!$F$67:$F$364)+SUMIF(Input!$H$67:$H$364,"=" &amp; $A22,Input!$I$67:$I$364)-(SUMIF(Input!$B$67:$B$364,"=" &amp; $A22,Input!$E$67:$E$364))</f>
        <v>0</v>
      </c>
      <c r="F22" s="301">
        <f t="shared" ref="F22:F27" si="17">ROUNDDOWN((E22),0)</f>
        <v>0</v>
      </c>
      <c r="G22" s="374">
        <f>IF(F22&gt;0,VLOOKUP(D22,Paths!$C$2:$I$28,F22+1,FALSE),0)</f>
        <v>0</v>
      </c>
      <c r="H22" s="301" t="str">
        <f>VLOOKUP(B22,Paths!$K$2:$N$7,3,FALSE)</f>
        <v>Dodge Success Rate</v>
      </c>
      <c r="I22" s="301" t="str">
        <f>VLOOKUP(B22,Paths!$K$2:$N$7,2,FALSE)</f>
        <v>Reaction</v>
      </c>
      <c r="J22" s="69">
        <f t="shared" ref="J22:J27" si="18">IF(AND($I22="Reaction",$H22="Block Success Rate"),$G22,0)</f>
        <v>0</v>
      </c>
      <c r="K22" s="69">
        <f t="shared" ref="K22:K27" si="19">IF(AND($I22="Reaction",$H22="Dodge Success Rate"),$G22,0)</f>
        <v>0</v>
      </c>
      <c r="L22" s="69">
        <f t="shared" ref="L22:L27" si="20">IF(AND($I22="Reaction",$H22="Parry Success Rate"),$G22,0)</f>
        <v>0</v>
      </c>
      <c r="M22" s="375">
        <f>VLOOKUP(C22,Paths!$P$2:$S$5,3,FALSE)</f>
        <v>0</v>
      </c>
      <c r="N22" s="283">
        <f>VLOOKUP(C22,Paths!$P$2:$S$5,4,FALSE)</f>
        <v>0</v>
      </c>
      <c r="O22" s="149"/>
      <c r="P22" s="376"/>
      <c r="Q22" s="377"/>
      <c r="R22" s="377"/>
      <c r="S22" s="377"/>
      <c r="T22" s="377"/>
      <c r="U22" s="378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149"/>
      <c r="AI22" s="232"/>
      <c r="AJ22" s="232"/>
      <c r="AK22" s="232"/>
      <c r="AL22" s="149"/>
      <c r="AM22" s="149"/>
    </row>
    <row r="23" spans="1:39" ht="12.75" x14ac:dyDescent="0.2">
      <c r="A23" s="202" t="str">
        <f>Input!$A$4</f>
        <v>Carter</v>
      </c>
      <c r="B23" s="352" t="str">
        <f>Input!D4</f>
        <v>Earth</v>
      </c>
      <c r="C23" s="362">
        <f>Input!K4</f>
        <v>0</v>
      </c>
      <c r="D23" s="362" t="str">
        <f t="shared" si="16"/>
        <v>Earth - 0</v>
      </c>
      <c r="E23" s="211">
        <f>SUMIF(Input!$B$67:$B$364,"=" &amp; $A23,Input!$F$67:$F$364)+SUMIF(Input!$H$67:$H$364,"=" &amp; $A23,Input!$I$67:$I$364)-(SUMIF(Input!$B$67:$B$364,"=" &amp; $A23,Input!$E$67:$E$364))</f>
        <v>0</v>
      </c>
      <c r="F23" s="303">
        <f t="shared" si="17"/>
        <v>0</v>
      </c>
      <c r="G23" s="347">
        <f>IF(F23&gt;0,VLOOKUP(D23,Paths!$C$2:$I$28,F23+1,FALSE),0)</f>
        <v>0</v>
      </c>
      <c r="H23" s="303" t="str">
        <f>VLOOKUP(B23,Paths!$K$2:$N$7,3,FALSE)</f>
        <v>Block Success Rate</v>
      </c>
      <c r="I23" s="303" t="str">
        <f>VLOOKUP(B23,Paths!$K$2:$N$7,2,FALSE)</f>
        <v>Action</v>
      </c>
      <c r="J23" s="345">
        <f t="shared" si="18"/>
        <v>0</v>
      </c>
      <c r="K23" s="345">
        <f t="shared" si="19"/>
        <v>0</v>
      </c>
      <c r="L23" s="345">
        <f t="shared" si="20"/>
        <v>0</v>
      </c>
      <c r="M23" s="375">
        <f>VLOOKUP(C23,Paths!$P$2:$S$5,3,FALSE)</f>
        <v>0</v>
      </c>
      <c r="N23" s="283">
        <f>VLOOKUP(C23,Paths!$P$2:$S$5,4,FALSE)</f>
        <v>0</v>
      </c>
      <c r="O23" s="149"/>
      <c r="P23" s="376"/>
      <c r="Q23" s="377"/>
      <c r="R23" s="377"/>
      <c r="S23" s="377"/>
      <c r="T23" s="377"/>
      <c r="U23" s="378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149"/>
      <c r="AI23" s="232"/>
      <c r="AJ23" s="232"/>
      <c r="AK23" s="232"/>
      <c r="AL23" s="149"/>
      <c r="AM23" s="149"/>
    </row>
    <row r="24" spans="1:39" ht="12.75" x14ac:dyDescent="0.2">
      <c r="A24" s="202" t="str">
        <f>Input!$A$5</f>
        <v>Joe</v>
      </c>
      <c r="B24" s="352" t="str">
        <f>Input!D5</f>
        <v>Shadow</v>
      </c>
      <c r="C24" s="362">
        <f>Input!K5</f>
        <v>0</v>
      </c>
      <c r="D24" s="362" t="str">
        <f t="shared" si="16"/>
        <v>Shadow - 0</v>
      </c>
      <c r="E24" s="211">
        <f>SUMIF(Input!$B$67:$B$364,"=" &amp; $A24,Input!$F$67:$F$364)+SUMIF(Input!$H$67:$H$364,"=" &amp; $A24,Input!$I$67:$I$364)-(SUMIF(Input!$B$67:$B$364,"=" &amp; $A24,Input!$E$67:$E$364))</f>
        <v>0</v>
      </c>
      <c r="F24" s="303">
        <f t="shared" si="17"/>
        <v>0</v>
      </c>
      <c r="G24" s="347">
        <f>IF(F24&gt;0,VLOOKUP(D24,Paths!$C$2:$I$28,F24+1,FALSE),0)</f>
        <v>0</v>
      </c>
      <c r="H24" s="303" t="str">
        <f>VLOOKUP(B24,Paths!$K$2:$N$7,3,FALSE)</f>
        <v>Parry Success Rate</v>
      </c>
      <c r="I24" s="303" t="str">
        <f>VLOOKUP(B24,Paths!$K$2:$N$7,2,FALSE)</f>
        <v>Action</v>
      </c>
      <c r="J24" s="345">
        <f t="shared" si="18"/>
        <v>0</v>
      </c>
      <c r="K24" s="345">
        <f t="shared" si="19"/>
        <v>0</v>
      </c>
      <c r="L24" s="345">
        <f t="shared" si="20"/>
        <v>0</v>
      </c>
      <c r="M24" s="375">
        <f>VLOOKUP(C24,Paths!$P$2:$S$5,3,FALSE)</f>
        <v>0</v>
      </c>
      <c r="N24" s="283">
        <f>VLOOKUP(C24,Paths!$P$2:$S$5,4,FALSE)</f>
        <v>0</v>
      </c>
      <c r="O24" s="149"/>
      <c r="P24" s="376"/>
      <c r="Q24" s="377"/>
      <c r="R24" s="377"/>
      <c r="S24" s="377"/>
      <c r="T24" s="377"/>
      <c r="U24" s="378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149"/>
      <c r="AI24" s="232"/>
      <c r="AJ24" s="232"/>
      <c r="AK24" s="232"/>
      <c r="AL24" s="149"/>
      <c r="AM24" s="149"/>
    </row>
    <row r="25" spans="1:39" ht="12.75" x14ac:dyDescent="0.2">
      <c r="A25" s="352" t="str">
        <f>Input!$A$6</f>
        <v>Jake</v>
      </c>
      <c r="B25" s="352" t="str">
        <f>Input!D6</f>
        <v>Earth</v>
      </c>
      <c r="C25" s="362">
        <f>Input!K6</f>
        <v>0</v>
      </c>
      <c r="D25" s="362" t="str">
        <f t="shared" si="16"/>
        <v>Earth - 0</v>
      </c>
      <c r="E25" s="211">
        <f>SUMIF(Input!$B$67:$B$364,"=" &amp; $A25,Input!$F$67:$F$364)+SUMIF(Input!$H$67:$H$364,"=" &amp; $A25,Input!$I$67:$I$364)-(SUMIF(Input!$B$67:$B$364,"=" &amp; $A25,Input!$E$67:$E$364))</f>
        <v>0</v>
      </c>
      <c r="F25" s="303">
        <f t="shared" si="17"/>
        <v>0</v>
      </c>
      <c r="G25" s="347">
        <f>IF(F25&gt;0,VLOOKUP(D25,Paths!$C$2:$I$28,F25+1,FALSE),0)</f>
        <v>0</v>
      </c>
      <c r="H25" s="303" t="str">
        <f>VLOOKUP(B25,Paths!$K$2:$N$7,3,FALSE)</f>
        <v>Block Success Rate</v>
      </c>
      <c r="I25" s="303" t="str">
        <f>VLOOKUP(B25,Paths!$K$2:$N$7,2,FALSE)</f>
        <v>Action</v>
      </c>
      <c r="J25" s="345">
        <f t="shared" si="18"/>
        <v>0</v>
      </c>
      <c r="K25" s="345">
        <f t="shared" si="19"/>
        <v>0</v>
      </c>
      <c r="L25" s="345">
        <f t="shared" si="20"/>
        <v>0</v>
      </c>
      <c r="M25" s="375">
        <f>VLOOKUP(C25,Paths!$P$2:$S$5,3,FALSE)</f>
        <v>0</v>
      </c>
      <c r="N25" s="283">
        <f>VLOOKUP(C25,Paths!$P$2:$S$5,4,FALSE)</f>
        <v>0</v>
      </c>
      <c r="O25" s="149"/>
      <c r="P25" s="376"/>
      <c r="Q25" s="377"/>
      <c r="R25" s="377"/>
      <c r="S25" s="377"/>
      <c r="T25" s="377"/>
      <c r="U25" s="378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149"/>
      <c r="AI25" s="232"/>
      <c r="AJ25" s="232"/>
      <c r="AK25" s="232"/>
      <c r="AL25" s="149"/>
      <c r="AM25" s="149"/>
    </row>
    <row r="26" spans="1:39" ht="12.75" x14ac:dyDescent="0.2">
      <c r="A26" s="224" t="str">
        <f>Input!$A$7</f>
        <v>Jim</v>
      </c>
      <c r="B26" s="352" t="str">
        <f>Input!D7</f>
        <v>Earth</v>
      </c>
      <c r="C26" s="362">
        <f>Input!K7</f>
        <v>0</v>
      </c>
      <c r="D26" s="362" t="str">
        <f t="shared" si="16"/>
        <v>Earth - 0</v>
      </c>
      <c r="E26" s="211">
        <f>SUMIF(Input!$B$67:$B$364,"=" &amp; $A26,Input!$F$67:$F$364)+SUMIF(Input!$H$67:$H$364,"=" &amp; $A26,Input!$I$67:$I$364)-(SUMIF(Input!$B$67:$B$364,"=" &amp; $A26,Input!$E$67:$E$364))</f>
        <v>0</v>
      </c>
      <c r="F26" s="303">
        <f t="shared" si="17"/>
        <v>0</v>
      </c>
      <c r="G26" s="347">
        <f>IF(F26&gt;0,VLOOKUP(D26,Paths!$C$2:$I$28,F26+1,FALSE),0)</f>
        <v>0</v>
      </c>
      <c r="H26" s="303" t="str">
        <f>VLOOKUP(B26,Paths!$K$2:$N$7,3,FALSE)</f>
        <v>Block Success Rate</v>
      </c>
      <c r="I26" s="303" t="str">
        <f>VLOOKUP(B26,Paths!$K$2:$N$7,2,FALSE)</f>
        <v>Action</v>
      </c>
      <c r="J26" s="345">
        <f t="shared" si="18"/>
        <v>0</v>
      </c>
      <c r="K26" s="345">
        <f t="shared" si="19"/>
        <v>0</v>
      </c>
      <c r="L26" s="345">
        <f t="shared" si="20"/>
        <v>0</v>
      </c>
      <c r="M26" s="375">
        <f>VLOOKUP(C26,Paths!$P$2:$S$5,3,FALSE)</f>
        <v>0</v>
      </c>
      <c r="N26" s="283">
        <f>VLOOKUP(C26,Paths!$P$2:$S$5,4,FALSE)</f>
        <v>0</v>
      </c>
      <c r="O26" s="149"/>
      <c r="P26" s="376"/>
      <c r="Q26" s="377"/>
      <c r="R26" s="377"/>
      <c r="S26" s="377"/>
      <c r="T26" s="377"/>
      <c r="U26" s="378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149"/>
      <c r="AI26" s="232"/>
      <c r="AJ26" s="232"/>
      <c r="AK26" s="232"/>
      <c r="AL26" s="149"/>
      <c r="AM26" s="149"/>
    </row>
    <row r="27" spans="1:39" ht="12.75" x14ac:dyDescent="0.2">
      <c r="A27" s="224" t="str">
        <f>Input!$A$8</f>
        <v>Jordan</v>
      </c>
      <c r="B27" s="379" t="str">
        <f>Input!D8</f>
        <v>Earth</v>
      </c>
      <c r="C27" s="380">
        <f>Input!K8</f>
        <v>0</v>
      </c>
      <c r="D27" s="380" t="str">
        <f t="shared" si="16"/>
        <v>Earth - 0</v>
      </c>
      <c r="E27" s="229">
        <f>SUMIF(Input!$B$67:$B$364,"=" &amp; $A27,Input!$F$67:$F$364)+SUMIF(Input!$H$67:$H$364,"=" &amp; $A27,Input!$I$67:$I$364)-(SUMIF(Input!$B$67:$B$364,"=" &amp; $A27,Input!$E$67:$E$364))</f>
        <v>0</v>
      </c>
      <c r="F27" s="242">
        <f t="shared" si="17"/>
        <v>0</v>
      </c>
      <c r="G27" s="355">
        <f>IF(F27&gt;0,VLOOKUP(D27,Paths!$C$2:$I$28,F27+1,FALSE),0)</f>
        <v>0</v>
      </c>
      <c r="H27" s="242" t="str">
        <f>VLOOKUP(B27,Paths!$K$2:$N$7,3,FALSE)</f>
        <v>Block Success Rate</v>
      </c>
      <c r="I27" s="242" t="str">
        <f>VLOOKUP(B27,Paths!$K$2:$N$7,2,FALSE)</f>
        <v>Action</v>
      </c>
      <c r="J27" s="76">
        <f t="shared" si="18"/>
        <v>0</v>
      </c>
      <c r="K27" s="76">
        <f t="shared" si="19"/>
        <v>0</v>
      </c>
      <c r="L27" s="76">
        <f t="shared" si="20"/>
        <v>0</v>
      </c>
      <c r="M27" s="375">
        <f>VLOOKUP(C27,Paths!$P$2:$S$5,3,FALSE)</f>
        <v>0</v>
      </c>
      <c r="N27" s="283">
        <f>VLOOKUP(C27,Paths!$P$2:$S$5,4,FALSE)</f>
        <v>0</v>
      </c>
      <c r="O27" s="149"/>
      <c r="P27" s="376"/>
      <c r="Q27" s="377"/>
      <c r="R27" s="377"/>
      <c r="S27" s="377"/>
      <c r="T27" s="377"/>
      <c r="U27" s="378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149"/>
      <c r="AI27" s="232"/>
      <c r="AJ27" s="232"/>
      <c r="AK27" s="232"/>
      <c r="AL27" s="149"/>
      <c r="AM27" s="149"/>
    </row>
    <row r="28" spans="1:39" ht="7.5" customHeight="1" x14ac:dyDescent="0.2">
      <c r="A28" s="381"/>
      <c r="B28" s="94"/>
      <c r="C28" s="94"/>
      <c r="D28" s="94"/>
      <c r="E28" s="94"/>
      <c r="F28" s="94"/>
      <c r="G28" s="94"/>
      <c r="H28" s="94"/>
      <c r="I28" s="94"/>
      <c r="J28" s="382"/>
      <c r="K28" s="383"/>
      <c r="L28" s="383"/>
      <c r="M28" s="193"/>
      <c r="N28" s="320"/>
      <c r="O28" s="278"/>
      <c r="P28" s="320"/>
      <c r="Q28" s="320"/>
      <c r="R28" s="320"/>
      <c r="S28" s="320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149"/>
      <c r="AG28" s="232"/>
      <c r="AH28" s="232"/>
      <c r="AI28" s="232"/>
      <c r="AJ28" s="149"/>
      <c r="AK28" s="149"/>
      <c r="AL28" s="232"/>
      <c r="AM28" s="232"/>
    </row>
    <row r="29" spans="1:39" ht="12.75" x14ac:dyDescent="0.2">
      <c r="A29" s="612" t="s">
        <v>280</v>
      </c>
      <c r="B29" s="574"/>
      <c r="C29" s="574"/>
      <c r="D29" s="574"/>
      <c r="E29" s="574"/>
      <c r="F29" s="574"/>
      <c r="G29" s="574"/>
      <c r="H29" s="574"/>
      <c r="I29" s="574"/>
      <c r="J29" s="611" t="s">
        <v>137</v>
      </c>
      <c r="K29" s="574"/>
      <c r="L29" s="575"/>
      <c r="M29" s="149"/>
      <c r="N29" s="278"/>
      <c r="O29" s="278"/>
      <c r="P29" s="278"/>
      <c r="Q29" s="278"/>
      <c r="R29" s="278"/>
      <c r="S29" s="278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149"/>
      <c r="AG29" s="232"/>
      <c r="AH29" s="232"/>
      <c r="AI29" s="232"/>
      <c r="AJ29" s="149"/>
      <c r="AK29" s="149"/>
      <c r="AL29" s="232"/>
      <c r="AM29" s="232"/>
    </row>
    <row r="30" spans="1:39" ht="12.75" x14ac:dyDescent="0.2">
      <c r="A30" s="150" t="s">
        <v>109</v>
      </c>
      <c r="B30" s="82" t="s">
        <v>238</v>
      </c>
      <c r="C30" s="279" t="s">
        <v>281</v>
      </c>
      <c r="D30" s="151" t="s">
        <v>282</v>
      </c>
      <c r="E30" s="279" t="s">
        <v>283</v>
      </c>
      <c r="F30" s="67" t="s">
        <v>109</v>
      </c>
      <c r="G30" s="151" t="s">
        <v>85</v>
      </c>
      <c r="H30" s="279" t="s">
        <v>140</v>
      </c>
      <c r="I30" s="279" t="s">
        <v>238</v>
      </c>
      <c r="J30" s="67" t="s">
        <v>109</v>
      </c>
      <c r="K30" s="151" t="s">
        <v>85</v>
      </c>
      <c r="L30" s="281" t="s">
        <v>140</v>
      </c>
      <c r="M30" s="149"/>
      <c r="N30" s="384" t="s">
        <v>284</v>
      </c>
      <c r="O30" s="49"/>
      <c r="P30" s="278"/>
      <c r="Q30" s="49"/>
      <c r="R30" s="49"/>
      <c r="S30" s="49"/>
      <c r="T30" s="35"/>
      <c r="U30" s="35"/>
      <c r="V30" s="35"/>
      <c r="W30" s="35"/>
      <c r="X30" s="149"/>
      <c r="Y30" s="149"/>
      <c r="Z30" s="149"/>
      <c r="AA30" s="232"/>
      <c r="AB30" s="232"/>
      <c r="AC30" s="232"/>
      <c r="AD30" s="149"/>
      <c r="AE30" s="149"/>
      <c r="AF30" s="232"/>
      <c r="AG30" s="232"/>
      <c r="AH30" s="232"/>
      <c r="AI30" s="232"/>
      <c r="AJ30" s="232"/>
      <c r="AK30" s="232"/>
      <c r="AL30" s="232"/>
      <c r="AM30" s="232"/>
    </row>
    <row r="31" spans="1:39" ht="12.75" x14ac:dyDescent="0.2">
      <c r="A31" s="241" t="str">
        <f>Input!$A$3</f>
        <v>Will</v>
      </c>
      <c r="B31" s="303">
        <f>IF(Input!B22="","", VLOOKUP(Input!B22,$S$4:$T$8,2,FALSE))</f>
        <v>3</v>
      </c>
      <c r="C31" s="363">
        <f t="shared" ref="C31:C36" si="21">H13</f>
        <v>5</v>
      </c>
      <c r="D31" s="385">
        <f>C31+Input!F22</f>
        <v>5</v>
      </c>
      <c r="E31" s="323">
        <f>IF(Input!D22="","",VLOOKUP(Input!D22,$A$13:$H$18,8,FALSE))</f>
        <v>5</v>
      </c>
      <c r="F31" s="164" t="str">
        <f t="shared" ref="F31:F36" si="22">A31</f>
        <v>Will</v>
      </c>
      <c r="G31" s="301" t="str">
        <f>Input!B22</f>
        <v>Attack</v>
      </c>
      <c r="H31" s="311" t="str">
        <f>Input!D22</f>
        <v>Jake</v>
      </c>
      <c r="I31" s="312">
        <f t="shared" ref="I31:I36" si="23">B31</f>
        <v>3</v>
      </c>
      <c r="J31" s="195" t="s">
        <v>52</v>
      </c>
      <c r="K31" s="311"/>
      <c r="L31" s="312"/>
      <c r="M31" s="149"/>
      <c r="N31" s="238"/>
      <c r="O31" s="238"/>
      <c r="P31" s="149"/>
      <c r="Q31" s="35"/>
      <c r="R31" s="35"/>
      <c r="S31" s="35"/>
      <c r="T31" s="35"/>
      <c r="U31" s="35"/>
      <c r="V31" s="35"/>
      <c r="W31" s="35"/>
      <c r="X31" s="149"/>
      <c r="Y31" s="149"/>
      <c r="Z31" s="149"/>
      <c r="AA31" s="232"/>
      <c r="AB31" s="232"/>
      <c r="AC31" s="232"/>
      <c r="AD31" s="149"/>
      <c r="AE31" s="149"/>
      <c r="AF31" s="232"/>
      <c r="AG31" s="232"/>
      <c r="AH31" s="232"/>
      <c r="AI31" s="149"/>
      <c r="AJ31" s="232"/>
      <c r="AK31" s="232"/>
      <c r="AL31" s="232"/>
      <c r="AM31" s="232"/>
    </row>
    <row r="32" spans="1:39" ht="12.75" x14ac:dyDescent="0.2">
      <c r="A32" s="243" t="str">
        <f>Input!$A$4</f>
        <v>Carter</v>
      </c>
      <c r="B32" s="303" t="str">
        <f>IF(Input!B23="","", VLOOKUP(Input!B23,$S$4:$T$8,2,FALSE))</f>
        <v/>
      </c>
      <c r="C32" s="363">
        <f t="shared" si="21"/>
        <v>5</v>
      </c>
      <c r="D32" s="385">
        <f>C32+Input!F23</f>
        <v>5</v>
      </c>
      <c r="E32" s="323" t="str">
        <f>IF(Input!D23="","",VLOOKUP(Input!D23,$A$13:$H$18,8,FALSE))</f>
        <v/>
      </c>
      <c r="F32" s="250" t="str">
        <f t="shared" si="22"/>
        <v>Carter</v>
      </c>
      <c r="G32" s="303">
        <f>Input!B23</f>
        <v>0</v>
      </c>
      <c r="H32" s="323">
        <f>Input!D23</f>
        <v>0</v>
      </c>
      <c r="I32" s="386" t="str">
        <f t="shared" si="23"/>
        <v/>
      </c>
      <c r="J32" s="387" t="s">
        <v>104</v>
      </c>
      <c r="K32" s="323"/>
      <c r="L32" s="386"/>
      <c r="M32" s="149"/>
      <c r="N32" s="278"/>
      <c r="O32" s="278"/>
      <c r="P32" s="149"/>
      <c r="Q32" s="35"/>
      <c r="R32" s="35"/>
      <c r="S32" s="35"/>
      <c r="T32" s="35"/>
      <c r="U32" s="35"/>
      <c r="V32" s="35"/>
      <c r="W32" s="35"/>
      <c r="X32" s="149"/>
      <c r="Y32" s="149"/>
      <c r="Z32" s="149"/>
      <c r="AA32" s="232"/>
      <c r="AB32" s="232"/>
      <c r="AC32" s="232"/>
      <c r="AD32" s="149"/>
      <c r="AE32" s="149"/>
      <c r="AF32" s="232"/>
      <c r="AG32" s="232"/>
      <c r="AH32" s="232"/>
      <c r="AI32" s="149"/>
      <c r="AJ32" s="232"/>
      <c r="AK32" s="232"/>
      <c r="AL32" s="232"/>
      <c r="AM32" s="232"/>
    </row>
    <row r="33" spans="1:39" ht="12.75" x14ac:dyDescent="0.2">
      <c r="A33" s="243" t="str">
        <f>Input!$A$5</f>
        <v>Joe</v>
      </c>
      <c r="B33" s="303" t="str">
        <f>IF(Input!B24="","", VLOOKUP(Input!B24,$S$4:$T$8,2,FALSE))</f>
        <v/>
      </c>
      <c r="C33" s="363">
        <f t="shared" si="21"/>
        <v>5</v>
      </c>
      <c r="D33" s="385">
        <f>C33+Input!F24</f>
        <v>5</v>
      </c>
      <c r="E33" s="323" t="str">
        <f>IF(Input!D24="","",VLOOKUP(Input!D24,$A$13:$H$18,8,FALSE))</f>
        <v/>
      </c>
      <c r="F33" s="250" t="str">
        <f t="shared" si="22"/>
        <v>Joe</v>
      </c>
      <c r="G33" s="303">
        <f>Input!B24</f>
        <v>0</v>
      </c>
      <c r="H33" s="323">
        <f>Input!D24</f>
        <v>0</v>
      </c>
      <c r="I33" s="386" t="str">
        <f t="shared" si="23"/>
        <v/>
      </c>
      <c r="J33" s="387" t="s">
        <v>105</v>
      </c>
      <c r="K33" s="323"/>
      <c r="L33" s="386"/>
      <c r="M33" s="149"/>
      <c r="N33" s="278"/>
      <c r="O33" s="278"/>
      <c r="P33" s="149"/>
      <c r="Q33" s="35"/>
      <c r="R33" s="35"/>
      <c r="S33" s="35"/>
      <c r="T33" s="35"/>
      <c r="U33" s="35"/>
      <c r="V33" s="35"/>
      <c r="W33" s="35"/>
      <c r="X33" s="149"/>
      <c r="Y33" s="149"/>
      <c r="Z33" s="149"/>
      <c r="AA33" s="232"/>
      <c r="AB33" s="232"/>
      <c r="AC33" s="232"/>
      <c r="AD33" s="149"/>
      <c r="AE33" s="149"/>
      <c r="AF33" s="232"/>
      <c r="AG33" s="232"/>
      <c r="AH33" s="232"/>
      <c r="AI33" s="149"/>
      <c r="AJ33" s="232"/>
      <c r="AK33" s="232"/>
      <c r="AL33" s="232"/>
      <c r="AM33" s="232"/>
    </row>
    <row r="34" spans="1:39" ht="12.75" x14ac:dyDescent="0.2">
      <c r="A34" s="364" t="str">
        <f>Input!$A$6</f>
        <v>Jake</v>
      </c>
      <c r="B34" s="303" t="str">
        <f>IF(Input!B25="","", VLOOKUP(Input!B25,$S$4:$T$8,2,FALSE))</f>
        <v/>
      </c>
      <c r="C34" s="363">
        <f t="shared" si="21"/>
        <v>5</v>
      </c>
      <c r="D34" s="385">
        <f>C34+Input!F25</f>
        <v>5</v>
      </c>
      <c r="E34" s="323" t="str">
        <f>IF(Input!D25="","",VLOOKUP(Input!D25,$A$13:$H$18,8,FALSE))</f>
        <v/>
      </c>
      <c r="F34" s="388" t="str">
        <f t="shared" si="22"/>
        <v>Jake</v>
      </c>
      <c r="G34" s="303">
        <f>Input!B25</f>
        <v>0</v>
      </c>
      <c r="H34" s="323">
        <f>Input!D25</f>
        <v>0</v>
      </c>
      <c r="I34" s="386" t="str">
        <f t="shared" si="23"/>
        <v/>
      </c>
      <c r="J34" s="389" t="s">
        <v>285</v>
      </c>
      <c r="K34" s="323"/>
      <c r="L34" s="386"/>
      <c r="M34" s="149"/>
      <c r="N34" s="278"/>
      <c r="O34" s="278"/>
      <c r="P34" s="149"/>
      <c r="Q34" s="35"/>
      <c r="R34" s="35"/>
      <c r="S34" s="35"/>
      <c r="T34" s="35"/>
      <c r="U34" s="35"/>
      <c r="V34" s="35"/>
      <c r="W34" s="35"/>
      <c r="X34" s="149"/>
      <c r="Y34" s="149"/>
      <c r="Z34" s="149"/>
      <c r="AA34" s="232"/>
      <c r="AB34" s="232"/>
      <c r="AC34" s="232"/>
      <c r="AD34" s="149"/>
      <c r="AE34" s="149"/>
      <c r="AF34" s="232"/>
      <c r="AG34" s="232"/>
      <c r="AH34" s="232"/>
      <c r="AI34" s="149"/>
      <c r="AJ34" s="232"/>
      <c r="AK34" s="232"/>
      <c r="AL34" s="232"/>
      <c r="AM34" s="232"/>
    </row>
    <row r="35" spans="1:39" ht="12.75" x14ac:dyDescent="0.2">
      <c r="A35" s="266" t="str">
        <f>Input!$A$7</f>
        <v>Jim</v>
      </c>
      <c r="B35" s="303" t="str">
        <f>IF(Input!B26="","", VLOOKUP(Input!B26,$S$4:$T$8,2,FALSE))</f>
        <v/>
      </c>
      <c r="C35" s="363">
        <f t="shared" si="21"/>
        <v>5</v>
      </c>
      <c r="D35" s="385">
        <f>C35+Input!F26</f>
        <v>5</v>
      </c>
      <c r="E35" s="323" t="str">
        <f>IF(Input!D26="","",VLOOKUP(Input!D26,$A$13:$H$18,8,FALSE))</f>
        <v/>
      </c>
      <c r="F35" s="390" t="str">
        <f t="shared" si="22"/>
        <v>Jim</v>
      </c>
      <c r="G35" s="303">
        <f>Input!B26</f>
        <v>0</v>
      </c>
      <c r="H35" s="323">
        <f>Input!D26</f>
        <v>0</v>
      </c>
      <c r="I35" s="386" t="str">
        <f t="shared" si="23"/>
        <v/>
      </c>
      <c r="J35" s="391" t="s">
        <v>286</v>
      </c>
      <c r="K35" s="323"/>
      <c r="L35" s="386"/>
      <c r="M35" s="149"/>
      <c r="N35" s="278"/>
      <c r="O35" s="278"/>
      <c r="P35" s="149"/>
      <c r="Q35" s="35"/>
      <c r="R35" s="35"/>
      <c r="S35" s="35"/>
      <c r="T35" s="35"/>
      <c r="U35" s="35"/>
      <c r="V35" s="35"/>
      <c r="W35" s="35"/>
      <c r="X35" s="149"/>
      <c r="Y35" s="149"/>
      <c r="Z35" s="149"/>
      <c r="AA35" s="392"/>
      <c r="AB35" s="392"/>
      <c r="AC35" s="392"/>
      <c r="AD35" s="149"/>
      <c r="AE35" s="149"/>
      <c r="AF35" s="232"/>
      <c r="AG35" s="232"/>
      <c r="AH35" s="232"/>
      <c r="AI35" s="149"/>
      <c r="AJ35" s="232"/>
      <c r="AK35" s="232"/>
      <c r="AL35" s="232"/>
      <c r="AM35" s="232"/>
    </row>
    <row r="36" spans="1:39" ht="12.75" x14ac:dyDescent="0.2">
      <c r="A36" s="269" t="str">
        <f>Input!$A$8</f>
        <v>Jordan</v>
      </c>
      <c r="B36" s="303" t="str">
        <f>IF(Input!B27="","", VLOOKUP(Input!B27,$S$4:$T$8,2,FALSE))</f>
        <v/>
      </c>
      <c r="C36" s="363">
        <f t="shared" si="21"/>
        <v>5</v>
      </c>
      <c r="D36" s="385">
        <f>C36+Input!F27</f>
        <v>5</v>
      </c>
      <c r="E36" s="323" t="str">
        <f>IF(Input!D27="","",VLOOKUP(Input!D27,$A$13:$H$18,8,FALSE))</f>
        <v/>
      </c>
      <c r="F36" s="393" t="str">
        <f t="shared" si="22"/>
        <v>Jordan</v>
      </c>
      <c r="G36" s="242">
        <f>Input!B27</f>
        <v>0</v>
      </c>
      <c r="H36" s="361">
        <f>Input!D27</f>
        <v>0</v>
      </c>
      <c r="I36" s="394" t="str">
        <f t="shared" si="23"/>
        <v/>
      </c>
      <c r="J36" s="395" t="s">
        <v>287</v>
      </c>
      <c r="K36" s="361"/>
      <c r="L36" s="394"/>
      <c r="M36" s="149"/>
      <c r="N36" s="278"/>
      <c r="O36" s="278"/>
      <c r="P36" s="149"/>
      <c r="Q36" s="35"/>
      <c r="R36" s="35"/>
      <c r="S36" s="35"/>
      <c r="T36" s="35"/>
      <c r="U36" s="35"/>
      <c r="V36" s="35"/>
      <c r="W36" s="35"/>
      <c r="X36" s="149"/>
      <c r="Y36" s="149"/>
      <c r="Z36" s="149"/>
      <c r="AA36" s="392"/>
      <c r="AB36" s="392"/>
      <c r="AC36" s="392"/>
      <c r="AD36" s="149"/>
      <c r="AE36" s="149"/>
      <c r="AF36" s="232"/>
      <c r="AG36" s="232"/>
      <c r="AH36" s="232"/>
      <c r="AI36" s="149"/>
      <c r="AJ36" s="232"/>
      <c r="AK36" s="232"/>
      <c r="AL36" s="232"/>
      <c r="AM36" s="232"/>
    </row>
    <row r="37" spans="1:39" ht="7.5" customHeight="1" x14ac:dyDescent="0.2">
      <c r="A37" s="39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277"/>
      <c r="M37" s="357"/>
      <c r="N37" s="74"/>
      <c r="O37" s="35"/>
      <c r="P37" s="357"/>
      <c r="Q37" s="74"/>
      <c r="R37" s="74"/>
      <c r="S37" s="74"/>
      <c r="T37" s="149"/>
      <c r="U37" s="232"/>
      <c r="V37" s="232"/>
      <c r="W37" s="232"/>
      <c r="X37" s="149"/>
      <c r="Y37" s="149"/>
      <c r="Z37" s="232"/>
      <c r="AA37" s="232"/>
      <c r="AB37" s="232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</row>
    <row r="38" spans="1:39" ht="12.75" x14ac:dyDescent="0.2">
      <c r="B38" s="626" t="s">
        <v>146</v>
      </c>
      <c r="C38" s="565"/>
      <c r="D38" s="565"/>
      <c r="E38" s="566"/>
      <c r="F38" s="626" t="s">
        <v>147</v>
      </c>
      <c r="G38" s="565"/>
      <c r="H38" s="565"/>
      <c r="I38" s="566"/>
      <c r="J38" s="611" t="s">
        <v>288</v>
      </c>
      <c r="K38" s="574"/>
      <c r="L38" s="614" t="s">
        <v>289</v>
      </c>
      <c r="M38" s="574"/>
      <c r="N38" s="574"/>
      <c r="O38" s="575"/>
      <c r="P38" s="599"/>
      <c r="Q38" s="574"/>
      <c r="R38" s="574"/>
      <c r="S38" s="574"/>
      <c r="T38" s="574"/>
      <c r="U38" s="574"/>
      <c r="V38" s="574"/>
      <c r="W38" s="574"/>
      <c r="X38" s="574"/>
      <c r="Y38" s="574"/>
      <c r="Z38" s="574"/>
      <c r="AA38" s="574"/>
      <c r="AB38" s="574"/>
      <c r="AC38" s="574"/>
      <c r="AD38" s="575"/>
      <c r="AE38" s="595" t="s">
        <v>149</v>
      </c>
      <c r="AF38" s="574"/>
      <c r="AG38" s="575"/>
      <c r="AH38" s="149"/>
      <c r="AI38" s="149"/>
      <c r="AJ38" s="149"/>
      <c r="AK38" s="149"/>
      <c r="AL38" s="149"/>
      <c r="AM38" s="149"/>
    </row>
    <row r="39" spans="1:39" ht="12.75" x14ac:dyDescent="0.2">
      <c r="A39" s="239" t="s">
        <v>138</v>
      </c>
      <c r="B39" s="239" t="s">
        <v>290</v>
      </c>
      <c r="C39" s="279" t="s">
        <v>291</v>
      </c>
      <c r="D39" s="279" t="s">
        <v>292</v>
      </c>
      <c r="E39" s="281" t="s">
        <v>293</v>
      </c>
      <c r="F39" s="239" t="s">
        <v>281</v>
      </c>
      <c r="G39" s="279" t="s">
        <v>283</v>
      </c>
      <c r="H39" s="279" t="s">
        <v>294</v>
      </c>
      <c r="I39" s="151" t="s">
        <v>295</v>
      </c>
      <c r="J39" s="239" t="s">
        <v>296</v>
      </c>
      <c r="K39" s="279" t="s">
        <v>297</v>
      </c>
      <c r="L39" s="194" t="s">
        <v>298</v>
      </c>
      <c r="M39" s="279" t="s">
        <v>299</v>
      </c>
      <c r="N39" s="279" t="s">
        <v>300</v>
      </c>
      <c r="O39" s="281" t="s">
        <v>301</v>
      </c>
      <c r="P39" s="279" t="s">
        <v>302</v>
      </c>
      <c r="Q39" s="279" t="s">
        <v>303</v>
      </c>
      <c r="R39" s="279" t="s">
        <v>304</v>
      </c>
      <c r="S39" s="279" t="s">
        <v>305</v>
      </c>
      <c r="T39" s="279" t="s">
        <v>306</v>
      </c>
      <c r="U39" s="151" t="s">
        <v>307</v>
      </c>
      <c r="V39" s="151" t="s">
        <v>308</v>
      </c>
      <c r="W39" s="397" t="s">
        <v>309</v>
      </c>
      <c r="X39" s="397" t="s">
        <v>310</v>
      </c>
      <c r="Y39" s="239" t="s">
        <v>165</v>
      </c>
      <c r="Z39" s="279" t="s">
        <v>311</v>
      </c>
      <c r="AA39" s="367" t="s">
        <v>174</v>
      </c>
      <c r="AB39" s="279" t="s">
        <v>164</v>
      </c>
      <c r="AC39" s="279" t="s">
        <v>312</v>
      </c>
      <c r="AD39" s="368" t="s">
        <v>173</v>
      </c>
      <c r="AE39" s="279" t="s">
        <v>313</v>
      </c>
      <c r="AF39" s="279" t="s">
        <v>314</v>
      </c>
      <c r="AG39" s="150" t="s">
        <v>315</v>
      </c>
      <c r="AH39" s="149"/>
      <c r="AI39" s="149"/>
      <c r="AJ39" s="149"/>
      <c r="AK39" s="149"/>
      <c r="AL39" s="149"/>
      <c r="AM39" s="149"/>
    </row>
    <row r="40" spans="1:39" ht="12.75" x14ac:dyDescent="0.2">
      <c r="A40" s="398">
        <f>Input!A32</f>
        <v>0</v>
      </c>
      <c r="B40" s="387" t="str">
        <f>IF(Input!A32="","",(VLOOKUP(VLOOKUP(Input!A32,Input!$A$3:$C$8,3,FALSE),$AB$59:$AC$68,2,FALSE)*10+VLOOKUP(VLOOKUP(Input!A32,Input!$A$3:$C$8,2,FALSE),$AB$71:$AC$80,2,FALSE))/10)</f>
        <v/>
      </c>
      <c r="C40" s="323" t="str">
        <f>IF(Input!D32="","",(VLOOKUP(VLOOKUP(Input!D32,Input!$A$3:$C$8,3,FALSE),$AB$59:$AC$68,2,FALSE)*10+VLOOKUP(VLOOKUP(Input!D32,Input!$A$3:$C$8,2,FALSE),$AB$71:$AC$80,2,FALSE))/10)</f>
        <v/>
      </c>
      <c r="D40" s="348">
        <f>IF(OR(Input!B32="Attack",Input!B32="Special",Input!B32="Group",Input!B32="Counter"),IF(AND(B40&gt;C40,B40-C40&gt;=0.5),((B40-C40)*3)/10,0),0)</f>
        <v>0</v>
      </c>
      <c r="E40" s="386" t="str">
        <f>IF(Input!F32="","",IF(Input!F32/20&gt;=1-D40,1,0))</f>
        <v/>
      </c>
      <c r="F40" s="323" t="str">
        <f>IF(Input!A32="","",IF(OR(Input!B32="Attack",Input!B32="Special",Input!B32="Group"),VLOOKUP(A40,$A$31:$D$36,3,FALSE),VLOOKUP(A40,$A$13:$H$18,8,FALSE)))</f>
        <v/>
      </c>
      <c r="G40" s="323" t="str">
        <f>IF(Input!D32="","",VLOOKUP(Input!D32,$A$13:$H$18,8,FALSE))</f>
        <v/>
      </c>
      <c r="H40" s="348">
        <f t="shared" ref="H40:H54" si="24">IF(G40="",0,IF(F40&gt;G40,(F40-G40)/G40,0))</f>
        <v>0</v>
      </c>
      <c r="I40" s="399" t="str">
        <f>IF(Input!G32="","",IF(Input!G32/20&gt;=1-H40,1,0))</f>
        <v/>
      </c>
      <c r="J40" s="400" t="e">
        <f t="shared" ref="J40:J54" si="25">IF(A40="",0,IF(VLOOKUP(A40,$A$22:$I$27,9,FALSE)="Action",VLOOKUP(A40,$A$22:$I$27,7,FALSE),0))</f>
        <v>#N/A</v>
      </c>
      <c r="K40" s="323" t="e">
        <f t="shared" ref="K40:K54" si="26">IF(J40=0,"",VLOOKUP(A40,$A$22:$I$27,8,FALSE))</f>
        <v>#N/A</v>
      </c>
      <c r="L40" s="375" t="str">
        <f>IF(Input!B32="","",IF(OR(Input!B32="Attack",Input!B32="Counter"),VLOOKUP(A40,$A$13:$AM$18,6,FALSE),0))</f>
        <v/>
      </c>
      <c r="M40" s="401" t="str">
        <f>IF(Input!B32="","",IF(Input!B32="Special",VLOOKUP(A40,$A$13:$AM$18,6,FALSE)*(1+(Input!E32/10)),0))</f>
        <v/>
      </c>
      <c r="N40" s="401" t="str">
        <f>IF(Input!B32="","",IF(Input!B32="Group",1,0))</f>
        <v/>
      </c>
      <c r="O40" s="402" t="e">
        <f>IF(E40=1,VLOOKUP(Input!D32,Input!$A$11:$C$16,3,FALSE), MROUND(L40+M40+N40,0.25))</f>
        <v>#VALUE!</v>
      </c>
      <c r="P40" s="401">
        <f>IF(Input!H32="Defenseless",O40,0)*-1</f>
        <v>0</v>
      </c>
      <c r="Q40" s="323" t="str">
        <f>IF(Input!D32="","",VLOOKUP(Input!D32,$A$13:$AM$18,10,FALSE)+IF(K40="Block Success Rate",J40,0))</f>
        <v/>
      </c>
      <c r="R40" s="299">
        <f>IF(Input!H32="Block",IF(Input!I32=20,0,IF(Input!I32/20&gt;=1-Q40,(1-VLOOKUP(Input!D32,$A$13:$Z$18,12,FALSE))*O40,(1-VLOOKUP(Input!D32,$A$13:$Z$18,14,FALSE))*O40))*-1,0)</f>
        <v>0</v>
      </c>
      <c r="S40" s="251" t="str">
        <f>IF(Input!D32="","",VLOOKUP(Input!D32,$A$13:$AM$18,16,FALSE)+IF(K40="Dodge Success Rate",J40,0))</f>
        <v/>
      </c>
      <c r="T40" s="299">
        <f>IF(Input!H32="Dodge",IF(Input!I32=20,0,IF(Input!I32/20&gt;=1-S40,(1-VLOOKUP(Input!D32,$A$13:$Z$18,18,FALSE))*VLOOKUP(A40,$A$31:$D$36,4,FALSE),(1-VLOOKUP(Input!D32,$A$13:$Z$18,20,FALSE))*O40))*-1,0)</f>
        <v>0</v>
      </c>
      <c r="U40" s="125" t="str">
        <f>IF(Input!D32="","",VLOOKUP(Input!D32,$A$13:$AM$18,22,FALSE)+IF(K40="Parry Success Rate",J40,0))</f>
        <v/>
      </c>
      <c r="V40" s="299">
        <f>IF(Input!H32="Parry",IF(Input!I32=20,0,IF(Input!I32/20&gt;=1-U40,(1-VLOOKUP(Input!D32,$A$13:$Z$18,24,FALSE))*O40,(1-VLOOKUP(Input!D32,$A$13:$Z$18,26,FALSE))*O40))*-1,0)</f>
        <v>0</v>
      </c>
      <c r="W40" s="348">
        <f>IF(Input!H32="Block",Q40,IF(Input!H32="Dodge",S40,IF(Input!H32="Parry",U40,0)))</f>
        <v>0</v>
      </c>
      <c r="X40" s="323" t="str">
        <f>IF(Input!H32="Defenseless",0,IF(Input!I32="","",IF(Input!I32/20&gt;=1-W40,1,0)))</f>
        <v/>
      </c>
      <c r="Y40" s="403">
        <f t="shared" ref="Y40:Y54" si="27">IFERROR(MEDIAN(0,ROUND(P40+R40+T40+V40,-0.25)*-1,VLOOKUP(A40,$A$13:$B$18,2,FALSE))*-1,0)</f>
        <v>0</v>
      </c>
      <c r="Z40" s="212" t="e">
        <f>ROUND(IF(AND(Input!H32="Dodge",X40=1),O40,O40+Y40),0.25)</f>
        <v>#VALUE!</v>
      </c>
      <c r="AA40" s="404">
        <f>IFERROR(IF(AA57+VLOOKUP(Input!D32,$A$22:$E$27,5,FALSE)&gt;6,6-VLOOKUP(Input!D32,$A$22:$E$27,5,FALSE),AA57),0)</f>
        <v>0</v>
      </c>
      <c r="AB40" s="404">
        <f t="shared" ref="AB40:AB54" si="28">IF(Z58&gt;0,IF(Z58&gt;VLOOKUP(A40,$A$13:$AM$18,2,FALSE)-VLOOKUP(A40,$A$13:$AM$18,3,FALSE),VLOOKUP(A40,$A$13:$AM$18,2,FALSE)-VLOOKUP(A40,$A$13:$AM$18,3,FALSE),Z58),Y58)</f>
        <v>0</v>
      </c>
      <c r="AC40" s="212">
        <f t="shared" ref="AC40:AC54" si="29">ROUND(P40+R40+T40+V40,-0.25)</f>
        <v>0</v>
      </c>
      <c r="AD40" s="405">
        <f t="shared" ref="AD40:AD54" si="30">IFERROR(IF(AD57+VLOOKUP(A40,$A$22:$E$27,5,FALSE)&gt;6,6-VLOOKUP(A40,$A$22:$E$27,5,FALSE),AD57),0)</f>
        <v>0</v>
      </c>
      <c r="AE40" s="323" t="str">
        <f>IF(Input!H32="Block",VLOOKUP(Input!D32,$A$13:$F$18,6,FALSE),"")</f>
        <v/>
      </c>
      <c r="AF40" s="348">
        <f>IF(Input!H32="Block",IF(O40&gt;AE40,(O40-AE40)/AE40,0),0)</f>
        <v>0</v>
      </c>
      <c r="AG40" s="243" t="str">
        <f>IF(Input!J32="","",IF(Input!J32/20&gt;=1-AF40,1,0))</f>
        <v/>
      </c>
      <c r="AH40" s="149"/>
      <c r="AI40" s="149"/>
      <c r="AJ40" s="149"/>
      <c r="AK40" s="149"/>
      <c r="AL40" s="149"/>
      <c r="AM40" s="149"/>
    </row>
    <row r="41" spans="1:39" ht="12.75" x14ac:dyDescent="0.2">
      <c r="A41" s="398">
        <f>Input!A33</f>
        <v>0</v>
      </c>
      <c r="B41" s="387" t="str">
        <f>IF(Input!A33="","",(VLOOKUP(VLOOKUP(Input!A33,Input!$A$3:$C$8,3,FALSE),$AB$59:$AC$68,2,FALSE)*10+VLOOKUP(VLOOKUP(Input!A33,Input!$A$3:$C$8,2,FALSE),$AB$71:$AC$80,2,FALSE))/10)</f>
        <v/>
      </c>
      <c r="C41" s="323" t="str">
        <f>IF(Input!D33="","",(VLOOKUP(VLOOKUP(Input!D33,Input!$A$3:$C$8,3,FALSE),$AB$59:$AC$68,2,FALSE)*10+VLOOKUP(VLOOKUP(Input!D33,Input!$A$3:$C$8,2,FALSE),$AB$71:$AC$80,2,FALSE))/10)</f>
        <v/>
      </c>
      <c r="D41" s="348">
        <f>IF(OR(Input!B33="Attack",Input!B33="Special",Input!B33="Group",Input!B33="Counter"),IF(AND(B41&gt;C41,B41-C41&gt;=0.5),((B41-C41)*3)/10,0),0)</f>
        <v>0</v>
      </c>
      <c r="E41" s="386" t="str">
        <f>IF(Input!F33="","",IF(Input!F33/20&gt;=1-D41,1,0))</f>
        <v/>
      </c>
      <c r="F41" s="323" t="str">
        <f>IF(Input!A33="","",IF(OR(Input!B33="Attack",Input!B33="Special",Input!B33="Group"),VLOOKUP(A41,$A$31:$D$36,3,FALSE),VLOOKUP(A41,$A$13:$H$18,8,FALSE)))</f>
        <v/>
      </c>
      <c r="G41" s="323" t="str">
        <f>IF(Input!D33="","",VLOOKUP(Input!D33,$A$13:$H$18,8,FALSE))</f>
        <v/>
      </c>
      <c r="H41" s="348">
        <f t="shared" si="24"/>
        <v>0</v>
      </c>
      <c r="I41" s="399" t="str">
        <f>IF(Input!G33="","",IF(Input!G33/20&gt;=1-H41,1,0))</f>
        <v/>
      </c>
      <c r="J41" s="400" t="e">
        <f t="shared" si="25"/>
        <v>#N/A</v>
      </c>
      <c r="K41" s="323" t="e">
        <f t="shared" si="26"/>
        <v>#N/A</v>
      </c>
      <c r="L41" s="375" t="str">
        <f>IF(Input!B33="","",IF(OR(Input!B33="Attack",Input!B33="Counter"),VLOOKUP(A41,$A$13:$AM$18,6,FALSE),0))</f>
        <v/>
      </c>
      <c r="M41" s="401" t="str">
        <f>IF(Input!B33="","",IF(Input!B33="Special",VLOOKUP(A41,$A$13:$AM$18,6,FALSE)*(1+(Input!E33/10)),0))</f>
        <v/>
      </c>
      <c r="N41" s="401" t="str">
        <f>IF(Input!B33="","",IF(Input!B33="Group",1,0))</f>
        <v/>
      </c>
      <c r="O41" s="402" t="e">
        <f>IF(E41=1,VLOOKUP(Input!D33,Input!$A$11:$C$16,3,FALSE), MROUND(L41+M41+N41,0.25))</f>
        <v>#VALUE!</v>
      </c>
      <c r="P41" s="401">
        <f>IF(Input!H33="Defenseless",O41,0)*-1</f>
        <v>0</v>
      </c>
      <c r="Q41" s="323" t="str">
        <f>IF(Input!D33="","",VLOOKUP(Input!D33,$A$13:$AM$18,10,FALSE)+IF(K41="Block Success Rate",J41,0))</f>
        <v/>
      </c>
      <c r="R41" s="299">
        <f>IF(Input!H33="Block",IF(Input!I33=20,0,IF(Input!I33/20&gt;=1-Q41,(1-VLOOKUP(Input!D33,$A$13:$Z$18,12,FALSE))*O41,(1-VLOOKUP(Input!D33,$A$13:$Z$18,14,FALSE))*O41))*-1,0)</f>
        <v>0</v>
      </c>
      <c r="S41" s="251" t="str">
        <f>IF(Input!D33="","",VLOOKUP(Input!D33,$A$13:$AM$18,16,FALSE)+IF(K41="Dodge Success Rate",J41,0))</f>
        <v/>
      </c>
      <c r="T41" s="299">
        <f>IF(Input!H33="Dodge",IF(Input!I33=20,0,IF(Input!I33/20&gt;=1-S41,(1-VLOOKUP(Input!D33,$A$13:$Z$18,18,FALSE))*VLOOKUP(A41,$A$31:$D$36,4,FALSE),(1-VLOOKUP(Input!D33,$A$13:$Z$18,20,FALSE))*O41))*-1,0)</f>
        <v>0</v>
      </c>
      <c r="U41" s="125" t="str">
        <f>IF(Input!D33="","",VLOOKUP(Input!D33,$A$13:$AM$18,22,FALSE)+IF(K41="Parry Success Rate",J41,0))</f>
        <v/>
      </c>
      <c r="V41" s="299">
        <f>IF(Input!H33="Parry",IF(Input!I33=20,0,IF(Input!I33/20&gt;=1-U41,(1-VLOOKUP(Input!D33,$A$13:$Z$18,24,FALSE))*O41,(1-VLOOKUP(Input!D33,$A$13:$Z$18,26,FALSE))*O41))*-1,0)</f>
        <v>0</v>
      </c>
      <c r="W41" s="348">
        <f>IF(Input!H33="Block",Q41,IF(Input!H33="Dodge",S41,IF(Input!H33="Parry",U41,0)))</f>
        <v>0</v>
      </c>
      <c r="X41" s="323" t="str">
        <f>IF(Input!H33="Defenseless",0,IF(Input!I33="","",IF(Input!I33/20&gt;=1-W41,1,0)))</f>
        <v/>
      </c>
      <c r="Y41" s="403">
        <f t="shared" si="27"/>
        <v>0</v>
      </c>
      <c r="Z41" s="212" t="e">
        <f>ROUND(IF(AND(Input!H33="Dodge",X41=1),O41,O41+Y41),0.25)</f>
        <v>#VALUE!</v>
      </c>
      <c r="AA41" s="404">
        <f>IFERROR(IF(AA58+VLOOKUP(Input!D33,$A$22:$E$27,5,FALSE)&gt;6,6-VLOOKUP(Input!D33,$A$22:$E$27,5,FALSE),AA58),0)</f>
        <v>0</v>
      </c>
      <c r="AB41" s="404">
        <f t="shared" si="28"/>
        <v>0</v>
      </c>
      <c r="AC41" s="212">
        <f t="shared" si="29"/>
        <v>0</v>
      </c>
      <c r="AD41" s="405">
        <f t="shared" si="30"/>
        <v>0</v>
      </c>
      <c r="AE41" s="323" t="str">
        <f>IF(Input!H33="Block",VLOOKUP(Input!D33,$A$13:$F$18,6,FALSE),"")</f>
        <v/>
      </c>
      <c r="AF41" s="348">
        <f>IF(Input!H33="Block",IF(O41&gt;AE41,(O41-AE41)/AE41,0),0)</f>
        <v>0</v>
      </c>
      <c r="AG41" s="243" t="str">
        <f>IF(Input!J33="","",IF(Input!J33/20&gt;=1-AF41,1,0))</f>
        <v/>
      </c>
      <c r="AH41" s="149"/>
      <c r="AI41" s="149"/>
      <c r="AJ41" s="149"/>
      <c r="AK41" s="149"/>
      <c r="AL41" s="149"/>
      <c r="AM41" s="149"/>
    </row>
    <row r="42" spans="1:39" ht="12.75" x14ac:dyDescent="0.2">
      <c r="A42" s="398">
        <f>Input!A34</f>
        <v>0</v>
      </c>
      <c r="B42" s="387" t="str">
        <f>IF(Input!A34="","",(VLOOKUP(VLOOKUP(Input!A34,Input!$A$3:$C$8,3,FALSE),$AB$59:$AC$68,2,FALSE)*10+VLOOKUP(VLOOKUP(Input!A34,Input!$A$3:$C$8,2,FALSE),$AB$71:$AC$80,2,FALSE))/10)</f>
        <v/>
      </c>
      <c r="C42" s="323" t="str">
        <f>IF(Input!D34="","",(VLOOKUP(VLOOKUP(Input!D34,Input!$A$3:$C$8,3,FALSE),$AB$59:$AC$68,2,FALSE)*10+VLOOKUP(VLOOKUP(Input!D34,Input!$A$3:$C$8,2,FALSE),$AB$71:$AC$80,2,FALSE))/10)</f>
        <v/>
      </c>
      <c r="D42" s="348">
        <f>IF(OR(Input!B34="Attack",Input!B34="Special",Input!B34="Group",Input!B34="Counter"),IF(AND(B42&gt;C42,B42-C42&gt;=0.5),((B42-C42)*3)/10,0),0)</f>
        <v>0</v>
      </c>
      <c r="E42" s="386" t="str">
        <f>IF(Input!F34="","",IF(Input!F34/20&gt;=1-D42,1,0))</f>
        <v/>
      </c>
      <c r="F42" s="323" t="str">
        <f>IF(Input!A34="","",IF(OR(Input!B34="Attack",Input!B34="Special",Input!B34="Group"),VLOOKUP(A42,$A$31:$D$36,3,FALSE),VLOOKUP(A42,$A$13:$H$18,8,FALSE)))</f>
        <v/>
      </c>
      <c r="G42" s="323" t="str">
        <f>IF(Input!D34="","",VLOOKUP(Input!D34,$A$13:$H$18,8,FALSE))</f>
        <v/>
      </c>
      <c r="H42" s="348">
        <f t="shared" si="24"/>
        <v>0</v>
      </c>
      <c r="I42" s="399" t="str">
        <f>IF(Input!G34="","",IF(Input!G34/20&gt;=1-H42,1,0))</f>
        <v/>
      </c>
      <c r="J42" s="400" t="e">
        <f t="shared" si="25"/>
        <v>#N/A</v>
      </c>
      <c r="K42" s="323" t="e">
        <f t="shared" si="26"/>
        <v>#N/A</v>
      </c>
      <c r="L42" s="375" t="str">
        <f>IF(Input!B34="","",IF(OR(Input!B34="Attack",Input!B34="Counter"),VLOOKUP(A42,$A$13:$AM$18,6,FALSE),0))</f>
        <v/>
      </c>
      <c r="M42" s="401" t="str">
        <f>IF(Input!B34="","",IF(Input!B34="Special",VLOOKUP(A42,$A$13:$AM$18,6,FALSE)*(1+(Input!E34/10)),0))</f>
        <v/>
      </c>
      <c r="N42" s="401" t="str">
        <f>IF(Input!B34="","",IF(Input!B34="Group",1,0))</f>
        <v/>
      </c>
      <c r="O42" s="402" t="e">
        <f>IF(E42=1,VLOOKUP(Input!D34,Input!$A$11:$C$16,3,FALSE), MROUND(L42+M42+N42,0.25))</f>
        <v>#VALUE!</v>
      </c>
      <c r="P42" s="401">
        <f>IF(Input!H34="Defenseless",O42,0)*-1</f>
        <v>0</v>
      </c>
      <c r="Q42" s="323" t="str">
        <f>IF(Input!D34="","",VLOOKUP(Input!D34,$A$13:$AM$18,10,FALSE)+IF(K42="Block Success Rate",J42,0))</f>
        <v/>
      </c>
      <c r="R42" s="299">
        <f>IF(Input!H34="Block",IF(Input!I34=20,0,IF(Input!I34/20&gt;=1-Q42,(1-VLOOKUP(Input!D34,$A$13:$Z$18,12,FALSE))*O42,(1-VLOOKUP(Input!D34,$A$13:$Z$18,14,FALSE))*O42))*-1,0)</f>
        <v>0</v>
      </c>
      <c r="S42" s="251" t="str">
        <f>IF(Input!D34="","",VLOOKUP(Input!D34,$A$13:$AM$18,16,FALSE)+IF(K42="Dodge Success Rate",J42,0))</f>
        <v/>
      </c>
      <c r="T42" s="299">
        <f>IF(Input!H34="Dodge",IF(Input!I34=20,0,IF(Input!I34/20&gt;=1-S42,(1-VLOOKUP(Input!D34,$A$13:$Z$18,18,FALSE))*VLOOKUP(A42,$A$31:$D$36,4,FALSE),(1-VLOOKUP(Input!D34,$A$13:$Z$18,20,FALSE))*O42))*-1,0)</f>
        <v>0</v>
      </c>
      <c r="U42" s="125" t="str">
        <f>IF(Input!D34="","",VLOOKUP(Input!D34,$A$13:$AM$18,22,FALSE)+IF(K42="Parry Success Rate",J42,0))</f>
        <v/>
      </c>
      <c r="V42" s="299">
        <f>IF(Input!H34="Parry",IF(Input!I34=20,0,IF(Input!I34/20&gt;=1-U42,(1-VLOOKUP(Input!D34,$A$13:$Z$18,24,FALSE))*O42,(1-VLOOKUP(Input!D34,$A$13:$Z$18,26,FALSE))*O42))*-1,0)</f>
        <v>0</v>
      </c>
      <c r="W42" s="348">
        <f>IF(Input!H34="Block",Q42,IF(Input!H34="Dodge",S42,IF(Input!H34="Parry",U42,0)))</f>
        <v>0</v>
      </c>
      <c r="X42" s="323" t="str">
        <f>IF(Input!H34="Defenseless",0,IF(Input!I34="","",IF(Input!I34/20&gt;=1-W42,1,0)))</f>
        <v/>
      </c>
      <c r="Y42" s="403">
        <f t="shared" si="27"/>
        <v>0</v>
      </c>
      <c r="Z42" s="212" t="e">
        <f>ROUND(IF(AND(Input!H34="Dodge",X42=1),O42,O42+Y42),0.25)</f>
        <v>#VALUE!</v>
      </c>
      <c r="AA42" s="404">
        <f>IFERROR(IF(AA59+VLOOKUP(Input!D34,$A$22:$E$27,5,FALSE)&gt;6,6-VLOOKUP(Input!D34,$A$22:$E$27,5,FALSE),AA59),0)</f>
        <v>0</v>
      </c>
      <c r="AB42" s="404">
        <f t="shared" si="28"/>
        <v>0</v>
      </c>
      <c r="AC42" s="212">
        <f t="shared" si="29"/>
        <v>0</v>
      </c>
      <c r="AD42" s="405">
        <f t="shared" si="30"/>
        <v>0</v>
      </c>
      <c r="AE42" s="323" t="str">
        <f>IF(Input!H34="Block",VLOOKUP(Input!D34,$A$13:$F$18,6,FALSE),"")</f>
        <v/>
      </c>
      <c r="AF42" s="348">
        <f>IF(Input!H34="Block",IF(O42&gt;AE42,(O42-AE42)/AE42,0),0)</f>
        <v>0</v>
      </c>
      <c r="AG42" s="243" t="str">
        <f>IF(Input!J34="","",IF(Input!J34/20&gt;=1-AF42,1,0))</f>
        <v/>
      </c>
      <c r="AH42" s="149"/>
      <c r="AI42" s="149"/>
      <c r="AJ42" s="149"/>
      <c r="AK42" s="149"/>
      <c r="AL42" s="149"/>
      <c r="AM42" s="149"/>
    </row>
    <row r="43" spans="1:39" ht="12.75" x14ac:dyDescent="0.2">
      <c r="A43" s="398">
        <f>Input!A35</f>
        <v>0</v>
      </c>
      <c r="B43" s="387" t="str">
        <f>IF(Input!A35="","",(VLOOKUP(VLOOKUP(Input!A35,Input!$A$3:$C$8,3,FALSE),$AB$59:$AC$68,2,FALSE)*10+VLOOKUP(VLOOKUP(Input!A35,Input!$A$3:$C$8,2,FALSE),$AB$71:$AC$80,2,FALSE))/10)</f>
        <v/>
      </c>
      <c r="C43" s="323" t="str">
        <f>IF(Input!D35="","",(VLOOKUP(VLOOKUP(Input!D35,Input!$A$3:$C$8,3,FALSE),$AB$59:$AC$68,2,FALSE)*10+VLOOKUP(VLOOKUP(Input!D35,Input!$A$3:$C$8,2,FALSE),$AB$71:$AC$80,2,FALSE))/10)</f>
        <v/>
      </c>
      <c r="D43" s="348">
        <f>IF(OR(Input!B35="Attack",Input!B35="Special",Input!B35="Group",Input!B35="Counter"),IF(AND(B43&gt;C43,B43-C43&gt;=0.5),((B43-C43)*3)/10,0),0)</f>
        <v>0</v>
      </c>
      <c r="E43" s="386" t="str">
        <f>IF(Input!F35="","",IF(Input!F35/20&gt;=1-D43,1,0))</f>
        <v/>
      </c>
      <c r="F43" s="323" t="str">
        <f>IF(Input!A35="","",IF(OR(Input!B35="Attack",Input!B35="Special",Input!B35="Group"),VLOOKUP(A43,$A$31:$D$36,3,FALSE),VLOOKUP(A43,$A$13:$H$18,8,FALSE)))</f>
        <v/>
      </c>
      <c r="G43" s="323" t="str">
        <f>IF(Input!D35="","",VLOOKUP(Input!D35,$A$13:$H$18,8,FALSE))</f>
        <v/>
      </c>
      <c r="H43" s="348">
        <f t="shared" si="24"/>
        <v>0</v>
      </c>
      <c r="I43" s="399" t="str">
        <f>IF(Input!G35="","",IF(Input!G35/20&gt;=1-H43,1,0))</f>
        <v/>
      </c>
      <c r="J43" s="400" t="e">
        <f t="shared" si="25"/>
        <v>#N/A</v>
      </c>
      <c r="K43" s="323" t="e">
        <f t="shared" si="26"/>
        <v>#N/A</v>
      </c>
      <c r="L43" s="375" t="str">
        <f>IF(Input!B35="","",IF(OR(Input!B35="Attack",Input!B35="Counter"),VLOOKUP(A43,$A$13:$AM$18,6,FALSE),0))</f>
        <v/>
      </c>
      <c r="M43" s="401" t="str">
        <f>IF(Input!B35="","",IF(Input!B35="Special",VLOOKUP(A43,$A$13:$AM$18,6,FALSE)*(1+(Input!E35/10)),0))</f>
        <v/>
      </c>
      <c r="N43" s="401" t="str">
        <f>IF(Input!B35="","",IF(Input!B35="Group",1,0))</f>
        <v/>
      </c>
      <c r="O43" s="402" t="e">
        <f>IF(E43=1,VLOOKUP(Input!D35,Input!$A$11:$C$16,3,FALSE), MROUND(L43+M43+N43,0.25))</f>
        <v>#VALUE!</v>
      </c>
      <c r="P43" s="401">
        <f>IF(Input!H35="Defenseless",O43,0)*-1</f>
        <v>0</v>
      </c>
      <c r="Q43" s="323" t="str">
        <f>IF(Input!D35="","",VLOOKUP(Input!D35,$A$13:$AM$18,10,FALSE)+IF(K43="Block Success Rate",J43,0))</f>
        <v/>
      </c>
      <c r="R43" s="299">
        <f>IF(Input!H35="Block",IF(Input!I35=20,0,IF(Input!I35/20&gt;=1-Q43,(1-VLOOKUP(Input!D35,$A$13:$Z$18,12,FALSE))*O43,(1-VLOOKUP(Input!D35,$A$13:$Z$18,14,FALSE))*O43))*-1,0)</f>
        <v>0</v>
      </c>
      <c r="S43" s="251" t="str">
        <f>IF(Input!D35="","",VLOOKUP(Input!D35,$A$13:$AM$18,16,FALSE)+IF(K43="Dodge Success Rate",J43,0))</f>
        <v/>
      </c>
      <c r="T43" s="299">
        <f>IF(Input!H35="Dodge",IF(Input!I35=20,0,IF(Input!I35/20&gt;=1-S43,(1-VLOOKUP(Input!D35,$A$13:$Z$18,18,FALSE))*VLOOKUP(A43,$A$31:$D$36,4,FALSE),(1-VLOOKUP(Input!D35,$A$13:$Z$18,20,FALSE))*O43))*-1,0)</f>
        <v>0</v>
      </c>
      <c r="U43" s="125" t="str">
        <f>IF(Input!D35="","",VLOOKUP(Input!D35,$A$13:$AM$18,22,FALSE)+IF(K43="Parry Success Rate",J43,0))</f>
        <v/>
      </c>
      <c r="V43" s="299">
        <f>IF(Input!H35="Parry",IF(Input!I35=20,0,IF(Input!I35/20&gt;=1-U43,(1-VLOOKUP(Input!D35,$A$13:$Z$18,24,FALSE))*O43,(1-VLOOKUP(Input!D35,$A$13:$Z$18,26,FALSE))*O43))*-1,0)</f>
        <v>0</v>
      </c>
      <c r="W43" s="348">
        <f>IF(Input!H35="Block",Q43,IF(Input!H35="Dodge",S43,IF(Input!H35="Parry",U43,0)))</f>
        <v>0</v>
      </c>
      <c r="X43" s="323" t="str">
        <f>IF(Input!H35="Defenseless",0,IF(Input!I35="","",IF(Input!I35/20&gt;=1-W43,1,0)))</f>
        <v/>
      </c>
      <c r="Y43" s="403">
        <f t="shared" si="27"/>
        <v>0</v>
      </c>
      <c r="Z43" s="212" t="e">
        <f>ROUND(IF(AND(Input!H35="Dodge",X43=1),O43,O43+Y43),0.25)</f>
        <v>#VALUE!</v>
      </c>
      <c r="AA43" s="404">
        <f>IFERROR(IF(AA60+VLOOKUP(Input!D35,$A$22:$E$27,5,FALSE)&gt;6,6-VLOOKUP(Input!D35,$A$22:$E$27,5,FALSE),AA60),0)</f>
        <v>0</v>
      </c>
      <c r="AB43" s="404">
        <f t="shared" si="28"/>
        <v>0</v>
      </c>
      <c r="AC43" s="212">
        <f t="shared" si="29"/>
        <v>0</v>
      </c>
      <c r="AD43" s="405">
        <f t="shared" si="30"/>
        <v>0</v>
      </c>
      <c r="AE43" s="323" t="str">
        <f>IF(Input!H35="Block",VLOOKUP(Input!D35,$A$13:$F$18,6,FALSE),"")</f>
        <v/>
      </c>
      <c r="AF43" s="348">
        <f>IF(Input!H35="Block",IF(O43&gt;AE43,(O43-AE43)/AE43,0),0)</f>
        <v>0</v>
      </c>
      <c r="AG43" s="243" t="str">
        <f>IF(Input!J35="","",IF(Input!J35/20&gt;=1-AF43,1,0))</f>
        <v/>
      </c>
      <c r="AH43" s="149"/>
      <c r="AI43" s="149"/>
      <c r="AJ43" s="149"/>
      <c r="AK43" s="149"/>
      <c r="AL43" s="149"/>
      <c r="AM43" s="149"/>
    </row>
    <row r="44" spans="1:39" ht="12.75" x14ac:dyDescent="0.2">
      <c r="A44" s="398">
        <f>Input!A36</f>
        <v>0</v>
      </c>
      <c r="B44" s="387" t="str">
        <f>IF(Input!A36="","",(VLOOKUP(VLOOKUP(Input!A36,Input!$A$3:$C$8,3,FALSE),$AB$59:$AC$68,2,FALSE)*10+VLOOKUP(VLOOKUP(Input!A36,Input!$A$3:$C$8,2,FALSE),$AB$71:$AC$80,2,FALSE))/10)</f>
        <v/>
      </c>
      <c r="C44" s="323" t="str">
        <f>IF(Input!D36="","",(VLOOKUP(VLOOKUP(Input!D36,Input!$A$3:$C$8,3,FALSE),$AB$59:$AC$68,2,FALSE)*10+VLOOKUP(VLOOKUP(Input!D36,Input!$A$3:$C$8,2,FALSE),$AB$71:$AC$80,2,FALSE))/10)</f>
        <v/>
      </c>
      <c r="D44" s="348">
        <f>IF(OR(Input!B36="Attack",Input!B36="Special",Input!B36="Group",Input!B36="Counter"),IF(AND(B44&gt;C44,B44-C44&gt;=0.5),((B44-C44)*3)/10,0),0)</f>
        <v>0</v>
      </c>
      <c r="E44" s="386" t="str">
        <f>IF(Input!F36="","",IF(Input!F36/20&gt;=1-D44,1,0))</f>
        <v/>
      </c>
      <c r="F44" s="323" t="str">
        <f>IF(Input!A36="","",IF(OR(Input!B36="Attack",Input!B36="Special",Input!B36="Group"),VLOOKUP(A44,$A$31:$D$36,3,FALSE),VLOOKUP(A44,$A$13:$H$18,8,FALSE)))</f>
        <v/>
      </c>
      <c r="G44" s="323" t="str">
        <f>IF(Input!D36="","",VLOOKUP(Input!D36,$A$13:$H$18,8,FALSE))</f>
        <v/>
      </c>
      <c r="H44" s="348">
        <f t="shared" si="24"/>
        <v>0</v>
      </c>
      <c r="I44" s="399" t="str">
        <f>IF(Input!G36="","",IF(Input!G36/20&gt;=1-H44,1,0))</f>
        <v/>
      </c>
      <c r="J44" s="400" t="e">
        <f t="shared" si="25"/>
        <v>#N/A</v>
      </c>
      <c r="K44" s="323" t="e">
        <f t="shared" si="26"/>
        <v>#N/A</v>
      </c>
      <c r="L44" s="375" t="str">
        <f>IF(Input!B36="","",IF(OR(Input!B36="Attack",Input!B36="Counter"),VLOOKUP(A44,$A$13:$AM$18,6,FALSE),0))</f>
        <v/>
      </c>
      <c r="M44" s="401" t="str">
        <f>IF(Input!B36="","",IF(Input!B36="Special",VLOOKUP(A44,$A$13:$AM$18,6,FALSE)*(1+(Input!E36/10)),0))</f>
        <v/>
      </c>
      <c r="N44" s="401" t="str">
        <f>IF(Input!B36="","",IF(Input!B36="Group",1,0))</f>
        <v/>
      </c>
      <c r="O44" s="402" t="e">
        <f>IF(E44=1,VLOOKUP(Input!D36,Input!$A$11:$C$16,3,FALSE), MROUND(L44+M44+N44,0.25))</f>
        <v>#VALUE!</v>
      </c>
      <c r="P44" s="401">
        <f>IF(Input!H36="Defenseless",O44,0)*-1</f>
        <v>0</v>
      </c>
      <c r="Q44" s="323" t="str">
        <f>IF(Input!D36="","",VLOOKUP(Input!D36,$A$13:$AM$18,10,FALSE)+IF(K44="Block Success Rate",J44,0))</f>
        <v/>
      </c>
      <c r="R44" s="299">
        <f>IF(Input!H36="Block",IF(Input!I36=20,0,IF(Input!I36/20&gt;=1-Q44,(1-VLOOKUP(Input!D36,$A$13:$Z$18,12,FALSE))*O44,(1-VLOOKUP(Input!D36,$A$13:$Z$18,14,FALSE))*O44))*-1,0)</f>
        <v>0</v>
      </c>
      <c r="S44" s="251" t="str">
        <f>IF(Input!D36="","",VLOOKUP(Input!D36,$A$13:$AM$18,16,FALSE)+IF(K44="Dodge Success Rate",J44,0))</f>
        <v/>
      </c>
      <c r="T44" s="299">
        <f>IF(Input!H36="Dodge",IF(Input!I36=20,0,IF(Input!I36/20&gt;=1-S44,(1-VLOOKUP(Input!D36,$A$13:$Z$18,18,FALSE))*VLOOKUP(A44,$A$31:$D$36,4,FALSE),(1-VLOOKUP(Input!D36,$A$13:$Z$18,20,FALSE))*O44))*-1,0)</f>
        <v>0</v>
      </c>
      <c r="U44" s="125" t="str">
        <f>IF(Input!D36="","",VLOOKUP(Input!D36,$A$13:$AM$18,22,FALSE)+IF(K44="Parry Success Rate",J44,0))</f>
        <v/>
      </c>
      <c r="V44" s="299">
        <f>IF(Input!H36="Parry",IF(Input!I36=20,0,IF(Input!I36/20&gt;=1-U44,(1-VLOOKUP(Input!D36,$A$13:$Z$18,24,FALSE))*O44,(1-VLOOKUP(Input!D36,$A$13:$Z$18,26,FALSE))*O44))*-1,0)</f>
        <v>0</v>
      </c>
      <c r="W44" s="348">
        <f>IF(Input!H36="Block",Q44,IF(Input!H36="Dodge",S44,IF(Input!H36="Parry",U44,0)))</f>
        <v>0</v>
      </c>
      <c r="X44" s="323" t="str">
        <f>IF(Input!H36="Defenseless",0,IF(Input!I36="","",IF(Input!I36/20&gt;=1-W44,1,0)))</f>
        <v/>
      </c>
      <c r="Y44" s="403">
        <f t="shared" si="27"/>
        <v>0</v>
      </c>
      <c r="Z44" s="212" t="e">
        <f>ROUND(IF(AND(Input!H36="Dodge",X44=1),O44,O44+Y44),0.25)</f>
        <v>#VALUE!</v>
      </c>
      <c r="AA44" s="404">
        <f>IFERROR(IF(AA61+VLOOKUP(Input!D36,$A$22:$E$27,5,FALSE)&gt;6,6-VLOOKUP(Input!D36,$A$22:$E$27,5,FALSE),AA61),0)</f>
        <v>0</v>
      </c>
      <c r="AB44" s="404">
        <f t="shared" si="28"/>
        <v>0</v>
      </c>
      <c r="AC44" s="212">
        <f t="shared" si="29"/>
        <v>0</v>
      </c>
      <c r="AD44" s="405">
        <f t="shared" si="30"/>
        <v>0</v>
      </c>
      <c r="AE44" s="323" t="str">
        <f>IF(Input!H36="Block",VLOOKUP(Input!D36,$A$13:$F$18,6,FALSE),"")</f>
        <v/>
      </c>
      <c r="AF44" s="348">
        <f>IF(Input!H36="Block",IF(O44&gt;AE44,(O44-AE44)/AE44,0),0)</f>
        <v>0</v>
      </c>
      <c r="AG44" s="243" t="str">
        <f>IF(Input!J36="","",IF(Input!J36/20&gt;=1-AF44,1,0))</f>
        <v/>
      </c>
      <c r="AH44" s="149"/>
      <c r="AI44" s="149"/>
      <c r="AJ44" s="149"/>
      <c r="AK44" s="149"/>
      <c r="AL44" s="149"/>
      <c r="AM44" s="149"/>
    </row>
    <row r="45" spans="1:39" ht="12.75" x14ac:dyDescent="0.2">
      <c r="A45" s="398">
        <f>Input!A37</f>
        <v>0</v>
      </c>
      <c r="B45" s="387" t="str">
        <f>IF(Input!A37="","",(VLOOKUP(VLOOKUP(Input!A37,Input!$A$3:$C$8,3,FALSE),$AB$59:$AC$68,2,FALSE)*10+VLOOKUP(VLOOKUP(Input!A37,Input!$A$3:$C$8,2,FALSE),$AB$71:$AC$80,2,FALSE))/10)</f>
        <v/>
      </c>
      <c r="C45" s="323" t="str">
        <f>IF(Input!D37="","",(VLOOKUP(VLOOKUP(Input!D37,Input!$A$3:$C$8,3,FALSE),$AB$59:$AC$68,2,FALSE)*10+VLOOKUP(VLOOKUP(Input!D37,Input!$A$3:$C$8,2,FALSE),$AB$71:$AC$80,2,FALSE))/10)</f>
        <v/>
      </c>
      <c r="D45" s="348">
        <f>IF(OR(Input!B37="Attack",Input!B37="Special",Input!B37="Group",Input!B37="Counter"),IF(AND(B45&gt;C45,B45-C45&gt;=0.5),((B45-C45)*3)/10,0),0)</f>
        <v>0</v>
      </c>
      <c r="E45" s="386" t="str">
        <f>IF(Input!F37="","",IF(Input!F37/20&gt;=1-D45,1,0))</f>
        <v/>
      </c>
      <c r="F45" s="323" t="str">
        <f>IF(Input!A37="","",IF(OR(Input!B37="Attack",Input!B37="Special",Input!B37="Group"),VLOOKUP(A45,$A$31:$D$36,3,FALSE),VLOOKUP(A45,$A$13:$H$18,8,FALSE)))</f>
        <v/>
      </c>
      <c r="G45" s="323" t="str">
        <f>IF(Input!D37="","",VLOOKUP(Input!D37,$A$13:$H$18,8,FALSE))</f>
        <v/>
      </c>
      <c r="H45" s="348">
        <f t="shared" si="24"/>
        <v>0</v>
      </c>
      <c r="I45" s="399" t="str">
        <f>IF(Input!G37="","",IF(Input!G37/20&gt;=1-H45,1,0))</f>
        <v/>
      </c>
      <c r="J45" s="400" t="e">
        <f t="shared" si="25"/>
        <v>#N/A</v>
      </c>
      <c r="K45" s="323" t="e">
        <f t="shared" si="26"/>
        <v>#N/A</v>
      </c>
      <c r="L45" s="375" t="str">
        <f>IF(Input!B37="","",IF(OR(Input!B37="Attack",Input!B37="Counter"),VLOOKUP(A45,$A$13:$AM$18,6,FALSE),0))</f>
        <v/>
      </c>
      <c r="M45" s="401" t="str">
        <f>IF(Input!B37="","",IF(Input!B37="Special",VLOOKUP(A45,$A$13:$AM$18,6,FALSE)*(1+(Input!E37/10)),0))</f>
        <v/>
      </c>
      <c r="N45" s="401" t="str">
        <f>IF(Input!B37="","",IF(Input!B37="Group",1,0))</f>
        <v/>
      </c>
      <c r="O45" s="402" t="e">
        <f>IF(E45=1,VLOOKUP(Input!D37,Input!$A$11:$C$16,3,FALSE), MROUND(L45+M45+N45,0.25))</f>
        <v>#VALUE!</v>
      </c>
      <c r="P45" s="401">
        <f>IF(Input!H37="Defenseless",O45,0)*-1</f>
        <v>0</v>
      </c>
      <c r="Q45" s="323" t="str">
        <f>IF(Input!D37="","",VLOOKUP(Input!D37,$A$13:$AM$18,10,FALSE)+IF(K45="Block Success Rate",J45,0))</f>
        <v/>
      </c>
      <c r="R45" s="299">
        <f>IF(Input!H37="Block",IF(Input!I37=20,0,IF(Input!I37/20&gt;=1-Q45,(1-VLOOKUP(Input!D37,$A$13:$Z$18,12,FALSE))*O45,(1-VLOOKUP(Input!D37,$A$13:$Z$18,14,FALSE))*O45))*-1,0)</f>
        <v>0</v>
      </c>
      <c r="S45" s="251" t="str">
        <f>IF(Input!D37="","",VLOOKUP(Input!D37,$A$13:$AM$18,16,FALSE)+IF(K45="Dodge Success Rate",J45,0))</f>
        <v/>
      </c>
      <c r="T45" s="299">
        <f>IF(Input!H37="Dodge",IF(Input!I37=20,0,IF(Input!I37/20&gt;=1-S45,(1-VLOOKUP(Input!D37,$A$13:$Z$18,18,FALSE))*VLOOKUP(A45,$A$31:$D$36,4,FALSE),(1-VLOOKUP(Input!D37,$A$13:$Z$18,20,FALSE))*O45))*-1,0)</f>
        <v>0</v>
      </c>
      <c r="U45" s="125" t="str">
        <f>IF(Input!D37="","",VLOOKUP(Input!D37,$A$13:$AM$18,22,FALSE)+IF(K45="Parry Success Rate",J45,0))</f>
        <v/>
      </c>
      <c r="V45" s="299">
        <f>IF(Input!H37="Parry",IF(Input!I37=20,0,IF(Input!I37/20&gt;=1-U45,(1-VLOOKUP(Input!D37,$A$13:$Z$18,24,FALSE))*O45,(1-VLOOKUP(Input!D37,$A$13:$Z$18,26,FALSE))*O45))*-1,0)</f>
        <v>0</v>
      </c>
      <c r="W45" s="348">
        <f>IF(Input!H37="Block",Q45,IF(Input!H37="Dodge",S45,IF(Input!H37="Parry",U45,0)))</f>
        <v>0</v>
      </c>
      <c r="X45" s="323" t="str">
        <f>IF(Input!H37="Defenseless",0,IF(Input!I37="","",IF(Input!I37/20&gt;=1-W45,1,0)))</f>
        <v/>
      </c>
      <c r="Y45" s="403">
        <f t="shared" si="27"/>
        <v>0</v>
      </c>
      <c r="Z45" s="212" t="e">
        <f>ROUND(IF(AND(Input!H37="Dodge",X45=1),O45,O45+Y45),0.25)</f>
        <v>#VALUE!</v>
      </c>
      <c r="AA45" s="404">
        <f>IFERROR(IF(AA62+VLOOKUP(Input!D37,$A$22:$E$27,5,FALSE)&gt;6,6-VLOOKUP(Input!D37,$A$22:$E$27,5,FALSE),AA62),0)</f>
        <v>0</v>
      </c>
      <c r="AB45" s="404">
        <f t="shared" si="28"/>
        <v>0</v>
      </c>
      <c r="AC45" s="212">
        <f t="shared" si="29"/>
        <v>0</v>
      </c>
      <c r="AD45" s="405">
        <f t="shared" si="30"/>
        <v>0</v>
      </c>
      <c r="AE45" s="323" t="str">
        <f>IF(Input!H37="Block",VLOOKUP(Input!D37,$A$13:$F$18,6,FALSE),"")</f>
        <v/>
      </c>
      <c r="AF45" s="348">
        <f>IF(Input!H37="Block",IF(O45&gt;AE45,(O45-AE45)/AE45,0),0)</f>
        <v>0</v>
      </c>
      <c r="AG45" s="243" t="str">
        <f>IF(Input!J37="","",IF(Input!J37/20&gt;=1-AF45,1,0))</f>
        <v/>
      </c>
      <c r="AH45" s="149"/>
      <c r="AI45" s="149"/>
      <c r="AJ45" s="149"/>
      <c r="AK45" s="149"/>
      <c r="AL45" s="149"/>
      <c r="AM45" s="149"/>
    </row>
    <row r="46" spans="1:39" ht="12.75" x14ac:dyDescent="0.2">
      <c r="A46" s="398">
        <f>Input!A38</f>
        <v>0</v>
      </c>
      <c r="B46" s="387" t="str">
        <f>IF(Input!A38="","",(VLOOKUP(VLOOKUP(Input!A38,Input!$A$3:$C$8,3,FALSE),$AB$59:$AC$68,2,FALSE)*10+VLOOKUP(VLOOKUP(Input!A38,Input!$A$3:$C$8,2,FALSE),$AB$71:$AC$80,2,FALSE))/10)</f>
        <v/>
      </c>
      <c r="C46" s="323" t="str">
        <f>IF(Input!D38="","",(VLOOKUP(VLOOKUP(Input!D38,Input!$A$3:$C$8,3,FALSE),$AB$59:$AC$68,2,FALSE)*10+VLOOKUP(VLOOKUP(Input!D38,Input!$A$3:$C$8,2,FALSE),$AB$71:$AC$80,2,FALSE))/10)</f>
        <v/>
      </c>
      <c r="D46" s="348">
        <f>IF(OR(Input!B38="Attack",Input!B38="Special",Input!B38="Group",Input!B38="Counter"),IF(AND(B46&gt;C46,B46-C46&gt;=0.5),((B46-C46)*3)/10,0),0)</f>
        <v>0</v>
      </c>
      <c r="E46" s="386" t="str">
        <f>IF(Input!F38="","",IF(Input!F38/20&gt;=1-D46,1,0))</f>
        <v/>
      </c>
      <c r="F46" s="323" t="str">
        <f>IF(Input!A38="","",IF(OR(Input!B38="Attack",Input!B38="Special",Input!B38="Group"),VLOOKUP(A46,$A$31:$D$36,3,FALSE),VLOOKUP(A46,$A$13:$H$18,8,FALSE)))</f>
        <v/>
      </c>
      <c r="G46" s="323" t="str">
        <f>IF(Input!D38="","",VLOOKUP(Input!D38,$A$13:$H$18,8,FALSE))</f>
        <v/>
      </c>
      <c r="H46" s="348">
        <f t="shared" si="24"/>
        <v>0</v>
      </c>
      <c r="I46" s="399" t="str">
        <f>IF(Input!G38="","",IF(Input!G38/20&gt;=1-H46,1,0))</f>
        <v/>
      </c>
      <c r="J46" s="400" t="e">
        <f t="shared" si="25"/>
        <v>#N/A</v>
      </c>
      <c r="K46" s="323" t="e">
        <f t="shared" si="26"/>
        <v>#N/A</v>
      </c>
      <c r="L46" s="375" t="str">
        <f>IF(Input!B38="","",IF(OR(Input!B38="Attack",Input!B38="Counter"),VLOOKUP(A46,$A$13:$AM$18,6,FALSE),0))</f>
        <v/>
      </c>
      <c r="M46" s="401" t="str">
        <f>IF(Input!B38="","",IF(Input!B38="Special",VLOOKUP(A46,$A$13:$AM$18,6,FALSE)*(1+(Input!E38/10)),0))</f>
        <v/>
      </c>
      <c r="N46" s="401" t="str">
        <f>IF(Input!B38="","",IF(Input!B38="Group",1,0))</f>
        <v/>
      </c>
      <c r="O46" s="402" t="e">
        <f>IF(E46=1,VLOOKUP(Input!D38,Input!$A$11:$C$16,3,FALSE), MROUND(L46+M46+N46,0.25))</f>
        <v>#VALUE!</v>
      </c>
      <c r="P46" s="401">
        <f>IF(Input!H38="Defenseless",O46,0)*-1</f>
        <v>0</v>
      </c>
      <c r="Q46" s="323" t="str">
        <f>IF(Input!D38="","",VLOOKUP(Input!D38,$A$13:$AM$18,10,FALSE)+IF(K46="Block Success Rate",J46,0))</f>
        <v/>
      </c>
      <c r="R46" s="299">
        <f>IF(Input!H38="Block",IF(Input!I38=20,0,IF(Input!I38/20&gt;=1-Q46,(1-VLOOKUP(Input!D38,$A$13:$Z$18,12,FALSE))*O46,(1-VLOOKUP(Input!D38,$A$13:$Z$18,14,FALSE))*O46))*-1,0)</f>
        <v>0</v>
      </c>
      <c r="S46" s="251" t="str">
        <f>IF(Input!D38="","",VLOOKUP(Input!D38,$A$13:$AM$18,16,FALSE)+IF(K46="Dodge Success Rate",J46,0))</f>
        <v/>
      </c>
      <c r="T46" s="299">
        <f>IF(Input!H38="Dodge",IF(Input!I38=20,0,IF(Input!I38/20&gt;=1-S46,(1-VLOOKUP(Input!D38,$A$13:$Z$18,18,FALSE))*VLOOKUP(A46,$A$31:$D$36,4,FALSE),(1-VLOOKUP(Input!D38,$A$13:$Z$18,20,FALSE))*O46))*-1,0)</f>
        <v>0</v>
      </c>
      <c r="U46" s="125" t="str">
        <f>IF(Input!D38="","",VLOOKUP(Input!D38,$A$13:$AM$18,22,FALSE)+IF(K46="Parry Success Rate",J46,0))</f>
        <v/>
      </c>
      <c r="V46" s="299">
        <f>IF(Input!H38="Parry",IF(Input!I38=20,0,IF(Input!I38/20&gt;=1-U46,(1-VLOOKUP(Input!D38,$A$13:$Z$18,24,FALSE))*O46,(1-VLOOKUP(Input!D38,$A$13:$Z$18,26,FALSE))*O46))*-1,0)</f>
        <v>0</v>
      </c>
      <c r="W46" s="348">
        <f>IF(Input!H38="Block",Q46,IF(Input!H38="Dodge",S46,IF(Input!H38="Parry",U46,0)))</f>
        <v>0</v>
      </c>
      <c r="X46" s="323" t="str">
        <f>IF(Input!H38="Defenseless",0,IF(Input!I38="","",IF(Input!I38/20&gt;=1-W46,1,0)))</f>
        <v/>
      </c>
      <c r="Y46" s="403">
        <f t="shared" si="27"/>
        <v>0</v>
      </c>
      <c r="Z46" s="212" t="e">
        <f>ROUND(IF(AND(Input!H38="Dodge",X46=1),O46,O46+Y46),0.25)</f>
        <v>#VALUE!</v>
      </c>
      <c r="AA46" s="404">
        <f>IFERROR(IF(AA63+VLOOKUP(Input!D38,$A$22:$E$27,5,FALSE)&gt;6,6-VLOOKUP(Input!D38,$A$22:$E$27,5,FALSE),AA63),0)</f>
        <v>0</v>
      </c>
      <c r="AB46" s="404">
        <f t="shared" si="28"/>
        <v>0</v>
      </c>
      <c r="AC46" s="212">
        <f t="shared" si="29"/>
        <v>0</v>
      </c>
      <c r="AD46" s="405">
        <f t="shared" si="30"/>
        <v>0</v>
      </c>
      <c r="AE46" s="323" t="str">
        <f>IF(Input!H38="Block",VLOOKUP(Input!D38,$A$13:$F$18,6,FALSE),"")</f>
        <v/>
      </c>
      <c r="AF46" s="348">
        <f>IF(Input!H38="Block",IF(O46&gt;AE46,(O46-AE46)/AE46,0),0)</f>
        <v>0</v>
      </c>
      <c r="AG46" s="243" t="str">
        <f>IF(Input!J38="","",IF(Input!J38/20&gt;=1-AF46,1,0))</f>
        <v/>
      </c>
      <c r="AH46" s="149"/>
      <c r="AI46" s="149"/>
      <c r="AJ46" s="149"/>
      <c r="AK46" s="149"/>
      <c r="AL46" s="149"/>
      <c r="AM46" s="149"/>
    </row>
    <row r="47" spans="1:39" ht="12.75" x14ac:dyDescent="0.2">
      <c r="A47" s="398">
        <f>Input!A39</f>
        <v>0</v>
      </c>
      <c r="B47" s="387" t="str">
        <f>IF(Input!A39="","",(VLOOKUP(VLOOKUP(Input!A39,Input!$A$3:$C$8,3,FALSE),$AB$59:$AC$68,2,FALSE)*10+VLOOKUP(VLOOKUP(Input!A39,Input!$A$3:$C$8,2,FALSE),$AB$71:$AC$80,2,FALSE))/10)</f>
        <v/>
      </c>
      <c r="C47" s="323" t="str">
        <f>IF(Input!D39="","",(VLOOKUP(VLOOKUP(Input!D39,Input!$A$3:$C$8,3,FALSE),$AB$59:$AC$68,2,FALSE)*10+VLOOKUP(VLOOKUP(Input!D39,Input!$A$3:$C$8,2,FALSE),$AB$71:$AC$80,2,FALSE))/10)</f>
        <v/>
      </c>
      <c r="D47" s="348">
        <f>IF(OR(Input!B39="Attack",Input!B39="Special",Input!B39="Group",Input!B39="Counter"),IF(AND(B47&gt;C47,B47-C47&gt;=0.5),((B47-C47)*3)/10,0),0)</f>
        <v>0</v>
      </c>
      <c r="E47" s="386" t="str">
        <f>IF(Input!F39="","",IF(Input!F39/20&gt;=1-D47,1,0))</f>
        <v/>
      </c>
      <c r="F47" s="323" t="str">
        <f>IF(Input!A39="","",IF(OR(Input!B39="Attack",Input!B39="Special",Input!B39="Group"),VLOOKUP(A47,$A$31:$D$36,3,FALSE),VLOOKUP(A47,$A$13:$H$18,8,FALSE)))</f>
        <v/>
      </c>
      <c r="G47" s="323" t="str">
        <f>IF(Input!D39="","",VLOOKUP(Input!D39,$A$13:$H$18,8,FALSE))</f>
        <v/>
      </c>
      <c r="H47" s="348">
        <f t="shared" si="24"/>
        <v>0</v>
      </c>
      <c r="I47" s="399" t="str">
        <f>IF(Input!G39="","",IF(Input!G39/20&gt;=1-H47,1,0))</f>
        <v/>
      </c>
      <c r="J47" s="400" t="e">
        <f t="shared" si="25"/>
        <v>#N/A</v>
      </c>
      <c r="K47" s="323" t="e">
        <f t="shared" si="26"/>
        <v>#N/A</v>
      </c>
      <c r="L47" s="375" t="str">
        <f>IF(Input!B39="","",IF(OR(Input!B39="Attack",Input!B39="Counter"),VLOOKUP(A47,$A$13:$AM$18,6,FALSE),0))</f>
        <v/>
      </c>
      <c r="M47" s="401" t="str">
        <f>IF(Input!B39="","",IF(Input!B39="Special",VLOOKUP(A47,$A$13:$AM$18,6,FALSE)*(1+(Input!E39/10)),0))</f>
        <v/>
      </c>
      <c r="N47" s="401" t="str">
        <f>IF(Input!B39="","",IF(Input!B39="Group",1,0))</f>
        <v/>
      </c>
      <c r="O47" s="402" t="e">
        <f>IF(E47=1,VLOOKUP(Input!D39,Input!$A$11:$C$16,3,FALSE), MROUND(L47+M47+N47,0.25))</f>
        <v>#VALUE!</v>
      </c>
      <c r="P47" s="401">
        <f>IF(Input!H39="Defenseless",O47,0)*-1</f>
        <v>0</v>
      </c>
      <c r="Q47" s="323" t="str">
        <f>IF(Input!D39="","",VLOOKUP(Input!D39,$A$13:$AM$18,10,FALSE)+IF(K47="Block Success Rate",J47,0))</f>
        <v/>
      </c>
      <c r="R47" s="299">
        <f>IF(Input!H39="Block",IF(Input!I39=20,0,IF(Input!I39/20&gt;=1-Q47,(1-VLOOKUP(Input!D39,$A$13:$Z$18,12,FALSE))*O47,(1-VLOOKUP(Input!D39,$A$13:$Z$18,14,FALSE))*O47))*-1,0)</f>
        <v>0</v>
      </c>
      <c r="S47" s="251" t="str">
        <f>IF(Input!D39="","",VLOOKUP(Input!D39,$A$13:$AM$18,16,FALSE)+IF(K47="Dodge Success Rate",J47,0))</f>
        <v/>
      </c>
      <c r="T47" s="299">
        <f>IF(Input!H39="Dodge",IF(Input!I39=20,0,IF(Input!I39/20&gt;=1-S47,(1-VLOOKUP(Input!D39,$A$13:$Z$18,18,FALSE))*VLOOKUP(A47,$A$31:$D$36,4,FALSE),(1-VLOOKUP(Input!D39,$A$13:$Z$18,20,FALSE))*O47))*-1,0)</f>
        <v>0</v>
      </c>
      <c r="U47" s="125" t="str">
        <f>IF(Input!D39="","",VLOOKUP(Input!D39,$A$13:$AM$18,22,FALSE)+IF(K47="Parry Success Rate",J47,0))</f>
        <v/>
      </c>
      <c r="V47" s="299">
        <f>IF(Input!H39="Parry",IF(Input!I39=20,0,IF(Input!I39/20&gt;=1-U47,(1-VLOOKUP(Input!D39,$A$13:$Z$18,24,FALSE))*O47,(1-VLOOKUP(Input!D39,$A$13:$Z$18,26,FALSE))*O47))*-1,0)</f>
        <v>0</v>
      </c>
      <c r="W47" s="348">
        <f>IF(Input!H39="Block",Q47,IF(Input!H39="Dodge",S47,IF(Input!H39="Parry",U47,0)))</f>
        <v>0</v>
      </c>
      <c r="X47" s="323" t="str">
        <f>IF(Input!H39="Defenseless",0,IF(Input!I39="","",IF(Input!I39/20&gt;=1-W47,1,0)))</f>
        <v/>
      </c>
      <c r="Y47" s="403">
        <f t="shared" si="27"/>
        <v>0</v>
      </c>
      <c r="Z47" s="212" t="e">
        <f>ROUND(IF(AND(Input!H39="Dodge",X47=1),O47,O47+Y47),0.25)</f>
        <v>#VALUE!</v>
      </c>
      <c r="AA47" s="404">
        <f>IFERROR(IF(AA64+VLOOKUP(Input!D39,$A$22:$E$27,5,FALSE)&gt;6,6-VLOOKUP(Input!D39,$A$22:$E$27,5,FALSE),AA64),0)</f>
        <v>0</v>
      </c>
      <c r="AB47" s="404">
        <f t="shared" si="28"/>
        <v>0</v>
      </c>
      <c r="AC47" s="212">
        <f t="shared" si="29"/>
        <v>0</v>
      </c>
      <c r="AD47" s="405">
        <f t="shared" si="30"/>
        <v>0</v>
      </c>
      <c r="AE47" s="323" t="str">
        <f>IF(Input!H39="Block",VLOOKUP(Input!D39,$A$13:$F$18,6,FALSE),"")</f>
        <v/>
      </c>
      <c r="AF47" s="348">
        <f>IF(Input!H39="Block",IF(O47&gt;AE47,(O47-AE47)/AE47,0),0)</f>
        <v>0</v>
      </c>
      <c r="AG47" s="243" t="str">
        <f>IF(Input!J39="","",IF(Input!J39/20&gt;=1-AF47,1,0))</f>
        <v/>
      </c>
      <c r="AH47" s="149"/>
      <c r="AI47" s="149"/>
      <c r="AJ47" s="149"/>
      <c r="AK47" s="149"/>
      <c r="AL47" s="149"/>
      <c r="AM47" s="149"/>
    </row>
    <row r="48" spans="1:39" ht="12.75" x14ac:dyDescent="0.2">
      <c r="A48" s="398">
        <f>Input!A40</f>
        <v>0</v>
      </c>
      <c r="B48" s="387" t="str">
        <f>IF(Input!A40="","",(VLOOKUP(VLOOKUP(Input!A40,Input!$A$3:$C$8,3,FALSE),$AB$59:$AC$68,2,FALSE)*10+VLOOKUP(VLOOKUP(Input!A40,Input!$A$3:$C$8,2,FALSE),$AB$71:$AC$80,2,FALSE))/10)</f>
        <v/>
      </c>
      <c r="C48" s="323" t="str">
        <f>IF(Input!D40="","",(VLOOKUP(VLOOKUP(Input!D40,Input!$A$3:$C$8,3,FALSE),$AB$59:$AC$68,2,FALSE)*10+VLOOKUP(VLOOKUP(Input!D40,Input!$A$3:$C$8,2,FALSE),$AB$71:$AC$80,2,FALSE))/10)</f>
        <v/>
      </c>
      <c r="D48" s="348">
        <f>IF(OR(Input!B40="Attack",Input!B40="Special",Input!B40="Group",Input!B40="Counter"),IF(AND(B48&gt;C48,B48-C48&gt;=0.5),((B48-C48)*3)/10,0),0)</f>
        <v>0</v>
      </c>
      <c r="E48" s="386" t="str">
        <f>IF(Input!F40="","",IF(Input!F40/20&gt;=1-D48,1,0))</f>
        <v/>
      </c>
      <c r="F48" s="323" t="str">
        <f>IF(Input!A40="","",IF(OR(Input!B40="Attack",Input!B40="Special",Input!B40="Group"),VLOOKUP(A48,$A$31:$D$36,3,FALSE),VLOOKUP(A48,$A$13:$H$18,8,FALSE)))</f>
        <v/>
      </c>
      <c r="G48" s="323" t="str">
        <f>IF(Input!D40="","",VLOOKUP(Input!D40,$A$13:$H$18,8,FALSE))</f>
        <v/>
      </c>
      <c r="H48" s="348">
        <f t="shared" si="24"/>
        <v>0</v>
      </c>
      <c r="I48" s="399" t="str">
        <f>IF(Input!G40="","",IF(Input!G40/20&gt;=1-H48,1,0))</f>
        <v/>
      </c>
      <c r="J48" s="400" t="e">
        <f t="shared" si="25"/>
        <v>#N/A</v>
      </c>
      <c r="K48" s="323" t="e">
        <f t="shared" si="26"/>
        <v>#N/A</v>
      </c>
      <c r="L48" s="375" t="str">
        <f>IF(Input!B40="","",IF(OR(Input!B40="Attack",Input!B40="Counter"),VLOOKUP(A48,$A$13:$AM$18,6,FALSE),0))</f>
        <v/>
      </c>
      <c r="M48" s="401" t="str">
        <f>IF(Input!B40="","",IF(Input!B40="Special",VLOOKUP(A48,$A$13:$AM$18,6,FALSE)*(1+(Input!E40/10)),0))</f>
        <v/>
      </c>
      <c r="N48" s="401" t="str">
        <f>IF(Input!B40="","",IF(Input!B40="Group",1,0))</f>
        <v/>
      </c>
      <c r="O48" s="402" t="e">
        <f>IF(E48=1,VLOOKUP(Input!D40,Input!$A$11:$C$16,3,FALSE), MROUND(L48+M48+N48,0.25))</f>
        <v>#VALUE!</v>
      </c>
      <c r="P48" s="401">
        <f>IF(Input!H40="Defenseless",O48,0)*-1</f>
        <v>0</v>
      </c>
      <c r="Q48" s="323" t="str">
        <f>IF(Input!D40="","",VLOOKUP(Input!D40,$A$13:$AM$18,10,FALSE)+IF(K48="Block Success Rate",J48,0))</f>
        <v/>
      </c>
      <c r="R48" s="299">
        <f>IF(Input!H40="Block",IF(Input!I40=20,0,IF(Input!I40/20&gt;=1-Q48,(1-VLOOKUP(Input!D40,$A$13:$Z$18,12,FALSE))*O48,(1-VLOOKUP(Input!D40,$A$13:$Z$18,14,FALSE))*O48))*-1,0)</f>
        <v>0</v>
      </c>
      <c r="S48" s="251" t="str">
        <f>IF(Input!D40="","",VLOOKUP(Input!D40,$A$13:$AM$18,16,FALSE)+IF(K48="Dodge Success Rate",J48,0))</f>
        <v/>
      </c>
      <c r="T48" s="299">
        <f>IF(Input!H40="Dodge",IF(Input!I40=20,0,IF(Input!I40/20&gt;=1-S48,(1-VLOOKUP(Input!D40,$A$13:$Z$18,18,FALSE))*VLOOKUP(A48,$A$31:$D$36,4,FALSE),(1-VLOOKUP(Input!D40,$A$13:$Z$18,20,FALSE))*O48))*-1,0)</f>
        <v>0</v>
      </c>
      <c r="U48" s="125" t="str">
        <f>IF(Input!D40="","",VLOOKUP(Input!D40,$A$13:$AM$18,22,FALSE)+IF(K48="Parry Success Rate",J48,0))</f>
        <v/>
      </c>
      <c r="V48" s="299">
        <f>IF(Input!H40="Parry",IF(Input!I40=20,0,IF(Input!I40/20&gt;=1-U48,(1-VLOOKUP(Input!D40,$A$13:$Z$18,24,FALSE))*O48,(1-VLOOKUP(Input!D40,$A$13:$Z$18,26,FALSE))*O48))*-1,0)</f>
        <v>0</v>
      </c>
      <c r="W48" s="348">
        <f>IF(Input!H40="Block",Q48,IF(Input!H40="Dodge",S48,IF(Input!H40="Parry",U48,0)))</f>
        <v>0</v>
      </c>
      <c r="X48" s="323" t="str">
        <f>IF(Input!H40="Defenseless",0,IF(Input!I40="","",IF(Input!I40/20&gt;=1-W48,1,0)))</f>
        <v/>
      </c>
      <c r="Y48" s="403">
        <f t="shared" si="27"/>
        <v>0</v>
      </c>
      <c r="Z48" s="212" t="e">
        <f>ROUND(IF(AND(Input!H40="Dodge",X48=1),O48,O48+Y48),0.25)</f>
        <v>#VALUE!</v>
      </c>
      <c r="AA48" s="404">
        <f>IFERROR(IF(AA65+VLOOKUP(Input!D40,$A$22:$E$27,5,FALSE)&gt;6,6-VLOOKUP(Input!D40,$A$22:$E$27,5,FALSE),AA65),0)</f>
        <v>0</v>
      </c>
      <c r="AB48" s="404">
        <f t="shared" si="28"/>
        <v>0</v>
      </c>
      <c r="AC48" s="212">
        <f t="shared" si="29"/>
        <v>0</v>
      </c>
      <c r="AD48" s="405">
        <f t="shared" si="30"/>
        <v>0</v>
      </c>
      <c r="AE48" s="323" t="str">
        <f>IF(Input!H40="Block",VLOOKUP(Input!D40,$A$13:$F$18,6,FALSE),"")</f>
        <v/>
      </c>
      <c r="AF48" s="348">
        <f>IF(Input!H40="Block",IF(O48&gt;AE48,(O48-AE48)/AE48,0),0)</f>
        <v>0</v>
      </c>
      <c r="AG48" s="243" t="str">
        <f>IF(Input!J40="","",IF(Input!J40/20&gt;=1-AF48,1,0))</f>
        <v/>
      </c>
      <c r="AH48" s="149"/>
      <c r="AI48" s="149"/>
      <c r="AJ48" s="149"/>
      <c r="AK48" s="149"/>
      <c r="AL48" s="149"/>
      <c r="AM48" s="149"/>
    </row>
    <row r="49" spans="1:39" ht="12.75" x14ac:dyDescent="0.2">
      <c r="A49" s="398">
        <f>Input!A41</f>
        <v>0</v>
      </c>
      <c r="B49" s="387" t="str">
        <f>IF(Input!A41="","",(VLOOKUP(VLOOKUP(Input!A41,Input!$A$3:$C$8,3,FALSE),$AB$59:$AC$68,2,FALSE)*10+VLOOKUP(VLOOKUP(Input!A41,Input!$A$3:$C$8,2,FALSE),$AB$71:$AC$80,2,FALSE))/10)</f>
        <v/>
      </c>
      <c r="C49" s="323" t="str">
        <f>IF(Input!D41="","",(VLOOKUP(VLOOKUP(Input!D41,Input!$A$3:$C$8,3,FALSE),$AB$59:$AC$68,2,FALSE)*10+VLOOKUP(VLOOKUP(Input!D41,Input!$A$3:$C$8,2,FALSE),$AB$71:$AC$80,2,FALSE))/10)</f>
        <v/>
      </c>
      <c r="D49" s="348">
        <f>IF(OR(Input!B41="Attack",Input!B41="Special",Input!B41="Group",Input!B41="Counter"),IF(AND(B49&gt;C49,B49-C49&gt;=0.5),((B49-C49)*3)/10,0),0)</f>
        <v>0</v>
      </c>
      <c r="E49" s="386" t="str">
        <f>IF(Input!F41="","",IF(Input!F41/20&gt;=1-D49,1,0))</f>
        <v/>
      </c>
      <c r="F49" s="323" t="str">
        <f>IF(Input!A41="","",IF(OR(Input!B41="Attack",Input!B41="Special",Input!B41="Group"),VLOOKUP(A49,$A$31:$D$36,3,FALSE),VLOOKUP(A49,$A$13:$H$18,8,FALSE)))</f>
        <v/>
      </c>
      <c r="G49" s="323" t="str">
        <f>IF(Input!D41="","",VLOOKUP(Input!D41,$A$13:$H$18,8,FALSE))</f>
        <v/>
      </c>
      <c r="H49" s="348">
        <f t="shared" si="24"/>
        <v>0</v>
      </c>
      <c r="I49" s="399" t="str">
        <f>IF(Input!G41="","",IF(Input!G41/20&gt;=1-H49,1,0))</f>
        <v/>
      </c>
      <c r="J49" s="400" t="e">
        <f t="shared" si="25"/>
        <v>#N/A</v>
      </c>
      <c r="K49" s="323" t="e">
        <f t="shared" si="26"/>
        <v>#N/A</v>
      </c>
      <c r="L49" s="375" t="str">
        <f>IF(Input!B41="","",IF(OR(Input!B41="Attack",Input!B41="Counter"),VLOOKUP(A49,$A$13:$AM$18,6,FALSE),0))</f>
        <v/>
      </c>
      <c r="M49" s="401" t="str">
        <f>IF(Input!B41="","",IF(Input!B41="Special",VLOOKUP(A49,$A$13:$AM$18,6,FALSE)*(1+(Input!E41/10)),0))</f>
        <v/>
      </c>
      <c r="N49" s="401" t="str">
        <f>IF(Input!B41="","",IF(Input!B41="Group",1,0))</f>
        <v/>
      </c>
      <c r="O49" s="402" t="e">
        <f>IF(E49=1,VLOOKUP(Input!D41,Input!$A$11:$C$16,3,FALSE), MROUND(L49+M49+N49,0.25))</f>
        <v>#VALUE!</v>
      </c>
      <c r="P49" s="401">
        <f>IF(Input!H41="Defenseless",O49,0)*-1</f>
        <v>0</v>
      </c>
      <c r="Q49" s="323" t="str">
        <f>IF(Input!D41="","",VLOOKUP(Input!D41,$A$13:$AM$18,10,FALSE)+IF(K49="Block Success Rate",J49,0))</f>
        <v/>
      </c>
      <c r="R49" s="299">
        <f>IF(Input!H41="Block",IF(Input!I41=20,0,IF(Input!I41/20&gt;=1-Q49,(1-VLOOKUP(Input!D41,$A$13:$Z$18,12,FALSE))*O49,(1-VLOOKUP(Input!D41,$A$13:$Z$18,14,FALSE))*O49))*-1,0)</f>
        <v>0</v>
      </c>
      <c r="S49" s="251" t="str">
        <f>IF(Input!D41="","",VLOOKUP(Input!D41,$A$13:$AM$18,16,FALSE)+IF(K49="Dodge Success Rate",J49,0))</f>
        <v/>
      </c>
      <c r="T49" s="299">
        <f>IF(Input!H41="Dodge",IF(Input!I41=20,0,IF(Input!I41/20&gt;=1-S49,(1-VLOOKUP(Input!D41,$A$13:$Z$18,18,FALSE))*VLOOKUP(A49,$A$31:$D$36,4,FALSE),(1-VLOOKUP(Input!D41,$A$13:$Z$18,20,FALSE))*O49))*-1,0)</f>
        <v>0</v>
      </c>
      <c r="U49" s="125" t="str">
        <f>IF(Input!D41="","",VLOOKUP(Input!D41,$A$13:$AM$18,22,FALSE)+IF(K49="Parry Success Rate",J49,0))</f>
        <v/>
      </c>
      <c r="V49" s="299">
        <f>IF(Input!H41="Parry",IF(Input!I41=20,0,IF(Input!I41/20&gt;=1-U49,(1-VLOOKUP(Input!D41,$A$13:$Z$18,24,FALSE))*O49,(1-VLOOKUP(Input!D41,$A$13:$Z$18,26,FALSE))*O49))*-1,0)</f>
        <v>0</v>
      </c>
      <c r="W49" s="348">
        <f>IF(Input!H41="Block",Q49,IF(Input!H41="Dodge",S49,IF(Input!H41="Parry",U49,0)))</f>
        <v>0</v>
      </c>
      <c r="X49" s="323" t="str">
        <f>IF(Input!H41="Defenseless",0,IF(Input!I41="","",IF(Input!I41/20&gt;=1-W49,1,0)))</f>
        <v/>
      </c>
      <c r="Y49" s="403">
        <f t="shared" si="27"/>
        <v>0</v>
      </c>
      <c r="Z49" s="212" t="e">
        <f>ROUND(IF(AND(Input!H41="Dodge",X49=1),O49,O49+Y49),0.25)</f>
        <v>#VALUE!</v>
      </c>
      <c r="AA49" s="404">
        <f>IFERROR(IF(AA66+VLOOKUP(Input!D41,$A$22:$E$27,5,FALSE)&gt;6,6-VLOOKUP(Input!D41,$A$22:$E$27,5,FALSE),AA66),0)</f>
        <v>0</v>
      </c>
      <c r="AB49" s="404">
        <f t="shared" si="28"/>
        <v>0</v>
      </c>
      <c r="AC49" s="212">
        <f t="shared" si="29"/>
        <v>0</v>
      </c>
      <c r="AD49" s="405">
        <f t="shared" si="30"/>
        <v>0</v>
      </c>
      <c r="AE49" s="323" t="str">
        <f>IF(Input!H41="Block",VLOOKUP(Input!D41,$A$13:$F$18,6,FALSE),"")</f>
        <v/>
      </c>
      <c r="AF49" s="348">
        <f>IF(Input!H41="Block",IF(O49&gt;AE49,(O49-AE49)/AE49,0),0)</f>
        <v>0</v>
      </c>
      <c r="AG49" s="243" t="str">
        <f>IF(Input!J41="","",IF(Input!J41/20&gt;=1-AF49,1,0))</f>
        <v/>
      </c>
      <c r="AH49" s="149"/>
      <c r="AI49" s="149"/>
      <c r="AJ49" s="149"/>
      <c r="AK49" s="149"/>
      <c r="AL49" s="149"/>
      <c r="AM49" s="149"/>
    </row>
    <row r="50" spans="1:39" ht="12.75" x14ac:dyDescent="0.2">
      <c r="A50" s="398">
        <f>Input!A42</f>
        <v>0</v>
      </c>
      <c r="B50" s="387" t="str">
        <f>IF(Input!A42="","",(VLOOKUP(VLOOKUP(Input!A42,Input!$A$3:$C$8,3,FALSE),$AB$59:$AC$68,2,FALSE)*10+VLOOKUP(VLOOKUP(Input!A42,Input!$A$3:$C$8,2,FALSE),$AB$71:$AC$80,2,FALSE))/10)</f>
        <v/>
      </c>
      <c r="C50" s="323" t="str">
        <f>IF(Input!D42="","",(VLOOKUP(VLOOKUP(Input!D42,Input!$A$3:$C$8,3,FALSE),$AB$59:$AC$68,2,FALSE)*10+VLOOKUP(VLOOKUP(Input!D42,Input!$A$3:$C$8,2,FALSE),$AB$71:$AC$80,2,FALSE))/10)</f>
        <v/>
      </c>
      <c r="D50" s="348">
        <f>IF(OR(Input!B42="Attack",Input!B42="Special",Input!B42="Group",Input!B42="Counter"),IF(AND(B50&gt;C50,B50-C50&gt;=0.5),((B50-C50)*3)/10,0),0)</f>
        <v>0</v>
      </c>
      <c r="E50" s="386" t="str">
        <f>IF(Input!F42="","",IF(Input!F42/20&gt;=1-D50,1,0))</f>
        <v/>
      </c>
      <c r="F50" s="323" t="str">
        <f>IF(Input!A42="","",IF(OR(Input!B42="Attack",Input!B42="Special",Input!B42="Group"),VLOOKUP(A50,$A$31:$D$36,3,FALSE),VLOOKUP(A50,$A$13:$H$18,8,FALSE)))</f>
        <v/>
      </c>
      <c r="G50" s="323" t="str">
        <f>IF(Input!D42="","",VLOOKUP(Input!D42,$A$13:$H$18,8,FALSE))</f>
        <v/>
      </c>
      <c r="H50" s="348">
        <f t="shared" si="24"/>
        <v>0</v>
      </c>
      <c r="I50" s="399" t="str">
        <f>IF(Input!G42="","",IF(Input!G42/20&gt;=1-H50,1,0))</f>
        <v/>
      </c>
      <c r="J50" s="400" t="e">
        <f t="shared" si="25"/>
        <v>#N/A</v>
      </c>
      <c r="K50" s="323" t="e">
        <f t="shared" si="26"/>
        <v>#N/A</v>
      </c>
      <c r="L50" s="375" t="str">
        <f>IF(Input!B42="","",IF(OR(Input!B42="Attack",Input!B42="Counter"),VLOOKUP(A50,$A$13:$AM$18,6,FALSE),0))</f>
        <v/>
      </c>
      <c r="M50" s="401" t="str">
        <f>IF(Input!B42="","",IF(Input!B42="Special",VLOOKUP(A50,$A$13:$AM$18,6,FALSE)*(1+(Input!E42/10)),0))</f>
        <v/>
      </c>
      <c r="N50" s="401" t="str">
        <f>IF(Input!B42="","",IF(Input!B42="Group",1,0))</f>
        <v/>
      </c>
      <c r="O50" s="402" t="e">
        <f>IF(E50=1,VLOOKUP(Input!D42,Input!$A$11:$C$16,3,FALSE), MROUND(L50+M50+N50,0.25))</f>
        <v>#VALUE!</v>
      </c>
      <c r="P50" s="401">
        <f>IF(Input!H42="Defenseless",O50,0)*-1</f>
        <v>0</v>
      </c>
      <c r="Q50" s="323" t="str">
        <f>IF(Input!D42="","",VLOOKUP(Input!D42,$A$13:$AM$18,10,FALSE)+IF(K50="Block Success Rate",J50,0))</f>
        <v/>
      </c>
      <c r="R50" s="299">
        <f>IF(Input!H42="Block",IF(Input!I42=20,0,IF(Input!I42/20&gt;=1-Q50,(1-VLOOKUP(Input!D42,$A$13:$Z$18,12,FALSE))*O50,(1-VLOOKUP(Input!D42,$A$13:$Z$18,14,FALSE))*O50))*-1,0)</f>
        <v>0</v>
      </c>
      <c r="S50" s="251" t="str">
        <f>IF(Input!D42="","",VLOOKUP(Input!D42,$A$13:$AM$18,16,FALSE)+IF(K50="Dodge Success Rate",J50,0))</f>
        <v/>
      </c>
      <c r="T50" s="299">
        <f>IF(Input!H42="Dodge",IF(Input!I42=20,0,IF(Input!I42/20&gt;=1-S50,(1-VLOOKUP(Input!D42,$A$13:$Z$18,18,FALSE))*VLOOKUP(A50,$A$31:$D$36,4,FALSE),(1-VLOOKUP(Input!D42,$A$13:$Z$18,20,FALSE))*O50))*-1,0)</f>
        <v>0</v>
      </c>
      <c r="U50" s="125" t="str">
        <f>IF(Input!D42="","",VLOOKUP(Input!D42,$A$13:$AM$18,22,FALSE)+IF(K50="Parry Success Rate",J50,0))</f>
        <v/>
      </c>
      <c r="V50" s="299">
        <f>IF(Input!H42="Parry",IF(Input!I42=20,0,IF(Input!I42/20&gt;=1-U50,(1-VLOOKUP(Input!D42,$A$13:$Z$18,24,FALSE))*O50,(1-VLOOKUP(Input!D42,$A$13:$Z$18,26,FALSE))*O50))*-1,0)</f>
        <v>0</v>
      </c>
      <c r="W50" s="348">
        <f>IF(Input!H42="Block",Q50,IF(Input!H42="Dodge",S50,IF(Input!H42="Parry",U50,0)))</f>
        <v>0</v>
      </c>
      <c r="X50" s="323" t="str">
        <f>IF(Input!H42="Defenseless",0,IF(Input!I42="","",IF(Input!I42/20&gt;=1-W50,1,0)))</f>
        <v/>
      </c>
      <c r="Y50" s="403">
        <f t="shared" si="27"/>
        <v>0</v>
      </c>
      <c r="Z50" s="212" t="e">
        <f>ROUND(IF(AND(Input!H42="Dodge",X50=1),O50,O50+Y50),0.25)</f>
        <v>#VALUE!</v>
      </c>
      <c r="AA50" s="404">
        <f>IFERROR(IF(AA67+VLOOKUP(Input!D42,$A$22:$E$27,5,FALSE)&gt;6,6-VLOOKUP(Input!D42,$A$22:$E$27,5,FALSE),AA67),0)</f>
        <v>0</v>
      </c>
      <c r="AB50" s="404">
        <f t="shared" si="28"/>
        <v>0</v>
      </c>
      <c r="AC50" s="212">
        <f t="shared" si="29"/>
        <v>0</v>
      </c>
      <c r="AD50" s="405">
        <f t="shared" si="30"/>
        <v>0</v>
      </c>
      <c r="AE50" s="323" t="str">
        <f>IF(Input!H42="Block",VLOOKUP(Input!D42,$A$13:$F$18,6,FALSE),"")</f>
        <v/>
      </c>
      <c r="AF50" s="348">
        <f>IF(Input!H42="Block",IF(O50&gt;AE50,(O50-AE50)/AE50,0),0)</f>
        <v>0</v>
      </c>
      <c r="AG50" s="243" t="str">
        <f>IF(Input!J42="","",IF(Input!J42/20&gt;=1-AF50,1,0))</f>
        <v/>
      </c>
      <c r="AH50" s="149"/>
      <c r="AI50" s="149"/>
      <c r="AJ50" s="149"/>
      <c r="AK50" s="149"/>
      <c r="AL50" s="149"/>
      <c r="AM50" s="149"/>
    </row>
    <row r="51" spans="1:39" ht="12.75" x14ac:dyDescent="0.2">
      <c r="A51" s="398">
        <f>Input!A43</f>
        <v>0</v>
      </c>
      <c r="B51" s="387" t="str">
        <f>IF(Input!A43="","",(VLOOKUP(VLOOKUP(Input!A43,Input!$A$3:$C$8,3,FALSE),$AB$59:$AC$68,2,FALSE)*10+VLOOKUP(VLOOKUP(Input!A43,Input!$A$3:$C$8,2,FALSE),$AB$71:$AC$80,2,FALSE))/10)</f>
        <v/>
      </c>
      <c r="C51" s="323" t="str">
        <f>IF(Input!D43="","",(VLOOKUP(VLOOKUP(Input!D43,Input!$A$3:$C$8,3,FALSE),$AB$59:$AC$68,2,FALSE)*10+VLOOKUP(VLOOKUP(Input!D43,Input!$A$3:$C$8,2,FALSE),$AB$71:$AC$80,2,FALSE))/10)</f>
        <v/>
      </c>
      <c r="D51" s="348">
        <f>IF(OR(Input!B43="Attack",Input!B43="Special",Input!B43="Group",Input!B43="Counter"),IF(AND(B51&gt;C51,B51-C51&gt;=0.5),((B51-C51)*3)/10,0),0)</f>
        <v>0</v>
      </c>
      <c r="E51" s="386" t="str">
        <f>IF(Input!F43="","",IF(Input!F43/20&gt;=1-D51,1,0))</f>
        <v/>
      </c>
      <c r="F51" s="323" t="str">
        <f>IF(Input!A43="","",IF(OR(Input!B43="Attack",Input!B43="Special",Input!B43="Group"),VLOOKUP(A51,$A$31:$D$36,3,FALSE),VLOOKUP(A51,$A$13:$H$18,8,FALSE)))</f>
        <v/>
      </c>
      <c r="G51" s="323" t="str">
        <f>IF(Input!D43="","",VLOOKUP(Input!D43,$A$13:$H$18,8,FALSE))</f>
        <v/>
      </c>
      <c r="H51" s="348">
        <f t="shared" si="24"/>
        <v>0</v>
      </c>
      <c r="I51" s="399" t="str">
        <f>IF(Input!G43="","",IF(Input!G43/20&gt;=1-H51,1,0))</f>
        <v/>
      </c>
      <c r="J51" s="400" t="e">
        <f t="shared" si="25"/>
        <v>#N/A</v>
      </c>
      <c r="K51" s="323" t="e">
        <f t="shared" si="26"/>
        <v>#N/A</v>
      </c>
      <c r="L51" s="375" t="str">
        <f>IF(Input!B43="","",IF(OR(Input!B43="Attack",Input!B43="Counter"),VLOOKUP(A51,$A$13:$AM$18,6,FALSE),0))</f>
        <v/>
      </c>
      <c r="M51" s="401" t="str">
        <f>IF(Input!B43="","",IF(Input!B43="Special",VLOOKUP(A51,$A$13:$AM$18,6,FALSE)*(1+(Input!E43/10)),0))</f>
        <v/>
      </c>
      <c r="N51" s="401" t="str">
        <f>IF(Input!B43="","",IF(Input!B43="Group",1,0))</f>
        <v/>
      </c>
      <c r="O51" s="402" t="e">
        <f>IF(E51=1,VLOOKUP(Input!D43,Input!$A$11:$C$16,3,FALSE), MROUND(L51+M51+N51,0.25))</f>
        <v>#VALUE!</v>
      </c>
      <c r="P51" s="401">
        <f>IF(Input!H43="Defenseless",O51,0)*-1</f>
        <v>0</v>
      </c>
      <c r="Q51" s="323" t="str">
        <f>IF(Input!D43="","",VLOOKUP(Input!D43,$A$13:$AM$18,10,FALSE)+IF(K51="Block Success Rate",J51,0))</f>
        <v/>
      </c>
      <c r="R51" s="299">
        <f>IF(Input!H43="Block",IF(Input!I43=20,0,IF(Input!I43/20&gt;=1-Q51,(1-VLOOKUP(Input!D43,$A$13:$Z$18,12,FALSE))*O51,(1-VLOOKUP(Input!D43,$A$13:$Z$18,14,FALSE))*O51))*-1,0)</f>
        <v>0</v>
      </c>
      <c r="S51" s="251" t="str">
        <f>IF(Input!D43="","",VLOOKUP(Input!D43,$A$13:$AM$18,16,FALSE)+IF(K51="Dodge Success Rate",J51,0))</f>
        <v/>
      </c>
      <c r="T51" s="299">
        <f>IF(Input!H43="Dodge",IF(Input!I43=20,0,IF(Input!I43/20&gt;=1-S51,(1-VLOOKUP(Input!D43,$A$13:$Z$18,18,FALSE))*VLOOKUP(A51,$A$31:$D$36,4,FALSE),(1-VLOOKUP(Input!D43,$A$13:$Z$18,20,FALSE))*O51))*-1,0)</f>
        <v>0</v>
      </c>
      <c r="U51" s="125" t="str">
        <f>IF(Input!D43="","",VLOOKUP(Input!D43,$A$13:$AM$18,22,FALSE)+IF(K51="Parry Success Rate",J51,0))</f>
        <v/>
      </c>
      <c r="V51" s="299">
        <f>IF(Input!H43="Parry",IF(Input!I43=20,0,IF(Input!I43/20&gt;=1-U51,(1-VLOOKUP(Input!D43,$A$13:$Z$18,24,FALSE))*O51,(1-VLOOKUP(Input!D43,$A$13:$Z$18,26,FALSE))*O51))*-1,0)</f>
        <v>0</v>
      </c>
      <c r="W51" s="348">
        <f>IF(Input!H43="Block",Q51,IF(Input!H43="Dodge",S51,IF(Input!H43="Parry",U51,0)))</f>
        <v>0</v>
      </c>
      <c r="X51" s="323" t="str">
        <f>IF(Input!H43="Defenseless",0,IF(Input!I43="","",IF(Input!I43/20&gt;=1-W51,1,0)))</f>
        <v/>
      </c>
      <c r="Y51" s="403">
        <f t="shared" si="27"/>
        <v>0</v>
      </c>
      <c r="Z51" s="212" t="e">
        <f>ROUND(IF(AND(Input!H43="Dodge",X51=1),O51,O51+Y51),0.25)</f>
        <v>#VALUE!</v>
      </c>
      <c r="AA51" s="404">
        <f>IFERROR(IF(AA68+VLOOKUP(Input!D43,$A$22:$E$27,5,FALSE)&gt;6,6-VLOOKUP(Input!D43,$A$22:$E$27,5,FALSE),AA68),0)</f>
        <v>0</v>
      </c>
      <c r="AB51" s="404">
        <f t="shared" si="28"/>
        <v>0</v>
      </c>
      <c r="AC51" s="212">
        <f t="shared" si="29"/>
        <v>0</v>
      </c>
      <c r="AD51" s="405">
        <f t="shared" si="30"/>
        <v>0</v>
      </c>
      <c r="AE51" s="323" t="str">
        <f>IF(Input!H43="Block",VLOOKUP(Input!D43,$A$13:$F$18,6,FALSE),"")</f>
        <v/>
      </c>
      <c r="AF51" s="348">
        <f>IF(Input!H43="Block",IF(O51&gt;AE51,(O51-AE51)/AE51,0),0)</f>
        <v>0</v>
      </c>
      <c r="AG51" s="243" t="str">
        <f>IF(Input!J43="","",IF(Input!J43/20&gt;=1-AF51,1,0))</f>
        <v/>
      </c>
      <c r="AH51" s="149"/>
      <c r="AI51" s="149"/>
      <c r="AJ51" s="149"/>
      <c r="AK51" s="149"/>
      <c r="AL51" s="149"/>
      <c r="AM51" s="149"/>
    </row>
    <row r="52" spans="1:39" ht="12.75" x14ac:dyDescent="0.2">
      <c r="A52" s="398">
        <f>Input!A44</f>
        <v>0</v>
      </c>
      <c r="B52" s="387" t="str">
        <f>IF(Input!A44="","",(VLOOKUP(VLOOKUP(Input!A44,Input!$A$3:$C$8,3,FALSE),$AB$59:$AC$68,2,FALSE)*10+VLOOKUP(VLOOKUP(Input!A44,Input!$A$3:$C$8,2,FALSE),$AB$71:$AC$80,2,FALSE))/10)</f>
        <v/>
      </c>
      <c r="C52" s="323" t="str">
        <f>IF(Input!D44="","",(VLOOKUP(VLOOKUP(Input!D44,Input!$A$3:$C$8,3,FALSE),$AB$59:$AC$68,2,FALSE)*10+VLOOKUP(VLOOKUP(Input!D44,Input!$A$3:$C$8,2,FALSE),$AB$71:$AC$80,2,FALSE))/10)</f>
        <v/>
      </c>
      <c r="D52" s="348">
        <f>IF(OR(Input!B44="Attack",Input!B44="Special",Input!B44="Group",Input!B44="Counter"),IF(AND(B52&gt;C52,B52-C52&gt;=0.5),((B52-C52)*3)/10,0),0)</f>
        <v>0</v>
      </c>
      <c r="E52" s="386" t="str">
        <f>IF(Input!F44="","",IF(Input!F44/20&gt;=1-D52,1,0))</f>
        <v/>
      </c>
      <c r="F52" s="323" t="str">
        <f>IF(Input!A44="","",IF(OR(Input!B44="Attack",Input!B44="Special",Input!B44="Group"),VLOOKUP(A52,$A$31:$D$36,3,FALSE),VLOOKUP(A52,$A$13:$H$18,8,FALSE)))</f>
        <v/>
      </c>
      <c r="G52" s="323" t="str">
        <f>IF(Input!D44="","",VLOOKUP(Input!D44,$A$13:$H$18,8,FALSE))</f>
        <v/>
      </c>
      <c r="H52" s="348">
        <f t="shared" si="24"/>
        <v>0</v>
      </c>
      <c r="I52" s="399" t="str">
        <f>IF(Input!G44="","",IF(Input!G44/20&gt;=1-H52,1,0))</f>
        <v/>
      </c>
      <c r="J52" s="400" t="e">
        <f t="shared" si="25"/>
        <v>#N/A</v>
      </c>
      <c r="K52" s="323" t="e">
        <f t="shared" si="26"/>
        <v>#N/A</v>
      </c>
      <c r="L52" s="375" t="str">
        <f>IF(Input!B44="","",IF(OR(Input!B44="Attack",Input!B44="Counter"),VLOOKUP(A52,$A$13:$AM$18,6,FALSE),0))</f>
        <v/>
      </c>
      <c r="M52" s="401" t="str">
        <f>IF(Input!B44="","",IF(Input!B44="Special",VLOOKUP(A52,$A$13:$AM$18,6,FALSE)*(1+(Input!E44/10)),0))</f>
        <v/>
      </c>
      <c r="N52" s="401" t="str">
        <f>IF(Input!B44="","",IF(Input!B44="Group",1,0))</f>
        <v/>
      </c>
      <c r="O52" s="402" t="e">
        <f>IF(E52=1,VLOOKUP(Input!D44,Input!$A$11:$C$16,3,FALSE), MROUND(L52+M52+N52,0.25))</f>
        <v>#VALUE!</v>
      </c>
      <c r="P52" s="401">
        <f>IF(Input!H44="Defenseless",O52,0)*-1</f>
        <v>0</v>
      </c>
      <c r="Q52" s="323" t="str">
        <f>IF(Input!D44="","",VLOOKUP(Input!D44,$A$13:$AM$18,10,FALSE)+IF(K52="Block Success Rate",J52,0))</f>
        <v/>
      </c>
      <c r="R52" s="299">
        <f>IF(Input!H44="Block",IF(Input!I44=20,0,IF(Input!I44/20&gt;=1-Q52,(1-VLOOKUP(Input!D44,$A$13:$Z$18,12,FALSE))*O52,(1-VLOOKUP(Input!D44,$A$13:$Z$18,14,FALSE))*O52))*-1,0)</f>
        <v>0</v>
      </c>
      <c r="S52" s="251" t="str">
        <f>IF(Input!D44="","",VLOOKUP(Input!D44,$A$13:$AM$18,16,FALSE)+IF(K52="Dodge Success Rate",J52,0))</f>
        <v/>
      </c>
      <c r="T52" s="299">
        <f>IF(Input!H44="Dodge",IF(Input!I44=20,0,IF(Input!I44/20&gt;=1-S52,(1-VLOOKUP(Input!D44,$A$13:$Z$18,18,FALSE))*VLOOKUP(A52,$A$31:$D$36,4,FALSE),(1-VLOOKUP(Input!D44,$A$13:$Z$18,20,FALSE))*O52))*-1,0)</f>
        <v>0</v>
      </c>
      <c r="U52" s="125" t="str">
        <f>IF(Input!D44="","",VLOOKUP(Input!D44,$A$13:$AM$18,22,FALSE)+IF(K52="Parry Success Rate",J52,0))</f>
        <v/>
      </c>
      <c r="V52" s="299">
        <f>IF(Input!H44="Parry",IF(Input!I44=20,0,IF(Input!I44/20&gt;=1-U52,(1-VLOOKUP(Input!D44,$A$13:$Z$18,24,FALSE))*O52,(1-VLOOKUP(Input!D44,$A$13:$Z$18,26,FALSE))*O52))*-1,0)</f>
        <v>0</v>
      </c>
      <c r="W52" s="348">
        <f>IF(Input!H44="Block",Q52,IF(Input!H44="Dodge",S52,IF(Input!H44="Parry",U52,0)))</f>
        <v>0</v>
      </c>
      <c r="X52" s="323" t="str">
        <f>IF(Input!H44="Defenseless",0,IF(Input!I44="","",IF(Input!I44/20&gt;=1-W52,1,0)))</f>
        <v/>
      </c>
      <c r="Y52" s="403">
        <f t="shared" si="27"/>
        <v>0</v>
      </c>
      <c r="Z52" s="212" t="e">
        <f>ROUND(IF(AND(Input!H44="Dodge",X52=1),O52,O52+Y52),0.25)</f>
        <v>#VALUE!</v>
      </c>
      <c r="AA52" s="404">
        <f>IFERROR(IF(AA69+VLOOKUP(Input!D44,$A$22:$E$27,5,FALSE)&gt;6,6-VLOOKUP(Input!D44,$A$22:$E$27,5,FALSE),AA69),0)</f>
        <v>0</v>
      </c>
      <c r="AB52" s="404">
        <f t="shared" si="28"/>
        <v>0</v>
      </c>
      <c r="AC52" s="212">
        <f t="shared" si="29"/>
        <v>0</v>
      </c>
      <c r="AD52" s="405">
        <f t="shared" si="30"/>
        <v>0</v>
      </c>
      <c r="AE52" s="323" t="str">
        <f>IF(Input!H44="Block",VLOOKUP(Input!D44,$A$13:$F$18,6,FALSE),"")</f>
        <v/>
      </c>
      <c r="AF52" s="348">
        <f>IF(Input!H44="Block",IF(O52&gt;AE52,(O52-AE52)/AE52,0),0)</f>
        <v>0</v>
      </c>
      <c r="AG52" s="243" t="str">
        <f>IF(Input!J44="","",IF(Input!J44/20&gt;=1-AF52,1,0))</f>
        <v/>
      </c>
      <c r="AH52" s="149"/>
      <c r="AI52" s="149"/>
      <c r="AJ52" s="149"/>
      <c r="AK52" s="149"/>
      <c r="AL52" s="149"/>
      <c r="AM52" s="149"/>
    </row>
    <row r="53" spans="1:39" ht="12.75" x14ac:dyDescent="0.2">
      <c r="A53" s="398">
        <f>Input!A45</f>
        <v>0</v>
      </c>
      <c r="B53" s="387" t="str">
        <f>IF(Input!A45="","",(VLOOKUP(VLOOKUP(Input!A45,Input!$A$3:$C$8,3,FALSE),$AB$59:$AC$68,2,FALSE)*10+VLOOKUP(VLOOKUP(Input!A45,Input!$A$3:$C$8,2,FALSE),$AB$71:$AC$80,2,FALSE))/10)</f>
        <v/>
      </c>
      <c r="C53" s="323" t="str">
        <f>IF(Input!D45="","",(VLOOKUP(VLOOKUP(Input!D45,Input!$A$3:$C$8,3,FALSE),$AB$59:$AC$68,2,FALSE)*10+VLOOKUP(VLOOKUP(Input!D45,Input!$A$3:$C$8,2,FALSE),$AB$71:$AC$80,2,FALSE))/10)</f>
        <v/>
      </c>
      <c r="D53" s="348">
        <f>IF(OR(Input!B45="Attack",Input!B45="Special",Input!B45="Group",Input!B45="Counter"),IF(AND(B53&gt;C53,B53-C53&gt;=0.5),((B53-C53)*3)/10,0),0)</f>
        <v>0</v>
      </c>
      <c r="E53" s="386" t="str">
        <f>IF(Input!F45="","",IF(Input!F45/20&gt;=1-D53,1,0))</f>
        <v/>
      </c>
      <c r="F53" s="323" t="str">
        <f>IF(Input!A45="","",IF(OR(Input!B45="Attack",Input!B45="Special",Input!B45="Group"),VLOOKUP(A53,$A$31:$D$36,3,FALSE),VLOOKUP(A53,$A$13:$H$18,8,FALSE)))</f>
        <v/>
      </c>
      <c r="G53" s="323" t="str">
        <f>IF(Input!D45="","",VLOOKUP(Input!D45,$A$13:$H$18,8,FALSE))</f>
        <v/>
      </c>
      <c r="H53" s="348">
        <f t="shared" si="24"/>
        <v>0</v>
      </c>
      <c r="I53" s="399" t="str">
        <f>IF(Input!G45="","",IF(Input!G45/20&gt;=1-H53,1,0))</f>
        <v/>
      </c>
      <c r="J53" s="400" t="e">
        <f t="shared" si="25"/>
        <v>#N/A</v>
      </c>
      <c r="K53" s="323" t="e">
        <f t="shared" si="26"/>
        <v>#N/A</v>
      </c>
      <c r="L53" s="375" t="str">
        <f>IF(Input!B45="","",IF(OR(Input!B45="Attack",Input!B45="Counter"),VLOOKUP(A53,$A$13:$AM$18,6,FALSE),0))</f>
        <v/>
      </c>
      <c r="M53" s="401" t="str">
        <f>IF(Input!B45="","",IF(Input!B45="Special",VLOOKUP(A53,$A$13:$AM$18,6,FALSE)*(1+(Input!E45/10)),0))</f>
        <v/>
      </c>
      <c r="N53" s="401" t="str">
        <f>IF(Input!B45="","",IF(Input!B45="Group",1,0))</f>
        <v/>
      </c>
      <c r="O53" s="402" t="e">
        <f>IF(E53=1,VLOOKUP(Input!D45,Input!$A$11:$C$16,3,FALSE), MROUND(L53+M53+N53,0.25))</f>
        <v>#VALUE!</v>
      </c>
      <c r="P53" s="401">
        <f>IF(Input!H45="Defenseless",O53,0)*-1</f>
        <v>0</v>
      </c>
      <c r="Q53" s="323" t="str">
        <f>IF(Input!D45="","",VLOOKUP(Input!D45,$A$13:$AM$18,10,FALSE)+IF(K53="Block Success Rate",J53,0))</f>
        <v/>
      </c>
      <c r="R53" s="299">
        <f>IF(Input!H45="Block",IF(Input!I45=20,0,IF(Input!I45/20&gt;=1-Q53,(1-VLOOKUP(Input!D45,$A$13:$Z$18,12,FALSE))*O53,(1-VLOOKUP(Input!D45,$A$13:$Z$18,14,FALSE))*O53))*-1,0)</f>
        <v>0</v>
      </c>
      <c r="S53" s="251" t="str">
        <f>IF(Input!D45="","",VLOOKUP(Input!D45,$A$13:$AM$18,16,FALSE)+IF(K53="Dodge Success Rate",J53,0))</f>
        <v/>
      </c>
      <c r="T53" s="299">
        <f>IF(Input!H45="Dodge",IF(Input!I45=20,0,IF(Input!I45/20&gt;=1-S53,(1-VLOOKUP(Input!D45,$A$13:$Z$18,18,FALSE))*VLOOKUP(A53,$A$31:$D$36,4,FALSE),(1-VLOOKUP(Input!D45,$A$13:$Z$18,20,FALSE))*O53))*-1,0)</f>
        <v>0</v>
      </c>
      <c r="U53" s="125" t="str">
        <f>IF(Input!D45="","",VLOOKUP(Input!D45,$A$13:$AM$18,22,FALSE)+IF(K53="Parry Success Rate",J53,0))</f>
        <v/>
      </c>
      <c r="V53" s="299">
        <f>IF(Input!H45="Parry",IF(Input!I45=20,0,IF(Input!I45/20&gt;=1-U53,(1-VLOOKUP(Input!D45,$A$13:$Z$18,24,FALSE))*O53,(1-VLOOKUP(Input!D45,$A$13:$Z$18,26,FALSE))*O53))*-1,0)</f>
        <v>0</v>
      </c>
      <c r="W53" s="348">
        <f>IF(Input!H45="Block",Q53,IF(Input!H45="Dodge",S53,IF(Input!H45="Parry",U53,0)))</f>
        <v>0</v>
      </c>
      <c r="X53" s="323" t="str">
        <f>IF(Input!H45="Defenseless",0,IF(Input!I45="","",IF(Input!I45/20&gt;=1-W53,1,0)))</f>
        <v/>
      </c>
      <c r="Y53" s="403">
        <f t="shared" si="27"/>
        <v>0</v>
      </c>
      <c r="Z53" s="212" t="e">
        <f>ROUND(IF(AND(Input!H45="Dodge",X53=1),O53,O53+Y53),0.25)</f>
        <v>#VALUE!</v>
      </c>
      <c r="AA53" s="404">
        <f>IFERROR(IF(AA70+VLOOKUP(Input!D45,$A$22:$E$27,5,FALSE)&gt;6,6-VLOOKUP(Input!D45,$A$22:$E$27,5,FALSE),AA70),0)</f>
        <v>0</v>
      </c>
      <c r="AB53" s="404">
        <f t="shared" si="28"/>
        <v>0</v>
      </c>
      <c r="AC53" s="212">
        <f t="shared" si="29"/>
        <v>0</v>
      </c>
      <c r="AD53" s="405">
        <f t="shared" si="30"/>
        <v>0</v>
      </c>
      <c r="AE53" s="323" t="str">
        <f>IF(Input!H45="Block",VLOOKUP(Input!D45,$A$13:$F$18,6,FALSE),"")</f>
        <v/>
      </c>
      <c r="AF53" s="348">
        <f>IF(Input!H45="Block",IF(O53&gt;AE53,(O53-AE53)/AE53,0),0)</f>
        <v>0</v>
      </c>
      <c r="AG53" s="243" t="str">
        <f>IF(Input!J45="","",IF(Input!J45/20&gt;=1-AF53,1,0))</f>
        <v/>
      </c>
      <c r="AH53" s="149"/>
      <c r="AI53" s="149"/>
      <c r="AJ53" s="149"/>
      <c r="AK53" s="149"/>
      <c r="AL53" s="149"/>
      <c r="AM53" s="149"/>
    </row>
    <row r="54" spans="1:39" ht="12.75" x14ac:dyDescent="0.2">
      <c r="A54" s="398">
        <f>Input!A46</f>
        <v>0</v>
      </c>
      <c r="B54" s="387" t="str">
        <f>IF(Input!A46="","",(VLOOKUP(VLOOKUP(Input!A46,Input!$A$3:$C$8,3,FALSE),$AB$59:$AC$68,2,FALSE)*10+VLOOKUP(VLOOKUP(Input!A46,Input!$A$3:$C$8,2,FALSE),$AB$71:$AC$80,2,FALSE))/10)</f>
        <v/>
      </c>
      <c r="C54" s="323" t="str">
        <f>IF(Input!D46="","",(VLOOKUP(VLOOKUP(Input!D46,Input!$A$3:$C$8,3,FALSE),$AB$59:$AC$68,2,FALSE)*10+VLOOKUP(VLOOKUP(Input!D46,Input!$A$3:$C$8,2,FALSE),$AB$71:$AC$80,2,FALSE))/10)</f>
        <v/>
      </c>
      <c r="D54" s="348">
        <f>IF(OR(Input!B46="Attack",Input!B46="Special",Input!B46="Group",Input!B46="Counter"),IF(AND(B54&gt;C54,B54-C54&gt;=0.5),((B54-C54)*3)/10,0),0)</f>
        <v>0</v>
      </c>
      <c r="E54" s="386" t="str">
        <f>IF(Input!F46="","",IF(Input!F46/20&gt;=1-D54,1,0))</f>
        <v/>
      </c>
      <c r="F54" s="323" t="str">
        <f>IF(Input!A46="","",IF(OR(Input!B46="Attack",Input!B46="Special",Input!B46="Group"),VLOOKUP(A54,$A$31:$D$36,3,FALSE),VLOOKUP(A54,$A$13:$H$18,8,FALSE)))</f>
        <v/>
      </c>
      <c r="G54" s="323" t="str">
        <f>IF(Input!D46="","",VLOOKUP(Input!D46,$A$13:$H$18,8,FALSE))</f>
        <v/>
      </c>
      <c r="H54" s="348">
        <f t="shared" si="24"/>
        <v>0</v>
      </c>
      <c r="I54" s="399" t="str">
        <f>IF(Input!G46="","",IF(Input!G46/20&gt;=1-H54,1,0))</f>
        <v/>
      </c>
      <c r="J54" s="400" t="e">
        <f t="shared" si="25"/>
        <v>#N/A</v>
      </c>
      <c r="K54" s="323" t="e">
        <f t="shared" si="26"/>
        <v>#N/A</v>
      </c>
      <c r="L54" s="375" t="str">
        <f>IF(Input!B46="","",IF(OR(Input!B46="Attack",Input!B46="Counter"),VLOOKUP(A54,$A$13:$AM$18,6,FALSE),0))</f>
        <v/>
      </c>
      <c r="M54" s="401" t="str">
        <f>IF(Input!B46="","",IF(Input!B46="Special",VLOOKUP(A54,$A$13:$AM$18,6,FALSE)*(1+(Input!E46/10)),0))</f>
        <v/>
      </c>
      <c r="N54" s="401" t="str">
        <f>IF(Input!B46="","",IF(Input!B46="Group",1,0))</f>
        <v/>
      </c>
      <c r="O54" s="402" t="e">
        <f>IF(E54=1,VLOOKUP(Input!D46,Input!$A$11:$C$16,3,FALSE), MROUND(L54+M54+N54,0.25))</f>
        <v>#VALUE!</v>
      </c>
      <c r="P54" s="401">
        <f>IF(Input!H46="Defenseless",O54,0)*-1</f>
        <v>0</v>
      </c>
      <c r="Q54" s="323" t="str">
        <f>IF(Input!D46="","",VLOOKUP(Input!D46,$A$13:$AM$18,10,FALSE)+IF(K54="Block Success Rate",J54,0))</f>
        <v/>
      </c>
      <c r="R54" s="299">
        <f>IF(Input!H46="Block",IF(Input!I46=20,0,IF(Input!I46/20&gt;=1-Q54,(1-VLOOKUP(Input!D46,$A$13:$Z$18,12,FALSE))*O54,(1-VLOOKUP(Input!D46,$A$13:$Z$18,14,FALSE))*O54))*-1,0)</f>
        <v>0</v>
      </c>
      <c r="S54" s="251" t="str">
        <f>IF(Input!D46="","",VLOOKUP(Input!D46,$A$13:$AM$18,16,FALSE)+IF(K54="Dodge Success Rate",J54,0))</f>
        <v/>
      </c>
      <c r="T54" s="299">
        <f>IF(Input!H46="Dodge",IF(Input!I46=20,0,IF(Input!I46/20&gt;=1-S54,(1-VLOOKUP(Input!D46,$A$13:$Z$18,18,FALSE))*VLOOKUP(A54,$A$31:$D$36,4,FALSE),(1-VLOOKUP(Input!D46,$A$13:$Z$18,20,FALSE))*O54))*-1,0)</f>
        <v>0</v>
      </c>
      <c r="U54" s="125" t="str">
        <f>IF(Input!D46="","",VLOOKUP(Input!D46,$A$13:$AM$18,22,FALSE)+IF(K54="Parry Success Rate",J54,0))</f>
        <v/>
      </c>
      <c r="V54" s="299">
        <f>IF(Input!H46="Parry",IF(Input!I46=20,0,IF(Input!I46/20&gt;=1-U54,(1-VLOOKUP(Input!D46,$A$13:$Z$18,24,FALSE))*O54,(1-VLOOKUP(Input!D46,$A$13:$Z$18,26,FALSE))*O54))*-1,0)</f>
        <v>0</v>
      </c>
      <c r="W54" s="348">
        <f>IF(Input!H46="Block",Q54,IF(Input!H46="Dodge",S54,IF(Input!H46="Parry",U54,0)))</f>
        <v>0</v>
      </c>
      <c r="X54" s="323" t="str">
        <f>IF(Input!H46="Defenseless",0,IF(Input!I46="","",IF(Input!I46/20&gt;=1-W54,1,0)))</f>
        <v/>
      </c>
      <c r="Y54" s="403">
        <f t="shared" si="27"/>
        <v>0</v>
      </c>
      <c r="Z54" s="212" t="e">
        <f>ROUND(IF(AND(Input!H46="Dodge",X54=1),O54,O54+Y54),0.25)</f>
        <v>#VALUE!</v>
      </c>
      <c r="AA54" s="404">
        <f>IFERROR(IF(AA71+VLOOKUP(Input!D46,$A$22:$E$27,5,FALSE)&gt;6,6-VLOOKUP(Input!D46,$A$22:$E$27,5,FALSE),AA71),0)</f>
        <v>0</v>
      </c>
      <c r="AB54" s="404">
        <f t="shared" si="28"/>
        <v>0</v>
      </c>
      <c r="AC54" s="212">
        <f t="shared" si="29"/>
        <v>0</v>
      </c>
      <c r="AD54" s="405">
        <f t="shared" si="30"/>
        <v>0</v>
      </c>
      <c r="AE54" s="323" t="str">
        <f>IF(Input!H46="Block",VLOOKUP(Input!D46,$A$13:$F$18,6,FALSE),"")</f>
        <v/>
      </c>
      <c r="AF54" s="348">
        <f>IF(Input!H46="Block",IF(O54&gt;AE54,(O54-AE54)/AE54,0),0)</f>
        <v>0</v>
      </c>
      <c r="AG54" s="243" t="str">
        <f>IF(Input!J46="","",IF(Input!J46/20&gt;=1-AF54,1,0))</f>
        <v/>
      </c>
      <c r="AH54" s="149"/>
      <c r="AI54" s="149"/>
      <c r="AJ54" s="149"/>
      <c r="AK54" s="149"/>
      <c r="AL54" s="149"/>
      <c r="AM54" s="149"/>
    </row>
    <row r="55" spans="1:39" ht="7.5" customHeight="1" x14ac:dyDescent="0.2">
      <c r="A55" s="406"/>
      <c r="B55" s="407"/>
      <c r="C55" s="407"/>
      <c r="D55" s="407"/>
      <c r="E55" s="407"/>
      <c r="F55" s="407"/>
      <c r="G55" s="407"/>
      <c r="H55" s="407"/>
      <c r="I55" s="407"/>
      <c r="J55" s="407"/>
      <c r="K55" s="407"/>
      <c r="L55" s="407"/>
      <c r="M55" s="407"/>
      <c r="N55" s="407"/>
      <c r="O55" s="407"/>
      <c r="P55" s="407"/>
      <c r="Q55" s="407"/>
      <c r="R55" s="408"/>
      <c r="S55" s="407"/>
      <c r="T55" s="407"/>
      <c r="U55" s="407"/>
      <c r="V55" s="407"/>
      <c r="W55" s="407"/>
      <c r="X55" s="407"/>
      <c r="Y55" s="52"/>
      <c r="Z55" s="52"/>
      <c r="AA55" s="52"/>
      <c r="AB55" s="407"/>
      <c r="AC55" s="407"/>
      <c r="AD55" s="407"/>
      <c r="AE55" s="407"/>
      <c r="AF55" s="407"/>
      <c r="AG55" s="407"/>
      <c r="AH55" s="409"/>
      <c r="AI55" s="409"/>
      <c r="AJ55" s="409"/>
      <c r="AK55" s="409"/>
      <c r="AL55" s="409"/>
      <c r="AM55" s="410"/>
    </row>
    <row r="56" spans="1:39" ht="12.75" x14ac:dyDescent="0.2">
      <c r="A56" s="163" t="s">
        <v>316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125"/>
      <c r="M56" s="125"/>
      <c r="N56" s="125"/>
      <c r="O56" s="125"/>
      <c r="P56" s="125"/>
      <c r="Q56" s="125"/>
      <c r="R56" s="125"/>
      <c r="S56" s="125"/>
      <c r="T56" s="125"/>
      <c r="U56" s="148"/>
      <c r="V56" s="148"/>
      <c r="W56" s="411"/>
      <c r="X56" s="411"/>
      <c r="Y56" s="608" t="s">
        <v>164</v>
      </c>
      <c r="Z56" s="566"/>
      <c r="AA56" s="150" t="s">
        <v>317</v>
      </c>
      <c r="AB56" s="411"/>
      <c r="AC56" s="411"/>
      <c r="AD56" s="150" t="s">
        <v>318</v>
      </c>
      <c r="AE56" s="412"/>
      <c r="AF56" s="412"/>
      <c r="AG56" s="412"/>
      <c r="AH56" s="412"/>
      <c r="AI56" s="412"/>
      <c r="AJ56" s="412"/>
      <c r="AK56" s="412"/>
      <c r="AL56" s="412"/>
      <c r="AM56" s="412"/>
    </row>
    <row r="57" spans="1:39" ht="12.75" x14ac:dyDescent="0.2">
      <c r="A57" s="413">
        <f>ROUNDDOWN('Battle Log'!H2/1000+1,1)</f>
        <v>1</v>
      </c>
      <c r="B57" s="278"/>
      <c r="C57" s="278"/>
      <c r="D57" s="278"/>
      <c r="E57" s="278"/>
      <c r="F57" s="278"/>
      <c r="G57" s="278"/>
      <c r="H57" s="278"/>
      <c r="I57" s="278"/>
      <c r="J57" s="278"/>
      <c r="K57" s="278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125"/>
      <c r="X57" s="125"/>
      <c r="Y57" s="67" t="s">
        <v>319</v>
      </c>
      <c r="Z57" s="297" t="s">
        <v>320</v>
      </c>
      <c r="AA57" s="414">
        <f>IF(X40=1,Paths!$M$12+VLOOKUP(Input!D32,$A$22:$N$27,13,FALSE),IF(X40=0,Paths!$M$13+VLOOKUP(Input!D32,$A$22:$N$27,13,FALSE),0))</f>
        <v>0</v>
      </c>
      <c r="AB57" s="125"/>
      <c r="AC57" s="125"/>
      <c r="AD57" s="414">
        <f>IF(Input!B32="Special",0,IF(X40=1,Paths!$M$10+VLOOKUP(A40,$A$22:$N$27,13,FALSE),IF(X40=0,Paths!$M$11+VLOOKUP(A40,$A$22:$N$27,13,FALSE),0)))</f>
        <v>0</v>
      </c>
      <c r="AE57" s="415" t="s">
        <v>321</v>
      </c>
      <c r="AF57" s="412"/>
      <c r="AG57" s="412"/>
      <c r="AH57" s="412"/>
      <c r="AI57" s="412"/>
      <c r="AJ57" s="412"/>
      <c r="AK57" s="412"/>
      <c r="AL57" s="412"/>
      <c r="AM57" s="412"/>
    </row>
    <row r="58" spans="1:39" ht="12.75" x14ac:dyDescent="0.2">
      <c r="A58" s="278"/>
      <c r="B58" s="278"/>
      <c r="C58" s="278"/>
      <c r="D58" s="278"/>
      <c r="E58" s="278"/>
      <c r="F58" s="278"/>
      <c r="G58" s="278"/>
      <c r="H58" s="278"/>
      <c r="I58" s="278"/>
      <c r="J58" s="278"/>
      <c r="K58" s="278"/>
      <c r="L58" s="239" t="s">
        <v>322</v>
      </c>
      <c r="M58" s="282" t="s">
        <v>323</v>
      </c>
      <c r="N58" s="251"/>
      <c r="O58" s="251"/>
      <c r="P58" s="362"/>
      <c r="Q58" s="299"/>
      <c r="R58" s="251"/>
      <c r="S58" s="299"/>
      <c r="T58" s="299"/>
      <c r="U58" s="251"/>
      <c r="V58" s="251"/>
      <c r="W58" s="125"/>
      <c r="X58" s="125"/>
      <c r="Y58" s="416">
        <f>ROUND(IF(Input!B32="",0,IF(OR(Input!B32="Attack",Input!B32="Counter"),VLOOKUP(A40,$A$13:$AM$18,30,FALSE)*VLOOKUP(A40,$A$13:$AM$18,6,FALSE),IF(Input!B32="Special",VLOOKUP(A40,$A$13:$AM$18,32,FALSE)*VLOOKUP(A40,$A$13:$AM$18,6,FALSE),IF(Input!B32="Group",VLOOKUP(A40,$A$13:$AM$18,34,FALSE)*VLOOKUP(A40,$A$13:$AM$18,6,FALSE),0)*VLOOKUP(A40,$A$13:$AM$18,4,FALSE)))*-1),0.25)</f>
        <v>0</v>
      </c>
      <c r="Z58" s="417">
        <f>IF(Input!B32="",0,IF(Input!B32="Evade",(VLOOKUP(A40,$A$13:$AM$18,28,FALSE)*VLOOKUP(A40,$A$13:$AM$18,2,FALSE)),0))</f>
        <v>0</v>
      </c>
      <c r="AA58" s="418">
        <f>IF(X41=1,Paths!$M$12+VLOOKUP(Input!D33,$A$22:$N$27,13,FALSE),IF(X41=0,Paths!$M$13+VLOOKUP(Input!D33,$A$22:$N$27,13,FALSE),0))</f>
        <v>0</v>
      </c>
      <c r="AB58" s="67" t="s">
        <v>324</v>
      </c>
      <c r="AC58" s="297" t="s">
        <v>325</v>
      </c>
      <c r="AD58" s="418">
        <f>IF(Input!B33="Special",0,IF(X41=1,Paths!$M$10+VLOOKUP(A41,$A$22:$N$27,13,FALSE),IF(X41=0,Paths!$M$11+VLOOKUP(A41,$A$22:$N$27,13,FALSE),0)))</f>
        <v>0</v>
      </c>
      <c r="AE58" s="415" t="s">
        <v>241</v>
      </c>
      <c r="AF58" s="412"/>
      <c r="AG58" s="412"/>
      <c r="AH58" s="412"/>
      <c r="AI58" s="412"/>
      <c r="AJ58" s="412"/>
      <c r="AK58" s="412"/>
      <c r="AL58" s="412"/>
      <c r="AM58" s="412"/>
    </row>
    <row r="59" spans="1:39" ht="12.75" x14ac:dyDescent="0.2">
      <c r="A59" s="278"/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400" t="e">
        <f>IF(Input!D51="",0,IF(VLOOKUP(Input!D51,$A$22:$I$27,7,FALSE)="Self",VLOOKUP(Input!D51,$A$22:$I$27,5,FALSE),0))</f>
        <v>#N/A</v>
      </c>
      <c r="M59" s="419" t="e">
        <f>IF(L59=0,"",VLOOKUP(Input!D51,$A$22:$I$27,6,FALSE))</f>
        <v>#N/A</v>
      </c>
      <c r="N59" s="125"/>
      <c r="O59" s="125"/>
      <c r="P59" s="362"/>
      <c r="Q59" s="299"/>
      <c r="R59" s="251"/>
      <c r="S59" s="299"/>
      <c r="T59" s="299"/>
      <c r="U59" s="251"/>
      <c r="V59" s="251"/>
      <c r="W59" s="125"/>
      <c r="X59" s="304"/>
      <c r="Y59" s="416">
        <f>ROUND(IF(Input!B33="",0,IF(OR(Input!B33="Attack",Input!B33="Counter"),VLOOKUP(A41,$A$13:$AM$18,30,FALSE)*VLOOKUP(A41,$A$13:$AM$18,6,FALSE),IF(Input!B33="Special",VLOOKUP(A41,$A$13:$AM$18,32,FALSE)*VLOOKUP(A41,$A$13:$AM$18,6,FALSE),IF(Input!B33="Group",VLOOKUP(A41,$A$13:$AM$18,34,FALSE)*VLOOKUP(A41,$A$13:$AM$18,6,FALSE),0)*VLOOKUP(A41,$A$13:$AM$18,4,FALSE)))*-1),0.25)</f>
        <v>0</v>
      </c>
      <c r="Z59" s="417">
        <f>IF(Input!B33="",0,IF(Input!B33="Evade",(VLOOKUP(A41,$A$13:$AM$18,28,FALSE)*VLOOKUP(A41,$A$13:$AM$18,2,FALSE)),0))</f>
        <v>0</v>
      </c>
      <c r="AA59" s="418">
        <f>IF(X42=1,Paths!$M$12+VLOOKUP(Input!D34,$A$22:$N$27,13,FALSE),IF(X42=0,Paths!$M$13+VLOOKUP(Input!D34,$A$22:$N$27,13,FALSE),0))</f>
        <v>0</v>
      </c>
      <c r="AB59" s="420" t="s">
        <v>188</v>
      </c>
      <c r="AC59" s="421">
        <v>1</v>
      </c>
      <c r="AD59" s="418">
        <f>IF(Input!B34="Special",0,IF(X42=1,Paths!$M$10+VLOOKUP(A42,$A$22:$N$27,13,FALSE),IF(X42=0,Paths!$M$11+VLOOKUP(A42,$A$22:$N$27,13,FALSE),0)))</f>
        <v>0</v>
      </c>
      <c r="AE59" s="422" t="s">
        <v>242</v>
      </c>
      <c r="AF59" s="412"/>
      <c r="AG59" s="412"/>
      <c r="AH59" s="412"/>
      <c r="AI59" s="412"/>
      <c r="AJ59" s="412"/>
      <c r="AK59" s="412"/>
      <c r="AL59" s="412"/>
      <c r="AM59" s="412"/>
    </row>
    <row r="60" spans="1:39" ht="12.75" x14ac:dyDescent="0.2">
      <c r="A60" s="278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400" t="e">
        <f>IF(Input!D52="",0,IF(VLOOKUP(Input!D52,$A$22:$I$27,7,FALSE)="Self",VLOOKUP(Input!D52,$A$22:$I$27,5,FALSE),0))</f>
        <v>#N/A</v>
      </c>
      <c r="M60" s="419" t="e">
        <f>IF(L60=0,"",VLOOKUP(Input!D52,$A$22:$I$27,6,FALSE))</f>
        <v>#N/A</v>
      </c>
      <c r="N60" s="125"/>
      <c r="O60" s="125"/>
      <c r="P60" s="362"/>
      <c r="Q60" s="299"/>
      <c r="R60" s="251"/>
      <c r="S60" s="299"/>
      <c r="T60" s="299"/>
      <c r="U60" s="251"/>
      <c r="V60" s="251"/>
      <c r="W60" s="125"/>
      <c r="X60" s="125"/>
      <c r="Y60" s="416">
        <f>ROUND(IF(Input!B34="",0,IF(OR(Input!B34="Attack",Input!B34="Counter"),VLOOKUP(A42,$A$13:$AM$18,30,FALSE)*VLOOKUP(A42,$A$13:$AM$18,6,FALSE),IF(Input!B34="Special",VLOOKUP(A42,$A$13:$AM$18,32,FALSE)*VLOOKUP(A42,$A$13:$AM$18,6,FALSE),IF(Input!B34="Group",VLOOKUP(A42,$A$13:$AM$18,34,FALSE)*VLOOKUP(A42,$A$13:$AM$18,6,FALSE),0)*VLOOKUP(A42,$A$13:$AM$18,4,FALSE)))*-1),0.25)</f>
        <v>0</v>
      </c>
      <c r="Z60" s="417">
        <f>IF(Input!B34="",0,IF(Input!B34="Evade",(VLOOKUP(A42,$A$13:$AM$18,28,FALSE)*VLOOKUP(A42,$A$13:$AM$18,2,FALSE)),0))</f>
        <v>0</v>
      </c>
      <c r="AA60" s="418">
        <f>IF(X43=1,Paths!$M$12+VLOOKUP(Input!D35,$A$22:$N$27,13,FALSE),IF(X43=0,Paths!$M$13+VLOOKUP(Input!D35,$A$22:$N$27,13,FALSE),0))</f>
        <v>0</v>
      </c>
      <c r="AB60" s="423" t="s">
        <v>209</v>
      </c>
      <c r="AC60" s="424">
        <v>2</v>
      </c>
      <c r="AD60" s="418">
        <f>IF(Input!B35="Special",0,IF(X43=1,Paths!$M$10+VLOOKUP(A43,$A$22:$N$27,13,FALSE),IF(X43=0,Paths!$M$11+VLOOKUP(A43,$A$22:$N$27,13,FALSE),0)))</f>
        <v>0</v>
      </c>
      <c r="AE60" s="422" t="s">
        <v>243</v>
      </c>
      <c r="AF60" s="412"/>
      <c r="AG60" s="412"/>
      <c r="AH60" s="412"/>
      <c r="AI60" s="412"/>
      <c r="AJ60" s="412"/>
      <c r="AK60" s="412"/>
      <c r="AL60" s="412"/>
      <c r="AM60" s="412"/>
    </row>
    <row r="61" spans="1:39" ht="12.75" x14ac:dyDescent="0.2">
      <c r="A61" s="278"/>
      <c r="B61" s="278"/>
      <c r="C61" s="278"/>
      <c r="D61" s="278"/>
      <c r="E61" s="278"/>
      <c r="F61" s="278"/>
      <c r="G61" s="278"/>
      <c r="H61" s="278"/>
      <c r="I61" s="278"/>
      <c r="J61" s="278"/>
      <c r="K61" s="278"/>
      <c r="L61" s="400" t="e">
        <f>IF(Input!D53="",0,IF(VLOOKUP(Input!D53,$A$22:$I$27,7,FALSE)="Self",VLOOKUP(Input!D53,$A$22:$I$27,5,FALSE),0))</f>
        <v>#N/A</v>
      </c>
      <c r="M61" s="419" t="e">
        <f>IF(L61=0,"",VLOOKUP(Input!D53,$A$22:$I$27,6,FALSE))</f>
        <v>#N/A</v>
      </c>
      <c r="N61" s="125"/>
      <c r="O61" s="125"/>
      <c r="P61" s="362"/>
      <c r="Q61" s="299"/>
      <c r="R61" s="251"/>
      <c r="S61" s="299"/>
      <c r="T61" s="299"/>
      <c r="U61" s="251"/>
      <c r="V61" s="251"/>
      <c r="W61" s="125"/>
      <c r="X61" s="125"/>
      <c r="Y61" s="416">
        <f>ROUND(IF(Input!B35="",0,IF(OR(Input!B35="Attack",Input!B35="Counter"),VLOOKUP(A43,$A$13:$AM$18,30,FALSE)*VLOOKUP(A43,$A$13:$AM$18,6,FALSE),IF(Input!B35="Special",VLOOKUP(A43,$A$13:$AM$18,32,FALSE)*VLOOKUP(A43,$A$13:$AM$18,6,FALSE),IF(Input!B35="Group",VLOOKUP(A43,$A$13:$AM$18,34,FALSE)*VLOOKUP(A43,$A$13:$AM$18,6,FALSE),0)*VLOOKUP(A43,$A$13:$AM$18,4,FALSE)))*-1),0.25)</f>
        <v>0</v>
      </c>
      <c r="Z61" s="417">
        <f>IF(Input!B35="",0,IF(Input!B35="Evade",(VLOOKUP(A43,$A$13:$AM$18,28,FALSE)*VLOOKUP(A43,$A$13:$AM$18,2,FALSE)),0))</f>
        <v>0</v>
      </c>
      <c r="AA61" s="418">
        <f>IF(X44=1,Paths!$M$12+VLOOKUP(Input!D36,$A$22:$N$27,13,FALSE),IF(X44=0,Paths!$M$13+VLOOKUP(Input!D36,$A$22:$N$27,13,FALSE),0))</f>
        <v>0</v>
      </c>
      <c r="AB61" s="423" t="s">
        <v>210</v>
      </c>
      <c r="AC61" s="424">
        <v>3</v>
      </c>
      <c r="AD61" s="418">
        <f>IF(Input!B36="Special",0,IF(X44=1,Paths!$M$10+VLOOKUP(A44,$A$22:$N$27,13,FALSE),IF(X44=0,Paths!$M$11+VLOOKUP(A44,$A$22:$N$27,13,FALSE),0)))</f>
        <v>0</v>
      </c>
      <c r="AE61" s="422" t="s">
        <v>245</v>
      </c>
      <c r="AF61" s="412"/>
      <c r="AG61" s="412"/>
      <c r="AH61" s="412"/>
      <c r="AI61" s="412"/>
      <c r="AJ61" s="412"/>
      <c r="AK61" s="412"/>
      <c r="AL61" s="412"/>
      <c r="AM61" s="412"/>
    </row>
    <row r="62" spans="1:39" ht="12.75" x14ac:dyDescent="0.2">
      <c r="A62" s="278"/>
      <c r="B62" s="278"/>
      <c r="C62" s="278"/>
      <c r="D62" s="278"/>
      <c r="E62" s="278"/>
      <c r="F62" s="278"/>
      <c r="G62" s="278"/>
      <c r="H62" s="278"/>
      <c r="I62" s="278"/>
      <c r="J62" s="278"/>
      <c r="K62" s="278"/>
      <c r="L62" s="400" t="e">
        <f>IF(Input!D54="",0,IF(VLOOKUP(Input!D54,$A$22:$I$27,7,FALSE)="Self",VLOOKUP(Input!D54,$A$22:$I$27,5,FALSE),0))</f>
        <v>#N/A</v>
      </c>
      <c r="M62" s="419" t="e">
        <f>IF(L62=0,"",VLOOKUP(Input!D54,$A$22:$I$27,6,FALSE))</f>
        <v>#N/A</v>
      </c>
      <c r="N62" s="125"/>
      <c r="O62" s="125"/>
      <c r="P62" s="362"/>
      <c r="Q62" s="299"/>
      <c r="R62" s="251"/>
      <c r="S62" s="299"/>
      <c r="T62" s="299"/>
      <c r="U62" s="251"/>
      <c r="V62" s="251"/>
      <c r="W62" s="125"/>
      <c r="X62" s="125"/>
      <c r="Y62" s="416">
        <f>ROUND(IF(Input!B36="",0,IF(OR(Input!B36="Attack",Input!B36="Counter"),VLOOKUP(A44,$A$13:$AM$18,30,FALSE)*VLOOKUP(A44,$A$13:$AM$18,6,FALSE),IF(Input!B36="Special",VLOOKUP(A44,$A$13:$AM$18,32,FALSE)*VLOOKUP(A44,$A$13:$AM$18,6,FALSE),IF(Input!B36="Group",VLOOKUP(A44,$A$13:$AM$18,34,FALSE)*VLOOKUP(A44,$A$13:$AM$18,6,FALSE),0)*VLOOKUP(A44,$A$13:$AM$18,4,FALSE)))*-1),0.25)</f>
        <v>0</v>
      </c>
      <c r="Z62" s="417">
        <f>IF(Input!B36="",0,IF(Input!B36="Evade",(VLOOKUP(A44,$A$13:$AM$18,28,FALSE)*VLOOKUP(A44,$A$13:$AM$18,2,FALSE)),0))</f>
        <v>0</v>
      </c>
      <c r="AA62" s="418">
        <f>IF(X45=1,Paths!$M$12+VLOOKUP(Input!D37,$A$22:$N$27,13,FALSE),IF(X45=0,Paths!$M$13+VLOOKUP(Input!D37,$A$22:$N$27,13,FALSE),0))</f>
        <v>0</v>
      </c>
      <c r="AB62" s="423" t="s">
        <v>211</v>
      </c>
      <c r="AC62" s="424">
        <v>4</v>
      </c>
      <c r="AD62" s="418">
        <f>IF(Input!B37="Special",0,IF(X45=1,Paths!$M$10+VLOOKUP(A45,$A$22:$N$27,13,FALSE),IF(X45=0,Paths!$M$11+VLOOKUP(A45,$A$22:$N$27,13,FALSE),0)))</f>
        <v>0</v>
      </c>
      <c r="AE62" s="422" t="str">
        <f>M12</f>
        <v>Block Success Mitigation Rate Modifier</v>
      </c>
      <c r="AF62" s="412"/>
      <c r="AG62" s="412"/>
      <c r="AH62" s="412"/>
      <c r="AI62" s="412"/>
      <c r="AJ62" s="412"/>
      <c r="AK62" s="412"/>
      <c r="AL62" s="412"/>
      <c r="AM62" s="412"/>
    </row>
    <row r="63" spans="1:39" ht="12.75" x14ac:dyDescent="0.2">
      <c r="A63" s="278"/>
      <c r="B63" s="278"/>
      <c r="C63" s="278"/>
      <c r="D63" s="278"/>
      <c r="E63" s="278"/>
      <c r="F63" s="278"/>
      <c r="G63" s="278"/>
      <c r="H63" s="278"/>
      <c r="I63" s="278"/>
      <c r="J63" s="278"/>
      <c r="K63" s="278"/>
      <c r="L63" s="400" t="e">
        <f>IF(Input!D55="",0,IF(VLOOKUP(Input!D55,$A$22:$I$27,7,FALSE)="Self",VLOOKUP(Input!D55,$A$22:$I$27,5,FALSE),0))</f>
        <v>#N/A</v>
      </c>
      <c r="M63" s="419" t="e">
        <f>IF(L63=0,"",VLOOKUP(Input!D55,$A$22:$I$27,6,FALSE))</f>
        <v>#N/A</v>
      </c>
      <c r="N63" s="125"/>
      <c r="O63" s="125"/>
      <c r="P63" s="362"/>
      <c r="Q63" s="299"/>
      <c r="R63" s="251"/>
      <c r="S63" s="299"/>
      <c r="T63" s="299"/>
      <c r="U63" s="251"/>
      <c r="V63" s="251"/>
      <c r="W63" s="125"/>
      <c r="X63" s="125"/>
      <c r="Y63" s="416">
        <f>ROUND(IF(Input!B37="",0,IF(OR(Input!B37="Attack",Input!B37="Counter"),VLOOKUP(A45,$A$13:$AM$18,30,FALSE)*VLOOKUP(A45,$A$13:$AM$18,6,FALSE),IF(Input!B37="Special",VLOOKUP(A45,$A$13:$AM$18,32,FALSE)*VLOOKUP(A45,$A$13:$AM$18,6,FALSE),IF(Input!B37="Group",VLOOKUP(A45,$A$13:$AM$18,34,FALSE)*VLOOKUP(A45,$A$13:$AM$18,6,FALSE),0)*VLOOKUP(A45,$A$13:$AM$18,4,FALSE)))*-1),0.25)</f>
        <v>0</v>
      </c>
      <c r="Z63" s="417">
        <f>IF(Input!B37="",0,IF(Input!B37="Evade",(VLOOKUP(A45,$A$13:$AM$18,28,FALSE)*VLOOKUP(A45,$A$13:$AM$18,2,FALSE)),0))</f>
        <v>0</v>
      </c>
      <c r="AA63" s="418">
        <f>IF(X46=1,Paths!$M$12+VLOOKUP(Input!D38,$A$22:$N$27,13,FALSE),IF(X46=0,Paths!$M$13+VLOOKUP(Input!D38,$A$22:$N$27,13,FALSE),0))</f>
        <v>0</v>
      </c>
      <c r="AB63" s="423" t="s">
        <v>212</v>
      </c>
      <c r="AC63" s="424">
        <v>5</v>
      </c>
      <c r="AD63" s="418">
        <f>IF(Input!B38="Special",0,IF(X46=1,Paths!$M$10+VLOOKUP(A46,$A$22:$N$27,13,FALSE),IF(X46=0,Paths!$M$11+VLOOKUP(A46,$A$22:$N$27,13,FALSE),0)))</f>
        <v>0</v>
      </c>
      <c r="AE63" s="422" t="s">
        <v>249</v>
      </c>
      <c r="AF63" s="412"/>
      <c r="AG63" s="412"/>
      <c r="AH63" s="412"/>
      <c r="AI63" s="412"/>
      <c r="AJ63" s="412"/>
      <c r="AK63" s="412"/>
      <c r="AL63" s="412"/>
      <c r="AM63" s="412"/>
    </row>
    <row r="64" spans="1:39" ht="12.75" x14ac:dyDescent="0.2">
      <c r="A64" s="278"/>
      <c r="B64" s="278"/>
      <c r="C64" s="278"/>
      <c r="D64" s="278"/>
      <c r="E64" s="278"/>
      <c r="F64" s="278"/>
      <c r="G64" s="278"/>
      <c r="H64" s="278"/>
      <c r="I64" s="278"/>
      <c r="J64" s="278"/>
      <c r="K64" s="278"/>
      <c r="L64" s="400" t="e">
        <f>IF(Input!D56="",0,IF(VLOOKUP(Input!D56,$A$22:$I$27,7,FALSE)="Self",VLOOKUP(Input!D56,$A$22:$I$27,5,FALSE),0))</f>
        <v>#N/A</v>
      </c>
      <c r="M64" s="419" t="e">
        <f>IF(L64=0,"",VLOOKUP(Input!D56,$A$22:$I$27,6,FALSE))</f>
        <v>#N/A</v>
      </c>
      <c r="N64" s="125"/>
      <c r="O64" s="125"/>
      <c r="P64" s="362"/>
      <c r="Q64" s="299"/>
      <c r="R64" s="251"/>
      <c r="S64" s="299"/>
      <c r="T64" s="299"/>
      <c r="U64" s="251"/>
      <c r="V64" s="251"/>
      <c r="W64" s="411"/>
      <c r="X64" s="411"/>
      <c r="Y64" s="416">
        <f>ROUND(IF(Input!B38="",0,IF(OR(Input!B38="Attack",Input!B38="Counter"),VLOOKUP(A46,$A$13:$AM$18,30,FALSE)*VLOOKUP(A46,$A$13:$AM$18,6,FALSE),IF(Input!B38="Special",VLOOKUP(A46,$A$13:$AM$18,32,FALSE)*VLOOKUP(A46,$A$13:$AM$18,6,FALSE),IF(Input!B38="Group",VLOOKUP(A46,$A$13:$AM$18,34,FALSE)*VLOOKUP(A46,$A$13:$AM$18,6,FALSE),0)*VLOOKUP(A46,$A$13:$AM$18,4,FALSE)))*-1),0.25)</f>
        <v>0</v>
      </c>
      <c r="Z64" s="417">
        <f>IF(Input!B38="",0,IF(Input!B38="Evade",(VLOOKUP(A46,$A$13:$AM$18,28,FALSE)*VLOOKUP(A46,$A$13:$AM$18,2,FALSE)),0))</f>
        <v>0</v>
      </c>
      <c r="AA64" s="418">
        <f>IF(X47=1,Paths!$M$12+VLOOKUP(Input!D39,$A$22:$N$27,13,FALSE),IF(X47=0,Paths!$M$13+VLOOKUP(Input!D39,$A$22:$N$27,13,FALSE),0))</f>
        <v>0</v>
      </c>
      <c r="AB64" s="423" t="s">
        <v>213</v>
      </c>
      <c r="AC64" s="424">
        <v>6</v>
      </c>
      <c r="AD64" s="418">
        <f>IF(Input!B39="Special",0,IF(X47=1,Paths!$M$10+VLOOKUP(A47,$A$22:$N$27,13,FALSE),IF(X47=0,Paths!$M$11+VLOOKUP(A47,$A$22:$N$27,13,FALSE),0)))</f>
        <v>0</v>
      </c>
      <c r="AE64" s="425" t="s">
        <v>251</v>
      </c>
      <c r="AF64" s="412"/>
      <c r="AG64" s="412"/>
      <c r="AH64" s="412"/>
      <c r="AI64" s="412"/>
      <c r="AJ64" s="412"/>
      <c r="AK64" s="412"/>
      <c r="AL64" s="412"/>
      <c r="AM64" s="412"/>
    </row>
    <row r="65" spans="1:39" ht="12.75" x14ac:dyDescent="0.2">
      <c r="A65" s="278"/>
      <c r="B65" s="278"/>
      <c r="C65" s="278"/>
      <c r="D65" s="278"/>
      <c r="E65" s="278"/>
      <c r="F65" s="278"/>
      <c r="G65" s="278"/>
      <c r="H65" s="278"/>
      <c r="I65" s="278"/>
      <c r="J65" s="278"/>
      <c r="K65" s="278"/>
      <c r="L65" s="400" t="e">
        <f>IF(Input!D57="",0,IF(VLOOKUP(Input!D57,$A$22:$I$27,7,FALSE)="Self",VLOOKUP(Input!D57,$A$22:$I$27,5,FALSE),0))</f>
        <v>#N/A</v>
      </c>
      <c r="M65" s="419" t="e">
        <f>IF(L65=0,"",VLOOKUP(Input!D57,$A$22:$I$27,6,FALSE))</f>
        <v>#N/A</v>
      </c>
      <c r="N65" s="125"/>
      <c r="O65" s="125"/>
      <c r="P65" s="362"/>
      <c r="Q65" s="299"/>
      <c r="R65" s="251"/>
      <c r="S65" s="299"/>
      <c r="T65" s="299"/>
      <c r="U65" s="251"/>
      <c r="V65" s="251"/>
      <c r="W65" s="411"/>
      <c r="X65" s="411"/>
      <c r="Y65" s="416">
        <f>ROUND(IF(Input!B39="",0,IF(OR(Input!B39="Attack",Input!B39="Counter"),VLOOKUP(A47,$A$13:$AM$18,30,FALSE)*VLOOKUP(A47,$A$13:$AM$18,6,FALSE),IF(Input!B39="Special",VLOOKUP(A47,$A$13:$AM$18,32,FALSE)*VLOOKUP(A47,$A$13:$AM$18,6,FALSE),IF(Input!B39="Group",VLOOKUP(A47,$A$13:$AM$18,34,FALSE)*VLOOKUP(A47,$A$13:$AM$18,6,FALSE),0)*VLOOKUP(A47,$A$13:$AM$18,4,FALSE)))*-1),0.25)</f>
        <v>0</v>
      </c>
      <c r="Z65" s="417">
        <f>IF(Input!B39="",0,IF(Input!B39="Evade",(VLOOKUP(A47,$A$13:$AM$18,28,FALSE)*VLOOKUP(A47,$A$13:$AM$18,2,FALSE)),0))</f>
        <v>0</v>
      </c>
      <c r="AA65" s="418">
        <f>IF(X48=1,Paths!$M$12+VLOOKUP(Input!D40,$A$22:$N$27,13,FALSE),IF(X48=0,Paths!$M$13+VLOOKUP(Input!D40,$A$22:$N$27,13,FALSE),0))</f>
        <v>0</v>
      </c>
      <c r="AB65" s="423" t="s">
        <v>214</v>
      </c>
      <c r="AC65" s="424">
        <v>7</v>
      </c>
      <c r="AD65" s="418">
        <f>IF(Input!B40="Special",0,IF(X48=1,Paths!$M$10+VLOOKUP(A48,$A$22:$N$27,13,FALSE),IF(X48=0,Paths!$M$11+VLOOKUP(A48,$A$22:$N$27,13,FALSE),0)))</f>
        <v>0</v>
      </c>
      <c r="AE65" s="422" t="s">
        <v>253</v>
      </c>
      <c r="AF65" s="412"/>
      <c r="AG65" s="412"/>
      <c r="AH65" s="412"/>
      <c r="AI65" s="412"/>
      <c r="AJ65" s="412"/>
      <c r="AK65" s="412"/>
      <c r="AL65" s="412"/>
      <c r="AM65" s="412"/>
    </row>
    <row r="66" spans="1:39" ht="12.75" x14ac:dyDescent="0.2">
      <c r="A66" s="278"/>
      <c r="B66" s="278"/>
      <c r="C66" s="278"/>
      <c r="D66" s="278"/>
      <c r="E66" s="278"/>
      <c r="F66" s="278"/>
      <c r="G66" s="278"/>
      <c r="H66" s="278"/>
      <c r="I66" s="278"/>
      <c r="J66" s="278"/>
      <c r="K66" s="278"/>
      <c r="L66" s="400" t="e">
        <f>IF(Input!D58="",0,IF(VLOOKUP(Input!D58,$A$22:$I$27,7,FALSE)="Self",VLOOKUP(Input!D58,$A$22:$I$27,5,FALSE),0))</f>
        <v>#N/A</v>
      </c>
      <c r="M66" s="419" t="e">
        <f>IF(L66=0,"",VLOOKUP(Input!D58,$A$22:$I$27,6,FALSE))</f>
        <v>#N/A</v>
      </c>
      <c r="N66" s="125"/>
      <c r="O66" s="125"/>
      <c r="P66" s="362"/>
      <c r="Q66" s="299"/>
      <c r="R66" s="251"/>
      <c r="S66" s="299"/>
      <c r="T66" s="299"/>
      <c r="U66" s="251"/>
      <c r="V66" s="251"/>
      <c r="W66" s="411"/>
      <c r="X66" s="411"/>
      <c r="Y66" s="416">
        <f>ROUND(IF(Input!B40="",0,IF(OR(Input!B40="Attack",Input!B40="Counter"),VLOOKUP(A48,$A$13:$AM$18,30,FALSE)*VLOOKUP(A48,$A$13:$AM$18,6,FALSE),IF(Input!B40="Special",VLOOKUP(A48,$A$13:$AM$18,32,FALSE)*VLOOKUP(A48,$A$13:$AM$18,6,FALSE),IF(Input!B40="Group",VLOOKUP(A48,$A$13:$AM$18,34,FALSE)*VLOOKUP(A48,$A$13:$AM$18,6,FALSE),0)*VLOOKUP(A48,$A$13:$AM$18,4,FALSE)))*-1),0.25)</f>
        <v>0</v>
      </c>
      <c r="Z66" s="417">
        <f>IF(Input!B40="",0,IF(Input!B40="Evade",(VLOOKUP(A48,$A$13:$AM$18,28,FALSE)*VLOOKUP(A48,$A$13:$AM$18,2,FALSE)),0))</f>
        <v>0</v>
      </c>
      <c r="AA66" s="418">
        <f>IF(X49=1,Paths!$M$12+VLOOKUP(Input!D41,$A$22:$N$27,13,FALSE),IF(X49=0,Paths!$M$13+VLOOKUP(Input!D41,$A$22:$N$27,13,FALSE),0))</f>
        <v>0</v>
      </c>
      <c r="AB66" s="423" t="s">
        <v>215</v>
      </c>
      <c r="AC66" s="424">
        <v>8</v>
      </c>
      <c r="AD66" s="418">
        <f>IF(Input!B41="Special",0,IF(X49=1,Paths!$M$10+VLOOKUP(A49,$A$22:$N$27,13,FALSE),IF(X49=0,Paths!$M$11+VLOOKUP(A49,$A$22:$N$27,13,FALSE),0)))</f>
        <v>0</v>
      </c>
      <c r="AE66" s="425" t="s">
        <v>326</v>
      </c>
      <c r="AF66" s="412"/>
      <c r="AG66" s="412"/>
      <c r="AH66" s="412"/>
      <c r="AI66" s="412"/>
      <c r="AJ66" s="412"/>
      <c r="AK66" s="412"/>
      <c r="AL66" s="412"/>
      <c r="AM66" s="412"/>
    </row>
    <row r="67" spans="1:39" ht="12.75" x14ac:dyDescent="0.2">
      <c r="A67" s="278"/>
      <c r="B67" s="278"/>
      <c r="C67" s="278"/>
      <c r="D67" s="278"/>
      <c r="E67" s="278"/>
      <c r="F67" s="278"/>
      <c r="G67" s="278"/>
      <c r="H67" s="278"/>
      <c r="I67" s="278"/>
      <c r="J67" s="278"/>
      <c r="K67" s="278"/>
      <c r="L67" s="400" t="e">
        <f>IF(Input!D59="",0,IF(VLOOKUP(Input!D59,$A$22:$I$27,7,FALSE)="Self",VLOOKUP(Input!D59,$A$22:$I$27,5,FALSE),0))</f>
        <v>#N/A</v>
      </c>
      <c r="M67" s="419" t="e">
        <f>IF(L67=0,"",VLOOKUP(Input!D59,$A$22:$I$27,6,FALSE))</f>
        <v>#N/A</v>
      </c>
      <c r="N67" s="125"/>
      <c r="O67" s="125"/>
      <c r="P67" s="362"/>
      <c r="Q67" s="299"/>
      <c r="R67" s="251"/>
      <c r="S67" s="299"/>
      <c r="T67" s="299"/>
      <c r="U67" s="251"/>
      <c r="V67" s="251"/>
      <c r="W67" s="411"/>
      <c r="X67" s="411"/>
      <c r="Y67" s="416">
        <f>ROUND(IF(Input!B41="",0,IF(OR(Input!B41="Attack",Input!B41="Counter"),VLOOKUP(A49,$A$13:$AM$18,30,FALSE)*VLOOKUP(A49,$A$13:$AM$18,6,FALSE),IF(Input!B41="Special",VLOOKUP(A49,$A$13:$AM$18,32,FALSE)*VLOOKUP(A49,$A$13:$AM$18,6,FALSE),IF(Input!B41="Group",VLOOKUP(A49,$A$13:$AM$18,34,FALSE)*VLOOKUP(A49,$A$13:$AM$18,6,FALSE),0)*VLOOKUP(A49,$A$13:$AM$18,4,FALSE)))*-1),0.25)</f>
        <v>0</v>
      </c>
      <c r="Z67" s="417">
        <f>IF(Input!B41="",0,IF(Input!B41="Evade",(VLOOKUP(A49,$A$13:$AM$18,28,FALSE)*VLOOKUP(A49,$A$13:$AM$18,2,FALSE)),0))</f>
        <v>0</v>
      </c>
      <c r="AA67" s="418">
        <f>IF(X50=1,Paths!$M$12+VLOOKUP(Input!D42,$A$22:$N$27,13,FALSE),IF(X50=0,Paths!$M$13+VLOOKUP(Input!D42,$A$22:$N$27,13,FALSE),0))</f>
        <v>0</v>
      </c>
      <c r="AB67" s="423" t="s">
        <v>216</v>
      </c>
      <c r="AC67" s="424">
        <v>9</v>
      </c>
      <c r="AD67" s="418">
        <f>IF(Input!B42="Special",0,IF(X50=1,Paths!$M$10+VLOOKUP(A50,$A$22:$N$27,13,FALSE),IF(X50=0,Paths!$M$11+VLOOKUP(A50,$A$22:$N$27,13,FALSE),0)))</f>
        <v>0</v>
      </c>
      <c r="AE67" s="422" t="s">
        <v>257</v>
      </c>
      <c r="AF67" s="412"/>
      <c r="AG67" s="412"/>
      <c r="AH67" s="412"/>
      <c r="AI67" s="412"/>
      <c r="AJ67" s="412"/>
      <c r="AK67" s="412"/>
      <c r="AL67" s="412"/>
      <c r="AM67" s="412"/>
    </row>
    <row r="68" spans="1:39" ht="12.75" x14ac:dyDescent="0.2">
      <c r="A68" s="278"/>
      <c r="B68" s="278"/>
      <c r="C68" s="278"/>
      <c r="D68" s="278"/>
      <c r="E68" s="278"/>
      <c r="F68" s="278"/>
      <c r="G68" s="278"/>
      <c r="H68" s="278"/>
      <c r="I68" s="278"/>
      <c r="J68" s="278"/>
      <c r="K68" s="278"/>
      <c r="L68" s="400" t="e">
        <f>IF(Input!D60="",0,IF(VLOOKUP(Input!D60,$A$22:$I$27,7,FALSE)="Self",VLOOKUP(Input!D60,$A$22:$I$27,5,FALSE),0))</f>
        <v>#N/A</v>
      </c>
      <c r="M68" s="419" t="e">
        <f>IF(L68=0,"",VLOOKUP(Input!D60,$A$22:$I$27,6,FALSE))</f>
        <v>#N/A</v>
      </c>
      <c r="N68" s="125"/>
      <c r="O68" s="125"/>
      <c r="P68" s="362"/>
      <c r="Q68" s="299"/>
      <c r="R68" s="251"/>
      <c r="S68" s="299"/>
      <c r="T68" s="299"/>
      <c r="U68" s="251"/>
      <c r="V68" s="251"/>
      <c r="W68" s="411"/>
      <c r="X68" s="411"/>
      <c r="Y68" s="416">
        <f>ROUND(IF(Input!B42="",0,IF(OR(Input!B42="Attack",Input!B42="Counter"),VLOOKUP(A50,$A$13:$AM$18,30,FALSE)*VLOOKUP(A50,$A$13:$AM$18,6,FALSE),IF(Input!B42="Special",VLOOKUP(A50,$A$13:$AM$18,32,FALSE)*VLOOKUP(A50,$A$13:$AM$18,6,FALSE),IF(Input!B42="Group",VLOOKUP(A50,$A$13:$AM$18,34,FALSE)*VLOOKUP(A50,$A$13:$AM$18,6,FALSE),0)*VLOOKUP(A50,$A$13:$AM$18,4,FALSE)))*-1),0.25)</f>
        <v>0</v>
      </c>
      <c r="Z68" s="417">
        <f>IF(Input!B42="",0,IF(Input!B42="Evade",(VLOOKUP(A50,$A$13:$AM$18,28,FALSE)*VLOOKUP(A50,$A$13:$AM$18,2,FALSE)),0))</f>
        <v>0</v>
      </c>
      <c r="AA68" s="418">
        <f>IF(X51=1,Paths!$M$12+VLOOKUP(Input!D43,$A$22:$N$27,13,FALSE),IF(X51=0,Paths!$M$13+VLOOKUP(Input!D43,$A$22:$N$27,13,FALSE),0))</f>
        <v>0</v>
      </c>
      <c r="AB68" s="426" t="s">
        <v>218</v>
      </c>
      <c r="AC68" s="427">
        <v>10</v>
      </c>
      <c r="AD68" s="418">
        <f>IF(Input!B43="Special",0,IF(X51=1,Paths!$M$10+VLOOKUP(A51,$A$22:$N$27,13,FALSE),IF(X51=0,Paths!$M$11+VLOOKUP(A51,$A$22:$N$27,13,FALSE),0)))</f>
        <v>0</v>
      </c>
      <c r="AE68" s="422" t="s">
        <v>259</v>
      </c>
      <c r="AF68" s="412"/>
      <c r="AG68" s="412"/>
      <c r="AH68" s="412"/>
      <c r="AI68" s="412"/>
      <c r="AJ68" s="412"/>
      <c r="AK68" s="412"/>
      <c r="AL68" s="412"/>
      <c r="AM68" s="412"/>
    </row>
    <row r="69" spans="1:39" ht="12.75" x14ac:dyDescent="0.2">
      <c r="A69" s="278"/>
      <c r="B69" s="278"/>
      <c r="C69" s="278"/>
      <c r="D69" s="278"/>
      <c r="E69" s="278"/>
      <c r="F69" s="278"/>
      <c r="G69" s="278"/>
      <c r="H69" s="278"/>
      <c r="I69" s="278"/>
      <c r="J69" s="278"/>
      <c r="K69" s="278"/>
      <c r="L69" s="400" t="e">
        <f>IF(Input!D61="",0,IF(VLOOKUP(Input!D61,$A$22:$I$27,7,FALSE)="Self",VLOOKUP(Input!D61,$A$22:$I$27,5,FALSE),0))</f>
        <v>#N/A</v>
      </c>
      <c r="M69" s="419" t="e">
        <f>IF(L69=0,"",VLOOKUP(Input!D61,$A$22:$I$27,6,FALSE))</f>
        <v>#N/A</v>
      </c>
      <c r="N69" s="125"/>
      <c r="O69" s="125"/>
      <c r="P69" s="362"/>
      <c r="Q69" s="299"/>
      <c r="R69" s="251"/>
      <c r="S69" s="299"/>
      <c r="T69" s="299"/>
      <c r="U69" s="251"/>
      <c r="V69" s="251"/>
      <c r="W69" s="411"/>
      <c r="X69" s="411"/>
      <c r="Y69" s="416">
        <f>ROUND(IF(Input!B43="",0,IF(OR(Input!B43="Attack",Input!B43="Counter"),VLOOKUP(A51,$A$13:$AM$18,30,FALSE)*VLOOKUP(A51,$A$13:$AM$18,6,FALSE),IF(Input!B43="Special",VLOOKUP(A51,$A$13:$AM$18,32,FALSE)*VLOOKUP(A51,$A$13:$AM$18,6,FALSE),IF(Input!B43="Group",VLOOKUP(A51,$A$13:$AM$18,34,FALSE)*VLOOKUP(A51,$A$13:$AM$18,6,FALSE),0)*VLOOKUP(A51,$A$13:$AM$18,4,FALSE)))*-1),0.25)</f>
        <v>0</v>
      </c>
      <c r="Z69" s="417">
        <f>IF(Input!B43="",0,IF(Input!B43="Evade",(VLOOKUP(A51,$A$13:$AM$18,28,FALSE)*VLOOKUP(A51,$A$13:$AM$18,2,FALSE)),0))</f>
        <v>0</v>
      </c>
      <c r="AA69" s="418">
        <f>IF(X52=1,Paths!$M$12+VLOOKUP(Input!D44,$A$22:$N$27,13,FALSE),IF(X52=0,Paths!$M$13+VLOOKUP(Input!D44,$A$22:$N$27,13,FALSE),0))</f>
        <v>0</v>
      </c>
      <c r="AB69" s="412"/>
      <c r="AC69" s="412"/>
      <c r="AD69" s="418">
        <f>IF(Input!B44="Special",0,IF(X52=1,Paths!$M$10+VLOOKUP(A52,$A$22:$N$27,13,FALSE),IF(X52=0,Paths!$M$11+VLOOKUP(A52,$A$22:$N$27,13,FALSE),0)))</f>
        <v>0</v>
      </c>
      <c r="AE69" s="422" t="s">
        <v>261</v>
      </c>
      <c r="AF69" s="412"/>
      <c r="AG69" s="412"/>
      <c r="AH69" s="412"/>
      <c r="AI69" s="412"/>
      <c r="AJ69" s="412"/>
      <c r="AK69" s="412"/>
      <c r="AL69" s="412"/>
      <c r="AM69" s="412"/>
    </row>
    <row r="70" spans="1:39" ht="12.75" x14ac:dyDescent="0.2">
      <c r="A70" s="278"/>
      <c r="B70" s="278"/>
      <c r="C70" s="278"/>
      <c r="D70" s="278"/>
      <c r="E70" s="278"/>
      <c r="F70" s="278"/>
      <c r="G70" s="278"/>
      <c r="H70" s="278"/>
      <c r="I70" s="278"/>
      <c r="J70" s="278"/>
      <c r="K70" s="278"/>
      <c r="L70" s="400" t="e">
        <f>IF(Input!D62="",0,IF(VLOOKUP(Input!D62,$A$22:$I$27,7,FALSE)="Self",VLOOKUP(Input!D62,$A$22:$I$27,5,FALSE),0))</f>
        <v>#N/A</v>
      </c>
      <c r="M70" s="419" t="e">
        <f>IF(L70=0,"",VLOOKUP(Input!D62,$A$22:$I$27,6,FALSE))</f>
        <v>#N/A</v>
      </c>
      <c r="N70" s="125"/>
      <c r="O70" s="125"/>
      <c r="P70" s="362"/>
      <c r="Q70" s="299"/>
      <c r="R70" s="251"/>
      <c r="S70" s="299"/>
      <c r="T70" s="299"/>
      <c r="U70" s="251"/>
      <c r="V70" s="251"/>
      <c r="W70" s="428"/>
      <c r="X70" s="411"/>
      <c r="Y70" s="416">
        <f>ROUND(IF(Input!B44="",0,IF(OR(Input!B44="Attack",Input!B44="Counter"),VLOOKUP(A52,$A$13:$AM$18,30,FALSE)*VLOOKUP(A52,$A$13:$AM$18,6,FALSE),IF(Input!B44="Special",VLOOKUP(A52,$A$13:$AM$18,32,FALSE)*VLOOKUP(A52,$A$13:$AM$18,6,FALSE),IF(Input!B44="Group",VLOOKUP(A52,$A$13:$AM$18,34,FALSE)*VLOOKUP(A52,$A$13:$AM$18,6,FALSE),0)*VLOOKUP(A52,$A$13:$AM$18,4,FALSE)))*-1),0.25)</f>
        <v>0</v>
      </c>
      <c r="Z70" s="417">
        <f>IF(Input!B44="",0,IF(Input!B44="Evade",(VLOOKUP(A52,$A$13:$AM$18,28,FALSE)*VLOOKUP(A52,$A$13:$AM$18,2,FALSE)),0))</f>
        <v>0</v>
      </c>
      <c r="AA70" s="418">
        <f>IF(X53=1,Paths!$M$12+VLOOKUP(Input!D45,$A$22:$N$27,13,FALSE),IF(X53=0,Paths!$M$13+VLOOKUP(Input!D45,$A$22:$N$27,13,FALSE),0))</f>
        <v>0</v>
      </c>
      <c r="AB70" s="82" t="s">
        <v>327</v>
      </c>
      <c r="AC70" s="68" t="s">
        <v>328</v>
      </c>
      <c r="AD70" s="418">
        <f>IF(Input!B45="Special",0,IF(X53=1,Paths!$M$10+VLOOKUP(A53,$A$22:$N$27,13,FALSE),IF(X53=0,Paths!$M$11+VLOOKUP(A53,$A$22:$N$27,13,FALSE),0)))</f>
        <v>0</v>
      </c>
      <c r="AE70" s="422" t="s">
        <v>262</v>
      </c>
      <c r="AF70" s="412"/>
      <c r="AG70" s="412"/>
      <c r="AH70" s="412"/>
      <c r="AI70" s="412"/>
      <c r="AJ70" s="412"/>
      <c r="AK70" s="412"/>
      <c r="AL70" s="412"/>
      <c r="AM70" s="412"/>
    </row>
    <row r="71" spans="1:39" ht="12.75" x14ac:dyDescent="0.2">
      <c r="A71" s="278"/>
      <c r="B71" s="278"/>
      <c r="C71" s="278"/>
      <c r="D71" s="278"/>
      <c r="E71" s="278"/>
      <c r="F71" s="278"/>
      <c r="G71" s="278"/>
      <c r="H71" s="278"/>
      <c r="I71" s="278"/>
      <c r="J71" s="278"/>
      <c r="K71" s="278"/>
      <c r="L71" s="400" t="e">
        <f>IF(Input!D63="",0,IF(VLOOKUP(Input!D63,$A$22:$I$27,7,FALSE)="Self",VLOOKUP(Input!D63,$A$22:$I$27,5,FALSE),0))</f>
        <v>#N/A</v>
      </c>
      <c r="M71" s="419" t="e">
        <f>IF(L71=0,"",VLOOKUP(Input!D63,$A$22:$I$27,6,FALSE))</f>
        <v>#N/A</v>
      </c>
      <c r="N71" s="125"/>
      <c r="O71" s="125"/>
      <c r="P71" s="362"/>
      <c r="Q71" s="299"/>
      <c r="R71" s="251"/>
      <c r="S71" s="299"/>
      <c r="T71" s="299"/>
      <c r="U71" s="251"/>
      <c r="V71" s="251"/>
      <c r="W71" s="411"/>
      <c r="X71" s="411"/>
      <c r="Y71" s="416">
        <f>ROUND(IF(Input!B45="",0,IF(OR(Input!B45="Attack",Input!B45="Counter"),VLOOKUP(A53,$A$13:$AM$18,30,FALSE)*VLOOKUP(A53,$A$13:$AM$18,6,FALSE),IF(Input!B45="Special",VLOOKUP(A53,$A$13:$AM$18,32,FALSE)*VLOOKUP(A53,$A$13:$AM$18,6,FALSE),IF(Input!B45="Group",VLOOKUP(A53,$A$13:$AM$18,34,FALSE)*VLOOKUP(A53,$A$13:$AM$18,6,FALSE),0)*VLOOKUP(A53,$A$13:$AM$18,4,FALSE)))*-1),0.25)</f>
        <v>0</v>
      </c>
      <c r="Z71" s="417">
        <f>IF(Input!B45="",0,IF(Input!B45="Evade",(VLOOKUP(A53,$A$13:$AM$18,28,FALSE)*VLOOKUP(A53,$A$13:$AM$18,2,FALSE)),0))</f>
        <v>0</v>
      </c>
      <c r="AA71" s="429">
        <f>IF(X54=1,Paths!$M$12+VLOOKUP(Input!D46,$A$22:$N$27,13,FALSE),IF(X54=0,Paths!$M$13+VLOOKUP(Input!D46,$A$22:$N$27,13,FALSE),0))</f>
        <v>0</v>
      </c>
      <c r="AB71" s="294" t="s">
        <v>189</v>
      </c>
      <c r="AC71" s="430">
        <v>0</v>
      </c>
      <c r="AD71" s="429">
        <f>IF(Input!B46="Special",0,IF(X54=1,Paths!$M$10+VLOOKUP(A54,$A$22:$N$27,13,FALSE),IF(X54=0,Paths!$M$11+VLOOKUP(A54,$A$22:$N$27,13,FALSE),0)))</f>
        <v>0</v>
      </c>
      <c r="AE71" s="425" t="s">
        <v>266</v>
      </c>
      <c r="AF71" s="412"/>
      <c r="AG71" s="412"/>
      <c r="AH71" s="412"/>
      <c r="AI71" s="412"/>
      <c r="AJ71" s="412"/>
      <c r="AK71" s="412"/>
      <c r="AL71" s="412"/>
      <c r="AM71" s="412"/>
    </row>
    <row r="72" spans="1:39" ht="12.75" x14ac:dyDescent="0.2">
      <c r="A72" s="278"/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400" t="e">
        <f>IF(Input!D64="",0,IF(VLOOKUP(Input!D64,$A$22:$I$27,7,FALSE)="Self",VLOOKUP(Input!D64,$A$22:$I$27,5,FALSE),0))</f>
        <v>#N/A</v>
      </c>
      <c r="M72" s="419" t="e">
        <f>IF(L72=0,"",VLOOKUP(Input!D64,$A$22:$I$27,6,FALSE))</f>
        <v>#N/A</v>
      </c>
      <c r="N72" s="125"/>
      <c r="O72" s="125"/>
      <c r="P72" s="362"/>
      <c r="Q72" s="299"/>
      <c r="R72" s="251"/>
      <c r="S72" s="299"/>
      <c r="T72" s="299"/>
      <c r="U72" s="251"/>
      <c r="V72" s="251"/>
      <c r="W72" s="411"/>
      <c r="X72" s="411"/>
      <c r="Y72" s="416">
        <f>ROUND(IF(Input!B46="",0,IF(OR(Input!B46="Attack",Input!B46="Counter"),VLOOKUP(A54,$A$13:$AM$18,30,FALSE)*VLOOKUP(A54,$A$13:$AM$18,6,FALSE),IF(Input!B46="Special",VLOOKUP(A54,$A$13:$AM$18,32,FALSE)*VLOOKUP(A54,$A$13:$AM$18,6,FALSE),IF(Input!B46="Group",VLOOKUP(A54,$A$13:$AM$18,34,FALSE)*VLOOKUP(A54,$A$13:$AM$18,6,FALSE),0)*VLOOKUP(A54,$A$13:$AM$18,4,FALSE)))*-1),0.25)</f>
        <v>0</v>
      </c>
      <c r="Z72" s="417">
        <f>IF(Input!B46="",0,IF(Input!B46="Evade",(VLOOKUP(A54,$A$13:$AM$18,28,FALSE)*VLOOKUP(A54,$A$13:$AM$18,2,FALSE)),0))</f>
        <v>0</v>
      </c>
      <c r="AA72" s="412"/>
      <c r="AB72" s="202" t="s">
        <v>191</v>
      </c>
      <c r="AC72" s="399">
        <v>1</v>
      </c>
      <c r="AD72" s="412"/>
      <c r="AE72" s="422" t="s">
        <v>267</v>
      </c>
      <c r="AF72" s="412"/>
      <c r="AG72" s="412"/>
      <c r="AH72" s="412"/>
      <c r="AI72" s="412"/>
      <c r="AJ72" s="412"/>
      <c r="AK72" s="412"/>
      <c r="AL72" s="412"/>
      <c r="AM72" s="412"/>
    </row>
    <row r="73" spans="1:39" ht="12.75" x14ac:dyDescent="0.2">
      <c r="A73" s="149"/>
      <c r="B73" s="149"/>
      <c r="C73" s="149"/>
      <c r="D73" s="149"/>
      <c r="E73" s="149"/>
      <c r="F73" s="149"/>
      <c r="G73" s="35"/>
      <c r="H73" s="149"/>
      <c r="I73" s="149"/>
      <c r="J73" s="149"/>
      <c r="K73" s="278"/>
      <c r="L73" s="431">
        <f>IF(Input!D65="",0,IF(VLOOKUP(Input!D65,$A$22:$I$27,7,FALSE)="Self",VLOOKUP(Input!D65,$A$22:$I$27,5,FALSE),0))</f>
        <v>0</v>
      </c>
      <c r="M73" s="432" t="str">
        <f>IF(L73=0,"",VLOOKUP(Input!D65,$A$22:$I$27,6,FALSE))</f>
        <v/>
      </c>
      <c r="N73" s="125"/>
      <c r="O73" s="125"/>
      <c r="P73" s="362"/>
      <c r="Q73" s="299"/>
      <c r="R73" s="251"/>
      <c r="S73" s="299"/>
      <c r="T73" s="299"/>
      <c r="U73" s="251"/>
      <c r="V73" s="251"/>
      <c r="W73" s="411"/>
      <c r="X73" s="411"/>
      <c r="Y73" s="416">
        <f>ROUND(IF(Input!B47="",0,IF(OR(Input!B47="Attack",Input!B47="Counter"),VLOOKUP(A55,$A$13:$AM$18,30,FALSE)*VLOOKUP(A55,$A$13:$AM$18,6,FALSE),IF(Input!B47="Special",VLOOKUP(A55,$A$13:$AM$18,32,FALSE)*VLOOKUP(A55,$A$13:$AM$18,6,FALSE),IF(Input!B47="Group",VLOOKUP(A55,$A$13:$AM$18,34,FALSE)*VLOOKUP(A55,$A$13:$AM$18,6,FALSE),0)*VLOOKUP(A55,$A$13:$AM$18,4,FALSE)))*-1),0.25)</f>
        <v>0</v>
      </c>
      <c r="Z73" s="417">
        <f>IF(Input!B47="",0,IF(Input!B47="Evade",(VLOOKUP(A55,$A$13:$AM$18,28,FALSE)*VLOOKUP(A55,$A$13:$AM$18,2,FALSE)),0))</f>
        <v>0</v>
      </c>
      <c r="AA73" s="412"/>
      <c r="AB73" s="202" t="s">
        <v>193</v>
      </c>
      <c r="AC73" s="399">
        <v>2</v>
      </c>
      <c r="AD73" s="412"/>
      <c r="AE73" s="422" t="s">
        <v>263</v>
      </c>
      <c r="AF73" s="412"/>
      <c r="AG73" s="412"/>
      <c r="AH73" s="412"/>
      <c r="AI73" s="412"/>
      <c r="AJ73" s="412"/>
      <c r="AK73" s="412"/>
      <c r="AL73" s="412"/>
      <c r="AM73" s="412"/>
    </row>
    <row r="74" spans="1:39" ht="12.75" x14ac:dyDescent="0.2">
      <c r="A74" s="35"/>
      <c r="B74" s="35"/>
      <c r="C74" s="149"/>
      <c r="D74" s="149"/>
      <c r="E74" s="149"/>
      <c r="F74" s="35"/>
      <c r="G74" s="35"/>
      <c r="H74" s="149"/>
      <c r="I74" s="149"/>
      <c r="J74" s="149"/>
      <c r="K74" s="278"/>
      <c r="L74" s="251"/>
      <c r="M74" s="125"/>
      <c r="N74" s="125"/>
      <c r="O74" s="125"/>
      <c r="P74" s="362"/>
      <c r="Q74" s="299"/>
      <c r="R74" s="251"/>
      <c r="S74" s="299"/>
      <c r="T74" s="299"/>
      <c r="U74" s="251"/>
      <c r="V74" s="251"/>
      <c r="W74" s="411"/>
      <c r="X74" s="411"/>
      <c r="Y74" s="416">
        <f>ROUND(IF(Input!B48="",0,IF(OR(Input!B48="Attack",Input!B48="Counter"),VLOOKUP(A56,$A$13:$AM$18,30,FALSE)*VLOOKUP(A56,$A$13:$AM$18,6,FALSE),IF(Input!B48="Special",VLOOKUP(A56,$A$13:$AM$18,32,FALSE)*VLOOKUP(A56,$A$13:$AM$18,6,FALSE),IF(Input!B48="Group",VLOOKUP(A56,$A$13:$AM$18,34,FALSE)*VLOOKUP(A56,$A$13:$AM$18,6,FALSE),0)*VLOOKUP(A56,$A$13:$AM$18,4,FALSE)))*-1),0.25)</f>
        <v>0</v>
      </c>
      <c r="Z74" s="417">
        <f>IF(Input!B48="",0,IF(Input!B48="Evade",(VLOOKUP(A56,$A$13:$AM$18,28,FALSE)*VLOOKUP(A56,$A$13:$AM$18,2,FALSE)),0))</f>
        <v>0</v>
      </c>
      <c r="AA74" s="412"/>
      <c r="AB74" s="202" t="s">
        <v>195</v>
      </c>
      <c r="AC74" s="399">
        <v>3</v>
      </c>
      <c r="AD74" s="412"/>
      <c r="AE74" s="422" t="s">
        <v>264</v>
      </c>
      <c r="AF74" s="412"/>
      <c r="AG74" s="412"/>
      <c r="AH74" s="412"/>
      <c r="AI74" s="412"/>
      <c r="AJ74" s="412"/>
      <c r="AK74" s="412"/>
      <c r="AL74" s="412"/>
      <c r="AM74" s="412"/>
    </row>
    <row r="75" spans="1:39" ht="12.75" x14ac:dyDescent="0.2">
      <c r="A75" s="35"/>
      <c r="B75" s="35"/>
      <c r="C75" s="149"/>
      <c r="D75" s="149"/>
      <c r="E75" s="149"/>
      <c r="F75" s="35"/>
      <c r="G75" s="35"/>
      <c r="H75" s="149"/>
      <c r="I75" s="149"/>
      <c r="J75" s="149"/>
      <c r="K75" s="278"/>
      <c r="L75" s="251"/>
      <c r="M75" s="125"/>
      <c r="N75" s="125"/>
      <c r="O75" s="125"/>
      <c r="P75" s="362"/>
      <c r="Q75" s="299"/>
      <c r="R75" s="251"/>
      <c r="S75" s="299"/>
      <c r="T75" s="299"/>
      <c r="U75" s="251"/>
      <c r="V75" s="251"/>
      <c r="W75" s="411"/>
      <c r="X75" s="411"/>
      <c r="Y75" s="433"/>
      <c r="Z75" s="433"/>
      <c r="AA75" s="412"/>
      <c r="AB75" s="202" t="s">
        <v>197</v>
      </c>
      <c r="AC75" s="399">
        <v>4</v>
      </c>
      <c r="AD75" s="412"/>
      <c r="AE75" s="434" t="s">
        <v>265</v>
      </c>
      <c r="AF75" s="412"/>
      <c r="AG75" s="412"/>
      <c r="AH75" s="412"/>
      <c r="AI75" s="412"/>
      <c r="AJ75" s="412"/>
      <c r="AK75" s="412"/>
      <c r="AL75" s="412"/>
      <c r="AM75" s="412"/>
    </row>
    <row r="76" spans="1:39" ht="12.75" x14ac:dyDescent="0.2">
      <c r="A76" s="35"/>
      <c r="B76" s="35"/>
      <c r="C76" s="149"/>
      <c r="D76" s="149"/>
      <c r="E76" s="149"/>
      <c r="F76" s="35"/>
      <c r="G76" s="35"/>
      <c r="H76" s="149"/>
      <c r="I76" s="149"/>
      <c r="J76" s="149"/>
      <c r="K76" s="278"/>
      <c r="L76" s="251"/>
      <c r="M76" s="125"/>
      <c r="N76" s="125"/>
      <c r="O76" s="125"/>
      <c r="P76" s="362"/>
      <c r="Q76" s="299"/>
      <c r="R76" s="251"/>
      <c r="S76" s="299"/>
      <c r="T76" s="299"/>
      <c r="U76" s="251"/>
      <c r="V76" s="251"/>
      <c r="W76" s="411"/>
      <c r="X76" s="411"/>
      <c r="Y76" s="435"/>
      <c r="Z76" s="435"/>
      <c r="AA76" s="412"/>
      <c r="AB76" s="202" t="s">
        <v>199</v>
      </c>
      <c r="AC76" s="399">
        <v>5</v>
      </c>
      <c r="AD76" s="412"/>
      <c r="AE76" s="412"/>
      <c r="AF76" s="412"/>
      <c r="AG76" s="412"/>
      <c r="AH76" s="412"/>
      <c r="AI76" s="412"/>
      <c r="AJ76" s="412"/>
      <c r="AK76" s="412"/>
      <c r="AL76" s="412"/>
      <c r="AM76" s="412"/>
    </row>
    <row r="77" spans="1:39" ht="12.75" x14ac:dyDescent="0.2">
      <c r="A77" s="35"/>
      <c r="B77" s="35"/>
      <c r="C77" s="149"/>
      <c r="D77" s="149"/>
      <c r="E77" s="149"/>
      <c r="F77" s="35"/>
      <c r="G77" s="35"/>
      <c r="H77" s="149"/>
      <c r="I77" s="149"/>
      <c r="J77" s="149"/>
      <c r="K77" s="278"/>
      <c r="L77" s="251"/>
      <c r="M77" s="125"/>
      <c r="N77" s="125"/>
      <c r="O77" s="125"/>
      <c r="P77" s="362"/>
      <c r="Q77" s="299"/>
      <c r="R77" s="251"/>
      <c r="S77" s="299"/>
      <c r="T77" s="299"/>
      <c r="U77" s="251"/>
      <c r="V77" s="251"/>
      <c r="W77" s="411"/>
      <c r="X77" s="411"/>
      <c r="Y77" s="435"/>
      <c r="Z77" s="435"/>
      <c r="AA77" s="412"/>
      <c r="AB77" s="202" t="s">
        <v>201</v>
      </c>
      <c r="AC77" s="399">
        <v>6</v>
      </c>
      <c r="AD77" s="412"/>
      <c r="AE77" s="412"/>
      <c r="AF77" s="412"/>
      <c r="AG77" s="412"/>
      <c r="AH77" s="412"/>
      <c r="AI77" s="412"/>
      <c r="AJ77" s="412"/>
      <c r="AK77" s="412"/>
      <c r="AL77" s="412"/>
      <c r="AM77" s="412"/>
    </row>
    <row r="78" spans="1:39" ht="12.75" x14ac:dyDescent="0.2">
      <c r="A78" s="35"/>
      <c r="B78" s="35"/>
      <c r="C78" s="149"/>
      <c r="D78" s="149"/>
      <c r="E78" s="149"/>
      <c r="F78" s="35"/>
      <c r="G78" s="35"/>
      <c r="H78" s="149"/>
      <c r="I78" s="149"/>
      <c r="J78" s="149"/>
      <c r="K78" s="278"/>
      <c r="L78" s="251"/>
      <c r="M78" s="125"/>
      <c r="N78" s="125"/>
      <c r="O78" s="125"/>
      <c r="P78" s="362"/>
      <c r="Q78" s="299"/>
      <c r="R78" s="251"/>
      <c r="S78" s="299"/>
      <c r="T78" s="299"/>
      <c r="U78" s="251"/>
      <c r="V78" s="251"/>
      <c r="W78" s="411"/>
      <c r="X78" s="411"/>
      <c r="Y78" s="435"/>
      <c r="Z78" s="435"/>
      <c r="AA78" s="412"/>
      <c r="AB78" s="202" t="s">
        <v>203</v>
      </c>
      <c r="AC78" s="399">
        <v>7</v>
      </c>
      <c r="AD78" s="412"/>
      <c r="AE78" s="412"/>
      <c r="AF78" s="412"/>
      <c r="AG78" s="412"/>
      <c r="AH78" s="412"/>
      <c r="AI78" s="412"/>
      <c r="AJ78" s="412"/>
      <c r="AK78" s="412"/>
      <c r="AL78" s="412"/>
      <c r="AM78" s="412"/>
    </row>
    <row r="79" spans="1:39" ht="12.75" x14ac:dyDescent="0.2">
      <c r="A79" s="35"/>
      <c r="B79" s="35"/>
      <c r="C79" s="149"/>
      <c r="D79" s="149"/>
      <c r="E79" s="149"/>
      <c r="F79" s="35"/>
      <c r="G79" s="35"/>
      <c r="H79" s="149"/>
      <c r="I79" s="149"/>
      <c r="J79" s="149"/>
      <c r="K79" s="278"/>
      <c r="L79" s="251"/>
      <c r="M79" s="125"/>
      <c r="N79" s="125"/>
      <c r="O79" s="125"/>
      <c r="P79" s="362"/>
      <c r="Q79" s="299"/>
      <c r="R79" s="251"/>
      <c r="S79" s="299"/>
      <c r="T79" s="299"/>
      <c r="U79" s="251"/>
      <c r="V79" s="251"/>
      <c r="W79" s="411"/>
      <c r="X79" s="411"/>
      <c r="Y79" s="411"/>
      <c r="Z79" s="411"/>
      <c r="AA79" s="412"/>
      <c r="AB79" s="202" t="s">
        <v>205</v>
      </c>
      <c r="AC79" s="399">
        <v>8</v>
      </c>
      <c r="AD79" s="412"/>
      <c r="AE79" s="412"/>
      <c r="AF79" s="412"/>
      <c r="AG79" s="412"/>
      <c r="AH79" s="412"/>
      <c r="AI79" s="412"/>
      <c r="AJ79" s="412"/>
      <c r="AK79" s="412"/>
      <c r="AL79" s="412"/>
      <c r="AM79" s="412"/>
    </row>
    <row r="80" spans="1:39" ht="12.75" x14ac:dyDescent="0.2">
      <c r="A80" s="35"/>
      <c r="B80" s="35"/>
      <c r="C80" s="149"/>
      <c r="D80" s="149"/>
      <c r="E80" s="149"/>
      <c r="F80" s="35"/>
      <c r="G80" s="35"/>
      <c r="H80" s="149"/>
      <c r="I80" s="149"/>
      <c r="J80" s="149"/>
      <c r="K80" s="278"/>
      <c r="L80" s="251"/>
      <c r="M80" s="125"/>
      <c r="N80" s="125"/>
      <c r="O80" s="125"/>
      <c r="P80" s="362"/>
      <c r="Q80" s="299"/>
      <c r="R80" s="251"/>
      <c r="S80" s="299"/>
      <c r="T80" s="299"/>
      <c r="U80" s="251"/>
      <c r="V80" s="251"/>
      <c r="W80" s="411"/>
      <c r="X80" s="411"/>
      <c r="Y80" s="411"/>
      <c r="Z80" s="411"/>
      <c r="AA80" s="412"/>
      <c r="AB80" s="436" t="s">
        <v>207</v>
      </c>
      <c r="AC80" s="437">
        <v>9</v>
      </c>
      <c r="AD80" s="412"/>
      <c r="AE80" s="412"/>
      <c r="AF80" s="412"/>
      <c r="AG80" s="412"/>
      <c r="AH80" s="412"/>
      <c r="AI80" s="412"/>
      <c r="AJ80" s="412"/>
      <c r="AK80" s="412"/>
      <c r="AL80" s="412"/>
      <c r="AM80" s="412"/>
    </row>
    <row r="81" spans="1:39" ht="12.75" x14ac:dyDescent="0.2">
      <c r="A81" s="35"/>
      <c r="B81" s="35"/>
      <c r="C81" s="149"/>
      <c r="D81" s="149"/>
      <c r="E81" s="149"/>
      <c r="F81" s="35"/>
      <c r="G81" s="35"/>
      <c r="H81" s="149"/>
      <c r="I81" s="149"/>
      <c r="J81" s="149"/>
      <c r="K81" s="278"/>
      <c r="L81" s="278"/>
      <c r="M81" s="49"/>
      <c r="N81" s="49"/>
      <c r="O81" s="49"/>
      <c r="P81" s="438"/>
      <c r="Q81" s="439"/>
      <c r="R81" s="278"/>
      <c r="S81" s="439"/>
      <c r="T81" s="439"/>
      <c r="U81" s="278"/>
      <c r="V81" s="278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</row>
  </sheetData>
  <mergeCells count="14">
    <mergeCell ref="AE38:AG38"/>
    <mergeCell ref="Y56:Z56"/>
    <mergeCell ref="A2:Q2"/>
    <mergeCell ref="S2:T2"/>
    <mergeCell ref="A11:AM11"/>
    <mergeCell ref="A20:N20"/>
    <mergeCell ref="P20:U20"/>
    <mergeCell ref="A29:I29"/>
    <mergeCell ref="J29:L29"/>
    <mergeCell ref="B38:E38"/>
    <mergeCell ref="F38:I38"/>
    <mergeCell ref="J38:K38"/>
    <mergeCell ref="L38:O38"/>
    <mergeCell ref="P38:AD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P40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7" customWidth="1"/>
    <col min="2" max="2" width="9.42578125" customWidth="1"/>
    <col min="3" max="3" width="14.42578125" customWidth="1"/>
    <col min="4" max="9" width="11" customWidth="1"/>
    <col min="10" max="10" width="2.7109375" customWidth="1"/>
    <col min="11" max="11" width="9.42578125" customWidth="1"/>
    <col min="12" max="12" width="13" customWidth="1"/>
    <col min="13" max="13" width="16.5703125" customWidth="1"/>
    <col min="14" max="14" width="54.5703125" customWidth="1"/>
    <col min="15" max="15" width="2.7109375" customWidth="1"/>
    <col min="16" max="16" width="12.85546875" customWidth="1"/>
    <col min="17" max="17" width="36.28515625" customWidth="1"/>
    <col min="18" max="18" width="23.7109375" customWidth="1"/>
    <col min="19" max="19" width="21.85546875" customWidth="1"/>
    <col min="20" max="20" width="2.7109375" customWidth="1"/>
    <col min="31" max="31" width="8.5703125" customWidth="1"/>
    <col min="32" max="32" width="13.7109375" customWidth="1"/>
    <col min="33" max="33" width="8.5703125" customWidth="1"/>
    <col min="34" max="34" width="13.7109375" customWidth="1"/>
    <col min="35" max="35" width="8.5703125" customWidth="1"/>
    <col min="36" max="36" width="13.7109375" customWidth="1"/>
    <col min="37" max="37" width="8.5703125" customWidth="1"/>
    <col min="38" max="38" width="13.7109375" customWidth="1"/>
    <col min="39" max="39" width="8.5703125" customWidth="1"/>
    <col min="40" max="40" width="13.7109375" customWidth="1"/>
    <col min="41" max="41" width="8.5703125" customWidth="1"/>
    <col min="42" max="42" width="13.7109375" customWidth="1"/>
  </cols>
  <sheetData>
    <row r="1" spans="1:42" x14ac:dyDescent="0.2">
      <c r="A1" s="321" t="s">
        <v>4</v>
      </c>
      <c r="B1" s="321" t="s">
        <v>270</v>
      </c>
      <c r="C1" s="321" t="s">
        <v>271</v>
      </c>
      <c r="D1" s="440" t="s">
        <v>329</v>
      </c>
      <c r="E1" s="440" t="s">
        <v>330</v>
      </c>
      <c r="F1" s="440" t="s">
        <v>331</v>
      </c>
      <c r="G1" s="440" t="s">
        <v>332</v>
      </c>
      <c r="H1" s="440" t="s">
        <v>333</v>
      </c>
      <c r="I1" s="440" t="s">
        <v>334</v>
      </c>
      <c r="J1" s="298"/>
      <c r="K1" s="321" t="s">
        <v>4</v>
      </c>
      <c r="L1" s="440" t="s">
        <v>72</v>
      </c>
      <c r="M1" s="440" t="s">
        <v>76</v>
      </c>
      <c r="N1" s="321" t="s">
        <v>35</v>
      </c>
      <c r="O1" s="144"/>
      <c r="P1" s="324" t="s">
        <v>270</v>
      </c>
      <c r="Q1" s="441" t="s">
        <v>335</v>
      </c>
      <c r="R1" s="324" t="s">
        <v>94</v>
      </c>
      <c r="S1" s="324" t="s">
        <v>279</v>
      </c>
      <c r="T1" s="144"/>
      <c r="U1" s="46" t="s">
        <v>138</v>
      </c>
      <c r="V1" s="57" t="s">
        <v>336</v>
      </c>
      <c r="W1" s="123" t="s">
        <v>4</v>
      </c>
      <c r="X1" s="57" t="s">
        <v>140</v>
      </c>
      <c r="Y1" s="57" t="s">
        <v>336</v>
      </c>
      <c r="Z1" s="123" t="s">
        <v>4</v>
      </c>
      <c r="AA1" s="45" t="s">
        <v>138</v>
      </c>
      <c r="AB1" s="65" t="s">
        <v>4</v>
      </c>
      <c r="AC1" s="83" t="s">
        <v>336</v>
      </c>
      <c r="AD1" s="442" t="s">
        <v>138</v>
      </c>
      <c r="AE1" s="590" t="str">
        <f>A2</f>
        <v>Fire</v>
      </c>
      <c r="AF1" s="575"/>
      <c r="AG1" s="590" t="str">
        <f>A3</f>
        <v>Water</v>
      </c>
      <c r="AH1" s="575"/>
      <c r="AI1" s="590" t="str">
        <f>A4</f>
        <v>Air</v>
      </c>
      <c r="AJ1" s="575"/>
      <c r="AK1" s="590" t="str">
        <f>A5</f>
        <v>Earth</v>
      </c>
      <c r="AL1" s="575"/>
      <c r="AM1" s="590" t="str">
        <f>A6</f>
        <v>Shadow</v>
      </c>
      <c r="AN1" s="575"/>
      <c r="AO1" s="590" t="str">
        <f>A7</f>
        <v>Light</v>
      </c>
      <c r="AP1" s="575"/>
    </row>
    <row r="2" spans="1:42" x14ac:dyDescent="0.2">
      <c r="A2" s="325" t="s">
        <v>36</v>
      </c>
      <c r="B2" s="325">
        <v>0</v>
      </c>
      <c r="C2" s="325" t="str">
        <f t="shared" ref="C2:C7" si="0">CONCATENATE(A2," - ",B2)</f>
        <v>Fire - 0</v>
      </c>
      <c r="D2" s="443">
        <v>0.04</v>
      </c>
      <c r="E2" s="443">
        <v>0.05</v>
      </c>
      <c r="F2" s="443">
        <v>6.0000000000000005E-2</v>
      </c>
      <c r="G2" s="443">
        <v>7.0000000000000007E-2</v>
      </c>
      <c r="H2" s="443">
        <v>0.08</v>
      </c>
      <c r="I2" s="443">
        <v>0.09</v>
      </c>
      <c r="J2" s="298"/>
      <c r="K2" s="325" t="s">
        <v>36</v>
      </c>
      <c r="L2" s="325" t="s">
        <v>73</v>
      </c>
      <c r="M2" s="325" t="s">
        <v>256</v>
      </c>
      <c r="N2" s="326" t="s">
        <v>337</v>
      </c>
      <c r="O2" s="144"/>
      <c r="P2" s="323">
        <v>0</v>
      </c>
      <c r="Q2" s="323">
        <v>0</v>
      </c>
      <c r="R2" s="401">
        <v>0</v>
      </c>
      <c r="S2" s="323">
        <v>0</v>
      </c>
      <c r="T2" s="144"/>
      <c r="U2" s="294">
        <f>Input!B67</f>
        <v>0</v>
      </c>
      <c r="V2" s="444">
        <f>Input!F67</f>
        <v>0</v>
      </c>
      <c r="W2" s="430">
        <f>Input!U67</f>
        <v>0</v>
      </c>
      <c r="X2" s="301">
        <f>Input!H67</f>
        <v>0</v>
      </c>
      <c r="Y2" s="444">
        <f>Input!I67</f>
        <v>0</v>
      </c>
      <c r="Z2" s="430">
        <f>Input!V67</f>
        <v>0</v>
      </c>
      <c r="AA2" s="202" t="str">
        <f>'Character Sheet - P1'!$C$5</f>
        <v>Will</v>
      </c>
      <c r="AB2" s="303" t="str">
        <f t="shared" ref="AB2:AB7" si="1">A2</f>
        <v>Fire</v>
      </c>
      <c r="AC2" s="445">
        <f t="shared" ref="AC2:AC19" si="2">SUMIFS($V$2:$V$401,$U$2:$U$401,AA2,$W$2:$W$401,AB2)+SUMIFS($Y$2:$Y$401,$X$2:$X$401,AA2,$Z$2:$Z$401,AB2)</f>
        <v>0</v>
      </c>
      <c r="AD2" s="446"/>
      <c r="AE2" s="202" t="s">
        <v>338</v>
      </c>
      <c r="AF2" s="399" t="s">
        <v>70</v>
      </c>
      <c r="AG2" s="202" t="s">
        <v>338</v>
      </c>
      <c r="AH2" s="399" t="s">
        <v>70</v>
      </c>
      <c r="AI2" s="202" t="s">
        <v>338</v>
      </c>
      <c r="AJ2" s="399" t="s">
        <v>70</v>
      </c>
      <c r="AK2" s="202" t="s">
        <v>338</v>
      </c>
      <c r="AL2" s="399" t="s">
        <v>70</v>
      </c>
      <c r="AM2" s="202" t="s">
        <v>338</v>
      </c>
      <c r="AN2" s="399" t="s">
        <v>70</v>
      </c>
      <c r="AO2" s="447" t="s">
        <v>338</v>
      </c>
      <c r="AP2" s="399" t="s">
        <v>70</v>
      </c>
    </row>
    <row r="3" spans="1:42" x14ac:dyDescent="0.2">
      <c r="A3" s="325" t="s">
        <v>38</v>
      </c>
      <c r="B3" s="325">
        <v>0</v>
      </c>
      <c r="C3" s="325" t="str">
        <f t="shared" si="0"/>
        <v>Water - 0</v>
      </c>
      <c r="D3" s="443">
        <v>-0.06</v>
      </c>
      <c r="E3" s="443">
        <v>-6.9999999999999993E-2</v>
      </c>
      <c r="F3" s="443">
        <v>-7.9999999999999988E-2</v>
      </c>
      <c r="G3" s="443">
        <v>-8.9999999999999983E-2</v>
      </c>
      <c r="H3" s="443">
        <v>-9.9999999999999978E-2</v>
      </c>
      <c r="I3" s="443">
        <v>-0.10999999999999997</v>
      </c>
      <c r="J3" s="298"/>
      <c r="K3" s="325" t="s">
        <v>38</v>
      </c>
      <c r="L3" s="325" t="s">
        <v>74</v>
      </c>
      <c r="M3" s="325" t="s">
        <v>250</v>
      </c>
      <c r="N3" s="326" t="s">
        <v>339</v>
      </c>
      <c r="O3" s="144"/>
      <c r="P3" s="323">
        <v>1</v>
      </c>
      <c r="Q3" s="323">
        <v>35</v>
      </c>
      <c r="R3" s="401">
        <v>0.25</v>
      </c>
      <c r="S3" s="323">
        <v>0</v>
      </c>
      <c r="T3" s="144"/>
      <c r="U3" s="202">
        <f>Input!B68</f>
        <v>0</v>
      </c>
      <c r="V3" s="448">
        <f>Input!F68</f>
        <v>0</v>
      </c>
      <c r="W3" s="399">
        <f>Input!U68</f>
        <v>0</v>
      </c>
      <c r="X3" s="303">
        <f>Input!H68</f>
        <v>0</v>
      </c>
      <c r="Y3" s="448">
        <f>Input!I68</f>
        <v>0</v>
      </c>
      <c r="Z3" s="399">
        <f>Input!V68</f>
        <v>0</v>
      </c>
      <c r="AA3" s="202" t="str">
        <f>'Character Sheet - P1'!$C$5</f>
        <v>Will</v>
      </c>
      <c r="AB3" s="303" t="str">
        <f t="shared" si="1"/>
        <v>Water</v>
      </c>
      <c r="AC3" s="445">
        <f t="shared" si="2"/>
        <v>0</v>
      </c>
      <c r="AD3" s="243" t="str">
        <f>'Character Sheet - P1'!C5</f>
        <v>Will</v>
      </c>
      <c r="AE3" s="447">
        <v>0</v>
      </c>
      <c r="AF3" s="399">
        <v>0</v>
      </c>
      <c r="AG3" s="447">
        <v>0</v>
      </c>
      <c r="AH3" s="399">
        <v>0</v>
      </c>
      <c r="AI3" s="447">
        <v>9.5</v>
      </c>
      <c r="AJ3" s="399">
        <v>0</v>
      </c>
      <c r="AK3" s="447">
        <v>1.25</v>
      </c>
      <c r="AL3" s="399">
        <v>0</v>
      </c>
      <c r="AM3" s="447">
        <v>0</v>
      </c>
      <c r="AN3" s="399">
        <v>0</v>
      </c>
      <c r="AO3" s="447">
        <v>0</v>
      </c>
      <c r="AP3" s="399">
        <v>0</v>
      </c>
    </row>
    <row r="4" spans="1:42" x14ac:dyDescent="0.2">
      <c r="A4" s="325" t="s">
        <v>40</v>
      </c>
      <c r="B4" s="325">
        <v>0</v>
      </c>
      <c r="C4" s="325" t="str">
        <f t="shared" si="0"/>
        <v>Air - 0</v>
      </c>
      <c r="D4" s="443">
        <v>0.06</v>
      </c>
      <c r="E4" s="443">
        <v>6.9999999999999993E-2</v>
      </c>
      <c r="F4" s="443">
        <v>7.9999999999999988E-2</v>
      </c>
      <c r="G4" s="443">
        <v>8.9999999999999983E-2</v>
      </c>
      <c r="H4" s="443">
        <v>9.9999999999999978E-2</v>
      </c>
      <c r="I4" s="443">
        <v>0.10999999999999997</v>
      </c>
      <c r="J4" s="298"/>
      <c r="K4" s="325" t="s">
        <v>40</v>
      </c>
      <c r="L4" s="325" t="s">
        <v>73</v>
      </c>
      <c r="M4" s="325" t="s">
        <v>250</v>
      </c>
      <c r="N4" s="326" t="s">
        <v>340</v>
      </c>
      <c r="O4" s="144"/>
      <c r="P4" s="323">
        <v>2</v>
      </c>
      <c r="Q4" s="323">
        <f>Q3+60</f>
        <v>95</v>
      </c>
      <c r="R4" s="401">
        <v>0.25</v>
      </c>
      <c r="S4" s="323">
        <v>1</v>
      </c>
      <c r="T4" s="144"/>
      <c r="U4" s="202">
        <f>Input!B69</f>
        <v>0</v>
      </c>
      <c r="V4" s="448">
        <f>Input!F69</f>
        <v>0</v>
      </c>
      <c r="W4" s="399">
        <f>Input!U69</f>
        <v>0</v>
      </c>
      <c r="X4" s="303">
        <f>Input!H69</f>
        <v>0</v>
      </c>
      <c r="Y4" s="448">
        <f>Input!I69</f>
        <v>0</v>
      </c>
      <c r="Z4" s="399">
        <f>Input!V69</f>
        <v>0</v>
      </c>
      <c r="AA4" s="202" t="str">
        <f>'Character Sheet - P1'!$C$5</f>
        <v>Will</v>
      </c>
      <c r="AB4" s="303" t="str">
        <f t="shared" si="1"/>
        <v>Air</v>
      </c>
      <c r="AC4" s="445">
        <f t="shared" si="2"/>
        <v>0</v>
      </c>
      <c r="AD4" s="243" t="str">
        <f>'Character Sheet - P2'!C5</f>
        <v>Carter</v>
      </c>
      <c r="AE4" s="447">
        <v>0.5</v>
      </c>
      <c r="AF4" s="399">
        <v>0</v>
      </c>
      <c r="AG4" s="447">
        <v>0</v>
      </c>
      <c r="AH4" s="399">
        <v>0</v>
      </c>
      <c r="AI4" s="447">
        <v>1</v>
      </c>
      <c r="AJ4" s="399">
        <v>0</v>
      </c>
      <c r="AK4" s="447">
        <v>5.5</v>
      </c>
      <c r="AL4" s="399">
        <v>0</v>
      </c>
      <c r="AM4" s="447">
        <v>3.5</v>
      </c>
      <c r="AN4" s="399">
        <v>0</v>
      </c>
      <c r="AO4" s="447">
        <v>0</v>
      </c>
      <c r="AP4" s="399">
        <v>0</v>
      </c>
    </row>
    <row r="5" spans="1:42" x14ac:dyDescent="0.2">
      <c r="A5" s="325" t="s">
        <v>42</v>
      </c>
      <c r="B5" s="325">
        <v>0</v>
      </c>
      <c r="C5" s="325" t="str">
        <f t="shared" si="0"/>
        <v>Earth - 0</v>
      </c>
      <c r="D5" s="443">
        <v>-0.08</v>
      </c>
      <c r="E5" s="443">
        <v>-0.09</v>
      </c>
      <c r="F5" s="443">
        <v>-9.9999999999999992E-2</v>
      </c>
      <c r="G5" s="443">
        <v>-0.10999999999999999</v>
      </c>
      <c r="H5" s="443">
        <v>-0.11999999999999998</v>
      </c>
      <c r="I5" s="443">
        <v>-0.12999999999999998</v>
      </c>
      <c r="J5" s="298"/>
      <c r="K5" s="325" t="s">
        <v>42</v>
      </c>
      <c r="L5" s="325" t="s">
        <v>74</v>
      </c>
      <c r="M5" s="325" t="s">
        <v>244</v>
      </c>
      <c r="N5" s="326" t="s">
        <v>341</v>
      </c>
      <c r="O5" s="144"/>
      <c r="P5" s="323">
        <v>3</v>
      </c>
      <c r="Q5" s="323">
        <f>Q4+85</f>
        <v>180</v>
      </c>
      <c r="R5" s="401">
        <v>0.5</v>
      </c>
      <c r="S5" s="323">
        <v>2</v>
      </c>
      <c r="T5" s="144"/>
      <c r="U5" s="202">
        <f>Input!B70</f>
        <v>0</v>
      </c>
      <c r="V5" s="448">
        <f>Input!F70</f>
        <v>0</v>
      </c>
      <c r="W5" s="399">
        <f>Input!U70</f>
        <v>0</v>
      </c>
      <c r="X5" s="303">
        <f>Input!H70</f>
        <v>0</v>
      </c>
      <c r="Y5" s="448">
        <f>Input!I70</f>
        <v>0</v>
      </c>
      <c r="Z5" s="399">
        <f>Input!V70</f>
        <v>0</v>
      </c>
      <c r="AA5" s="202" t="str">
        <f>'Character Sheet - P1'!$C$5</f>
        <v>Will</v>
      </c>
      <c r="AB5" s="303" t="str">
        <f t="shared" si="1"/>
        <v>Earth</v>
      </c>
      <c r="AC5" s="445">
        <f t="shared" si="2"/>
        <v>0</v>
      </c>
      <c r="AD5" s="449" t="str">
        <f>'Character Sheet - P3'!C5</f>
        <v>Joe</v>
      </c>
      <c r="AE5" s="450">
        <v>6</v>
      </c>
      <c r="AF5" s="437">
        <v>0</v>
      </c>
      <c r="AG5" s="450">
        <v>0</v>
      </c>
      <c r="AH5" s="437">
        <v>0</v>
      </c>
      <c r="AI5" s="450">
        <v>0</v>
      </c>
      <c r="AJ5" s="437">
        <v>0</v>
      </c>
      <c r="AK5" s="450">
        <v>0.75</v>
      </c>
      <c r="AL5" s="437">
        <v>0</v>
      </c>
      <c r="AM5" s="450">
        <v>5.5</v>
      </c>
      <c r="AN5" s="437">
        <v>0</v>
      </c>
      <c r="AO5" s="450">
        <v>0</v>
      </c>
      <c r="AP5" s="437">
        <v>0</v>
      </c>
    </row>
    <row r="6" spans="1:42" x14ac:dyDescent="0.2">
      <c r="A6" s="325" t="s">
        <v>44</v>
      </c>
      <c r="B6" s="325">
        <v>0</v>
      </c>
      <c r="C6" s="325" t="str">
        <f t="shared" si="0"/>
        <v>Shadow - 0</v>
      </c>
      <c r="D6" s="443">
        <v>-0.04</v>
      </c>
      <c r="E6" s="443">
        <v>-0.05</v>
      </c>
      <c r="F6" s="443">
        <v>-6.0000000000000005E-2</v>
      </c>
      <c r="G6" s="443">
        <v>-7.0000000000000007E-2</v>
      </c>
      <c r="H6" s="443">
        <v>-0.08</v>
      </c>
      <c r="I6" s="443">
        <v>-0.09</v>
      </c>
      <c r="J6" s="298"/>
      <c r="K6" s="325" t="s">
        <v>44</v>
      </c>
      <c r="L6" s="325" t="s">
        <v>74</v>
      </c>
      <c r="M6" s="325" t="s">
        <v>256</v>
      </c>
      <c r="N6" s="326" t="s">
        <v>342</v>
      </c>
      <c r="O6" s="144"/>
      <c r="P6" s="298">
        <v>4</v>
      </c>
      <c r="Q6" s="298" t="s">
        <v>343</v>
      </c>
      <c r="R6" s="298"/>
      <c r="S6" s="298"/>
      <c r="T6" s="144"/>
      <c r="U6" s="202">
        <f>Input!B71</f>
        <v>0</v>
      </c>
      <c r="V6" s="448">
        <f>Input!F71</f>
        <v>0</v>
      </c>
      <c r="W6" s="399">
        <f>Input!U71</f>
        <v>0</v>
      </c>
      <c r="X6" s="303">
        <f>Input!H71</f>
        <v>0</v>
      </c>
      <c r="Y6" s="448">
        <f>Input!I71</f>
        <v>0</v>
      </c>
      <c r="Z6" s="399">
        <f>Input!V71</f>
        <v>0</v>
      </c>
      <c r="AA6" s="202" t="str">
        <f>'Character Sheet - P1'!$C$5</f>
        <v>Will</v>
      </c>
      <c r="AB6" s="303" t="str">
        <f t="shared" si="1"/>
        <v>Shadow</v>
      </c>
      <c r="AC6" s="445">
        <f t="shared" si="2"/>
        <v>0</v>
      </c>
      <c r="AD6" s="629" t="s">
        <v>344</v>
      </c>
      <c r="AE6" s="558"/>
      <c r="AF6" s="558"/>
      <c r="AG6" s="558"/>
      <c r="AH6" s="558"/>
      <c r="AI6" s="558"/>
      <c r="AJ6" s="558"/>
      <c r="AK6" s="558"/>
      <c r="AL6" s="558"/>
      <c r="AM6" s="558"/>
      <c r="AN6" s="558"/>
      <c r="AO6" s="558"/>
      <c r="AP6" s="558"/>
    </row>
    <row r="7" spans="1:42" x14ac:dyDescent="0.2">
      <c r="A7" s="325" t="s">
        <v>46</v>
      </c>
      <c r="B7" s="325">
        <v>0</v>
      </c>
      <c r="C7" s="325" t="str">
        <f t="shared" si="0"/>
        <v>Light - 0</v>
      </c>
      <c r="D7" s="443">
        <v>0.08</v>
      </c>
      <c r="E7" s="443">
        <v>0.09</v>
      </c>
      <c r="F7" s="443">
        <v>9.9999999999999992E-2</v>
      </c>
      <c r="G7" s="443">
        <v>0.10999999999999999</v>
      </c>
      <c r="H7" s="443">
        <v>0.11999999999999998</v>
      </c>
      <c r="I7" s="443">
        <v>0.12999999999999998</v>
      </c>
      <c r="J7" s="298"/>
      <c r="K7" s="325" t="s">
        <v>46</v>
      </c>
      <c r="L7" s="325" t="s">
        <v>73</v>
      </c>
      <c r="M7" s="325" t="s">
        <v>244</v>
      </c>
      <c r="N7" s="326" t="s">
        <v>345</v>
      </c>
      <c r="O7" s="144"/>
      <c r="P7" s="451" t="s">
        <v>187</v>
      </c>
      <c r="Q7" s="149"/>
      <c r="R7" s="278"/>
      <c r="S7" s="278"/>
      <c r="T7" s="149"/>
      <c r="U7" s="202">
        <f>Input!B72</f>
        <v>0</v>
      </c>
      <c r="V7" s="448">
        <f>Input!F72</f>
        <v>0</v>
      </c>
      <c r="W7" s="399">
        <f>Input!U72</f>
        <v>0</v>
      </c>
      <c r="X7" s="303">
        <f>Input!H72</f>
        <v>0</v>
      </c>
      <c r="Y7" s="448">
        <f>Input!I72</f>
        <v>0</v>
      </c>
      <c r="Z7" s="399">
        <f>Input!V72</f>
        <v>0</v>
      </c>
      <c r="AA7" s="202" t="str">
        <f>'Character Sheet - P1'!$C$5</f>
        <v>Will</v>
      </c>
      <c r="AB7" s="303" t="str">
        <f t="shared" si="1"/>
        <v>Light</v>
      </c>
      <c r="AC7" s="445">
        <f t="shared" si="2"/>
        <v>0</v>
      </c>
      <c r="AD7" s="452"/>
      <c r="AE7" s="294" t="s">
        <v>338</v>
      </c>
      <c r="AF7" s="430" t="s">
        <v>70</v>
      </c>
      <c r="AG7" s="294" t="s">
        <v>338</v>
      </c>
      <c r="AH7" s="430" t="s">
        <v>70</v>
      </c>
      <c r="AI7" s="294" t="s">
        <v>338</v>
      </c>
      <c r="AJ7" s="430" t="s">
        <v>70</v>
      </c>
      <c r="AK7" s="294" t="s">
        <v>338</v>
      </c>
      <c r="AL7" s="430" t="s">
        <v>70</v>
      </c>
      <c r="AM7" s="294" t="s">
        <v>338</v>
      </c>
      <c r="AN7" s="430" t="s">
        <v>70</v>
      </c>
      <c r="AO7" s="294" t="s">
        <v>338</v>
      </c>
      <c r="AP7" s="430" t="s">
        <v>70</v>
      </c>
    </row>
    <row r="8" spans="1:42" x14ac:dyDescent="0.2">
      <c r="A8" s="298"/>
      <c r="B8" s="298"/>
      <c r="C8" s="298"/>
      <c r="D8" s="453"/>
      <c r="E8" s="453"/>
      <c r="F8" s="453"/>
      <c r="G8" s="453"/>
      <c r="H8" s="453"/>
      <c r="I8" s="453"/>
      <c r="J8" s="298"/>
      <c r="K8" s="298"/>
      <c r="L8" s="298"/>
      <c r="M8" s="298"/>
      <c r="N8" s="144"/>
      <c r="O8" s="144"/>
      <c r="P8" s="454" t="str">
        <f t="shared" ref="P8:P11" si="3">CONCATENATE("pathAscensionDatabase.Add(new PathAscensionData(",P2,", ",P2,", ",Q2,", ",R2,"f, ",S2,"));")</f>
        <v>pathAscensionDatabase.Add(new PathAscensionData(0, 0, 0, 0f, 0));</v>
      </c>
      <c r="Q8" s="149"/>
      <c r="R8" s="278"/>
      <c r="S8" s="278"/>
      <c r="T8" s="149"/>
      <c r="U8" s="202">
        <f>Input!B73</f>
        <v>0</v>
      </c>
      <c r="V8" s="448">
        <f>Input!F73</f>
        <v>0</v>
      </c>
      <c r="W8" s="399">
        <f>Input!U73</f>
        <v>0</v>
      </c>
      <c r="X8" s="303">
        <f>Input!H73</f>
        <v>0</v>
      </c>
      <c r="Y8" s="448">
        <f>Input!I73</f>
        <v>0</v>
      </c>
      <c r="Z8" s="399">
        <f>Input!V73</f>
        <v>0</v>
      </c>
      <c r="AA8" s="202" t="str">
        <f>'Character Sheet - P2'!$C$5</f>
        <v>Carter</v>
      </c>
      <c r="AB8" s="303" t="str">
        <f t="shared" ref="AB8:AB13" si="4">A2</f>
        <v>Fire</v>
      </c>
      <c r="AC8" s="445">
        <f t="shared" si="2"/>
        <v>0</v>
      </c>
      <c r="AD8" s="202" t="str">
        <f>'Character Sheet - P1'!$C$5</f>
        <v>Will</v>
      </c>
      <c r="AE8" s="448">
        <f t="shared" ref="AE8:AE10" si="5">IF(AF3=0,IF(AE11&gt;$Q$3,$Q$3,AE11),IF(AF3=1,IF(AE11&gt;$Q$4,$Q$4,AE11),IF(AF3=2,IF(AE11&gt;$Q$5,$Q$5,AE11),$Q$5)))</f>
        <v>0</v>
      </c>
      <c r="AF8" s="399">
        <f t="shared" ref="AF8:AF10" si="6">AF3</f>
        <v>0</v>
      </c>
      <c r="AG8" s="448">
        <f t="shared" ref="AG8:AG10" si="7">IF(AH3=0,IF(AG11&gt;$Q$3,$Q$3,AG11),IF(AH3=1,IF(AG11&gt;$Q$4,$Q$4,AG11),IF(AH3=2,IF(AG11&gt;$Q$5,$Q$5,AG11),$Q$5)))</f>
        <v>0</v>
      </c>
      <c r="AH8" s="399">
        <f t="shared" ref="AH8:AH10" si="8">AH3</f>
        <v>0</v>
      </c>
      <c r="AI8" s="448">
        <f t="shared" ref="AI8:AI10" si="9">IF(AJ3=0,IF(AI11&gt;$Q$3,$Q$3,AI11),IF(AJ3=1,IF(AI11&gt;$Q$4,$Q$4,AI11),IF(AJ3=2,IF(AI11&gt;$Q$5,$Q$5,AI11),$Q$5)))</f>
        <v>9.5</v>
      </c>
      <c r="AJ8" s="399">
        <f t="shared" ref="AJ8:AJ10" si="10">AJ3</f>
        <v>0</v>
      </c>
      <c r="AK8" s="448">
        <f t="shared" ref="AK8:AK10" si="11">IF(AL3=0,IF(AK11&gt;$Q$3,$Q$3,AK11),IF(AL3=1,IF(AK11&gt;$Q$4,$Q$4,AK11),IF(AL3=2,IF(AK11&gt;$Q$5,$Q$5,AK11),$Q$5)))</f>
        <v>1.25</v>
      </c>
      <c r="AL8" s="399">
        <f t="shared" ref="AL8:AL10" si="12">AL3</f>
        <v>0</v>
      </c>
      <c r="AM8" s="448">
        <f t="shared" ref="AM8:AM10" si="13">IF(AN3=0,IF(AM11&gt;$Q$3,$Q$3,AM11),IF(AN3=1,IF(AM11&gt;$Q$4,$Q$4,AM11),IF(AN3=2,IF(AM11&gt;$Q$5,$Q$5,AM11),$Q$5)))</f>
        <v>0</v>
      </c>
      <c r="AN8" s="399">
        <f t="shared" ref="AN8:AN10" si="14">AN3</f>
        <v>0</v>
      </c>
      <c r="AO8" s="448">
        <f t="shared" ref="AO8:AO10" si="15">IF(AP3=0,IF(AO11&gt;$Q$3,$Q$3,AO11),IF(AP3=1,IF(AO11&gt;$Q$4,$Q$4,AO11),IF(AP3=2,IF(AO11&gt;$Q$5,$Q$5,AO11),$Q$5)))</f>
        <v>0</v>
      </c>
      <c r="AP8" s="399">
        <f t="shared" ref="AP8:AP10" si="16">AP3</f>
        <v>0</v>
      </c>
    </row>
    <row r="9" spans="1:42" x14ac:dyDescent="0.2">
      <c r="A9" s="325" t="s">
        <v>36</v>
      </c>
      <c r="B9" s="325">
        <v>1</v>
      </c>
      <c r="C9" s="325" t="str">
        <f t="shared" ref="C9:C14" si="17">CONCATENATE(A9," - ",B9)</f>
        <v>Fire - 1</v>
      </c>
      <c r="D9" s="443">
        <v>0.05</v>
      </c>
      <c r="E9" s="443">
        <v>6.0000000000000005E-2</v>
      </c>
      <c r="F9" s="443">
        <v>7.0000000000000007E-2</v>
      </c>
      <c r="G9" s="443">
        <v>0.08</v>
      </c>
      <c r="H9" s="443">
        <v>0.09</v>
      </c>
      <c r="I9" s="443">
        <v>9.9999999999999992E-2</v>
      </c>
      <c r="J9" s="298"/>
      <c r="K9" s="85" t="s">
        <v>346</v>
      </c>
      <c r="L9" s="86" t="s">
        <v>98</v>
      </c>
      <c r="M9" s="87" t="s">
        <v>347</v>
      </c>
      <c r="N9" s="149"/>
      <c r="O9" s="149"/>
      <c r="P9" s="454" t="str">
        <f t="shared" si="3"/>
        <v>pathAscensionDatabase.Add(new PathAscensionData(1, 1, 35, 0.25f, 0));</v>
      </c>
      <c r="Q9" s="149"/>
      <c r="R9" s="278"/>
      <c r="S9" s="278"/>
      <c r="T9" s="149"/>
      <c r="U9" s="202">
        <f>Input!B74</f>
        <v>0</v>
      </c>
      <c r="V9" s="448">
        <f>Input!F74</f>
        <v>0</v>
      </c>
      <c r="W9" s="399">
        <f>Input!U74</f>
        <v>0</v>
      </c>
      <c r="X9" s="303">
        <f>Input!H74</f>
        <v>0</v>
      </c>
      <c r="Y9" s="448">
        <f>Input!I74</f>
        <v>0</v>
      </c>
      <c r="Z9" s="399">
        <f>Input!V74</f>
        <v>0</v>
      </c>
      <c r="AA9" s="202" t="str">
        <f>'Character Sheet - P2'!$C$5</f>
        <v>Carter</v>
      </c>
      <c r="AB9" s="303" t="str">
        <f t="shared" si="4"/>
        <v>Water</v>
      </c>
      <c r="AC9" s="445">
        <f t="shared" si="2"/>
        <v>0</v>
      </c>
      <c r="AD9" s="202" t="str">
        <f>'Character Sheet - P2'!$C$5</f>
        <v>Carter</v>
      </c>
      <c r="AE9" s="448">
        <f t="shared" si="5"/>
        <v>0.5</v>
      </c>
      <c r="AF9" s="399">
        <f t="shared" si="6"/>
        <v>0</v>
      </c>
      <c r="AG9" s="448">
        <f t="shared" si="7"/>
        <v>0</v>
      </c>
      <c r="AH9" s="399">
        <f t="shared" si="8"/>
        <v>0</v>
      </c>
      <c r="AI9" s="448">
        <f t="shared" si="9"/>
        <v>1</v>
      </c>
      <c r="AJ9" s="399">
        <f t="shared" si="10"/>
        <v>0</v>
      </c>
      <c r="AK9" s="448">
        <f t="shared" si="11"/>
        <v>5.5</v>
      </c>
      <c r="AL9" s="399">
        <f t="shared" si="12"/>
        <v>0</v>
      </c>
      <c r="AM9" s="448">
        <f t="shared" si="13"/>
        <v>3.5</v>
      </c>
      <c r="AN9" s="399">
        <f t="shared" si="14"/>
        <v>0</v>
      </c>
      <c r="AO9" s="448">
        <f t="shared" si="15"/>
        <v>0</v>
      </c>
      <c r="AP9" s="399">
        <f t="shared" si="16"/>
        <v>0</v>
      </c>
    </row>
    <row r="10" spans="1:42" x14ac:dyDescent="0.2">
      <c r="A10" s="325" t="s">
        <v>38</v>
      </c>
      <c r="B10" s="325">
        <v>1</v>
      </c>
      <c r="C10" s="325" t="str">
        <f t="shared" si="17"/>
        <v>Water - 1</v>
      </c>
      <c r="D10" s="443">
        <v>-0.08</v>
      </c>
      <c r="E10" s="443">
        <v>-0.09</v>
      </c>
      <c r="F10" s="443">
        <v>-9.9999999999999992E-2</v>
      </c>
      <c r="G10" s="443">
        <v>-0.10999999999999999</v>
      </c>
      <c r="H10" s="443">
        <v>-0.11999999999999998</v>
      </c>
      <c r="I10" s="443">
        <v>-0.12999999999999998</v>
      </c>
      <c r="J10" s="298"/>
      <c r="K10" s="85" t="s">
        <v>74</v>
      </c>
      <c r="L10" s="86" t="s">
        <v>348</v>
      </c>
      <c r="M10" s="455">
        <v>1</v>
      </c>
      <c r="N10" s="149"/>
      <c r="O10" s="149"/>
      <c r="P10" s="454" t="str">
        <f t="shared" si="3"/>
        <v>pathAscensionDatabase.Add(new PathAscensionData(2, 2, 95, 0.25f, 1));</v>
      </c>
      <c r="Q10" s="149"/>
      <c r="R10" s="278"/>
      <c r="S10" s="278"/>
      <c r="T10" s="149"/>
      <c r="U10" s="202">
        <f>Input!B75</f>
        <v>0</v>
      </c>
      <c r="V10" s="448">
        <f>Input!F75</f>
        <v>0</v>
      </c>
      <c r="W10" s="399">
        <f>Input!U75</f>
        <v>0</v>
      </c>
      <c r="X10" s="303">
        <f>Input!H75</f>
        <v>0</v>
      </c>
      <c r="Y10" s="448">
        <f>Input!I75</f>
        <v>0</v>
      </c>
      <c r="Z10" s="399">
        <f>Input!V75</f>
        <v>0</v>
      </c>
      <c r="AA10" s="202" t="str">
        <f>'Character Sheet - P2'!$C$5</f>
        <v>Carter</v>
      </c>
      <c r="AB10" s="303" t="str">
        <f t="shared" si="4"/>
        <v>Air</v>
      </c>
      <c r="AC10" s="445">
        <f t="shared" si="2"/>
        <v>0</v>
      </c>
      <c r="AD10" s="436" t="str">
        <f>'Character Sheet - P3'!$C$5</f>
        <v>Joe</v>
      </c>
      <c r="AE10" s="448">
        <f t="shared" si="5"/>
        <v>6</v>
      </c>
      <c r="AF10" s="437">
        <f t="shared" si="6"/>
        <v>0</v>
      </c>
      <c r="AG10" s="448">
        <f t="shared" si="7"/>
        <v>0</v>
      </c>
      <c r="AH10" s="437">
        <f t="shared" si="8"/>
        <v>0</v>
      </c>
      <c r="AI10" s="448">
        <f t="shared" si="9"/>
        <v>0</v>
      </c>
      <c r="AJ10" s="437">
        <f t="shared" si="10"/>
        <v>0</v>
      </c>
      <c r="AK10" s="448">
        <f t="shared" si="11"/>
        <v>0.75</v>
      </c>
      <c r="AL10" s="437">
        <f t="shared" si="12"/>
        <v>0</v>
      </c>
      <c r="AM10" s="448">
        <f t="shared" si="13"/>
        <v>5.5</v>
      </c>
      <c r="AN10" s="437">
        <f t="shared" si="14"/>
        <v>0</v>
      </c>
      <c r="AO10" s="448">
        <f t="shared" si="15"/>
        <v>0</v>
      </c>
      <c r="AP10" s="437">
        <f t="shared" si="16"/>
        <v>0</v>
      </c>
    </row>
    <row r="11" spans="1:42" x14ac:dyDescent="0.2">
      <c r="A11" s="325" t="s">
        <v>40</v>
      </c>
      <c r="B11" s="325">
        <v>1</v>
      </c>
      <c r="C11" s="325" t="str">
        <f t="shared" si="17"/>
        <v>Air - 1</v>
      </c>
      <c r="D11" s="443">
        <v>0.08</v>
      </c>
      <c r="E11" s="443">
        <v>0.09</v>
      </c>
      <c r="F11" s="443">
        <v>9.9999999999999992E-2</v>
      </c>
      <c r="G11" s="443">
        <v>0.10999999999999999</v>
      </c>
      <c r="H11" s="443">
        <v>0.11999999999999998</v>
      </c>
      <c r="I11" s="443">
        <v>0.12999999999999998</v>
      </c>
      <c r="J11" s="298"/>
      <c r="K11" s="124" t="s">
        <v>74</v>
      </c>
      <c r="L11" s="125" t="s">
        <v>349</v>
      </c>
      <c r="M11" s="456">
        <v>0.5</v>
      </c>
      <c r="N11" s="149"/>
      <c r="O11" s="149"/>
      <c r="P11" s="457" t="str">
        <f t="shared" si="3"/>
        <v>pathAscensionDatabase.Add(new PathAscensionData(3, 3, 180, 0.5f, 2));</v>
      </c>
      <c r="Q11" s="149"/>
      <c r="R11" s="278"/>
      <c r="S11" s="278"/>
      <c r="T11" s="149"/>
      <c r="U11" s="202">
        <f>Input!B76</f>
        <v>0</v>
      </c>
      <c r="V11" s="448">
        <f>Input!F76</f>
        <v>0</v>
      </c>
      <c r="W11" s="399">
        <f>Input!U76</f>
        <v>0</v>
      </c>
      <c r="X11" s="303">
        <f>Input!H76</f>
        <v>0</v>
      </c>
      <c r="Y11" s="448">
        <f>Input!I76</f>
        <v>0</v>
      </c>
      <c r="Z11" s="399">
        <f>Input!V76</f>
        <v>0</v>
      </c>
      <c r="AA11" s="202" t="str">
        <f>'Character Sheet - P2'!$C$5</f>
        <v>Carter</v>
      </c>
      <c r="AB11" s="303" t="str">
        <f t="shared" si="4"/>
        <v>Earth</v>
      </c>
      <c r="AC11" s="445">
        <f t="shared" si="2"/>
        <v>0</v>
      </c>
      <c r="AD11" s="149"/>
      <c r="AE11" s="418">
        <f>AC2+AE3</f>
        <v>0</v>
      </c>
      <c r="AF11" s="49"/>
      <c r="AG11" s="418">
        <f>AC3+AG3</f>
        <v>0</v>
      </c>
      <c r="AH11" s="49"/>
      <c r="AI11" s="418">
        <f>AC4+AI3</f>
        <v>9.5</v>
      </c>
      <c r="AJ11" s="49"/>
      <c r="AK11" s="418">
        <f>AC5+AK3</f>
        <v>1.25</v>
      </c>
      <c r="AL11" s="49"/>
      <c r="AM11" s="418">
        <f>AC6+AM3</f>
        <v>0</v>
      </c>
      <c r="AN11" s="49"/>
      <c r="AO11" s="418">
        <f>AC7+AO3</f>
        <v>0</v>
      </c>
      <c r="AP11" s="49"/>
    </row>
    <row r="12" spans="1:42" x14ac:dyDescent="0.2">
      <c r="A12" s="325" t="s">
        <v>42</v>
      </c>
      <c r="B12" s="325">
        <v>1</v>
      </c>
      <c r="C12" s="325" t="str">
        <f t="shared" si="17"/>
        <v>Earth - 1</v>
      </c>
      <c r="D12" s="443">
        <v>-0.11</v>
      </c>
      <c r="E12" s="443">
        <v>-0.12</v>
      </c>
      <c r="F12" s="443">
        <v>-0.13</v>
      </c>
      <c r="G12" s="443">
        <v>-0.13999999999999999</v>
      </c>
      <c r="H12" s="443">
        <v>-0.14999999999999997</v>
      </c>
      <c r="I12" s="443">
        <v>-0.15999999999999998</v>
      </c>
      <c r="J12" s="298"/>
      <c r="K12" s="124" t="s">
        <v>73</v>
      </c>
      <c r="L12" s="125" t="s">
        <v>348</v>
      </c>
      <c r="M12" s="456">
        <v>0.5</v>
      </c>
      <c r="N12" s="149"/>
      <c r="O12" s="149"/>
      <c r="P12" s="278"/>
      <c r="Q12" s="278"/>
      <c r="R12" s="278"/>
      <c r="S12" s="278"/>
      <c r="T12" s="149"/>
      <c r="U12" s="202">
        <f>Input!B77</f>
        <v>0</v>
      </c>
      <c r="V12" s="448">
        <f>Input!F77</f>
        <v>0</v>
      </c>
      <c r="W12" s="399">
        <f>Input!U77</f>
        <v>0</v>
      </c>
      <c r="X12" s="303">
        <f>Input!H77</f>
        <v>0</v>
      </c>
      <c r="Y12" s="448">
        <f>Input!I77</f>
        <v>0</v>
      </c>
      <c r="Z12" s="399">
        <f>Input!V77</f>
        <v>0</v>
      </c>
      <c r="AA12" s="202" t="str">
        <f>'Character Sheet - P2'!$C$5</f>
        <v>Carter</v>
      </c>
      <c r="AB12" s="303" t="str">
        <f t="shared" si="4"/>
        <v>Shadow</v>
      </c>
      <c r="AC12" s="445">
        <f t="shared" si="2"/>
        <v>0</v>
      </c>
      <c r="AD12" s="149"/>
      <c r="AE12" s="418">
        <f>AC8+AE4</f>
        <v>0.5</v>
      </c>
      <c r="AF12" s="49"/>
      <c r="AG12" s="418">
        <f>AC9+AG4</f>
        <v>0</v>
      </c>
      <c r="AH12" s="49"/>
      <c r="AI12" s="418">
        <f>AC10+AI4</f>
        <v>1</v>
      </c>
      <c r="AJ12" s="49"/>
      <c r="AK12" s="418">
        <f>AC11+AK4</f>
        <v>5.5</v>
      </c>
      <c r="AL12" s="49"/>
      <c r="AM12" s="418">
        <f>AC12+AM4</f>
        <v>3.5</v>
      </c>
      <c r="AN12" s="49"/>
      <c r="AO12" s="418">
        <f>AC13+AO4</f>
        <v>0</v>
      </c>
      <c r="AP12" s="49"/>
    </row>
    <row r="13" spans="1:42" x14ac:dyDescent="0.2">
      <c r="A13" s="325" t="s">
        <v>44</v>
      </c>
      <c r="B13" s="325">
        <v>1</v>
      </c>
      <c r="C13" s="325" t="str">
        <f t="shared" si="17"/>
        <v>Shadow - 1</v>
      </c>
      <c r="D13" s="443">
        <v>-0.05</v>
      </c>
      <c r="E13" s="443">
        <v>-6.0000000000000005E-2</v>
      </c>
      <c r="F13" s="443">
        <v>-7.0000000000000007E-2</v>
      </c>
      <c r="G13" s="443">
        <v>-0.08</v>
      </c>
      <c r="H13" s="443">
        <v>-0.09</v>
      </c>
      <c r="I13" s="443">
        <v>-9.9999999999999992E-2</v>
      </c>
      <c r="J13" s="298"/>
      <c r="K13" s="100" t="s">
        <v>73</v>
      </c>
      <c r="L13" s="101" t="s">
        <v>349</v>
      </c>
      <c r="M13" s="458">
        <v>0.25</v>
      </c>
      <c r="N13" s="149"/>
      <c r="O13" s="149"/>
      <c r="P13" s="278"/>
      <c r="Q13" s="278"/>
      <c r="R13" s="278"/>
      <c r="S13" s="278"/>
      <c r="T13" s="149"/>
      <c r="U13" s="202">
        <f>Input!B78</f>
        <v>0</v>
      </c>
      <c r="V13" s="448">
        <f>Input!F78</f>
        <v>0</v>
      </c>
      <c r="W13" s="399">
        <f>Input!U78</f>
        <v>0</v>
      </c>
      <c r="X13" s="303">
        <f>Input!H78</f>
        <v>0</v>
      </c>
      <c r="Y13" s="448">
        <f>Input!I78</f>
        <v>0</v>
      </c>
      <c r="Z13" s="399">
        <f>Input!V78</f>
        <v>0</v>
      </c>
      <c r="AA13" s="202" t="str">
        <f>'Character Sheet - P2'!$C$5</f>
        <v>Carter</v>
      </c>
      <c r="AB13" s="303" t="str">
        <f t="shared" si="4"/>
        <v>Light</v>
      </c>
      <c r="AC13" s="445">
        <f t="shared" si="2"/>
        <v>0</v>
      </c>
      <c r="AD13" s="149"/>
      <c r="AE13" s="429">
        <f>AC14+AE5</f>
        <v>6</v>
      </c>
      <c r="AF13" s="49"/>
      <c r="AG13" s="429">
        <f>AC15+AG5</f>
        <v>0</v>
      </c>
      <c r="AH13" s="49"/>
      <c r="AI13" s="429">
        <f>AC16+AI5</f>
        <v>0</v>
      </c>
      <c r="AJ13" s="49"/>
      <c r="AK13" s="429">
        <f>AC17+AK5</f>
        <v>0.75</v>
      </c>
      <c r="AL13" s="49"/>
      <c r="AM13" s="429">
        <f>AC18+AM5</f>
        <v>5.5</v>
      </c>
      <c r="AN13" s="49"/>
      <c r="AO13" s="429">
        <f>AC19+AO5</f>
        <v>0</v>
      </c>
      <c r="AP13" s="49"/>
    </row>
    <row r="14" spans="1:42" x14ac:dyDescent="0.2">
      <c r="A14" s="325" t="s">
        <v>46</v>
      </c>
      <c r="B14" s="325">
        <v>1</v>
      </c>
      <c r="C14" s="325" t="str">
        <f t="shared" si="17"/>
        <v>Light - 1</v>
      </c>
      <c r="D14" s="443">
        <v>0.11</v>
      </c>
      <c r="E14" s="443">
        <v>0.12</v>
      </c>
      <c r="F14" s="443">
        <v>0.13</v>
      </c>
      <c r="G14" s="443">
        <v>0.13999999999999999</v>
      </c>
      <c r="H14" s="443">
        <v>0.14999999999999997</v>
      </c>
      <c r="I14" s="443">
        <v>0.15999999999999998</v>
      </c>
      <c r="J14" s="298"/>
      <c r="K14" s="164" t="s">
        <v>350</v>
      </c>
      <c r="L14" s="201" t="s">
        <v>187</v>
      </c>
      <c r="M14" s="194" t="s">
        <v>350</v>
      </c>
      <c r="N14" s="459" t="s">
        <v>187</v>
      </c>
      <c r="O14" s="149"/>
      <c r="P14" s="278"/>
      <c r="Q14" s="278"/>
      <c r="R14" s="278"/>
      <c r="S14" s="278"/>
      <c r="T14" s="149"/>
      <c r="U14" s="202">
        <f>Input!B79</f>
        <v>0</v>
      </c>
      <c r="V14" s="448">
        <f>Input!F79</f>
        <v>0</v>
      </c>
      <c r="W14" s="399">
        <f>Input!U79</f>
        <v>0</v>
      </c>
      <c r="X14" s="303">
        <f>Input!H79</f>
        <v>0</v>
      </c>
      <c r="Y14" s="448">
        <f>Input!I79</f>
        <v>0</v>
      </c>
      <c r="Z14" s="399">
        <f>Input!V79</f>
        <v>0</v>
      </c>
      <c r="AA14" s="202" t="str">
        <f>'Character Sheet - P3'!$C$5</f>
        <v>Joe</v>
      </c>
      <c r="AB14" s="303" t="str">
        <f t="shared" ref="AB14:AB19" si="18">A2</f>
        <v>Fire</v>
      </c>
      <c r="AC14" s="445">
        <f t="shared" si="2"/>
        <v>0</v>
      </c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</row>
    <row r="15" spans="1:42" x14ac:dyDescent="0.2">
      <c r="A15" s="298"/>
      <c r="B15" s="298"/>
      <c r="C15" s="298"/>
      <c r="D15" s="453"/>
      <c r="E15" s="453"/>
      <c r="F15" s="453"/>
      <c r="G15" s="453"/>
      <c r="H15" s="453"/>
      <c r="I15" s="453"/>
      <c r="J15" s="298"/>
      <c r="K15" s="164">
        <v>0</v>
      </c>
      <c r="L15" s="201" t="str">
        <f t="shared" ref="L15:L18" si="19">CONCATENATE("energyGainsDatabase.Add(new EnergyGainsData(",K15,", CombatEventType.",K10,", DecisionResult.",L10,", ",M10,"f));")</f>
        <v>energyGainsDatabase.Add(new EnergyGainsData(0, CombatEventType.Action, DecisionResult.Success, 1f));</v>
      </c>
      <c r="M15" s="196">
        <v>0</v>
      </c>
      <c r="N15" s="201" t="str">
        <f t="shared" ref="N15:N20" si="20">CONCATENATE("pathDatabase.Add(new PathData(",M15,", Path.",K2,", CombatEventType.",L2,", PathEnergyFocus.",SUBSTITUTE(M2," ","_"),", """,N2,"""));")</f>
        <v>pathDatabase.Add(new PathData(0, Path.Fire, CombatEventType.Reaction, PathEnergyFocus.Parry_Success_Rate, "Focuses inward, improving the chance to successfully parry an attack."));</v>
      </c>
      <c r="O15" s="149"/>
      <c r="P15" s="278"/>
      <c r="Q15" s="278"/>
      <c r="R15" s="278"/>
      <c r="S15" s="278"/>
      <c r="T15" s="149"/>
      <c r="U15" s="202">
        <f>Input!B80</f>
        <v>0</v>
      </c>
      <c r="V15" s="448">
        <f>Input!F80</f>
        <v>0</v>
      </c>
      <c r="W15" s="399">
        <f>Input!U80</f>
        <v>0</v>
      </c>
      <c r="X15" s="303">
        <f>Input!H80</f>
        <v>0</v>
      </c>
      <c r="Y15" s="448">
        <f>Input!I80</f>
        <v>0</v>
      </c>
      <c r="Z15" s="399">
        <f>Input!V80</f>
        <v>0</v>
      </c>
      <c r="AA15" s="202" t="str">
        <f>'Character Sheet - P3'!$C$5</f>
        <v>Joe</v>
      </c>
      <c r="AB15" s="303" t="str">
        <f t="shared" si="18"/>
        <v>Water</v>
      </c>
      <c r="AC15" s="445">
        <f t="shared" si="2"/>
        <v>0</v>
      </c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</row>
    <row r="16" spans="1:42" x14ac:dyDescent="0.2">
      <c r="A16" s="325" t="s">
        <v>36</v>
      </c>
      <c r="B16" s="325">
        <v>2</v>
      </c>
      <c r="C16" s="325" t="str">
        <f t="shared" ref="C16:C21" si="21">CONCATENATE(A16," - ",B16)</f>
        <v>Fire - 2</v>
      </c>
      <c r="D16" s="443">
        <v>6.0000000000000005E-2</v>
      </c>
      <c r="E16" s="443">
        <v>7.0000000000000007E-2</v>
      </c>
      <c r="F16" s="443">
        <v>0.08</v>
      </c>
      <c r="G16" s="443">
        <v>0.09</v>
      </c>
      <c r="H16" s="443">
        <v>9.9999999999999992E-2</v>
      </c>
      <c r="I16" s="443">
        <v>0.10999999999999999</v>
      </c>
      <c r="J16" s="298"/>
      <c r="K16" s="250">
        <v>1</v>
      </c>
      <c r="L16" s="209" t="str">
        <f t="shared" si="19"/>
        <v>energyGainsDatabase.Add(new EnergyGainsData(1, CombatEventType.Action, DecisionResult.Failure, 0.5f));</v>
      </c>
      <c r="M16" s="251">
        <v>1</v>
      </c>
      <c r="N16" s="209" t="str">
        <f t="shared" si="20"/>
        <v>pathDatabase.Add(new PathData(1, Path.Water, CombatEventType.Action, PathEnergyFocus.Dodge_Success_Rate, "Focuses outward, reducing the chance to successfully dodge an attack."));</v>
      </c>
      <c r="O16" s="149"/>
      <c r="P16" s="278"/>
      <c r="Q16" s="278"/>
      <c r="R16" s="278"/>
      <c r="S16" s="278"/>
      <c r="T16" s="149"/>
      <c r="U16" s="202">
        <f>Input!B81</f>
        <v>0</v>
      </c>
      <c r="V16" s="448">
        <f>Input!F81</f>
        <v>0</v>
      </c>
      <c r="W16" s="399">
        <f>Input!U81</f>
        <v>0</v>
      </c>
      <c r="X16" s="303">
        <f>Input!H81</f>
        <v>0</v>
      </c>
      <c r="Y16" s="448">
        <f>Input!I81</f>
        <v>0</v>
      </c>
      <c r="Z16" s="399">
        <f>Input!V81</f>
        <v>0</v>
      </c>
      <c r="AA16" s="202" t="str">
        <f>'Character Sheet - P3'!$C$5</f>
        <v>Joe</v>
      </c>
      <c r="AB16" s="303" t="str">
        <f t="shared" si="18"/>
        <v>Air</v>
      </c>
      <c r="AC16" s="445">
        <f t="shared" si="2"/>
        <v>0</v>
      </c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</row>
    <row r="17" spans="1:42" x14ac:dyDescent="0.2">
      <c r="A17" s="325" t="s">
        <v>38</v>
      </c>
      <c r="B17" s="325">
        <v>2</v>
      </c>
      <c r="C17" s="325" t="str">
        <f t="shared" si="21"/>
        <v>Water - 2</v>
      </c>
      <c r="D17" s="443">
        <v>-0.1</v>
      </c>
      <c r="E17" s="443">
        <v>-0.11</v>
      </c>
      <c r="F17" s="443">
        <v>-0.12</v>
      </c>
      <c r="G17" s="443">
        <v>-0.12999999999999998</v>
      </c>
      <c r="H17" s="443">
        <v>-0.13999999999999999</v>
      </c>
      <c r="I17" s="443">
        <v>-0.14999999999999997</v>
      </c>
      <c r="J17" s="298"/>
      <c r="K17" s="250">
        <v>2</v>
      </c>
      <c r="L17" s="209" t="str">
        <f t="shared" si="19"/>
        <v>energyGainsDatabase.Add(new EnergyGainsData(2, CombatEventType.Reaction, DecisionResult.Success, 0.5f));</v>
      </c>
      <c r="M17" s="251">
        <v>2</v>
      </c>
      <c r="N17" s="209" t="str">
        <f t="shared" si="20"/>
        <v>pathDatabase.Add(new PathData(2, Path.Air, CombatEventType.Reaction, PathEnergyFocus.Dodge_Success_Rate, "Focuses inward, improving the chance to successfully dodge an attack."));</v>
      </c>
      <c r="O17" s="149"/>
      <c r="P17" s="278"/>
      <c r="Q17" s="278"/>
      <c r="R17" s="278"/>
      <c r="S17" s="278"/>
      <c r="T17" s="149"/>
      <c r="U17" s="202">
        <f>Input!B82</f>
        <v>0</v>
      </c>
      <c r="V17" s="448">
        <f>Input!F82</f>
        <v>0</v>
      </c>
      <c r="W17" s="399">
        <f>Input!U82</f>
        <v>0</v>
      </c>
      <c r="X17" s="303">
        <f>Input!H82</f>
        <v>0</v>
      </c>
      <c r="Y17" s="448">
        <f>Input!I82</f>
        <v>0</v>
      </c>
      <c r="Z17" s="399">
        <f>Input!V82</f>
        <v>0</v>
      </c>
      <c r="AA17" s="202" t="str">
        <f>'Character Sheet - P3'!$C$5</f>
        <v>Joe</v>
      </c>
      <c r="AB17" s="303" t="str">
        <f t="shared" si="18"/>
        <v>Earth</v>
      </c>
      <c r="AC17" s="445">
        <f t="shared" si="2"/>
        <v>0</v>
      </c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</row>
    <row r="18" spans="1:42" x14ac:dyDescent="0.2">
      <c r="A18" s="325" t="s">
        <v>40</v>
      </c>
      <c r="B18" s="325">
        <v>2</v>
      </c>
      <c r="C18" s="325" t="str">
        <f t="shared" si="21"/>
        <v>Air - 2</v>
      </c>
      <c r="D18" s="443">
        <v>0.1</v>
      </c>
      <c r="E18" s="443">
        <v>0.11</v>
      </c>
      <c r="F18" s="443">
        <v>0.12</v>
      </c>
      <c r="G18" s="443">
        <v>0.12999999999999998</v>
      </c>
      <c r="H18" s="443">
        <v>0.13999999999999999</v>
      </c>
      <c r="I18" s="443">
        <v>0.14999999999999997</v>
      </c>
      <c r="J18" s="298"/>
      <c r="K18" s="274">
        <v>3</v>
      </c>
      <c r="L18" s="218" t="str">
        <f t="shared" si="19"/>
        <v>energyGainsDatabase.Add(new EnergyGainsData(3, CombatEventType.Reaction, DecisionResult.Failure, 0.25f));</v>
      </c>
      <c r="M18" s="251">
        <v>3</v>
      </c>
      <c r="N18" s="209" t="str">
        <f t="shared" si="20"/>
        <v>pathDatabase.Add(new PathData(3, Path.Earth, CombatEventType.Action, PathEnergyFocus.Block_Success_Rate, "Focuses outward, reducing the chance to successfully block an attack."));</v>
      </c>
      <c r="O18" s="149"/>
      <c r="P18" s="278"/>
      <c r="Q18" s="278"/>
      <c r="R18" s="278"/>
      <c r="S18" s="278"/>
      <c r="T18" s="149"/>
      <c r="U18" s="202">
        <f>Input!B83</f>
        <v>0</v>
      </c>
      <c r="V18" s="448">
        <f>Input!F83</f>
        <v>0</v>
      </c>
      <c r="W18" s="399">
        <f>Input!U83</f>
        <v>0</v>
      </c>
      <c r="X18" s="303">
        <f>Input!H83</f>
        <v>0</v>
      </c>
      <c r="Y18" s="448">
        <f>Input!I83</f>
        <v>0</v>
      </c>
      <c r="Z18" s="399">
        <f>Input!V83</f>
        <v>0</v>
      </c>
      <c r="AA18" s="202" t="str">
        <f>'Character Sheet - P3'!$C$5</f>
        <v>Joe</v>
      </c>
      <c r="AB18" s="303" t="str">
        <f t="shared" si="18"/>
        <v>Shadow</v>
      </c>
      <c r="AC18" s="445">
        <f t="shared" si="2"/>
        <v>0</v>
      </c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</row>
    <row r="19" spans="1:42" x14ac:dyDescent="0.2">
      <c r="A19" s="325" t="s">
        <v>42</v>
      </c>
      <c r="B19" s="325">
        <v>2</v>
      </c>
      <c r="C19" s="325" t="str">
        <f t="shared" si="21"/>
        <v>Earth - 2</v>
      </c>
      <c r="D19" s="443">
        <v>-0.14000000000000001</v>
      </c>
      <c r="E19" s="443">
        <v>-0.15</v>
      </c>
      <c r="F19" s="443">
        <v>-0.16</v>
      </c>
      <c r="G19" s="443">
        <v>-0.16999999999999998</v>
      </c>
      <c r="H19" s="443">
        <v>-0.17999999999999997</v>
      </c>
      <c r="I19" s="443">
        <v>-0.18999999999999997</v>
      </c>
      <c r="J19" s="298"/>
      <c r="K19" s="149"/>
      <c r="L19" s="149"/>
      <c r="M19" s="250">
        <v>4</v>
      </c>
      <c r="N19" s="209" t="str">
        <f t="shared" si="20"/>
        <v>pathDatabase.Add(new PathData(4, Path.Shadow, CombatEventType.Action, PathEnergyFocus.Parry_Success_Rate, "Focuses outward, reducing the chance to successfully parry an attack."));</v>
      </c>
      <c r="O19" s="149"/>
      <c r="P19" s="278"/>
      <c r="Q19" s="278"/>
      <c r="R19" s="278"/>
      <c r="S19" s="278"/>
      <c r="T19" s="149"/>
      <c r="U19" s="202">
        <f>Input!B84</f>
        <v>0</v>
      </c>
      <c r="V19" s="448">
        <f>Input!F84</f>
        <v>0</v>
      </c>
      <c r="W19" s="399">
        <f>Input!U84</f>
        <v>0</v>
      </c>
      <c r="X19" s="303">
        <f>Input!H84</f>
        <v>0</v>
      </c>
      <c r="Y19" s="448">
        <f>Input!I84</f>
        <v>0</v>
      </c>
      <c r="Z19" s="399">
        <f>Input!V84</f>
        <v>0</v>
      </c>
      <c r="AA19" s="436" t="str">
        <f>'Character Sheet - P3'!$C$5</f>
        <v>Joe</v>
      </c>
      <c r="AB19" s="242" t="str">
        <f t="shared" si="18"/>
        <v>Light</v>
      </c>
      <c r="AC19" s="460">
        <f t="shared" si="2"/>
        <v>0</v>
      </c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</row>
    <row r="20" spans="1:42" x14ac:dyDescent="0.2">
      <c r="A20" s="325" t="s">
        <v>44</v>
      </c>
      <c r="B20" s="325">
        <v>2</v>
      </c>
      <c r="C20" s="325" t="str">
        <f t="shared" si="21"/>
        <v>Shadow - 2</v>
      </c>
      <c r="D20" s="443">
        <v>-6.0000000000000005E-2</v>
      </c>
      <c r="E20" s="443">
        <v>-7.0000000000000007E-2</v>
      </c>
      <c r="F20" s="443">
        <v>-0.08</v>
      </c>
      <c r="G20" s="443">
        <v>-0.09</v>
      </c>
      <c r="H20" s="443">
        <v>-9.9999999999999992E-2</v>
      </c>
      <c r="I20" s="443">
        <v>-0.10999999999999999</v>
      </c>
      <c r="J20" s="298"/>
      <c r="K20" s="149"/>
      <c r="L20" s="149"/>
      <c r="M20" s="274">
        <v>5</v>
      </c>
      <c r="N20" s="218" t="str">
        <f t="shared" si="20"/>
        <v>pathDatabase.Add(new PathData(5, Path.Light, CombatEventType.Reaction, PathEnergyFocus.Block_Success_Rate, "Focuses inward, improving the chance to successfully block an attack."));</v>
      </c>
      <c r="O20" s="149"/>
      <c r="P20" s="278"/>
      <c r="Q20" s="278"/>
      <c r="R20" s="278"/>
      <c r="S20" s="278"/>
      <c r="T20" s="149"/>
      <c r="U20" s="202">
        <f>Input!B85</f>
        <v>0</v>
      </c>
      <c r="V20" s="448">
        <f>Input!F85</f>
        <v>0</v>
      </c>
      <c r="W20" s="399">
        <f>Input!U85</f>
        <v>0</v>
      </c>
      <c r="X20" s="303">
        <f>Input!H85</f>
        <v>0</v>
      </c>
      <c r="Y20" s="448">
        <f>Input!I85</f>
        <v>0</v>
      </c>
      <c r="Z20" s="399">
        <f>Input!V85</f>
        <v>0</v>
      </c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</row>
    <row r="21" spans="1:42" x14ac:dyDescent="0.2">
      <c r="A21" s="325" t="s">
        <v>46</v>
      </c>
      <c r="B21" s="325">
        <v>2</v>
      </c>
      <c r="C21" s="325" t="str">
        <f t="shared" si="21"/>
        <v>Light - 2</v>
      </c>
      <c r="D21" s="443">
        <v>0.14000000000000001</v>
      </c>
      <c r="E21" s="443">
        <v>0.15</v>
      </c>
      <c r="F21" s="443">
        <v>0.16</v>
      </c>
      <c r="G21" s="443">
        <v>0.16999999999999998</v>
      </c>
      <c r="H21" s="443">
        <v>0.17999999999999997</v>
      </c>
      <c r="I21" s="443">
        <v>0.18999999999999997</v>
      </c>
      <c r="J21" s="298"/>
      <c r="K21" s="149"/>
      <c r="L21" s="149"/>
      <c r="M21" s="278"/>
      <c r="N21" s="149"/>
      <c r="O21" s="149"/>
      <c r="P21" s="278"/>
      <c r="Q21" s="278"/>
      <c r="R21" s="278"/>
      <c r="S21" s="278"/>
      <c r="T21" s="149"/>
      <c r="U21" s="202">
        <f>Input!B86</f>
        <v>0</v>
      </c>
      <c r="V21" s="448">
        <f>Input!F86</f>
        <v>0</v>
      </c>
      <c r="W21" s="399">
        <f>Input!U86</f>
        <v>0</v>
      </c>
      <c r="X21" s="303">
        <f>Input!H86</f>
        <v>0</v>
      </c>
      <c r="Y21" s="448">
        <f>Input!I86</f>
        <v>0</v>
      </c>
      <c r="Z21" s="399">
        <f>Input!V86</f>
        <v>0</v>
      </c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</row>
    <row r="22" spans="1:42" x14ac:dyDescent="0.2">
      <c r="A22" s="298"/>
      <c r="B22" s="298"/>
      <c r="C22" s="298"/>
      <c r="D22" s="453"/>
      <c r="E22" s="453"/>
      <c r="F22" s="453"/>
      <c r="G22" s="453"/>
      <c r="H22" s="453"/>
      <c r="I22" s="453"/>
      <c r="J22" s="298"/>
      <c r="K22" s="149"/>
      <c r="L22" s="149"/>
      <c r="M22" s="278"/>
      <c r="N22" s="149"/>
      <c r="O22" s="149"/>
      <c r="P22" s="278"/>
      <c r="Q22" s="278"/>
      <c r="R22" s="278"/>
      <c r="S22" s="278"/>
      <c r="T22" s="149"/>
      <c r="U22" s="202">
        <f>Input!B87</f>
        <v>0</v>
      </c>
      <c r="V22" s="448">
        <f>Input!F87</f>
        <v>0</v>
      </c>
      <c r="W22" s="399">
        <f>Input!U87</f>
        <v>0</v>
      </c>
      <c r="X22" s="303">
        <f>Input!H87</f>
        <v>0</v>
      </c>
      <c r="Y22" s="448">
        <f>Input!I87</f>
        <v>0</v>
      </c>
      <c r="Z22" s="399">
        <f>Input!V87</f>
        <v>0</v>
      </c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</row>
    <row r="23" spans="1:42" x14ac:dyDescent="0.2">
      <c r="A23" s="325" t="s">
        <v>36</v>
      </c>
      <c r="B23" s="325">
        <v>3</v>
      </c>
      <c r="C23" s="325" t="str">
        <f t="shared" ref="C23:C28" si="22">CONCATENATE(A23," - ",B23)</f>
        <v>Fire - 3</v>
      </c>
      <c r="D23" s="443">
        <v>7.0000000000000007E-2</v>
      </c>
      <c r="E23" s="443">
        <v>0.08</v>
      </c>
      <c r="F23" s="443">
        <v>0.09</v>
      </c>
      <c r="G23" s="443">
        <v>9.9999999999999992E-2</v>
      </c>
      <c r="H23" s="443">
        <v>0.10999999999999999</v>
      </c>
      <c r="I23" s="443">
        <v>0.11999999999999998</v>
      </c>
      <c r="J23" s="298"/>
      <c r="K23" s="149"/>
      <c r="L23" s="149"/>
      <c r="M23" s="278"/>
      <c r="N23" s="149"/>
      <c r="O23" s="149"/>
      <c r="P23" s="278"/>
      <c r="Q23" s="278"/>
      <c r="R23" s="278"/>
      <c r="S23" s="278"/>
      <c r="T23" s="149"/>
      <c r="U23" s="202">
        <f>Input!B88</f>
        <v>0</v>
      </c>
      <c r="V23" s="448">
        <f>Input!F88</f>
        <v>0</v>
      </c>
      <c r="W23" s="399">
        <f>Input!U88</f>
        <v>0</v>
      </c>
      <c r="X23" s="303">
        <f>Input!H88</f>
        <v>0</v>
      </c>
      <c r="Y23" s="448">
        <f>Input!I88</f>
        <v>0</v>
      </c>
      <c r="Z23" s="399">
        <f>Input!V88</f>
        <v>0</v>
      </c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</row>
    <row r="24" spans="1:42" x14ac:dyDescent="0.2">
      <c r="A24" s="325" t="s">
        <v>38</v>
      </c>
      <c r="B24" s="325">
        <v>3</v>
      </c>
      <c r="C24" s="325" t="str">
        <f t="shared" si="22"/>
        <v>Water - 3</v>
      </c>
      <c r="D24" s="443">
        <v>-0.13</v>
      </c>
      <c r="E24" s="443">
        <v>-0.14000000000000001</v>
      </c>
      <c r="F24" s="443">
        <v>-0.15</v>
      </c>
      <c r="G24" s="443">
        <v>-0.15999999999999998</v>
      </c>
      <c r="H24" s="443">
        <v>-0.16999999999999998</v>
      </c>
      <c r="I24" s="443">
        <v>-0.17999999999999997</v>
      </c>
      <c r="J24" s="298"/>
      <c r="K24" s="149"/>
      <c r="L24" s="149"/>
      <c r="M24" s="278"/>
      <c r="N24" s="149"/>
      <c r="O24" s="149"/>
      <c r="P24" s="278"/>
      <c r="Q24" s="278"/>
      <c r="R24" s="278"/>
      <c r="S24" s="278"/>
      <c r="T24" s="149"/>
      <c r="U24" s="202">
        <f>Input!B89</f>
        <v>0</v>
      </c>
      <c r="V24" s="448">
        <f>Input!F89</f>
        <v>0</v>
      </c>
      <c r="W24" s="399">
        <f>Input!U89</f>
        <v>0</v>
      </c>
      <c r="X24" s="303">
        <f>Input!H89</f>
        <v>0</v>
      </c>
      <c r="Y24" s="448">
        <f>Input!I89</f>
        <v>0</v>
      </c>
      <c r="Z24" s="399">
        <f>Input!V89</f>
        <v>0</v>
      </c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</row>
    <row r="25" spans="1:42" x14ac:dyDescent="0.2">
      <c r="A25" s="325" t="s">
        <v>40</v>
      </c>
      <c r="B25" s="325">
        <v>3</v>
      </c>
      <c r="C25" s="325" t="str">
        <f t="shared" si="22"/>
        <v>Air - 3</v>
      </c>
      <c r="D25" s="443">
        <v>0.13</v>
      </c>
      <c r="E25" s="443">
        <v>0.14000000000000001</v>
      </c>
      <c r="F25" s="443">
        <v>0.15</v>
      </c>
      <c r="G25" s="443">
        <v>0.15999999999999998</v>
      </c>
      <c r="H25" s="443">
        <v>0.16999999999999998</v>
      </c>
      <c r="I25" s="443">
        <v>0.17999999999999997</v>
      </c>
      <c r="J25" s="298"/>
      <c r="K25" s="149"/>
      <c r="L25" s="149"/>
      <c r="M25" s="278"/>
      <c r="N25" s="149"/>
      <c r="O25" s="149"/>
      <c r="P25" s="278"/>
      <c r="Q25" s="278"/>
      <c r="R25" s="278"/>
      <c r="S25" s="278"/>
      <c r="T25" s="149"/>
      <c r="U25" s="202">
        <f>Input!B90</f>
        <v>0</v>
      </c>
      <c r="V25" s="448">
        <f>Input!F90</f>
        <v>0</v>
      </c>
      <c r="W25" s="399">
        <f>Input!U90</f>
        <v>0</v>
      </c>
      <c r="X25" s="303">
        <f>Input!H90</f>
        <v>0</v>
      </c>
      <c r="Y25" s="448">
        <f>Input!I90</f>
        <v>0</v>
      </c>
      <c r="Z25" s="399">
        <f>Input!V90</f>
        <v>0</v>
      </c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</row>
    <row r="26" spans="1:42" x14ac:dyDescent="0.2">
      <c r="A26" s="325" t="s">
        <v>42</v>
      </c>
      <c r="B26" s="325">
        <v>3</v>
      </c>
      <c r="C26" s="325" t="str">
        <f t="shared" si="22"/>
        <v>Earth - 3</v>
      </c>
      <c r="D26" s="443">
        <v>-0.17</v>
      </c>
      <c r="E26" s="443">
        <v>-0.18</v>
      </c>
      <c r="F26" s="443">
        <v>-0.19</v>
      </c>
      <c r="G26" s="443">
        <v>-0.19999999999999998</v>
      </c>
      <c r="H26" s="443">
        <v>-0.20999999999999996</v>
      </c>
      <c r="I26" s="443">
        <v>-0.21999999999999997</v>
      </c>
      <c r="J26" s="298"/>
      <c r="K26" s="149"/>
      <c r="L26" s="149"/>
      <c r="M26" s="278"/>
      <c r="N26" s="149"/>
      <c r="O26" s="149"/>
      <c r="P26" s="278"/>
      <c r="Q26" s="278"/>
      <c r="R26" s="278"/>
      <c r="S26" s="278"/>
      <c r="T26" s="149"/>
      <c r="U26" s="202">
        <f>Input!B91</f>
        <v>0</v>
      </c>
      <c r="V26" s="448">
        <f>Input!F91</f>
        <v>0</v>
      </c>
      <c r="W26" s="399">
        <f>Input!U91</f>
        <v>0</v>
      </c>
      <c r="X26" s="303">
        <f>Input!H91</f>
        <v>0</v>
      </c>
      <c r="Y26" s="448">
        <f>Input!I91</f>
        <v>0</v>
      </c>
      <c r="Z26" s="399">
        <f>Input!V91</f>
        <v>0</v>
      </c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</row>
    <row r="27" spans="1:42" x14ac:dyDescent="0.2">
      <c r="A27" s="325" t="s">
        <v>44</v>
      </c>
      <c r="B27" s="325">
        <v>3</v>
      </c>
      <c r="C27" s="325" t="str">
        <f t="shared" si="22"/>
        <v>Shadow - 3</v>
      </c>
      <c r="D27" s="443">
        <v>-7.0000000000000007E-2</v>
      </c>
      <c r="E27" s="443">
        <v>-0.08</v>
      </c>
      <c r="F27" s="443">
        <v>-0.09</v>
      </c>
      <c r="G27" s="443">
        <v>-9.9999999999999992E-2</v>
      </c>
      <c r="H27" s="443">
        <v>-0.10999999999999999</v>
      </c>
      <c r="I27" s="443">
        <v>-0.11999999999999998</v>
      </c>
      <c r="J27" s="298"/>
      <c r="K27" s="149"/>
      <c r="L27" s="149"/>
      <c r="M27" s="278"/>
      <c r="N27" s="149"/>
      <c r="O27" s="149"/>
      <c r="P27" s="278"/>
      <c r="Q27" s="278"/>
      <c r="R27" s="278"/>
      <c r="S27" s="278"/>
      <c r="T27" s="149"/>
      <c r="U27" s="202">
        <f>Input!B92</f>
        <v>0</v>
      </c>
      <c r="V27" s="448">
        <f>Input!F92</f>
        <v>0</v>
      </c>
      <c r="W27" s="399">
        <f>Input!U92</f>
        <v>0</v>
      </c>
      <c r="X27" s="303">
        <f>Input!H92</f>
        <v>0</v>
      </c>
      <c r="Y27" s="448">
        <f>Input!I92</f>
        <v>0</v>
      </c>
      <c r="Z27" s="399">
        <f>Input!V92</f>
        <v>0</v>
      </c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</row>
    <row r="28" spans="1:42" x14ac:dyDescent="0.2">
      <c r="A28" s="325" t="s">
        <v>46</v>
      </c>
      <c r="B28" s="325">
        <v>3</v>
      </c>
      <c r="C28" s="325" t="str">
        <f t="shared" si="22"/>
        <v>Light - 3</v>
      </c>
      <c r="D28" s="443">
        <v>0.17</v>
      </c>
      <c r="E28" s="443">
        <v>0.18</v>
      </c>
      <c r="F28" s="443">
        <v>0.19</v>
      </c>
      <c r="G28" s="443">
        <v>0.19999999999999998</v>
      </c>
      <c r="H28" s="443">
        <v>0.20999999999999996</v>
      </c>
      <c r="I28" s="443">
        <v>0.21999999999999997</v>
      </c>
      <c r="J28" s="298"/>
      <c r="K28" s="278"/>
      <c r="L28" s="278"/>
      <c r="M28" s="278"/>
      <c r="N28" s="149"/>
      <c r="O28" s="149"/>
      <c r="P28" s="278"/>
      <c r="Q28" s="278"/>
      <c r="R28" s="278"/>
      <c r="S28" s="278"/>
      <c r="T28" s="149"/>
      <c r="U28" s="202">
        <f>Input!B93</f>
        <v>0</v>
      </c>
      <c r="V28" s="448">
        <f>Input!F93</f>
        <v>0</v>
      </c>
      <c r="W28" s="399">
        <f>Input!U93</f>
        <v>0</v>
      </c>
      <c r="X28" s="303">
        <f>Input!H93</f>
        <v>0</v>
      </c>
      <c r="Y28" s="448">
        <f>Input!I93</f>
        <v>0</v>
      </c>
      <c r="Z28" s="399">
        <f>Input!V93</f>
        <v>0</v>
      </c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</row>
    <row r="29" spans="1:42" x14ac:dyDescent="0.2">
      <c r="A29" s="298"/>
      <c r="B29" s="298"/>
      <c r="C29" s="298"/>
      <c r="D29" s="453"/>
      <c r="E29" s="453"/>
      <c r="F29" s="453"/>
      <c r="G29" s="453"/>
      <c r="H29" s="453"/>
      <c r="I29" s="453"/>
      <c r="J29" s="298"/>
      <c r="K29" s="278"/>
      <c r="L29" s="278"/>
      <c r="M29" s="278"/>
      <c r="N29" s="149"/>
      <c r="O29" s="149"/>
      <c r="P29" s="278"/>
      <c r="Q29" s="278"/>
      <c r="R29" s="278"/>
      <c r="S29" s="278"/>
      <c r="T29" s="149"/>
      <c r="U29" s="202">
        <f>Input!B94</f>
        <v>0</v>
      </c>
      <c r="V29" s="448">
        <f>Input!F94</f>
        <v>0</v>
      </c>
      <c r="W29" s="399">
        <f>Input!U94</f>
        <v>0</v>
      </c>
      <c r="X29" s="303">
        <f>Input!H94</f>
        <v>0</v>
      </c>
      <c r="Y29" s="448">
        <f>Input!I94</f>
        <v>0</v>
      </c>
      <c r="Z29" s="399">
        <f>Input!V94</f>
        <v>0</v>
      </c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x14ac:dyDescent="0.2">
      <c r="A30" s="278">
        <v>0</v>
      </c>
      <c r="B30" s="461" t="str">
        <f t="shared" ref="B30:B35" si="23">CONCATENATE("pathEnergyBonusDatabase.Add(new PathEnergyBonusData(",A30,", Path.",A2,", ",B2,", new Dictionary&lt;EnergySegment, float&gt;() { { EnergySegment.First_Segment, ",D2,"f }, { EnergySegment.Second_Segment, ",E2,"f }, { EnergySegment.Third_Segment, ",F2,"f }, { EnergySegment.Fourth_Segment, ",G2,"f }, { EnergySegment.Fifth_Segment, ",H2,"f }, { EnergySegment.Sixth_Segment, ",I2,"f } }));")</f>
        <v>pathEnergyBonusDatabase.Add(new PathEnergyBonusData(0, Path.Fire, 0, new Dictionary&lt;EnergySegment, float&gt;() { { EnergySegment.First_Segment, 0.04f }, { EnergySegment.Second_Segment, 0.05f }, { EnergySegment.Third_Segment, 0.06f }, { EnergySegment.Fourth_Segment, 0.07f }, { EnergySegment.Fifth_Segment, 0.08f }, { EnergySegment.Sixth_Segment, 0.09f } }));</v>
      </c>
      <c r="C30" s="278"/>
      <c r="D30" s="462"/>
      <c r="E30" s="462"/>
      <c r="F30" s="462"/>
      <c r="G30" s="462"/>
      <c r="H30" s="462"/>
      <c r="I30" s="462"/>
      <c r="J30" s="278"/>
      <c r="K30" s="278"/>
      <c r="L30" s="278"/>
      <c r="M30" s="278"/>
      <c r="N30" s="149"/>
      <c r="O30" s="149"/>
      <c r="P30" s="278"/>
      <c r="Q30" s="278"/>
      <c r="R30" s="278"/>
      <c r="S30" s="278"/>
      <c r="T30" s="149"/>
      <c r="U30" s="202">
        <f>Input!B95</f>
        <v>0</v>
      </c>
      <c r="V30" s="448">
        <f>Input!F95</f>
        <v>0</v>
      </c>
      <c r="W30" s="399">
        <f>Input!U95</f>
        <v>0</v>
      </c>
      <c r="X30" s="303">
        <f>Input!H95</f>
        <v>0</v>
      </c>
      <c r="Y30" s="448">
        <f>Input!I95</f>
        <v>0</v>
      </c>
      <c r="Z30" s="399">
        <f>Input!V95</f>
        <v>0</v>
      </c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</row>
    <row r="31" spans="1:42" x14ac:dyDescent="0.2">
      <c r="A31" s="278">
        <v>1</v>
      </c>
      <c r="B31" s="461" t="str">
        <f t="shared" si="23"/>
        <v>pathEnergyBonusDatabase.Add(new PathEnergyBonusData(1, Path.Water, 0, new Dictionary&lt;EnergySegment, float&gt;() { { EnergySegment.First_Segment, -0.06f }, { EnergySegment.Second_Segment, -0.07f }, { EnergySegment.Third_Segment, -0.08f }, { EnergySegment.Fourth_Segment, -0.09f }, { EnergySegment.Fifth_Segment, -0.1f }, { EnergySegment.Sixth_Segment, -0.11f } }));</v>
      </c>
      <c r="C31" s="278"/>
      <c r="D31" s="462"/>
      <c r="E31" s="462"/>
      <c r="F31" s="462"/>
      <c r="G31" s="462"/>
      <c r="H31" s="462"/>
      <c r="I31" s="462"/>
      <c r="J31" s="278"/>
      <c r="K31" s="278"/>
      <c r="L31" s="278"/>
      <c r="M31" s="278"/>
      <c r="N31" s="149"/>
      <c r="O31" s="149"/>
      <c r="P31" s="278"/>
      <c r="Q31" s="278"/>
      <c r="R31" s="278"/>
      <c r="S31" s="278"/>
      <c r="T31" s="149"/>
      <c r="U31" s="202">
        <f>Input!B96</f>
        <v>0</v>
      </c>
      <c r="V31" s="448">
        <f>Input!F96</f>
        <v>0</v>
      </c>
      <c r="W31" s="399">
        <f>Input!U96</f>
        <v>0</v>
      </c>
      <c r="X31" s="303">
        <f>Input!H96</f>
        <v>0</v>
      </c>
      <c r="Y31" s="448">
        <f>Input!I96</f>
        <v>0</v>
      </c>
      <c r="Z31" s="399">
        <f>Input!V96</f>
        <v>0</v>
      </c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</row>
    <row r="32" spans="1:42" x14ac:dyDescent="0.2">
      <c r="A32" s="278">
        <v>2</v>
      </c>
      <c r="B32" s="461" t="str">
        <f t="shared" si="23"/>
        <v>pathEnergyBonusDatabase.Add(new PathEnergyBonusData(2, Path.Air, 0, new Dictionary&lt;EnergySegment, float&gt;() { { EnergySegment.First_Segment, 0.06f }, { EnergySegment.Second_Segment, 0.07f }, { EnergySegment.Third_Segment, 0.08f }, { EnergySegment.Fourth_Segment, 0.09f }, { EnergySegment.Fifth_Segment, 0.1f }, { EnergySegment.Sixth_Segment, 0.11f } }));</v>
      </c>
      <c r="C32" s="278"/>
      <c r="D32" s="462"/>
      <c r="E32" s="462"/>
      <c r="F32" s="462"/>
      <c r="G32" s="462"/>
      <c r="H32" s="462"/>
      <c r="I32" s="462"/>
      <c r="J32" s="278"/>
      <c r="K32" s="278"/>
      <c r="L32" s="278"/>
      <c r="M32" s="278"/>
      <c r="N32" s="149"/>
      <c r="O32" s="149"/>
      <c r="P32" s="278"/>
      <c r="Q32" s="278"/>
      <c r="R32" s="278"/>
      <c r="S32" s="278"/>
      <c r="T32" s="149"/>
      <c r="U32" s="202">
        <f>Input!B97</f>
        <v>0</v>
      </c>
      <c r="V32" s="448">
        <f>Input!F97</f>
        <v>0</v>
      </c>
      <c r="W32" s="399">
        <f>Input!U97</f>
        <v>0</v>
      </c>
      <c r="X32" s="303">
        <f>Input!H97</f>
        <v>0</v>
      </c>
      <c r="Y32" s="448">
        <f>Input!I97</f>
        <v>0</v>
      </c>
      <c r="Z32" s="399">
        <f>Input!V97</f>
        <v>0</v>
      </c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</row>
    <row r="33" spans="1:42" x14ac:dyDescent="0.2">
      <c r="A33" s="278">
        <v>3</v>
      </c>
      <c r="B33" s="461" t="str">
        <f t="shared" si="23"/>
        <v>pathEnergyBonusDatabase.Add(new PathEnergyBonusData(3, Path.Earth, 0, new Dictionary&lt;EnergySegment, float&gt;() { { EnergySegment.First_Segment, -0.08f }, { EnergySegment.Second_Segment, -0.09f }, { EnergySegment.Third_Segment, -0.1f }, { EnergySegment.Fourth_Segment, -0.11f }, { EnergySegment.Fifth_Segment, -0.12f }, { EnergySegment.Sixth_Segment, -0.13f } }));</v>
      </c>
      <c r="C33" s="278"/>
      <c r="D33" s="462"/>
      <c r="E33" s="462"/>
      <c r="F33" s="462"/>
      <c r="G33" s="462"/>
      <c r="H33" s="462"/>
      <c r="I33" s="462"/>
      <c r="J33" s="278"/>
      <c r="K33" s="278"/>
      <c r="L33" s="278"/>
      <c r="M33" s="278"/>
      <c r="N33" s="149"/>
      <c r="O33" s="149"/>
      <c r="P33" s="278"/>
      <c r="Q33" s="278"/>
      <c r="R33" s="278"/>
      <c r="S33" s="278"/>
      <c r="T33" s="149"/>
      <c r="U33" s="202">
        <f>Input!B98</f>
        <v>0</v>
      </c>
      <c r="V33" s="448">
        <f>Input!F98</f>
        <v>0</v>
      </c>
      <c r="W33" s="399">
        <f>Input!U98</f>
        <v>0</v>
      </c>
      <c r="X33" s="303">
        <f>Input!H98</f>
        <v>0</v>
      </c>
      <c r="Y33" s="448">
        <f>Input!I98</f>
        <v>0</v>
      </c>
      <c r="Z33" s="399">
        <f>Input!V98</f>
        <v>0</v>
      </c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</row>
    <row r="34" spans="1:42" x14ac:dyDescent="0.2">
      <c r="A34" s="278">
        <v>4</v>
      </c>
      <c r="B34" s="461" t="str">
        <f t="shared" si="23"/>
        <v>pathEnergyBonusDatabase.Add(new PathEnergyBonusData(4, Path.Shadow, 0, new Dictionary&lt;EnergySegment, float&gt;() { { EnergySegment.First_Segment, -0.04f }, { EnergySegment.Second_Segment, -0.05f }, { EnergySegment.Third_Segment, -0.06f }, { EnergySegment.Fourth_Segment, -0.07f }, { EnergySegment.Fifth_Segment, -0.08f }, { EnergySegment.Sixth_Segment, -0.09f } }));</v>
      </c>
      <c r="C34" s="278"/>
      <c r="D34" s="462"/>
      <c r="E34" s="462"/>
      <c r="F34" s="462"/>
      <c r="G34" s="462"/>
      <c r="H34" s="462"/>
      <c r="I34" s="462"/>
      <c r="J34" s="278"/>
      <c r="K34" s="278"/>
      <c r="L34" s="278"/>
      <c r="M34" s="278"/>
      <c r="N34" s="149"/>
      <c r="O34" s="149"/>
      <c r="P34" s="278"/>
      <c r="Q34" s="278"/>
      <c r="R34" s="278"/>
      <c r="S34" s="278"/>
      <c r="T34" s="149"/>
      <c r="U34" s="202">
        <f>Input!B99</f>
        <v>0</v>
      </c>
      <c r="V34" s="448">
        <f>Input!F99</f>
        <v>0</v>
      </c>
      <c r="W34" s="399">
        <f>Input!U99</f>
        <v>0</v>
      </c>
      <c r="X34" s="303">
        <f>Input!H99</f>
        <v>0</v>
      </c>
      <c r="Y34" s="448">
        <f>Input!I99</f>
        <v>0</v>
      </c>
      <c r="Z34" s="399">
        <f>Input!V99</f>
        <v>0</v>
      </c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</row>
    <row r="35" spans="1:42" x14ac:dyDescent="0.2">
      <c r="A35" s="278">
        <v>5</v>
      </c>
      <c r="B35" s="461" t="str">
        <f t="shared" si="23"/>
        <v>pathEnergyBonusDatabase.Add(new PathEnergyBonusData(5, Path.Light, 0, new Dictionary&lt;EnergySegment, float&gt;() { { EnergySegment.First_Segment, 0.08f }, { EnergySegment.Second_Segment, 0.09f }, { EnergySegment.Third_Segment, 0.1f }, { EnergySegment.Fourth_Segment, 0.11f }, { EnergySegment.Fifth_Segment, 0.12f }, { EnergySegment.Sixth_Segment, 0.13f } }));</v>
      </c>
      <c r="C35" s="278"/>
      <c r="D35" s="462"/>
      <c r="E35" s="462"/>
      <c r="F35" s="462"/>
      <c r="G35" s="462"/>
      <c r="H35" s="462"/>
      <c r="I35" s="462"/>
      <c r="J35" s="278"/>
      <c r="K35" s="278"/>
      <c r="L35" s="278"/>
      <c r="M35" s="278"/>
      <c r="N35" s="149"/>
      <c r="O35" s="149"/>
      <c r="P35" s="278"/>
      <c r="Q35" s="278"/>
      <c r="R35" s="278"/>
      <c r="S35" s="278"/>
      <c r="T35" s="149"/>
      <c r="U35" s="202">
        <f>Input!B100</f>
        <v>0</v>
      </c>
      <c r="V35" s="448">
        <f>Input!F100</f>
        <v>0</v>
      </c>
      <c r="W35" s="399">
        <f>Input!U100</f>
        <v>0</v>
      </c>
      <c r="X35" s="303">
        <f>Input!H100</f>
        <v>0</v>
      </c>
      <c r="Y35" s="448">
        <f>Input!I100</f>
        <v>0</v>
      </c>
      <c r="Z35" s="399">
        <f>Input!V100</f>
        <v>0</v>
      </c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</row>
    <row r="36" spans="1:42" x14ac:dyDescent="0.2">
      <c r="A36" s="278"/>
      <c r="B36" s="461"/>
      <c r="C36" s="278"/>
      <c r="D36" s="462"/>
      <c r="E36" s="462"/>
      <c r="F36" s="462"/>
      <c r="G36" s="462"/>
      <c r="H36" s="462"/>
      <c r="I36" s="462"/>
      <c r="J36" s="278"/>
      <c r="K36" s="278"/>
      <c r="L36" s="278"/>
      <c r="M36" s="278"/>
      <c r="N36" s="149"/>
      <c r="O36" s="149"/>
      <c r="P36" s="278"/>
      <c r="Q36" s="278"/>
      <c r="R36" s="278"/>
      <c r="S36" s="278"/>
      <c r="T36" s="149"/>
      <c r="U36" s="202">
        <f>Input!B101</f>
        <v>0</v>
      </c>
      <c r="V36" s="448">
        <f>Input!F101</f>
        <v>0</v>
      </c>
      <c r="W36" s="399">
        <f>Input!U101</f>
        <v>0</v>
      </c>
      <c r="X36" s="303">
        <f>Input!H101</f>
        <v>0</v>
      </c>
      <c r="Y36" s="448">
        <f>Input!I101</f>
        <v>0</v>
      </c>
      <c r="Z36" s="399">
        <f>Input!V101</f>
        <v>0</v>
      </c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</row>
    <row r="37" spans="1:42" x14ac:dyDescent="0.2">
      <c r="A37" s="278">
        <v>6</v>
      </c>
      <c r="B37" s="461" t="str">
        <f t="shared" ref="B37:B42" si="24">CONCATENATE("pathEnergyBonusDatabase.Add(new PathEnergyBonusData(",A37,", Path.",A9,", ",B9,", new Dictionary&lt;EnergySegment, float&gt;() { { EnergySegment.First_Segment, ",D9,"f }, { EnergySegment.Second_Segment, ",E9,"f }, { EnergySegment.Third_Segment, ",F9,"f }, { EnergySegment.Fourth_Segment, ",G9,"f }, { EnergySegment.Fifth_Segment, ",H9,"f }, { EnergySegment.Sixth_Segment, ",I9,"f } }));")</f>
        <v>pathEnergyBonusDatabase.Add(new PathEnergyBonusData(6, Path.Fire, 1, new Dictionary&lt;EnergySegment, float&gt;() { { EnergySegment.First_Segment, 0.05f }, { EnergySegment.Second_Segment, 0.06f }, { EnergySegment.Third_Segment, 0.07f }, { EnergySegment.Fourth_Segment, 0.08f }, { EnergySegment.Fifth_Segment, 0.09f }, { EnergySegment.Sixth_Segment, 0.1f } }));</v>
      </c>
      <c r="C37" s="278"/>
      <c r="D37" s="462"/>
      <c r="E37" s="462"/>
      <c r="F37" s="462"/>
      <c r="G37" s="462"/>
      <c r="H37" s="462"/>
      <c r="I37" s="462"/>
      <c r="J37" s="278"/>
      <c r="K37" s="278"/>
      <c r="L37" s="278"/>
      <c r="M37" s="278"/>
      <c r="N37" s="149"/>
      <c r="O37" s="149"/>
      <c r="P37" s="278"/>
      <c r="Q37" s="278"/>
      <c r="R37" s="278"/>
      <c r="S37" s="278"/>
      <c r="T37" s="149"/>
      <c r="U37" s="202">
        <f>Input!B102</f>
        <v>0</v>
      </c>
      <c r="V37" s="448">
        <f>Input!F102</f>
        <v>0</v>
      </c>
      <c r="W37" s="399">
        <f>Input!U102</f>
        <v>0</v>
      </c>
      <c r="X37" s="303">
        <f>Input!H102</f>
        <v>0</v>
      </c>
      <c r="Y37" s="448">
        <f>Input!I102</f>
        <v>0</v>
      </c>
      <c r="Z37" s="399">
        <f>Input!V102</f>
        <v>0</v>
      </c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</row>
    <row r="38" spans="1:42" x14ac:dyDescent="0.2">
      <c r="A38" s="278">
        <v>7</v>
      </c>
      <c r="B38" s="461" t="str">
        <f t="shared" si="24"/>
        <v>pathEnergyBonusDatabase.Add(new PathEnergyBonusData(7, Path.Water, 1, new Dictionary&lt;EnergySegment, float&gt;() { { EnergySegment.First_Segment, -0.08f }, { EnergySegment.Second_Segment, -0.09f }, { EnergySegment.Third_Segment, -0.1f }, { EnergySegment.Fourth_Segment, -0.11f }, { EnergySegment.Fifth_Segment, -0.12f }, { EnergySegment.Sixth_Segment, -0.13f } }));</v>
      </c>
      <c r="C38" s="278"/>
      <c r="D38" s="462"/>
      <c r="E38" s="462"/>
      <c r="F38" s="462"/>
      <c r="G38" s="462"/>
      <c r="H38" s="462"/>
      <c r="I38" s="462"/>
      <c r="J38" s="278"/>
      <c r="K38" s="278"/>
      <c r="L38" s="278"/>
      <c r="M38" s="278"/>
      <c r="N38" s="149"/>
      <c r="O38" s="149"/>
      <c r="P38" s="278"/>
      <c r="Q38" s="278"/>
      <c r="R38" s="278"/>
      <c r="S38" s="278"/>
      <c r="T38" s="149"/>
      <c r="U38" s="202">
        <f>Input!B103</f>
        <v>0</v>
      </c>
      <c r="V38" s="448">
        <f>Input!F103</f>
        <v>0</v>
      </c>
      <c r="W38" s="399">
        <f>Input!U103</f>
        <v>0</v>
      </c>
      <c r="X38" s="303">
        <f>Input!H103</f>
        <v>0</v>
      </c>
      <c r="Y38" s="448">
        <f>Input!I103</f>
        <v>0</v>
      </c>
      <c r="Z38" s="399">
        <f>Input!V103</f>
        <v>0</v>
      </c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</row>
    <row r="39" spans="1:42" x14ac:dyDescent="0.2">
      <c r="A39" s="278">
        <v>8</v>
      </c>
      <c r="B39" s="461" t="str">
        <f t="shared" si="24"/>
        <v>pathEnergyBonusDatabase.Add(new PathEnergyBonusData(8, Path.Air, 1, new Dictionary&lt;EnergySegment, float&gt;() { { EnergySegment.First_Segment, 0.08f }, { EnergySegment.Second_Segment, 0.09f }, { EnergySegment.Third_Segment, 0.1f }, { EnergySegment.Fourth_Segment, 0.11f }, { EnergySegment.Fifth_Segment, 0.12f }, { EnergySegment.Sixth_Segment, 0.13f } }));</v>
      </c>
      <c r="C39" s="278"/>
      <c r="D39" s="462"/>
      <c r="E39" s="462"/>
      <c r="F39" s="462"/>
      <c r="G39" s="462"/>
      <c r="H39" s="462"/>
      <c r="I39" s="462"/>
      <c r="J39" s="278"/>
      <c r="K39" s="278"/>
      <c r="L39" s="278"/>
      <c r="M39" s="278"/>
      <c r="N39" s="149"/>
      <c r="O39" s="149"/>
      <c r="P39" s="278"/>
      <c r="Q39" s="278"/>
      <c r="R39" s="278"/>
      <c r="S39" s="278"/>
      <c r="T39" s="149"/>
      <c r="U39" s="202">
        <f>Input!B104</f>
        <v>0</v>
      </c>
      <c r="V39" s="448">
        <f>Input!F104</f>
        <v>0</v>
      </c>
      <c r="W39" s="399">
        <f>Input!U104</f>
        <v>0</v>
      </c>
      <c r="X39" s="303">
        <f>Input!H104</f>
        <v>0</v>
      </c>
      <c r="Y39" s="448">
        <f>Input!I104</f>
        <v>0</v>
      </c>
      <c r="Z39" s="399">
        <f>Input!V104</f>
        <v>0</v>
      </c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</row>
    <row r="40" spans="1:42" x14ac:dyDescent="0.2">
      <c r="A40" s="278">
        <v>9</v>
      </c>
      <c r="B40" s="461" t="str">
        <f t="shared" si="24"/>
        <v>pathEnergyBonusDatabase.Add(new PathEnergyBonusData(9, Path.Earth, 1, new Dictionary&lt;EnergySegment, float&gt;() { { EnergySegment.First_Segment, -0.11f }, { EnergySegment.Second_Segment, -0.12f }, { EnergySegment.Third_Segment, -0.13f }, { EnergySegment.Fourth_Segment, -0.14f }, { EnergySegment.Fifth_Segment, -0.15f }, { EnergySegment.Sixth_Segment, -0.16f } }));</v>
      </c>
      <c r="C40" s="278"/>
      <c r="D40" s="462"/>
      <c r="E40" s="462"/>
      <c r="F40" s="462"/>
      <c r="G40" s="462"/>
      <c r="H40" s="462"/>
      <c r="I40" s="462"/>
      <c r="J40" s="278"/>
      <c r="K40" s="278"/>
      <c r="L40" s="278"/>
      <c r="M40" s="278"/>
      <c r="N40" s="149"/>
      <c r="O40" s="149"/>
      <c r="P40" s="278"/>
      <c r="Q40" s="278"/>
      <c r="R40" s="278"/>
      <c r="S40" s="278"/>
      <c r="T40" s="149"/>
      <c r="U40" s="202">
        <f>Input!B105</f>
        <v>0</v>
      </c>
      <c r="V40" s="448">
        <f>Input!F105</f>
        <v>0</v>
      </c>
      <c r="W40" s="399">
        <f>Input!U105</f>
        <v>0</v>
      </c>
      <c r="X40" s="303">
        <f>Input!H105</f>
        <v>0</v>
      </c>
      <c r="Y40" s="448">
        <f>Input!I105</f>
        <v>0</v>
      </c>
      <c r="Z40" s="399">
        <f>Input!V105</f>
        <v>0</v>
      </c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</row>
    <row r="41" spans="1:42" x14ac:dyDescent="0.2">
      <c r="A41" s="278">
        <v>10</v>
      </c>
      <c r="B41" s="461" t="str">
        <f t="shared" si="24"/>
        <v>pathEnergyBonusDatabase.Add(new PathEnergyBonusData(10, Path.Shadow, 1, new Dictionary&lt;EnergySegment, float&gt;() { { EnergySegment.First_Segment, -0.05f }, { EnergySegment.Second_Segment, -0.06f }, { EnergySegment.Third_Segment, -0.07f }, { EnergySegment.Fourth_Segment, -0.08f }, { EnergySegment.Fifth_Segment, -0.09f }, { EnergySegment.Sixth_Segment, -0.1f } }));</v>
      </c>
      <c r="C41" s="278"/>
      <c r="D41" s="462"/>
      <c r="E41" s="462"/>
      <c r="F41" s="462"/>
      <c r="G41" s="462"/>
      <c r="H41" s="462"/>
      <c r="I41" s="462"/>
      <c r="J41" s="278"/>
      <c r="K41" s="278"/>
      <c r="L41" s="278"/>
      <c r="M41" s="278"/>
      <c r="N41" s="149"/>
      <c r="O41" s="149"/>
      <c r="P41" s="278"/>
      <c r="Q41" s="278"/>
      <c r="R41" s="278"/>
      <c r="S41" s="278"/>
      <c r="T41" s="149"/>
      <c r="U41" s="202">
        <f>Input!B106</f>
        <v>0</v>
      </c>
      <c r="V41" s="448">
        <f>Input!F106</f>
        <v>0</v>
      </c>
      <c r="W41" s="399">
        <f>Input!U106</f>
        <v>0</v>
      </c>
      <c r="X41" s="303">
        <f>Input!H106</f>
        <v>0</v>
      </c>
      <c r="Y41" s="448">
        <f>Input!I106</f>
        <v>0</v>
      </c>
      <c r="Z41" s="399">
        <f>Input!V106</f>
        <v>0</v>
      </c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</row>
    <row r="42" spans="1:42" x14ac:dyDescent="0.2">
      <c r="A42" s="278">
        <v>11</v>
      </c>
      <c r="B42" s="461" t="str">
        <f t="shared" si="24"/>
        <v>pathEnergyBonusDatabase.Add(new PathEnergyBonusData(11, Path.Light, 1, new Dictionary&lt;EnergySegment, float&gt;() { { EnergySegment.First_Segment, 0.11f }, { EnergySegment.Second_Segment, 0.12f }, { EnergySegment.Third_Segment, 0.13f }, { EnergySegment.Fourth_Segment, 0.14f }, { EnergySegment.Fifth_Segment, 0.15f }, { EnergySegment.Sixth_Segment, 0.16f } }));</v>
      </c>
      <c r="C42" s="278"/>
      <c r="D42" s="462"/>
      <c r="E42" s="462"/>
      <c r="F42" s="462"/>
      <c r="G42" s="462"/>
      <c r="H42" s="462"/>
      <c r="I42" s="462"/>
      <c r="J42" s="278"/>
      <c r="K42" s="278"/>
      <c r="L42" s="278"/>
      <c r="M42" s="278"/>
      <c r="N42" s="149"/>
      <c r="O42" s="149"/>
      <c r="P42" s="278"/>
      <c r="Q42" s="278"/>
      <c r="R42" s="278"/>
      <c r="S42" s="278"/>
      <c r="T42" s="149"/>
      <c r="U42" s="202">
        <f>Input!B107</f>
        <v>0</v>
      </c>
      <c r="V42" s="448">
        <f>Input!F107</f>
        <v>0</v>
      </c>
      <c r="W42" s="399">
        <f>Input!U107</f>
        <v>0</v>
      </c>
      <c r="X42" s="303">
        <f>Input!H107</f>
        <v>0</v>
      </c>
      <c r="Y42" s="448">
        <f>Input!I107</f>
        <v>0</v>
      </c>
      <c r="Z42" s="399">
        <f>Input!V107</f>
        <v>0</v>
      </c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</row>
    <row r="43" spans="1:42" x14ac:dyDescent="0.2">
      <c r="A43" s="278"/>
      <c r="B43" s="461"/>
      <c r="C43" s="278"/>
      <c r="D43" s="462"/>
      <c r="E43" s="462"/>
      <c r="F43" s="462"/>
      <c r="G43" s="462"/>
      <c r="H43" s="462"/>
      <c r="I43" s="462"/>
      <c r="J43" s="278"/>
      <c r="K43" s="278"/>
      <c r="L43" s="278"/>
      <c r="M43" s="278"/>
      <c r="N43" s="149"/>
      <c r="O43" s="149"/>
      <c r="P43" s="278"/>
      <c r="Q43" s="278"/>
      <c r="R43" s="278"/>
      <c r="S43" s="278"/>
      <c r="T43" s="149"/>
      <c r="U43" s="202">
        <f>Input!B108</f>
        <v>0</v>
      </c>
      <c r="V43" s="448">
        <f>Input!F108</f>
        <v>0</v>
      </c>
      <c r="W43" s="399">
        <f>Input!U108</f>
        <v>0</v>
      </c>
      <c r="X43" s="303">
        <f>Input!H108</f>
        <v>0</v>
      </c>
      <c r="Y43" s="448">
        <f>Input!I108</f>
        <v>0</v>
      </c>
      <c r="Z43" s="399">
        <f>Input!V108</f>
        <v>0</v>
      </c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</row>
    <row r="44" spans="1:42" x14ac:dyDescent="0.2">
      <c r="A44" s="278">
        <v>12</v>
      </c>
      <c r="B44" s="461" t="str">
        <f t="shared" ref="B44:B49" si="25">CONCATENATE("pathEnergyBonusDatabase.Add(new PathEnergyBonusData(",A44,", Path.",A16,", ",B16,", new Dictionary&lt;EnergySegment, float&gt;() { { EnergySegment.First_Segment, ",D16,"f }, { EnergySegment.Second_Segment, ",E16,"f }, { EnergySegment.Third_Segment, ",F16,"f }, { EnergySegment.Fourth_Segment, ",G16,"f }, { EnergySegment.Fifth_Segment, ",H16,"f }, { EnergySegment.Sixth_Segment, ",I16,"f } }));")</f>
        <v>pathEnergyBonusDatabase.Add(new PathEnergyBonusData(12, Path.Fire, 2, new Dictionary&lt;EnergySegment, float&gt;() { { EnergySegment.First_Segment, 0.06f }, { EnergySegment.Second_Segment, 0.07f }, { EnergySegment.Third_Segment, 0.08f }, { EnergySegment.Fourth_Segment, 0.09f }, { EnergySegment.Fifth_Segment, 0.1f }, { EnergySegment.Sixth_Segment, 0.11f } }));</v>
      </c>
      <c r="C44" s="278"/>
      <c r="D44" s="462"/>
      <c r="E44" s="462"/>
      <c r="F44" s="462"/>
      <c r="G44" s="462"/>
      <c r="H44" s="462"/>
      <c r="I44" s="462"/>
      <c r="J44" s="278"/>
      <c r="K44" s="278"/>
      <c r="L44" s="278"/>
      <c r="M44" s="278"/>
      <c r="N44" s="149"/>
      <c r="O44" s="149"/>
      <c r="P44" s="278"/>
      <c r="Q44" s="278"/>
      <c r="R44" s="278"/>
      <c r="S44" s="278"/>
      <c r="T44" s="149"/>
      <c r="U44" s="202">
        <f>Input!B109</f>
        <v>0</v>
      </c>
      <c r="V44" s="448">
        <f>Input!F109</f>
        <v>0</v>
      </c>
      <c r="W44" s="399">
        <f>Input!U109</f>
        <v>0</v>
      </c>
      <c r="X44" s="303">
        <f>Input!H109</f>
        <v>0</v>
      </c>
      <c r="Y44" s="448">
        <f>Input!I109</f>
        <v>0</v>
      </c>
      <c r="Z44" s="399">
        <f>Input!V109</f>
        <v>0</v>
      </c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</row>
    <row r="45" spans="1:42" x14ac:dyDescent="0.2">
      <c r="A45" s="278">
        <v>13</v>
      </c>
      <c r="B45" s="461" t="str">
        <f t="shared" si="25"/>
        <v>pathEnergyBonusDatabase.Add(new PathEnergyBonusData(13, Path.Water, 2, new Dictionary&lt;EnergySegment, float&gt;() { { EnergySegment.First_Segment, -0.1f }, { EnergySegment.Second_Segment, -0.11f }, { EnergySegment.Third_Segment, -0.12f }, { EnergySegment.Fourth_Segment, -0.13f }, { EnergySegment.Fifth_Segment, -0.14f }, { EnergySegment.Sixth_Segment, -0.15f } }));</v>
      </c>
      <c r="C45" s="278"/>
      <c r="D45" s="462"/>
      <c r="E45" s="462"/>
      <c r="F45" s="462"/>
      <c r="G45" s="462"/>
      <c r="H45" s="462"/>
      <c r="I45" s="462"/>
      <c r="J45" s="278"/>
      <c r="K45" s="278"/>
      <c r="L45" s="278"/>
      <c r="M45" s="278"/>
      <c r="N45" s="149"/>
      <c r="O45" s="149"/>
      <c r="P45" s="278"/>
      <c r="Q45" s="278"/>
      <c r="R45" s="278"/>
      <c r="S45" s="278"/>
      <c r="T45" s="149"/>
      <c r="U45" s="202">
        <f>Input!B110</f>
        <v>0</v>
      </c>
      <c r="V45" s="448">
        <f>Input!F110</f>
        <v>0</v>
      </c>
      <c r="W45" s="399">
        <f>Input!U110</f>
        <v>0</v>
      </c>
      <c r="X45" s="303">
        <f>Input!H110</f>
        <v>0</v>
      </c>
      <c r="Y45" s="448">
        <f>Input!I110</f>
        <v>0</v>
      </c>
      <c r="Z45" s="399">
        <f>Input!V110</f>
        <v>0</v>
      </c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</row>
    <row r="46" spans="1:42" x14ac:dyDescent="0.2">
      <c r="A46" s="278">
        <v>14</v>
      </c>
      <c r="B46" s="461" t="str">
        <f t="shared" si="25"/>
        <v>pathEnergyBonusDatabase.Add(new PathEnergyBonusData(14, Path.Air, 2, new Dictionary&lt;EnergySegment, float&gt;() { { EnergySegment.First_Segment, 0.1f }, { EnergySegment.Second_Segment, 0.11f }, { EnergySegment.Third_Segment, 0.12f }, { EnergySegment.Fourth_Segment, 0.13f }, { EnergySegment.Fifth_Segment, 0.14f }, { EnergySegment.Sixth_Segment, 0.15f } }));</v>
      </c>
      <c r="C46" s="278"/>
      <c r="D46" s="462"/>
      <c r="E46" s="462"/>
      <c r="F46" s="462"/>
      <c r="G46" s="462"/>
      <c r="H46" s="462"/>
      <c r="I46" s="462"/>
      <c r="J46" s="278"/>
      <c r="K46" s="278"/>
      <c r="L46" s="278"/>
      <c r="M46" s="278"/>
      <c r="N46" s="149"/>
      <c r="O46" s="149"/>
      <c r="P46" s="278"/>
      <c r="Q46" s="278"/>
      <c r="R46" s="278"/>
      <c r="S46" s="278"/>
      <c r="T46" s="149"/>
      <c r="U46" s="202">
        <f>Input!B111</f>
        <v>0</v>
      </c>
      <c r="V46" s="448">
        <f>Input!F111</f>
        <v>0</v>
      </c>
      <c r="W46" s="399">
        <f>Input!U111</f>
        <v>0</v>
      </c>
      <c r="X46" s="303">
        <f>Input!H111</f>
        <v>0</v>
      </c>
      <c r="Y46" s="448">
        <f>Input!I111</f>
        <v>0</v>
      </c>
      <c r="Z46" s="399">
        <f>Input!V111</f>
        <v>0</v>
      </c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</row>
    <row r="47" spans="1:42" x14ac:dyDescent="0.2">
      <c r="A47" s="278">
        <v>15</v>
      </c>
      <c r="B47" s="461" t="str">
        <f t="shared" si="25"/>
        <v>pathEnergyBonusDatabase.Add(new PathEnergyBonusData(15, Path.Earth, 2, new Dictionary&lt;EnergySegment, float&gt;() { { EnergySegment.First_Segment, -0.14f }, { EnergySegment.Second_Segment, -0.15f }, { EnergySegment.Third_Segment, -0.16f }, { EnergySegment.Fourth_Segment, -0.17f }, { EnergySegment.Fifth_Segment, -0.18f }, { EnergySegment.Sixth_Segment, -0.19f } }));</v>
      </c>
      <c r="C47" s="278"/>
      <c r="D47" s="462"/>
      <c r="E47" s="462"/>
      <c r="F47" s="462"/>
      <c r="G47" s="462"/>
      <c r="H47" s="462"/>
      <c r="I47" s="462"/>
      <c r="J47" s="278"/>
      <c r="K47" s="278"/>
      <c r="L47" s="278"/>
      <c r="M47" s="278"/>
      <c r="N47" s="149"/>
      <c r="O47" s="149"/>
      <c r="P47" s="278"/>
      <c r="Q47" s="278"/>
      <c r="R47" s="278"/>
      <c r="S47" s="278"/>
      <c r="T47" s="149"/>
      <c r="U47" s="202">
        <f>Input!B112</f>
        <v>0</v>
      </c>
      <c r="V47" s="448">
        <f>Input!F112</f>
        <v>0</v>
      </c>
      <c r="W47" s="399">
        <f>Input!U112</f>
        <v>0</v>
      </c>
      <c r="X47" s="303">
        <f>Input!H112</f>
        <v>0</v>
      </c>
      <c r="Y47" s="448">
        <f>Input!I112</f>
        <v>0</v>
      </c>
      <c r="Z47" s="399">
        <f>Input!V112</f>
        <v>0</v>
      </c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</row>
    <row r="48" spans="1:42" x14ac:dyDescent="0.2">
      <c r="A48" s="278">
        <v>16</v>
      </c>
      <c r="B48" s="461" t="str">
        <f t="shared" si="25"/>
        <v>pathEnergyBonusDatabase.Add(new PathEnergyBonusData(16, Path.Shadow, 2, new Dictionary&lt;EnergySegment, float&gt;() { { EnergySegment.First_Segment, -0.06f }, { EnergySegment.Second_Segment, -0.07f }, { EnergySegment.Third_Segment, -0.08f }, { EnergySegment.Fourth_Segment, -0.09f }, { EnergySegment.Fifth_Segment, -0.1f }, { EnergySegment.Sixth_Segment, -0.11f } }));</v>
      </c>
      <c r="C48" s="278"/>
      <c r="D48" s="462"/>
      <c r="E48" s="462"/>
      <c r="F48" s="462"/>
      <c r="G48" s="462"/>
      <c r="H48" s="462"/>
      <c r="I48" s="462"/>
      <c r="J48" s="278"/>
      <c r="K48" s="278"/>
      <c r="L48" s="278"/>
      <c r="M48" s="278"/>
      <c r="N48" s="149"/>
      <c r="O48" s="149"/>
      <c r="P48" s="278"/>
      <c r="Q48" s="278"/>
      <c r="R48" s="278"/>
      <c r="S48" s="278"/>
      <c r="T48" s="149"/>
      <c r="U48" s="202">
        <f>Input!B113</f>
        <v>0</v>
      </c>
      <c r="V48" s="448">
        <f>Input!F113</f>
        <v>0</v>
      </c>
      <c r="W48" s="399">
        <f>Input!U113</f>
        <v>0</v>
      </c>
      <c r="X48" s="303">
        <f>Input!H113</f>
        <v>0</v>
      </c>
      <c r="Y48" s="448">
        <f>Input!I113</f>
        <v>0</v>
      </c>
      <c r="Z48" s="399">
        <f>Input!V113</f>
        <v>0</v>
      </c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</row>
    <row r="49" spans="1:42" x14ac:dyDescent="0.2">
      <c r="A49" s="278">
        <v>17</v>
      </c>
      <c r="B49" s="461" t="str">
        <f t="shared" si="25"/>
        <v>pathEnergyBonusDatabase.Add(new PathEnergyBonusData(17, Path.Light, 2, new Dictionary&lt;EnergySegment, float&gt;() { { EnergySegment.First_Segment, 0.14f }, { EnergySegment.Second_Segment, 0.15f }, { EnergySegment.Third_Segment, 0.16f }, { EnergySegment.Fourth_Segment, 0.17f }, { EnergySegment.Fifth_Segment, 0.18f }, { EnergySegment.Sixth_Segment, 0.19f } }));</v>
      </c>
      <c r="C49" s="278"/>
      <c r="D49" s="462"/>
      <c r="E49" s="462"/>
      <c r="F49" s="462"/>
      <c r="G49" s="462"/>
      <c r="H49" s="462"/>
      <c r="I49" s="462"/>
      <c r="J49" s="278"/>
      <c r="K49" s="278"/>
      <c r="L49" s="278"/>
      <c r="M49" s="278"/>
      <c r="N49" s="149"/>
      <c r="O49" s="149"/>
      <c r="P49" s="278"/>
      <c r="Q49" s="278"/>
      <c r="R49" s="278"/>
      <c r="S49" s="278"/>
      <c r="T49" s="149"/>
      <c r="U49" s="202">
        <f>Input!B114</f>
        <v>0</v>
      </c>
      <c r="V49" s="448">
        <f>Input!F114</f>
        <v>0</v>
      </c>
      <c r="W49" s="399">
        <f>Input!U114</f>
        <v>0</v>
      </c>
      <c r="X49" s="303">
        <f>Input!H114</f>
        <v>0</v>
      </c>
      <c r="Y49" s="448">
        <f>Input!I114</f>
        <v>0</v>
      </c>
      <c r="Z49" s="399">
        <f>Input!V114</f>
        <v>0</v>
      </c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</row>
    <row r="50" spans="1:42" x14ac:dyDescent="0.2">
      <c r="A50" s="278"/>
      <c r="B50" s="461"/>
      <c r="C50" s="278"/>
      <c r="D50" s="462"/>
      <c r="E50" s="462"/>
      <c r="F50" s="462"/>
      <c r="G50" s="462"/>
      <c r="H50" s="462"/>
      <c r="I50" s="462"/>
      <c r="J50" s="278"/>
      <c r="K50" s="278"/>
      <c r="L50" s="278"/>
      <c r="M50" s="278"/>
      <c r="N50" s="149"/>
      <c r="O50" s="149"/>
      <c r="P50" s="278"/>
      <c r="Q50" s="278"/>
      <c r="R50" s="278"/>
      <c r="S50" s="278"/>
      <c r="T50" s="149"/>
      <c r="U50" s="202">
        <f>Input!B115</f>
        <v>0</v>
      </c>
      <c r="V50" s="448">
        <f>Input!F115</f>
        <v>0</v>
      </c>
      <c r="W50" s="399">
        <f>Input!U115</f>
        <v>0</v>
      </c>
      <c r="X50" s="303">
        <f>Input!H115</f>
        <v>0</v>
      </c>
      <c r="Y50" s="448">
        <f>Input!I115</f>
        <v>0</v>
      </c>
      <c r="Z50" s="399">
        <f>Input!V115</f>
        <v>0</v>
      </c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</row>
    <row r="51" spans="1:42" x14ac:dyDescent="0.2">
      <c r="A51" s="278">
        <v>18</v>
      </c>
      <c r="B51" s="461" t="str">
        <f t="shared" ref="B51:B56" si="26">CONCATENATE("pathEnergyBonusDatabase.Add(new PathEnergyBonusData(",A51,", Path.",A23,", ",B23,", new Dictionary&lt;EnergySegment, float&gt;() { { EnergySegment.First_Segment, ",D23,"f }, { EnergySegment.Second_Segment, ",E23,"f }, { EnergySegment.Third_Segment, ",F23,"f }, { EnergySegment.Fourth_Segment, ",G23,"f }, { EnergySegment.Fifth_Segment, ",H23,"f }, { EnergySegment.Sixth_Segment, ",I23,"f } }));")</f>
        <v>pathEnergyBonusDatabase.Add(new PathEnergyBonusData(18, Path.Fire, 3, new Dictionary&lt;EnergySegment, float&gt;() { { EnergySegment.First_Segment, 0.07f }, { EnergySegment.Second_Segment, 0.08f }, { EnergySegment.Third_Segment, 0.09f }, { EnergySegment.Fourth_Segment, 0.1f }, { EnergySegment.Fifth_Segment, 0.11f }, { EnergySegment.Sixth_Segment, 0.12f } }));</v>
      </c>
      <c r="C51" s="278"/>
      <c r="D51" s="462"/>
      <c r="E51" s="462"/>
      <c r="F51" s="462"/>
      <c r="G51" s="462"/>
      <c r="H51" s="462"/>
      <c r="I51" s="462"/>
      <c r="J51" s="278"/>
      <c r="K51" s="278"/>
      <c r="L51" s="278"/>
      <c r="M51" s="278"/>
      <c r="N51" s="149"/>
      <c r="O51" s="149"/>
      <c r="P51" s="278"/>
      <c r="Q51" s="278"/>
      <c r="R51" s="278"/>
      <c r="S51" s="278"/>
      <c r="T51" s="149"/>
      <c r="U51" s="202">
        <f>Input!B116</f>
        <v>0</v>
      </c>
      <c r="V51" s="448">
        <f>Input!F116</f>
        <v>0</v>
      </c>
      <c r="W51" s="399">
        <f>Input!U116</f>
        <v>0</v>
      </c>
      <c r="X51" s="303">
        <f>Input!H116</f>
        <v>0</v>
      </c>
      <c r="Y51" s="448">
        <f>Input!I116</f>
        <v>0</v>
      </c>
      <c r="Z51" s="399">
        <f>Input!V116</f>
        <v>0</v>
      </c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</row>
    <row r="52" spans="1:42" x14ac:dyDescent="0.2">
      <c r="A52" s="278">
        <v>19</v>
      </c>
      <c r="B52" s="461" t="str">
        <f t="shared" si="26"/>
        <v>pathEnergyBonusDatabase.Add(new PathEnergyBonusData(19, Path.Water, 3, new Dictionary&lt;EnergySegment, float&gt;() { { EnergySegment.First_Segment, -0.13f }, { EnergySegment.Second_Segment, -0.14f }, { EnergySegment.Third_Segment, -0.15f }, { EnergySegment.Fourth_Segment, -0.16f }, { EnergySegment.Fifth_Segment, -0.17f }, { EnergySegment.Sixth_Segment, -0.18f } }));</v>
      </c>
      <c r="C52" s="278"/>
      <c r="D52" s="462"/>
      <c r="E52" s="462"/>
      <c r="F52" s="462"/>
      <c r="G52" s="462"/>
      <c r="H52" s="462"/>
      <c r="I52" s="462"/>
      <c r="J52" s="278"/>
      <c r="K52" s="278"/>
      <c r="L52" s="278"/>
      <c r="M52" s="278"/>
      <c r="N52" s="149"/>
      <c r="O52" s="149"/>
      <c r="P52" s="278"/>
      <c r="Q52" s="278"/>
      <c r="R52" s="278"/>
      <c r="S52" s="278"/>
      <c r="T52" s="149"/>
      <c r="U52" s="202">
        <f>Input!B117</f>
        <v>0</v>
      </c>
      <c r="V52" s="448">
        <f>Input!F117</f>
        <v>0</v>
      </c>
      <c r="W52" s="399">
        <f>Input!U117</f>
        <v>0</v>
      </c>
      <c r="X52" s="303">
        <f>Input!H117</f>
        <v>0</v>
      </c>
      <c r="Y52" s="448">
        <f>Input!I117</f>
        <v>0</v>
      </c>
      <c r="Z52" s="399">
        <f>Input!V117</f>
        <v>0</v>
      </c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</row>
    <row r="53" spans="1:42" x14ac:dyDescent="0.2">
      <c r="A53" s="278">
        <v>20</v>
      </c>
      <c r="B53" s="461" t="str">
        <f t="shared" si="26"/>
        <v>pathEnergyBonusDatabase.Add(new PathEnergyBonusData(20, Path.Air, 3, new Dictionary&lt;EnergySegment, float&gt;() { { EnergySegment.First_Segment, 0.13f }, { EnergySegment.Second_Segment, 0.14f }, { EnergySegment.Third_Segment, 0.15f }, { EnergySegment.Fourth_Segment, 0.16f }, { EnergySegment.Fifth_Segment, 0.17f }, { EnergySegment.Sixth_Segment, 0.18f } }));</v>
      </c>
      <c r="C53" s="278"/>
      <c r="D53" s="278"/>
      <c r="E53" s="278"/>
      <c r="F53" s="278"/>
      <c r="G53" s="278"/>
      <c r="H53" s="278"/>
      <c r="I53" s="278"/>
      <c r="J53" s="278"/>
      <c r="K53" s="278"/>
      <c r="L53" s="278"/>
      <c r="M53" s="278"/>
      <c r="N53" s="149"/>
      <c r="O53" s="149"/>
      <c r="P53" s="278"/>
      <c r="Q53" s="278"/>
      <c r="R53" s="278"/>
      <c r="S53" s="278"/>
      <c r="T53" s="149"/>
      <c r="U53" s="202">
        <f>Input!B118</f>
        <v>0</v>
      </c>
      <c r="V53" s="448">
        <f>Input!F118</f>
        <v>0</v>
      </c>
      <c r="W53" s="399">
        <f>Input!U118</f>
        <v>0</v>
      </c>
      <c r="X53" s="303">
        <f>Input!H118</f>
        <v>0</v>
      </c>
      <c r="Y53" s="448">
        <f>Input!I118</f>
        <v>0</v>
      </c>
      <c r="Z53" s="399">
        <f>Input!V118</f>
        <v>0</v>
      </c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</row>
    <row r="54" spans="1:42" x14ac:dyDescent="0.2">
      <c r="A54" s="278">
        <v>21</v>
      </c>
      <c r="B54" s="461" t="str">
        <f t="shared" si="26"/>
        <v>pathEnergyBonusDatabase.Add(new PathEnergyBonusData(21, Path.Earth, 3, new Dictionary&lt;EnergySegment, float&gt;() { { EnergySegment.First_Segment, -0.17f }, { EnergySegment.Second_Segment, -0.18f }, { EnergySegment.Third_Segment, -0.19f }, { EnergySegment.Fourth_Segment, -0.2f }, { EnergySegment.Fifth_Segment, -0.21f }, { EnergySegment.Sixth_Segment, -0.22f } }));</v>
      </c>
      <c r="C54" s="278"/>
      <c r="D54" s="278"/>
      <c r="E54" s="278"/>
      <c r="F54" s="278"/>
      <c r="G54" s="278"/>
      <c r="H54" s="278"/>
      <c r="I54" s="278"/>
      <c r="J54" s="278"/>
      <c r="K54" s="278"/>
      <c r="L54" s="278"/>
      <c r="M54" s="278"/>
      <c r="N54" s="149"/>
      <c r="O54" s="149"/>
      <c r="P54" s="278"/>
      <c r="Q54" s="278"/>
      <c r="R54" s="278"/>
      <c r="S54" s="278"/>
      <c r="T54" s="149"/>
      <c r="U54" s="202">
        <f>Input!B119</f>
        <v>0</v>
      </c>
      <c r="V54" s="448">
        <f>Input!F119</f>
        <v>0</v>
      </c>
      <c r="W54" s="399">
        <f>Input!U119</f>
        <v>0</v>
      </c>
      <c r="X54" s="303">
        <f>Input!H119</f>
        <v>0</v>
      </c>
      <c r="Y54" s="448">
        <f>Input!I119</f>
        <v>0</v>
      </c>
      <c r="Z54" s="399">
        <f>Input!V119</f>
        <v>0</v>
      </c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</row>
    <row r="55" spans="1:42" x14ac:dyDescent="0.2">
      <c r="A55" s="278">
        <v>22</v>
      </c>
      <c r="B55" s="461" t="str">
        <f t="shared" si="26"/>
        <v>pathEnergyBonusDatabase.Add(new PathEnergyBonusData(22, Path.Shadow, 3, new Dictionary&lt;EnergySegment, float&gt;() { { EnergySegment.First_Segment, -0.07f }, { EnergySegment.Second_Segment, -0.08f }, { EnergySegment.Third_Segment, -0.09f }, { EnergySegment.Fourth_Segment, -0.1f }, { EnergySegment.Fifth_Segment, -0.11f }, { EnergySegment.Sixth_Segment, -0.12f } }));</v>
      </c>
      <c r="C55" s="278"/>
      <c r="D55" s="278"/>
      <c r="E55" s="278"/>
      <c r="F55" s="278"/>
      <c r="G55" s="278"/>
      <c r="H55" s="278"/>
      <c r="I55" s="278"/>
      <c r="J55" s="278"/>
      <c r="K55" s="278"/>
      <c r="L55" s="278"/>
      <c r="M55" s="278"/>
      <c r="N55" s="149"/>
      <c r="O55" s="149"/>
      <c r="P55" s="278"/>
      <c r="Q55" s="278"/>
      <c r="R55" s="278"/>
      <c r="S55" s="278"/>
      <c r="T55" s="149"/>
      <c r="U55" s="202">
        <f>Input!B120</f>
        <v>0</v>
      </c>
      <c r="V55" s="448">
        <f>Input!F120</f>
        <v>0</v>
      </c>
      <c r="W55" s="399">
        <f>Input!U120</f>
        <v>0</v>
      </c>
      <c r="X55" s="303">
        <f>Input!H120</f>
        <v>0</v>
      </c>
      <c r="Y55" s="448">
        <f>Input!I120</f>
        <v>0</v>
      </c>
      <c r="Z55" s="399">
        <f>Input!V120</f>
        <v>0</v>
      </c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</row>
    <row r="56" spans="1:42" x14ac:dyDescent="0.2">
      <c r="A56" s="278">
        <v>23</v>
      </c>
      <c r="B56" s="461" t="str">
        <f t="shared" si="26"/>
        <v>pathEnergyBonusDatabase.Add(new PathEnergyBonusData(23, Path.Light, 3, new Dictionary&lt;EnergySegment, float&gt;() { { EnergySegment.First_Segment, 0.17f }, { EnergySegment.Second_Segment, 0.18f }, { EnergySegment.Third_Segment, 0.19f }, { EnergySegment.Fourth_Segment, 0.2f }, { EnergySegment.Fifth_Segment, 0.21f }, { EnergySegment.Sixth_Segment, 0.22f } }));</v>
      </c>
      <c r="C56" s="278"/>
      <c r="D56" s="278"/>
      <c r="E56" s="278"/>
      <c r="F56" s="278"/>
      <c r="G56" s="278"/>
      <c r="H56" s="278"/>
      <c r="I56" s="278"/>
      <c r="J56" s="278"/>
      <c r="K56" s="278"/>
      <c r="L56" s="278"/>
      <c r="M56" s="278"/>
      <c r="N56" s="149"/>
      <c r="O56" s="149"/>
      <c r="P56" s="278"/>
      <c r="Q56" s="278"/>
      <c r="R56" s="278"/>
      <c r="S56" s="278"/>
      <c r="T56" s="149"/>
      <c r="U56" s="202">
        <f>Input!B121</f>
        <v>0</v>
      </c>
      <c r="V56" s="448">
        <f>Input!F121</f>
        <v>0</v>
      </c>
      <c r="W56" s="399">
        <f>Input!U121</f>
        <v>0</v>
      </c>
      <c r="X56" s="303">
        <f>Input!H121</f>
        <v>0</v>
      </c>
      <c r="Y56" s="448">
        <f>Input!I121</f>
        <v>0</v>
      </c>
      <c r="Z56" s="399">
        <f>Input!V121</f>
        <v>0</v>
      </c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</row>
    <row r="57" spans="1:42" x14ac:dyDescent="0.2">
      <c r="A57" s="278"/>
      <c r="B57" s="278"/>
      <c r="C57" s="278"/>
      <c r="D57" s="278"/>
      <c r="E57" s="278"/>
      <c r="F57" s="278"/>
      <c r="G57" s="278"/>
      <c r="H57" s="278"/>
      <c r="I57" s="278"/>
      <c r="J57" s="278"/>
      <c r="K57" s="278"/>
      <c r="L57" s="278"/>
      <c r="M57" s="278"/>
      <c r="N57" s="149"/>
      <c r="O57" s="149"/>
      <c r="P57" s="278"/>
      <c r="Q57" s="278"/>
      <c r="R57" s="278"/>
      <c r="S57" s="278"/>
      <c r="T57" s="149"/>
      <c r="U57" s="202">
        <f>Input!B122</f>
        <v>0</v>
      </c>
      <c r="V57" s="448">
        <f>Input!F122</f>
        <v>0</v>
      </c>
      <c r="W57" s="399">
        <f>Input!U122</f>
        <v>0</v>
      </c>
      <c r="X57" s="303">
        <f>Input!H122</f>
        <v>0</v>
      </c>
      <c r="Y57" s="448">
        <f>Input!I122</f>
        <v>0</v>
      </c>
      <c r="Z57" s="399">
        <f>Input!V122</f>
        <v>0</v>
      </c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</row>
    <row r="58" spans="1:42" x14ac:dyDescent="0.2">
      <c r="A58" s="278"/>
      <c r="B58" s="278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149"/>
      <c r="O58" s="149"/>
      <c r="P58" s="278"/>
      <c r="Q58" s="278"/>
      <c r="R58" s="278"/>
      <c r="S58" s="278"/>
      <c r="T58" s="149"/>
      <c r="U58" s="202">
        <f>Input!B123</f>
        <v>0</v>
      </c>
      <c r="V58" s="448">
        <f>Input!F123</f>
        <v>0</v>
      </c>
      <c r="W58" s="399">
        <f>Input!U123</f>
        <v>0</v>
      </c>
      <c r="X58" s="303">
        <f>Input!H123</f>
        <v>0</v>
      </c>
      <c r="Y58" s="448">
        <f>Input!I123</f>
        <v>0</v>
      </c>
      <c r="Z58" s="399">
        <f>Input!V123</f>
        <v>0</v>
      </c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</row>
    <row r="59" spans="1:42" x14ac:dyDescent="0.2">
      <c r="A59" s="278"/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149"/>
      <c r="O59" s="149"/>
      <c r="P59" s="278"/>
      <c r="Q59" s="278"/>
      <c r="R59" s="278"/>
      <c r="S59" s="278"/>
      <c r="T59" s="149"/>
      <c r="U59" s="202">
        <f>Input!B124</f>
        <v>0</v>
      </c>
      <c r="V59" s="448">
        <f>Input!F124</f>
        <v>0</v>
      </c>
      <c r="W59" s="399">
        <f>Input!U124</f>
        <v>0</v>
      </c>
      <c r="X59" s="303">
        <f>Input!H124</f>
        <v>0</v>
      </c>
      <c r="Y59" s="448">
        <f>Input!I124</f>
        <v>0</v>
      </c>
      <c r="Z59" s="399">
        <f>Input!V124</f>
        <v>0</v>
      </c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</row>
    <row r="60" spans="1:42" x14ac:dyDescent="0.2">
      <c r="A60" s="278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149"/>
      <c r="O60" s="149"/>
      <c r="P60" s="278"/>
      <c r="Q60" s="278"/>
      <c r="R60" s="278"/>
      <c r="S60" s="278"/>
      <c r="T60" s="149"/>
      <c r="U60" s="202">
        <f>Input!B125</f>
        <v>0</v>
      </c>
      <c r="V60" s="448">
        <f>Input!F125</f>
        <v>0</v>
      </c>
      <c r="W60" s="399">
        <f>Input!U125</f>
        <v>0</v>
      </c>
      <c r="X60" s="303">
        <f>Input!H125</f>
        <v>0</v>
      </c>
      <c r="Y60" s="448">
        <f>Input!I125</f>
        <v>0</v>
      </c>
      <c r="Z60" s="399">
        <f>Input!V125</f>
        <v>0</v>
      </c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</row>
    <row r="61" spans="1:42" x14ac:dyDescent="0.2">
      <c r="A61" s="278"/>
      <c r="B61" s="278"/>
      <c r="C61" s="278"/>
      <c r="D61" s="278"/>
      <c r="E61" s="278"/>
      <c r="F61" s="278"/>
      <c r="G61" s="278"/>
      <c r="H61" s="278"/>
      <c r="I61" s="278"/>
      <c r="J61" s="278"/>
      <c r="K61" s="278"/>
      <c r="L61" s="278"/>
      <c r="M61" s="278"/>
      <c r="N61" s="149"/>
      <c r="O61" s="149"/>
      <c r="P61" s="278"/>
      <c r="Q61" s="278"/>
      <c r="R61" s="278"/>
      <c r="S61" s="278"/>
      <c r="T61" s="149"/>
      <c r="U61" s="202">
        <f>Input!B126</f>
        <v>0</v>
      </c>
      <c r="V61" s="448">
        <f>Input!F126</f>
        <v>0</v>
      </c>
      <c r="W61" s="399">
        <f>Input!U126</f>
        <v>0</v>
      </c>
      <c r="X61" s="303">
        <f>Input!H126</f>
        <v>0</v>
      </c>
      <c r="Y61" s="448">
        <f>Input!I126</f>
        <v>0</v>
      </c>
      <c r="Z61" s="399">
        <f>Input!V126</f>
        <v>0</v>
      </c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  <c r="AK61" s="149"/>
      <c r="AL61" s="149"/>
      <c r="AM61" s="149"/>
      <c r="AN61" s="149"/>
      <c r="AO61" s="149"/>
      <c r="AP61" s="149"/>
    </row>
    <row r="62" spans="1:42" x14ac:dyDescent="0.2">
      <c r="A62" s="278"/>
      <c r="B62" s="278"/>
      <c r="C62" s="278"/>
      <c r="D62" s="278"/>
      <c r="E62" s="278"/>
      <c r="F62" s="278"/>
      <c r="G62" s="278"/>
      <c r="H62" s="278"/>
      <c r="I62" s="278"/>
      <c r="J62" s="278"/>
      <c r="K62" s="278"/>
      <c r="L62" s="278"/>
      <c r="M62" s="278"/>
      <c r="N62" s="149"/>
      <c r="O62" s="149"/>
      <c r="P62" s="278"/>
      <c r="Q62" s="278"/>
      <c r="R62" s="278"/>
      <c r="S62" s="278"/>
      <c r="T62" s="149"/>
      <c r="U62" s="202">
        <f>Input!B127</f>
        <v>0</v>
      </c>
      <c r="V62" s="448">
        <f>Input!F127</f>
        <v>0</v>
      </c>
      <c r="W62" s="399">
        <f>Input!U127</f>
        <v>0</v>
      </c>
      <c r="X62" s="303">
        <f>Input!H127</f>
        <v>0</v>
      </c>
      <c r="Y62" s="448">
        <f>Input!I127</f>
        <v>0</v>
      </c>
      <c r="Z62" s="399">
        <f>Input!V127</f>
        <v>0</v>
      </c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  <c r="AM62" s="149"/>
      <c r="AN62" s="149"/>
      <c r="AO62" s="149"/>
      <c r="AP62" s="149"/>
    </row>
    <row r="63" spans="1:42" x14ac:dyDescent="0.2">
      <c r="A63" s="278"/>
      <c r="B63" s="278"/>
      <c r="C63" s="278"/>
      <c r="D63" s="278"/>
      <c r="E63" s="278"/>
      <c r="F63" s="278"/>
      <c r="G63" s="278"/>
      <c r="H63" s="278"/>
      <c r="I63" s="278"/>
      <c r="J63" s="278"/>
      <c r="K63" s="278"/>
      <c r="L63" s="278"/>
      <c r="M63" s="278"/>
      <c r="N63" s="149"/>
      <c r="O63" s="149"/>
      <c r="P63" s="278"/>
      <c r="Q63" s="278"/>
      <c r="R63" s="278"/>
      <c r="S63" s="278"/>
      <c r="T63" s="149"/>
      <c r="U63" s="202">
        <f>Input!B128</f>
        <v>0</v>
      </c>
      <c r="V63" s="448">
        <f>Input!F128</f>
        <v>0</v>
      </c>
      <c r="W63" s="399">
        <f>Input!U128</f>
        <v>0</v>
      </c>
      <c r="X63" s="303">
        <f>Input!H128</f>
        <v>0</v>
      </c>
      <c r="Y63" s="448">
        <f>Input!I128</f>
        <v>0</v>
      </c>
      <c r="Z63" s="399">
        <f>Input!V128</f>
        <v>0</v>
      </c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/>
    </row>
    <row r="64" spans="1:42" x14ac:dyDescent="0.2">
      <c r="A64" s="278"/>
      <c r="B64" s="278"/>
      <c r="C64" s="278"/>
      <c r="D64" s="278"/>
      <c r="E64" s="278"/>
      <c r="F64" s="278"/>
      <c r="G64" s="278"/>
      <c r="H64" s="278"/>
      <c r="I64" s="278"/>
      <c r="J64" s="278"/>
      <c r="K64" s="278"/>
      <c r="L64" s="278"/>
      <c r="M64" s="278"/>
      <c r="N64" s="149"/>
      <c r="O64" s="149"/>
      <c r="P64" s="278"/>
      <c r="Q64" s="278"/>
      <c r="R64" s="278"/>
      <c r="S64" s="278"/>
      <c r="T64" s="149"/>
      <c r="U64" s="202">
        <f>Input!B129</f>
        <v>0</v>
      </c>
      <c r="V64" s="448">
        <f>Input!F129</f>
        <v>0</v>
      </c>
      <c r="W64" s="399">
        <f>Input!U129</f>
        <v>0</v>
      </c>
      <c r="X64" s="303">
        <f>Input!H129</f>
        <v>0</v>
      </c>
      <c r="Y64" s="448">
        <f>Input!I129</f>
        <v>0</v>
      </c>
      <c r="Z64" s="399">
        <f>Input!V129</f>
        <v>0</v>
      </c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</row>
    <row r="65" spans="1:42" x14ac:dyDescent="0.2">
      <c r="A65" s="278"/>
      <c r="B65" s="278"/>
      <c r="C65" s="278"/>
      <c r="D65" s="278"/>
      <c r="E65" s="278"/>
      <c r="F65" s="278"/>
      <c r="G65" s="278"/>
      <c r="H65" s="278"/>
      <c r="I65" s="278"/>
      <c r="J65" s="278"/>
      <c r="K65" s="278"/>
      <c r="L65" s="278"/>
      <c r="M65" s="278"/>
      <c r="N65" s="149"/>
      <c r="O65" s="149"/>
      <c r="P65" s="278"/>
      <c r="Q65" s="278"/>
      <c r="R65" s="278"/>
      <c r="S65" s="278"/>
      <c r="T65" s="149"/>
      <c r="U65" s="202">
        <f>Input!B130</f>
        <v>0</v>
      </c>
      <c r="V65" s="448">
        <f>Input!F130</f>
        <v>0</v>
      </c>
      <c r="W65" s="399">
        <f>Input!U130</f>
        <v>0</v>
      </c>
      <c r="X65" s="303">
        <f>Input!H130</f>
        <v>0</v>
      </c>
      <c r="Y65" s="448">
        <f>Input!I130</f>
        <v>0</v>
      </c>
      <c r="Z65" s="399">
        <f>Input!V130</f>
        <v>0</v>
      </c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</row>
    <row r="66" spans="1:42" x14ac:dyDescent="0.2">
      <c r="A66" s="278"/>
      <c r="B66" s="278"/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8"/>
      <c r="N66" s="149"/>
      <c r="O66" s="149"/>
      <c r="P66" s="278"/>
      <c r="Q66" s="278"/>
      <c r="R66" s="278"/>
      <c r="S66" s="278"/>
      <c r="T66" s="149"/>
      <c r="U66" s="202">
        <f>Input!B131</f>
        <v>0</v>
      </c>
      <c r="V66" s="448">
        <f>Input!F131</f>
        <v>0</v>
      </c>
      <c r="W66" s="399">
        <f>Input!U131</f>
        <v>0</v>
      </c>
      <c r="X66" s="303">
        <f>Input!H131</f>
        <v>0</v>
      </c>
      <c r="Y66" s="448">
        <f>Input!I131</f>
        <v>0</v>
      </c>
      <c r="Z66" s="399">
        <f>Input!V131</f>
        <v>0</v>
      </c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</row>
    <row r="67" spans="1:42" x14ac:dyDescent="0.2">
      <c r="A67" s="278"/>
      <c r="B67" s="278"/>
      <c r="C67" s="278"/>
      <c r="D67" s="278"/>
      <c r="E67" s="278"/>
      <c r="F67" s="278"/>
      <c r="G67" s="278"/>
      <c r="H67" s="278"/>
      <c r="I67" s="278"/>
      <c r="J67" s="278"/>
      <c r="K67" s="278"/>
      <c r="L67" s="278"/>
      <c r="M67" s="278"/>
      <c r="N67" s="149"/>
      <c r="O67" s="149"/>
      <c r="P67" s="278"/>
      <c r="Q67" s="278"/>
      <c r="R67" s="278"/>
      <c r="S67" s="278"/>
      <c r="T67" s="149"/>
      <c r="U67" s="202">
        <f>Input!B132</f>
        <v>0</v>
      </c>
      <c r="V67" s="448">
        <f>Input!F132</f>
        <v>0</v>
      </c>
      <c r="W67" s="399">
        <f>Input!U132</f>
        <v>0</v>
      </c>
      <c r="X67" s="303">
        <f>Input!H132</f>
        <v>0</v>
      </c>
      <c r="Y67" s="448">
        <f>Input!I132</f>
        <v>0</v>
      </c>
      <c r="Z67" s="399">
        <f>Input!V132</f>
        <v>0</v>
      </c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</row>
    <row r="68" spans="1:42" x14ac:dyDescent="0.2">
      <c r="A68" s="278"/>
      <c r="B68" s="278"/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149"/>
      <c r="O68" s="149"/>
      <c r="P68" s="278"/>
      <c r="Q68" s="278"/>
      <c r="R68" s="278"/>
      <c r="S68" s="278"/>
      <c r="T68" s="149"/>
      <c r="U68" s="202">
        <f>Input!B133</f>
        <v>0</v>
      </c>
      <c r="V68" s="448">
        <f>Input!F133</f>
        <v>0</v>
      </c>
      <c r="W68" s="399">
        <f>Input!U133</f>
        <v>0</v>
      </c>
      <c r="X68" s="303">
        <f>Input!H133</f>
        <v>0</v>
      </c>
      <c r="Y68" s="448">
        <f>Input!I133</f>
        <v>0</v>
      </c>
      <c r="Z68" s="399">
        <f>Input!V133</f>
        <v>0</v>
      </c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</row>
    <row r="69" spans="1:42" x14ac:dyDescent="0.2">
      <c r="A69" s="278"/>
      <c r="B69" s="278"/>
      <c r="C69" s="278"/>
      <c r="D69" s="278"/>
      <c r="E69" s="278"/>
      <c r="F69" s="278"/>
      <c r="G69" s="278"/>
      <c r="H69" s="278"/>
      <c r="I69" s="278"/>
      <c r="J69" s="278"/>
      <c r="K69" s="278"/>
      <c r="L69" s="278"/>
      <c r="M69" s="278"/>
      <c r="N69" s="149"/>
      <c r="O69" s="149"/>
      <c r="P69" s="278"/>
      <c r="Q69" s="278"/>
      <c r="R69" s="278"/>
      <c r="S69" s="278"/>
      <c r="T69" s="149"/>
      <c r="U69" s="202">
        <f>Input!B134</f>
        <v>0</v>
      </c>
      <c r="V69" s="448">
        <f>Input!F134</f>
        <v>0</v>
      </c>
      <c r="W69" s="399">
        <f>Input!U134</f>
        <v>0</v>
      </c>
      <c r="X69" s="303">
        <f>Input!H134</f>
        <v>0</v>
      </c>
      <c r="Y69" s="448">
        <f>Input!I134</f>
        <v>0</v>
      </c>
      <c r="Z69" s="399">
        <f>Input!V134</f>
        <v>0</v>
      </c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</row>
    <row r="70" spans="1:42" x14ac:dyDescent="0.2">
      <c r="A70" s="278"/>
      <c r="B70" s="278"/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149"/>
      <c r="O70" s="149"/>
      <c r="P70" s="278"/>
      <c r="Q70" s="278"/>
      <c r="R70" s="278"/>
      <c r="S70" s="278"/>
      <c r="T70" s="149"/>
      <c r="U70" s="202">
        <f>Input!B135</f>
        <v>0</v>
      </c>
      <c r="V70" s="448">
        <f>Input!F135</f>
        <v>0</v>
      </c>
      <c r="W70" s="399">
        <f>Input!U135</f>
        <v>0</v>
      </c>
      <c r="X70" s="303">
        <f>Input!H135</f>
        <v>0</v>
      </c>
      <c r="Y70" s="448">
        <f>Input!I135</f>
        <v>0</v>
      </c>
      <c r="Z70" s="399">
        <f>Input!V135</f>
        <v>0</v>
      </c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</row>
    <row r="71" spans="1:42" x14ac:dyDescent="0.2">
      <c r="A71" s="278"/>
      <c r="B71" s="278"/>
      <c r="C71" s="278"/>
      <c r="D71" s="278"/>
      <c r="E71" s="278"/>
      <c r="F71" s="278"/>
      <c r="G71" s="278"/>
      <c r="H71" s="278"/>
      <c r="I71" s="278"/>
      <c r="J71" s="278"/>
      <c r="K71" s="278"/>
      <c r="L71" s="278"/>
      <c r="M71" s="278"/>
      <c r="N71" s="149"/>
      <c r="O71" s="149"/>
      <c r="P71" s="278"/>
      <c r="Q71" s="278"/>
      <c r="R71" s="278"/>
      <c r="S71" s="278"/>
      <c r="T71" s="149"/>
      <c r="U71" s="202">
        <f>Input!B136</f>
        <v>0</v>
      </c>
      <c r="V71" s="448">
        <f>Input!F136</f>
        <v>0</v>
      </c>
      <c r="W71" s="399">
        <f>Input!U136</f>
        <v>0</v>
      </c>
      <c r="X71" s="303">
        <f>Input!H136</f>
        <v>0</v>
      </c>
      <c r="Y71" s="448">
        <f>Input!I136</f>
        <v>0</v>
      </c>
      <c r="Z71" s="399">
        <f>Input!V136</f>
        <v>0</v>
      </c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</row>
    <row r="72" spans="1:42" x14ac:dyDescent="0.2">
      <c r="A72" s="278"/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  <c r="M72" s="278"/>
      <c r="N72" s="149"/>
      <c r="O72" s="149"/>
      <c r="P72" s="278"/>
      <c r="Q72" s="278"/>
      <c r="R72" s="278"/>
      <c r="S72" s="278"/>
      <c r="T72" s="149"/>
      <c r="U72" s="202">
        <f>Input!B137</f>
        <v>0</v>
      </c>
      <c r="V72" s="448">
        <f>Input!F137</f>
        <v>0</v>
      </c>
      <c r="W72" s="399">
        <f>Input!U137</f>
        <v>0</v>
      </c>
      <c r="X72" s="303">
        <f>Input!H137</f>
        <v>0</v>
      </c>
      <c r="Y72" s="448">
        <f>Input!I137</f>
        <v>0</v>
      </c>
      <c r="Z72" s="399">
        <f>Input!V137</f>
        <v>0</v>
      </c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</row>
    <row r="73" spans="1:42" x14ac:dyDescent="0.2">
      <c r="A73" s="278"/>
      <c r="B73" s="278"/>
      <c r="C73" s="278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149"/>
      <c r="O73" s="149"/>
      <c r="P73" s="278"/>
      <c r="Q73" s="278"/>
      <c r="R73" s="278"/>
      <c r="S73" s="278"/>
      <c r="T73" s="149"/>
      <c r="U73" s="202">
        <f>Input!B138</f>
        <v>0</v>
      </c>
      <c r="V73" s="448">
        <f>Input!F138</f>
        <v>0</v>
      </c>
      <c r="W73" s="399">
        <f>Input!U138</f>
        <v>0</v>
      </c>
      <c r="X73" s="303">
        <f>Input!H138</f>
        <v>0</v>
      </c>
      <c r="Y73" s="448">
        <f>Input!I138</f>
        <v>0</v>
      </c>
      <c r="Z73" s="399">
        <f>Input!V138</f>
        <v>0</v>
      </c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</row>
    <row r="74" spans="1:42" x14ac:dyDescent="0.2">
      <c r="A74" s="278"/>
      <c r="B74" s="278"/>
      <c r="C74" s="278"/>
      <c r="D74" s="278"/>
      <c r="E74" s="278"/>
      <c r="F74" s="278"/>
      <c r="G74" s="278"/>
      <c r="H74" s="278"/>
      <c r="I74" s="278"/>
      <c r="J74" s="278"/>
      <c r="K74" s="278"/>
      <c r="L74" s="278"/>
      <c r="M74" s="278"/>
      <c r="N74" s="149"/>
      <c r="O74" s="149"/>
      <c r="P74" s="278"/>
      <c r="Q74" s="278"/>
      <c r="R74" s="278"/>
      <c r="S74" s="278"/>
      <c r="T74" s="149"/>
      <c r="U74" s="202">
        <f>Input!B139</f>
        <v>0</v>
      </c>
      <c r="V74" s="448">
        <f>Input!F139</f>
        <v>0</v>
      </c>
      <c r="W74" s="399">
        <f>Input!U139</f>
        <v>0</v>
      </c>
      <c r="X74" s="303">
        <f>Input!H139</f>
        <v>0</v>
      </c>
      <c r="Y74" s="448">
        <f>Input!I139</f>
        <v>0</v>
      </c>
      <c r="Z74" s="399">
        <f>Input!V139</f>
        <v>0</v>
      </c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</row>
    <row r="75" spans="1:42" x14ac:dyDescent="0.2">
      <c r="A75" s="278"/>
      <c r="B75" s="278"/>
      <c r="C75" s="278"/>
      <c r="D75" s="278"/>
      <c r="E75" s="278"/>
      <c r="F75" s="278"/>
      <c r="G75" s="278"/>
      <c r="H75" s="278"/>
      <c r="I75" s="278"/>
      <c r="J75" s="278"/>
      <c r="K75" s="278"/>
      <c r="L75" s="278"/>
      <c r="M75" s="278"/>
      <c r="N75" s="149"/>
      <c r="O75" s="149"/>
      <c r="P75" s="278"/>
      <c r="Q75" s="278"/>
      <c r="R75" s="278"/>
      <c r="S75" s="278"/>
      <c r="T75" s="149"/>
      <c r="U75" s="202">
        <f>Input!B140</f>
        <v>0</v>
      </c>
      <c r="V75" s="448">
        <f>Input!F140</f>
        <v>0</v>
      </c>
      <c r="W75" s="399">
        <f>Input!U140</f>
        <v>0</v>
      </c>
      <c r="X75" s="303">
        <f>Input!H140</f>
        <v>0</v>
      </c>
      <c r="Y75" s="448">
        <f>Input!I140</f>
        <v>0</v>
      </c>
      <c r="Z75" s="399">
        <f>Input!V140</f>
        <v>0</v>
      </c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49"/>
      <c r="AL75" s="149"/>
      <c r="AM75" s="149"/>
      <c r="AN75" s="149"/>
      <c r="AO75" s="149"/>
      <c r="AP75" s="149"/>
    </row>
    <row r="76" spans="1:42" x14ac:dyDescent="0.2">
      <c r="A76" s="278"/>
      <c r="B76" s="278"/>
      <c r="C76" s="278"/>
      <c r="D76" s="278"/>
      <c r="E76" s="278"/>
      <c r="F76" s="278"/>
      <c r="G76" s="278"/>
      <c r="H76" s="278"/>
      <c r="I76" s="278"/>
      <c r="J76" s="278"/>
      <c r="K76" s="278"/>
      <c r="L76" s="278"/>
      <c r="M76" s="278"/>
      <c r="N76" s="149"/>
      <c r="O76" s="149"/>
      <c r="P76" s="278"/>
      <c r="Q76" s="278"/>
      <c r="R76" s="278"/>
      <c r="S76" s="278"/>
      <c r="T76" s="149"/>
      <c r="U76" s="202">
        <f>Input!B141</f>
        <v>0</v>
      </c>
      <c r="V76" s="448">
        <f>Input!F141</f>
        <v>0</v>
      </c>
      <c r="W76" s="399">
        <f>Input!U141</f>
        <v>0</v>
      </c>
      <c r="X76" s="303">
        <f>Input!H141</f>
        <v>0</v>
      </c>
      <c r="Y76" s="448">
        <f>Input!I141</f>
        <v>0</v>
      </c>
      <c r="Z76" s="399">
        <f>Input!V141</f>
        <v>0</v>
      </c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</row>
    <row r="77" spans="1:42" x14ac:dyDescent="0.2">
      <c r="A77" s="278"/>
      <c r="B77" s="278"/>
      <c r="C77" s="278"/>
      <c r="D77" s="278"/>
      <c r="E77" s="278"/>
      <c r="F77" s="278"/>
      <c r="G77" s="278"/>
      <c r="H77" s="278"/>
      <c r="I77" s="278"/>
      <c r="J77" s="278"/>
      <c r="K77" s="278"/>
      <c r="L77" s="278"/>
      <c r="M77" s="278"/>
      <c r="N77" s="149"/>
      <c r="O77" s="149"/>
      <c r="P77" s="278"/>
      <c r="Q77" s="278"/>
      <c r="R77" s="278"/>
      <c r="S77" s="278"/>
      <c r="T77" s="149"/>
      <c r="U77" s="202">
        <f>Input!B142</f>
        <v>0</v>
      </c>
      <c r="V77" s="448">
        <f>Input!F142</f>
        <v>0</v>
      </c>
      <c r="W77" s="399">
        <f>Input!U142</f>
        <v>0</v>
      </c>
      <c r="X77" s="303">
        <f>Input!H142</f>
        <v>0</v>
      </c>
      <c r="Y77" s="448">
        <f>Input!I142</f>
        <v>0</v>
      </c>
      <c r="Z77" s="399">
        <f>Input!V142</f>
        <v>0</v>
      </c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</row>
    <row r="78" spans="1:42" x14ac:dyDescent="0.2">
      <c r="A78" s="278"/>
      <c r="B78" s="278"/>
      <c r="C78" s="278"/>
      <c r="D78" s="278"/>
      <c r="E78" s="278"/>
      <c r="F78" s="278"/>
      <c r="G78" s="278"/>
      <c r="H78" s="278"/>
      <c r="I78" s="278"/>
      <c r="J78" s="278"/>
      <c r="K78" s="278"/>
      <c r="L78" s="278"/>
      <c r="M78" s="278"/>
      <c r="N78" s="149"/>
      <c r="O78" s="149"/>
      <c r="P78" s="278"/>
      <c r="Q78" s="278"/>
      <c r="R78" s="278"/>
      <c r="S78" s="278"/>
      <c r="T78" s="149"/>
      <c r="U78" s="202">
        <f>Input!B143</f>
        <v>0</v>
      </c>
      <c r="V78" s="448">
        <f>Input!F143</f>
        <v>0</v>
      </c>
      <c r="W78" s="399">
        <f>Input!U143</f>
        <v>0</v>
      </c>
      <c r="X78" s="303">
        <f>Input!H143</f>
        <v>0</v>
      </c>
      <c r="Y78" s="448">
        <f>Input!I143</f>
        <v>0</v>
      </c>
      <c r="Z78" s="399">
        <f>Input!V143</f>
        <v>0</v>
      </c>
      <c r="AA78" s="149"/>
      <c r="AB78" s="149"/>
      <c r="AC78" s="149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</row>
    <row r="79" spans="1:42" x14ac:dyDescent="0.2">
      <c r="A79" s="278"/>
      <c r="B79" s="278"/>
      <c r="C79" s="278"/>
      <c r="D79" s="278"/>
      <c r="E79" s="278"/>
      <c r="F79" s="278"/>
      <c r="G79" s="278"/>
      <c r="H79" s="278"/>
      <c r="I79" s="278"/>
      <c r="J79" s="278"/>
      <c r="K79" s="278"/>
      <c r="L79" s="278"/>
      <c r="M79" s="278"/>
      <c r="N79" s="149"/>
      <c r="O79" s="149"/>
      <c r="P79" s="278"/>
      <c r="Q79" s="278"/>
      <c r="R79" s="278"/>
      <c r="S79" s="278"/>
      <c r="T79" s="149"/>
      <c r="U79" s="202">
        <f>Input!B144</f>
        <v>0</v>
      </c>
      <c r="V79" s="448">
        <f>Input!F144</f>
        <v>0</v>
      </c>
      <c r="W79" s="399">
        <f>Input!U144</f>
        <v>0</v>
      </c>
      <c r="X79" s="303">
        <f>Input!H144</f>
        <v>0</v>
      </c>
      <c r="Y79" s="448">
        <f>Input!I144</f>
        <v>0</v>
      </c>
      <c r="Z79" s="399">
        <f>Input!V144</f>
        <v>0</v>
      </c>
      <c r="AA79" s="149"/>
      <c r="AB79" s="149"/>
      <c r="AC79" s="149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/>
    </row>
    <row r="80" spans="1:42" x14ac:dyDescent="0.2">
      <c r="A80" s="278"/>
      <c r="B80" s="278"/>
      <c r="C80" s="278"/>
      <c r="D80" s="278"/>
      <c r="E80" s="278"/>
      <c r="F80" s="278"/>
      <c r="G80" s="278"/>
      <c r="H80" s="278"/>
      <c r="I80" s="278"/>
      <c r="J80" s="278"/>
      <c r="K80" s="278"/>
      <c r="L80" s="278"/>
      <c r="M80" s="278"/>
      <c r="N80" s="149"/>
      <c r="O80" s="149"/>
      <c r="P80" s="278"/>
      <c r="Q80" s="278"/>
      <c r="R80" s="278"/>
      <c r="S80" s="278"/>
      <c r="T80" s="149"/>
      <c r="U80" s="202">
        <f>Input!B145</f>
        <v>0</v>
      </c>
      <c r="V80" s="448">
        <f>Input!F145</f>
        <v>0</v>
      </c>
      <c r="W80" s="399">
        <f>Input!U145</f>
        <v>0</v>
      </c>
      <c r="X80" s="303">
        <f>Input!H145</f>
        <v>0</v>
      </c>
      <c r="Y80" s="448">
        <f>Input!I145</f>
        <v>0</v>
      </c>
      <c r="Z80" s="399">
        <f>Input!V145</f>
        <v>0</v>
      </c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49"/>
    </row>
    <row r="81" spans="1:42" x14ac:dyDescent="0.2">
      <c r="A81" s="278"/>
      <c r="B81" s="278"/>
      <c r="C81" s="278"/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149"/>
      <c r="O81" s="149"/>
      <c r="P81" s="278"/>
      <c r="Q81" s="278"/>
      <c r="R81" s="278"/>
      <c r="S81" s="278"/>
      <c r="T81" s="149"/>
      <c r="U81" s="202">
        <f>Input!B146</f>
        <v>0</v>
      </c>
      <c r="V81" s="448">
        <f>Input!F146</f>
        <v>0</v>
      </c>
      <c r="W81" s="399">
        <f>Input!U146</f>
        <v>0</v>
      </c>
      <c r="X81" s="303">
        <f>Input!H146</f>
        <v>0</v>
      </c>
      <c r="Y81" s="448">
        <f>Input!I146</f>
        <v>0</v>
      </c>
      <c r="Z81" s="399">
        <f>Input!V146</f>
        <v>0</v>
      </c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/>
      <c r="AM81" s="149"/>
      <c r="AN81" s="149"/>
      <c r="AO81" s="149"/>
      <c r="AP81" s="149"/>
    </row>
    <row r="82" spans="1:42" x14ac:dyDescent="0.2">
      <c r="A82" s="278"/>
      <c r="B82" s="278"/>
      <c r="C82" s="278"/>
      <c r="D82" s="278"/>
      <c r="E82" s="278"/>
      <c r="F82" s="278"/>
      <c r="G82" s="278"/>
      <c r="H82" s="278"/>
      <c r="I82" s="278"/>
      <c r="J82" s="278"/>
      <c r="K82" s="278"/>
      <c r="L82" s="278"/>
      <c r="M82" s="278"/>
      <c r="N82" s="149"/>
      <c r="O82" s="149"/>
      <c r="P82" s="278"/>
      <c r="Q82" s="278"/>
      <c r="R82" s="278"/>
      <c r="S82" s="278"/>
      <c r="T82" s="149"/>
      <c r="U82" s="202">
        <f>Input!B147</f>
        <v>0</v>
      </c>
      <c r="V82" s="448">
        <f>Input!F147</f>
        <v>0</v>
      </c>
      <c r="W82" s="399">
        <f>Input!U147</f>
        <v>0</v>
      </c>
      <c r="X82" s="303">
        <f>Input!H147</f>
        <v>0</v>
      </c>
      <c r="Y82" s="448">
        <f>Input!I147</f>
        <v>0</v>
      </c>
      <c r="Z82" s="399">
        <f>Input!V147</f>
        <v>0</v>
      </c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49"/>
      <c r="AP82" s="149"/>
    </row>
    <row r="83" spans="1:42" x14ac:dyDescent="0.2">
      <c r="A83" s="278"/>
      <c r="B83" s="278"/>
      <c r="C83" s="278"/>
      <c r="D83" s="278"/>
      <c r="E83" s="278"/>
      <c r="F83" s="278"/>
      <c r="G83" s="278"/>
      <c r="H83" s="278"/>
      <c r="I83" s="278"/>
      <c r="J83" s="278"/>
      <c r="K83" s="278"/>
      <c r="L83" s="278"/>
      <c r="M83" s="278"/>
      <c r="N83" s="149"/>
      <c r="O83" s="149"/>
      <c r="P83" s="278"/>
      <c r="Q83" s="278"/>
      <c r="R83" s="278"/>
      <c r="S83" s="278"/>
      <c r="T83" s="149"/>
      <c r="U83" s="202">
        <f>Input!B148</f>
        <v>0</v>
      </c>
      <c r="V83" s="448">
        <f>Input!F148</f>
        <v>0</v>
      </c>
      <c r="W83" s="399">
        <f>Input!U148</f>
        <v>0</v>
      </c>
      <c r="X83" s="303">
        <f>Input!H148</f>
        <v>0</v>
      </c>
      <c r="Y83" s="448">
        <f>Input!I148</f>
        <v>0</v>
      </c>
      <c r="Z83" s="399">
        <f>Input!V148</f>
        <v>0</v>
      </c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</row>
    <row r="84" spans="1:42" x14ac:dyDescent="0.2">
      <c r="A84" s="278"/>
      <c r="B84" s="278"/>
      <c r="C84" s="278"/>
      <c r="D84" s="278"/>
      <c r="E84" s="278"/>
      <c r="F84" s="278"/>
      <c r="G84" s="278"/>
      <c r="H84" s="278"/>
      <c r="I84" s="278"/>
      <c r="J84" s="278"/>
      <c r="K84" s="278"/>
      <c r="L84" s="278"/>
      <c r="M84" s="278"/>
      <c r="N84" s="149"/>
      <c r="O84" s="149"/>
      <c r="P84" s="278"/>
      <c r="Q84" s="278"/>
      <c r="R84" s="278"/>
      <c r="S84" s="278"/>
      <c r="T84" s="149"/>
      <c r="U84" s="202">
        <f>Input!B149</f>
        <v>0</v>
      </c>
      <c r="V84" s="448">
        <f>Input!F149</f>
        <v>0</v>
      </c>
      <c r="W84" s="399">
        <f>Input!U149</f>
        <v>0</v>
      </c>
      <c r="X84" s="303">
        <f>Input!H149</f>
        <v>0</v>
      </c>
      <c r="Y84" s="448">
        <f>Input!I149</f>
        <v>0</v>
      </c>
      <c r="Z84" s="399">
        <f>Input!V149</f>
        <v>0</v>
      </c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  <c r="AO84" s="149"/>
      <c r="AP84" s="149"/>
    </row>
    <row r="85" spans="1:42" x14ac:dyDescent="0.2">
      <c r="A85" s="278"/>
      <c r="B85" s="278"/>
      <c r="C85" s="278"/>
      <c r="D85" s="278"/>
      <c r="E85" s="278"/>
      <c r="F85" s="278"/>
      <c r="G85" s="278"/>
      <c r="H85" s="278"/>
      <c r="I85" s="278"/>
      <c r="J85" s="278"/>
      <c r="K85" s="278"/>
      <c r="L85" s="278"/>
      <c r="M85" s="278"/>
      <c r="N85" s="149"/>
      <c r="O85" s="149"/>
      <c r="P85" s="278"/>
      <c r="Q85" s="278"/>
      <c r="R85" s="278"/>
      <c r="S85" s="278"/>
      <c r="T85" s="149"/>
      <c r="U85" s="202">
        <f>Input!B150</f>
        <v>0</v>
      </c>
      <c r="V85" s="448">
        <f>Input!F150</f>
        <v>0</v>
      </c>
      <c r="W85" s="399">
        <f>Input!U150</f>
        <v>0</v>
      </c>
      <c r="X85" s="303">
        <f>Input!H150</f>
        <v>0</v>
      </c>
      <c r="Y85" s="448">
        <f>Input!I150</f>
        <v>0</v>
      </c>
      <c r="Z85" s="399">
        <f>Input!V150</f>
        <v>0</v>
      </c>
      <c r="AA85" s="149"/>
      <c r="AB85" s="149"/>
      <c r="AC85" s="149"/>
      <c r="AD85" s="149"/>
      <c r="AE85" s="149"/>
      <c r="AF85" s="149"/>
      <c r="AG85" s="149"/>
      <c r="AH85" s="149"/>
      <c r="AI85" s="149"/>
      <c r="AJ85" s="149"/>
      <c r="AK85" s="149"/>
      <c r="AL85" s="149"/>
      <c r="AM85" s="149"/>
      <c r="AN85" s="149"/>
      <c r="AO85" s="149"/>
      <c r="AP85" s="149"/>
    </row>
    <row r="86" spans="1:42" x14ac:dyDescent="0.2">
      <c r="A86" s="278"/>
      <c r="B86" s="278"/>
      <c r="C86" s="278"/>
      <c r="D86" s="278"/>
      <c r="E86" s="278"/>
      <c r="F86" s="278"/>
      <c r="G86" s="278"/>
      <c r="H86" s="278"/>
      <c r="I86" s="278"/>
      <c r="J86" s="278"/>
      <c r="K86" s="278"/>
      <c r="L86" s="278"/>
      <c r="M86" s="278"/>
      <c r="N86" s="149"/>
      <c r="O86" s="149"/>
      <c r="P86" s="278"/>
      <c r="Q86" s="278"/>
      <c r="R86" s="278"/>
      <c r="S86" s="278"/>
      <c r="T86" s="149"/>
      <c r="U86" s="202">
        <f>Input!B151</f>
        <v>0</v>
      </c>
      <c r="V86" s="448">
        <f>Input!F151</f>
        <v>0</v>
      </c>
      <c r="W86" s="399">
        <f>Input!U151</f>
        <v>0</v>
      </c>
      <c r="X86" s="303">
        <f>Input!H151</f>
        <v>0</v>
      </c>
      <c r="Y86" s="448">
        <f>Input!I151</f>
        <v>0</v>
      </c>
      <c r="Z86" s="399">
        <f>Input!V151</f>
        <v>0</v>
      </c>
      <c r="AA86" s="149"/>
      <c r="AB86" s="149"/>
      <c r="AC86" s="149"/>
      <c r="AD86" s="149"/>
      <c r="AE86" s="149"/>
      <c r="AF86" s="149"/>
      <c r="AG86" s="149"/>
      <c r="AH86" s="149"/>
      <c r="AI86" s="149"/>
      <c r="AJ86" s="149"/>
      <c r="AK86" s="149"/>
      <c r="AL86" s="149"/>
      <c r="AM86" s="149"/>
      <c r="AN86" s="149"/>
      <c r="AO86" s="149"/>
      <c r="AP86" s="149"/>
    </row>
    <row r="87" spans="1:42" x14ac:dyDescent="0.2">
      <c r="A87" s="278"/>
      <c r="B87" s="278"/>
      <c r="C87" s="278"/>
      <c r="D87" s="278"/>
      <c r="E87" s="278"/>
      <c r="F87" s="278"/>
      <c r="G87" s="278"/>
      <c r="H87" s="278"/>
      <c r="I87" s="278"/>
      <c r="J87" s="278"/>
      <c r="K87" s="278"/>
      <c r="L87" s="278"/>
      <c r="M87" s="278"/>
      <c r="N87" s="149"/>
      <c r="O87" s="149"/>
      <c r="P87" s="278"/>
      <c r="Q87" s="278"/>
      <c r="R87" s="278"/>
      <c r="S87" s="278"/>
      <c r="T87" s="149"/>
      <c r="U87" s="202">
        <f>Input!B152</f>
        <v>0</v>
      </c>
      <c r="V87" s="448">
        <f>Input!F152</f>
        <v>0</v>
      </c>
      <c r="W87" s="399">
        <f>Input!U152</f>
        <v>0</v>
      </c>
      <c r="X87" s="303">
        <f>Input!H152</f>
        <v>0</v>
      </c>
      <c r="Y87" s="448">
        <f>Input!I152</f>
        <v>0</v>
      </c>
      <c r="Z87" s="399">
        <f>Input!V152</f>
        <v>0</v>
      </c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49"/>
      <c r="AM87" s="149"/>
      <c r="AN87" s="149"/>
      <c r="AO87" s="149"/>
      <c r="AP87" s="149"/>
    </row>
    <row r="88" spans="1:42" x14ac:dyDescent="0.2">
      <c r="A88" s="278"/>
      <c r="B88" s="278"/>
      <c r="C88" s="278"/>
      <c r="D88" s="278"/>
      <c r="E88" s="278"/>
      <c r="F88" s="278"/>
      <c r="G88" s="278"/>
      <c r="H88" s="278"/>
      <c r="I88" s="278"/>
      <c r="J88" s="278"/>
      <c r="K88" s="278"/>
      <c r="L88" s="278"/>
      <c r="M88" s="278"/>
      <c r="N88" s="149"/>
      <c r="O88" s="149"/>
      <c r="P88" s="278"/>
      <c r="Q88" s="278"/>
      <c r="R88" s="278"/>
      <c r="S88" s="278"/>
      <c r="T88" s="149"/>
      <c r="U88" s="202">
        <f>Input!B153</f>
        <v>0</v>
      </c>
      <c r="V88" s="448">
        <f>Input!F153</f>
        <v>0</v>
      </c>
      <c r="W88" s="399">
        <f>Input!U153</f>
        <v>0</v>
      </c>
      <c r="X88" s="303">
        <f>Input!H153</f>
        <v>0</v>
      </c>
      <c r="Y88" s="448">
        <f>Input!I153</f>
        <v>0</v>
      </c>
      <c r="Z88" s="399">
        <f>Input!V153</f>
        <v>0</v>
      </c>
      <c r="AA88" s="149"/>
      <c r="AB88" s="149"/>
      <c r="AC88" s="149"/>
      <c r="AD88" s="149"/>
      <c r="AE88" s="149"/>
      <c r="AF88" s="149"/>
      <c r="AG88" s="149"/>
      <c r="AH88" s="149"/>
      <c r="AI88" s="149"/>
      <c r="AJ88" s="149"/>
      <c r="AK88" s="149"/>
      <c r="AL88" s="149"/>
      <c r="AM88" s="149"/>
      <c r="AN88" s="149"/>
      <c r="AO88" s="149"/>
      <c r="AP88" s="149"/>
    </row>
    <row r="89" spans="1:42" x14ac:dyDescent="0.2">
      <c r="A89" s="278"/>
      <c r="B89" s="278"/>
      <c r="C89" s="278"/>
      <c r="D89" s="278"/>
      <c r="E89" s="278"/>
      <c r="F89" s="278"/>
      <c r="G89" s="278"/>
      <c r="H89" s="278"/>
      <c r="I89" s="278"/>
      <c r="J89" s="278"/>
      <c r="K89" s="278"/>
      <c r="L89" s="278"/>
      <c r="M89" s="278"/>
      <c r="N89" s="149"/>
      <c r="O89" s="149"/>
      <c r="P89" s="278"/>
      <c r="Q89" s="278"/>
      <c r="R89" s="278"/>
      <c r="S89" s="278"/>
      <c r="T89" s="149"/>
      <c r="U89" s="202">
        <f>Input!B154</f>
        <v>0</v>
      </c>
      <c r="V89" s="448">
        <f>Input!F154</f>
        <v>0</v>
      </c>
      <c r="W89" s="399">
        <f>Input!U154</f>
        <v>0</v>
      </c>
      <c r="X89" s="303">
        <f>Input!H154</f>
        <v>0</v>
      </c>
      <c r="Y89" s="448">
        <f>Input!I154</f>
        <v>0</v>
      </c>
      <c r="Z89" s="399">
        <f>Input!V154</f>
        <v>0</v>
      </c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</row>
    <row r="90" spans="1:42" x14ac:dyDescent="0.2">
      <c r="A90" s="278"/>
      <c r="B90" s="278"/>
      <c r="C90" s="278"/>
      <c r="D90" s="278"/>
      <c r="E90" s="278"/>
      <c r="F90" s="278"/>
      <c r="G90" s="278"/>
      <c r="H90" s="278"/>
      <c r="I90" s="278"/>
      <c r="J90" s="278"/>
      <c r="K90" s="278"/>
      <c r="L90" s="278"/>
      <c r="M90" s="278"/>
      <c r="N90" s="149"/>
      <c r="O90" s="149"/>
      <c r="P90" s="278"/>
      <c r="Q90" s="278"/>
      <c r="R90" s="278"/>
      <c r="S90" s="278"/>
      <c r="T90" s="149"/>
      <c r="U90" s="202">
        <f>Input!B155</f>
        <v>0</v>
      </c>
      <c r="V90" s="448">
        <f>Input!F155</f>
        <v>0</v>
      </c>
      <c r="W90" s="399">
        <f>Input!U155</f>
        <v>0</v>
      </c>
      <c r="X90" s="303">
        <f>Input!H155</f>
        <v>0</v>
      </c>
      <c r="Y90" s="448">
        <f>Input!I155</f>
        <v>0</v>
      </c>
      <c r="Z90" s="399">
        <f>Input!V155</f>
        <v>0</v>
      </c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  <c r="AK90" s="149"/>
      <c r="AL90" s="149"/>
      <c r="AM90" s="149"/>
      <c r="AN90" s="149"/>
      <c r="AO90" s="149"/>
      <c r="AP90" s="149"/>
    </row>
    <row r="91" spans="1:42" x14ac:dyDescent="0.2">
      <c r="A91" s="278"/>
      <c r="B91" s="278"/>
      <c r="C91" s="278"/>
      <c r="D91" s="278"/>
      <c r="E91" s="278"/>
      <c r="F91" s="278"/>
      <c r="G91" s="278"/>
      <c r="H91" s="278"/>
      <c r="I91" s="278"/>
      <c r="J91" s="278"/>
      <c r="K91" s="278"/>
      <c r="L91" s="278"/>
      <c r="M91" s="278"/>
      <c r="N91" s="149"/>
      <c r="O91" s="149"/>
      <c r="P91" s="278"/>
      <c r="Q91" s="278"/>
      <c r="R91" s="278"/>
      <c r="S91" s="278"/>
      <c r="T91" s="149"/>
      <c r="U91" s="202">
        <f>Input!B156</f>
        <v>0</v>
      </c>
      <c r="V91" s="448">
        <f>Input!F156</f>
        <v>0</v>
      </c>
      <c r="W91" s="399">
        <f>Input!U156</f>
        <v>0</v>
      </c>
      <c r="X91" s="303">
        <f>Input!H156</f>
        <v>0</v>
      </c>
      <c r="Y91" s="448">
        <f>Input!I156</f>
        <v>0</v>
      </c>
      <c r="Z91" s="399">
        <f>Input!V156</f>
        <v>0</v>
      </c>
      <c r="AA91" s="149"/>
      <c r="AB91" s="149"/>
      <c r="AC91" s="149"/>
      <c r="AD91" s="149"/>
      <c r="AE91" s="149"/>
      <c r="AF91" s="149"/>
      <c r="AG91" s="149"/>
      <c r="AH91" s="149"/>
      <c r="AI91" s="149"/>
      <c r="AJ91" s="149"/>
      <c r="AK91" s="149"/>
      <c r="AL91" s="149"/>
      <c r="AM91" s="149"/>
      <c r="AN91" s="149"/>
      <c r="AO91" s="149"/>
      <c r="AP91" s="149"/>
    </row>
    <row r="92" spans="1:42" x14ac:dyDescent="0.2">
      <c r="A92" s="278"/>
      <c r="B92" s="278"/>
      <c r="C92" s="278"/>
      <c r="D92" s="278"/>
      <c r="E92" s="278"/>
      <c r="F92" s="278"/>
      <c r="G92" s="278"/>
      <c r="H92" s="278"/>
      <c r="I92" s="278"/>
      <c r="J92" s="278"/>
      <c r="K92" s="278"/>
      <c r="L92" s="278"/>
      <c r="M92" s="278"/>
      <c r="N92" s="149"/>
      <c r="O92" s="149"/>
      <c r="P92" s="278"/>
      <c r="Q92" s="278"/>
      <c r="R92" s="278"/>
      <c r="S92" s="278"/>
      <c r="T92" s="149"/>
      <c r="U92" s="202">
        <f>Input!B157</f>
        <v>0</v>
      </c>
      <c r="V92" s="448">
        <f>Input!F157</f>
        <v>0</v>
      </c>
      <c r="W92" s="399">
        <f>Input!U157</f>
        <v>0</v>
      </c>
      <c r="X92" s="303">
        <f>Input!H157</f>
        <v>0</v>
      </c>
      <c r="Y92" s="448">
        <f>Input!I157</f>
        <v>0</v>
      </c>
      <c r="Z92" s="399">
        <f>Input!V157</f>
        <v>0</v>
      </c>
      <c r="AA92" s="149"/>
      <c r="AB92" s="149"/>
      <c r="AC92" s="149"/>
      <c r="AD92" s="149"/>
      <c r="AE92" s="149"/>
      <c r="AF92" s="149"/>
      <c r="AG92" s="149"/>
      <c r="AH92" s="149"/>
      <c r="AI92" s="149"/>
      <c r="AJ92" s="149"/>
      <c r="AK92" s="149"/>
      <c r="AL92" s="149"/>
      <c r="AM92" s="149"/>
      <c r="AN92" s="149"/>
      <c r="AO92" s="149"/>
      <c r="AP92" s="149"/>
    </row>
    <row r="93" spans="1:42" x14ac:dyDescent="0.2">
      <c r="A93" s="278"/>
      <c r="B93" s="278"/>
      <c r="C93" s="278"/>
      <c r="D93" s="278"/>
      <c r="E93" s="278"/>
      <c r="F93" s="278"/>
      <c r="G93" s="278"/>
      <c r="H93" s="278"/>
      <c r="I93" s="278"/>
      <c r="J93" s="278"/>
      <c r="K93" s="278"/>
      <c r="L93" s="278"/>
      <c r="M93" s="278"/>
      <c r="N93" s="149"/>
      <c r="O93" s="149"/>
      <c r="P93" s="278"/>
      <c r="Q93" s="278"/>
      <c r="R93" s="278"/>
      <c r="S93" s="278"/>
      <c r="T93" s="149"/>
      <c r="U93" s="202">
        <f>Input!B158</f>
        <v>0</v>
      </c>
      <c r="V93" s="448">
        <f>Input!F158</f>
        <v>0</v>
      </c>
      <c r="W93" s="399">
        <f>Input!U158</f>
        <v>0</v>
      </c>
      <c r="X93" s="303">
        <f>Input!H158</f>
        <v>0</v>
      </c>
      <c r="Y93" s="448">
        <f>Input!I158</f>
        <v>0</v>
      </c>
      <c r="Z93" s="399">
        <f>Input!V158</f>
        <v>0</v>
      </c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  <c r="AK93" s="149"/>
      <c r="AL93" s="149"/>
      <c r="AM93" s="149"/>
      <c r="AN93" s="149"/>
      <c r="AO93" s="149"/>
      <c r="AP93" s="149"/>
    </row>
    <row r="94" spans="1:42" x14ac:dyDescent="0.2">
      <c r="A94" s="278"/>
      <c r="B94" s="278"/>
      <c r="C94" s="278"/>
      <c r="D94" s="278"/>
      <c r="E94" s="278"/>
      <c r="F94" s="278"/>
      <c r="G94" s="278"/>
      <c r="H94" s="278"/>
      <c r="I94" s="278"/>
      <c r="J94" s="278"/>
      <c r="K94" s="278"/>
      <c r="L94" s="278"/>
      <c r="M94" s="278"/>
      <c r="N94" s="149"/>
      <c r="O94" s="149"/>
      <c r="P94" s="278"/>
      <c r="Q94" s="278"/>
      <c r="R94" s="278"/>
      <c r="S94" s="278"/>
      <c r="T94" s="149"/>
      <c r="U94" s="202">
        <f>Input!B159</f>
        <v>0</v>
      </c>
      <c r="V94" s="448">
        <f>Input!F159</f>
        <v>0</v>
      </c>
      <c r="W94" s="399">
        <f>Input!U159</f>
        <v>0</v>
      </c>
      <c r="X94" s="303">
        <f>Input!H159</f>
        <v>0</v>
      </c>
      <c r="Y94" s="448">
        <f>Input!I159</f>
        <v>0</v>
      </c>
      <c r="Z94" s="399">
        <f>Input!V159</f>
        <v>0</v>
      </c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  <c r="AK94" s="149"/>
      <c r="AL94" s="149"/>
      <c r="AM94" s="149"/>
      <c r="AN94" s="149"/>
      <c r="AO94" s="149"/>
      <c r="AP94" s="149"/>
    </row>
    <row r="95" spans="1:42" x14ac:dyDescent="0.2">
      <c r="A95" s="278"/>
      <c r="B95" s="278"/>
      <c r="C95" s="278"/>
      <c r="D95" s="278"/>
      <c r="E95" s="278"/>
      <c r="F95" s="278"/>
      <c r="G95" s="278"/>
      <c r="H95" s="278"/>
      <c r="I95" s="278"/>
      <c r="J95" s="278"/>
      <c r="K95" s="278"/>
      <c r="L95" s="278"/>
      <c r="M95" s="278"/>
      <c r="N95" s="149"/>
      <c r="O95" s="149"/>
      <c r="P95" s="278"/>
      <c r="Q95" s="278"/>
      <c r="R95" s="278"/>
      <c r="S95" s="278"/>
      <c r="T95" s="149"/>
      <c r="U95" s="202">
        <f>Input!B160</f>
        <v>0</v>
      </c>
      <c r="V95" s="448">
        <f>Input!F160</f>
        <v>0</v>
      </c>
      <c r="W95" s="399">
        <f>Input!U160</f>
        <v>0</v>
      </c>
      <c r="X95" s="303">
        <f>Input!H160</f>
        <v>0</v>
      </c>
      <c r="Y95" s="448">
        <f>Input!I160</f>
        <v>0</v>
      </c>
      <c r="Z95" s="399">
        <f>Input!V160</f>
        <v>0</v>
      </c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/>
      <c r="AL95" s="149"/>
      <c r="AM95" s="149"/>
      <c r="AN95" s="149"/>
      <c r="AO95" s="149"/>
      <c r="AP95" s="149"/>
    </row>
    <row r="96" spans="1:42" x14ac:dyDescent="0.2">
      <c r="A96" s="278"/>
      <c r="B96" s="278"/>
      <c r="C96" s="278"/>
      <c r="D96" s="278"/>
      <c r="E96" s="278"/>
      <c r="F96" s="278"/>
      <c r="G96" s="278"/>
      <c r="H96" s="278"/>
      <c r="I96" s="278"/>
      <c r="J96" s="278"/>
      <c r="K96" s="278"/>
      <c r="L96" s="278"/>
      <c r="M96" s="278"/>
      <c r="N96" s="149"/>
      <c r="O96" s="149"/>
      <c r="P96" s="278"/>
      <c r="Q96" s="278"/>
      <c r="R96" s="278"/>
      <c r="S96" s="278"/>
      <c r="T96" s="149"/>
      <c r="U96" s="202">
        <f>Input!B161</f>
        <v>0</v>
      </c>
      <c r="V96" s="448">
        <f>Input!F161</f>
        <v>0</v>
      </c>
      <c r="W96" s="399">
        <f>Input!U161</f>
        <v>0</v>
      </c>
      <c r="X96" s="303">
        <f>Input!H161</f>
        <v>0</v>
      </c>
      <c r="Y96" s="448">
        <f>Input!I161</f>
        <v>0</v>
      </c>
      <c r="Z96" s="399">
        <f>Input!V161</f>
        <v>0</v>
      </c>
      <c r="AA96" s="149"/>
      <c r="AB96" s="149"/>
      <c r="AC96" s="149"/>
      <c r="AD96" s="149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49"/>
    </row>
    <row r="97" spans="1:42" x14ac:dyDescent="0.2">
      <c r="A97" s="278"/>
      <c r="B97" s="278"/>
      <c r="C97" s="278"/>
      <c r="D97" s="278"/>
      <c r="E97" s="278"/>
      <c r="F97" s="278"/>
      <c r="G97" s="278"/>
      <c r="H97" s="278"/>
      <c r="I97" s="278"/>
      <c r="J97" s="278"/>
      <c r="K97" s="278"/>
      <c r="L97" s="278"/>
      <c r="M97" s="278"/>
      <c r="N97" s="149"/>
      <c r="O97" s="149"/>
      <c r="P97" s="278"/>
      <c r="Q97" s="278"/>
      <c r="R97" s="278"/>
      <c r="S97" s="278"/>
      <c r="T97" s="149"/>
      <c r="U97" s="202">
        <f>Input!B162</f>
        <v>0</v>
      </c>
      <c r="V97" s="448">
        <f>Input!F162</f>
        <v>0</v>
      </c>
      <c r="W97" s="399">
        <f>Input!U162</f>
        <v>0</v>
      </c>
      <c r="X97" s="303">
        <f>Input!H162</f>
        <v>0</v>
      </c>
      <c r="Y97" s="448">
        <f>Input!I162</f>
        <v>0</v>
      </c>
      <c r="Z97" s="399">
        <f>Input!V162</f>
        <v>0</v>
      </c>
      <c r="AA97" s="149"/>
      <c r="AB97" s="149"/>
      <c r="AC97" s="149"/>
      <c r="AD97" s="149"/>
      <c r="AE97" s="149"/>
      <c r="AF97" s="149"/>
      <c r="AG97" s="149"/>
      <c r="AH97" s="149"/>
      <c r="AI97" s="149"/>
      <c r="AJ97" s="149"/>
      <c r="AK97" s="149"/>
      <c r="AL97" s="149"/>
      <c r="AM97" s="149"/>
      <c r="AN97" s="149"/>
      <c r="AO97" s="149"/>
      <c r="AP97" s="149"/>
    </row>
    <row r="98" spans="1:42" x14ac:dyDescent="0.2">
      <c r="A98" s="278"/>
      <c r="B98" s="278"/>
      <c r="C98" s="278"/>
      <c r="D98" s="278"/>
      <c r="E98" s="278"/>
      <c r="F98" s="278"/>
      <c r="G98" s="278"/>
      <c r="H98" s="278"/>
      <c r="I98" s="278"/>
      <c r="J98" s="278"/>
      <c r="K98" s="278"/>
      <c r="L98" s="278"/>
      <c r="M98" s="278"/>
      <c r="N98" s="149"/>
      <c r="O98" s="149"/>
      <c r="P98" s="278"/>
      <c r="Q98" s="278"/>
      <c r="R98" s="278"/>
      <c r="S98" s="278"/>
      <c r="T98" s="149"/>
      <c r="U98" s="202">
        <f>Input!B163</f>
        <v>0</v>
      </c>
      <c r="V98" s="448">
        <f>Input!F163</f>
        <v>0</v>
      </c>
      <c r="W98" s="399">
        <f>Input!U163</f>
        <v>0</v>
      </c>
      <c r="X98" s="303">
        <f>Input!H163</f>
        <v>0</v>
      </c>
      <c r="Y98" s="448">
        <f>Input!I163</f>
        <v>0</v>
      </c>
      <c r="Z98" s="399">
        <f>Input!V163</f>
        <v>0</v>
      </c>
      <c r="AA98" s="149"/>
      <c r="AB98" s="149"/>
      <c r="AC98" s="149"/>
      <c r="AD98" s="149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49"/>
    </row>
    <row r="99" spans="1:42" x14ac:dyDescent="0.2">
      <c r="A99" s="278"/>
      <c r="B99" s="278"/>
      <c r="C99" s="278"/>
      <c r="D99" s="278"/>
      <c r="E99" s="278"/>
      <c r="F99" s="278"/>
      <c r="G99" s="278"/>
      <c r="H99" s="278"/>
      <c r="I99" s="278"/>
      <c r="J99" s="278"/>
      <c r="K99" s="278"/>
      <c r="L99" s="278"/>
      <c r="M99" s="278"/>
      <c r="N99" s="149"/>
      <c r="O99" s="149"/>
      <c r="P99" s="278"/>
      <c r="Q99" s="278"/>
      <c r="R99" s="278"/>
      <c r="S99" s="278"/>
      <c r="T99" s="149"/>
      <c r="U99" s="202">
        <f>Input!B164</f>
        <v>0</v>
      </c>
      <c r="V99" s="448">
        <f>Input!F164</f>
        <v>0</v>
      </c>
      <c r="W99" s="399">
        <f>Input!U164</f>
        <v>0</v>
      </c>
      <c r="X99" s="303">
        <f>Input!H164</f>
        <v>0</v>
      </c>
      <c r="Y99" s="448">
        <f>Input!I164</f>
        <v>0</v>
      </c>
      <c r="Z99" s="399">
        <f>Input!V164</f>
        <v>0</v>
      </c>
      <c r="AA99" s="149"/>
      <c r="AB99" s="149"/>
      <c r="AC99" s="149"/>
      <c r="AD99" s="149"/>
      <c r="AE99" s="149"/>
      <c r="AF99" s="149"/>
      <c r="AG99" s="149"/>
      <c r="AH99" s="149"/>
      <c r="AI99" s="149"/>
      <c r="AJ99" s="149"/>
      <c r="AK99" s="149"/>
      <c r="AL99" s="149"/>
      <c r="AM99" s="149"/>
      <c r="AN99" s="149"/>
      <c r="AO99" s="149"/>
      <c r="AP99" s="149"/>
    </row>
    <row r="100" spans="1:42" x14ac:dyDescent="0.2">
      <c r="A100" s="278"/>
      <c r="B100" s="278"/>
      <c r="C100" s="278"/>
      <c r="D100" s="278"/>
      <c r="E100" s="278"/>
      <c r="F100" s="278"/>
      <c r="G100" s="278"/>
      <c r="H100" s="278"/>
      <c r="I100" s="278"/>
      <c r="J100" s="278"/>
      <c r="K100" s="278"/>
      <c r="L100" s="278"/>
      <c r="M100" s="278"/>
      <c r="N100" s="149"/>
      <c r="O100" s="149"/>
      <c r="P100" s="278"/>
      <c r="Q100" s="278"/>
      <c r="R100" s="278"/>
      <c r="S100" s="278"/>
      <c r="T100" s="149"/>
      <c r="U100" s="202">
        <f>Input!B165</f>
        <v>0</v>
      </c>
      <c r="V100" s="448">
        <f>Input!F165</f>
        <v>0</v>
      </c>
      <c r="W100" s="399">
        <f>Input!U165</f>
        <v>0</v>
      </c>
      <c r="X100" s="303">
        <f>Input!H165</f>
        <v>0</v>
      </c>
      <c r="Y100" s="448">
        <f>Input!I165</f>
        <v>0</v>
      </c>
      <c r="Z100" s="399">
        <f>Input!V165</f>
        <v>0</v>
      </c>
      <c r="AA100" s="149"/>
      <c r="AB100" s="149"/>
      <c r="AC100" s="149"/>
      <c r="AD100" s="149"/>
      <c r="AE100" s="149"/>
      <c r="AF100" s="149"/>
      <c r="AG100" s="149"/>
      <c r="AH100" s="149"/>
      <c r="AI100" s="149"/>
      <c r="AJ100" s="149"/>
      <c r="AK100" s="149"/>
      <c r="AL100" s="149"/>
      <c r="AM100" s="149"/>
      <c r="AN100" s="149"/>
      <c r="AO100" s="149"/>
      <c r="AP100" s="149"/>
    </row>
    <row r="101" spans="1:42" x14ac:dyDescent="0.2">
      <c r="A101" s="278"/>
      <c r="B101" s="278"/>
      <c r="C101" s="278"/>
      <c r="D101" s="278"/>
      <c r="E101" s="278"/>
      <c r="F101" s="278"/>
      <c r="G101" s="278"/>
      <c r="H101" s="278"/>
      <c r="I101" s="278"/>
      <c r="J101" s="278"/>
      <c r="K101" s="278"/>
      <c r="L101" s="278"/>
      <c r="M101" s="278"/>
      <c r="N101" s="149"/>
      <c r="O101" s="149"/>
      <c r="P101" s="278"/>
      <c r="Q101" s="278"/>
      <c r="R101" s="278"/>
      <c r="S101" s="278"/>
      <c r="T101" s="149"/>
      <c r="U101" s="202">
        <f>Input!B166</f>
        <v>0</v>
      </c>
      <c r="V101" s="448">
        <f>Input!F166</f>
        <v>0</v>
      </c>
      <c r="W101" s="399">
        <f>Input!U166</f>
        <v>0</v>
      </c>
      <c r="X101" s="303">
        <f>Input!H166</f>
        <v>0</v>
      </c>
      <c r="Y101" s="448">
        <f>Input!I166</f>
        <v>0</v>
      </c>
      <c r="Z101" s="399">
        <f>Input!V166</f>
        <v>0</v>
      </c>
      <c r="AA101" s="149"/>
      <c r="AB101" s="149"/>
      <c r="AC101" s="149"/>
      <c r="AD101" s="149"/>
      <c r="AE101" s="149"/>
      <c r="AF101" s="149"/>
      <c r="AG101" s="149"/>
      <c r="AH101" s="149"/>
      <c r="AI101" s="149"/>
      <c r="AJ101" s="149"/>
      <c r="AK101" s="149"/>
      <c r="AL101" s="149"/>
      <c r="AM101" s="149"/>
      <c r="AN101" s="149"/>
      <c r="AO101" s="149"/>
      <c r="AP101" s="149"/>
    </row>
    <row r="102" spans="1:42" x14ac:dyDescent="0.2">
      <c r="A102" s="278"/>
      <c r="B102" s="278"/>
      <c r="C102" s="278"/>
      <c r="D102" s="278"/>
      <c r="E102" s="278"/>
      <c r="F102" s="278"/>
      <c r="G102" s="278"/>
      <c r="H102" s="278"/>
      <c r="I102" s="278"/>
      <c r="J102" s="278"/>
      <c r="K102" s="278"/>
      <c r="L102" s="278"/>
      <c r="M102" s="278"/>
      <c r="N102" s="149"/>
      <c r="O102" s="149"/>
      <c r="P102" s="278"/>
      <c r="Q102" s="278"/>
      <c r="R102" s="278"/>
      <c r="S102" s="278"/>
      <c r="T102" s="149"/>
      <c r="U102" s="202">
        <f>Input!B167</f>
        <v>0</v>
      </c>
      <c r="V102" s="448">
        <f>Input!F167</f>
        <v>0</v>
      </c>
      <c r="W102" s="399">
        <f>Input!U167</f>
        <v>0</v>
      </c>
      <c r="X102" s="303">
        <f>Input!H167</f>
        <v>0</v>
      </c>
      <c r="Y102" s="448">
        <f>Input!I167</f>
        <v>0</v>
      </c>
      <c r="Z102" s="399">
        <f>Input!V167</f>
        <v>0</v>
      </c>
      <c r="AA102" s="149"/>
      <c r="AB102" s="149"/>
      <c r="AC102" s="149"/>
      <c r="AD102" s="149"/>
      <c r="AE102" s="149"/>
      <c r="AF102" s="149"/>
      <c r="AG102" s="149"/>
      <c r="AH102" s="149"/>
      <c r="AI102" s="149"/>
      <c r="AJ102" s="149"/>
      <c r="AK102" s="149"/>
      <c r="AL102" s="149"/>
      <c r="AM102" s="149"/>
      <c r="AN102" s="149"/>
      <c r="AO102" s="149"/>
      <c r="AP102" s="149"/>
    </row>
    <row r="103" spans="1:42" x14ac:dyDescent="0.2">
      <c r="A103" s="278"/>
      <c r="B103" s="278"/>
      <c r="C103" s="278"/>
      <c r="D103" s="278"/>
      <c r="E103" s="278"/>
      <c r="F103" s="278"/>
      <c r="G103" s="278"/>
      <c r="H103" s="278"/>
      <c r="I103" s="278"/>
      <c r="J103" s="278"/>
      <c r="K103" s="278"/>
      <c r="L103" s="278"/>
      <c r="M103" s="278"/>
      <c r="N103" s="149"/>
      <c r="O103" s="149"/>
      <c r="P103" s="278"/>
      <c r="Q103" s="278"/>
      <c r="R103" s="278"/>
      <c r="S103" s="278"/>
      <c r="T103" s="149"/>
      <c r="U103" s="202">
        <f>Input!B168</f>
        <v>0</v>
      </c>
      <c r="V103" s="448">
        <f>Input!F168</f>
        <v>0</v>
      </c>
      <c r="W103" s="399">
        <f>Input!U168</f>
        <v>0</v>
      </c>
      <c r="X103" s="303">
        <f>Input!H168</f>
        <v>0</v>
      </c>
      <c r="Y103" s="448">
        <f>Input!I168</f>
        <v>0</v>
      </c>
      <c r="Z103" s="399">
        <f>Input!V168</f>
        <v>0</v>
      </c>
      <c r="AA103" s="149"/>
      <c r="AB103" s="149"/>
      <c r="AC103" s="149"/>
      <c r="AD103" s="149"/>
      <c r="AE103" s="149"/>
      <c r="AF103" s="149"/>
      <c r="AG103" s="149"/>
      <c r="AH103" s="149"/>
      <c r="AI103" s="149"/>
      <c r="AJ103" s="149"/>
      <c r="AK103" s="149"/>
      <c r="AL103" s="149"/>
      <c r="AM103" s="149"/>
      <c r="AN103" s="149"/>
      <c r="AO103" s="149"/>
      <c r="AP103" s="149"/>
    </row>
    <row r="104" spans="1:42" x14ac:dyDescent="0.2">
      <c r="A104" s="278"/>
      <c r="B104" s="278"/>
      <c r="C104" s="278"/>
      <c r="D104" s="278"/>
      <c r="E104" s="278"/>
      <c r="F104" s="278"/>
      <c r="G104" s="278"/>
      <c r="H104" s="278"/>
      <c r="I104" s="278"/>
      <c r="J104" s="278"/>
      <c r="K104" s="278"/>
      <c r="L104" s="278"/>
      <c r="M104" s="278"/>
      <c r="N104" s="149"/>
      <c r="O104" s="149"/>
      <c r="P104" s="278"/>
      <c r="Q104" s="278"/>
      <c r="R104" s="278"/>
      <c r="S104" s="278"/>
      <c r="T104" s="149"/>
      <c r="U104" s="202">
        <f>Input!B169</f>
        <v>0</v>
      </c>
      <c r="V104" s="448">
        <f>Input!F169</f>
        <v>0</v>
      </c>
      <c r="W104" s="399">
        <f>Input!U169</f>
        <v>0</v>
      </c>
      <c r="X104" s="303">
        <f>Input!H169</f>
        <v>0</v>
      </c>
      <c r="Y104" s="448">
        <f>Input!I169</f>
        <v>0</v>
      </c>
      <c r="Z104" s="399">
        <f>Input!V169</f>
        <v>0</v>
      </c>
      <c r="AA104" s="149"/>
      <c r="AB104" s="149"/>
      <c r="AC104" s="149"/>
      <c r="AD104" s="149"/>
      <c r="AE104" s="149"/>
      <c r="AF104" s="149"/>
      <c r="AG104" s="149"/>
      <c r="AH104" s="149"/>
      <c r="AI104" s="149"/>
      <c r="AJ104" s="149"/>
      <c r="AK104" s="149"/>
      <c r="AL104" s="149"/>
      <c r="AM104" s="149"/>
      <c r="AN104" s="149"/>
      <c r="AO104" s="149"/>
      <c r="AP104" s="149"/>
    </row>
    <row r="105" spans="1:42" x14ac:dyDescent="0.2">
      <c r="A105" s="278"/>
      <c r="B105" s="278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149"/>
      <c r="O105" s="149"/>
      <c r="P105" s="278"/>
      <c r="Q105" s="278"/>
      <c r="R105" s="278"/>
      <c r="S105" s="278"/>
      <c r="T105" s="149"/>
      <c r="U105" s="202">
        <f>Input!B170</f>
        <v>0</v>
      </c>
      <c r="V105" s="448">
        <f>Input!F170</f>
        <v>0</v>
      </c>
      <c r="W105" s="399">
        <f>Input!U170</f>
        <v>0</v>
      </c>
      <c r="X105" s="303">
        <f>Input!H170</f>
        <v>0</v>
      </c>
      <c r="Y105" s="448">
        <f>Input!I170</f>
        <v>0</v>
      </c>
      <c r="Z105" s="399">
        <f>Input!V170</f>
        <v>0</v>
      </c>
      <c r="AA105" s="149"/>
      <c r="AB105" s="149"/>
      <c r="AC105" s="149"/>
      <c r="AD105" s="149"/>
      <c r="AE105" s="149"/>
      <c r="AF105" s="149"/>
      <c r="AG105" s="149"/>
      <c r="AH105" s="149"/>
      <c r="AI105" s="149"/>
      <c r="AJ105" s="149"/>
      <c r="AK105" s="149"/>
      <c r="AL105" s="149"/>
      <c r="AM105" s="149"/>
      <c r="AN105" s="149"/>
      <c r="AO105" s="149"/>
      <c r="AP105" s="149"/>
    </row>
    <row r="106" spans="1:42" x14ac:dyDescent="0.2">
      <c r="A106" s="278"/>
      <c r="B106" s="278"/>
      <c r="C106" s="278"/>
      <c r="D106" s="278"/>
      <c r="E106" s="278"/>
      <c r="F106" s="278"/>
      <c r="G106" s="278"/>
      <c r="H106" s="278"/>
      <c r="I106" s="278"/>
      <c r="J106" s="278"/>
      <c r="K106" s="278"/>
      <c r="L106" s="278"/>
      <c r="M106" s="278"/>
      <c r="N106" s="149"/>
      <c r="O106" s="149"/>
      <c r="P106" s="278"/>
      <c r="Q106" s="278"/>
      <c r="R106" s="278"/>
      <c r="S106" s="278"/>
      <c r="T106" s="149"/>
      <c r="U106" s="202">
        <f>Input!B171</f>
        <v>0</v>
      </c>
      <c r="V106" s="448">
        <f>Input!F171</f>
        <v>0</v>
      </c>
      <c r="W106" s="399">
        <f>Input!U171</f>
        <v>0</v>
      </c>
      <c r="X106" s="303">
        <f>Input!H171</f>
        <v>0</v>
      </c>
      <c r="Y106" s="448">
        <f>Input!I171</f>
        <v>0</v>
      </c>
      <c r="Z106" s="399">
        <f>Input!V171</f>
        <v>0</v>
      </c>
      <c r="AA106" s="149"/>
      <c r="AB106" s="149"/>
      <c r="AC106" s="149"/>
      <c r="AD106" s="149"/>
      <c r="AE106" s="149"/>
      <c r="AF106" s="149"/>
      <c r="AG106" s="149"/>
      <c r="AH106" s="149"/>
      <c r="AI106" s="149"/>
      <c r="AJ106" s="149"/>
      <c r="AK106" s="149"/>
      <c r="AL106" s="149"/>
      <c r="AM106" s="149"/>
      <c r="AN106" s="149"/>
      <c r="AO106" s="149"/>
      <c r="AP106" s="149"/>
    </row>
    <row r="107" spans="1:42" x14ac:dyDescent="0.2">
      <c r="A107" s="278"/>
      <c r="B107" s="278"/>
      <c r="C107" s="278"/>
      <c r="D107" s="278"/>
      <c r="E107" s="278"/>
      <c r="F107" s="278"/>
      <c r="G107" s="278"/>
      <c r="H107" s="278"/>
      <c r="I107" s="278"/>
      <c r="J107" s="278"/>
      <c r="K107" s="278"/>
      <c r="L107" s="278"/>
      <c r="M107" s="278"/>
      <c r="N107" s="149"/>
      <c r="O107" s="149"/>
      <c r="P107" s="278"/>
      <c r="Q107" s="278"/>
      <c r="R107" s="278"/>
      <c r="S107" s="278"/>
      <c r="T107" s="149"/>
      <c r="U107" s="202">
        <f>Input!B172</f>
        <v>0</v>
      </c>
      <c r="V107" s="448">
        <f>Input!F172</f>
        <v>0</v>
      </c>
      <c r="W107" s="399">
        <f>Input!U172</f>
        <v>0</v>
      </c>
      <c r="X107" s="303">
        <f>Input!H172</f>
        <v>0</v>
      </c>
      <c r="Y107" s="448">
        <f>Input!I172</f>
        <v>0</v>
      </c>
      <c r="Z107" s="399">
        <f>Input!V172</f>
        <v>0</v>
      </c>
      <c r="AA107" s="149"/>
      <c r="AB107" s="149"/>
      <c r="AC107" s="149"/>
      <c r="AD107" s="149"/>
      <c r="AE107" s="149"/>
      <c r="AF107" s="149"/>
      <c r="AG107" s="149"/>
      <c r="AH107" s="149"/>
      <c r="AI107" s="149"/>
      <c r="AJ107" s="149"/>
      <c r="AK107" s="149"/>
      <c r="AL107" s="149"/>
      <c r="AM107" s="149"/>
      <c r="AN107" s="149"/>
      <c r="AO107" s="149"/>
      <c r="AP107" s="149"/>
    </row>
    <row r="108" spans="1:42" x14ac:dyDescent="0.2">
      <c r="A108" s="278"/>
      <c r="B108" s="278"/>
      <c r="C108" s="278"/>
      <c r="D108" s="278"/>
      <c r="E108" s="278"/>
      <c r="F108" s="278"/>
      <c r="G108" s="278"/>
      <c r="H108" s="278"/>
      <c r="I108" s="278"/>
      <c r="J108" s="278"/>
      <c r="K108" s="278"/>
      <c r="L108" s="278"/>
      <c r="M108" s="278"/>
      <c r="N108" s="149"/>
      <c r="O108" s="149"/>
      <c r="P108" s="278"/>
      <c r="Q108" s="278"/>
      <c r="R108" s="278"/>
      <c r="S108" s="278"/>
      <c r="T108" s="149"/>
      <c r="U108" s="202">
        <f>Input!B173</f>
        <v>0</v>
      </c>
      <c r="V108" s="448">
        <f>Input!F173</f>
        <v>0</v>
      </c>
      <c r="W108" s="399">
        <f>Input!U173</f>
        <v>0</v>
      </c>
      <c r="X108" s="303">
        <f>Input!H173</f>
        <v>0</v>
      </c>
      <c r="Y108" s="448">
        <f>Input!I173</f>
        <v>0</v>
      </c>
      <c r="Z108" s="399">
        <f>Input!V173</f>
        <v>0</v>
      </c>
      <c r="AA108" s="149"/>
      <c r="AB108" s="149"/>
      <c r="AC108" s="149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49"/>
      <c r="AN108" s="149"/>
      <c r="AO108" s="149"/>
      <c r="AP108" s="149"/>
    </row>
    <row r="109" spans="1:42" x14ac:dyDescent="0.2">
      <c r="A109" s="278"/>
      <c r="B109" s="278"/>
      <c r="C109" s="278"/>
      <c r="D109" s="278"/>
      <c r="E109" s="278"/>
      <c r="F109" s="278"/>
      <c r="G109" s="278"/>
      <c r="H109" s="278"/>
      <c r="I109" s="278"/>
      <c r="J109" s="278"/>
      <c r="K109" s="278"/>
      <c r="L109" s="278"/>
      <c r="M109" s="278"/>
      <c r="N109" s="149"/>
      <c r="O109" s="149"/>
      <c r="P109" s="278"/>
      <c r="Q109" s="278"/>
      <c r="R109" s="278"/>
      <c r="S109" s="278"/>
      <c r="T109" s="149"/>
      <c r="U109" s="202">
        <f>Input!B174</f>
        <v>0</v>
      </c>
      <c r="V109" s="448">
        <f>Input!F174</f>
        <v>0</v>
      </c>
      <c r="W109" s="399">
        <f>Input!U174</f>
        <v>0</v>
      </c>
      <c r="X109" s="303">
        <f>Input!H174</f>
        <v>0</v>
      </c>
      <c r="Y109" s="448">
        <f>Input!I174</f>
        <v>0</v>
      </c>
      <c r="Z109" s="399">
        <f>Input!V174</f>
        <v>0</v>
      </c>
      <c r="AA109" s="149"/>
      <c r="AB109" s="149"/>
      <c r="AC109" s="149"/>
      <c r="AD109" s="149"/>
      <c r="AE109" s="149"/>
      <c r="AF109" s="149"/>
      <c r="AG109" s="149"/>
      <c r="AH109" s="149"/>
      <c r="AI109" s="149"/>
      <c r="AJ109" s="149"/>
      <c r="AK109" s="149"/>
      <c r="AL109" s="149"/>
      <c r="AM109" s="149"/>
      <c r="AN109" s="149"/>
      <c r="AO109" s="149"/>
      <c r="AP109" s="149"/>
    </row>
    <row r="110" spans="1:42" x14ac:dyDescent="0.2">
      <c r="A110" s="278"/>
      <c r="B110" s="278"/>
      <c r="C110" s="278"/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149"/>
      <c r="O110" s="149"/>
      <c r="P110" s="278"/>
      <c r="Q110" s="278"/>
      <c r="R110" s="278"/>
      <c r="S110" s="278"/>
      <c r="T110" s="149"/>
      <c r="U110" s="202">
        <f>Input!B175</f>
        <v>0</v>
      </c>
      <c r="V110" s="448">
        <f>Input!F175</f>
        <v>0</v>
      </c>
      <c r="W110" s="399">
        <f>Input!U175</f>
        <v>0</v>
      </c>
      <c r="X110" s="303">
        <f>Input!H175</f>
        <v>0</v>
      </c>
      <c r="Y110" s="448">
        <f>Input!I175</f>
        <v>0</v>
      </c>
      <c r="Z110" s="399">
        <f>Input!V175</f>
        <v>0</v>
      </c>
      <c r="AA110" s="149"/>
      <c r="AB110" s="149"/>
      <c r="AC110" s="149"/>
      <c r="AD110" s="149"/>
      <c r="AE110" s="149"/>
      <c r="AF110" s="149"/>
      <c r="AG110" s="149"/>
      <c r="AH110" s="149"/>
      <c r="AI110" s="149"/>
      <c r="AJ110" s="149"/>
      <c r="AK110" s="149"/>
      <c r="AL110" s="149"/>
      <c r="AM110" s="149"/>
      <c r="AN110" s="149"/>
      <c r="AO110" s="149"/>
      <c r="AP110" s="149"/>
    </row>
    <row r="111" spans="1:42" x14ac:dyDescent="0.2">
      <c r="A111" s="278"/>
      <c r="B111" s="278"/>
      <c r="C111" s="278"/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149"/>
      <c r="O111" s="149"/>
      <c r="P111" s="278"/>
      <c r="Q111" s="278"/>
      <c r="R111" s="278"/>
      <c r="S111" s="278"/>
      <c r="T111" s="149"/>
      <c r="U111" s="202">
        <f>Input!B176</f>
        <v>0</v>
      </c>
      <c r="V111" s="448">
        <f>Input!F176</f>
        <v>0</v>
      </c>
      <c r="W111" s="399">
        <f>Input!U176</f>
        <v>0</v>
      </c>
      <c r="X111" s="303">
        <f>Input!H176</f>
        <v>0</v>
      </c>
      <c r="Y111" s="448">
        <f>Input!I176</f>
        <v>0</v>
      </c>
      <c r="Z111" s="399">
        <f>Input!V176</f>
        <v>0</v>
      </c>
      <c r="AA111" s="149"/>
      <c r="AB111" s="149"/>
      <c r="AC111" s="149"/>
      <c r="AD111" s="149"/>
      <c r="AE111" s="149"/>
      <c r="AF111" s="149"/>
      <c r="AG111" s="149"/>
      <c r="AH111" s="149"/>
      <c r="AI111" s="149"/>
      <c r="AJ111" s="149"/>
      <c r="AK111" s="149"/>
      <c r="AL111" s="149"/>
      <c r="AM111" s="149"/>
      <c r="AN111" s="149"/>
      <c r="AO111" s="149"/>
      <c r="AP111" s="149"/>
    </row>
    <row r="112" spans="1:42" x14ac:dyDescent="0.2">
      <c r="A112" s="278"/>
      <c r="B112" s="278"/>
      <c r="C112" s="278"/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149"/>
      <c r="O112" s="149"/>
      <c r="P112" s="278"/>
      <c r="Q112" s="278"/>
      <c r="R112" s="278"/>
      <c r="S112" s="278"/>
      <c r="T112" s="149"/>
      <c r="U112" s="202">
        <f>Input!B177</f>
        <v>0</v>
      </c>
      <c r="V112" s="448">
        <f>Input!F177</f>
        <v>0</v>
      </c>
      <c r="W112" s="399">
        <f>Input!U177</f>
        <v>0</v>
      </c>
      <c r="X112" s="303">
        <f>Input!H177</f>
        <v>0</v>
      </c>
      <c r="Y112" s="448">
        <f>Input!I177</f>
        <v>0</v>
      </c>
      <c r="Z112" s="399">
        <f>Input!V177</f>
        <v>0</v>
      </c>
      <c r="AA112" s="149"/>
      <c r="AB112" s="149"/>
      <c r="AC112" s="149"/>
      <c r="AD112" s="149"/>
      <c r="AE112" s="149"/>
      <c r="AF112" s="149"/>
      <c r="AG112" s="149"/>
      <c r="AH112" s="149"/>
      <c r="AI112" s="149"/>
      <c r="AJ112" s="149"/>
      <c r="AK112" s="149"/>
      <c r="AL112" s="149"/>
      <c r="AM112" s="149"/>
      <c r="AN112" s="149"/>
      <c r="AO112" s="149"/>
      <c r="AP112" s="149"/>
    </row>
    <row r="113" spans="1:42" x14ac:dyDescent="0.2">
      <c r="A113" s="278"/>
      <c r="B113" s="278"/>
      <c r="C113" s="278"/>
      <c r="D113" s="278"/>
      <c r="E113" s="278"/>
      <c r="F113" s="278"/>
      <c r="G113" s="278"/>
      <c r="H113" s="278"/>
      <c r="I113" s="278"/>
      <c r="J113" s="278"/>
      <c r="K113" s="278"/>
      <c r="L113" s="278"/>
      <c r="M113" s="278"/>
      <c r="N113" s="149"/>
      <c r="O113" s="149"/>
      <c r="P113" s="278"/>
      <c r="Q113" s="278"/>
      <c r="R113" s="278"/>
      <c r="S113" s="278"/>
      <c r="T113" s="149"/>
      <c r="U113" s="202">
        <f>Input!B178</f>
        <v>0</v>
      </c>
      <c r="V113" s="448">
        <f>Input!F178</f>
        <v>0</v>
      </c>
      <c r="W113" s="399">
        <f>Input!U178</f>
        <v>0</v>
      </c>
      <c r="X113" s="303">
        <f>Input!H178</f>
        <v>0</v>
      </c>
      <c r="Y113" s="448">
        <f>Input!I178</f>
        <v>0</v>
      </c>
      <c r="Z113" s="399">
        <f>Input!V178</f>
        <v>0</v>
      </c>
      <c r="AA113" s="149"/>
      <c r="AB113" s="149"/>
      <c r="AC113" s="149"/>
      <c r="AD113" s="149"/>
      <c r="AE113" s="149"/>
      <c r="AF113" s="149"/>
      <c r="AG113" s="149"/>
      <c r="AH113" s="149"/>
      <c r="AI113" s="149"/>
      <c r="AJ113" s="149"/>
      <c r="AK113" s="149"/>
      <c r="AL113" s="149"/>
      <c r="AM113" s="149"/>
      <c r="AN113" s="149"/>
      <c r="AO113" s="149"/>
      <c r="AP113" s="149"/>
    </row>
    <row r="114" spans="1:42" x14ac:dyDescent="0.2">
      <c r="A114" s="278"/>
      <c r="B114" s="278"/>
      <c r="C114" s="278"/>
      <c r="D114" s="278"/>
      <c r="E114" s="278"/>
      <c r="F114" s="278"/>
      <c r="G114" s="278"/>
      <c r="H114" s="278"/>
      <c r="I114" s="278"/>
      <c r="J114" s="278"/>
      <c r="K114" s="278"/>
      <c r="L114" s="278"/>
      <c r="M114" s="278"/>
      <c r="N114" s="149"/>
      <c r="O114" s="149"/>
      <c r="P114" s="278"/>
      <c r="Q114" s="278"/>
      <c r="R114" s="278"/>
      <c r="S114" s="278"/>
      <c r="T114" s="149"/>
      <c r="U114" s="202">
        <f>Input!B179</f>
        <v>0</v>
      </c>
      <c r="V114" s="448">
        <f>Input!F179</f>
        <v>0</v>
      </c>
      <c r="W114" s="399">
        <f>Input!U179</f>
        <v>0</v>
      </c>
      <c r="X114" s="303">
        <f>Input!H179</f>
        <v>0</v>
      </c>
      <c r="Y114" s="448">
        <f>Input!I179</f>
        <v>0</v>
      </c>
      <c r="Z114" s="399">
        <f>Input!V179</f>
        <v>0</v>
      </c>
      <c r="AA114" s="149"/>
      <c r="AB114" s="149"/>
      <c r="AC114" s="149"/>
      <c r="AD114" s="149"/>
      <c r="AE114" s="149"/>
      <c r="AF114" s="149"/>
      <c r="AG114" s="149"/>
      <c r="AH114" s="149"/>
      <c r="AI114" s="149"/>
      <c r="AJ114" s="149"/>
      <c r="AK114" s="149"/>
      <c r="AL114" s="149"/>
      <c r="AM114" s="149"/>
      <c r="AN114" s="149"/>
      <c r="AO114" s="149"/>
      <c r="AP114" s="149"/>
    </row>
    <row r="115" spans="1:42" x14ac:dyDescent="0.2">
      <c r="A115" s="278"/>
      <c r="B115" s="278"/>
      <c r="C115" s="278"/>
      <c r="D115" s="278"/>
      <c r="E115" s="278"/>
      <c r="F115" s="278"/>
      <c r="G115" s="278"/>
      <c r="H115" s="278"/>
      <c r="I115" s="278"/>
      <c r="J115" s="278"/>
      <c r="K115" s="278"/>
      <c r="L115" s="278"/>
      <c r="M115" s="278"/>
      <c r="N115" s="149"/>
      <c r="O115" s="149"/>
      <c r="P115" s="278"/>
      <c r="Q115" s="278"/>
      <c r="R115" s="278"/>
      <c r="S115" s="278"/>
      <c r="T115" s="149"/>
      <c r="U115" s="202">
        <f>Input!B180</f>
        <v>0</v>
      </c>
      <c r="V115" s="448">
        <f>Input!F180</f>
        <v>0</v>
      </c>
      <c r="W115" s="399">
        <f>Input!U180</f>
        <v>0</v>
      </c>
      <c r="X115" s="303">
        <f>Input!H180</f>
        <v>0</v>
      </c>
      <c r="Y115" s="448">
        <f>Input!I180</f>
        <v>0</v>
      </c>
      <c r="Z115" s="399">
        <f>Input!V180</f>
        <v>0</v>
      </c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49"/>
      <c r="AL115" s="149"/>
      <c r="AM115" s="149"/>
      <c r="AN115" s="149"/>
      <c r="AO115" s="149"/>
      <c r="AP115" s="149"/>
    </row>
    <row r="116" spans="1:42" x14ac:dyDescent="0.2">
      <c r="A116" s="278"/>
      <c r="B116" s="278"/>
      <c r="C116" s="278"/>
      <c r="D116" s="278"/>
      <c r="E116" s="278"/>
      <c r="F116" s="278"/>
      <c r="G116" s="278"/>
      <c r="H116" s="278"/>
      <c r="I116" s="278"/>
      <c r="J116" s="278"/>
      <c r="K116" s="278"/>
      <c r="L116" s="278"/>
      <c r="M116" s="278"/>
      <c r="N116" s="149"/>
      <c r="O116" s="149"/>
      <c r="P116" s="278"/>
      <c r="Q116" s="278"/>
      <c r="R116" s="278"/>
      <c r="S116" s="278"/>
      <c r="T116" s="149"/>
      <c r="U116" s="202">
        <f>Input!B181</f>
        <v>0</v>
      </c>
      <c r="V116" s="448">
        <f>Input!F181</f>
        <v>0</v>
      </c>
      <c r="W116" s="399">
        <f>Input!U181</f>
        <v>0</v>
      </c>
      <c r="X116" s="303">
        <f>Input!H181</f>
        <v>0</v>
      </c>
      <c r="Y116" s="448">
        <f>Input!I181</f>
        <v>0</v>
      </c>
      <c r="Z116" s="399">
        <f>Input!V181</f>
        <v>0</v>
      </c>
      <c r="AA116" s="149"/>
      <c r="AB116" s="149"/>
      <c r="AC116" s="149"/>
      <c r="AD116" s="149"/>
      <c r="AE116" s="149"/>
      <c r="AF116" s="149"/>
      <c r="AG116" s="149"/>
      <c r="AH116" s="149"/>
      <c r="AI116" s="149"/>
      <c r="AJ116" s="149"/>
      <c r="AK116" s="149"/>
      <c r="AL116" s="149"/>
      <c r="AM116" s="149"/>
      <c r="AN116" s="149"/>
      <c r="AO116" s="149"/>
      <c r="AP116" s="149"/>
    </row>
    <row r="117" spans="1:42" x14ac:dyDescent="0.2">
      <c r="A117" s="278"/>
      <c r="B117" s="278"/>
      <c r="C117" s="278"/>
      <c r="D117" s="278"/>
      <c r="E117" s="278"/>
      <c r="F117" s="278"/>
      <c r="G117" s="278"/>
      <c r="H117" s="278"/>
      <c r="I117" s="278"/>
      <c r="J117" s="278"/>
      <c r="K117" s="278"/>
      <c r="L117" s="278"/>
      <c r="M117" s="278"/>
      <c r="N117" s="149"/>
      <c r="O117" s="149"/>
      <c r="P117" s="278"/>
      <c r="Q117" s="278"/>
      <c r="R117" s="278"/>
      <c r="S117" s="278"/>
      <c r="T117" s="149"/>
      <c r="U117" s="202">
        <f>Input!B182</f>
        <v>0</v>
      </c>
      <c r="V117" s="448">
        <f>Input!F182</f>
        <v>0</v>
      </c>
      <c r="W117" s="399">
        <f>Input!U182</f>
        <v>0</v>
      </c>
      <c r="X117" s="303">
        <f>Input!H182</f>
        <v>0</v>
      </c>
      <c r="Y117" s="448">
        <f>Input!I182</f>
        <v>0</v>
      </c>
      <c r="Z117" s="399">
        <f>Input!V182</f>
        <v>0</v>
      </c>
      <c r="AA117" s="149"/>
      <c r="AB117" s="149"/>
      <c r="AC117" s="149"/>
      <c r="AD117" s="149"/>
      <c r="AE117" s="149"/>
      <c r="AF117" s="149"/>
      <c r="AG117" s="149"/>
      <c r="AH117" s="149"/>
      <c r="AI117" s="149"/>
      <c r="AJ117" s="149"/>
      <c r="AK117" s="149"/>
      <c r="AL117" s="149"/>
      <c r="AM117" s="149"/>
      <c r="AN117" s="149"/>
      <c r="AO117" s="149"/>
      <c r="AP117" s="149"/>
    </row>
    <row r="118" spans="1:42" x14ac:dyDescent="0.2">
      <c r="A118" s="278"/>
      <c r="B118" s="278"/>
      <c r="C118" s="278"/>
      <c r="D118" s="278"/>
      <c r="E118" s="278"/>
      <c r="F118" s="278"/>
      <c r="G118" s="278"/>
      <c r="H118" s="278"/>
      <c r="I118" s="278"/>
      <c r="J118" s="278"/>
      <c r="K118" s="278"/>
      <c r="L118" s="278"/>
      <c r="M118" s="278"/>
      <c r="N118" s="149"/>
      <c r="O118" s="149"/>
      <c r="P118" s="278"/>
      <c r="Q118" s="278"/>
      <c r="R118" s="278"/>
      <c r="S118" s="278"/>
      <c r="T118" s="149"/>
      <c r="U118" s="202">
        <f>Input!B183</f>
        <v>0</v>
      </c>
      <c r="V118" s="448">
        <f>Input!F183</f>
        <v>0</v>
      </c>
      <c r="W118" s="399">
        <f>Input!U183</f>
        <v>0</v>
      </c>
      <c r="X118" s="303">
        <f>Input!H183</f>
        <v>0</v>
      </c>
      <c r="Y118" s="448">
        <f>Input!I183</f>
        <v>0</v>
      </c>
      <c r="Z118" s="399">
        <f>Input!V183</f>
        <v>0</v>
      </c>
      <c r="AA118" s="149"/>
      <c r="AB118" s="149"/>
      <c r="AC118" s="149"/>
      <c r="AD118" s="149"/>
      <c r="AE118" s="149"/>
      <c r="AF118" s="149"/>
      <c r="AG118" s="149"/>
      <c r="AH118" s="149"/>
      <c r="AI118" s="149"/>
      <c r="AJ118" s="149"/>
      <c r="AK118" s="149"/>
      <c r="AL118" s="149"/>
      <c r="AM118" s="149"/>
      <c r="AN118" s="149"/>
      <c r="AO118" s="149"/>
      <c r="AP118" s="149"/>
    </row>
    <row r="119" spans="1:42" x14ac:dyDescent="0.2">
      <c r="A119" s="278"/>
      <c r="B119" s="278"/>
      <c r="C119" s="278"/>
      <c r="D119" s="278"/>
      <c r="E119" s="278"/>
      <c r="F119" s="278"/>
      <c r="G119" s="278"/>
      <c r="H119" s="278"/>
      <c r="I119" s="278"/>
      <c r="J119" s="278"/>
      <c r="K119" s="278"/>
      <c r="L119" s="278"/>
      <c r="M119" s="278"/>
      <c r="N119" s="149"/>
      <c r="O119" s="149"/>
      <c r="P119" s="278"/>
      <c r="Q119" s="278"/>
      <c r="R119" s="278"/>
      <c r="S119" s="278"/>
      <c r="T119" s="149"/>
      <c r="U119" s="202">
        <f>Input!B184</f>
        <v>0</v>
      </c>
      <c r="V119" s="448">
        <f>Input!F184</f>
        <v>0</v>
      </c>
      <c r="W119" s="399">
        <f>Input!U184</f>
        <v>0</v>
      </c>
      <c r="X119" s="303">
        <f>Input!H184</f>
        <v>0</v>
      </c>
      <c r="Y119" s="448">
        <f>Input!I184</f>
        <v>0</v>
      </c>
      <c r="Z119" s="399">
        <f>Input!V184</f>
        <v>0</v>
      </c>
      <c r="AA119" s="149"/>
      <c r="AB119" s="149"/>
      <c r="AC119" s="149"/>
      <c r="AD119" s="149"/>
      <c r="AE119" s="149"/>
      <c r="AF119" s="149"/>
      <c r="AG119" s="149"/>
      <c r="AH119" s="149"/>
      <c r="AI119" s="149"/>
      <c r="AJ119" s="149"/>
      <c r="AK119" s="149"/>
      <c r="AL119" s="149"/>
      <c r="AM119" s="149"/>
      <c r="AN119" s="149"/>
      <c r="AO119" s="149"/>
      <c r="AP119" s="149"/>
    </row>
    <row r="120" spans="1:42" x14ac:dyDescent="0.2">
      <c r="A120" s="278"/>
      <c r="B120" s="278"/>
      <c r="C120" s="278"/>
      <c r="D120" s="278"/>
      <c r="E120" s="278"/>
      <c r="F120" s="278"/>
      <c r="G120" s="278"/>
      <c r="H120" s="278"/>
      <c r="I120" s="278"/>
      <c r="J120" s="278"/>
      <c r="K120" s="278"/>
      <c r="L120" s="278"/>
      <c r="M120" s="278"/>
      <c r="N120" s="149"/>
      <c r="O120" s="149"/>
      <c r="P120" s="278"/>
      <c r="Q120" s="278"/>
      <c r="R120" s="278"/>
      <c r="S120" s="278"/>
      <c r="T120" s="149"/>
      <c r="U120" s="202">
        <f>Input!B185</f>
        <v>0</v>
      </c>
      <c r="V120" s="448">
        <f>Input!F185</f>
        <v>0</v>
      </c>
      <c r="W120" s="399">
        <f>Input!U185</f>
        <v>0</v>
      </c>
      <c r="X120" s="303">
        <f>Input!H185</f>
        <v>0</v>
      </c>
      <c r="Y120" s="448">
        <f>Input!I185</f>
        <v>0</v>
      </c>
      <c r="Z120" s="399">
        <f>Input!V185</f>
        <v>0</v>
      </c>
      <c r="AA120" s="149"/>
      <c r="AB120" s="149"/>
      <c r="AC120" s="149"/>
      <c r="AD120" s="149"/>
      <c r="AE120" s="149"/>
      <c r="AF120" s="149"/>
      <c r="AG120" s="149"/>
      <c r="AH120" s="149"/>
      <c r="AI120" s="149"/>
      <c r="AJ120" s="149"/>
      <c r="AK120" s="149"/>
      <c r="AL120" s="149"/>
      <c r="AM120" s="149"/>
      <c r="AN120" s="149"/>
      <c r="AO120" s="149"/>
      <c r="AP120" s="149"/>
    </row>
    <row r="121" spans="1:42" x14ac:dyDescent="0.2">
      <c r="A121" s="278"/>
      <c r="B121" s="278"/>
      <c r="C121" s="278"/>
      <c r="D121" s="278"/>
      <c r="E121" s="278"/>
      <c r="F121" s="278"/>
      <c r="G121" s="278"/>
      <c r="H121" s="278"/>
      <c r="I121" s="278"/>
      <c r="J121" s="278"/>
      <c r="K121" s="278"/>
      <c r="L121" s="278"/>
      <c r="M121" s="278"/>
      <c r="N121" s="149"/>
      <c r="O121" s="149"/>
      <c r="P121" s="278"/>
      <c r="Q121" s="278"/>
      <c r="R121" s="278"/>
      <c r="S121" s="278"/>
      <c r="T121" s="149"/>
      <c r="U121" s="202">
        <f>Input!B186</f>
        <v>0</v>
      </c>
      <c r="V121" s="448">
        <f>Input!F186</f>
        <v>0</v>
      </c>
      <c r="W121" s="399">
        <f>Input!U186</f>
        <v>0</v>
      </c>
      <c r="X121" s="303">
        <f>Input!H186</f>
        <v>0</v>
      </c>
      <c r="Y121" s="448">
        <f>Input!I186</f>
        <v>0</v>
      </c>
      <c r="Z121" s="399">
        <f>Input!V186</f>
        <v>0</v>
      </c>
      <c r="AA121" s="149"/>
      <c r="AB121" s="149"/>
      <c r="AC121" s="149"/>
      <c r="AD121" s="149"/>
      <c r="AE121" s="149"/>
      <c r="AF121" s="149"/>
      <c r="AG121" s="149"/>
      <c r="AH121" s="149"/>
      <c r="AI121" s="149"/>
      <c r="AJ121" s="149"/>
      <c r="AK121" s="149"/>
      <c r="AL121" s="149"/>
      <c r="AM121" s="149"/>
      <c r="AN121" s="149"/>
      <c r="AO121" s="149"/>
      <c r="AP121" s="149"/>
    </row>
    <row r="122" spans="1:42" x14ac:dyDescent="0.2">
      <c r="A122" s="278"/>
      <c r="B122" s="278"/>
      <c r="C122" s="278"/>
      <c r="D122" s="278"/>
      <c r="E122" s="278"/>
      <c r="F122" s="278"/>
      <c r="G122" s="278"/>
      <c r="H122" s="278"/>
      <c r="I122" s="278"/>
      <c r="J122" s="278"/>
      <c r="K122" s="278"/>
      <c r="L122" s="278"/>
      <c r="M122" s="278"/>
      <c r="N122" s="149"/>
      <c r="O122" s="149"/>
      <c r="P122" s="278"/>
      <c r="Q122" s="278"/>
      <c r="R122" s="278"/>
      <c r="S122" s="278"/>
      <c r="T122" s="149"/>
      <c r="U122" s="202">
        <f>Input!B187</f>
        <v>0</v>
      </c>
      <c r="V122" s="448">
        <f>Input!F187</f>
        <v>0</v>
      </c>
      <c r="W122" s="399">
        <f>Input!U187</f>
        <v>0</v>
      </c>
      <c r="X122" s="303">
        <f>Input!H187</f>
        <v>0</v>
      </c>
      <c r="Y122" s="448">
        <f>Input!I187</f>
        <v>0</v>
      </c>
      <c r="Z122" s="399">
        <f>Input!V187</f>
        <v>0</v>
      </c>
      <c r="AA122" s="149"/>
      <c r="AB122" s="149"/>
      <c r="AC122" s="149"/>
      <c r="AD122" s="149"/>
      <c r="AE122" s="149"/>
      <c r="AF122" s="149"/>
      <c r="AG122" s="149"/>
      <c r="AH122" s="149"/>
      <c r="AI122" s="149"/>
      <c r="AJ122" s="149"/>
      <c r="AK122" s="149"/>
      <c r="AL122" s="149"/>
      <c r="AM122" s="149"/>
      <c r="AN122" s="149"/>
      <c r="AO122" s="149"/>
      <c r="AP122" s="149"/>
    </row>
    <row r="123" spans="1:42" x14ac:dyDescent="0.2">
      <c r="A123" s="278"/>
      <c r="B123" s="278"/>
      <c r="C123" s="278"/>
      <c r="D123" s="278"/>
      <c r="E123" s="278"/>
      <c r="F123" s="278"/>
      <c r="G123" s="278"/>
      <c r="H123" s="278"/>
      <c r="I123" s="278"/>
      <c r="J123" s="278"/>
      <c r="K123" s="278"/>
      <c r="L123" s="278"/>
      <c r="M123" s="278"/>
      <c r="N123" s="149"/>
      <c r="O123" s="149"/>
      <c r="P123" s="278"/>
      <c r="Q123" s="278"/>
      <c r="R123" s="278"/>
      <c r="S123" s="278"/>
      <c r="T123" s="149"/>
      <c r="U123" s="202">
        <f>Input!B188</f>
        <v>0</v>
      </c>
      <c r="V123" s="448">
        <f>Input!F188</f>
        <v>0</v>
      </c>
      <c r="W123" s="399">
        <f>Input!U188</f>
        <v>0</v>
      </c>
      <c r="X123" s="303">
        <f>Input!H188</f>
        <v>0</v>
      </c>
      <c r="Y123" s="448">
        <f>Input!I188</f>
        <v>0</v>
      </c>
      <c r="Z123" s="399">
        <f>Input!V188</f>
        <v>0</v>
      </c>
      <c r="AA123" s="149"/>
      <c r="AB123" s="149"/>
      <c r="AC123" s="149"/>
      <c r="AD123" s="149"/>
      <c r="AE123" s="149"/>
      <c r="AF123" s="149"/>
      <c r="AG123" s="149"/>
      <c r="AH123" s="149"/>
      <c r="AI123" s="149"/>
      <c r="AJ123" s="149"/>
      <c r="AK123" s="149"/>
      <c r="AL123" s="149"/>
      <c r="AM123" s="149"/>
      <c r="AN123" s="149"/>
      <c r="AO123" s="149"/>
      <c r="AP123" s="149"/>
    </row>
    <row r="124" spans="1:42" x14ac:dyDescent="0.2">
      <c r="A124" s="278"/>
      <c r="B124" s="278"/>
      <c r="C124" s="278"/>
      <c r="D124" s="278"/>
      <c r="E124" s="278"/>
      <c r="F124" s="278"/>
      <c r="G124" s="278"/>
      <c r="H124" s="278"/>
      <c r="I124" s="278"/>
      <c r="J124" s="278"/>
      <c r="K124" s="278"/>
      <c r="L124" s="278"/>
      <c r="M124" s="278"/>
      <c r="N124" s="149"/>
      <c r="O124" s="149"/>
      <c r="P124" s="278"/>
      <c r="Q124" s="278"/>
      <c r="R124" s="278"/>
      <c r="S124" s="278"/>
      <c r="T124" s="149"/>
      <c r="U124" s="202">
        <f>Input!B189</f>
        <v>0</v>
      </c>
      <c r="V124" s="448">
        <f>Input!F189</f>
        <v>0</v>
      </c>
      <c r="W124" s="399">
        <f>Input!U189</f>
        <v>0</v>
      </c>
      <c r="X124" s="303">
        <f>Input!H189</f>
        <v>0</v>
      </c>
      <c r="Y124" s="448">
        <f>Input!I189</f>
        <v>0</v>
      </c>
      <c r="Z124" s="399">
        <f>Input!V189</f>
        <v>0</v>
      </c>
      <c r="AA124" s="149"/>
      <c r="AB124" s="149"/>
      <c r="AC124" s="149"/>
      <c r="AD124" s="149"/>
      <c r="AE124" s="149"/>
      <c r="AF124" s="149"/>
      <c r="AG124" s="149"/>
      <c r="AH124" s="149"/>
      <c r="AI124" s="149"/>
      <c r="AJ124" s="149"/>
      <c r="AK124" s="149"/>
      <c r="AL124" s="149"/>
      <c r="AM124" s="149"/>
      <c r="AN124" s="149"/>
      <c r="AO124" s="149"/>
      <c r="AP124" s="149"/>
    </row>
    <row r="125" spans="1:42" x14ac:dyDescent="0.2">
      <c r="A125" s="278"/>
      <c r="B125" s="278"/>
      <c r="C125" s="278"/>
      <c r="D125" s="278"/>
      <c r="E125" s="278"/>
      <c r="F125" s="278"/>
      <c r="G125" s="278"/>
      <c r="H125" s="278"/>
      <c r="I125" s="278"/>
      <c r="J125" s="278"/>
      <c r="K125" s="278"/>
      <c r="L125" s="278"/>
      <c r="M125" s="278"/>
      <c r="N125" s="149"/>
      <c r="O125" s="149"/>
      <c r="P125" s="278"/>
      <c r="Q125" s="278"/>
      <c r="R125" s="278"/>
      <c r="S125" s="278"/>
      <c r="T125" s="149"/>
      <c r="U125" s="202">
        <f>Input!B190</f>
        <v>0</v>
      </c>
      <c r="V125" s="448">
        <f>Input!F190</f>
        <v>0</v>
      </c>
      <c r="W125" s="399">
        <f>Input!U190</f>
        <v>0</v>
      </c>
      <c r="X125" s="303">
        <f>Input!H190</f>
        <v>0</v>
      </c>
      <c r="Y125" s="448">
        <f>Input!I190</f>
        <v>0</v>
      </c>
      <c r="Z125" s="399">
        <f>Input!V190</f>
        <v>0</v>
      </c>
      <c r="AA125" s="149"/>
      <c r="AB125" s="149"/>
      <c r="AC125" s="149"/>
      <c r="AD125" s="149"/>
      <c r="AE125" s="149"/>
      <c r="AF125" s="149"/>
      <c r="AG125" s="149"/>
      <c r="AH125" s="149"/>
      <c r="AI125" s="149"/>
      <c r="AJ125" s="149"/>
      <c r="AK125" s="149"/>
      <c r="AL125" s="149"/>
      <c r="AM125" s="149"/>
      <c r="AN125" s="149"/>
      <c r="AO125" s="149"/>
      <c r="AP125" s="149"/>
    </row>
    <row r="126" spans="1:42" x14ac:dyDescent="0.2">
      <c r="A126" s="278"/>
      <c r="B126" s="278"/>
      <c r="C126" s="278"/>
      <c r="D126" s="278"/>
      <c r="E126" s="278"/>
      <c r="F126" s="278"/>
      <c r="G126" s="278"/>
      <c r="H126" s="278"/>
      <c r="I126" s="278"/>
      <c r="J126" s="278"/>
      <c r="K126" s="278"/>
      <c r="L126" s="278"/>
      <c r="M126" s="278"/>
      <c r="N126" s="149"/>
      <c r="O126" s="149"/>
      <c r="P126" s="278"/>
      <c r="Q126" s="278"/>
      <c r="R126" s="278"/>
      <c r="S126" s="278"/>
      <c r="T126" s="149"/>
      <c r="U126" s="202">
        <f>Input!B191</f>
        <v>0</v>
      </c>
      <c r="V126" s="448">
        <f>Input!F191</f>
        <v>0</v>
      </c>
      <c r="W126" s="399">
        <f>Input!U191</f>
        <v>0</v>
      </c>
      <c r="X126" s="303">
        <f>Input!H191</f>
        <v>0</v>
      </c>
      <c r="Y126" s="448">
        <f>Input!I191</f>
        <v>0</v>
      </c>
      <c r="Z126" s="399">
        <f>Input!V191</f>
        <v>0</v>
      </c>
      <c r="AA126" s="149"/>
      <c r="AB126" s="149"/>
      <c r="AC126" s="149"/>
      <c r="AD126" s="149"/>
      <c r="AE126" s="149"/>
      <c r="AF126" s="149"/>
      <c r="AG126" s="149"/>
      <c r="AH126" s="149"/>
      <c r="AI126" s="149"/>
      <c r="AJ126" s="149"/>
      <c r="AK126" s="149"/>
      <c r="AL126" s="149"/>
      <c r="AM126" s="149"/>
      <c r="AN126" s="149"/>
      <c r="AO126" s="149"/>
      <c r="AP126" s="149"/>
    </row>
    <row r="127" spans="1:42" x14ac:dyDescent="0.2">
      <c r="A127" s="278"/>
      <c r="B127" s="278"/>
      <c r="C127" s="278"/>
      <c r="D127" s="278"/>
      <c r="E127" s="278"/>
      <c r="F127" s="278"/>
      <c r="G127" s="278"/>
      <c r="H127" s="278"/>
      <c r="I127" s="278"/>
      <c r="J127" s="278"/>
      <c r="K127" s="278"/>
      <c r="L127" s="278"/>
      <c r="M127" s="278"/>
      <c r="N127" s="149"/>
      <c r="O127" s="149"/>
      <c r="P127" s="278"/>
      <c r="Q127" s="278"/>
      <c r="R127" s="278"/>
      <c r="S127" s="278"/>
      <c r="T127" s="149"/>
      <c r="U127" s="202">
        <f>Input!B192</f>
        <v>0</v>
      </c>
      <c r="V127" s="448">
        <f>Input!F192</f>
        <v>0</v>
      </c>
      <c r="W127" s="399">
        <f>Input!U192</f>
        <v>0</v>
      </c>
      <c r="X127" s="303">
        <f>Input!H192</f>
        <v>0</v>
      </c>
      <c r="Y127" s="448">
        <f>Input!I192</f>
        <v>0</v>
      </c>
      <c r="Z127" s="399">
        <f>Input!V192</f>
        <v>0</v>
      </c>
      <c r="AA127" s="149"/>
      <c r="AB127" s="149"/>
      <c r="AC127" s="149"/>
      <c r="AD127" s="149"/>
      <c r="AE127" s="149"/>
      <c r="AF127" s="149"/>
      <c r="AG127" s="149"/>
      <c r="AH127" s="149"/>
      <c r="AI127" s="149"/>
      <c r="AJ127" s="149"/>
      <c r="AK127" s="149"/>
      <c r="AL127" s="149"/>
      <c r="AM127" s="149"/>
      <c r="AN127" s="149"/>
      <c r="AO127" s="149"/>
      <c r="AP127" s="149"/>
    </row>
    <row r="128" spans="1:42" x14ac:dyDescent="0.2">
      <c r="A128" s="278"/>
      <c r="B128" s="278"/>
      <c r="C128" s="278"/>
      <c r="D128" s="278"/>
      <c r="E128" s="278"/>
      <c r="F128" s="278"/>
      <c r="G128" s="278"/>
      <c r="H128" s="278"/>
      <c r="I128" s="278"/>
      <c r="J128" s="278"/>
      <c r="K128" s="278"/>
      <c r="L128" s="278"/>
      <c r="M128" s="278"/>
      <c r="N128" s="149"/>
      <c r="O128" s="149"/>
      <c r="P128" s="278"/>
      <c r="Q128" s="278"/>
      <c r="R128" s="278"/>
      <c r="S128" s="278"/>
      <c r="T128" s="149"/>
      <c r="U128" s="202">
        <f>Input!B193</f>
        <v>0</v>
      </c>
      <c r="V128" s="448">
        <f>Input!F193</f>
        <v>0</v>
      </c>
      <c r="W128" s="399">
        <f>Input!U193</f>
        <v>0</v>
      </c>
      <c r="X128" s="303">
        <f>Input!H193</f>
        <v>0</v>
      </c>
      <c r="Y128" s="448">
        <f>Input!I193</f>
        <v>0</v>
      </c>
      <c r="Z128" s="399">
        <f>Input!V193</f>
        <v>0</v>
      </c>
      <c r="AA128" s="149"/>
      <c r="AB128" s="149"/>
      <c r="AC128" s="149"/>
      <c r="AD128" s="149"/>
      <c r="AE128" s="149"/>
      <c r="AF128" s="149"/>
      <c r="AG128" s="149"/>
      <c r="AH128" s="149"/>
      <c r="AI128" s="149"/>
      <c r="AJ128" s="149"/>
      <c r="AK128" s="149"/>
      <c r="AL128" s="149"/>
      <c r="AM128" s="149"/>
      <c r="AN128" s="149"/>
      <c r="AO128" s="149"/>
      <c r="AP128" s="149"/>
    </row>
    <row r="129" spans="1:42" x14ac:dyDescent="0.2">
      <c r="A129" s="278"/>
      <c r="B129" s="278"/>
      <c r="C129" s="278"/>
      <c r="D129" s="278"/>
      <c r="E129" s="278"/>
      <c r="F129" s="278"/>
      <c r="G129" s="278"/>
      <c r="H129" s="278"/>
      <c r="I129" s="278"/>
      <c r="J129" s="278"/>
      <c r="K129" s="278"/>
      <c r="L129" s="278"/>
      <c r="M129" s="278"/>
      <c r="N129" s="149"/>
      <c r="O129" s="149"/>
      <c r="P129" s="278"/>
      <c r="Q129" s="278"/>
      <c r="R129" s="278"/>
      <c r="S129" s="278"/>
      <c r="T129" s="149"/>
      <c r="U129" s="202">
        <f>Input!B194</f>
        <v>0</v>
      </c>
      <c r="V129" s="448">
        <f>Input!F194</f>
        <v>0</v>
      </c>
      <c r="W129" s="399">
        <f>Input!U194</f>
        <v>0</v>
      </c>
      <c r="X129" s="303">
        <f>Input!H194</f>
        <v>0</v>
      </c>
      <c r="Y129" s="448">
        <f>Input!I194</f>
        <v>0</v>
      </c>
      <c r="Z129" s="399">
        <f>Input!V194</f>
        <v>0</v>
      </c>
      <c r="AA129" s="149"/>
      <c r="AB129" s="149"/>
      <c r="AC129" s="149"/>
      <c r="AD129" s="149"/>
      <c r="AE129" s="149"/>
      <c r="AF129" s="149"/>
      <c r="AG129" s="149"/>
      <c r="AH129" s="149"/>
      <c r="AI129" s="149"/>
      <c r="AJ129" s="149"/>
      <c r="AK129" s="149"/>
      <c r="AL129" s="149"/>
      <c r="AM129" s="149"/>
      <c r="AN129" s="149"/>
      <c r="AO129" s="149"/>
      <c r="AP129" s="149"/>
    </row>
    <row r="130" spans="1:42" x14ac:dyDescent="0.2">
      <c r="A130" s="278"/>
      <c r="B130" s="278"/>
      <c r="C130" s="278"/>
      <c r="D130" s="278"/>
      <c r="E130" s="278"/>
      <c r="F130" s="278"/>
      <c r="G130" s="278"/>
      <c r="H130" s="278"/>
      <c r="I130" s="278"/>
      <c r="J130" s="278"/>
      <c r="K130" s="278"/>
      <c r="L130" s="278"/>
      <c r="M130" s="278"/>
      <c r="N130" s="149"/>
      <c r="O130" s="149"/>
      <c r="P130" s="278"/>
      <c r="Q130" s="278"/>
      <c r="R130" s="278"/>
      <c r="S130" s="278"/>
      <c r="T130" s="149"/>
      <c r="U130" s="202">
        <f>Input!B195</f>
        <v>0</v>
      </c>
      <c r="V130" s="448">
        <f>Input!F195</f>
        <v>0</v>
      </c>
      <c r="W130" s="399">
        <f>Input!U195</f>
        <v>0</v>
      </c>
      <c r="X130" s="303">
        <f>Input!H195</f>
        <v>0</v>
      </c>
      <c r="Y130" s="448">
        <f>Input!I195</f>
        <v>0</v>
      </c>
      <c r="Z130" s="399">
        <f>Input!V195</f>
        <v>0</v>
      </c>
      <c r="AA130" s="149"/>
      <c r="AB130" s="149"/>
      <c r="AC130" s="149"/>
      <c r="AD130" s="149"/>
      <c r="AE130" s="149"/>
      <c r="AF130" s="149"/>
      <c r="AG130" s="149"/>
      <c r="AH130" s="149"/>
      <c r="AI130" s="149"/>
      <c r="AJ130" s="149"/>
      <c r="AK130" s="149"/>
      <c r="AL130" s="149"/>
      <c r="AM130" s="149"/>
      <c r="AN130" s="149"/>
      <c r="AO130" s="149"/>
      <c r="AP130" s="149"/>
    </row>
    <row r="131" spans="1:42" x14ac:dyDescent="0.2">
      <c r="A131" s="278"/>
      <c r="B131" s="278"/>
      <c r="C131" s="278"/>
      <c r="D131" s="278"/>
      <c r="E131" s="278"/>
      <c r="F131" s="278"/>
      <c r="G131" s="278"/>
      <c r="H131" s="278"/>
      <c r="I131" s="278"/>
      <c r="J131" s="278"/>
      <c r="K131" s="278"/>
      <c r="L131" s="278"/>
      <c r="M131" s="278"/>
      <c r="N131" s="149"/>
      <c r="O131" s="149"/>
      <c r="P131" s="278"/>
      <c r="Q131" s="278"/>
      <c r="R131" s="278"/>
      <c r="S131" s="278"/>
      <c r="T131" s="149"/>
      <c r="U131" s="202">
        <f>Input!B196</f>
        <v>0</v>
      </c>
      <c r="V131" s="448">
        <f>Input!F196</f>
        <v>0</v>
      </c>
      <c r="W131" s="399">
        <f>Input!U196</f>
        <v>0</v>
      </c>
      <c r="X131" s="303">
        <f>Input!H196</f>
        <v>0</v>
      </c>
      <c r="Y131" s="448">
        <f>Input!I196</f>
        <v>0</v>
      </c>
      <c r="Z131" s="399">
        <f>Input!V196</f>
        <v>0</v>
      </c>
      <c r="AA131" s="149"/>
      <c r="AB131" s="149"/>
      <c r="AC131" s="149"/>
      <c r="AD131" s="149"/>
      <c r="AE131" s="149"/>
      <c r="AF131" s="149"/>
      <c r="AG131" s="149"/>
      <c r="AH131" s="149"/>
      <c r="AI131" s="149"/>
      <c r="AJ131" s="149"/>
      <c r="AK131" s="149"/>
      <c r="AL131" s="149"/>
      <c r="AM131" s="149"/>
      <c r="AN131" s="149"/>
      <c r="AO131" s="149"/>
      <c r="AP131" s="149"/>
    </row>
    <row r="132" spans="1:42" x14ac:dyDescent="0.2">
      <c r="A132" s="278"/>
      <c r="B132" s="278"/>
      <c r="C132" s="278"/>
      <c r="D132" s="278"/>
      <c r="E132" s="278"/>
      <c r="F132" s="278"/>
      <c r="G132" s="278"/>
      <c r="H132" s="278"/>
      <c r="I132" s="278"/>
      <c r="J132" s="278"/>
      <c r="K132" s="278"/>
      <c r="L132" s="278"/>
      <c r="M132" s="278"/>
      <c r="N132" s="149"/>
      <c r="O132" s="149"/>
      <c r="P132" s="278"/>
      <c r="Q132" s="278"/>
      <c r="R132" s="278"/>
      <c r="S132" s="278"/>
      <c r="T132" s="149"/>
      <c r="U132" s="202">
        <f>Input!B197</f>
        <v>0</v>
      </c>
      <c r="V132" s="448">
        <f>Input!F197</f>
        <v>0</v>
      </c>
      <c r="W132" s="399">
        <f>Input!U197</f>
        <v>0</v>
      </c>
      <c r="X132" s="303">
        <f>Input!H197</f>
        <v>0</v>
      </c>
      <c r="Y132" s="448">
        <f>Input!I197</f>
        <v>0</v>
      </c>
      <c r="Z132" s="399">
        <f>Input!V197</f>
        <v>0</v>
      </c>
      <c r="AA132" s="149"/>
      <c r="AB132" s="149"/>
      <c r="AC132" s="149"/>
      <c r="AD132" s="149"/>
      <c r="AE132" s="149"/>
      <c r="AF132" s="149"/>
      <c r="AG132" s="149"/>
      <c r="AH132" s="149"/>
      <c r="AI132" s="149"/>
      <c r="AJ132" s="149"/>
      <c r="AK132" s="149"/>
      <c r="AL132" s="149"/>
      <c r="AM132" s="149"/>
      <c r="AN132" s="149"/>
      <c r="AO132" s="149"/>
      <c r="AP132" s="149"/>
    </row>
    <row r="133" spans="1:42" x14ac:dyDescent="0.2">
      <c r="A133" s="278"/>
      <c r="B133" s="278"/>
      <c r="C133" s="278"/>
      <c r="D133" s="278"/>
      <c r="E133" s="278"/>
      <c r="F133" s="278"/>
      <c r="G133" s="278"/>
      <c r="H133" s="278"/>
      <c r="I133" s="278"/>
      <c r="J133" s="278"/>
      <c r="K133" s="278"/>
      <c r="L133" s="278"/>
      <c r="M133" s="278"/>
      <c r="N133" s="149"/>
      <c r="O133" s="149"/>
      <c r="P133" s="278"/>
      <c r="Q133" s="278"/>
      <c r="R133" s="278"/>
      <c r="S133" s="278"/>
      <c r="T133" s="149"/>
      <c r="U133" s="202">
        <f>Input!B198</f>
        <v>0</v>
      </c>
      <c r="V133" s="448">
        <f>Input!F198</f>
        <v>0</v>
      </c>
      <c r="W133" s="399">
        <f>Input!U198</f>
        <v>0</v>
      </c>
      <c r="X133" s="303">
        <f>Input!H198</f>
        <v>0</v>
      </c>
      <c r="Y133" s="448">
        <f>Input!I198</f>
        <v>0</v>
      </c>
      <c r="Z133" s="399">
        <f>Input!V198</f>
        <v>0</v>
      </c>
      <c r="AA133" s="149"/>
      <c r="AB133" s="149"/>
      <c r="AC133" s="149"/>
      <c r="AD133" s="149"/>
      <c r="AE133" s="149"/>
      <c r="AF133" s="149"/>
      <c r="AG133" s="149"/>
      <c r="AH133" s="149"/>
      <c r="AI133" s="149"/>
      <c r="AJ133" s="149"/>
      <c r="AK133" s="149"/>
      <c r="AL133" s="149"/>
      <c r="AM133" s="149"/>
      <c r="AN133" s="149"/>
      <c r="AO133" s="149"/>
      <c r="AP133" s="149"/>
    </row>
    <row r="134" spans="1:42" x14ac:dyDescent="0.2">
      <c r="A134" s="278"/>
      <c r="B134" s="278"/>
      <c r="C134" s="278"/>
      <c r="D134" s="278"/>
      <c r="E134" s="278"/>
      <c r="F134" s="278"/>
      <c r="G134" s="278"/>
      <c r="H134" s="278"/>
      <c r="I134" s="278"/>
      <c r="J134" s="278"/>
      <c r="K134" s="278"/>
      <c r="L134" s="278"/>
      <c r="M134" s="278"/>
      <c r="N134" s="149"/>
      <c r="O134" s="149"/>
      <c r="P134" s="278"/>
      <c r="Q134" s="278"/>
      <c r="R134" s="278"/>
      <c r="S134" s="278"/>
      <c r="T134" s="149"/>
      <c r="U134" s="202">
        <f>Input!B199</f>
        <v>0</v>
      </c>
      <c r="V134" s="448">
        <f>Input!F199</f>
        <v>0</v>
      </c>
      <c r="W134" s="399">
        <f>Input!U199</f>
        <v>0</v>
      </c>
      <c r="X134" s="303">
        <f>Input!H199</f>
        <v>0</v>
      </c>
      <c r="Y134" s="448">
        <f>Input!I199</f>
        <v>0</v>
      </c>
      <c r="Z134" s="399">
        <f>Input!V199</f>
        <v>0</v>
      </c>
      <c r="AA134" s="149"/>
      <c r="AB134" s="149"/>
      <c r="AC134" s="149"/>
      <c r="AD134" s="149"/>
      <c r="AE134" s="149"/>
      <c r="AF134" s="149"/>
      <c r="AG134" s="149"/>
      <c r="AH134" s="149"/>
      <c r="AI134" s="149"/>
      <c r="AJ134" s="149"/>
      <c r="AK134" s="149"/>
      <c r="AL134" s="149"/>
      <c r="AM134" s="149"/>
      <c r="AN134" s="149"/>
      <c r="AO134" s="149"/>
      <c r="AP134" s="149"/>
    </row>
    <row r="135" spans="1:42" x14ac:dyDescent="0.2">
      <c r="A135" s="278"/>
      <c r="B135" s="278"/>
      <c r="C135" s="278"/>
      <c r="D135" s="278"/>
      <c r="E135" s="278"/>
      <c r="F135" s="278"/>
      <c r="G135" s="278"/>
      <c r="H135" s="278"/>
      <c r="I135" s="278"/>
      <c r="J135" s="278"/>
      <c r="K135" s="278"/>
      <c r="L135" s="278"/>
      <c r="M135" s="278"/>
      <c r="N135" s="149"/>
      <c r="O135" s="149"/>
      <c r="P135" s="278"/>
      <c r="Q135" s="278"/>
      <c r="R135" s="278"/>
      <c r="S135" s="278"/>
      <c r="T135" s="149"/>
      <c r="U135" s="202">
        <f>Input!B200</f>
        <v>0</v>
      </c>
      <c r="V135" s="448">
        <f>Input!F200</f>
        <v>0</v>
      </c>
      <c r="W135" s="399">
        <f>Input!U200</f>
        <v>0</v>
      </c>
      <c r="X135" s="303">
        <f>Input!H200</f>
        <v>0</v>
      </c>
      <c r="Y135" s="448">
        <f>Input!I200</f>
        <v>0</v>
      </c>
      <c r="Z135" s="399">
        <f>Input!V200</f>
        <v>0</v>
      </c>
      <c r="AA135" s="149"/>
      <c r="AB135" s="149"/>
      <c r="AC135" s="149"/>
      <c r="AD135" s="149"/>
      <c r="AE135" s="149"/>
      <c r="AF135" s="149"/>
      <c r="AG135" s="149"/>
      <c r="AH135" s="149"/>
      <c r="AI135" s="149"/>
      <c r="AJ135" s="149"/>
      <c r="AK135" s="149"/>
      <c r="AL135" s="149"/>
      <c r="AM135" s="149"/>
      <c r="AN135" s="149"/>
      <c r="AO135" s="149"/>
      <c r="AP135" s="149"/>
    </row>
    <row r="136" spans="1:42" x14ac:dyDescent="0.2">
      <c r="A136" s="278"/>
      <c r="B136" s="278"/>
      <c r="C136" s="278"/>
      <c r="D136" s="278"/>
      <c r="E136" s="278"/>
      <c r="F136" s="278"/>
      <c r="G136" s="278"/>
      <c r="H136" s="278"/>
      <c r="I136" s="278"/>
      <c r="J136" s="278"/>
      <c r="K136" s="278"/>
      <c r="L136" s="278"/>
      <c r="M136" s="278"/>
      <c r="N136" s="149"/>
      <c r="O136" s="149"/>
      <c r="P136" s="278"/>
      <c r="Q136" s="278"/>
      <c r="R136" s="278"/>
      <c r="S136" s="278"/>
      <c r="T136" s="149"/>
      <c r="U136" s="202">
        <f>Input!B201</f>
        <v>0</v>
      </c>
      <c r="V136" s="448">
        <f>Input!F201</f>
        <v>0</v>
      </c>
      <c r="W136" s="399">
        <f>Input!U201</f>
        <v>0</v>
      </c>
      <c r="X136" s="303">
        <f>Input!H201</f>
        <v>0</v>
      </c>
      <c r="Y136" s="448">
        <f>Input!I201</f>
        <v>0</v>
      </c>
      <c r="Z136" s="399">
        <f>Input!V201</f>
        <v>0</v>
      </c>
      <c r="AA136" s="149"/>
      <c r="AB136" s="149"/>
      <c r="AC136" s="149"/>
      <c r="AD136" s="149"/>
      <c r="AE136" s="149"/>
      <c r="AF136" s="149"/>
      <c r="AG136" s="149"/>
      <c r="AH136" s="149"/>
      <c r="AI136" s="149"/>
      <c r="AJ136" s="149"/>
      <c r="AK136" s="149"/>
      <c r="AL136" s="149"/>
      <c r="AM136" s="149"/>
      <c r="AN136" s="149"/>
      <c r="AO136" s="149"/>
      <c r="AP136" s="149"/>
    </row>
    <row r="137" spans="1:42" x14ac:dyDescent="0.2">
      <c r="A137" s="278"/>
      <c r="B137" s="278"/>
      <c r="C137" s="278"/>
      <c r="D137" s="278"/>
      <c r="E137" s="278"/>
      <c r="F137" s="278"/>
      <c r="G137" s="278"/>
      <c r="H137" s="278"/>
      <c r="I137" s="278"/>
      <c r="J137" s="278"/>
      <c r="K137" s="278"/>
      <c r="L137" s="278"/>
      <c r="M137" s="278"/>
      <c r="N137" s="149"/>
      <c r="O137" s="149"/>
      <c r="P137" s="278"/>
      <c r="Q137" s="278"/>
      <c r="R137" s="278"/>
      <c r="S137" s="278"/>
      <c r="T137" s="149"/>
      <c r="U137" s="202">
        <f>Input!B202</f>
        <v>0</v>
      </c>
      <c r="V137" s="448">
        <f>Input!F202</f>
        <v>0</v>
      </c>
      <c r="W137" s="399">
        <f>Input!U202</f>
        <v>0</v>
      </c>
      <c r="X137" s="303">
        <f>Input!H202</f>
        <v>0</v>
      </c>
      <c r="Y137" s="448">
        <f>Input!I202</f>
        <v>0</v>
      </c>
      <c r="Z137" s="399">
        <f>Input!V202</f>
        <v>0</v>
      </c>
      <c r="AA137" s="149"/>
      <c r="AB137" s="149"/>
      <c r="AC137" s="149"/>
      <c r="AD137" s="149"/>
      <c r="AE137" s="149"/>
      <c r="AF137" s="149"/>
      <c r="AG137" s="149"/>
      <c r="AH137" s="149"/>
      <c r="AI137" s="149"/>
      <c r="AJ137" s="149"/>
      <c r="AK137" s="149"/>
      <c r="AL137" s="149"/>
      <c r="AM137" s="149"/>
      <c r="AN137" s="149"/>
      <c r="AO137" s="149"/>
      <c r="AP137" s="149"/>
    </row>
    <row r="138" spans="1:42" x14ac:dyDescent="0.2">
      <c r="A138" s="278"/>
      <c r="B138" s="278"/>
      <c r="C138" s="278"/>
      <c r="D138" s="278"/>
      <c r="E138" s="278"/>
      <c r="F138" s="278"/>
      <c r="G138" s="278"/>
      <c r="H138" s="278"/>
      <c r="I138" s="278"/>
      <c r="J138" s="278"/>
      <c r="K138" s="278"/>
      <c r="L138" s="278"/>
      <c r="M138" s="278"/>
      <c r="N138" s="149"/>
      <c r="O138" s="149"/>
      <c r="P138" s="278"/>
      <c r="Q138" s="278"/>
      <c r="R138" s="278"/>
      <c r="S138" s="278"/>
      <c r="T138" s="149"/>
      <c r="U138" s="202">
        <f>Input!B203</f>
        <v>0</v>
      </c>
      <c r="V138" s="448">
        <f>Input!F203</f>
        <v>0</v>
      </c>
      <c r="W138" s="399">
        <f>Input!U203</f>
        <v>0</v>
      </c>
      <c r="X138" s="303">
        <f>Input!H203</f>
        <v>0</v>
      </c>
      <c r="Y138" s="448">
        <f>Input!I203</f>
        <v>0</v>
      </c>
      <c r="Z138" s="399">
        <f>Input!V203</f>
        <v>0</v>
      </c>
      <c r="AA138" s="149"/>
      <c r="AB138" s="149"/>
      <c r="AC138" s="149"/>
      <c r="AD138" s="149"/>
      <c r="AE138" s="149"/>
      <c r="AF138" s="149"/>
      <c r="AG138" s="149"/>
      <c r="AH138" s="149"/>
      <c r="AI138" s="149"/>
      <c r="AJ138" s="149"/>
      <c r="AK138" s="149"/>
      <c r="AL138" s="149"/>
      <c r="AM138" s="149"/>
      <c r="AN138" s="149"/>
      <c r="AO138" s="149"/>
      <c r="AP138" s="149"/>
    </row>
    <row r="139" spans="1:42" x14ac:dyDescent="0.2">
      <c r="A139" s="278"/>
      <c r="B139" s="278"/>
      <c r="C139" s="278"/>
      <c r="D139" s="278"/>
      <c r="E139" s="278"/>
      <c r="F139" s="278"/>
      <c r="G139" s="278"/>
      <c r="H139" s="278"/>
      <c r="I139" s="278"/>
      <c r="J139" s="278"/>
      <c r="K139" s="278"/>
      <c r="L139" s="278"/>
      <c r="M139" s="278"/>
      <c r="N139" s="149"/>
      <c r="O139" s="149"/>
      <c r="P139" s="278"/>
      <c r="Q139" s="278"/>
      <c r="R139" s="278"/>
      <c r="S139" s="278"/>
      <c r="T139" s="149"/>
      <c r="U139" s="202">
        <f>Input!B204</f>
        <v>0</v>
      </c>
      <c r="V139" s="448">
        <f>Input!F204</f>
        <v>0</v>
      </c>
      <c r="W139" s="399">
        <f>Input!U204</f>
        <v>0</v>
      </c>
      <c r="X139" s="303">
        <f>Input!H204</f>
        <v>0</v>
      </c>
      <c r="Y139" s="448">
        <f>Input!I204</f>
        <v>0</v>
      </c>
      <c r="Z139" s="399">
        <f>Input!V204</f>
        <v>0</v>
      </c>
      <c r="AA139" s="149"/>
      <c r="AB139" s="149"/>
      <c r="AC139" s="149"/>
      <c r="AD139" s="149"/>
      <c r="AE139" s="149"/>
      <c r="AF139" s="149"/>
      <c r="AG139" s="149"/>
      <c r="AH139" s="149"/>
      <c r="AI139" s="149"/>
      <c r="AJ139" s="149"/>
      <c r="AK139" s="149"/>
      <c r="AL139" s="149"/>
      <c r="AM139" s="149"/>
      <c r="AN139" s="149"/>
      <c r="AO139" s="149"/>
      <c r="AP139" s="149"/>
    </row>
    <row r="140" spans="1:42" x14ac:dyDescent="0.2">
      <c r="A140" s="278"/>
      <c r="B140" s="278"/>
      <c r="C140" s="278"/>
      <c r="D140" s="278"/>
      <c r="E140" s="278"/>
      <c r="F140" s="278"/>
      <c r="G140" s="278"/>
      <c r="H140" s="278"/>
      <c r="I140" s="278"/>
      <c r="J140" s="278"/>
      <c r="K140" s="278"/>
      <c r="L140" s="278"/>
      <c r="M140" s="278"/>
      <c r="N140" s="149"/>
      <c r="O140" s="149"/>
      <c r="P140" s="278"/>
      <c r="Q140" s="278"/>
      <c r="R140" s="278"/>
      <c r="S140" s="278"/>
      <c r="T140" s="149"/>
      <c r="U140" s="202">
        <f>Input!B205</f>
        <v>0</v>
      </c>
      <c r="V140" s="448">
        <f>Input!F205</f>
        <v>0</v>
      </c>
      <c r="W140" s="399">
        <f>Input!U205</f>
        <v>0</v>
      </c>
      <c r="X140" s="303">
        <f>Input!H205</f>
        <v>0</v>
      </c>
      <c r="Y140" s="448">
        <f>Input!I205</f>
        <v>0</v>
      </c>
      <c r="Z140" s="399">
        <f>Input!V205</f>
        <v>0</v>
      </c>
      <c r="AA140" s="149"/>
      <c r="AB140" s="149"/>
      <c r="AC140" s="149"/>
      <c r="AD140" s="149"/>
      <c r="AE140" s="149"/>
      <c r="AF140" s="149"/>
      <c r="AG140" s="149"/>
      <c r="AH140" s="149"/>
      <c r="AI140" s="149"/>
      <c r="AJ140" s="149"/>
      <c r="AK140" s="149"/>
      <c r="AL140" s="149"/>
      <c r="AM140" s="149"/>
      <c r="AN140" s="149"/>
      <c r="AO140" s="149"/>
      <c r="AP140" s="149"/>
    </row>
    <row r="141" spans="1:42" x14ac:dyDescent="0.2">
      <c r="A141" s="278"/>
      <c r="B141" s="278"/>
      <c r="C141" s="278"/>
      <c r="D141" s="278"/>
      <c r="E141" s="278"/>
      <c r="F141" s="278"/>
      <c r="G141" s="278"/>
      <c r="H141" s="278"/>
      <c r="I141" s="278"/>
      <c r="J141" s="278"/>
      <c r="K141" s="278"/>
      <c r="L141" s="278"/>
      <c r="M141" s="278"/>
      <c r="N141" s="149"/>
      <c r="O141" s="149"/>
      <c r="P141" s="278"/>
      <c r="Q141" s="278"/>
      <c r="R141" s="278"/>
      <c r="S141" s="278"/>
      <c r="T141" s="149"/>
      <c r="U141" s="202">
        <f>Input!B206</f>
        <v>0</v>
      </c>
      <c r="V141" s="448">
        <f>Input!F206</f>
        <v>0</v>
      </c>
      <c r="W141" s="399">
        <f>Input!U206</f>
        <v>0</v>
      </c>
      <c r="X141" s="303">
        <f>Input!H206</f>
        <v>0</v>
      </c>
      <c r="Y141" s="448">
        <f>Input!I206</f>
        <v>0</v>
      </c>
      <c r="Z141" s="399">
        <f>Input!V206</f>
        <v>0</v>
      </c>
      <c r="AA141" s="149"/>
      <c r="AB141" s="149"/>
      <c r="AC141" s="149"/>
      <c r="AD141" s="149"/>
      <c r="AE141" s="149"/>
      <c r="AF141" s="149"/>
      <c r="AG141" s="149"/>
      <c r="AH141" s="149"/>
      <c r="AI141" s="149"/>
      <c r="AJ141" s="149"/>
      <c r="AK141" s="149"/>
      <c r="AL141" s="149"/>
      <c r="AM141" s="149"/>
      <c r="AN141" s="149"/>
      <c r="AO141" s="149"/>
      <c r="AP141" s="149"/>
    </row>
    <row r="142" spans="1:42" x14ac:dyDescent="0.2">
      <c r="A142" s="278"/>
      <c r="B142" s="278"/>
      <c r="C142" s="278"/>
      <c r="D142" s="278"/>
      <c r="E142" s="278"/>
      <c r="F142" s="278"/>
      <c r="G142" s="278"/>
      <c r="H142" s="278"/>
      <c r="I142" s="278"/>
      <c r="J142" s="278"/>
      <c r="K142" s="278"/>
      <c r="L142" s="278"/>
      <c r="M142" s="278"/>
      <c r="N142" s="149"/>
      <c r="O142" s="149"/>
      <c r="P142" s="278"/>
      <c r="Q142" s="278"/>
      <c r="R142" s="278"/>
      <c r="S142" s="278"/>
      <c r="T142" s="149"/>
      <c r="U142" s="202">
        <f>Input!B207</f>
        <v>0</v>
      </c>
      <c r="V142" s="448">
        <f>Input!F207</f>
        <v>0</v>
      </c>
      <c r="W142" s="399">
        <f>Input!U207</f>
        <v>0</v>
      </c>
      <c r="X142" s="303">
        <f>Input!H207</f>
        <v>0</v>
      </c>
      <c r="Y142" s="448">
        <f>Input!I207</f>
        <v>0</v>
      </c>
      <c r="Z142" s="399">
        <f>Input!V207</f>
        <v>0</v>
      </c>
      <c r="AA142" s="149"/>
      <c r="AB142" s="149"/>
      <c r="AC142" s="149"/>
      <c r="AD142" s="149"/>
      <c r="AE142" s="149"/>
      <c r="AF142" s="149"/>
      <c r="AG142" s="149"/>
      <c r="AH142" s="149"/>
      <c r="AI142" s="149"/>
      <c r="AJ142" s="149"/>
      <c r="AK142" s="149"/>
      <c r="AL142" s="149"/>
      <c r="AM142" s="149"/>
      <c r="AN142" s="149"/>
      <c r="AO142" s="149"/>
      <c r="AP142" s="149"/>
    </row>
    <row r="143" spans="1:42" x14ac:dyDescent="0.2">
      <c r="A143" s="278"/>
      <c r="B143" s="278"/>
      <c r="C143" s="278"/>
      <c r="D143" s="278"/>
      <c r="E143" s="278"/>
      <c r="F143" s="278"/>
      <c r="G143" s="278"/>
      <c r="H143" s="278"/>
      <c r="I143" s="278"/>
      <c r="J143" s="278"/>
      <c r="K143" s="278"/>
      <c r="L143" s="278"/>
      <c r="M143" s="278"/>
      <c r="N143" s="149"/>
      <c r="O143" s="149"/>
      <c r="P143" s="278"/>
      <c r="Q143" s="278"/>
      <c r="R143" s="278"/>
      <c r="S143" s="278"/>
      <c r="T143" s="149"/>
      <c r="U143" s="202">
        <f>Input!B208</f>
        <v>0</v>
      </c>
      <c r="V143" s="448">
        <f>Input!F208</f>
        <v>0</v>
      </c>
      <c r="W143" s="399">
        <f>Input!U208</f>
        <v>0</v>
      </c>
      <c r="X143" s="303">
        <f>Input!H208</f>
        <v>0</v>
      </c>
      <c r="Y143" s="448">
        <f>Input!I208</f>
        <v>0</v>
      </c>
      <c r="Z143" s="399">
        <f>Input!V208</f>
        <v>0</v>
      </c>
      <c r="AA143" s="149"/>
      <c r="AB143" s="149"/>
      <c r="AC143" s="149"/>
      <c r="AD143" s="149"/>
      <c r="AE143" s="149"/>
      <c r="AF143" s="149"/>
      <c r="AG143" s="149"/>
      <c r="AH143" s="149"/>
      <c r="AI143" s="149"/>
      <c r="AJ143" s="149"/>
      <c r="AK143" s="149"/>
      <c r="AL143" s="149"/>
      <c r="AM143" s="149"/>
      <c r="AN143" s="149"/>
      <c r="AO143" s="149"/>
      <c r="AP143" s="149"/>
    </row>
    <row r="144" spans="1:42" x14ac:dyDescent="0.2">
      <c r="A144" s="278"/>
      <c r="B144" s="278"/>
      <c r="C144" s="278"/>
      <c r="D144" s="278"/>
      <c r="E144" s="278"/>
      <c r="F144" s="278"/>
      <c r="G144" s="278"/>
      <c r="H144" s="278"/>
      <c r="I144" s="278"/>
      <c r="J144" s="278"/>
      <c r="K144" s="278"/>
      <c r="L144" s="278"/>
      <c r="M144" s="278"/>
      <c r="N144" s="149"/>
      <c r="O144" s="149"/>
      <c r="P144" s="278"/>
      <c r="Q144" s="278"/>
      <c r="R144" s="278"/>
      <c r="S144" s="278"/>
      <c r="T144" s="149"/>
      <c r="U144" s="202">
        <f>Input!B209</f>
        <v>0</v>
      </c>
      <c r="V144" s="448">
        <f>Input!F209</f>
        <v>0</v>
      </c>
      <c r="W144" s="399">
        <f>Input!U209</f>
        <v>0</v>
      </c>
      <c r="X144" s="303">
        <f>Input!H209</f>
        <v>0</v>
      </c>
      <c r="Y144" s="448">
        <f>Input!I209</f>
        <v>0</v>
      </c>
      <c r="Z144" s="399">
        <f>Input!V209</f>
        <v>0</v>
      </c>
      <c r="AA144" s="149"/>
      <c r="AB144" s="149"/>
      <c r="AC144" s="149"/>
      <c r="AD144" s="149"/>
      <c r="AE144" s="149"/>
      <c r="AF144" s="149"/>
      <c r="AG144" s="149"/>
      <c r="AH144" s="149"/>
      <c r="AI144" s="149"/>
      <c r="AJ144" s="149"/>
      <c r="AK144" s="149"/>
      <c r="AL144" s="149"/>
      <c r="AM144" s="149"/>
      <c r="AN144" s="149"/>
      <c r="AO144" s="149"/>
      <c r="AP144" s="149"/>
    </row>
    <row r="145" spans="1:42" x14ac:dyDescent="0.2">
      <c r="A145" s="278"/>
      <c r="B145" s="278"/>
      <c r="C145" s="278"/>
      <c r="D145" s="278"/>
      <c r="E145" s="278"/>
      <c r="F145" s="278"/>
      <c r="G145" s="278"/>
      <c r="H145" s="278"/>
      <c r="I145" s="278"/>
      <c r="J145" s="278"/>
      <c r="K145" s="278"/>
      <c r="L145" s="278"/>
      <c r="M145" s="278"/>
      <c r="N145" s="149"/>
      <c r="O145" s="149"/>
      <c r="P145" s="278"/>
      <c r="Q145" s="278"/>
      <c r="R145" s="278"/>
      <c r="S145" s="278"/>
      <c r="T145" s="149"/>
      <c r="U145" s="202">
        <f>Input!B210</f>
        <v>0</v>
      </c>
      <c r="V145" s="448">
        <f>Input!F210</f>
        <v>0</v>
      </c>
      <c r="W145" s="399">
        <f>Input!U210</f>
        <v>0</v>
      </c>
      <c r="X145" s="303">
        <f>Input!H210</f>
        <v>0</v>
      </c>
      <c r="Y145" s="448">
        <f>Input!I210</f>
        <v>0</v>
      </c>
      <c r="Z145" s="399">
        <f>Input!V210</f>
        <v>0</v>
      </c>
      <c r="AA145" s="149"/>
      <c r="AB145" s="149"/>
      <c r="AC145" s="149"/>
      <c r="AD145" s="149"/>
      <c r="AE145" s="149"/>
      <c r="AF145" s="149"/>
      <c r="AG145" s="149"/>
      <c r="AH145" s="149"/>
      <c r="AI145" s="149"/>
      <c r="AJ145" s="149"/>
      <c r="AK145" s="149"/>
      <c r="AL145" s="149"/>
      <c r="AM145" s="149"/>
      <c r="AN145" s="149"/>
      <c r="AO145" s="149"/>
      <c r="AP145" s="149"/>
    </row>
    <row r="146" spans="1:42" x14ac:dyDescent="0.2">
      <c r="A146" s="278"/>
      <c r="B146" s="278"/>
      <c r="C146" s="278"/>
      <c r="D146" s="278"/>
      <c r="E146" s="278"/>
      <c r="F146" s="278"/>
      <c r="G146" s="278"/>
      <c r="H146" s="278"/>
      <c r="I146" s="278"/>
      <c r="J146" s="278"/>
      <c r="K146" s="278"/>
      <c r="L146" s="278"/>
      <c r="M146" s="278"/>
      <c r="N146" s="149"/>
      <c r="O146" s="149"/>
      <c r="P146" s="278"/>
      <c r="Q146" s="278"/>
      <c r="R146" s="278"/>
      <c r="S146" s="278"/>
      <c r="T146" s="149"/>
      <c r="U146" s="202">
        <f>Input!B211</f>
        <v>0</v>
      </c>
      <c r="V146" s="448">
        <f>Input!F211</f>
        <v>0</v>
      </c>
      <c r="W146" s="399">
        <f>Input!U211</f>
        <v>0</v>
      </c>
      <c r="X146" s="303">
        <f>Input!H211</f>
        <v>0</v>
      </c>
      <c r="Y146" s="448">
        <f>Input!I211</f>
        <v>0</v>
      </c>
      <c r="Z146" s="399">
        <f>Input!V211</f>
        <v>0</v>
      </c>
      <c r="AA146" s="149"/>
      <c r="AB146" s="149"/>
      <c r="AC146" s="149"/>
      <c r="AD146" s="149"/>
      <c r="AE146" s="149"/>
      <c r="AF146" s="149"/>
      <c r="AG146" s="149"/>
      <c r="AH146" s="149"/>
      <c r="AI146" s="149"/>
      <c r="AJ146" s="149"/>
      <c r="AK146" s="149"/>
      <c r="AL146" s="149"/>
      <c r="AM146" s="149"/>
      <c r="AN146" s="149"/>
      <c r="AO146" s="149"/>
      <c r="AP146" s="149"/>
    </row>
    <row r="147" spans="1:42" x14ac:dyDescent="0.2">
      <c r="A147" s="278"/>
      <c r="B147" s="278"/>
      <c r="C147" s="278"/>
      <c r="D147" s="278"/>
      <c r="E147" s="278"/>
      <c r="F147" s="278"/>
      <c r="G147" s="278"/>
      <c r="H147" s="278"/>
      <c r="I147" s="278"/>
      <c r="J147" s="278"/>
      <c r="K147" s="278"/>
      <c r="L147" s="278"/>
      <c r="M147" s="278"/>
      <c r="N147" s="149"/>
      <c r="O147" s="149"/>
      <c r="P147" s="278"/>
      <c r="Q147" s="278"/>
      <c r="R147" s="278"/>
      <c r="S147" s="278"/>
      <c r="T147" s="149"/>
      <c r="U147" s="202">
        <f>Input!B212</f>
        <v>0</v>
      </c>
      <c r="V147" s="448">
        <f>Input!F212</f>
        <v>0</v>
      </c>
      <c r="W147" s="399">
        <f>Input!U212</f>
        <v>0</v>
      </c>
      <c r="X147" s="303">
        <f>Input!H212</f>
        <v>0</v>
      </c>
      <c r="Y147" s="448">
        <f>Input!I212</f>
        <v>0</v>
      </c>
      <c r="Z147" s="399">
        <f>Input!V212</f>
        <v>0</v>
      </c>
      <c r="AA147" s="149"/>
      <c r="AB147" s="149"/>
      <c r="AC147" s="149"/>
      <c r="AD147" s="149"/>
      <c r="AE147" s="149"/>
      <c r="AF147" s="149"/>
      <c r="AG147" s="149"/>
      <c r="AH147" s="149"/>
      <c r="AI147" s="149"/>
      <c r="AJ147" s="149"/>
      <c r="AK147" s="149"/>
      <c r="AL147" s="149"/>
      <c r="AM147" s="149"/>
      <c r="AN147" s="149"/>
      <c r="AO147" s="149"/>
      <c r="AP147" s="149"/>
    </row>
    <row r="148" spans="1:42" x14ac:dyDescent="0.2">
      <c r="A148" s="278"/>
      <c r="B148" s="278"/>
      <c r="C148" s="278"/>
      <c r="D148" s="278"/>
      <c r="E148" s="278"/>
      <c r="F148" s="278"/>
      <c r="G148" s="278"/>
      <c r="H148" s="278"/>
      <c r="I148" s="278"/>
      <c r="J148" s="278"/>
      <c r="K148" s="278"/>
      <c r="L148" s="278"/>
      <c r="M148" s="278"/>
      <c r="N148" s="149"/>
      <c r="O148" s="149"/>
      <c r="P148" s="278"/>
      <c r="Q148" s="278"/>
      <c r="R148" s="278"/>
      <c r="S148" s="278"/>
      <c r="T148" s="149"/>
      <c r="U148" s="202">
        <f>Input!B213</f>
        <v>0</v>
      </c>
      <c r="V148" s="448">
        <f>Input!F213</f>
        <v>0</v>
      </c>
      <c r="W148" s="399">
        <f>Input!U213</f>
        <v>0</v>
      </c>
      <c r="X148" s="303">
        <f>Input!H213</f>
        <v>0</v>
      </c>
      <c r="Y148" s="448">
        <f>Input!I213</f>
        <v>0</v>
      </c>
      <c r="Z148" s="399">
        <f>Input!V213</f>
        <v>0</v>
      </c>
      <c r="AA148" s="149"/>
      <c r="AB148" s="149"/>
      <c r="AC148" s="149"/>
      <c r="AD148" s="149"/>
      <c r="AE148" s="149"/>
      <c r="AF148" s="149"/>
      <c r="AG148" s="149"/>
      <c r="AH148" s="149"/>
      <c r="AI148" s="149"/>
      <c r="AJ148" s="149"/>
      <c r="AK148" s="149"/>
      <c r="AL148" s="149"/>
      <c r="AM148" s="149"/>
      <c r="AN148" s="149"/>
      <c r="AO148" s="149"/>
      <c r="AP148" s="149"/>
    </row>
    <row r="149" spans="1:42" x14ac:dyDescent="0.2">
      <c r="A149" s="278"/>
      <c r="B149" s="278"/>
      <c r="C149" s="278"/>
      <c r="D149" s="278"/>
      <c r="E149" s="278"/>
      <c r="F149" s="278"/>
      <c r="G149" s="278"/>
      <c r="H149" s="278"/>
      <c r="I149" s="278"/>
      <c r="J149" s="278"/>
      <c r="K149" s="278"/>
      <c r="L149" s="278"/>
      <c r="M149" s="278"/>
      <c r="N149" s="149"/>
      <c r="O149" s="149"/>
      <c r="P149" s="278"/>
      <c r="Q149" s="278"/>
      <c r="R149" s="278"/>
      <c r="S149" s="278"/>
      <c r="T149" s="149"/>
      <c r="U149" s="202">
        <f>Input!B214</f>
        <v>0</v>
      </c>
      <c r="V149" s="448">
        <f>Input!F214</f>
        <v>0</v>
      </c>
      <c r="W149" s="399">
        <f>Input!U214</f>
        <v>0</v>
      </c>
      <c r="X149" s="303">
        <f>Input!H214</f>
        <v>0</v>
      </c>
      <c r="Y149" s="448">
        <f>Input!I214</f>
        <v>0</v>
      </c>
      <c r="Z149" s="399">
        <f>Input!V214</f>
        <v>0</v>
      </c>
      <c r="AA149" s="149"/>
      <c r="AB149" s="149"/>
      <c r="AC149" s="149"/>
      <c r="AD149" s="149"/>
      <c r="AE149" s="149"/>
      <c r="AF149" s="149"/>
      <c r="AG149" s="149"/>
      <c r="AH149" s="149"/>
      <c r="AI149" s="149"/>
      <c r="AJ149" s="149"/>
      <c r="AK149" s="149"/>
      <c r="AL149" s="149"/>
      <c r="AM149" s="149"/>
      <c r="AN149" s="149"/>
      <c r="AO149" s="149"/>
      <c r="AP149" s="149"/>
    </row>
    <row r="150" spans="1:42" x14ac:dyDescent="0.2">
      <c r="A150" s="278"/>
      <c r="B150" s="278"/>
      <c r="C150" s="278"/>
      <c r="D150" s="278"/>
      <c r="E150" s="278"/>
      <c r="F150" s="278"/>
      <c r="G150" s="278"/>
      <c r="H150" s="278"/>
      <c r="I150" s="278"/>
      <c r="J150" s="278"/>
      <c r="K150" s="278"/>
      <c r="L150" s="278"/>
      <c r="M150" s="278"/>
      <c r="N150" s="149"/>
      <c r="O150" s="149"/>
      <c r="P150" s="278"/>
      <c r="Q150" s="278"/>
      <c r="R150" s="278"/>
      <c r="S150" s="278"/>
      <c r="T150" s="149"/>
      <c r="U150" s="202">
        <f>Input!B215</f>
        <v>0</v>
      </c>
      <c r="V150" s="448">
        <f>Input!F215</f>
        <v>0</v>
      </c>
      <c r="W150" s="399">
        <f>Input!U215</f>
        <v>0</v>
      </c>
      <c r="X150" s="303">
        <f>Input!H215</f>
        <v>0</v>
      </c>
      <c r="Y150" s="448">
        <f>Input!I215</f>
        <v>0</v>
      </c>
      <c r="Z150" s="399">
        <f>Input!V215</f>
        <v>0</v>
      </c>
      <c r="AA150" s="149"/>
      <c r="AB150" s="149"/>
      <c r="AC150" s="149"/>
      <c r="AD150" s="149"/>
      <c r="AE150" s="149"/>
      <c r="AF150" s="149"/>
      <c r="AG150" s="149"/>
      <c r="AH150" s="149"/>
      <c r="AI150" s="149"/>
      <c r="AJ150" s="149"/>
      <c r="AK150" s="149"/>
      <c r="AL150" s="149"/>
      <c r="AM150" s="149"/>
      <c r="AN150" s="149"/>
      <c r="AO150" s="149"/>
      <c r="AP150" s="149"/>
    </row>
    <row r="151" spans="1:42" x14ac:dyDescent="0.2">
      <c r="A151" s="278"/>
      <c r="B151" s="278"/>
      <c r="C151" s="278"/>
      <c r="D151" s="278"/>
      <c r="E151" s="278"/>
      <c r="F151" s="278"/>
      <c r="G151" s="278"/>
      <c r="H151" s="278"/>
      <c r="I151" s="278"/>
      <c r="J151" s="278"/>
      <c r="K151" s="278"/>
      <c r="L151" s="278"/>
      <c r="M151" s="278"/>
      <c r="N151" s="149"/>
      <c r="O151" s="149"/>
      <c r="P151" s="278"/>
      <c r="Q151" s="278"/>
      <c r="R151" s="278"/>
      <c r="S151" s="278"/>
      <c r="T151" s="149"/>
      <c r="U151" s="202">
        <f>Input!B216</f>
        <v>0</v>
      </c>
      <c r="V151" s="448">
        <f>Input!F216</f>
        <v>0</v>
      </c>
      <c r="W151" s="399">
        <f>Input!U216</f>
        <v>0</v>
      </c>
      <c r="X151" s="303">
        <f>Input!H216</f>
        <v>0</v>
      </c>
      <c r="Y151" s="448">
        <f>Input!I216</f>
        <v>0</v>
      </c>
      <c r="Z151" s="399">
        <f>Input!V216</f>
        <v>0</v>
      </c>
      <c r="AA151" s="149"/>
      <c r="AB151" s="149"/>
      <c r="AC151" s="149"/>
      <c r="AD151" s="149"/>
      <c r="AE151" s="149"/>
      <c r="AF151" s="149"/>
      <c r="AG151" s="149"/>
      <c r="AH151" s="149"/>
      <c r="AI151" s="149"/>
      <c r="AJ151" s="149"/>
      <c r="AK151" s="149"/>
      <c r="AL151" s="149"/>
      <c r="AM151" s="149"/>
      <c r="AN151" s="149"/>
      <c r="AO151" s="149"/>
      <c r="AP151" s="149"/>
    </row>
    <row r="152" spans="1:42" x14ac:dyDescent="0.2">
      <c r="A152" s="278"/>
      <c r="B152" s="278"/>
      <c r="C152" s="278"/>
      <c r="D152" s="278"/>
      <c r="E152" s="278"/>
      <c r="F152" s="278"/>
      <c r="G152" s="278"/>
      <c r="H152" s="278"/>
      <c r="I152" s="278"/>
      <c r="J152" s="278"/>
      <c r="K152" s="278"/>
      <c r="L152" s="278"/>
      <c r="M152" s="278"/>
      <c r="N152" s="149"/>
      <c r="O152" s="149"/>
      <c r="P152" s="278"/>
      <c r="Q152" s="278"/>
      <c r="R152" s="278"/>
      <c r="S152" s="278"/>
      <c r="T152" s="149"/>
      <c r="U152" s="202">
        <f>Input!B217</f>
        <v>0</v>
      </c>
      <c r="V152" s="448">
        <f>Input!F217</f>
        <v>0</v>
      </c>
      <c r="W152" s="399">
        <f>Input!U217</f>
        <v>0</v>
      </c>
      <c r="X152" s="303">
        <f>Input!H217</f>
        <v>0</v>
      </c>
      <c r="Y152" s="448">
        <f>Input!I217</f>
        <v>0</v>
      </c>
      <c r="Z152" s="399">
        <f>Input!V217</f>
        <v>0</v>
      </c>
      <c r="AA152" s="149"/>
      <c r="AB152" s="149"/>
      <c r="AC152" s="149"/>
      <c r="AD152" s="149"/>
      <c r="AE152" s="149"/>
      <c r="AF152" s="149"/>
      <c r="AG152" s="149"/>
      <c r="AH152" s="149"/>
      <c r="AI152" s="149"/>
      <c r="AJ152" s="149"/>
      <c r="AK152" s="149"/>
      <c r="AL152" s="149"/>
      <c r="AM152" s="149"/>
      <c r="AN152" s="149"/>
      <c r="AO152" s="149"/>
      <c r="AP152" s="149"/>
    </row>
    <row r="153" spans="1:42" x14ac:dyDescent="0.2">
      <c r="A153" s="278"/>
      <c r="B153" s="278"/>
      <c r="C153" s="278"/>
      <c r="D153" s="278"/>
      <c r="E153" s="278"/>
      <c r="F153" s="278"/>
      <c r="G153" s="278"/>
      <c r="H153" s="278"/>
      <c r="I153" s="278"/>
      <c r="J153" s="278"/>
      <c r="K153" s="278"/>
      <c r="L153" s="278"/>
      <c r="M153" s="278"/>
      <c r="N153" s="149"/>
      <c r="O153" s="149"/>
      <c r="P153" s="278"/>
      <c r="Q153" s="278"/>
      <c r="R153" s="278"/>
      <c r="S153" s="278"/>
      <c r="T153" s="149"/>
      <c r="U153" s="202">
        <f>Input!B218</f>
        <v>0</v>
      </c>
      <c r="V153" s="448">
        <f>Input!F218</f>
        <v>0</v>
      </c>
      <c r="W153" s="399">
        <f>Input!U218</f>
        <v>0</v>
      </c>
      <c r="X153" s="303">
        <f>Input!H218</f>
        <v>0</v>
      </c>
      <c r="Y153" s="448">
        <f>Input!I218</f>
        <v>0</v>
      </c>
      <c r="Z153" s="399">
        <f>Input!V218</f>
        <v>0</v>
      </c>
      <c r="AA153" s="149"/>
      <c r="AB153" s="149"/>
      <c r="AC153" s="149"/>
      <c r="AD153" s="149"/>
      <c r="AE153" s="149"/>
      <c r="AF153" s="149"/>
      <c r="AG153" s="149"/>
      <c r="AH153" s="149"/>
      <c r="AI153" s="149"/>
      <c r="AJ153" s="149"/>
      <c r="AK153" s="149"/>
      <c r="AL153" s="149"/>
      <c r="AM153" s="149"/>
      <c r="AN153" s="149"/>
      <c r="AO153" s="149"/>
      <c r="AP153" s="149"/>
    </row>
    <row r="154" spans="1:42" x14ac:dyDescent="0.2">
      <c r="A154" s="278"/>
      <c r="B154" s="278"/>
      <c r="C154" s="278"/>
      <c r="D154" s="278"/>
      <c r="E154" s="278"/>
      <c r="F154" s="278"/>
      <c r="G154" s="278"/>
      <c r="H154" s="278"/>
      <c r="I154" s="278"/>
      <c r="J154" s="278"/>
      <c r="K154" s="278"/>
      <c r="L154" s="278"/>
      <c r="M154" s="278"/>
      <c r="N154" s="149"/>
      <c r="O154" s="149"/>
      <c r="P154" s="278"/>
      <c r="Q154" s="278"/>
      <c r="R154" s="278"/>
      <c r="S154" s="278"/>
      <c r="T154" s="149"/>
      <c r="U154" s="202">
        <f>Input!B219</f>
        <v>0</v>
      </c>
      <c r="V154" s="448">
        <f>Input!F219</f>
        <v>0</v>
      </c>
      <c r="W154" s="399">
        <f>Input!U219</f>
        <v>0</v>
      </c>
      <c r="X154" s="303">
        <f>Input!H219</f>
        <v>0</v>
      </c>
      <c r="Y154" s="448">
        <f>Input!I219</f>
        <v>0</v>
      </c>
      <c r="Z154" s="399">
        <f>Input!V219</f>
        <v>0</v>
      </c>
      <c r="AA154" s="149"/>
      <c r="AB154" s="149"/>
      <c r="AC154" s="149"/>
      <c r="AD154" s="149"/>
      <c r="AE154" s="149"/>
      <c r="AF154" s="149"/>
      <c r="AG154" s="149"/>
      <c r="AH154" s="149"/>
      <c r="AI154" s="149"/>
      <c r="AJ154" s="149"/>
      <c r="AK154" s="149"/>
      <c r="AL154" s="149"/>
      <c r="AM154" s="149"/>
      <c r="AN154" s="149"/>
      <c r="AO154" s="149"/>
      <c r="AP154" s="149"/>
    </row>
    <row r="155" spans="1:42" x14ac:dyDescent="0.2">
      <c r="A155" s="278"/>
      <c r="B155" s="278"/>
      <c r="C155" s="278"/>
      <c r="D155" s="278"/>
      <c r="E155" s="278"/>
      <c r="F155" s="278"/>
      <c r="G155" s="278"/>
      <c r="H155" s="278"/>
      <c r="I155" s="278"/>
      <c r="J155" s="278"/>
      <c r="K155" s="278"/>
      <c r="L155" s="278"/>
      <c r="M155" s="278"/>
      <c r="N155" s="149"/>
      <c r="O155" s="149"/>
      <c r="P155" s="278"/>
      <c r="Q155" s="278"/>
      <c r="R155" s="278"/>
      <c r="S155" s="278"/>
      <c r="T155" s="149"/>
      <c r="U155" s="202">
        <f>Input!B220</f>
        <v>0</v>
      </c>
      <c r="V155" s="448">
        <f>Input!F220</f>
        <v>0</v>
      </c>
      <c r="W155" s="399">
        <f>Input!U220</f>
        <v>0</v>
      </c>
      <c r="X155" s="303">
        <f>Input!H220</f>
        <v>0</v>
      </c>
      <c r="Y155" s="448">
        <f>Input!I220</f>
        <v>0</v>
      </c>
      <c r="Z155" s="399">
        <f>Input!V220</f>
        <v>0</v>
      </c>
      <c r="AA155" s="149"/>
      <c r="AB155" s="149"/>
      <c r="AC155" s="149"/>
      <c r="AD155" s="149"/>
      <c r="AE155" s="149"/>
      <c r="AF155" s="149"/>
      <c r="AG155" s="149"/>
      <c r="AH155" s="149"/>
      <c r="AI155" s="149"/>
      <c r="AJ155" s="149"/>
      <c r="AK155" s="149"/>
      <c r="AL155" s="149"/>
      <c r="AM155" s="149"/>
      <c r="AN155" s="149"/>
      <c r="AO155" s="149"/>
      <c r="AP155" s="149"/>
    </row>
    <row r="156" spans="1:42" x14ac:dyDescent="0.2">
      <c r="A156" s="278"/>
      <c r="B156" s="278"/>
      <c r="C156" s="278"/>
      <c r="D156" s="278"/>
      <c r="E156" s="278"/>
      <c r="F156" s="278"/>
      <c r="G156" s="278"/>
      <c r="H156" s="278"/>
      <c r="I156" s="278"/>
      <c r="J156" s="278"/>
      <c r="K156" s="278"/>
      <c r="L156" s="278"/>
      <c r="M156" s="278"/>
      <c r="N156" s="149"/>
      <c r="O156" s="149"/>
      <c r="P156" s="278"/>
      <c r="Q156" s="278"/>
      <c r="R156" s="278"/>
      <c r="S156" s="278"/>
      <c r="T156" s="149"/>
      <c r="U156" s="202">
        <f>Input!B221</f>
        <v>0</v>
      </c>
      <c r="V156" s="448">
        <f>Input!F221</f>
        <v>0</v>
      </c>
      <c r="W156" s="399">
        <f>Input!U221</f>
        <v>0</v>
      </c>
      <c r="X156" s="303">
        <f>Input!H221</f>
        <v>0</v>
      </c>
      <c r="Y156" s="448">
        <f>Input!I221</f>
        <v>0</v>
      </c>
      <c r="Z156" s="399">
        <f>Input!V221</f>
        <v>0</v>
      </c>
      <c r="AA156" s="149"/>
      <c r="AB156" s="149"/>
      <c r="AC156" s="149"/>
      <c r="AD156" s="149"/>
      <c r="AE156" s="149"/>
      <c r="AF156" s="149"/>
      <c r="AG156" s="149"/>
      <c r="AH156" s="149"/>
      <c r="AI156" s="149"/>
      <c r="AJ156" s="149"/>
      <c r="AK156" s="149"/>
      <c r="AL156" s="149"/>
      <c r="AM156" s="149"/>
      <c r="AN156" s="149"/>
      <c r="AO156" s="149"/>
      <c r="AP156" s="149"/>
    </row>
    <row r="157" spans="1:42" x14ac:dyDescent="0.2">
      <c r="A157" s="278"/>
      <c r="B157" s="278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149"/>
      <c r="O157" s="149"/>
      <c r="P157" s="278"/>
      <c r="Q157" s="278"/>
      <c r="R157" s="278"/>
      <c r="S157" s="278"/>
      <c r="T157" s="149"/>
      <c r="U157" s="202">
        <f>Input!B222</f>
        <v>0</v>
      </c>
      <c r="V157" s="448">
        <f>Input!F222</f>
        <v>0</v>
      </c>
      <c r="W157" s="399">
        <f>Input!U222</f>
        <v>0</v>
      </c>
      <c r="X157" s="303">
        <f>Input!H222</f>
        <v>0</v>
      </c>
      <c r="Y157" s="448">
        <f>Input!I222</f>
        <v>0</v>
      </c>
      <c r="Z157" s="399">
        <f>Input!V222</f>
        <v>0</v>
      </c>
      <c r="AA157" s="149"/>
      <c r="AB157" s="149"/>
      <c r="AC157" s="149"/>
      <c r="AD157" s="149"/>
      <c r="AE157" s="149"/>
      <c r="AF157" s="149"/>
      <c r="AG157" s="149"/>
      <c r="AH157" s="149"/>
      <c r="AI157" s="149"/>
      <c r="AJ157" s="149"/>
      <c r="AK157" s="149"/>
      <c r="AL157" s="149"/>
      <c r="AM157" s="149"/>
      <c r="AN157" s="149"/>
      <c r="AO157" s="149"/>
      <c r="AP157" s="149"/>
    </row>
    <row r="158" spans="1:42" x14ac:dyDescent="0.2">
      <c r="A158" s="278"/>
      <c r="B158" s="278"/>
      <c r="C158" s="278"/>
      <c r="D158" s="278"/>
      <c r="E158" s="278"/>
      <c r="F158" s="278"/>
      <c r="G158" s="278"/>
      <c r="H158" s="278"/>
      <c r="I158" s="278"/>
      <c r="J158" s="278"/>
      <c r="K158" s="278"/>
      <c r="L158" s="278"/>
      <c r="M158" s="278"/>
      <c r="N158" s="149"/>
      <c r="O158" s="149"/>
      <c r="P158" s="278"/>
      <c r="Q158" s="278"/>
      <c r="R158" s="278"/>
      <c r="S158" s="278"/>
      <c r="T158" s="149"/>
      <c r="U158" s="202">
        <f>Input!B223</f>
        <v>0</v>
      </c>
      <c r="V158" s="448">
        <f>Input!F223</f>
        <v>0</v>
      </c>
      <c r="W158" s="399">
        <f>Input!U223</f>
        <v>0</v>
      </c>
      <c r="X158" s="303">
        <f>Input!H223</f>
        <v>0</v>
      </c>
      <c r="Y158" s="448">
        <f>Input!I223</f>
        <v>0</v>
      </c>
      <c r="Z158" s="399">
        <f>Input!V223</f>
        <v>0</v>
      </c>
      <c r="AA158" s="149"/>
      <c r="AB158" s="149"/>
      <c r="AC158" s="149"/>
      <c r="AD158" s="149"/>
      <c r="AE158" s="149"/>
      <c r="AF158" s="149"/>
      <c r="AG158" s="149"/>
      <c r="AH158" s="149"/>
      <c r="AI158" s="149"/>
      <c r="AJ158" s="149"/>
      <c r="AK158" s="149"/>
      <c r="AL158" s="149"/>
      <c r="AM158" s="149"/>
      <c r="AN158" s="149"/>
      <c r="AO158" s="149"/>
      <c r="AP158" s="149"/>
    </row>
    <row r="159" spans="1:42" x14ac:dyDescent="0.2">
      <c r="A159" s="278"/>
      <c r="B159" s="278"/>
      <c r="C159" s="278"/>
      <c r="D159" s="278"/>
      <c r="E159" s="278"/>
      <c r="F159" s="278"/>
      <c r="G159" s="278"/>
      <c r="H159" s="278"/>
      <c r="I159" s="278"/>
      <c r="J159" s="278"/>
      <c r="K159" s="278"/>
      <c r="L159" s="278"/>
      <c r="M159" s="278"/>
      <c r="N159" s="149"/>
      <c r="O159" s="149"/>
      <c r="P159" s="278"/>
      <c r="Q159" s="278"/>
      <c r="R159" s="278"/>
      <c r="S159" s="278"/>
      <c r="T159" s="149"/>
      <c r="U159" s="202">
        <f>Input!B224</f>
        <v>0</v>
      </c>
      <c r="V159" s="448">
        <f>Input!F224</f>
        <v>0</v>
      </c>
      <c r="W159" s="399">
        <f>Input!U224</f>
        <v>0</v>
      </c>
      <c r="X159" s="303">
        <f>Input!H224</f>
        <v>0</v>
      </c>
      <c r="Y159" s="448">
        <f>Input!I224</f>
        <v>0</v>
      </c>
      <c r="Z159" s="399">
        <f>Input!V224</f>
        <v>0</v>
      </c>
      <c r="AA159" s="149"/>
      <c r="AB159" s="149"/>
      <c r="AC159" s="149"/>
      <c r="AD159" s="149"/>
      <c r="AE159" s="149"/>
      <c r="AF159" s="149"/>
      <c r="AG159" s="149"/>
      <c r="AH159" s="149"/>
      <c r="AI159" s="149"/>
      <c r="AJ159" s="149"/>
      <c r="AK159" s="149"/>
      <c r="AL159" s="149"/>
      <c r="AM159" s="149"/>
      <c r="AN159" s="149"/>
      <c r="AO159" s="149"/>
      <c r="AP159" s="149"/>
    </row>
    <row r="160" spans="1:42" x14ac:dyDescent="0.2">
      <c r="A160" s="278"/>
      <c r="B160" s="278"/>
      <c r="C160" s="278"/>
      <c r="D160" s="278"/>
      <c r="E160" s="278"/>
      <c r="F160" s="278"/>
      <c r="G160" s="278"/>
      <c r="H160" s="278"/>
      <c r="I160" s="278"/>
      <c r="J160" s="278"/>
      <c r="K160" s="278"/>
      <c r="L160" s="278"/>
      <c r="M160" s="278"/>
      <c r="N160" s="149"/>
      <c r="O160" s="149"/>
      <c r="P160" s="278"/>
      <c r="Q160" s="278"/>
      <c r="R160" s="278"/>
      <c r="S160" s="278"/>
      <c r="T160" s="149"/>
      <c r="U160" s="202">
        <f>Input!B225</f>
        <v>0</v>
      </c>
      <c r="V160" s="448">
        <f>Input!F225</f>
        <v>0</v>
      </c>
      <c r="W160" s="399">
        <f>Input!U225</f>
        <v>0</v>
      </c>
      <c r="X160" s="303">
        <f>Input!H225</f>
        <v>0</v>
      </c>
      <c r="Y160" s="448">
        <f>Input!I225</f>
        <v>0</v>
      </c>
      <c r="Z160" s="399">
        <f>Input!V225</f>
        <v>0</v>
      </c>
      <c r="AA160" s="149"/>
      <c r="AB160" s="149"/>
      <c r="AC160" s="149"/>
      <c r="AD160" s="149"/>
      <c r="AE160" s="149"/>
      <c r="AF160" s="149"/>
      <c r="AG160" s="149"/>
      <c r="AH160" s="149"/>
      <c r="AI160" s="149"/>
      <c r="AJ160" s="149"/>
      <c r="AK160" s="149"/>
      <c r="AL160" s="149"/>
      <c r="AM160" s="149"/>
      <c r="AN160" s="149"/>
      <c r="AO160" s="149"/>
      <c r="AP160" s="149"/>
    </row>
    <row r="161" spans="1:42" x14ac:dyDescent="0.2">
      <c r="A161" s="278"/>
      <c r="B161" s="278"/>
      <c r="C161" s="278"/>
      <c r="D161" s="278"/>
      <c r="E161" s="278"/>
      <c r="F161" s="278"/>
      <c r="G161" s="278"/>
      <c r="H161" s="278"/>
      <c r="I161" s="278"/>
      <c r="J161" s="278"/>
      <c r="K161" s="278"/>
      <c r="L161" s="278"/>
      <c r="M161" s="278"/>
      <c r="N161" s="149"/>
      <c r="O161" s="149"/>
      <c r="P161" s="278"/>
      <c r="Q161" s="278"/>
      <c r="R161" s="278"/>
      <c r="S161" s="278"/>
      <c r="T161" s="149"/>
      <c r="U161" s="202">
        <f>Input!B226</f>
        <v>0</v>
      </c>
      <c r="V161" s="448">
        <f>Input!F226</f>
        <v>0</v>
      </c>
      <c r="W161" s="399">
        <f>Input!U226</f>
        <v>0</v>
      </c>
      <c r="X161" s="303">
        <f>Input!H226</f>
        <v>0</v>
      </c>
      <c r="Y161" s="448">
        <f>Input!I226</f>
        <v>0</v>
      </c>
      <c r="Z161" s="399">
        <f>Input!V226</f>
        <v>0</v>
      </c>
      <c r="AA161" s="149"/>
      <c r="AB161" s="149"/>
      <c r="AC161" s="149"/>
      <c r="AD161" s="149"/>
      <c r="AE161" s="149"/>
      <c r="AF161" s="149"/>
      <c r="AG161" s="149"/>
      <c r="AH161" s="149"/>
      <c r="AI161" s="149"/>
      <c r="AJ161" s="149"/>
      <c r="AK161" s="149"/>
      <c r="AL161" s="149"/>
      <c r="AM161" s="149"/>
      <c r="AN161" s="149"/>
      <c r="AO161" s="149"/>
      <c r="AP161" s="149"/>
    </row>
    <row r="162" spans="1:42" x14ac:dyDescent="0.2">
      <c r="A162" s="278"/>
      <c r="B162" s="278"/>
      <c r="C162" s="278"/>
      <c r="D162" s="278"/>
      <c r="E162" s="278"/>
      <c r="F162" s="278"/>
      <c r="G162" s="278"/>
      <c r="H162" s="278"/>
      <c r="I162" s="278"/>
      <c r="J162" s="278"/>
      <c r="K162" s="278"/>
      <c r="L162" s="278"/>
      <c r="M162" s="278"/>
      <c r="N162" s="149"/>
      <c r="O162" s="149"/>
      <c r="P162" s="278"/>
      <c r="Q162" s="278"/>
      <c r="R162" s="278"/>
      <c r="S162" s="278"/>
      <c r="T162" s="149"/>
      <c r="U162" s="202">
        <f>Input!B227</f>
        <v>0</v>
      </c>
      <c r="V162" s="448">
        <f>Input!F227</f>
        <v>0</v>
      </c>
      <c r="W162" s="399">
        <f>Input!U227</f>
        <v>0</v>
      </c>
      <c r="X162" s="303">
        <f>Input!H227</f>
        <v>0</v>
      </c>
      <c r="Y162" s="448">
        <f>Input!I227</f>
        <v>0</v>
      </c>
      <c r="Z162" s="399">
        <f>Input!V227</f>
        <v>0</v>
      </c>
      <c r="AA162" s="149"/>
      <c r="AB162" s="149"/>
      <c r="AC162" s="149"/>
      <c r="AD162" s="149"/>
      <c r="AE162" s="149"/>
      <c r="AF162" s="149"/>
      <c r="AG162" s="149"/>
      <c r="AH162" s="149"/>
      <c r="AI162" s="149"/>
      <c r="AJ162" s="149"/>
      <c r="AK162" s="149"/>
      <c r="AL162" s="149"/>
      <c r="AM162" s="149"/>
      <c r="AN162" s="149"/>
      <c r="AO162" s="149"/>
      <c r="AP162" s="149"/>
    </row>
    <row r="163" spans="1:42" x14ac:dyDescent="0.2">
      <c r="A163" s="278"/>
      <c r="B163" s="278"/>
      <c r="C163" s="278"/>
      <c r="D163" s="278"/>
      <c r="E163" s="278"/>
      <c r="F163" s="278"/>
      <c r="G163" s="278"/>
      <c r="H163" s="278"/>
      <c r="I163" s="278"/>
      <c r="J163" s="278"/>
      <c r="K163" s="278"/>
      <c r="L163" s="278"/>
      <c r="M163" s="278"/>
      <c r="N163" s="149"/>
      <c r="O163" s="149"/>
      <c r="P163" s="278"/>
      <c r="Q163" s="278"/>
      <c r="R163" s="278"/>
      <c r="S163" s="278"/>
      <c r="T163" s="149"/>
      <c r="U163" s="202">
        <f>Input!B228</f>
        <v>0</v>
      </c>
      <c r="V163" s="448">
        <f>Input!F228</f>
        <v>0</v>
      </c>
      <c r="W163" s="399">
        <f>Input!U228</f>
        <v>0</v>
      </c>
      <c r="X163" s="303">
        <f>Input!H228</f>
        <v>0</v>
      </c>
      <c r="Y163" s="448">
        <f>Input!I228</f>
        <v>0</v>
      </c>
      <c r="Z163" s="399">
        <f>Input!V228</f>
        <v>0</v>
      </c>
      <c r="AA163" s="149"/>
      <c r="AB163" s="149"/>
      <c r="AC163" s="149"/>
      <c r="AD163" s="149"/>
      <c r="AE163" s="149"/>
      <c r="AF163" s="149"/>
      <c r="AG163" s="149"/>
      <c r="AH163" s="149"/>
      <c r="AI163" s="149"/>
      <c r="AJ163" s="149"/>
      <c r="AK163" s="149"/>
      <c r="AL163" s="149"/>
      <c r="AM163" s="149"/>
      <c r="AN163" s="149"/>
      <c r="AO163" s="149"/>
      <c r="AP163" s="149"/>
    </row>
    <row r="164" spans="1:42" x14ac:dyDescent="0.2">
      <c r="A164" s="278"/>
      <c r="B164" s="278"/>
      <c r="C164" s="278"/>
      <c r="D164" s="278"/>
      <c r="E164" s="278"/>
      <c r="F164" s="278"/>
      <c r="G164" s="278"/>
      <c r="H164" s="278"/>
      <c r="I164" s="278"/>
      <c r="J164" s="278"/>
      <c r="K164" s="278"/>
      <c r="L164" s="278"/>
      <c r="M164" s="278"/>
      <c r="N164" s="149"/>
      <c r="O164" s="149"/>
      <c r="P164" s="278"/>
      <c r="Q164" s="278"/>
      <c r="R164" s="278"/>
      <c r="S164" s="278"/>
      <c r="T164" s="149"/>
      <c r="U164" s="202">
        <f>Input!B229</f>
        <v>0</v>
      </c>
      <c r="V164" s="448">
        <f>Input!F229</f>
        <v>0</v>
      </c>
      <c r="W164" s="399">
        <f>Input!U229</f>
        <v>0</v>
      </c>
      <c r="X164" s="303">
        <f>Input!H229</f>
        <v>0</v>
      </c>
      <c r="Y164" s="448">
        <f>Input!I229</f>
        <v>0</v>
      </c>
      <c r="Z164" s="399">
        <f>Input!V229</f>
        <v>0</v>
      </c>
      <c r="AA164" s="149"/>
      <c r="AB164" s="149"/>
      <c r="AC164" s="149"/>
      <c r="AD164" s="149"/>
      <c r="AE164" s="149"/>
      <c r="AF164" s="149"/>
      <c r="AG164" s="149"/>
      <c r="AH164" s="149"/>
      <c r="AI164" s="149"/>
      <c r="AJ164" s="149"/>
      <c r="AK164" s="149"/>
      <c r="AL164" s="149"/>
      <c r="AM164" s="149"/>
      <c r="AN164" s="149"/>
      <c r="AO164" s="149"/>
      <c r="AP164" s="149"/>
    </row>
    <row r="165" spans="1:42" x14ac:dyDescent="0.2">
      <c r="A165" s="278"/>
      <c r="B165" s="278"/>
      <c r="C165" s="278"/>
      <c r="D165" s="278"/>
      <c r="E165" s="278"/>
      <c r="F165" s="278"/>
      <c r="G165" s="278"/>
      <c r="H165" s="278"/>
      <c r="I165" s="278"/>
      <c r="J165" s="278"/>
      <c r="K165" s="278"/>
      <c r="L165" s="278"/>
      <c r="M165" s="278"/>
      <c r="N165" s="149"/>
      <c r="O165" s="149"/>
      <c r="P165" s="278"/>
      <c r="Q165" s="278"/>
      <c r="R165" s="278"/>
      <c r="S165" s="278"/>
      <c r="T165" s="149"/>
      <c r="U165" s="202">
        <f>Input!B230</f>
        <v>0</v>
      </c>
      <c r="V165" s="448">
        <f>Input!F230</f>
        <v>0</v>
      </c>
      <c r="W165" s="399">
        <f>Input!U230</f>
        <v>0</v>
      </c>
      <c r="X165" s="303">
        <f>Input!H230</f>
        <v>0</v>
      </c>
      <c r="Y165" s="448">
        <f>Input!I230</f>
        <v>0</v>
      </c>
      <c r="Z165" s="399">
        <f>Input!V230</f>
        <v>0</v>
      </c>
      <c r="AA165" s="149"/>
      <c r="AB165" s="149"/>
      <c r="AC165" s="149"/>
      <c r="AD165" s="149"/>
      <c r="AE165" s="149"/>
      <c r="AF165" s="149"/>
      <c r="AG165" s="149"/>
      <c r="AH165" s="149"/>
      <c r="AI165" s="149"/>
      <c r="AJ165" s="149"/>
      <c r="AK165" s="149"/>
      <c r="AL165" s="149"/>
      <c r="AM165" s="149"/>
      <c r="AN165" s="149"/>
      <c r="AO165" s="149"/>
      <c r="AP165" s="149"/>
    </row>
    <row r="166" spans="1:42" x14ac:dyDescent="0.2">
      <c r="A166" s="278"/>
      <c r="B166" s="278"/>
      <c r="C166" s="278"/>
      <c r="D166" s="278"/>
      <c r="E166" s="278"/>
      <c r="F166" s="278"/>
      <c r="G166" s="278"/>
      <c r="H166" s="278"/>
      <c r="I166" s="278"/>
      <c r="J166" s="278"/>
      <c r="K166" s="278"/>
      <c r="L166" s="278"/>
      <c r="M166" s="278"/>
      <c r="N166" s="149"/>
      <c r="O166" s="149"/>
      <c r="P166" s="278"/>
      <c r="Q166" s="278"/>
      <c r="R166" s="278"/>
      <c r="S166" s="278"/>
      <c r="T166" s="149"/>
      <c r="U166" s="202">
        <f>Input!B231</f>
        <v>0</v>
      </c>
      <c r="V166" s="448">
        <f>Input!F231</f>
        <v>0</v>
      </c>
      <c r="W166" s="399">
        <f>Input!U231</f>
        <v>0</v>
      </c>
      <c r="X166" s="303">
        <f>Input!H231</f>
        <v>0</v>
      </c>
      <c r="Y166" s="448">
        <f>Input!I231</f>
        <v>0</v>
      </c>
      <c r="Z166" s="399">
        <f>Input!V231</f>
        <v>0</v>
      </c>
      <c r="AA166" s="149"/>
      <c r="AB166" s="149"/>
      <c r="AC166" s="149"/>
      <c r="AD166" s="149"/>
      <c r="AE166" s="149"/>
      <c r="AF166" s="149"/>
      <c r="AG166" s="149"/>
      <c r="AH166" s="149"/>
      <c r="AI166" s="149"/>
      <c r="AJ166" s="149"/>
      <c r="AK166" s="149"/>
      <c r="AL166" s="149"/>
      <c r="AM166" s="149"/>
      <c r="AN166" s="149"/>
      <c r="AO166" s="149"/>
      <c r="AP166" s="149"/>
    </row>
    <row r="167" spans="1:42" x14ac:dyDescent="0.2">
      <c r="A167" s="278"/>
      <c r="B167" s="278"/>
      <c r="C167" s="278"/>
      <c r="D167" s="278"/>
      <c r="E167" s="278"/>
      <c r="F167" s="278"/>
      <c r="G167" s="278"/>
      <c r="H167" s="278"/>
      <c r="I167" s="278"/>
      <c r="J167" s="278"/>
      <c r="K167" s="278"/>
      <c r="L167" s="278"/>
      <c r="M167" s="278"/>
      <c r="N167" s="149"/>
      <c r="O167" s="149"/>
      <c r="P167" s="278"/>
      <c r="Q167" s="278"/>
      <c r="R167" s="278"/>
      <c r="S167" s="278"/>
      <c r="T167" s="149"/>
      <c r="U167" s="202">
        <f>Input!B232</f>
        <v>0</v>
      </c>
      <c r="V167" s="448">
        <f>Input!F232</f>
        <v>0</v>
      </c>
      <c r="W167" s="399">
        <f>Input!U232</f>
        <v>0</v>
      </c>
      <c r="X167" s="303">
        <f>Input!H232</f>
        <v>0</v>
      </c>
      <c r="Y167" s="448">
        <f>Input!I232</f>
        <v>0</v>
      </c>
      <c r="Z167" s="399">
        <f>Input!V232</f>
        <v>0</v>
      </c>
      <c r="AA167" s="149"/>
      <c r="AB167" s="149"/>
      <c r="AC167" s="149"/>
      <c r="AD167" s="149"/>
      <c r="AE167" s="149"/>
      <c r="AF167" s="149"/>
      <c r="AG167" s="149"/>
      <c r="AH167" s="149"/>
      <c r="AI167" s="149"/>
      <c r="AJ167" s="149"/>
      <c r="AK167" s="149"/>
      <c r="AL167" s="149"/>
      <c r="AM167" s="149"/>
      <c r="AN167" s="149"/>
      <c r="AO167" s="149"/>
      <c r="AP167" s="149"/>
    </row>
    <row r="168" spans="1:42" x14ac:dyDescent="0.2">
      <c r="A168" s="278"/>
      <c r="B168" s="278"/>
      <c r="C168" s="278"/>
      <c r="D168" s="278"/>
      <c r="E168" s="278"/>
      <c r="F168" s="278"/>
      <c r="G168" s="278"/>
      <c r="H168" s="278"/>
      <c r="I168" s="278"/>
      <c r="J168" s="278"/>
      <c r="K168" s="278"/>
      <c r="L168" s="278"/>
      <c r="M168" s="278"/>
      <c r="N168" s="149"/>
      <c r="O168" s="149"/>
      <c r="P168" s="278"/>
      <c r="Q168" s="278"/>
      <c r="R168" s="278"/>
      <c r="S168" s="278"/>
      <c r="T168" s="149"/>
      <c r="U168" s="202">
        <f>Input!B233</f>
        <v>0</v>
      </c>
      <c r="V168" s="448">
        <f>Input!F233</f>
        <v>0</v>
      </c>
      <c r="W168" s="399">
        <f>Input!U233</f>
        <v>0</v>
      </c>
      <c r="X168" s="303">
        <f>Input!H233</f>
        <v>0</v>
      </c>
      <c r="Y168" s="448">
        <f>Input!I233</f>
        <v>0</v>
      </c>
      <c r="Z168" s="399">
        <f>Input!V233</f>
        <v>0</v>
      </c>
      <c r="AA168" s="149"/>
      <c r="AB168" s="149"/>
      <c r="AC168" s="149"/>
      <c r="AD168" s="149"/>
      <c r="AE168" s="149"/>
      <c r="AF168" s="149"/>
      <c r="AG168" s="149"/>
      <c r="AH168" s="149"/>
      <c r="AI168" s="149"/>
      <c r="AJ168" s="149"/>
      <c r="AK168" s="149"/>
      <c r="AL168" s="149"/>
      <c r="AM168" s="149"/>
      <c r="AN168" s="149"/>
      <c r="AO168" s="149"/>
      <c r="AP168" s="149"/>
    </row>
    <row r="169" spans="1:42" x14ac:dyDescent="0.2">
      <c r="A169" s="278"/>
      <c r="B169" s="278"/>
      <c r="C169" s="278"/>
      <c r="D169" s="278"/>
      <c r="E169" s="278"/>
      <c r="F169" s="278"/>
      <c r="G169" s="278"/>
      <c r="H169" s="278"/>
      <c r="I169" s="278"/>
      <c r="J169" s="278"/>
      <c r="K169" s="278"/>
      <c r="L169" s="278"/>
      <c r="M169" s="278"/>
      <c r="N169" s="149"/>
      <c r="O169" s="149"/>
      <c r="P169" s="278"/>
      <c r="Q169" s="278"/>
      <c r="R169" s="278"/>
      <c r="S169" s="278"/>
      <c r="T169" s="149"/>
      <c r="U169" s="202">
        <f>Input!B234</f>
        <v>0</v>
      </c>
      <c r="V169" s="448">
        <f>Input!F234</f>
        <v>0</v>
      </c>
      <c r="W169" s="399">
        <f>Input!U234</f>
        <v>0</v>
      </c>
      <c r="X169" s="303">
        <f>Input!H234</f>
        <v>0</v>
      </c>
      <c r="Y169" s="448">
        <f>Input!I234</f>
        <v>0</v>
      </c>
      <c r="Z169" s="399">
        <f>Input!V234</f>
        <v>0</v>
      </c>
      <c r="AA169" s="149"/>
      <c r="AB169" s="149"/>
      <c r="AC169" s="149"/>
      <c r="AD169" s="149"/>
      <c r="AE169" s="149"/>
      <c r="AF169" s="149"/>
      <c r="AG169" s="149"/>
      <c r="AH169" s="149"/>
      <c r="AI169" s="149"/>
      <c r="AJ169" s="149"/>
      <c r="AK169" s="149"/>
      <c r="AL169" s="149"/>
      <c r="AM169" s="149"/>
      <c r="AN169" s="149"/>
      <c r="AO169" s="149"/>
      <c r="AP169" s="149"/>
    </row>
    <row r="170" spans="1:42" x14ac:dyDescent="0.2">
      <c r="A170" s="278"/>
      <c r="B170" s="278"/>
      <c r="C170" s="278"/>
      <c r="D170" s="278"/>
      <c r="E170" s="278"/>
      <c r="F170" s="278"/>
      <c r="G170" s="278"/>
      <c r="H170" s="278"/>
      <c r="I170" s="278"/>
      <c r="J170" s="278"/>
      <c r="K170" s="278"/>
      <c r="L170" s="278"/>
      <c r="M170" s="278"/>
      <c r="N170" s="149"/>
      <c r="O170" s="149"/>
      <c r="P170" s="278"/>
      <c r="Q170" s="278"/>
      <c r="R170" s="278"/>
      <c r="S170" s="278"/>
      <c r="T170" s="149"/>
      <c r="U170" s="202">
        <f>Input!B235</f>
        <v>0</v>
      </c>
      <c r="V170" s="448">
        <f>Input!F235</f>
        <v>0</v>
      </c>
      <c r="W170" s="399">
        <f>Input!U235</f>
        <v>0</v>
      </c>
      <c r="X170" s="303">
        <f>Input!H235</f>
        <v>0</v>
      </c>
      <c r="Y170" s="448">
        <f>Input!I235</f>
        <v>0</v>
      </c>
      <c r="Z170" s="399">
        <f>Input!V235</f>
        <v>0</v>
      </c>
      <c r="AA170" s="149"/>
      <c r="AB170" s="149"/>
      <c r="AC170" s="149"/>
      <c r="AD170" s="149"/>
      <c r="AE170" s="149"/>
      <c r="AF170" s="149"/>
      <c r="AG170" s="149"/>
      <c r="AH170" s="149"/>
      <c r="AI170" s="149"/>
      <c r="AJ170" s="149"/>
      <c r="AK170" s="149"/>
      <c r="AL170" s="149"/>
      <c r="AM170" s="149"/>
      <c r="AN170" s="149"/>
      <c r="AO170" s="149"/>
      <c r="AP170" s="149"/>
    </row>
    <row r="171" spans="1:42" x14ac:dyDescent="0.2">
      <c r="A171" s="278"/>
      <c r="B171" s="278"/>
      <c r="C171" s="278"/>
      <c r="D171" s="278"/>
      <c r="E171" s="278"/>
      <c r="F171" s="278"/>
      <c r="G171" s="278"/>
      <c r="H171" s="278"/>
      <c r="I171" s="278"/>
      <c r="J171" s="278"/>
      <c r="K171" s="278"/>
      <c r="L171" s="278"/>
      <c r="M171" s="278"/>
      <c r="N171" s="149"/>
      <c r="O171" s="149"/>
      <c r="P171" s="278"/>
      <c r="Q171" s="278"/>
      <c r="R171" s="278"/>
      <c r="S171" s="278"/>
      <c r="T171" s="149"/>
      <c r="U171" s="202">
        <f>Input!B236</f>
        <v>0</v>
      </c>
      <c r="V171" s="448">
        <f>Input!F236</f>
        <v>0</v>
      </c>
      <c r="W171" s="399">
        <f>Input!U236</f>
        <v>0</v>
      </c>
      <c r="X171" s="303">
        <f>Input!H236</f>
        <v>0</v>
      </c>
      <c r="Y171" s="448">
        <f>Input!I236</f>
        <v>0</v>
      </c>
      <c r="Z171" s="399">
        <f>Input!V236</f>
        <v>0</v>
      </c>
      <c r="AA171" s="149"/>
      <c r="AB171" s="149"/>
      <c r="AC171" s="149"/>
      <c r="AD171" s="149"/>
      <c r="AE171" s="149"/>
      <c r="AF171" s="149"/>
      <c r="AG171" s="149"/>
      <c r="AH171" s="149"/>
      <c r="AI171" s="149"/>
      <c r="AJ171" s="149"/>
      <c r="AK171" s="149"/>
      <c r="AL171" s="149"/>
      <c r="AM171" s="149"/>
      <c r="AN171" s="149"/>
      <c r="AO171" s="149"/>
      <c r="AP171" s="149"/>
    </row>
    <row r="172" spans="1:42" x14ac:dyDescent="0.2">
      <c r="A172" s="278"/>
      <c r="B172" s="278"/>
      <c r="C172" s="278"/>
      <c r="D172" s="278"/>
      <c r="E172" s="278"/>
      <c r="F172" s="278"/>
      <c r="G172" s="278"/>
      <c r="H172" s="278"/>
      <c r="I172" s="278"/>
      <c r="J172" s="278"/>
      <c r="K172" s="278"/>
      <c r="L172" s="278"/>
      <c r="M172" s="278"/>
      <c r="N172" s="149"/>
      <c r="O172" s="149"/>
      <c r="P172" s="278"/>
      <c r="Q172" s="278"/>
      <c r="R172" s="278"/>
      <c r="S172" s="278"/>
      <c r="T172" s="149"/>
      <c r="U172" s="202">
        <f>Input!B237</f>
        <v>0</v>
      </c>
      <c r="V172" s="448">
        <f>Input!F237</f>
        <v>0</v>
      </c>
      <c r="W172" s="399">
        <f>Input!U237</f>
        <v>0</v>
      </c>
      <c r="X172" s="303">
        <f>Input!H237</f>
        <v>0</v>
      </c>
      <c r="Y172" s="448">
        <f>Input!I237</f>
        <v>0</v>
      </c>
      <c r="Z172" s="399">
        <f>Input!V237</f>
        <v>0</v>
      </c>
      <c r="AA172" s="149"/>
      <c r="AB172" s="149"/>
      <c r="AC172" s="149"/>
      <c r="AD172" s="149"/>
      <c r="AE172" s="149"/>
      <c r="AF172" s="149"/>
      <c r="AG172" s="149"/>
      <c r="AH172" s="149"/>
      <c r="AI172" s="149"/>
      <c r="AJ172" s="149"/>
      <c r="AK172" s="149"/>
      <c r="AL172" s="149"/>
      <c r="AM172" s="149"/>
      <c r="AN172" s="149"/>
      <c r="AO172" s="149"/>
      <c r="AP172" s="149"/>
    </row>
    <row r="173" spans="1:42" x14ac:dyDescent="0.2">
      <c r="A173" s="278"/>
      <c r="B173" s="278"/>
      <c r="C173" s="278"/>
      <c r="D173" s="278"/>
      <c r="E173" s="278"/>
      <c r="F173" s="278"/>
      <c r="G173" s="278"/>
      <c r="H173" s="278"/>
      <c r="I173" s="278"/>
      <c r="J173" s="278"/>
      <c r="K173" s="278"/>
      <c r="L173" s="278"/>
      <c r="M173" s="278"/>
      <c r="N173" s="149"/>
      <c r="O173" s="149"/>
      <c r="P173" s="278"/>
      <c r="Q173" s="278"/>
      <c r="R173" s="278"/>
      <c r="S173" s="278"/>
      <c r="T173" s="149"/>
      <c r="U173" s="202">
        <f>Input!B238</f>
        <v>0</v>
      </c>
      <c r="V173" s="448">
        <f>Input!F238</f>
        <v>0</v>
      </c>
      <c r="W173" s="399">
        <f>Input!U238</f>
        <v>0</v>
      </c>
      <c r="X173" s="303">
        <f>Input!H238</f>
        <v>0</v>
      </c>
      <c r="Y173" s="448">
        <f>Input!I238</f>
        <v>0</v>
      </c>
      <c r="Z173" s="399">
        <f>Input!V238</f>
        <v>0</v>
      </c>
      <c r="AA173" s="149"/>
      <c r="AB173" s="149"/>
      <c r="AC173" s="149"/>
      <c r="AD173" s="149"/>
      <c r="AE173" s="149"/>
      <c r="AF173" s="149"/>
      <c r="AG173" s="149"/>
      <c r="AH173" s="149"/>
      <c r="AI173" s="149"/>
      <c r="AJ173" s="149"/>
      <c r="AK173" s="149"/>
      <c r="AL173" s="149"/>
      <c r="AM173" s="149"/>
      <c r="AN173" s="149"/>
      <c r="AO173" s="149"/>
      <c r="AP173" s="149"/>
    </row>
    <row r="174" spans="1:42" x14ac:dyDescent="0.2">
      <c r="A174" s="278"/>
      <c r="B174" s="278"/>
      <c r="C174" s="278"/>
      <c r="D174" s="278"/>
      <c r="E174" s="278"/>
      <c r="F174" s="278"/>
      <c r="G174" s="278"/>
      <c r="H174" s="278"/>
      <c r="I174" s="278"/>
      <c r="J174" s="278"/>
      <c r="K174" s="278"/>
      <c r="L174" s="278"/>
      <c r="M174" s="278"/>
      <c r="N174" s="149"/>
      <c r="O174" s="149"/>
      <c r="P174" s="278"/>
      <c r="Q174" s="278"/>
      <c r="R174" s="278"/>
      <c r="S174" s="278"/>
      <c r="T174" s="149"/>
      <c r="U174" s="202">
        <f>Input!B239</f>
        <v>0</v>
      </c>
      <c r="V174" s="448">
        <f>Input!F239</f>
        <v>0</v>
      </c>
      <c r="W174" s="399">
        <f>Input!U239</f>
        <v>0</v>
      </c>
      <c r="X174" s="303">
        <f>Input!H239</f>
        <v>0</v>
      </c>
      <c r="Y174" s="448">
        <f>Input!I239</f>
        <v>0</v>
      </c>
      <c r="Z174" s="399">
        <f>Input!V239</f>
        <v>0</v>
      </c>
      <c r="AA174" s="149"/>
      <c r="AB174" s="149"/>
      <c r="AC174" s="149"/>
      <c r="AD174" s="149"/>
      <c r="AE174" s="149"/>
      <c r="AF174" s="149"/>
      <c r="AG174" s="149"/>
      <c r="AH174" s="149"/>
      <c r="AI174" s="149"/>
      <c r="AJ174" s="149"/>
      <c r="AK174" s="149"/>
      <c r="AL174" s="149"/>
      <c r="AM174" s="149"/>
      <c r="AN174" s="149"/>
      <c r="AO174" s="149"/>
      <c r="AP174" s="149"/>
    </row>
    <row r="175" spans="1:42" x14ac:dyDescent="0.2">
      <c r="A175" s="278"/>
      <c r="B175" s="278"/>
      <c r="C175" s="278"/>
      <c r="D175" s="278"/>
      <c r="E175" s="278"/>
      <c r="F175" s="278"/>
      <c r="G175" s="278"/>
      <c r="H175" s="278"/>
      <c r="I175" s="278"/>
      <c r="J175" s="278"/>
      <c r="K175" s="278"/>
      <c r="L175" s="278"/>
      <c r="M175" s="278"/>
      <c r="N175" s="149"/>
      <c r="O175" s="149"/>
      <c r="P175" s="278"/>
      <c r="Q175" s="278"/>
      <c r="R175" s="278"/>
      <c r="S175" s="278"/>
      <c r="T175" s="149"/>
      <c r="U175" s="202">
        <f>Input!B240</f>
        <v>0</v>
      </c>
      <c r="V175" s="448">
        <f>Input!F240</f>
        <v>0</v>
      </c>
      <c r="W175" s="399">
        <f>Input!U240</f>
        <v>0</v>
      </c>
      <c r="X175" s="303">
        <f>Input!H240</f>
        <v>0</v>
      </c>
      <c r="Y175" s="448">
        <f>Input!I240</f>
        <v>0</v>
      </c>
      <c r="Z175" s="399">
        <f>Input!V240</f>
        <v>0</v>
      </c>
      <c r="AA175" s="149"/>
      <c r="AB175" s="149"/>
      <c r="AC175" s="149"/>
      <c r="AD175" s="149"/>
      <c r="AE175" s="149"/>
      <c r="AF175" s="149"/>
      <c r="AG175" s="149"/>
      <c r="AH175" s="149"/>
      <c r="AI175" s="149"/>
      <c r="AJ175" s="149"/>
      <c r="AK175" s="149"/>
      <c r="AL175" s="149"/>
      <c r="AM175" s="149"/>
      <c r="AN175" s="149"/>
      <c r="AO175" s="149"/>
      <c r="AP175" s="149"/>
    </row>
    <row r="176" spans="1:42" x14ac:dyDescent="0.2">
      <c r="A176" s="278"/>
      <c r="B176" s="278"/>
      <c r="C176" s="278"/>
      <c r="D176" s="278"/>
      <c r="E176" s="278"/>
      <c r="F176" s="278"/>
      <c r="G176" s="278"/>
      <c r="H176" s="278"/>
      <c r="I176" s="278"/>
      <c r="J176" s="278"/>
      <c r="K176" s="278"/>
      <c r="L176" s="278"/>
      <c r="M176" s="278"/>
      <c r="N176" s="149"/>
      <c r="O176" s="149"/>
      <c r="P176" s="278"/>
      <c r="Q176" s="278"/>
      <c r="R176" s="278"/>
      <c r="S176" s="278"/>
      <c r="T176" s="149"/>
      <c r="U176" s="202">
        <f>Input!B241</f>
        <v>0</v>
      </c>
      <c r="V176" s="448">
        <f>Input!F241</f>
        <v>0</v>
      </c>
      <c r="W176" s="399">
        <f>Input!U241</f>
        <v>0</v>
      </c>
      <c r="X176" s="303">
        <f>Input!H241</f>
        <v>0</v>
      </c>
      <c r="Y176" s="448">
        <f>Input!I241</f>
        <v>0</v>
      </c>
      <c r="Z176" s="399">
        <f>Input!V241</f>
        <v>0</v>
      </c>
      <c r="AA176" s="149"/>
      <c r="AB176" s="149"/>
      <c r="AC176" s="149"/>
      <c r="AD176" s="149"/>
      <c r="AE176" s="149"/>
      <c r="AF176" s="149"/>
      <c r="AG176" s="149"/>
      <c r="AH176" s="149"/>
      <c r="AI176" s="149"/>
      <c r="AJ176" s="149"/>
      <c r="AK176" s="149"/>
      <c r="AL176" s="149"/>
      <c r="AM176" s="149"/>
      <c r="AN176" s="149"/>
      <c r="AO176" s="149"/>
      <c r="AP176" s="149"/>
    </row>
    <row r="177" spans="1:42" x14ac:dyDescent="0.2">
      <c r="A177" s="278"/>
      <c r="B177" s="278"/>
      <c r="C177" s="278"/>
      <c r="D177" s="278"/>
      <c r="E177" s="278"/>
      <c r="F177" s="278"/>
      <c r="G177" s="278"/>
      <c r="H177" s="278"/>
      <c r="I177" s="278"/>
      <c r="J177" s="278"/>
      <c r="K177" s="278"/>
      <c r="L177" s="278"/>
      <c r="M177" s="278"/>
      <c r="N177" s="149"/>
      <c r="O177" s="149"/>
      <c r="P177" s="278"/>
      <c r="Q177" s="278"/>
      <c r="R177" s="278"/>
      <c r="S177" s="278"/>
      <c r="T177" s="149"/>
      <c r="U177" s="202">
        <f>Input!B242</f>
        <v>0</v>
      </c>
      <c r="V177" s="448">
        <f>Input!F242</f>
        <v>0</v>
      </c>
      <c r="W177" s="399">
        <f>Input!U242</f>
        <v>0</v>
      </c>
      <c r="X177" s="303">
        <f>Input!H242</f>
        <v>0</v>
      </c>
      <c r="Y177" s="448">
        <f>Input!I242</f>
        <v>0</v>
      </c>
      <c r="Z177" s="399">
        <f>Input!V242</f>
        <v>0</v>
      </c>
      <c r="AA177" s="149"/>
      <c r="AB177" s="149"/>
      <c r="AC177" s="149"/>
      <c r="AD177" s="149"/>
      <c r="AE177" s="149"/>
      <c r="AF177" s="149"/>
      <c r="AG177" s="149"/>
      <c r="AH177" s="149"/>
      <c r="AI177" s="149"/>
      <c r="AJ177" s="149"/>
      <c r="AK177" s="149"/>
      <c r="AL177" s="149"/>
      <c r="AM177" s="149"/>
      <c r="AN177" s="149"/>
      <c r="AO177" s="149"/>
      <c r="AP177" s="149"/>
    </row>
    <row r="178" spans="1:42" x14ac:dyDescent="0.2">
      <c r="A178" s="278"/>
      <c r="B178" s="278"/>
      <c r="C178" s="278"/>
      <c r="D178" s="278"/>
      <c r="E178" s="278"/>
      <c r="F178" s="278"/>
      <c r="G178" s="278"/>
      <c r="H178" s="278"/>
      <c r="I178" s="278"/>
      <c r="J178" s="278"/>
      <c r="K178" s="278"/>
      <c r="L178" s="278"/>
      <c r="M178" s="278"/>
      <c r="N178" s="149"/>
      <c r="O178" s="149"/>
      <c r="P178" s="278"/>
      <c r="Q178" s="278"/>
      <c r="R178" s="278"/>
      <c r="S178" s="278"/>
      <c r="T178" s="149"/>
      <c r="U178" s="202">
        <f>Input!B243</f>
        <v>0</v>
      </c>
      <c r="V178" s="448">
        <f>Input!F243</f>
        <v>0</v>
      </c>
      <c r="W178" s="399">
        <f>Input!U243</f>
        <v>0</v>
      </c>
      <c r="X178" s="303">
        <f>Input!H243</f>
        <v>0</v>
      </c>
      <c r="Y178" s="448">
        <f>Input!I243</f>
        <v>0</v>
      </c>
      <c r="Z178" s="399">
        <f>Input!V243</f>
        <v>0</v>
      </c>
      <c r="AA178" s="149"/>
      <c r="AB178" s="149"/>
      <c r="AC178" s="149"/>
      <c r="AD178" s="149"/>
      <c r="AE178" s="149"/>
      <c r="AF178" s="149"/>
      <c r="AG178" s="149"/>
      <c r="AH178" s="149"/>
      <c r="AI178" s="149"/>
      <c r="AJ178" s="149"/>
      <c r="AK178" s="149"/>
      <c r="AL178" s="149"/>
      <c r="AM178" s="149"/>
      <c r="AN178" s="149"/>
      <c r="AO178" s="149"/>
      <c r="AP178" s="149"/>
    </row>
    <row r="179" spans="1:42" x14ac:dyDescent="0.2">
      <c r="A179" s="278"/>
      <c r="B179" s="278"/>
      <c r="C179" s="278"/>
      <c r="D179" s="278"/>
      <c r="E179" s="278"/>
      <c r="F179" s="278"/>
      <c r="G179" s="278"/>
      <c r="H179" s="278"/>
      <c r="I179" s="278"/>
      <c r="J179" s="278"/>
      <c r="K179" s="278"/>
      <c r="L179" s="278"/>
      <c r="M179" s="278"/>
      <c r="N179" s="149"/>
      <c r="O179" s="149"/>
      <c r="P179" s="278"/>
      <c r="Q179" s="278"/>
      <c r="R179" s="278"/>
      <c r="S179" s="278"/>
      <c r="T179" s="149"/>
      <c r="U179" s="202">
        <f>Input!B244</f>
        <v>0</v>
      </c>
      <c r="V179" s="448">
        <f>Input!F244</f>
        <v>0</v>
      </c>
      <c r="W179" s="399">
        <f>Input!U244</f>
        <v>0</v>
      </c>
      <c r="X179" s="303">
        <f>Input!H244</f>
        <v>0</v>
      </c>
      <c r="Y179" s="448">
        <f>Input!I244</f>
        <v>0</v>
      </c>
      <c r="Z179" s="399">
        <f>Input!V244</f>
        <v>0</v>
      </c>
      <c r="AA179" s="149"/>
      <c r="AB179" s="149"/>
      <c r="AC179" s="149"/>
      <c r="AD179" s="149"/>
      <c r="AE179" s="149"/>
      <c r="AF179" s="149"/>
      <c r="AG179" s="149"/>
      <c r="AH179" s="149"/>
      <c r="AI179" s="149"/>
      <c r="AJ179" s="149"/>
      <c r="AK179" s="149"/>
      <c r="AL179" s="149"/>
      <c r="AM179" s="149"/>
      <c r="AN179" s="149"/>
      <c r="AO179" s="149"/>
      <c r="AP179" s="149"/>
    </row>
    <row r="180" spans="1:42" x14ac:dyDescent="0.2">
      <c r="A180" s="278"/>
      <c r="B180" s="278"/>
      <c r="C180" s="278"/>
      <c r="D180" s="278"/>
      <c r="E180" s="278"/>
      <c r="F180" s="278"/>
      <c r="G180" s="278"/>
      <c r="H180" s="278"/>
      <c r="I180" s="278"/>
      <c r="J180" s="278"/>
      <c r="K180" s="278"/>
      <c r="L180" s="278"/>
      <c r="M180" s="278"/>
      <c r="N180" s="149"/>
      <c r="O180" s="149"/>
      <c r="P180" s="278"/>
      <c r="Q180" s="278"/>
      <c r="R180" s="278"/>
      <c r="S180" s="278"/>
      <c r="T180" s="149"/>
      <c r="U180" s="202">
        <f>Input!B245</f>
        <v>0</v>
      </c>
      <c r="V180" s="448">
        <f>Input!F245</f>
        <v>0</v>
      </c>
      <c r="W180" s="399">
        <f>Input!U245</f>
        <v>0</v>
      </c>
      <c r="X180" s="303">
        <f>Input!H245</f>
        <v>0</v>
      </c>
      <c r="Y180" s="448">
        <f>Input!I245</f>
        <v>0</v>
      </c>
      <c r="Z180" s="399">
        <f>Input!V245</f>
        <v>0</v>
      </c>
      <c r="AA180" s="149"/>
      <c r="AB180" s="149"/>
      <c r="AC180" s="149"/>
      <c r="AD180" s="149"/>
      <c r="AE180" s="149"/>
      <c r="AF180" s="149"/>
      <c r="AG180" s="149"/>
      <c r="AH180" s="149"/>
      <c r="AI180" s="149"/>
      <c r="AJ180" s="149"/>
      <c r="AK180" s="149"/>
      <c r="AL180" s="149"/>
      <c r="AM180" s="149"/>
      <c r="AN180" s="149"/>
      <c r="AO180" s="149"/>
      <c r="AP180" s="149"/>
    </row>
    <row r="181" spans="1:42" x14ac:dyDescent="0.2">
      <c r="A181" s="278"/>
      <c r="B181" s="278"/>
      <c r="C181" s="278"/>
      <c r="D181" s="278"/>
      <c r="E181" s="278"/>
      <c r="F181" s="278"/>
      <c r="G181" s="278"/>
      <c r="H181" s="278"/>
      <c r="I181" s="278"/>
      <c r="J181" s="278"/>
      <c r="K181" s="278"/>
      <c r="L181" s="278"/>
      <c r="M181" s="278"/>
      <c r="N181" s="149"/>
      <c r="O181" s="149"/>
      <c r="P181" s="278"/>
      <c r="Q181" s="278"/>
      <c r="R181" s="278"/>
      <c r="S181" s="278"/>
      <c r="T181" s="149"/>
      <c r="U181" s="202">
        <f>Input!B246</f>
        <v>0</v>
      </c>
      <c r="V181" s="448">
        <f>Input!F246</f>
        <v>0</v>
      </c>
      <c r="W181" s="399">
        <f>Input!U246</f>
        <v>0</v>
      </c>
      <c r="X181" s="303">
        <f>Input!H246</f>
        <v>0</v>
      </c>
      <c r="Y181" s="448">
        <f>Input!I246</f>
        <v>0</v>
      </c>
      <c r="Z181" s="399">
        <f>Input!V246</f>
        <v>0</v>
      </c>
      <c r="AA181" s="149"/>
      <c r="AB181" s="149"/>
      <c r="AC181" s="149"/>
      <c r="AD181" s="149"/>
      <c r="AE181" s="149"/>
      <c r="AF181" s="149"/>
      <c r="AG181" s="149"/>
      <c r="AH181" s="149"/>
      <c r="AI181" s="149"/>
      <c r="AJ181" s="149"/>
      <c r="AK181" s="149"/>
      <c r="AL181" s="149"/>
      <c r="AM181" s="149"/>
      <c r="AN181" s="149"/>
      <c r="AO181" s="149"/>
      <c r="AP181" s="149"/>
    </row>
    <row r="182" spans="1:42" x14ac:dyDescent="0.2">
      <c r="A182" s="278"/>
      <c r="B182" s="278"/>
      <c r="C182" s="278"/>
      <c r="D182" s="278"/>
      <c r="E182" s="278"/>
      <c r="F182" s="278"/>
      <c r="G182" s="278"/>
      <c r="H182" s="278"/>
      <c r="I182" s="278"/>
      <c r="J182" s="278"/>
      <c r="K182" s="278"/>
      <c r="L182" s="278"/>
      <c r="M182" s="278"/>
      <c r="N182" s="149"/>
      <c r="O182" s="149"/>
      <c r="P182" s="278"/>
      <c r="Q182" s="278"/>
      <c r="R182" s="278"/>
      <c r="S182" s="278"/>
      <c r="T182" s="149"/>
      <c r="U182" s="202">
        <f>Input!B247</f>
        <v>0</v>
      </c>
      <c r="V182" s="448">
        <f>Input!F247</f>
        <v>0</v>
      </c>
      <c r="W182" s="399">
        <f>Input!U247</f>
        <v>0</v>
      </c>
      <c r="X182" s="303">
        <f>Input!H247</f>
        <v>0</v>
      </c>
      <c r="Y182" s="448">
        <f>Input!I247</f>
        <v>0</v>
      </c>
      <c r="Z182" s="399">
        <f>Input!V247</f>
        <v>0</v>
      </c>
      <c r="AA182" s="149"/>
      <c r="AB182" s="149"/>
      <c r="AC182" s="149"/>
      <c r="AD182" s="149"/>
      <c r="AE182" s="149"/>
      <c r="AF182" s="149"/>
      <c r="AG182" s="149"/>
      <c r="AH182" s="149"/>
      <c r="AI182" s="149"/>
      <c r="AJ182" s="149"/>
      <c r="AK182" s="149"/>
      <c r="AL182" s="149"/>
      <c r="AM182" s="149"/>
      <c r="AN182" s="149"/>
      <c r="AO182" s="149"/>
      <c r="AP182" s="149"/>
    </row>
    <row r="183" spans="1:42" x14ac:dyDescent="0.2">
      <c r="A183" s="278"/>
      <c r="B183" s="278"/>
      <c r="C183" s="278"/>
      <c r="D183" s="278"/>
      <c r="E183" s="278"/>
      <c r="F183" s="278"/>
      <c r="G183" s="278"/>
      <c r="H183" s="278"/>
      <c r="I183" s="278"/>
      <c r="J183" s="278"/>
      <c r="K183" s="278"/>
      <c r="L183" s="278"/>
      <c r="M183" s="278"/>
      <c r="N183" s="149"/>
      <c r="O183" s="149"/>
      <c r="P183" s="278"/>
      <c r="Q183" s="278"/>
      <c r="R183" s="278"/>
      <c r="S183" s="278"/>
      <c r="T183" s="149"/>
      <c r="U183" s="202">
        <f>Input!B248</f>
        <v>0</v>
      </c>
      <c r="V183" s="448">
        <f>Input!F248</f>
        <v>0</v>
      </c>
      <c r="W183" s="399">
        <f>Input!U248</f>
        <v>0</v>
      </c>
      <c r="X183" s="303">
        <f>Input!H248</f>
        <v>0</v>
      </c>
      <c r="Y183" s="448">
        <f>Input!I248</f>
        <v>0</v>
      </c>
      <c r="Z183" s="399">
        <f>Input!V248</f>
        <v>0</v>
      </c>
      <c r="AA183" s="149"/>
      <c r="AB183" s="149"/>
      <c r="AC183" s="149"/>
      <c r="AD183" s="149"/>
      <c r="AE183" s="149"/>
      <c r="AF183" s="149"/>
      <c r="AG183" s="149"/>
      <c r="AH183" s="149"/>
      <c r="AI183" s="149"/>
      <c r="AJ183" s="149"/>
      <c r="AK183" s="149"/>
      <c r="AL183" s="149"/>
      <c r="AM183" s="149"/>
      <c r="AN183" s="149"/>
      <c r="AO183" s="149"/>
      <c r="AP183" s="149"/>
    </row>
    <row r="184" spans="1:42" x14ac:dyDescent="0.2">
      <c r="A184" s="278"/>
      <c r="B184" s="278"/>
      <c r="C184" s="278"/>
      <c r="D184" s="278"/>
      <c r="E184" s="278"/>
      <c r="F184" s="278"/>
      <c r="G184" s="278"/>
      <c r="H184" s="278"/>
      <c r="I184" s="278"/>
      <c r="J184" s="278"/>
      <c r="K184" s="278"/>
      <c r="L184" s="278"/>
      <c r="M184" s="278"/>
      <c r="N184" s="149"/>
      <c r="O184" s="149"/>
      <c r="P184" s="278"/>
      <c r="Q184" s="278"/>
      <c r="R184" s="278"/>
      <c r="S184" s="278"/>
      <c r="T184" s="149"/>
      <c r="U184" s="202">
        <f>Input!B249</f>
        <v>0</v>
      </c>
      <c r="V184" s="448">
        <f>Input!F249</f>
        <v>0</v>
      </c>
      <c r="W184" s="399">
        <f>Input!U249</f>
        <v>0</v>
      </c>
      <c r="X184" s="303">
        <f>Input!H249</f>
        <v>0</v>
      </c>
      <c r="Y184" s="448">
        <f>Input!I249</f>
        <v>0</v>
      </c>
      <c r="Z184" s="399">
        <f>Input!V249</f>
        <v>0</v>
      </c>
      <c r="AA184" s="149"/>
      <c r="AB184" s="149"/>
      <c r="AC184" s="149"/>
      <c r="AD184" s="149"/>
      <c r="AE184" s="149"/>
      <c r="AF184" s="149"/>
      <c r="AG184" s="149"/>
      <c r="AH184" s="149"/>
      <c r="AI184" s="149"/>
      <c r="AJ184" s="149"/>
      <c r="AK184" s="149"/>
      <c r="AL184" s="149"/>
      <c r="AM184" s="149"/>
      <c r="AN184" s="149"/>
      <c r="AO184" s="149"/>
      <c r="AP184" s="149"/>
    </row>
    <row r="185" spans="1:42" x14ac:dyDescent="0.2">
      <c r="A185" s="278"/>
      <c r="B185" s="278"/>
      <c r="C185" s="278"/>
      <c r="D185" s="278"/>
      <c r="E185" s="278"/>
      <c r="F185" s="278"/>
      <c r="G185" s="278"/>
      <c r="H185" s="278"/>
      <c r="I185" s="278"/>
      <c r="J185" s="278"/>
      <c r="K185" s="278"/>
      <c r="L185" s="278"/>
      <c r="M185" s="278"/>
      <c r="N185" s="149"/>
      <c r="O185" s="149"/>
      <c r="P185" s="278"/>
      <c r="Q185" s="278"/>
      <c r="R185" s="278"/>
      <c r="S185" s="278"/>
      <c r="T185" s="149"/>
      <c r="U185" s="202">
        <f>Input!B250</f>
        <v>0</v>
      </c>
      <c r="V185" s="448">
        <f>Input!F250</f>
        <v>0</v>
      </c>
      <c r="W185" s="399">
        <f>Input!U250</f>
        <v>0</v>
      </c>
      <c r="X185" s="303">
        <f>Input!H250</f>
        <v>0</v>
      </c>
      <c r="Y185" s="448">
        <f>Input!I250</f>
        <v>0</v>
      </c>
      <c r="Z185" s="399">
        <f>Input!V250</f>
        <v>0</v>
      </c>
      <c r="AA185" s="149"/>
      <c r="AB185" s="149"/>
      <c r="AC185" s="149"/>
      <c r="AD185" s="149"/>
      <c r="AE185" s="149"/>
      <c r="AF185" s="149"/>
      <c r="AG185" s="149"/>
      <c r="AH185" s="149"/>
      <c r="AI185" s="149"/>
      <c r="AJ185" s="149"/>
      <c r="AK185" s="149"/>
      <c r="AL185" s="149"/>
      <c r="AM185" s="149"/>
      <c r="AN185" s="149"/>
      <c r="AO185" s="149"/>
      <c r="AP185" s="149"/>
    </row>
    <row r="186" spans="1:42" x14ac:dyDescent="0.2">
      <c r="A186" s="278"/>
      <c r="B186" s="278"/>
      <c r="C186" s="278"/>
      <c r="D186" s="278"/>
      <c r="E186" s="278"/>
      <c r="F186" s="278"/>
      <c r="G186" s="278"/>
      <c r="H186" s="278"/>
      <c r="I186" s="278"/>
      <c r="J186" s="278"/>
      <c r="K186" s="278"/>
      <c r="L186" s="278"/>
      <c r="M186" s="278"/>
      <c r="N186" s="149"/>
      <c r="O186" s="149"/>
      <c r="P186" s="278"/>
      <c r="Q186" s="278"/>
      <c r="R186" s="278"/>
      <c r="S186" s="278"/>
      <c r="T186" s="149"/>
      <c r="U186" s="202">
        <f>Input!B251</f>
        <v>0</v>
      </c>
      <c r="V186" s="448">
        <f>Input!F251</f>
        <v>0</v>
      </c>
      <c r="W186" s="399">
        <f>Input!U251</f>
        <v>0</v>
      </c>
      <c r="X186" s="303">
        <f>Input!H251</f>
        <v>0</v>
      </c>
      <c r="Y186" s="448">
        <f>Input!I251</f>
        <v>0</v>
      </c>
      <c r="Z186" s="399">
        <f>Input!V251</f>
        <v>0</v>
      </c>
      <c r="AA186" s="149"/>
      <c r="AB186" s="149"/>
      <c r="AC186" s="149"/>
      <c r="AD186" s="149"/>
      <c r="AE186" s="149"/>
      <c r="AF186" s="149"/>
      <c r="AG186" s="149"/>
      <c r="AH186" s="149"/>
      <c r="AI186" s="149"/>
      <c r="AJ186" s="149"/>
      <c r="AK186" s="149"/>
      <c r="AL186" s="149"/>
      <c r="AM186" s="149"/>
      <c r="AN186" s="149"/>
      <c r="AO186" s="149"/>
      <c r="AP186" s="149"/>
    </row>
    <row r="187" spans="1:42" x14ac:dyDescent="0.2">
      <c r="A187" s="278"/>
      <c r="B187" s="278"/>
      <c r="C187" s="278"/>
      <c r="D187" s="278"/>
      <c r="E187" s="278"/>
      <c r="F187" s="278"/>
      <c r="G187" s="278"/>
      <c r="H187" s="278"/>
      <c r="I187" s="278"/>
      <c r="J187" s="278"/>
      <c r="K187" s="278"/>
      <c r="L187" s="278"/>
      <c r="M187" s="278"/>
      <c r="N187" s="149"/>
      <c r="O187" s="149"/>
      <c r="P187" s="278"/>
      <c r="Q187" s="278"/>
      <c r="R187" s="278"/>
      <c r="S187" s="278"/>
      <c r="T187" s="149"/>
      <c r="U187" s="202">
        <f>Input!B252</f>
        <v>0</v>
      </c>
      <c r="V187" s="448">
        <f>Input!F252</f>
        <v>0</v>
      </c>
      <c r="W187" s="399">
        <f>Input!U252</f>
        <v>0</v>
      </c>
      <c r="X187" s="303">
        <f>Input!H252</f>
        <v>0</v>
      </c>
      <c r="Y187" s="448">
        <f>Input!I252</f>
        <v>0</v>
      </c>
      <c r="Z187" s="399">
        <f>Input!V252</f>
        <v>0</v>
      </c>
      <c r="AA187" s="149"/>
      <c r="AB187" s="149"/>
      <c r="AC187" s="149"/>
      <c r="AD187" s="149"/>
      <c r="AE187" s="149"/>
      <c r="AF187" s="149"/>
      <c r="AG187" s="149"/>
      <c r="AH187" s="149"/>
      <c r="AI187" s="149"/>
      <c r="AJ187" s="149"/>
      <c r="AK187" s="149"/>
      <c r="AL187" s="149"/>
      <c r="AM187" s="149"/>
      <c r="AN187" s="149"/>
      <c r="AO187" s="149"/>
      <c r="AP187" s="149"/>
    </row>
    <row r="188" spans="1:42" x14ac:dyDescent="0.2">
      <c r="A188" s="278"/>
      <c r="B188" s="278"/>
      <c r="C188" s="278"/>
      <c r="D188" s="278"/>
      <c r="E188" s="278"/>
      <c r="F188" s="278"/>
      <c r="G188" s="278"/>
      <c r="H188" s="278"/>
      <c r="I188" s="278"/>
      <c r="J188" s="278"/>
      <c r="K188" s="278"/>
      <c r="L188" s="278"/>
      <c r="M188" s="278"/>
      <c r="N188" s="149"/>
      <c r="O188" s="149"/>
      <c r="P188" s="278"/>
      <c r="Q188" s="278"/>
      <c r="R188" s="278"/>
      <c r="S188" s="278"/>
      <c r="T188" s="149"/>
      <c r="U188" s="202">
        <f>Input!B253</f>
        <v>0</v>
      </c>
      <c r="V188" s="448">
        <f>Input!F253</f>
        <v>0</v>
      </c>
      <c r="W188" s="399">
        <f>Input!U253</f>
        <v>0</v>
      </c>
      <c r="X188" s="303">
        <f>Input!H253</f>
        <v>0</v>
      </c>
      <c r="Y188" s="448">
        <f>Input!I253</f>
        <v>0</v>
      </c>
      <c r="Z188" s="399">
        <f>Input!V253</f>
        <v>0</v>
      </c>
      <c r="AA188" s="149"/>
      <c r="AB188" s="149"/>
      <c r="AC188" s="149"/>
      <c r="AD188" s="149"/>
      <c r="AE188" s="149"/>
      <c r="AF188" s="149"/>
      <c r="AG188" s="149"/>
      <c r="AH188" s="149"/>
      <c r="AI188" s="149"/>
      <c r="AJ188" s="149"/>
      <c r="AK188" s="149"/>
      <c r="AL188" s="149"/>
      <c r="AM188" s="149"/>
      <c r="AN188" s="149"/>
      <c r="AO188" s="149"/>
      <c r="AP188" s="149"/>
    </row>
    <row r="189" spans="1:42" x14ac:dyDescent="0.2">
      <c r="A189" s="278"/>
      <c r="B189" s="278"/>
      <c r="C189" s="278"/>
      <c r="D189" s="278"/>
      <c r="E189" s="278"/>
      <c r="F189" s="278"/>
      <c r="G189" s="278"/>
      <c r="H189" s="278"/>
      <c r="I189" s="278"/>
      <c r="J189" s="278"/>
      <c r="K189" s="278"/>
      <c r="L189" s="278"/>
      <c r="M189" s="278"/>
      <c r="N189" s="149"/>
      <c r="O189" s="149"/>
      <c r="P189" s="278"/>
      <c r="Q189" s="278"/>
      <c r="R189" s="278"/>
      <c r="S189" s="278"/>
      <c r="T189" s="149"/>
      <c r="U189" s="202">
        <f>Input!B254</f>
        <v>0</v>
      </c>
      <c r="V189" s="448">
        <f>Input!F254</f>
        <v>0</v>
      </c>
      <c r="W189" s="399">
        <f>Input!U254</f>
        <v>0</v>
      </c>
      <c r="X189" s="303">
        <f>Input!H254</f>
        <v>0</v>
      </c>
      <c r="Y189" s="448">
        <f>Input!I254</f>
        <v>0</v>
      </c>
      <c r="Z189" s="399">
        <f>Input!V254</f>
        <v>0</v>
      </c>
      <c r="AA189" s="149"/>
      <c r="AB189" s="149"/>
      <c r="AC189" s="149"/>
      <c r="AD189" s="149"/>
      <c r="AE189" s="149"/>
      <c r="AF189" s="149"/>
      <c r="AG189" s="149"/>
      <c r="AH189" s="149"/>
      <c r="AI189" s="149"/>
      <c r="AJ189" s="149"/>
      <c r="AK189" s="149"/>
      <c r="AL189" s="149"/>
      <c r="AM189" s="149"/>
      <c r="AN189" s="149"/>
      <c r="AO189" s="149"/>
      <c r="AP189" s="149"/>
    </row>
    <row r="190" spans="1:42" x14ac:dyDescent="0.2">
      <c r="A190" s="278"/>
      <c r="B190" s="278"/>
      <c r="C190" s="278"/>
      <c r="D190" s="278"/>
      <c r="E190" s="278"/>
      <c r="F190" s="278"/>
      <c r="G190" s="278"/>
      <c r="H190" s="278"/>
      <c r="I190" s="278"/>
      <c r="J190" s="278"/>
      <c r="K190" s="278"/>
      <c r="L190" s="278"/>
      <c r="M190" s="278"/>
      <c r="N190" s="149"/>
      <c r="O190" s="149"/>
      <c r="P190" s="278"/>
      <c r="Q190" s="278"/>
      <c r="R190" s="278"/>
      <c r="S190" s="278"/>
      <c r="T190" s="149"/>
      <c r="U190" s="202">
        <f>Input!B255</f>
        <v>0</v>
      </c>
      <c r="V190" s="448">
        <f>Input!F255</f>
        <v>0</v>
      </c>
      <c r="W190" s="399">
        <f>Input!U255</f>
        <v>0</v>
      </c>
      <c r="X190" s="303">
        <f>Input!H255</f>
        <v>0</v>
      </c>
      <c r="Y190" s="448">
        <f>Input!I255</f>
        <v>0</v>
      </c>
      <c r="Z190" s="399">
        <f>Input!V255</f>
        <v>0</v>
      </c>
      <c r="AA190" s="149"/>
      <c r="AB190" s="149"/>
      <c r="AC190" s="149"/>
      <c r="AD190" s="149"/>
      <c r="AE190" s="149"/>
      <c r="AF190" s="149"/>
      <c r="AG190" s="149"/>
      <c r="AH190" s="149"/>
      <c r="AI190" s="149"/>
      <c r="AJ190" s="149"/>
      <c r="AK190" s="149"/>
      <c r="AL190" s="149"/>
      <c r="AM190" s="149"/>
      <c r="AN190" s="149"/>
      <c r="AO190" s="149"/>
      <c r="AP190" s="149"/>
    </row>
    <row r="191" spans="1:42" x14ac:dyDescent="0.2">
      <c r="A191" s="278"/>
      <c r="B191" s="278"/>
      <c r="C191" s="278"/>
      <c r="D191" s="278"/>
      <c r="E191" s="278"/>
      <c r="F191" s="278"/>
      <c r="G191" s="278"/>
      <c r="H191" s="278"/>
      <c r="I191" s="278"/>
      <c r="J191" s="278"/>
      <c r="K191" s="278"/>
      <c r="L191" s="278"/>
      <c r="M191" s="278"/>
      <c r="N191" s="149"/>
      <c r="O191" s="149"/>
      <c r="P191" s="278"/>
      <c r="Q191" s="278"/>
      <c r="R191" s="278"/>
      <c r="S191" s="278"/>
      <c r="T191" s="149"/>
      <c r="U191" s="202">
        <f>Input!B256</f>
        <v>0</v>
      </c>
      <c r="V191" s="448">
        <f>Input!F256</f>
        <v>0</v>
      </c>
      <c r="W191" s="399">
        <f>Input!U256</f>
        <v>0</v>
      </c>
      <c r="X191" s="303">
        <f>Input!H256</f>
        <v>0</v>
      </c>
      <c r="Y191" s="448">
        <f>Input!I256</f>
        <v>0</v>
      </c>
      <c r="Z191" s="399">
        <f>Input!V256</f>
        <v>0</v>
      </c>
      <c r="AA191" s="149"/>
      <c r="AB191" s="149"/>
      <c r="AC191" s="149"/>
      <c r="AD191" s="149"/>
      <c r="AE191" s="149"/>
      <c r="AF191" s="149"/>
      <c r="AG191" s="149"/>
      <c r="AH191" s="149"/>
      <c r="AI191" s="149"/>
      <c r="AJ191" s="149"/>
      <c r="AK191" s="149"/>
      <c r="AL191" s="149"/>
      <c r="AM191" s="149"/>
      <c r="AN191" s="149"/>
      <c r="AO191" s="149"/>
      <c r="AP191" s="149"/>
    </row>
    <row r="192" spans="1:42" x14ac:dyDescent="0.2">
      <c r="A192" s="278"/>
      <c r="B192" s="278"/>
      <c r="C192" s="278"/>
      <c r="D192" s="278"/>
      <c r="E192" s="278"/>
      <c r="F192" s="278"/>
      <c r="G192" s="278"/>
      <c r="H192" s="278"/>
      <c r="I192" s="278"/>
      <c r="J192" s="278"/>
      <c r="K192" s="278"/>
      <c r="L192" s="278"/>
      <c r="M192" s="278"/>
      <c r="N192" s="149"/>
      <c r="O192" s="149"/>
      <c r="P192" s="278"/>
      <c r="Q192" s="278"/>
      <c r="R192" s="278"/>
      <c r="S192" s="278"/>
      <c r="T192" s="149"/>
      <c r="U192" s="202">
        <f>Input!B257</f>
        <v>0</v>
      </c>
      <c r="V192" s="448">
        <f>Input!F257</f>
        <v>0</v>
      </c>
      <c r="W192" s="399">
        <f>Input!U257</f>
        <v>0</v>
      </c>
      <c r="X192" s="303">
        <f>Input!H257</f>
        <v>0</v>
      </c>
      <c r="Y192" s="448">
        <f>Input!I257</f>
        <v>0</v>
      </c>
      <c r="Z192" s="399">
        <f>Input!V257</f>
        <v>0</v>
      </c>
      <c r="AA192" s="149"/>
      <c r="AB192" s="149"/>
      <c r="AC192" s="149"/>
      <c r="AD192" s="149"/>
      <c r="AE192" s="149"/>
      <c r="AF192" s="149"/>
      <c r="AG192" s="149"/>
      <c r="AH192" s="149"/>
      <c r="AI192" s="149"/>
      <c r="AJ192" s="149"/>
      <c r="AK192" s="149"/>
      <c r="AL192" s="149"/>
      <c r="AM192" s="149"/>
      <c r="AN192" s="149"/>
      <c r="AO192" s="149"/>
      <c r="AP192" s="149"/>
    </row>
    <row r="193" spans="1:42" x14ac:dyDescent="0.2">
      <c r="A193" s="278"/>
      <c r="B193" s="278"/>
      <c r="C193" s="278"/>
      <c r="D193" s="278"/>
      <c r="E193" s="278"/>
      <c r="F193" s="278"/>
      <c r="G193" s="278"/>
      <c r="H193" s="278"/>
      <c r="I193" s="278"/>
      <c r="J193" s="278"/>
      <c r="K193" s="278"/>
      <c r="L193" s="278"/>
      <c r="M193" s="278"/>
      <c r="N193" s="149"/>
      <c r="O193" s="149"/>
      <c r="P193" s="278"/>
      <c r="Q193" s="278"/>
      <c r="R193" s="278"/>
      <c r="S193" s="278"/>
      <c r="T193" s="149"/>
      <c r="U193" s="202">
        <f>Input!B258</f>
        <v>0</v>
      </c>
      <c r="V193" s="448">
        <f>Input!F258</f>
        <v>0</v>
      </c>
      <c r="W193" s="399">
        <f>Input!U258</f>
        <v>0</v>
      </c>
      <c r="X193" s="303">
        <f>Input!H258</f>
        <v>0</v>
      </c>
      <c r="Y193" s="448">
        <f>Input!I258</f>
        <v>0</v>
      </c>
      <c r="Z193" s="399">
        <f>Input!V258</f>
        <v>0</v>
      </c>
      <c r="AA193" s="149"/>
      <c r="AB193" s="149"/>
      <c r="AC193" s="149"/>
      <c r="AD193" s="149"/>
      <c r="AE193" s="149"/>
      <c r="AF193" s="149"/>
      <c r="AG193" s="149"/>
      <c r="AH193" s="149"/>
      <c r="AI193" s="149"/>
      <c r="AJ193" s="149"/>
      <c r="AK193" s="149"/>
      <c r="AL193" s="149"/>
      <c r="AM193" s="149"/>
      <c r="AN193" s="149"/>
      <c r="AO193" s="149"/>
      <c r="AP193" s="149"/>
    </row>
    <row r="194" spans="1:42" x14ac:dyDescent="0.2">
      <c r="A194" s="278"/>
      <c r="B194" s="278"/>
      <c r="C194" s="278"/>
      <c r="D194" s="278"/>
      <c r="E194" s="278"/>
      <c r="F194" s="278"/>
      <c r="G194" s="278"/>
      <c r="H194" s="278"/>
      <c r="I194" s="278"/>
      <c r="J194" s="278"/>
      <c r="K194" s="278"/>
      <c r="L194" s="278"/>
      <c r="M194" s="278"/>
      <c r="N194" s="149"/>
      <c r="O194" s="149"/>
      <c r="P194" s="278"/>
      <c r="Q194" s="278"/>
      <c r="R194" s="278"/>
      <c r="S194" s="278"/>
      <c r="T194" s="149"/>
      <c r="U194" s="202">
        <f>Input!B259</f>
        <v>0</v>
      </c>
      <c r="V194" s="448">
        <f>Input!F259</f>
        <v>0</v>
      </c>
      <c r="W194" s="399">
        <f>Input!U259</f>
        <v>0</v>
      </c>
      <c r="X194" s="303">
        <f>Input!H259</f>
        <v>0</v>
      </c>
      <c r="Y194" s="448">
        <f>Input!I259</f>
        <v>0</v>
      </c>
      <c r="Z194" s="399">
        <f>Input!V259</f>
        <v>0</v>
      </c>
      <c r="AA194" s="149"/>
      <c r="AB194" s="149"/>
      <c r="AC194" s="149"/>
      <c r="AD194" s="149"/>
      <c r="AE194" s="149"/>
      <c r="AF194" s="149"/>
      <c r="AG194" s="149"/>
      <c r="AH194" s="149"/>
      <c r="AI194" s="149"/>
      <c r="AJ194" s="149"/>
      <c r="AK194" s="149"/>
      <c r="AL194" s="149"/>
      <c r="AM194" s="149"/>
      <c r="AN194" s="149"/>
      <c r="AO194" s="149"/>
      <c r="AP194" s="149"/>
    </row>
    <row r="195" spans="1:42" x14ac:dyDescent="0.2">
      <c r="A195" s="278"/>
      <c r="B195" s="278"/>
      <c r="C195" s="278"/>
      <c r="D195" s="278"/>
      <c r="E195" s="278"/>
      <c r="F195" s="278"/>
      <c r="G195" s="278"/>
      <c r="H195" s="278"/>
      <c r="I195" s="278"/>
      <c r="J195" s="278"/>
      <c r="K195" s="278"/>
      <c r="L195" s="278"/>
      <c r="M195" s="278"/>
      <c r="N195" s="149"/>
      <c r="O195" s="149"/>
      <c r="P195" s="278"/>
      <c r="Q195" s="278"/>
      <c r="R195" s="278"/>
      <c r="S195" s="278"/>
      <c r="T195" s="149"/>
      <c r="U195" s="202">
        <f>Input!B260</f>
        <v>0</v>
      </c>
      <c r="V195" s="448">
        <f>Input!F260</f>
        <v>0</v>
      </c>
      <c r="W195" s="399">
        <f>Input!U260</f>
        <v>0</v>
      </c>
      <c r="X195" s="303">
        <f>Input!H260</f>
        <v>0</v>
      </c>
      <c r="Y195" s="448">
        <f>Input!I260</f>
        <v>0</v>
      </c>
      <c r="Z195" s="399">
        <f>Input!V260</f>
        <v>0</v>
      </c>
      <c r="AA195" s="149"/>
      <c r="AB195" s="149"/>
      <c r="AC195" s="149"/>
      <c r="AD195" s="149"/>
      <c r="AE195" s="149"/>
      <c r="AF195" s="149"/>
      <c r="AG195" s="149"/>
      <c r="AH195" s="149"/>
      <c r="AI195" s="149"/>
      <c r="AJ195" s="149"/>
      <c r="AK195" s="149"/>
      <c r="AL195" s="149"/>
      <c r="AM195" s="149"/>
      <c r="AN195" s="149"/>
      <c r="AO195" s="149"/>
      <c r="AP195" s="149"/>
    </row>
    <row r="196" spans="1:42" x14ac:dyDescent="0.2">
      <c r="A196" s="278"/>
      <c r="B196" s="278"/>
      <c r="C196" s="278"/>
      <c r="D196" s="278"/>
      <c r="E196" s="278"/>
      <c r="F196" s="278"/>
      <c r="G196" s="278"/>
      <c r="H196" s="278"/>
      <c r="I196" s="278"/>
      <c r="J196" s="278"/>
      <c r="K196" s="278"/>
      <c r="L196" s="278"/>
      <c r="M196" s="278"/>
      <c r="N196" s="149"/>
      <c r="O196" s="149"/>
      <c r="P196" s="278"/>
      <c r="Q196" s="278"/>
      <c r="R196" s="278"/>
      <c r="S196" s="278"/>
      <c r="T196" s="149"/>
      <c r="U196" s="202">
        <f>Input!B261</f>
        <v>0</v>
      </c>
      <c r="V196" s="448">
        <f>Input!F261</f>
        <v>0</v>
      </c>
      <c r="W196" s="399">
        <f>Input!U261</f>
        <v>0</v>
      </c>
      <c r="X196" s="303">
        <f>Input!H261</f>
        <v>0</v>
      </c>
      <c r="Y196" s="448">
        <f>Input!I261</f>
        <v>0</v>
      </c>
      <c r="Z196" s="399">
        <f>Input!V261</f>
        <v>0</v>
      </c>
      <c r="AA196" s="149"/>
      <c r="AB196" s="149"/>
      <c r="AC196" s="149"/>
      <c r="AD196" s="149"/>
      <c r="AE196" s="149"/>
      <c r="AF196" s="149"/>
      <c r="AG196" s="149"/>
      <c r="AH196" s="149"/>
      <c r="AI196" s="149"/>
      <c r="AJ196" s="149"/>
      <c r="AK196" s="149"/>
      <c r="AL196" s="149"/>
      <c r="AM196" s="149"/>
      <c r="AN196" s="149"/>
      <c r="AO196" s="149"/>
      <c r="AP196" s="149"/>
    </row>
    <row r="197" spans="1:42" x14ac:dyDescent="0.2">
      <c r="A197" s="278"/>
      <c r="B197" s="278"/>
      <c r="C197" s="278"/>
      <c r="D197" s="278"/>
      <c r="E197" s="278"/>
      <c r="F197" s="278"/>
      <c r="G197" s="278"/>
      <c r="H197" s="278"/>
      <c r="I197" s="278"/>
      <c r="J197" s="278"/>
      <c r="K197" s="278"/>
      <c r="L197" s="278"/>
      <c r="M197" s="278"/>
      <c r="N197" s="149"/>
      <c r="O197" s="149"/>
      <c r="P197" s="278"/>
      <c r="Q197" s="278"/>
      <c r="R197" s="278"/>
      <c r="S197" s="278"/>
      <c r="T197" s="149"/>
      <c r="U197" s="202">
        <f>Input!B262</f>
        <v>0</v>
      </c>
      <c r="V197" s="448">
        <f>Input!F262</f>
        <v>0</v>
      </c>
      <c r="W197" s="399">
        <f>Input!U262</f>
        <v>0</v>
      </c>
      <c r="X197" s="303">
        <f>Input!H262</f>
        <v>0</v>
      </c>
      <c r="Y197" s="448">
        <f>Input!I262</f>
        <v>0</v>
      </c>
      <c r="Z197" s="399">
        <f>Input!V262</f>
        <v>0</v>
      </c>
      <c r="AA197" s="149"/>
      <c r="AB197" s="149"/>
      <c r="AC197" s="149"/>
      <c r="AD197" s="149"/>
      <c r="AE197" s="149"/>
      <c r="AF197" s="149"/>
      <c r="AG197" s="149"/>
      <c r="AH197" s="149"/>
      <c r="AI197" s="149"/>
      <c r="AJ197" s="149"/>
      <c r="AK197" s="149"/>
      <c r="AL197" s="149"/>
      <c r="AM197" s="149"/>
      <c r="AN197" s="149"/>
      <c r="AO197" s="149"/>
      <c r="AP197" s="149"/>
    </row>
    <row r="198" spans="1:42" x14ac:dyDescent="0.2">
      <c r="A198" s="278"/>
      <c r="B198" s="278"/>
      <c r="C198" s="278"/>
      <c r="D198" s="278"/>
      <c r="E198" s="278"/>
      <c r="F198" s="278"/>
      <c r="G198" s="278"/>
      <c r="H198" s="278"/>
      <c r="I198" s="278"/>
      <c r="J198" s="278"/>
      <c r="K198" s="278"/>
      <c r="L198" s="278"/>
      <c r="M198" s="278"/>
      <c r="N198" s="149"/>
      <c r="O198" s="149"/>
      <c r="P198" s="278"/>
      <c r="Q198" s="278"/>
      <c r="R198" s="278"/>
      <c r="S198" s="278"/>
      <c r="T198" s="149"/>
      <c r="U198" s="202">
        <f>Input!B263</f>
        <v>0</v>
      </c>
      <c r="V198" s="448">
        <f>Input!F263</f>
        <v>0</v>
      </c>
      <c r="W198" s="399">
        <f>Input!U263</f>
        <v>0</v>
      </c>
      <c r="X198" s="303">
        <f>Input!H263</f>
        <v>0</v>
      </c>
      <c r="Y198" s="448">
        <f>Input!I263</f>
        <v>0</v>
      </c>
      <c r="Z198" s="399">
        <f>Input!V263</f>
        <v>0</v>
      </c>
      <c r="AA198" s="149"/>
      <c r="AB198" s="149"/>
      <c r="AC198" s="149"/>
      <c r="AD198" s="149"/>
      <c r="AE198" s="149"/>
      <c r="AF198" s="149"/>
      <c r="AG198" s="149"/>
      <c r="AH198" s="149"/>
      <c r="AI198" s="149"/>
      <c r="AJ198" s="149"/>
      <c r="AK198" s="149"/>
      <c r="AL198" s="149"/>
      <c r="AM198" s="149"/>
      <c r="AN198" s="149"/>
      <c r="AO198" s="149"/>
      <c r="AP198" s="149"/>
    </row>
    <row r="199" spans="1:42" x14ac:dyDescent="0.2">
      <c r="A199" s="278"/>
      <c r="B199" s="278"/>
      <c r="C199" s="278"/>
      <c r="D199" s="278"/>
      <c r="E199" s="278"/>
      <c r="F199" s="278"/>
      <c r="G199" s="278"/>
      <c r="H199" s="278"/>
      <c r="I199" s="278"/>
      <c r="J199" s="278"/>
      <c r="K199" s="278"/>
      <c r="L199" s="278"/>
      <c r="M199" s="278"/>
      <c r="N199" s="149"/>
      <c r="O199" s="149"/>
      <c r="P199" s="278"/>
      <c r="Q199" s="278"/>
      <c r="R199" s="278"/>
      <c r="S199" s="278"/>
      <c r="T199" s="149"/>
      <c r="U199" s="202">
        <f>Input!B264</f>
        <v>0</v>
      </c>
      <c r="V199" s="448">
        <f>Input!F264</f>
        <v>0</v>
      </c>
      <c r="W199" s="399">
        <f>Input!U264</f>
        <v>0</v>
      </c>
      <c r="X199" s="303">
        <f>Input!H264</f>
        <v>0</v>
      </c>
      <c r="Y199" s="448">
        <f>Input!I264</f>
        <v>0</v>
      </c>
      <c r="Z199" s="399">
        <f>Input!V264</f>
        <v>0</v>
      </c>
      <c r="AA199" s="149"/>
      <c r="AB199" s="149"/>
      <c r="AC199" s="149"/>
      <c r="AD199" s="149"/>
      <c r="AE199" s="149"/>
      <c r="AF199" s="149"/>
      <c r="AG199" s="149"/>
      <c r="AH199" s="149"/>
      <c r="AI199" s="149"/>
      <c r="AJ199" s="149"/>
      <c r="AK199" s="149"/>
      <c r="AL199" s="149"/>
      <c r="AM199" s="149"/>
      <c r="AN199" s="149"/>
      <c r="AO199" s="149"/>
      <c r="AP199" s="149"/>
    </row>
    <row r="200" spans="1:42" x14ac:dyDescent="0.2">
      <c r="A200" s="278"/>
      <c r="B200" s="278"/>
      <c r="C200" s="278"/>
      <c r="D200" s="278"/>
      <c r="E200" s="278"/>
      <c r="F200" s="278"/>
      <c r="G200" s="278"/>
      <c r="H200" s="278"/>
      <c r="I200" s="278"/>
      <c r="J200" s="278"/>
      <c r="K200" s="278"/>
      <c r="L200" s="278"/>
      <c r="M200" s="278"/>
      <c r="N200" s="149"/>
      <c r="O200" s="149"/>
      <c r="P200" s="278"/>
      <c r="Q200" s="278"/>
      <c r="R200" s="278"/>
      <c r="S200" s="278"/>
      <c r="T200" s="149"/>
      <c r="U200" s="202">
        <f>Input!B265</f>
        <v>0</v>
      </c>
      <c r="V200" s="448">
        <f>Input!F265</f>
        <v>0</v>
      </c>
      <c r="W200" s="399">
        <f>Input!U265</f>
        <v>0</v>
      </c>
      <c r="X200" s="303">
        <f>Input!H265</f>
        <v>0</v>
      </c>
      <c r="Y200" s="448">
        <f>Input!I265</f>
        <v>0</v>
      </c>
      <c r="Z200" s="399">
        <f>Input!V265</f>
        <v>0</v>
      </c>
      <c r="AA200" s="149"/>
      <c r="AB200" s="149"/>
      <c r="AC200" s="149"/>
      <c r="AD200" s="149"/>
      <c r="AE200" s="149"/>
      <c r="AF200" s="149"/>
      <c r="AG200" s="149"/>
      <c r="AH200" s="149"/>
      <c r="AI200" s="149"/>
      <c r="AJ200" s="149"/>
      <c r="AK200" s="149"/>
      <c r="AL200" s="149"/>
      <c r="AM200" s="149"/>
      <c r="AN200" s="149"/>
      <c r="AO200" s="149"/>
      <c r="AP200" s="149"/>
    </row>
    <row r="201" spans="1:42" x14ac:dyDescent="0.2">
      <c r="A201" s="278"/>
      <c r="B201" s="278"/>
      <c r="C201" s="278"/>
      <c r="D201" s="278"/>
      <c r="E201" s="278"/>
      <c r="F201" s="278"/>
      <c r="G201" s="278"/>
      <c r="H201" s="278"/>
      <c r="I201" s="278"/>
      <c r="J201" s="278"/>
      <c r="K201" s="278"/>
      <c r="L201" s="278"/>
      <c r="M201" s="278"/>
      <c r="N201" s="149"/>
      <c r="O201" s="149"/>
      <c r="P201" s="278"/>
      <c r="Q201" s="278"/>
      <c r="R201" s="278"/>
      <c r="S201" s="278"/>
      <c r="T201" s="149"/>
      <c r="U201" s="202">
        <f>Input!B266</f>
        <v>0</v>
      </c>
      <c r="V201" s="448">
        <f>Input!F266</f>
        <v>0</v>
      </c>
      <c r="W201" s="399">
        <f>Input!U266</f>
        <v>0</v>
      </c>
      <c r="X201" s="303">
        <f>Input!H266</f>
        <v>0</v>
      </c>
      <c r="Y201" s="448">
        <f>Input!I266</f>
        <v>0</v>
      </c>
      <c r="Z201" s="399">
        <f>Input!V266</f>
        <v>0</v>
      </c>
      <c r="AA201" s="149"/>
      <c r="AB201" s="149"/>
      <c r="AC201" s="149"/>
      <c r="AD201" s="149"/>
      <c r="AE201" s="149"/>
      <c r="AF201" s="149"/>
      <c r="AG201" s="149"/>
      <c r="AH201" s="149"/>
      <c r="AI201" s="149"/>
      <c r="AJ201" s="149"/>
      <c r="AK201" s="149"/>
      <c r="AL201" s="149"/>
      <c r="AM201" s="149"/>
      <c r="AN201" s="149"/>
      <c r="AO201" s="149"/>
      <c r="AP201" s="149"/>
    </row>
    <row r="202" spans="1:42" x14ac:dyDescent="0.2">
      <c r="A202" s="278"/>
      <c r="B202" s="278"/>
      <c r="C202" s="278"/>
      <c r="D202" s="278"/>
      <c r="E202" s="278"/>
      <c r="F202" s="278"/>
      <c r="G202" s="278"/>
      <c r="H202" s="278"/>
      <c r="I202" s="278"/>
      <c r="J202" s="278"/>
      <c r="K202" s="278"/>
      <c r="L202" s="278"/>
      <c r="M202" s="278"/>
      <c r="N202" s="149"/>
      <c r="O202" s="149"/>
      <c r="P202" s="278"/>
      <c r="Q202" s="278"/>
      <c r="R202" s="278"/>
      <c r="S202" s="278"/>
      <c r="T202" s="149"/>
      <c r="U202" s="202">
        <f>Input!B267</f>
        <v>0</v>
      </c>
      <c r="V202" s="448">
        <f>Input!F267</f>
        <v>0</v>
      </c>
      <c r="W202" s="399">
        <f>Input!U267</f>
        <v>0</v>
      </c>
      <c r="X202" s="303">
        <f>Input!H267</f>
        <v>0</v>
      </c>
      <c r="Y202" s="448">
        <f>Input!I267</f>
        <v>0</v>
      </c>
      <c r="Z202" s="399">
        <f>Input!V267</f>
        <v>0</v>
      </c>
      <c r="AA202" s="149"/>
      <c r="AB202" s="149"/>
      <c r="AC202" s="149"/>
      <c r="AD202" s="149"/>
      <c r="AE202" s="149"/>
      <c r="AF202" s="149"/>
      <c r="AG202" s="149"/>
      <c r="AH202" s="149"/>
      <c r="AI202" s="149"/>
      <c r="AJ202" s="149"/>
      <c r="AK202" s="149"/>
      <c r="AL202" s="149"/>
      <c r="AM202" s="149"/>
      <c r="AN202" s="149"/>
      <c r="AO202" s="149"/>
      <c r="AP202" s="149"/>
    </row>
    <row r="203" spans="1:42" x14ac:dyDescent="0.2">
      <c r="A203" s="278"/>
      <c r="B203" s="278"/>
      <c r="C203" s="278"/>
      <c r="D203" s="278"/>
      <c r="E203" s="278"/>
      <c r="F203" s="278"/>
      <c r="G203" s="278"/>
      <c r="H203" s="278"/>
      <c r="I203" s="278"/>
      <c r="J203" s="278"/>
      <c r="K203" s="278"/>
      <c r="L203" s="278"/>
      <c r="M203" s="278"/>
      <c r="N203" s="149"/>
      <c r="O203" s="149"/>
      <c r="P203" s="278"/>
      <c r="Q203" s="278"/>
      <c r="R203" s="278"/>
      <c r="S203" s="278"/>
      <c r="T203" s="149"/>
      <c r="U203" s="202">
        <f>Input!B268</f>
        <v>0</v>
      </c>
      <c r="V203" s="448">
        <f>Input!F268</f>
        <v>0</v>
      </c>
      <c r="W203" s="399">
        <f>Input!U268</f>
        <v>0</v>
      </c>
      <c r="X203" s="303">
        <f>Input!H268</f>
        <v>0</v>
      </c>
      <c r="Y203" s="448">
        <f>Input!I268</f>
        <v>0</v>
      </c>
      <c r="Z203" s="399">
        <f>Input!V268</f>
        <v>0</v>
      </c>
      <c r="AA203" s="149"/>
      <c r="AB203" s="149"/>
      <c r="AC203" s="149"/>
      <c r="AD203" s="149"/>
      <c r="AE203" s="149"/>
      <c r="AF203" s="149"/>
      <c r="AG203" s="149"/>
      <c r="AH203" s="149"/>
      <c r="AI203" s="149"/>
      <c r="AJ203" s="149"/>
      <c r="AK203" s="149"/>
      <c r="AL203" s="149"/>
      <c r="AM203" s="149"/>
      <c r="AN203" s="149"/>
      <c r="AO203" s="149"/>
      <c r="AP203" s="149"/>
    </row>
    <row r="204" spans="1:42" x14ac:dyDescent="0.2">
      <c r="A204" s="278"/>
      <c r="B204" s="278"/>
      <c r="C204" s="278"/>
      <c r="D204" s="278"/>
      <c r="E204" s="278"/>
      <c r="F204" s="278"/>
      <c r="G204" s="278"/>
      <c r="H204" s="278"/>
      <c r="I204" s="278"/>
      <c r="J204" s="278"/>
      <c r="K204" s="278"/>
      <c r="L204" s="278"/>
      <c r="M204" s="278"/>
      <c r="N204" s="149"/>
      <c r="O204" s="149"/>
      <c r="P204" s="278"/>
      <c r="Q204" s="278"/>
      <c r="R204" s="278"/>
      <c r="S204" s="278"/>
      <c r="T204" s="149"/>
      <c r="U204" s="202">
        <f>Input!B269</f>
        <v>0</v>
      </c>
      <c r="V204" s="448">
        <f>Input!F269</f>
        <v>0</v>
      </c>
      <c r="W204" s="399">
        <f>Input!U269</f>
        <v>0</v>
      </c>
      <c r="X204" s="303">
        <f>Input!H269</f>
        <v>0</v>
      </c>
      <c r="Y204" s="448">
        <f>Input!I269</f>
        <v>0</v>
      </c>
      <c r="Z204" s="399">
        <f>Input!V269</f>
        <v>0</v>
      </c>
      <c r="AA204" s="149"/>
      <c r="AB204" s="149"/>
      <c r="AC204" s="149"/>
      <c r="AD204" s="149"/>
      <c r="AE204" s="149"/>
      <c r="AF204" s="149"/>
      <c r="AG204" s="149"/>
      <c r="AH204" s="149"/>
      <c r="AI204" s="149"/>
      <c r="AJ204" s="149"/>
      <c r="AK204" s="149"/>
      <c r="AL204" s="149"/>
      <c r="AM204" s="149"/>
      <c r="AN204" s="149"/>
      <c r="AO204" s="149"/>
      <c r="AP204" s="149"/>
    </row>
    <row r="205" spans="1:42" x14ac:dyDescent="0.2">
      <c r="A205" s="278"/>
      <c r="B205" s="278"/>
      <c r="C205" s="278"/>
      <c r="D205" s="278"/>
      <c r="E205" s="278"/>
      <c r="F205" s="278"/>
      <c r="G205" s="278"/>
      <c r="H205" s="278"/>
      <c r="I205" s="278"/>
      <c r="J205" s="278"/>
      <c r="K205" s="278"/>
      <c r="L205" s="278"/>
      <c r="M205" s="278"/>
      <c r="N205" s="149"/>
      <c r="O205" s="149"/>
      <c r="P205" s="278"/>
      <c r="Q205" s="278"/>
      <c r="R205" s="278"/>
      <c r="S205" s="278"/>
      <c r="T205" s="149"/>
      <c r="U205" s="202">
        <f>Input!B270</f>
        <v>0</v>
      </c>
      <c r="V205" s="448">
        <f>Input!F270</f>
        <v>0</v>
      </c>
      <c r="W205" s="399">
        <f>Input!U270</f>
        <v>0</v>
      </c>
      <c r="X205" s="303">
        <f>Input!H270</f>
        <v>0</v>
      </c>
      <c r="Y205" s="448">
        <f>Input!I270</f>
        <v>0</v>
      </c>
      <c r="Z205" s="399">
        <f>Input!V270</f>
        <v>0</v>
      </c>
      <c r="AA205" s="149"/>
      <c r="AB205" s="149"/>
      <c r="AC205" s="149"/>
      <c r="AD205" s="149"/>
      <c r="AE205" s="149"/>
      <c r="AF205" s="149"/>
      <c r="AG205" s="149"/>
      <c r="AH205" s="149"/>
      <c r="AI205" s="149"/>
      <c r="AJ205" s="149"/>
      <c r="AK205" s="149"/>
      <c r="AL205" s="149"/>
      <c r="AM205" s="149"/>
      <c r="AN205" s="149"/>
      <c r="AO205" s="149"/>
      <c r="AP205" s="149"/>
    </row>
    <row r="206" spans="1:42" x14ac:dyDescent="0.2">
      <c r="A206" s="278"/>
      <c r="B206" s="278"/>
      <c r="C206" s="278"/>
      <c r="D206" s="278"/>
      <c r="E206" s="278"/>
      <c r="F206" s="278"/>
      <c r="G206" s="278"/>
      <c r="H206" s="278"/>
      <c r="I206" s="278"/>
      <c r="J206" s="278"/>
      <c r="K206" s="278"/>
      <c r="L206" s="278"/>
      <c r="M206" s="278"/>
      <c r="N206" s="149"/>
      <c r="O206" s="149"/>
      <c r="P206" s="278"/>
      <c r="Q206" s="278"/>
      <c r="R206" s="278"/>
      <c r="S206" s="278"/>
      <c r="T206" s="149"/>
      <c r="U206" s="202">
        <f>Input!B271</f>
        <v>0</v>
      </c>
      <c r="V206" s="448">
        <f>Input!F271</f>
        <v>0</v>
      </c>
      <c r="W206" s="399">
        <f>Input!U271</f>
        <v>0</v>
      </c>
      <c r="X206" s="303">
        <f>Input!H271</f>
        <v>0</v>
      </c>
      <c r="Y206" s="448">
        <f>Input!I271</f>
        <v>0</v>
      </c>
      <c r="Z206" s="399">
        <f>Input!V271</f>
        <v>0</v>
      </c>
      <c r="AA206" s="149"/>
      <c r="AB206" s="149"/>
      <c r="AC206" s="149"/>
      <c r="AD206" s="149"/>
      <c r="AE206" s="149"/>
      <c r="AF206" s="149"/>
      <c r="AG206" s="149"/>
      <c r="AH206" s="149"/>
      <c r="AI206" s="149"/>
      <c r="AJ206" s="149"/>
      <c r="AK206" s="149"/>
      <c r="AL206" s="149"/>
      <c r="AM206" s="149"/>
      <c r="AN206" s="149"/>
      <c r="AO206" s="149"/>
      <c r="AP206" s="149"/>
    </row>
    <row r="207" spans="1:42" x14ac:dyDescent="0.2">
      <c r="A207" s="278"/>
      <c r="B207" s="278"/>
      <c r="C207" s="278"/>
      <c r="D207" s="278"/>
      <c r="E207" s="278"/>
      <c r="F207" s="278"/>
      <c r="G207" s="278"/>
      <c r="H207" s="278"/>
      <c r="I207" s="278"/>
      <c r="J207" s="278"/>
      <c r="K207" s="278"/>
      <c r="L207" s="278"/>
      <c r="M207" s="278"/>
      <c r="N207" s="149"/>
      <c r="O207" s="149"/>
      <c r="P207" s="278"/>
      <c r="Q207" s="278"/>
      <c r="R207" s="278"/>
      <c r="S207" s="278"/>
      <c r="T207" s="149"/>
      <c r="U207" s="202">
        <f>Input!B272</f>
        <v>0</v>
      </c>
      <c r="V207" s="448">
        <f>Input!F272</f>
        <v>0</v>
      </c>
      <c r="W207" s="399">
        <f>Input!U272</f>
        <v>0</v>
      </c>
      <c r="X207" s="303">
        <f>Input!H272</f>
        <v>0</v>
      </c>
      <c r="Y207" s="448">
        <f>Input!I272</f>
        <v>0</v>
      </c>
      <c r="Z207" s="399">
        <f>Input!V272</f>
        <v>0</v>
      </c>
      <c r="AA207" s="149"/>
      <c r="AB207" s="149"/>
      <c r="AC207" s="149"/>
      <c r="AD207" s="149"/>
      <c r="AE207" s="149"/>
      <c r="AF207" s="149"/>
      <c r="AG207" s="149"/>
      <c r="AH207" s="149"/>
      <c r="AI207" s="149"/>
      <c r="AJ207" s="149"/>
      <c r="AK207" s="149"/>
      <c r="AL207" s="149"/>
      <c r="AM207" s="149"/>
      <c r="AN207" s="149"/>
      <c r="AO207" s="149"/>
      <c r="AP207" s="149"/>
    </row>
    <row r="208" spans="1:42" x14ac:dyDescent="0.2">
      <c r="A208" s="278"/>
      <c r="B208" s="278"/>
      <c r="C208" s="278"/>
      <c r="D208" s="278"/>
      <c r="E208" s="278"/>
      <c r="F208" s="278"/>
      <c r="G208" s="278"/>
      <c r="H208" s="278"/>
      <c r="I208" s="278"/>
      <c r="J208" s="278"/>
      <c r="K208" s="278"/>
      <c r="L208" s="278"/>
      <c r="M208" s="278"/>
      <c r="N208" s="149"/>
      <c r="O208" s="149"/>
      <c r="P208" s="278"/>
      <c r="Q208" s="278"/>
      <c r="R208" s="278"/>
      <c r="S208" s="278"/>
      <c r="T208" s="149"/>
      <c r="U208" s="202">
        <f>Input!B273</f>
        <v>0</v>
      </c>
      <c r="V208" s="448">
        <f>Input!F273</f>
        <v>0</v>
      </c>
      <c r="W208" s="399">
        <f>Input!U273</f>
        <v>0</v>
      </c>
      <c r="X208" s="303">
        <f>Input!H273</f>
        <v>0</v>
      </c>
      <c r="Y208" s="448">
        <f>Input!I273</f>
        <v>0</v>
      </c>
      <c r="Z208" s="399">
        <f>Input!V273</f>
        <v>0</v>
      </c>
      <c r="AA208" s="149"/>
      <c r="AB208" s="149"/>
      <c r="AC208" s="149"/>
      <c r="AD208" s="149"/>
      <c r="AE208" s="149"/>
      <c r="AF208" s="149"/>
      <c r="AG208" s="149"/>
      <c r="AH208" s="149"/>
      <c r="AI208" s="149"/>
      <c r="AJ208" s="149"/>
      <c r="AK208" s="149"/>
      <c r="AL208" s="149"/>
      <c r="AM208" s="149"/>
      <c r="AN208" s="149"/>
      <c r="AO208" s="149"/>
      <c r="AP208" s="149"/>
    </row>
    <row r="209" spans="1:42" x14ac:dyDescent="0.2">
      <c r="A209" s="278"/>
      <c r="B209" s="278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149"/>
      <c r="O209" s="149"/>
      <c r="P209" s="278"/>
      <c r="Q209" s="278"/>
      <c r="R209" s="278"/>
      <c r="S209" s="278"/>
      <c r="T209" s="149"/>
      <c r="U209" s="202">
        <f>Input!B274</f>
        <v>0</v>
      </c>
      <c r="V209" s="448">
        <f>Input!F274</f>
        <v>0</v>
      </c>
      <c r="W209" s="399">
        <f>Input!U274</f>
        <v>0</v>
      </c>
      <c r="X209" s="303">
        <f>Input!H274</f>
        <v>0</v>
      </c>
      <c r="Y209" s="448">
        <f>Input!I274</f>
        <v>0</v>
      </c>
      <c r="Z209" s="399">
        <f>Input!V274</f>
        <v>0</v>
      </c>
      <c r="AA209" s="149"/>
      <c r="AB209" s="149"/>
      <c r="AC209" s="149"/>
      <c r="AD209" s="149"/>
      <c r="AE209" s="149"/>
      <c r="AF209" s="149"/>
      <c r="AG209" s="149"/>
      <c r="AH209" s="149"/>
      <c r="AI209" s="149"/>
      <c r="AJ209" s="149"/>
      <c r="AK209" s="149"/>
      <c r="AL209" s="149"/>
      <c r="AM209" s="149"/>
      <c r="AN209" s="149"/>
      <c r="AO209" s="149"/>
      <c r="AP209" s="149"/>
    </row>
    <row r="210" spans="1:42" x14ac:dyDescent="0.2">
      <c r="A210" s="278"/>
      <c r="B210" s="278"/>
      <c r="C210" s="278"/>
      <c r="D210" s="278"/>
      <c r="E210" s="278"/>
      <c r="F210" s="278"/>
      <c r="G210" s="278"/>
      <c r="H210" s="278"/>
      <c r="I210" s="278"/>
      <c r="J210" s="278"/>
      <c r="K210" s="278"/>
      <c r="L210" s="278"/>
      <c r="M210" s="278"/>
      <c r="N210" s="149"/>
      <c r="O210" s="149"/>
      <c r="P210" s="278"/>
      <c r="Q210" s="278"/>
      <c r="R210" s="278"/>
      <c r="S210" s="278"/>
      <c r="T210" s="149"/>
      <c r="U210" s="202">
        <f>Input!B275</f>
        <v>0</v>
      </c>
      <c r="V210" s="448">
        <f>Input!F275</f>
        <v>0</v>
      </c>
      <c r="W210" s="399">
        <f>Input!U275</f>
        <v>0</v>
      </c>
      <c r="X210" s="303">
        <f>Input!H275</f>
        <v>0</v>
      </c>
      <c r="Y210" s="448">
        <f>Input!I275</f>
        <v>0</v>
      </c>
      <c r="Z210" s="399">
        <f>Input!V275</f>
        <v>0</v>
      </c>
      <c r="AA210" s="149"/>
      <c r="AB210" s="149"/>
      <c r="AC210" s="149"/>
      <c r="AD210" s="149"/>
      <c r="AE210" s="149"/>
      <c r="AF210" s="149"/>
      <c r="AG210" s="149"/>
      <c r="AH210" s="149"/>
      <c r="AI210" s="149"/>
      <c r="AJ210" s="149"/>
      <c r="AK210" s="149"/>
      <c r="AL210" s="149"/>
      <c r="AM210" s="149"/>
      <c r="AN210" s="149"/>
      <c r="AO210" s="149"/>
      <c r="AP210" s="149"/>
    </row>
    <row r="211" spans="1:42" x14ac:dyDescent="0.2">
      <c r="A211" s="278"/>
      <c r="B211" s="278"/>
      <c r="C211" s="278"/>
      <c r="D211" s="278"/>
      <c r="E211" s="278"/>
      <c r="F211" s="278"/>
      <c r="G211" s="278"/>
      <c r="H211" s="278"/>
      <c r="I211" s="278"/>
      <c r="J211" s="278"/>
      <c r="K211" s="278"/>
      <c r="L211" s="278"/>
      <c r="M211" s="278"/>
      <c r="N211" s="149"/>
      <c r="O211" s="149"/>
      <c r="P211" s="278"/>
      <c r="Q211" s="278"/>
      <c r="R211" s="278"/>
      <c r="S211" s="278"/>
      <c r="T211" s="149"/>
      <c r="U211" s="202">
        <f>Input!B276</f>
        <v>0</v>
      </c>
      <c r="V211" s="448">
        <f>Input!F276</f>
        <v>0</v>
      </c>
      <c r="W211" s="399">
        <f>Input!U276</f>
        <v>0</v>
      </c>
      <c r="X211" s="303">
        <f>Input!H276</f>
        <v>0</v>
      </c>
      <c r="Y211" s="448">
        <f>Input!I276</f>
        <v>0</v>
      </c>
      <c r="Z211" s="399">
        <f>Input!V276</f>
        <v>0</v>
      </c>
      <c r="AA211" s="149"/>
      <c r="AB211" s="149"/>
      <c r="AC211" s="149"/>
      <c r="AD211" s="149"/>
      <c r="AE211" s="149"/>
      <c r="AF211" s="149"/>
      <c r="AG211" s="149"/>
      <c r="AH211" s="149"/>
      <c r="AI211" s="149"/>
      <c r="AJ211" s="149"/>
      <c r="AK211" s="149"/>
      <c r="AL211" s="149"/>
      <c r="AM211" s="149"/>
      <c r="AN211" s="149"/>
      <c r="AO211" s="149"/>
      <c r="AP211" s="149"/>
    </row>
    <row r="212" spans="1:42" x14ac:dyDescent="0.2">
      <c r="A212" s="278"/>
      <c r="B212" s="278"/>
      <c r="C212" s="278"/>
      <c r="D212" s="278"/>
      <c r="E212" s="278"/>
      <c r="F212" s="278"/>
      <c r="G212" s="278"/>
      <c r="H212" s="278"/>
      <c r="I212" s="278"/>
      <c r="J212" s="278"/>
      <c r="K212" s="278"/>
      <c r="L212" s="278"/>
      <c r="M212" s="278"/>
      <c r="N212" s="149"/>
      <c r="O212" s="149"/>
      <c r="P212" s="278"/>
      <c r="Q212" s="278"/>
      <c r="R212" s="278"/>
      <c r="S212" s="278"/>
      <c r="T212" s="149"/>
      <c r="U212" s="202">
        <f>Input!B277</f>
        <v>0</v>
      </c>
      <c r="V212" s="448">
        <f>Input!F277</f>
        <v>0</v>
      </c>
      <c r="W212" s="399">
        <f>Input!U277</f>
        <v>0</v>
      </c>
      <c r="X212" s="303">
        <f>Input!H277</f>
        <v>0</v>
      </c>
      <c r="Y212" s="448">
        <f>Input!I277</f>
        <v>0</v>
      </c>
      <c r="Z212" s="399">
        <f>Input!V277</f>
        <v>0</v>
      </c>
      <c r="AA212" s="149"/>
      <c r="AB212" s="149"/>
      <c r="AC212" s="149"/>
      <c r="AD212" s="149"/>
      <c r="AE212" s="149"/>
      <c r="AF212" s="149"/>
      <c r="AG212" s="149"/>
      <c r="AH212" s="149"/>
      <c r="AI212" s="149"/>
      <c r="AJ212" s="149"/>
      <c r="AK212" s="149"/>
      <c r="AL212" s="149"/>
      <c r="AM212" s="149"/>
      <c r="AN212" s="149"/>
      <c r="AO212" s="149"/>
      <c r="AP212" s="149"/>
    </row>
    <row r="213" spans="1:42" x14ac:dyDescent="0.2">
      <c r="A213" s="278"/>
      <c r="B213" s="278"/>
      <c r="C213" s="278"/>
      <c r="D213" s="278"/>
      <c r="E213" s="278"/>
      <c r="F213" s="278"/>
      <c r="G213" s="278"/>
      <c r="H213" s="278"/>
      <c r="I213" s="278"/>
      <c r="J213" s="278"/>
      <c r="K213" s="278"/>
      <c r="L213" s="278"/>
      <c r="M213" s="278"/>
      <c r="N213" s="149"/>
      <c r="O213" s="149"/>
      <c r="P213" s="278"/>
      <c r="Q213" s="278"/>
      <c r="R213" s="278"/>
      <c r="S213" s="278"/>
      <c r="T213" s="149"/>
      <c r="U213" s="202">
        <f>Input!B278</f>
        <v>0</v>
      </c>
      <c r="V213" s="448">
        <f>Input!F278</f>
        <v>0</v>
      </c>
      <c r="W213" s="399">
        <f>Input!U278</f>
        <v>0</v>
      </c>
      <c r="X213" s="303">
        <f>Input!H278</f>
        <v>0</v>
      </c>
      <c r="Y213" s="448">
        <f>Input!I278</f>
        <v>0</v>
      </c>
      <c r="Z213" s="399">
        <f>Input!V278</f>
        <v>0</v>
      </c>
      <c r="AA213" s="149"/>
      <c r="AB213" s="149"/>
      <c r="AC213" s="149"/>
      <c r="AD213" s="149"/>
      <c r="AE213" s="149"/>
      <c r="AF213" s="149"/>
      <c r="AG213" s="149"/>
      <c r="AH213" s="149"/>
      <c r="AI213" s="149"/>
      <c r="AJ213" s="149"/>
      <c r="AK213" s="149"/>
      <c r="AL213" s="149"/>
      <c r="AM213" s="149"/>
      <c r="AN213" s="149"/>
      <c r="AO213" s="149"/>
      <c r="AP213" s="149"/>
    </row>
    <row r="214" spans="1:42" x14ac:dyDescent="0.2">
      <c r="A214" s="278"/>
      <c r="B214" s="278"/>
      <c r="C214" s="278"/>
      <c r="D214" s="278"/>
      <c r="E214" s="278"/>
      <c r="F214" s="278"/>
      <c r="G214" s="278"/>
      <c r="H214" s="278"/>
      <c r="I214" s="278"/>
      <c r="J214" s="278"/>
      <c r="K214" s="278"/>
      <c r="L214" s="278"/>
      <c r="M214" s="278"/>
      <c r="N214" s="149"/>
      <c r="O214" s="149"/>
      <c r="P214" s="278"/>
      <c r="Q214" s="278"/>
      <c r="R214" s="278"/>
      <c r="S214" s="278"/>
      <c r="T214" s="149"/>
      <c r="U214" s="202">
        <f>Input!B279</f>
        <v>0</v>
      </c>
      <c r="V214" s="448">
        <f>Input!F279</f>
        <v>0</v>
      </c>
      <c r="W214" s="399">
        <f>Input!U279</f>
        <v>0</v>
      </c>
      <c r="X214" s="303">
        <f>Input!H279</f>
        <v>0</v>
      </c>
      <c r="Y214" s="448">
        <f>Input!I279</f>
        <v>0</v>
      </c>
      <c r="Z214" s="399">
        <f>Input!V279</f>
        <v>0</v>
      </c>
      <c r="AA214" s="149"/>
      <c r="AB214" s="149"/>
      <c r="AC214" s="149"/>
      <c r="AD214" s="149"/>
      <c r="AE214" s="149"/>
      <c r="AF214" s="149"/>
      <c r="AG214" s="149"/>
      <c r="AH214" s="149"/>
      <c r="AI214" s="149"/>
      <c r="AJ214" s="149"/>
      <c r="AK214" s="149"/>
      <c r="AL214" s="149"/>
      <c r="AM214" s="149"/>
      <c r="AN214" s="149"/>
      <c r="AO214" s="149"/>
      <c r="AP214" s="149"/>
    </row>
    <row r="215" spans="1:42" x14ac:dyDescent="0.2">
      <c r="A215" s="278"/>
      <c r="B215" s="278"/>
      <c r="C215" s="278"/>
      <c r="D215" s="278"/>
      <c r="E215" s="278"/>
      <c r="F215" s="278"/>
      <c r="G215" s="278"/>
      <c r="H215" s="278"/>
      <c r="I215" s="278"/>
      <c r="J215" s="278"/>
      <c r="K215" s="278"/>
      <c r="L215" s="278"/>
      <c r="M215" s="278"/>
      <c r="N215" s="149"/>
      <c r="O215" s="149"/>
      <c r="P215" s="278"/>
      <c r="Q215" s="278"/>
      <c r="R215" s="278"/>
      <c r="S215" s="278"/>
      <c r="T215" s="149"/>
      <c r="U215" s="202">
        <f>Input!B280</f>
        <v>0</v>
      </c>
      <c r="V215" s="448">
        <f>Input!F280</f>
        <v>0</v>
      </c>
      <c r="W215" s="399">
        <f>Input!U280</f>
        <v>0</v>
      </c>
      <c r="X215" s="303">
        <f>Input!H280</f>
        <v>0</v>
      </c>
      <c r="Y215" s="448">
        <f>Input!I280</f>
        <v>0</v>
      </c>
      <c r="Z215" s="399">
        <f>Input!V280</f>
        <v>0</v>
      </c>
      <c r="AA215" s="149"/>
      <c r="AB215" s="149"/>
      <c r="AC215" s="149"/>
      <c r="AD215" s="149"/>
      <c r="AE215" s="149"/>
      <c r="AF215" s="149"/>
      <c r="AG215" s="149"/>
      <c r="AH215" s="149"/>
      <c r="AI215" s="149"/>
      <c r="AJ215" s="149"/>
      <c r="AK215" s="149"/>
      <c r="AL215" s="149"/>
      <c r="AM215" s="149"/>
      <c r="AN215" s="149"/>
      <c r="AO215" s="149"/>
      <c r="AP215" s="149"/>
    </row>
    <row r="216" spans="1:42" x14ac:dyDescent="0.2">
      <c r="A216" s="278"/>
      <c r="B216" s="278"/>
      <c r="C216" s="278"/>
      <c r="D216" s="278"/>
      <c r="E216" s="278"/>
      <c r="F216" s="278"/>
      <c r="G216" s="278"/>
      <c r="H216" s="278"/>
      <c r="I216" s="278"/>
      <c r="J216" s="278"/>
      <c r="K216" s="278"/>
      <c r="L216" s="278"/>
      <c r="M216" s="278"/>
      <c r="N216" s="149"/>
      <c r="O216" s="149"/>
      <c r="P216" s="278"/>
      <c r="Q216" s="278"/>
      <c r="R216" s="278"/>
      <c r="S216" s="278"/>
      <c r="T216" s="149"/>
      <c r="U216" s="202">
        <f>Input!B281</f>
        <v>0</v>
      </c>
      <c r="V216" s="448">
        <f>Input!F281</f>
        <v>0</v>
      </c>
      <c r="W216" s="399">
        <f>Input!U281</f>
        <v>0</v>
      </c>
      <c r="X216" s="303">
        <f>Input!H281</f>
        <v>0</v>
      </c>
      <c r="Y216" s="448">
        <f>Input!I281</f>
        <v>0</v>
      </c>
      <c r="Z216" s="399">
        <f>Input!V281</f>
        <v>0</v>
      </c>
      <c r="AA216" s="149"/>
      <c r="AB216" s="149"/>
      <c r="AC216" s="149"/>
      <c r="AD216" s="149"/>
      <c r="AE216" s="149"/>
      <c r="AF216" s="149"/>
      <c r="AG216" s="149"/>
      <c r="AH216" s="149"/>
      <c r="AI216" s="149"/>
      <c r="AJ216" s="149"/>
      <c r="AK216" s="149"/>
      <c r="AL216" s="149"/>
      <c r="AM216" s="149"/>
      <c r="AN216" s="149"/>
      <c r="AO216" s="149"/>
      <c r="AP216" s="149"/>
    </row>
    <row r="217" spans="1:42" x14ac:dyDescent="0.2">
      <c r="A217" s="278"/>
      <c r="B217" s="278"/>
      <c r="C217" s="278"/>
      <c r="D217" s="278"/>
      <c r="E217" s="278"/>
      <c r="F217" s="278"/>
      <c r="G217" s="278"/>
      <c r="H217" s="278"/>
      <c r="I217" s="278"/>
      <c r="J217" s="278"/>
      <c r="K217" s="278"/>
      <c r="L217" s="278"/>
      <c r="M217" s="278"/>
      <c r="N217" s="149"/>
      <c r="O217" s="149"/>
      <c r="P217" s="278"/>
      <c r="Q217" s="278"/>
      <c r="R217" s="278"/>
      <c r="S217" s="278"/>
      <c r="T217" s="149"/>
      <c r="U217" s="202">
        <f>Input!B282</f>
        <v>0</v>
      </c>
      <c r="V217" s="448">
        <f>Input!F282</f>
        <v>0</v>
      </c>
      <c r="W217" s="399">
        <f>Input!U282</f>
        <v>0</v>
      </c>
      <c r="X217" s="303">
        <f>Input!H282</f>
        <v>0</v>
      </c>
      <c r="Y217" s="448">
        <f>Input!I282</f>
        <v>0</v>
      </c>
      <c r="Z217" s="399">
        <f>Input!V282</f>
        <v>0</v>
      </c>
      <c r="AA217" s="149"/>
      <c r="AB217" s="149"/>
      <c r="AC217" s="149"/>
      <c r="AD217" s="149"/>
      <c r="AE217" s="149"/>
      <c r="AF217" s="149"/>
      <c r="AG217" s="149"/>
      <c r="AH217" s="149"/>
      <c r="AI217" s="149"/>
      <c r="AJ217" s="149"/>
      <c r="AK217" s="149"/>
      <c r="AL217" s="149"/>
      <c r="AM217" s="149"/>
      <c r="AN217" s="149"/>
      <c r="AO217" s="149"/>
      <c r="AP217" s="149"/>
    </row>
    <row r="218" spans="1:42" x14ac:dyDescent="0.2">
      <c r="A218" s="278"/>
      <c r="B218" s="278"/>
      <c r="C218" s="278"/>
      <c r="D218" s="278"/>
      <c r="E218" s="278"/>
      <c r="F218" s="278"/>
      <c r="G218" s="278"/>
      <c r="H218" s="278"/>
      <c r="I218" s="278"/>
      <c r="J218" s="278"/>
      <c r="K218" s="278"/>
      <c r="L218" s="278"/>
      <c r="M218" s="278"/>
      <c r="N218" s="149"/>
      <c r="O218" s="149"/>
      <c r="P218" s="278"/>
      <c r="Q218" s="278"/>
      <c r="R218" s="278"/>
      <c r="S218" s="278"/>
      <c r="T218" s="149"/>
      <c r="U218" s="202">
        <f>Input!B283</f>
        <v>0</v>
      </c>
      <c r="V218" s="448">
        <f>Input!F283</f>
        <v>0</v>
      </c>
      <c r="W218" s="399">
        <f>Input!U283</f>
        <v>0</v>
      </c>
      <c r="X218" s="303">
        <f>Input!H283</f>
        <v>0</v>
      </c>
      <c r="Y218" s="448">
        <f>Input!I283</f>
        <v>0</v>
      </c>
      <c r="Z218" s="399">
        <f>Input!V283</f>
        <v>0</v>
      </c>
      <c r="AA218" s="149"/>
      <c r="AB218" s="149"/>
      <c r="AC218" s="149"/>
      <c r="AD218" s="149"/>
      <c r="AE218" s="149"/>
      <c r="AF218" s="149"/>
      <c r="AG218" s="149"/>
      <c r="AH218" s="149"/>
      <c r="AI218" s="149"/>
      <c r="AJ218" s="149"/>
      <c r="AK218" s="149"/>
      <c r="AL218" s="149"/>
      <c r="AM218" s="149"/>
      <c r="AN218" s="149"/>
      <c r="AO218" s="149"/>
      <c r="AP218" s="149"/>
    </row>
    <row r="219" spans="1:42" x14ac:dyDescent="0.2">
      <c r="A219" s="278"/>
      <c r="B219" s="278"/>
      <c r="C219" s="278"/>
      <c r="D219" s="278"/>
      <c r="E219" s="278"/>
      <c r="F219" s="278"/>
      <c r="G219" s="278"/>
      <c r="H219" s="278"/>
      <c r="I219" s="278"/>
      <c r="J219" s="278"/>
      <c r="K219" s="278"/>
      <c r="L219" s="278"/>
      <c r="M219" s="278"/>
      <c r="N219" s="149"/>
      <c r="O219" s="149"/>
      <c r="P219" s="278"/>
      <c r="Q219" s="278"/>
      <c r="R219" s="278"/>
      <c r="S219" s="278"/>
      <c r="T219" s="149"/>
      <c r="U219" s="202">
        <f>Input!B284</f>
        <v>0</v>
      </c>
      <c r="V219" s="448">
        <f>Input!F284</f>
        <v>0</v>
      </c>
      <c r="W219" s="399">
        <f>Input!U284</f>
        <v>0</v>
      </c>
      <c r="X219" s="303">
        <f>Input!H284</f>
        <v>0</v>
      </c>
      <c r="Y219" s="448">
        <f>Input!I284</f>
        <v>0</v>
      </c>
      <c r="Z219" s="399">
        <f>Input!V284</f>
        <v>0</v>
      </c>
      <c r="AA219" s="149"/>
      <c r="AB219" s="149"/>
      <c r="AC219" s="149"/>
      <c r="AD219" s="149"/>
      <c r="AE219" s="149"/>
      <c r="AF219" s="149"/>
      <c r="AG219" s="149"/>
      <c r="AH219" s="149"/>
      <c r="AI219" s="149"/>
      <c r="AJ219" s="149"/>
      <c r="AK219" s="149"/>
      <c r="AL219" s="149"/>
      <c r="AM219" s="149"/>
      <c r="AN219" s="149"/>
      <c r="AO219" s="149"/>
      <c r="AP219" s="149"/>
    </row>
    <row r="220" spans="1:42" x14ac:dyDescent="0.2">
      <c r="A220" s="278"/>
      <c r="B220" s="278"/>
      <c r="C220" s="278"/>
      <c r="D220" s="278"/>
      <c r="E220" s="278"/>
      <c r="F220" s="278"/>
      <c r="G220" s="278"/>
      <c r="H220" s="278"/>
      <c r="I220" s="278"/>
      <c r="J220" s="278"/>
      <c r="K220" s="278"/>
      <c r="L220" s="278"/>
      <c r="M220" s="278"/>
      <c r="N220" s="149"/>
      <c r="O220" s="149"/>
      <c r="P220" s="278"/>
      <c r="Q220" s="278"/>
      <c r="R220" s="278"/>
      <c r="S220" s="278"/>
      <c r="T220" s="149"/>
      <c r="U220" s="202">
        <f>Input!B285</f>
        <v>0</v>
      </c>
      <c r="V220" s="448">
        <f>Input!F285</f>
        <v>0</v>
      </c>
      <c r="W220" s="399">
        <f>Input!U285</f>
        <v>0</v>
      </c>
      <c r="X220" s="303">
        <f>Input!H285</f>
        <v>0</v>
      </c>
      <c r="Y220" s="448">
        <f>Input!I285</f>
        <v>0</v>
      </c>
      <c r="Z220" s="399">
        <f>Input!V285</f>
        <v>0</v>
      </c>
      <c r="AA220" s="149"/>
      <c r="AB220" s="149"/>
      <c r="AC220" s="149"/>
      <c r="AD220" s="149"/>
      <c r="AE220" s="149"/>
      <c r="AF220" s="149"/>
      <c r="AG220" s="149"/>
      <c r="AH220" s="149"/>
      <c r="AI220" s="149"/>
      <c r="AJ220" s="149"/>
      <c r="AK220" s="149"/>
      <c r="AL220" s="149"/>
      <c r="AM220" s="149"/>
      <c r="AN220" s="149"/>
      <c r="AO220" s="149"/>
      <c r="AP220" s="149"/>
    </row>
    <row r="221" spans="1:42" x14ac:dyDescent="0.2">
      <c r="A221" s="278"/>
      <c r="B221" s="278"/>
      <c r="C221" s="278"/>
      <c r="D221" s="278"/>
      <c r="E221" s="278"/>
      <c r="F221" s="278"/>
      <c r="G221" s="278"/>
      <c r="H221" s="278"/>
      <c r="I221" s="278"/>
      <c r="J221" s="278"/>
      <c r="K221" s="278"/>
      <c r="L221" s="278"/>
      <c r="M221" s="278"/>
      <c r="N221" s="149"/>
      <c r="O221" s="149"/>
      <c r="P221" s="278"/>
      <c r="Q221" s="278"/>
      <c r="R221" s="278"/>
      <c r="S221" s="278"/>
      <c r="T221" s="149"/>
      <c r="U221" s="202">
        <f>Input!B286</f>
        <v>0</v>
      </c>
      <c r="V221" s="448">
        <f>Input!F286</f>
        <v>0</v>
      </c>
      <c r="W221" s="399">
        <f>Input!U286</f>
        <v>0</v>
      </c>
      <c r="X221" s="303">
        <f>Input!H286</f>
        <v>0</v>
      </c>
      <c r="Y221" s="448">
        <f>Input!I286</f>
        <v>0</v>
      </c>
      <c r="Z221" s="399">
        <f>Input!V286</f>
        <v>0</v>
      </c>
      <c r="AA221" s="149"/>
      <c r="AB221" s="149"/>
      <c r="AC221" s="149"/>
      <c r="AD221" s="149"/>
      <c r="AE221" s="149"/>
      <c r="AF221" s="149"/>
      <c r="AG221" s="149"/>
      <c r="AH221" s="149"/>
      <c r="AI221" s="149"/>
      <c r="AJ221" s="149"/>
      <c r="AK221" s="149"/>
      <c r="AL221" s="149"/>
      <c r="AM221" s="149"/>
      <c r="AN221" s="149"/>
      <c r="AO221" s="149"/>
      <c r="AP221" s="149"/>
    </row>
    <row r="222" spans="1:42" x14ac:dyDescent="0.2">
      <c r="A222" s="278"/>
      <c r="B222" s="278"/>
      <c r="C222" s="278"/>
      <c r="D222" s="278"/>
      <c r="E222" s="278"/>
      <c r="F222" s="278"/>
      <c r="G222" s="278"/>
      <c r="H222" s="278"/>
      <c r="I222" s="278"/>
      <c r="J222" s="278"/>
      <c r="K222" s="278"/>
      <c r="L222" s="278"/>
      <c r="M222" s="278"/>
      <c r="N222" s="149"/>
      <c r="O222" s="149"/>
      <c r="P222" s="278"/>
      <c r="Q222" s="278"/>
      <c r="R222" s="278"/>
      <c r="S222" s="278"/>
      <c r="T222" s="149"/>
      <c r="U222" s="202">
        <f>Input!B287</f>
        <v>0</v>
      </c>
      <c r="V222" s="448">
        <f>Input!F287</f>
        <v>0</v>
      </c>
      <c r="W222" s="399">
        <f>Input!U287</f>
        <v>0</v>
      </c>
      <c r="X222" s="303">
        <f>Input!H287</f>
        <v>0</v>
      </c>
      <c r="Y222" s="448">
        <f>Input!I287</f>
        <v>0</v>
      </c>
      <c r="Z222" s="399">
        <f>Input!V287</f>
        <v>0</v>
      </c>
      <c r="AA222" s="149"/>
      <c r="AB222" s="149"/>
      <c r="AC222" s="149"/>
      <c r="AD222" s="149"/>
      <c r="AE222" s="149"/>
      <c r="AF222" s="149"/>
      <c r="AG222" s="149"/>
      <c r="AH222" s="149"/>
      <c r="AI222" s="149"/>
      <c r="AJ222" s="149"/>
      <c r="AK222" s="149"/>
      <c r="AL222" s="149"/>
      <c r="AM222" s="149"/>
      <c r="AN222" s="149"/>
      <c r="AO222" s="149"/>
      <c r="AP222" s="149"/>
    </row>
    <row r="223" spans="1:42" x14ac:dyDescent="0.2">
      <c r="A223" s="278"/>
      <c r="B223" s="278"/>
      <c r="C223" s="278"/>
      <c r="D223" s="278"/>
      <c r="E223" s="278"/>
      <c r="F223" s="278"/>
      <c r="G223" s="278"/>
      <c r="H223" s="278"/>
      <c r="I223" s="278"/>
      <c r="J223" s="278"/>
      <c r="K223" s="278"/>
      <c r="L223" s="278"/>
      <c r="M223" s="278"/>
      <c r="N223" s="149"/>
      <c r="O223" s="149"/>
      <c r="P223" s="278"/>
      <c r="Q223" s="278"/>
      <c r="R223" s="278"/>
      <c r="S223" s="278"/>
      <c r="T223" s="149"/>
      <c r="U223" s="202">
        <f>Input!B288</f>
        <v>0</v>
      </c>
      <c r="V223" s="448">
        <f>Input!F288</f>
        <v>0</v>
      </c>
      <c r="W223" s="399">
        <f>Input!U288</f>
        <v>0</v>
      </c>
      <c r="X223" s="303">
        <f>Input!H288</f>
        <v>0</v>
      </c>
      <c r="Y223" s="448">
        <f>Input!I288</f>
        <v>0</v>
      </c>
      <c r="Z223" s="399">
        <f>Input!V288</f>
        <v>0</v>
      </c>
      <c r="AA223" s="149"/>
      <c r="AB223" s="149"/>
      <c r="AC223" s="149"/>
      <c r="AD223" s="149"/>
      <c r="AE223" s="149"/>
      <c r="AF223" s="149"/>
      <c r="AG223" s="149"/>
      <c r="AH223" s="149"/>
      <c r="AI223" s="149"/>
      <c r="AJ223" s="149"/>
      <c r="AK223" s="149"/>
      <c r="AL223" s="149"/>
      <c r="AM223" s="149"/>
      <c r="AN223" s="149"/>
      <c r="AO223" s="149"/>
      <c r="AP223" s="149"/>
    </row>
    <row r="224" spans="1:42" x14ac:dyDescent="0.2">
      <c r="A224" s="278"/>
      <c r="B224" s="278"/>
      <c r="C224" s="278"/>
      <c r="D224" s="278"/>
      <c r="E224" s="278"/>
      <c r="F224" s="278"/>
      <c r="G224" s="278"/>
      <c r="H224" s="278"/>
      <c r="I224" s="278"/>
      <c r="J224" s="278"/>
      <c r="K224" s="278"/>
      <c r="L224" s="278"/>
      <c r="M224" s="278"/>
      <c r="N224" s="149"/>
      <c r="O224" s="149"/>
      <c r="P224" s="278"/>
      <c r="Q224" s="278"/>
      <c r="R224" s="278"/>
      <c r="S224" s="278"/>
      <c r="T224" s="149"/>
      <c r="U224" s="202">
        <f>Input!B289</f>
        <v>0</v>
      </c>
      <c r="V224" s="448">
        <f>Input!F289</f>
        <v>0</v>
      </c>
      <c r="W224" s="399">
        <f>Input!U289</f>
        <v>0</v>
      </c>
      <c r="X224" s="303">
        <f>Input!H289</f>
        <v>0</v>
      </c>
      <c r="Y224" s="448">
        <f>Input!I289</f>
        <v>0</v>
      </c>
      <c r="Z224" s="399">
        <f>Input!V289</f>
        <v>0</v>
      </c>
      <c r="AA224" s="149"/>
      <c r="AB224" s="149"/>
      <c r="AC224" s="149"/>
      <c r="AD224" s="149"/>
      <c r="AE224" s="149"/>
      <c r="AF224" s="149"/>
      <c r="AG224" s="149"/>
      <c r="AH224" s="149"/>
      <c r="AI224" s="149"/>
      <c r="AJ224" s="149"/>
      <c r="AK224" s="149"/>
      <c r="AL224" s="149"/>
      <c r="AM224" s="149"/>
      <c r="AN224" s="149"/>
      <c r="AO224" s="149"/>
      <c r="AP224" s="149"/>
    </row>
    <row r="225" spans="1:42" x14ac:dyDescent="0.2">
      <c r="A225" s="278"/>
      <c r="B225" s="278"/>
      <c r="C225" s="278"/>
      <c r="D225" s="278"/>
      <c r="E225" s="278"/>
      <c r="F225" s="278"/>
      <c r="G225" s="278"/>
      <c r="H225" s="278"/>
      <c r="I225" s="278"/>
      <c r="J225" s="278"/>
      <c r="K225" s="278"/>
      <c r="L225" s="278"/>
      <c r="M225" s="278"/>
      <c r="N225" s="149"/>
      <c r="O225" s="149"/>
      <c r="P225" s="278"/>
      <c r="Q225" s="278"/>
      <c r="R225" s="278"/>
      <c r="S225" s="278"/>
      <c r="T225" s="149"/>
      <c r="U225" s="202">
        <f>Input!B290</f>
        <v>0</v>
      </c>
      <c r="V225" s="448">
        <f>Input!F290</f>
        <v>0</v>
      </c>
      <c r="W225" s="399">
        <f>Input!U290</f>
        <v>0</v>
      </c>
      <c r="X225" s="303">
        <f>Input!H290</f>
        <v>0</v>
      </c>
      <c r="Y225" s="448">
        <f>Input!I290</f>
        <v>0</v>
      </c>
      <c r="Z225" s="399">
        <f>Input!V290</f>
        <v>0</v>
      </c>
      <c r="AA225" s="149"/>
      <c r="AB225" s="149"/>
      <c r="AC225" s="149"/>
      <c r="AD225" s="149"/>
      <c r="AE225" s="149"/>
      <c r="AF225" s="149"/>
      <c r="AG225" s="149"/>
      <c r="AH225" s="149"/>
      <c r="AI225" s="149"/>
      <c r="AJ225" s="149"/>
      <c r="AK225" s="149"/>
      <c r="AL225" s="149"/>
      <c r="AM225" s="149"/>
      <c r="AN225" s="149"/>
      <c r="AO225" s="149"/>
      <c r="AP225" s="149"/>
    </row>
    <row r="226" spans="1:42" x14ac:dyDescent="0.2">
      <c r="A226" s="278"/>
      <c r="B226" s="278"/>
      <c r="C226" s="278"/>
      <c r="D226" s="278"/>
      <c r="E226" s="278"/>
      <c r="F226" s="278"/>
      <c r="G226" s="278"/>
      <c r="H226" s="278"/>
      <c r="I226" s="278"/>
      <c r="J226" s="278"/>
      <c r="K226" s="278"/>
      <c r="L226" s="278"/>
      <c r="M226" s="278"/>
      <c r="N226" s="149"/>
      <c r="O226" s="149"/>
      <c r="P226" s="278"/>
      <c r="Q226" s="278"/>
      <c r="R226" s="278"/>
      <c r="S226" s="278"/>
      <c r="T226" s="149"/>
      <c r="U226" s="202">
        <f>Input!B291</f>
        <v>0</v>
      </c>
      <c r="V226" s="448">
        <f>Input!F291</f>
        <v>0</v>
      </c>
      <c r="W226" s="399">
        <f>Input!U291</f>
        <v>0</v>
      </c>
      <c r="X226" s="303">
        <f>Input!H291</f>
        <v>0</v>
      </c>
      <c r="Y226" s="448">
        <f>Input!I291</f>
        <v>0</v>
      </c>
      <c r="Z226" s="399">
        <f>Input!V291</f>
        <v>0</v>
      </c>
      <c r="AA226" s="149"/>
      <c r="AB226" s="149"/>
      <c r="AC226" s="149"/>
      <c r="AD226" s="149"/>
      <c r="AE226" s="149"/>
      <c r="AF226" s="149"/>
      <c r="AG226" s="149"/>
      <c r="AH226" s="149"/>
      <c r="AI226" s="149"/>
      <c r="AJ226" s="149"/>
      <c r="AK226" s="149"/>
      <c r="AL226" s="149"/>
      <c r="AM226" s="149"/>
      <c r="AN226" s="149"/>
      <c r="AO226" s="149"/>
      <c r="AP226" s="149"/>
    </row>
    <row r="227" spans="1:42" x14ac:dyDescent="0.2">
      <c r="A227" s="278"/>
      <c r="B227" s="278"/>
      <c r="C227" s="278"/>
      <c r="D227" s="278"/>
      <c r="E227" s="278"/>
      <c r="F227" s="278"/>
      <c r="G227" s="278"/>
      <c r="H227" s="278"/>
      <c r="I227" s="278"/>
      <c r="J227" s="278"/>
      <c r="K227" s="278"/>
      <c r="L227" s="278"/>
      <c r="M227" s="278"/>
      <c r="N227" s="149"/>
      <c r="O227" s="149"/>
      <c r="P227" s="278"/>
      <c r="Q227" s="278"/>
      <c r="R227" s="278"/>
      <c r="S227" s="278"/>
      <c r="T227" s="149"/>
      <c r="U227" s="202">
        <f>Input!B292</f>
        <v>0</v>
      </c>
      <c r="V227" s="448">
        <f>Input!F292</f>
        <v>0</v>
      </c>
      <c r="W227" s="399">
        <f>Input!U292</f>
        <v>0</v>
      </c>
      <c r="X227" s="303">
        <f>Input!H292</f>
        <v>0</v>
      </c>
      <c r="Y227" s="448">
        <f>Input!I292</f>
        <v>0</v>
      </c>
      <c r="Z227" s="399">
        <f>Input!V292</f>
        <v>0</v>
      </c>
      <c r="AA227" s="149"/>
      <c r="AB227" s="149"/>
      <c r="AC227" s="149"/>
      <c r="AD227" s="149"/>
      <c r="AE227" s="149"/>
      <c r="AF227" s="149"/>
      <c r="AG227" s="149"/>
      <c r="AH227" s="149"/>
      <c r="AI227" s="149"/>
      <c r="AJ227" s="149"/>
      <c r="AK227" s="149"/>
      <c r="AL227" s="149"/>
      <c r="AM227" s="149"/>
      <c r="AN227" s="149"/>
      <c r="AO227" s="149"/>
      <c r="AP227" s="149"/>
    </row>
    <row r="228" spans="1:42" x14ac:dyDescent="0.2">
      <c r="A228" s="278"/>
      <c r="B228" s="278"/>
      <c r="C228" s="278"/>
      <c r="D228" s="278"/>
      <c r="E228" s="278"/>
      <c r="F228" s="278"/>
      <c r="G228" s="278"/>
      <c r="H228" s="278"/>
      <c r="I228" s="278"/>
      <c r="J228" s="278"/>
      <c r="K228" s="278"/>
      <c r="L228" s="278"/>
      <c r="M228" s="278"/>
      <c r="N228" s="149"/>
      <c r="O228" s="149"/>
      <c r="P228" s="278"/>
      <c r="Q228" s="278"/>
      <c r="R228" s="278"/>
      <c r="S228" s="278"/>
      <c r="T228" s="149"/>
      <c r="U228" s="202">
        <f>Input!B293</f>
        <v>0</v>
      </c>
      <c r="V228" s="448">
        <f>Input!F293</f>
        <v>0</v>
      </c>
      <c r="W228" s="399">
        <f>Input!U293</f>
        <v>0</v>
      </c>
      <c r="X228" s="303">
        <f>Input!H293</f>
        <v>0</v>
      </c>
      <c r="Y228" s="448">
        <f>Input!I293</f>
        <v>0</v>
      </c>
      <c r="Z228" s="399">
        <f>Input!V293</f>
        <v>0</v>
      </c>
      <c r="AA228" s="149"/>
      <c r="AB228" s="149"/>
      <c r="AC228" s="149"/>
      <c r="AD228" s="149"/>
      <c r="AE228" s="149"/>
      <c r="AF228" s="149"/>
      <c r="AG228" s="149"/>
      <c r="AH228" s="149"/>
      <c r="AI228" s="149"/>
      <c r="AJ228" s="149"/>
      <c r="AK228" s="149"/>
      <c r="AL228" s="149"/>
      <c r="AM228" s="149"/>
      <c r="AN228" s="149"/>
      <c r="AO228" s="149"/>
      <c r="AP228" s="149"/>
    </row>
    <row r="229" spans="1:42" x14ac:dyDescent="0.2">
      <c r="A229" s="278"/>
      <c r="B229" s="278"/>
      <c r="C229" s="278"/>
      <c r="D229" s="278"/>
      <c r="E229" s="278"/>
      <c r="F229" s="278"/>
      <c r="G229" s="278"/>
      <c r="H229" s="278"/>
      <c r="I229" s="278"/>
      <c r="J229" s="278"/>
      <c r="K229" s="278"/>
      <c r="L229" s="278"/>
      <c r="M229" s="278"/>
      <c r="N229" s="149"/>
      <c r="O229" s="149"/>
      <c r="P229" s="278"/>
      <c r="Q229" s="278"/>
      <c r="R229" s="278"/>
      <c r="S229" s="278"/>
      <c r="T229" s="149"/>
      <c r="U229" s="202">
        <f>Input!B294</f>
        <v>0</v>
      </c>
      <c r="V229" s="448">
        <f>Input!F294</f>
        <v>0</v>
      </c>
      <c r="W229" s="399">
        <f>Input!U294</f>
        <v>0</v>
      </c>
      <c r="X229" s="303">
        <f>Input!H294</f>
        <v>0</v>
      </c>
      <c r="Y229" s="448">
        <f>Input!I294</f>
        <v>0</v>
      </c>
      <c r="Z229" s="399">
        <f>Input!V294</f>
        <v>0</v>
      </c>
      <c r="AA229" s="149"/>
      <c r="AB229" s="149"/>
      <c r="AC229" s="149"/>
      <c r="AD229" s="149"/>
      <c r="AE229" s="149"/>
      <c r="AF229" s="149"/>
      <c r="AG229" s="149"/>
      <c r="AH229" s="149"/>
      <c r="AI229" s="149"/>
      <c r="AJ229" s="149"/>
      <c r="AK229" s="149"/>
      <c r="AL229" s="149"/>
      <c r="AM229" s="149"/>
      <c r="AN229" s="149"/>
      <c r="AO229" s="149"/>
      <c r="AP229" s="149"/>
    </row>
    <row r="230" spans="1:42" x14ac:dyDescent="0.2">
      <c r="A230" s="278"/>
      <c r="B230" s="278"/>
      <c r="C230" s="278"/>
      <c r="D230" s="278"/>
      <c r="E230" s="278"/>
      <c r="F230" s="278"/>
      <c r="G230" s="278"/>
      <c r="H230" s="278"/>
      <c r="I230" s="278"/>
      <c r="J230" s="278"/>
      <c r="K230" s="278"/>
      <c r="L230" s="278"/>
      <c r="M230" s="278"/>
      <c r="N230" s="149"/>
      <c r="O230" s="149"/>
      <c r="P230" s="278"/>
      <c r="Q230" s="278"/>
      <c r="R230" s="278"/>
      <c r="S230" s="278"/>
      <c r="T230" s="149"/>
      <c r="U230" s="202">
        <f>Input!B295</f>
        <v>0</v>
      </c>
      <c r="V230" s="448">
        <f>Input!F295</f>
        <v>0</v>
      </c>
      <c r="W230" s="399">
        <f>Input!U295</f>
        <v>0</v>
      </c>
      <c r="X230" s="303">
        <f>Input!H295</f>
        <v>0</v>
      </c>
      <c r="Y230" s="448">
        <f>Input!I295</f>
        <v>0</v>
      </c>
      <c r="Z230" s="399">
        <f>Input!V295</f>
        <v>0</v>
      </c>
      <c r="AA230" s="149"/>
      <c r="AB230" s="149"/>
      <c r="AC230" s="149"/>
      <c r="AD230" s="149"/>
      <c r="AE230" s="149"/>
      <c r="AF230" s="149"/>
      <c r="AG230" s="149"/>
      <c r="AH230" s="149"/>
      <c r="AI230" s="149"/>
      <c r="AJ230" s="149"/>
      <c r="AK230" s="149"/>
      <c r="AL230" s="149"/>
      <c r="AM230" s="149"/>
      <c r="AN230" s="149"/>
      <c r="AO230" s="149"/>
      <c r="AP230" s="149"/>
    </row>
    <row r="231" spans="1:42" x14ac:dyDescent="0.2">
      <c r="A231" s="278"/>
      <c r="B231" s="278"/>
      <c r="C231" s="278"/>
      <c r="D231" s="278"/>
      <c r="E231" s="278"/>
      <c r="F231" s="278"/>
      <c r="G231" s="278"/>
      <c r="H231" s="278"/>
      <c r="I231" s="278"/>
      <c r="J231" s="278"/>
      <c r="K231" s="278"/>
      <c r="L231" s="278"/>
      <c r="M231" s="278"/>
      <c r="N231" s="149"/>
      <c r="O231" s="149"/>
      <c r="P231" s="278"/>
      <c r="Q231" s="278"/>
      <c r="R231" s="278"/>
      <c r="S231" s="278"/>
      <c r="T231" s="149"/>
      <c r="U231" s="202">
        <f>Input!B296</f>
        <v>0</v>
      </c>
      <c r="V231" s="448">
        <f>Input!F296</f>
        <v>0</v>
      </c>
      <c r="W231" s="399">
        <f>Input!U296</f>
        <v>0</v>
      </c>
      <c r="X231" s="303">
        <f>Input!H296</f>
        <v>0</v>
      </c>
      <c r="Y231" s="448">
        <f>Input!I296</f>
        <v>0</v>
      </c>
      <c r="Z231" s="399">
        <f>Input!V296</f>
        <v>0</v>
      </c>
      <c r="AA231" s="149"/>
      <c r="AB231" s="149"/>
      <c r="AC231" s="149"/>
      <c r="AD231" s="149"/>
      <c r="AE231" s="149"/>
      <c r="AF231" s="149"/>
      <c r="AG231" s="149"/>
      <c r="AH231" s="149"/>
      <c r="AI231" s="149"/>
      <c r="AJ231" s="149"/>
      <c r="AK231" s="149"/>
      <c r="AL231" s="149"/>
      <c r="AM231" s="149"/>
      <c r="AN231" s="149"/>
      <c r="AO231" s="149"/>
      <c r="AP231" s="149"/>
    </row>
    <row r="232" spans="1:42" x14ac:dyDescent="0.2">
      <c r="A232" s="278"/>
      <c r="B232" s="278"/>
      <c r="C232" s="278"/>
      <c r="D232" s="278"/>
      <c r="E232" s="278"/>
      <c r="F232" s="278"/>
      <c r="G232" s="278"/>
      <c r="H232" s="278"/>
      <c r="I232" s="278"/>
      <c r="J232" s="278"/>
      <c r="K232" s="278"/>
      <c r="L232" s="278"/>
      <c r="M232" s="278"/>
      <c r="N232" s="149"/>
      <c r="O232" s="149"/>
      <c r="P232" s="278"/>
      <c r="Q232" s="278"/>
      <c r="R232" s="278"/>
      <c r="S232" s="278"/>
      <c r="T232" s="149"/>
      <c r="U232" s="202">
        <f>Input!B297</f>
        <v>0</v>
      </c>
      <c r="V232" s="448">
        <f>Input!F297</f>
        <v>0</v>
      </c>
      <c r="W232" s="399">
        <f>Input!U297</f>
        <v>0</v>
      </c>
      <c r="X232" s="303">
        <f>Input!H297</f>
        <v>0</v>
      </c>
      <c r="Y232" s="448">
        <f>Input!I297</f>
        <v>0</v>
      </c>
      <c r="Z232" s="399">
        <f>Input!V297</f>
        <v>0</v>
      </c>
      <c r="AA232" s="149"/>
      <c r="AB232" s="149"/>
      <c r="AC232" s="149"/>
      <c r="AD232" s="149"/>
      <c r="AE232" s="149"/>
      <c r="AF232" s="149"/>
      <c r="AG232" s="149"/>
      <c r="AH232" s="149"/>
      <c r="AI232" s="149"/>
      <c r="AJ232" s="149"/>
      <c r="AK232" s="149"/>
      <c r="AL232" s="149"/>
      <c r="AM232" s="149"/>
      <c r="AN232" s="149"/>
      <c r="AO232" s="149"/>
      <c r="AP232" s="149"/>
    </row>
    <row r="233" spans="1:42" x14ac:dyDescent="0.2">
      <c r="A233" s="278"/>
      <c r="B233" s="278"/>
      <c r="C233" s="278"/>
      <c r="D233" s="278"/>
      <c r="E233" s="278"/>
      <c r="F233" s="278"/>
      <c r="G233" s="278"/>
      <c r="H233" s="278"/>
      <c r="I233" s="278"/>
      <c r="J233" s="278"/>
      <c r="K233" s="278"/>
      <c r="L233" s="278"/>
      <c r="M233" s="278"/>
      <c r="N233" s="149"/>
      <c r="O233" s="149"/>
      <c r="P233" s="278"/>
      <c r="Q233" s="278"/>
      <c r="R233" s="278"/>
      <c r="S233" s="278"/>
      <c r="T233" s="149"/>
      <c r="U233" s="202">
        <f>Input!B298</f>
        <v>0</v>
      </c>
      <c r="V233" s="448">
        <f>Input!F298</f>
        <v>0</v>
      </c>
      <c r="W233" s="399">
        <f>Input!U298</f>
        <v>0</v>
      </c>
      <c r="X233" s="303">
        <f>Input!H298</f>
        <v>0</v>
      </c>
      <c r="Y233" s="448">
        <f>Input!I298</f>
        <v>0</v>
      </c>
      <c r="Z233" s="399">
        <f>Input!V298</f>
        <v>0</v>
      </c>
      <c r="AA233" s="149"/>
      <c r="AB233" s="149"/>
      <c r="AC233" s="149"/>
      <c r="AD233" s="149"/>
      <c r="AE233" s="149"/>
      <c r="AF233" s="149"/>
      <c r="AG233" s="149"/>
      <c r="AH233" s="149"/>
      <c r="AI233" s="149"/>
      <c r="AJ233" s="149"/>
      <c r="AK233" s="149"/>
      <c r="AL233" s="149"/>
      <c r="AM233" s="149"/>
      <c r="AN233" s="149"/>
      <c r="AO233" s="149"/>
      <c r="AP233" s="149"/>
    </row>
    <row r="234" spans="1:42" x14ac:dyDescent="0.2">
      <c r="A234" s="278"/>
      <c r="B234" s="278"/>
      <c r="C234" s="278"/>
      <c r="D234" s="278"/>
      <c r="E234" s="278"/>
      <c r="F234" s="278"/>
      <c r="G234" s="278"/>
      <c r="H234" s="278"/>
      <c r="I234" s="278"/>
      <c r="J234" s="278"/>
      <c r="K234" s="278"/>
      <c r="L234" s="278"/>
      <c r="M234" s="278"/>
      <c r="N234" s="149"/>
      <c r="O234" s="149"/>
      <c r="P234" s="278"/>
      <c r="Q234" s="278"/>
      <c r="R234" s="278"/>
      <c r="S234" s="278"/>
      <c r="T234" s="149"/>
      <c r="U234" s="202">
        <f>Input!B299</f>
        <v>0</v>
      </c>
      <c r="V234" s="448">
        <f>Input!F299</f>
        <v>0</v>
      </c>
      <c r="W234" s="399">
        <f>Input!U299</f>
        <v>0</v>
      </c>
      <c r="X234" s="303">
        <f>Input!H299</f>
        <v>0</v>
      </c>
      <c r="Y234" s="448">
        <f>Input!I299</f>
        <v>0</v>
      </c>
      <c r="Z234" s="399">
        <f>Input!V299</f>
        <v>0</v>
      </c>
      <c r="AA234" s="149"/>
      <c r="AB234" s="149"/>
      <c r="AC234" s="149"/>
      <c r="AD234" s="149"/>
      <c r="AE234" s="149"/>
      <c r="AF234" s="149"/>
      <c r="AG234" s="149"/>
      <c r="AH234" s="149"/>
      <c r="AI234" s="149"/>
      <c r="AJ234" s="149"/>
      <c r="AK234" s="149"/>
      <c r="AL234" s="149"/>
      <c r="AM234" s="149"/>
      <c r="AN234" s="149"/>
      <c r="AO234" s="149"/>
      <c r="AP234" s="149"/>
    </row>
    <row r="235" spans="1:42" x14ac:dyDescent="0.2">
      <c r="A235" s="278"/>
      <c r="B235" s="278"/>
      <c r="C235" s="278"/>
      <c r="D235" s="278"/>
      <c r="E235" s="278"/>
      <c r="F235" s="278"/>
      <c r="G235" s="278"/>
      <c r="H235" s="278"/>
      <c r="I235" s="278"/>
      <c r="J235" s="278"/>
      <c r="K235" s="278"/>
      <c r="L235" s="278"/>
      <c r="M235" s="278"/>
      <c r="N235" s="149"/>
      <c r="O235" s="149"/>
      <c r="P235" s="278"/>
      <c r="Q235" s="278"/>
      <c r="R235" s="278"/>
      <c r="S235" s="278"/>
      <c r="T235" s="149"/>
      <c r="U235" s="202">
        <f>Input!B300</f>
        <v>0</v>
      </c>
      <c r="V235" s="448">
        <f>Input!F300</f>
        <v>0</v>
      </c>
      <c r="W235" s="399">
        <f>Input!U300</f>
        <v>0</v>
      </c>
      <c r="X235" s="303">
        <f>Input!H300</f>
        <v>0</v>
      </c>
      <c r="Y235" s="448">
        <f>Input!I300</f>
        <v>0</v>
      </c>
      <c r="Z235" s="399">
        <f>Input!V300</f>
        <v>0</v>
      </c>
      <c r="AA235" s="149"/>
      <c r="AB235" s="149"/>
      <c r="AC235" s="149"/>
      <c r="AD235" s="149"/>
      <c r="AE235" s="149"/>
      <c r="AF235" s="149"/>
      <c r="AG235" s="149"/>
      <c r="AH235" s="149"/>
      <c r="AI235" s="149"/>
      <c r="AJ235" s="149"/>
      <c r="AK235" s="149"/>
      <c r="AL235" s="149"/>
      <c r="AM235" s="149"/>
      <c r="AN235" s="149"/>
      <c r="AO235" s="149"/>
      <c r="AP235" s="149"/>
    </row>
    <row r="236" spans="1:42" x14ac:dyDescent="0.2">
      <c r="A236" s="278"/>
      <c r="B236" s="278"/>
      <c r="C236" s="278"/>
      <c r="D236" s="278"/>
      <c r="E236" s="278"/>
      <c r="F236" s="278"/>
      <c r="G236" s="278"/>
      <c r="H236" s="278"/>
      <c r="I236" s="278"/>
      <c r="J236" s="278"/>
      <c r="K236" s="278"/>
      <c r="L236" s="278"/>
      <c r="M236" s="278"/>
      <c r="N236" s="149"/>
      <c r="O236" s="149"/>
      <c r="P236" s="278"/>
      <c r="Q236" s="278"/>
      <c r="R236" s="278"/>
      <c r="S236" s="278"/>
      <c r="T236" s="149"/>
      <c r="U236" s="202">
        <f>Input!B301</f>
        <v>0</v>
      </c>
      <c r="V236" s="448">
        <f>Input!F301</f>
        <v>0</v>
      </c>
      <c r="W236" s="399">
        <f>Input!U301</f>
        <v>0</v>
      </c>
      <c r="X236" s="303">
        <f>Input!H301</f>
        <v>0</v>
      </c>
      <c r="Y236" s="448">
        <f>Input!I301</f>
        <v>0</v>
      </c>
      <c r="Z236" s="399">
        <f>Input!V301</f>
        <v>0</v>
      </c>
      <c r="AA236" s="149"/>
      <c r="AB236" s="149"/>
      <c r="AC236" s="149"/>
      <c r="AD236" s="149"/>
      <c r="AE236" s="149"/>
      <c r="AF236" s="149"/>
      <c r="AG236" s="149"/>
      <c r="AH236" s="149"/>
      <c r="AI236" s="149"/>
      <c r="AJ236" s="149"/>
      <c r="AK236" s="149"/>
      <c r="AL236" s="149"/>
      <c r="AM236" s="149"/>
      <c r="AN236" s="149"/>
      <c r="AO236" s="149"/>
      <c r="AP236" s="149"/>
    </row>
    <row r="237" spans="1:42" x14ac:dyDescent="0.2">
      <c r="A237" s="278"/>
      <c r="B237" s="278"/>
      <c r="C237" s="278"/>
      <c r="D237" s="278"/>
      <c r="E237" s="278"/>
      <c r="F237" s="278"/>
      <c r="G237" s="278"/>
      <c r="H237" s="278"/>
      <c r="I237" s="278"/>
      <c r="J237" s="278"/>
      <c r="K237" s="278"/>
      <c r="L237" s="278"/>
      <c r="M237" s="278"/>
      <c r="N237" s="149"/>
      <c r="O237" s="149"/>
      <c r="P237" s="278"/>
      <c r="Q237" s="278"/>
      <c r="R237" s="278"/>
      <c r="S237" s="278"/>
      <c r="T237" s="149"/>
      <c r="U237" s="202">
        <f>Input!B302</f>
        <v>0</v>
      </c>
      <c r="V237" s="448">
        <f>Input!F302</f>
        <v>0</v>
      </c>
      <c r="W237" s="399">
        <f>Input!U302</f>
        <v>0</v>
      </c>
      <c r="X237" s="303">
        <f>Input!H302</f>
        <v>0</v>
      </c>
      <c r="Y237" s="448">
        <f>Input!I302</f>
        <v>0</v>
      </c>
      <c r="Z237" s="399">
        <f>Input!V302</f>
        <v>0</v>
      </c>
      <c r="AA237" s="149"/>
      <c r="AB237" s="149"/>
      <c r="AC237" s="149"/>
      <c r="AD237" s="149"/>
      <c r="AE237" s="149"/>
      <c r="AF237" s="149"/>
      <c r="AG237" s="149"/>
      <c r="AH237" s="149"/>
      <c r="AI237" s="149"/>
      <c r="AJ237" s="149"/>
      <c r="AK237" s="149"/>
      <c r="AL237" s="149"/>
      <c r="AM237" s="149"/>
      <c r="AN237" s="149"/>
      <c r="AO237" s="149"/>
      <c r="AP237" s="149"/>
    </row>
    <row r="238" spans="1:42" x14ac:dyDescent="0.2">
      <c r="A238" s="278"/>
      <c r="B238" s="278"/>
      <c r="C238" s="278"/>
      <c r="D238" s="278"/>
      <c r="E238" s="278"/>
      <c r="F238" s="278"/>
      <c r="G238" s="278"/>
      <c r="H238" s="278"/>
      <c r="I238" s="278"/>
      <c r="J238" s="278"/>
      <c r="K238" s="278"/>
      <c r="L238" s="278"/>
      <c r="M238" s="278"/>
      <c r="N238" s="149"/>
      <c r="O238" s="149"/>
      <c r="P238" s="278"/>
      <c r="Q238" s="278"/>
      <c r="R238" s="278"/>
      <c r="S238" s="278"/>
      <c r="T238" s="149"/>
      <c r="U238" s="202">
        <f>Input!B303</f>
        <v>0</v>
      </c>
      <c r="V238" s="448">
        <f>Input!F303</f>
        <v>0</v>
      </c>
      <c r="W238" s="399">
        <f>Input!U303</f>
        <v>0</v>
      </c>
      <c r="X238" s="303">
        <f>Input!H303</f>
        <v>0</v>
      </c>
      <c r="Y238" s="448">
        <f>Input!I303</f>
        <v>0</v>
      </c>
      <c r="Z238" s="399">
        <f>Input!V303</f>
        <v>0</v>
      </c>
      <c r="AA238" s="149"/>
      <c r="AB238" s="149"/>
      <c r="AC238" s="149"/>
      <c r="AD238" s="149"/>
      <c r="AE238" s="149"/>
      <c r="AF238" s="149"/>
      <c r="AG238" s="149"/>
      <c r="AH238" s="149"/>
      <c r="AI238" s="149"/>
      <c r="AJ238" s="149"/>
      <c r="AK238" s="149"/>
      <c r="AL238" s="149"/>
      <c r="AM238" s="149"/>
      <c r="AN238" s="149"/>
      <c r="AO238" s="149"/>
      <c r="AP238" s="149"/>
    </row>
    <row r="239" spans="1:42" x14ac:dyDescent="0.2">
      <c r="A239" s="278"/>
      <c r="B239" s="278"/>
      <c r="C239" s="278"/>
      <c r="D239" s="278"/>
      <c r="E239" s="278"/>
      <c r="F239" s="278"/>
      <c r="G239" s="278"/>
      <c r="H239" s="278"/>
      <c r="I239" s="278"/>
      <c r="J239" s="278"/>
      <c r="K239" s="278"/>
      <c r="L239" s="278"/>
      <c r="M239" s="278"/>
      <c r="N239" s="149"/>
      <c r="O239" s="149"/>
      <c r="P239" s="278"/>
      <c r="Q239" s="278"/>
      <c r="R239" s="278"/>
      <c r="S239" s="278"/>
      <c r="T239" s="149"/>
      <c r="U239" s="202">
        <f>Input!B304</f>
        <v>0</v>
      </c>
      <c r="V239" s="448">
        <f>Input!F304</f>
        <v>0</v>
      </c>
      <c r="W239" s="399">
        <f>Input!U304</f>
        <v>0</v>
      </c>
      <c r="X239" s="303">
        <f>Input!H304</f>
        <v>0</v>
      </c>
      <c r="Y239" s="448">
        <f>Input!I304</f>
        <v>0</v>
      </c>
      <c r="Z239" s="399">
        <f>Input!V304</f>
        <v>0</v>
      </c>
      <c r="AA239" s="149"/>
      <c r="AB239" s="149"/>
      <c r="AC239" s="149"/>
      <c r="AD239" s="149"/>
      <c r="AE239" s="149"/>
      <c r="AF239" s="149"/>
      <c r="AG239" s="149"/>
      <c r="AH239" s="149"/>
      <c r="AI239" s="149"/>
      <c r="AJ239" s="149"/>
      <c r="AK239" s="149"/>
      <c r="AL239" s="149"/>
      <c r="AM239" s="149"/>
      <c r="AN239" s="149"/>
      <c r="AO239" s="149"/>
      <c r="AP239" s="149"/>
    </row>
    <row r="240" spans="1:42" x14ac:dyDescent="0.2">
      <c r="A240" s="278"/>
      <c r="B240" s="278"/>
      <c r="C240" s="278"/>
      <c r="D240" s="278"/>
      <c r="E240" s="278"/>
      <c r="F240" s="278"/>
      <c r="G240" s="278"/>
      <c r="H240" s="278"/>
      <c r="I240" s="278"/>
      <c r="J240" s="278"/>
      <c r="K240" s="278"/>
      <c r="L240" s="278"/>
      <c r="M240" s="278"/>
      <c r="N240" s="149"/>
      <c r="O240" s="149"/>
      <c r="P240" s="278"/>
      <c r="Q240" s="278"/>
      <c r="R240" s="278"/>
      <c r="S240" s="278"/>
      <c r="T240" s="149"/>
      <c r="U240" s="202">
        <f>Input!B305</f>
        <v>0</v>
      </c>
      <c r="V240" s="448">
        <f>Input!F305</f>
        <v>0</v>
      </c>
      <c r="W240" s="399">
        <f>Input!U305</f>
        <v>0</v>
      </c>
      <c r="X240" s="303">
        <f>Input!H305</f>
        <v>0</v>
      </c>
      <c r="Y240" s="448">
        <f>Input!I305</f>
        <v>0</v>
      </c>
      <c r="Z240" s="399">
        <f>Input!V305</f>
        <v>0</v>
      </c>
      <c r="AA240" s="149"/>
      <c r="AB240" s="149"/>
      <c r="AC240" s="149"/>
      <c r="AD240" s="149"/>
      <c r="AE240" s="149"/>
      <c r="AF240" s="149"/>
      <c r="AG240" s="149"/>
      <c r="AH240" s="149"/>
      <c r="AI240" s="149"/>
      <c r="AJ240" s="149"/>
      <c r="AK240" s="149"/>
      <c r="AL240" s="149"/>
      <c r="AM240" s="149"/>
      <c r="AN240" s="149"/>
      <c r="AO240" s="149"/>
      <c r="AP240" s="149"/>
    </row>
    <row r="241" spans="1:42" x14ac:dyDescent="0.2">
      <c r="A241" s="278"/>
      <c r="B241" s="278"/>
      <c r="C241" s="278"/>
      <c r="D241" s="278"/>
      <c r="E241" s="278"/>
      <c r="F241" s="278"/>
      <c r="G241" s="278"/>
      <c r="H241" s="278"/>
      <c r="I241" s="278"/>
      <c r="J241" s="278"/>
      <c r="K241" s="278"/>
      <c r="L241" s="278"/>
      <c r="M241" s="278"/>
      <c r="N241" s="149"/>
      <c r="O241" s="149"/>
      <c r="P241" s="278"/>
      <c r="Q241" s="278"/>
      <c r="R241" s="278"/>
      <c r="S241" s="278"/>
      <c r="T241" s="149"/>
      <c r="U241" s="202">
        <f>Input!B306</f>
        <v>0</v>
      </c>
      <c r="V241" s="448">
        <f>Input!F306</f>
        <v>0</v>
      </c>
      <c r="W241" s="399">
        <f>Input!U306</f>
        <v>0</v>
      </c>
      <c r="X241" s="303">
        <f>Input!H306</f>
        <v>0</v>
      </c>
      <c r="Y241" s="448">
        <f>Input!I306</f>
        <v>0</v>
      </c>
      <c r="Z241" s="399">
        <f>Input!V306</f>
        <v>0</v>
      </c>
      <c r="AA241" s="149"/>
      <c r="AB241" s="149"/>
      <c r="AC241" s="149"/>
      <c r="AD241" s="149"/>
      <c r="AE241" s="149"/>
      <c r="AF241" s="149"/>
      <c r="AG241" s="149"/>
      <c r="AH241" s="149"/>
      <c r="AI241" s="149"/>
      <c r="AJ241" s="149"/>
      <c r="AK241" s="149"/>
      <c r="AL241" s="149"/>
      <c r="AM241" s="149"/>
      <c r="AN241" s="149"/>
      <c r="AO241" s="149"/>
      <c r="AP241" s="149"/>
    </row>
    <row r="242" spans="1:42" x14ac:dyDescent="0.2">
      <c r="A242" s="278"/>
      <c r="B242" s="278"/>
      <c r="C242" s="278"/>
      <c r="D242" s="278"/>
      <c r="E242" s="278"/>
      <c r="F242" s="278"/>
      <c r="G242" s="278"/>
      <c r="H242" s="278"/>
      <c r="I242" s="278"/>
      <c r="J242" s="278"/>
      <c r="K242" s="278"/>
      <c r="L242" s="278"/>
      <c r="M242" s="278"/>
      <c r="N242" s="149"/>
      <c r="O242" s="149"/>
      <c r="P242" s="278"/>
      <c r="Q242" s="278"/>
      <c r="R242" s="278"/>
      <c r="S242" s="278"/>
      <c r="T242" s="149"/>
      <c r="U242" s="202">
        <f>Input!B307</f>
        <v>0</v>
      </c>
      <c r="V242" s="448">
        <f>Input!F307</f>
        <v>0</v>
      </c>
      <c r="W242" s="399">
        <f>Input!U307</f>
        <v>0</v>
      </c>
      <c r="X242" s="303">
        <f>Input!H307</f>
        <v>0</v>
      </c>
      <c r="Y242" s="448">
        <f>Input!I307</f>
        <v>0</v>
      </c>
      <c r="Z242" s="399">
        <f>Input!V307</f>
        <v>0</v>
      </c>
      <c r="AA242" s="149"/>
      <c r="AB242" s="149"/>
      <c r="AC242" s="149"/>
      <c r="AD242" s="149"/>
      <c r="AE242" s="149"/>
      <c r="AF242" s="149"/>
      <c r="AG242" s="149"/>
      <c r="AH242" s="149"/>
      <c r="AI242" s="149"/>
      <c r="AJ242" s="149"/>
      <c r="AK242" s="149"/>
      <c r="AL242" s="149"/>
      <c r="AM242" s="149"/>
      <c r="AN242" s="149"/>
      <c r="AO242" s="149"/>
      <c r="AP242" s="149"/>
    </row>
    <row r="243" spans="1:42" x14ac:dyDescent="0.2">
      <c r="A243" s="278"/>
      <c r="B243" s="278"/>
      <c r="C243" s="278"/>
      <c r="D243" s="278"/>
      <c r="E243" s="278"/>
      <c r="F243" s="278"/>
      <c r="G243" s="278"/>
      <c r="H243" s="278"/>
      <c r="I243" s="278"/>
      <c r="J243" s="278"/>
      <c r="K243" s="278"/>
      <c r="L243" s="278"/>
      <c r="M243" s="278"/>
      <c r="N243" s="149"/>
      <c r="O243" s="149"/>
      <c r="P243" s="278"/>
      <c r="Q243" s="278"/>
      <c r="R243" s="278"/>
      <c r="S243" s="278"/>
      <c r="T243" s="149"/>
      <c r="U243" s="202">
        <f>Input!B308</f>
        <v>0</v>
      </c>
      <c r="V243" s="448">
        <f>Input!F308</f>
        <v>0</v>
      </c>
      <c r="W243" s="399">
        <f>Input!U308</f>
        <v>0</v>
      </c>
      <c r="X243" s="303">
        <f>Input!H308</f>
        <v>0</v>
      </c>
      <c r="Y243" s="448">
        <f>Input!I308</f>
        <v>0</v>
      </c>
      <c r="Z243" s="399">
        <f>Input!V308</f>
        <v>0</v>
      </c>
      <c r="AA243" s="149"/>
      <c r="AB243" s="149"/>
      <c r="AC243" s="149"/>
      <c r="AD243" s="149"/>
      <c r="AE243" s="149"/>
      <c r="AF243" s="149"/>
      <c r="AG243" s="149"/>
      <c r="AH243" s="149"/>
      <c r="AI243" s="149"/>
      <c r="AJ243" s="149"/>
      <c r="AK243" s="149"/>
      <c r="AL243" s="149"/>
      <c r="AM243" s="149"/>
      <c r="AN243" s="149"/>
      <c r="AO243" s="149"/>
      <c r="AP243" s="149"/>
    </row>
    <row r="244" spans="1:42" x14ac:dyDescent="0.2">
      <c r="A244" s="278"/>
      <c r="B244" s="278"/>
      <c r="C244" s="278"/>
      <c r="D244" s="278"/>
      <c r="E244" s="278"/>
      <c r="F244" s="278"/>
      <c r="G244" s="278"/>
      <c r="H244" s="278"/>
      <c r="I244" s="278"/>
      <c r="J244" s="278"/>
      <c r="K244" s="278"/>
      <c r="L244" s="278"/>
      <c r="M244" s="278"/>
      <c r="N244" s="149"/>
      <c r="O244" s="149"/>
      <c r="P244" s="278"/>
      <c r="Q244" s="278"/>
      <c r="R244" s="278"/>
      <c r="S244" s="278"/>
      <c r="T244" s="149"/>
      <c r="U244" s="202">
        <f>Input!B309</f>
        <v>0</v>
      </c>
      <c r="V244" s="448">
        <f>Input!F309</f>
        <v>0</v>
      </c>
      <c r="W244" s="399">
        <f>Input!U309</f>
        <v>0</v>
      </c>
      <c r="X244" s="303">
        <f>Input!H309</f>
        <v>0</v>
      </c>
      <c r="Y244" s="448">
        <f>Input!I309</f>
        <v>0</v>
      </c>
      <c r="Z244" s="399">
        <f>Input!V309</f>
        <v>0</v>
      </c>
      <c r="AA244" s="149"/>
      <c r="AB244" s="149"/>
      <c r="AC244" s="149"/>
      <c r="AD244" s="149"/>
      <c r="AE244" s="149"/>
      <c r="AF244" s="149"/>
      <c r="AG244" s="149"/>
      <c r="AH244" s="149"/>
      <c r="AI244" s="149"/>
      <c r="AJ244" s="149"/>
      <c r="AK244" s="149"/>
      <c r="AL244" s="149"/>
      <c r="AM244" s="149"/>
      <c r="AN244" s="149"/>
      <c r="AO244" s="149"/>
      <c r="AP244" s="149"/>
    </row>
    <row r="245" spans="1:42" x14ac:dyDescent="0.2">
      <c r="A245" s="278"/>
      <c r="B245" s="278"/>
      <c r="C245" s="278"/>
      <c r="D245" s="278"/>
      <c r="E245" s="278"/>
      <c r="F245" s="278"/>
      <c r="G245" s="278"/>
      <c r="H245" s="278"/>
      <c r="I245" s="278"/>
      <c r="J245" s="278"/>
      <c r="K245" s="278"/>
      <c r="L245" s="278"/>
      <c r="M245" s="278"/>
      <c r="N245" s="149"/>
      <c r="O245" s="149"/>
      <c r="P245" s="278"/>
      <c r="Q245" s="278"/>
      <c r="R245" s="278"/>
      <c r="S245" s="278"/>
      <c r="T245" s="149"/>
      <c r="U245" s="202">
        <f>Input!B310</f>
        <v>0</v>
      </c>
      <c r="V245" s="448">
        <f>Input!F310</f>
        <v>0</v>
      </c>
      <c r="W245" s="399">
        <f>Input!U310</f>
        <v>0</v>
      </c>
      <c r="X245" s="303">
        <f>Input!H310</f>
        <v>0</v>
      </c>
      <c r="Y245" s="448">
        <f>Input!I310</f>
        <v>0</v>
      </c>
      <c r="Z245" s="399">
        <f>Input!V310</f>
        <v>0</v>
      </c>
      <c r="AA245" s="149"/>
      <c r="AB245" s="149"/>
      <c r="AC245" s="149"/>
      <c r="AD245" s="149"/>
      <c r="AE245" s="149"/>
      <c r="AF245" s="149"/>
      <c r="AG245" s="149"/>
      <c r="AH245" s="149"/>
      <c r="AI245" s="149"/>
      <c r="AJ245" s="149"/>
      <c r="AK245" s="149"/>
      <c r="AL245" s="149"/>
      <c r="AM245" s="149"/>
      <c r="AN245" s="149"/>
      <c r="AO245" s="149"/>
      <c r="AP245" s="149"/>
    </row>
    <row r="246" spans="1:42" x14ac:dyDescent="0.2">
      <c r="A246" s="278"/>
      <c r="B246" s="278"/>
      <c r="C246" s="278"/>
      <c r="D246" s="278"/>
      <c r="E246" s="278"/>
      <c r="F246" s="278"/>
      <c r="G246" s="278"/>
      <c r="H246" s="278"/>
      <c r="I246" s="278"/>
      <c r="J246" s="278"/>
      <c r="K246" s="278"/>
      <c r="L246" s="278"/>
      <c r="M246" s="278"/>
      <c r="N246" s="149"/>
      <c r="O246" s="149"/>
      <c r="P246" s="278"/>
      <c r="Q246" s="278"/>
      <c r="R246" s="278"/>
      <c r="S246" s="278"/>
      <c r="T246" s="149"/>
      <c r="U246" s="202">
        <f>Input!B311</f>
        <v>0</v>
      </c>
      <c r="V246" s="448">
        <f>Input!F311</f>
        <v>0</v>
      </c>
      <c r="W246" s="399">
        <f>Input!U311</f>
        <v>0</v>
      </c>
      <c r="X246" s="303">
        <f>Input!H311</f>
        <v>0</v>
      </c>
      <c r="Y246" s="448">
        <f>Input!I311</f>
        <v>0</v>
      </c>
      <c r="Z246" s="399">
        <f>Input!V311</f>
        <v>0</v>
      </c>
      <c r="AA246" s="149"/>
      <c r="AB246" s="149"/>
      <c r="AC246" s="149"/>
      <c r="AD246" s="149"/>
      <c r="AE246" s="149"/>
      <c r="AF246" s="149"/>
      <c r="AG246" s="149"/>
      <c r="AH246" s="149"/>
      <c r="AI246" s="149"/>
      <c r="AJ246" s="149"/>
      <c r="AK246" s="149"/>
      <c r="AL246" s="149"/>
      <c r="AM246" s="149"/>
      <c r="AN246" s="149"/>
      <c r="AO246" s="149"/>
      <c r="AP246" s="149"/>
    </row>
    <row r="247" spans="1:42" x14ac:dyDescent="0.2">
      <c r="A247" s="278"/>
      <c r="B247" s="278"/>
      <c r="C247" s="278"/>
      <c r="D247" s="278"/>
      <c r="E247" s="278"/>
      <c r="F247" s="278"/>
      <c r="G247" s="278"/>
      <c r="H247" s="278"/>
      <c r="I247" s="278"/>
      <c r="J247" s="278"/>
      <c r="K247" s="278"/>
      <c r="L247" s="278"/>
      <c r="M247" s="278"/>
      <c r="N247" s="149"/>
      <c r="O247" s="149"/>
      <c r="P247" s="278"/>
      <c r="Q247" s="278"/>
      <c r="R247" s="278"/>
      <c r="S247" s="278"/>
      <c r="T247" s="149"/>
      <c r="U247" s="202">
        <f>Input!B312</f>
        <v>0</v>
      </c>
      <c r="V247" s="448">
        <f>Input!F312</f>
        <v>0</v>
      </c>
      <c r="W247" s="399">
        <f>Input!U312</f>
        <v>0</v>
      </c>
      <c r="X247" s="303">
        <f>Input!H312</f>
        <v>0</v>
      </c>
      <c r="Y247" s="448">
        <f>Input!I312</f>
        <v>0</v>
      </c>
      <c r="Z247" s="399">
        <f>Input!V312</f>
        <v>0</v>
      </c>
      <c r="AA247" s="149"/>
      <c r="AB247" s="149"/>
      <c r="AC247" s="149"/>
      <c r="AD247" s="149"/>
      <c r="AE247" s="149"/>
      <c r="AF247" s="149"/>
      <c r="AG247" s="149"/>
      <c r="AH247" s="149"/>
      <c r="AI247" s="149"/>
      <c r="AJ247" s="149"/>
      <c r="AK247" s="149"/>
      <c r="AL247" s="149"/>
      <c r="AM247" s="149"/>
      <c r="AN247" s="149"/>
      <c r="AO247" s="149"/>
      <c r="AP247" s="149"/>
    </row>
    <row r="248" spans="1:42" x14ac:dyDescent="0.2">
      <c r="A248" s="278"/>
      <c r="B248" s="278"/>
      <c r="C248" s="278"/>
      <c r="D248" s="278"/>
      <c r="E248" s="278"/>
      <c r="F248" s="278"/>
      <c r="G248" s="278"/>
      <c r="H248" s="278"/>
      <c r="I248" s="278"/>
      <c r="J248" s="278"/>
      <c r="K248" s="278"/>
      <c r="L248" s="278"/>
      <c r="M248" s="278"/>
      <c r="N248" s="149"/>
      <c r="O248" s="149"/>
      <c r="P248" s="278"/>
      <c r="Q248" s="278"/>
      <c r="R248" s="278"/>
      <c r="S248" s="278"/>
      <c r="T248" s="149"/>
      <c r="U248" s="202">
        <f>Input!B313</f>
        <v>0</v>
      </c>
      <c r="V248" s="448">
        <f>Input!F313</f>
        <v>0</v>
      </c>
      <c r="W248" s="399">
        <f>Input!U313</f>
        <v>0</v>
      </c>
      <c r="X248" s="303">
        <f>Input!H313</f>
        <v>0</v>
      </c>
      <c r="Y248" s="448">
        <f>Input!I313</f>
        <v>0</v>
      </c>
      <c r="Z248" s="399">
        <f>Input!V313</f>
        <v>0</v>
      </c>
      <c r="AA248" s="149"/>
      <c r="AB248" s="149"/>
      <c r="AC248" s="149"/>
      <c r="AD248" s="149"/>
      <c r="AE248" s="149"/>
      <c r="AF248" s="149"/>
      <c r="AG248" s="149"/>
      <c r="AH248" s="149"/>
      <c r="AI248" s="149"/>
      <c r="AJ248" s="149"/>
      <c r="AK248" s="149"/>
      <c r="AL248" s="149"/>
      <c r="AM248" s="149"/>
      <c r="AN248" s="149"/>
      <c r="AO248" s="149"/>
      <c r="AP248" s="149"/>
    </row>
    <row r="249" spans="1:42" x14ac:dyDescent="0.2">
      <c r="A249" s="278"/>
      <c r="B249" s="278"/>
      <c r="C249" s="278"/>
      <c r="D249" s="278"/>
      <c r="E249" s="278"/>
      <c r="F249" s="278"/>
      <c r="G249" s="278"/>
      <c r="H249" s="278"/>
      <c r="I249" s="278"/>
      <c r="J249" s="278"/>
      <c r="K249" s="278"/>
      <c r="L249" s="278"/>
      <c r="M249" s="278"/>
      <c r="N249" s="149"/>
      <c r="O249" s="149"/>
      <c r="P249" s="278"/>
      <c r="Q249" s="278"/>
      <c r="R249" s="278"/>
      <c r="S249" s="278"/>
      <c r="T249" s="149"/>
      <c r="U249" s="202">
        <f>Input!B314</f>
        <v>0</v>
      </c>
      <c r="V249" s="448">
        <f>Input!F314</f>
        <v>0</v>
      </c>
      <c r="W249" s="399">
        <f>Input!U314</f>
        <v>0</v>
      </c>
      <c r="X249" s="303">
        <f>Input!H314</f>
        <v>0</v>
      </c>
      <c r="Y249" s="448">
        <f>Input!I314</f>
        <v>0</v>
      </c>
      <c r="Z249" s="399">
        <f>Input!V314</f>
        <v>0</v>
      </c>
      <c r="AA249" s="149"/>
      <c r="AB249" s="149"/>
      <c r="AC249" s="149"/>
      <c r="AD249" s="149"/>
      <c r="AE249" s="149"/>
      <c r="AF249" s="149"/>
      <c r="AG249" s="149"/>
      <c r="AH249" s="149"/>
      <c r="AI249" s="149"/>
      <c r="AJ249" s="149"/>
      <c r="AK249" s="149"/>
      <c r="AL249" s="149"/>
      <c r="AM249" s="149"/>
      <c r="AN249" s="149"/>
      <c r="AO249" s="149"/>
      <c r="AP249" s="149"/>
    </row>
    <row r="250" spans="1:42" x14ac:dyDescent="0.2">
      <c r="A250" s="278"/>
      <c r="B250" s="278"/>
      <c r="C250" s="278"/>
      <c r="D250" s="278"/>
      <c r="E250" s="278"/>
      <c r="F250" s="278"/>
      <c r="G250" s="278"/>
      <c r="H250" s="278"/>
      <c r="I250" s="278"/>
      <c r="J250" s="278"/>
      <c r="K250" s="278"/>
      <c r="L250" s="278"/>
      <c r="M250" s="278"/>
      <c r="N250" s="149"/>
      <c r="O250" s="149"/>
      <c r="P250" s="278"/>
      <c r="Q250" s="278"/>
      <c r="R250" s="278"/>
      <c r="S250" s="278"/>
      <c r="T250" s="149"/>
      <c r="U250" s="202">
        <f>Input!B315</f>
        <v>0</v>
      </c>
      <c r="V250" s="448">
        <f>Input!F315</f>
        <v>0</v>
      </c>
      <c r="W250" s="399">
        <f>Input!U315</f>
        <v>0</v>
      </c>
      <c r="X250" s="303">
        <f>Input!H315</f>
        <v>0</v>
      </c>
      <c r="Y250" s="448">
        <f>Input!I315</f>
        <v>0</v>
      </c>
      <c r="Z250" s="399">
        <f>Input!V315</f>
        <v>0</v>
      </c>
      <c r="AA250" s="149"/>
      <c r="AB250" s="149"/>
      <c r="AC250" s="149"/>
      <c r="AD250" s="149"/>
      <c r="AE250" s="149"/>
      <c r="AF250" s="149"/>
      <c r="AG250" s="149"/>
      <c r="AH250" s="149"/>
      <c r="AI250" s="149"/>
      <c r="AJ250" s="149"/>
      <c r="AK250" s="149"/>
      <c r="AL250" s="149"/>
      <c r="AM250" s="149"/>
      <c r="AN250" s="149"/>
      <c r="AO250" s="149"/>
      <c r="AP250" s="149"/>
    </row>
    <row r="251" spans="1:42" x14ac:dyDescent="0.2">
      <c r="A251" s="278"/>
      <c r="B251" s="278"/>
      <c r="C251" s="278"/>
      <c r="D251" s="278"/>
      <c r="E251" s="278"/>
      <c r="F251" s="278"/>
      <c r="G251" s="278"/>
      <c r="H251" s="278"/>
      <c r="I251" s="278"/>
      <c r="J251" s="278"/>
      <c r="K251" s="278"/>
      <c r="L251" s="278"/>
      <c r="M251" s="278"/>
      <c r="N251" s="149"/>
      <c r="O251" s="149"/>
      <c r="P251" s="278"/>
      <c r="Q251" s="278"/>
      <c r="R251" s="278"/>
      <c r="S251" s="278"/>
      <c r="T251" s="149"/>
      <c r="U251" s="202">
        <f>Input!B316</f>
        <v>0</v>
      </c>
      <c r="V251" s="448">
        <f>Input!F316</f>
        <v>0</v>
      </c>
      <c r="W251" s="399">
        <f>Input!U316</f>
        <v>0</v>
      </c>
      <c r="X251" s="303">
        <f>Input!H316</f>
        <v>0</v>
      </c>
      <c r="Y251" s="448">
        <f>Input!I316</f>
        <v>0</v>
      </c>
      <c r="Z251" s="399">
        <f>Input!V316</f>
        <v>0</v>
      </c>
      <c r="AA251" s="149"/>
      <c r="AB251" s="149"/>
      <c r="AC251" s="149"/>
      <c r="AD251" s="149"/>
      <c r="AE251" s="149"/>
      <c r="AF251" s="149"/>
      <c r="AG251" s="149"/>
      <c r="AH251" s="149"/>
      <c r="AI251" s="149"/>
      <c r="AJ251" s="149"/>
      <c r="AK251" s="149"/>
      <c r="AL251" s="149"/>
      <c r="AM251" s="149"/>
      <c r="AN251" s="149"/>
      <c r="AO251" s="149"/>
      <c r="AP251" s="149"/>
    </row>
    <row r="252" spans="1:42" x14ac:dyDescent="0.2">
      <c r="A252" s="278"/>
      <c r="B252" s="278"/>
      <c r="C252" s="278"/>
      <c r="D252" s="278"/>
      <c r="E252" s="278"/>
      <c r="F252" s="278"/>
      <c r="G252" s="278"/>
      <c r="H252" s="278"/>
      <c r="I252" s="278"/>
      <c r="J252" s="278"/>
      <c r="K252" s="278"/>
      <c r="L252" s="278"/>
      <c r="M252" s="278"/>
      <c r="N252" s="149"/>
      <c r="O252" s="149"/>
      <c r="P252" s="278"/>
      <c r="Q252" s="278"/>
      <c r="R252" s="278"/>
      <c r="S252" s="278"/>
      <c r="T252" s="149"/>
      <c r="U252" s="202">
        <f>Input!B317</f>
        <v>0</v>
      </c>
      <c r="V252" s="448">
        <f>Input!F317</f>
        <v>0</v>
      </c>
      <c r="W252" s="399">
        <f>Input!U317</f>
        <v>0</v>
      </c>
      <c r="X252" s="303">
        <f>Input!H317</f>
        <v>0</v>
      </c>
      <c r="Y252" s="448">
        <f>Input!I317</f>
        <v>0</v>
      </c>
      <c r="Z252" s="399">
        <f>Input!V317</f>
        <v>0</v>
      </c>
      <c r="AA252" s="149"/>
      <c r="AB252" s="149"/>
      <c r="AC252" s="149"/>
      <c r="AD252" s="149"/>
      <c r="AE252" s="149"/>
      <c r="AF252" s="149"/>
      <c r="AG252" s="149"/>
      <c r="AH252" s="149"/>
      <c r="AI252" s="149"/>
      <c r="AJ252" s="149"/>
      <c r="AK252" s="149"/>
      <c r="AL252" s="149"/>
      <c r="AM252" s="149"/>
      <c r="AN252" s="149"/>
      <c r="AO252" s="149"/>
      <c r="AP252" s="149"/>
    </row>
    <row r="253" spans="1:42" x14ac:dyDescent="0.2">
      <c r="A253" s="278"/>
      <c r="B253" s="278"/>
      <c r="C253" s="278"/>
      <c r="D253" s="278"/>
      <c r="E253" s="278"/>
      <c r="F253" s="278"/>
      <c r="G253" s="278"/>
      <c r="H253" s="278"/>
      <c r="I253" s="278"/>
      <c r="J253" s="278"/>
      <c r="K253" s="278"/>
      <c r="L253" s="278"/>
      <c r="M253" s="278"/>
      <c r="N253" s="149"/>
      <c r="O253" s="149"/>
      <c r="P253" s="278"/>
      <c r="Q253" s="278"/>
      <c r="R253" s="278"/>
      <c r="S253" s="278"/>
      <c r="T253" s="149"/>
      <c r="U253" s="202">
        <f>Input!B318</f>
        <v>0</v>
      </c>
      <c r="V253" s="448">
        <f>Input!F318</f>
        <v>0</v>
      </c>
      <c r="W253" s="399">
        <f>Input!U318</f>
        <v>0</v>
      </c>
      <c r="X253" s="303">
        <f>Input!H318</f>
        <v>0</v>
      </c>
      <c r="Y253" s="448">
        <f>Input!I318</f>
        <v>0</v>
      </c>
      <c r="Z253" s="399">
        <f>Input!V318</f>
        <v>0</v>
      </c>
      <c r="AA253" s="149"/>
      <c r="AB253" s="149"/>
      <c r="AC253" s="149"/>
      <c r="AD253" s="149"/>
      <c r="AE253" s="149"/>
      <c r="AF253" s="149"/>
      <c r="AG253" s="149"/>
      <c r="AH253" s="149"/>
      <c r="AI253" s="149"/>
      <c r="AJ253" s="149"/>
      <c r="AK253" s="149"/>
      <c r="AL253" s="149"/>
      <c r="AM253" s="149"/>
      <c r="AN253" s="149"/>
      <c r="AO253" s="149"/>
      <c r="AP253" s="149"/>
    </row>
    <row r="254" spans="1:42" x14ac:dyDescent="0.2">
      <c r="A254" s="278"/>
      <c r="B254" s="278"/>
      <c r="C254" s="278"/>
      <c r="D254" s="278"/>
      <c r="E254" s="278"/>
      <c r="F254" s="278"/>
      <c r="G254" s="278"/>
      <c r="H254" s="278"/>
      <c r="I254" s="278"/>
      <c r="J254" s="278"/>
      <c r="K254" s="278"/>
      <c r="L254" s="278"/>
      <c r="M254" s="278"/>
      <c r="N254" s="149"/>
      <c r="O254" s="149"/>
      <c r="P254" s="278"/>
      <c r="Q254" s="278"/>
      <c r="R254" s="278"/>
      <c r="S254" s="278"/>
      <c r="T254" s="149"/>
      <c r="U254" s="202">
        <f>Input!B319</f>
        <v>0</v>
      </c>
      <c r="V254" s="448">
        <f>Input!F319</f>
        <v>0</v>
      </c>
      <c r="W254" s="399">
        <f>Input!U319</f>
        <v>0</v>
      </c>
      <c r="X254" s="303">
        <f>Input!H319</f>
        <v>0</v>
      </c>
      <c r="Y254" s="448">
        <f>Input!I319</f>
        <v>0</v>
      </c>
      <c r="Z254" s="399">
        <f>Input!V319</f>
        <v>0</v>
      </c>
      <c r="AA254" s="149"/>
      <c r="AB254" s="149"/>
      <c r="AC254" s="149"/>
      <c r="AD254" s="149"/>
      <c r="AE254" s="149"/>
      <c r="AF254" s="149"/>
      <c r="AG254" s="149"/>
      <c r="AH254" s="149"/>
      <c r="AI254" s="149"/>
      <c r="AJ254" s="149"/>
      <c r="AK254" s="149"/>
      <c r="AL254" s="149"/>
      <c r="AM254" s="149"/>
      <c r="AN254" s="149"/>
      <c r="AO254" s="149"/>
      <c r="AP254" s="149"/>
    </row>
    <row r="255" spans="1:42" x14ac:dyDescent="0.2">
      <c r="A255" s="278"/>
      <c r="B255" s="278"/>
      <c r="C255" s="278"/>
      <c r="D255" s="278"/>
      <c r="E255" s="278"/>
      <c r="F255" s="278"/>
      <c r="G255" s="278"/>
      <c r="H255" s="278"/>
      <c r="I255" s="278"/>
      <c r="J255" s="278"/>
      <c r="K255" s="278"/>
      <c r="L255" s="278"/>
      <c r="M255" s="278"/>
      <c r="N255" s="149"/>
      <c r="O255" s="149"/>
      <c r="P255" s="278"/>
      <c r="Q255" s="278"/>
      <c r="R255" s="278"/>
      <c r="S255" s="278"/>
      <c r="T255" s="149"/>
      <c r="U255" s="202">
        <f>Input!B320</f>
        <v>0</v>
      </c>
      <c r="V255" s="448">
        <f>Input!F320</f>
        <v>0</v>
      </c>
      <c r="W255" s="399">
        <f>Input!U320</f>
        <v>0</v>
      </c>
      <c r="X255" s="303">
        <f>Input!H320</f>
        <v>0</v>
      </c>
      <c r="Y255" s="448">
        <f>Input!I320</f>
        <v>0</v>
      </c>
      <c r="Z255" s="399">
        <f>Input!V320</f>
        <v>0</v>
      </c>
      <c r="AA255" s="149"/>
      <c r="AB255" s="149"/>
      <c r="AC255" s="149"/>
      <c r="AD255" s="149"/>
      <c r="AE255" s="149"/>
      <c r="AF255" s="149"/>
      <c r="AG255" s="149"/>
      <c r="AH255" s="149"/>
      <c r="AI255" s="149"/>
      <c r="AJ255" s="149"/>
      <c r="AK255" s="149"/>
      <c r="AL255" s="149"/>
      <c r="AM255" s="149"/>
      <c r="AN255" s="149"/>
      <c r="AO255" s="149"/>
      <c r="AP255" s="149"/>
    </row>
    <row r="256" spans="1:42" x14ac:dyDescent="0.2">
      <c r="A256" s="278"/>
      <c r="B256" s="278"/>
      <c r="C256" s="278"/>
      <c r="D256" s="278"/>
      <c r="E256" s="278"/>
      <c r="F256" s="278"/>
      <c r="G256" s="278"/>
      <c r="H256" s="278"/>
      <c r="I256" s="278"/>
      <c r="J256" s="278"/>
      <c r="K256" s="278"/>
      <c r="L256" s="278"/>
      <c r="M256" s="278"/>
      <c r="N256" s="149"/>
      <c r="O256" s="149"/>
      <c r="P256" s="278"/>
      <c r="Q256" s="278"/>
      <c r="R256" s="278"/>
      <c r="S256" s="278"/>
      <c r="T256" s="149"/>
      <c r="U256" s="202">
        <f>Input!B321</f>
        <v>0</v>
      </c>
      <c r="V256" s="448">
        <f>Input!F321</f>
        <v>0</v>
      </c>
      <c r="W256" s="399">
        <f>Input!U321</f>
        <v>0</v>
      </c>
      <c r="X256" s="303">
        <f>Input!H321</f>
        <v>0</v>
      </c>
      <c r="Y256" s="448">
        <f>Input!I321</f>
        <v>0</v>
      </c>
      <c r="Z256" s="399">
        <f>Input!V321</f>
        <v>0</v>
      </c>
      <c r="AA256" s="149"/>
      <c r="AB256" s="149"/>
      <c r="AC256" s="149"/>
      <c r="AD256" s="149"/>
      <c r="AE256" s="149"/>
      <c r="AF256" s="149"/>
      <c r="AG256" s="149"/>
      <c r="AH256" s="149"/>
      <c r="AI256" s="149"/>
      <c r="AJ256" s="149"/>
      <c r="AK256" s="149"/>
      <c r="AL256" s="149"/>
      <c r="AM256" s="149"/>
      <c r="AN256" s="149"/>
      <c r="AO256" s="149"/>
      <c r="AP256" s="149"/>
    </row>
    <row r="257" spans="1:42" x14ac:dyDescent="0.2">
      <c r="A257" s="278"/>
      <c r="B257" s="278"/>
      <c r="C257" s="278"/>
      <c r="D257" s="278"/>
      <c r="E257" s="278"/>
      <c r="F257" s="278"/>
      <c r="G257" s="278"/>
      <c r="H257" s="278"/>
      <c r="I257" s="278"/>
      <c r="J257" s="278"/>
      <c r="K257" s="278"/>
      <c r="L257" s="278"/>
      <c r="M257" s="278"/>
      <c r="N257" s="149"/>
      <c r="O257" s="149"/>
      <c r="P257" s="278"/>
      <c r="Q257" s="278"/>
      <c r="R257" s="278"/>
      <c r="S257" s="278"/>
      <c r="T257" s="149"/>
      <c r="U257" s="202">
        <f>Input!B322</f>
        <v>0</v>
      </c>
      <c r="V257" s="448">
        <f>Input!F322</f>
        <v>0</v>
      </c>
      <c r="W257" s="399">
        <f>Input!U322</f>
        <v>0</v>
      </c>
      <c r="X257" s="303">
        <f>Input!H322</f>
        <v>0</v>
      </c>
      <c r="Y257" s="448">
        <f>Input!I322</f>
        <v>0</v>
      </c>
      <c r="Z257" s="399">
        <f>Input!V322</f>
        <v>0</v>
      </c>
      <c r="AA257" s="149"/>
      <c r="AB257" s="149"/>
      <c r="AC257" s="149"/>
      <c r="AD257" s="149"/>
      <c r="AE257" s="149"/>
      <c r="AF257" s="149"/>
      <c r="AG257" s="149"/>
      <c r="AH257" s="149"/>
      <c r="AI257" s="149"/>
      <c r="AJ257" s="149"/>
      <c r="AK257" s="149"/>
      <c r="AL257" s="149"/>
      <c r="AM257" s="149"/>
      <c r="AN257" s="149"/>
      <c r="AO257" s="149"/>
      <c r="AP257" s="149"/>
    </row>
    <row r="258" spans="1:42" x14ac:dyDescent="0.2">
      <c r="A258" s="278"/>
      <c r="B258" s="278"/>
      <c r="C258" s="278"/>
      <c r="D258" s="278"/>
      <c r="E258" s="278"/>
      <c r="F258" s="278"/>
      <c r="G258" s="278"/>
      <c r="H258" s="278"/>
      <c r="I258" s="278"/>
      <c r="J258" s="278"/>
      <c r="K258" s="278"/>
      <c r="L258" s="278"/>
      <c r="M258" s="278"/>
      <c r="N258" s="149"/>
      <c r="O258" s="149"/>
      <c r="P258" s="278"/>
      <c r="Q258" s="278"/>
      <c r="R258" s="278"/>
      <c r="S258" s="278"/>
      <c r="T258" s="149"/>
      <c r="U258" s="202">
        <f>Input!B323</f>
        <v>0</v>
      </c>
      <c r="V258" s="448">
        <f>Input!F323</f>
        <v>0</v>
      </c>
      <c r="W258" s="399">
        <f>Input!U323</f>
        <v>0</v>
      </c>
      <c r="X258" s="303">
        <f>Input!H323</f>
        <v>0</v>
      </c>
      <c r="Y258" s="448">
        <f>Input!I323</f>
        <v>0</v>
      </c>
      <c r="Z258" s="399">
        <f>Input!V323</f>
        <v>0</v>
      </c>
      <c r="AA258" s="149"/>
      <c r="AB258" s="149"/>
      <c r="AC258" s="149"/>
      <c r="AD258" s="149"/>
      <c r="AE258" s="149"/>
      <c r="AF258" s="149"/>
      <c r="AG258" s="149"/>
      <c r="AH258" s="149"/>
      <c r="AI258" s="149"/>
      <c r="AJ258" s="149"/>
      <c r="AK258" s="149"/>
      <c r="AL258" s="149"/>
      <c r="AM258" s="149"/>
      <c r="AN258" s="149"/>
      <c r="AO258" s="149"/>
      <c r="AP258" s="149"/>
    </row>
    <row r="259" spans="1:42" x14ac:dyDescent="0.2">
      <c r="A259" s="278"/>
      <c r="B259" s="278"/>
      <c r="C259" s="278"/>
      <c r="D259" s="278"/>
      <c r="E259" s="278"/>
      <c r="F259" s="278"/>
      <c r="G259" s="278"/>
      <c r="H259" s="278"/>
      <c r="I259" s="278"/>
      <c r="J259" s="278"/>
      <c r="K259" s="278"/>
      <c r="L259" s="278"/>
      <c r="M259" s="278"/>
      <c r="N259" s="149"/>
      <c r="O259" s="149"/>
      <c r="P259" s="278"/>
      <c r="Q259" s="278"/>
      <c r="R259" s="278"/>
      <c r="S259" s="278"/>
      <c r="T259" s="149"/>
      <c r="U259" s="202">
        <f>Input!B324</f>
        <v>0</v>
      </c>
      <c r="V259" s="448">
        <f>Input!F324</f>
        <v>0</v>
      </c>
      <c r="W259" s="399">
        <f>Input!U324</f>
        <v>0</v>
      </c>
      <c r="X259" s="303">
        <f>Input!H324</f>
        <v>0</v>
      </c>
      <c r="Y259" s="448">
        <f>Input!I324</f>
        <v>0</v>
      </c>
      <c r="Z259" s="399">
        <f>Input!V324</f>
        <v>0</v>
      </c>
      <c r="AA259" s="149"/>
      <c r="AB259" s="149"/>
      <c r="AC259" s="149"/>
      <c r="AD259" s="149"/>
      <c r="AE259" s="149"/>
      <c r="AF259" s="149"/>
      <c r="AG259" s="149"/>
      <c r="AH259" s="149"/>
      <c r="AI259" s="149"/>
      <c r="AJ259" s="149"/>
      <c r="AK259" s="149"/>
      <c r="AL259" s="149"/>
      <c r="AM259" s="149"/>
      <c r="AN259" s="149"/>
      <c r="AO259" s="149"/>
      <c r="AP259" s="149"/>
    </row>
    <row r="260" spans="1:42" x14ac:dyDescent="0.2">
      <c r="A260" s="278"/>
      <c r="B260" s="278"/>
      <c r="C260" s="278"/>
      <c r="D260" s="278"/>
      <c r="E260" s="278"/>
      <c r="F260" s="278"/>
      <c r="G260" s="278"/>
      <c r="H260" s="278"/>
      <c r="I260" s="278"/>
      <c r="J260" s="278"/>
      <c r="K260" s="278"/>
      <c r="L260" s="278"/>
      <c r="M260" s="278"/>
      <c r="N260" s="149"/>
      <c r="O260" s="149"/>
      <c r="P260" s="278"/>
      <c r="Q260" s="278"/>
      <c r="R260" s="278"/>
      <c r="S260" s="278"/>
      <c r="T260" s="149"/>
      <c r="U260" s="202">
        <f>Input!B325</f>
        <v>0</v>
      </c>
      <c r="V260" s="448">
        <f>Input!F325</f>
        <v>0</v>
      </c>
      <c r="W260" s="399">
        <f>Input!U325</f>
        <v>0</v>
      </c>
      <c r="X260" s="303">
        <f>Input!H325</f>
        <v>0</v>
      </c>
      <c r="Y260" s="448">
        <f>Input!I325</f>
        <v>0</v>
      </c>
      <c r="Z260" s="399">
        <f>Input!V325</f>
        <v>0</v>
      </c>
      <c r="AA260" s="149"/>
      <c r="AB260" s="149"/>
      <c r="AC260" s="149"/>
      <c r="AD260" s="149"/>
      <c r="AE260" s="149"/>
      <c r="AF260" s="149"/>
      <c r="AG260" s="149"/>
      <c r="AH260" s="149"/>
      <c r="AI260" s="149"/>
      <c r="AJ260" s="149"/>
      <c r="AK260" s="149"/>
      <c r="AL260" s="149"/>
      <c r="AM260" s="149"/>
      <c r="AN260" s="149"/>
      <c r="AO260" s="149"/>
      <c r="AP260" s="149"/>
    </row>
    <row r="261" spans="1:42" x14ac:dyDescent="0.2">
      <c r="A261" s="278"/>
      <c r="B261" s="278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149"/>
      <c r="O261" s="149"/>
      <c r="P261" s="278"/>
      <c r="Q261" s="278"/>
      <c r="R261" s="278"/>
      <c r="S261" s="278"/>
      <c r="T261" s="149"/>
      <c r="U261" s="202">
        <f>Input!B326</f>
        <v>0</v>
      </c>
      <c r="V261" s="448">
        <f>Input!F326</f>
        <v>0</v>
      </c>
      <c r="W261" s="399">
        <f>Input!U326</f>
        <v>0</v>
      </c>
      <c r="X261" s="303">
        <f>Input!H326</f>
        <v>0</v>
      </c>
      <c r="Y261" s="448">
        <f>Input!I326</f>
        <v>0</v>
      </c>
      <c r="Z261" s="399">
        <f>Input!V326</f>
        <v>0</v>
      </c>
      <c r="AA261" s="149"/>
      <c r="AB261" s="149"/>
      <c r="AC261" s="149"/>
      <c r="AD261" s="149"/>
      <c r="AE261" s="149"/>
      <c r="AF261" s="149"/>
      <c r="AG261" s="149"/>
      <c r="AH261" s="149"/>
      <c r="AI261" s="149"/>
      <c r="AJ261" s="149"/>
      <c r="AK261" s="149"/>
      <c r="AL261" s="149"/>
      <c r="AM261" s="149"/>
      <c r="AN261" s="149"/>
      <c r="AO261" s="149"/>
      <c r="AP261" s="149"/>
    </row>
    <row r="262" spans="1:42" x14ac:dyDescent="0.2">
      <c r="A262" s="278"/>
      <c r="B262" s="278"/>
      <c r="C262" s="278"/>
      <c r="D262" s="278"/>
      <c r="E262" s="278"/>
      <c r="F262" s="278"/>
      <c r="G262" s="278"/>
      <c r="H262" s="278"/>
      <c r="I262" s="278"/>
      <c r="J262" s="278"/>
      <c r="K262" s="278"/>
      <c r="L262" s="278"/>
      <c r="M262" s="278"/>
      <c r="N262" s="149"/>
      <c r="O262" s="149"/>
      <c r="P262" s="278"/>
      <c r="Q262" s="278"/>
      <c r="R262" s="278"/>
      <c r="S262" s="278"/>
      <c r="T262" s="149"/>
      <c r="U262" s="202">
        <f>Input!B327</f>
        <v>0</v>
      </c>
      <c r="V262" s="448">
        <f>Input!F327</f>
        <v>0</v>
      </c>
      <c r="W262" s="399">
        <f>Input!U327</f>
        <v>0</v>
      </c>
      <c r="X262" s="303">
        <f>Input!H327</f>
        <v>0</v>
      </c>
      <c r="Y262" s="448">
        <f>Input!I327</f>
        <v>0</v>
      </c>
      <c r="Z262" s="399">
        <f>Input!V327</f>
        <v>0</v>
      </c>
      <c r="AA262" s="149"/>
      <c r="AB262" s="149"/>
      <c r="AC262" s="149"/>
      <c r="AD262" s="149"/>
      <c r="AE262" s="149"/>
      <c r="AF262" s="149"/>
      <c r="AG262" s="149"/>
      <c r="AH262" s="149"/>
      <c r="AI262" s="149"/>
      <c r="AJ262" s="149"/>
      <c r="AK262" s="149"/>
      <c r="AL262" s="149"/>
      <c r="AM262" s="149"/>
      <c r="AN262" s="149"/>
      <c r="AO262" s="149"/>
      <c r="AP262" s="149"/>
    </row>
    <row r="263" spans="1:42" x14ac:dyDescent="0.2">
      <c r="A263" s="278"/>
      <c r="B263" s="278"/>
      <c r="C263" s="278"/>
      <c r="D263" s="278"/>
      <c r="E263" s="278"/>
      <c r="F263" s="278"/>
      <c r="G263" s="278"/>
      <c r="H263" s="278"/>
      <c r="I263" s="278"/>
      <c r="J263" s="278"/>
      <c r="K263" s="278"/>
      <c r="L263" s="278"/>
      <c r="M263" s="278"/>
      <c r="N263" s="149"/>
      <c r="O263" s="149"/>
      <c r="P263" s="278"/>
      <c r="Q263" s="278"/>
      <c r="R263" s="278"/>
      <c r="S263" s="278"/>
      <c r="T263" s="149"/>
      <c r="U263" s="202">
        <f>Input!B328</f>
        <v>0</v>
      </c>
      <c r="V263" s="448">
        <f>Input!F328</f>
        <v>0</v>
      </c>
      <c r="W263" s="399">
        <f>Input!U328</f>
        <v>0</v>
      </c>
      <c r="X263" s="303">
        <f>Input!H328</f>
        <v>0</v>
      </c>
      <c r="Y263" s="448">
        <f>Input!I328</f>
        <v>0</v>
      </c>
      <c r="Z263" s="399">
        <f>Input!V328</f>
        <v>0</v>
      </c>
      <c r="AA263" s="149"/>
      <c r="AB263" s="149"/>
      <c r="AC263" s="149"/>
      <c r="AD263" s="149"/>
      <c r="AE263" s="149"/>
      <c r="AF263" s="149"/>
      <c r="AG263" s="149"/>
      <c r="AH263" s="149"/>
      <c r="AI263" s="149"/>
      <c r="AJ263" s="149"/>
      <c r="AK263" s="149"/>
      <c r="AL263" s="149"/>
      <c r="AM263" s="149"/>
      <c r="AN263" s="149"/>
      <c r="AO263" s="149"/>
      <c r="AP263" s="149"/>
    </row>
    <row r="264" spans="1:42" x14ac:dyDescent="0.2">
      <c r="A264" s="278"/>
      <c r="B264" s="278"/>
      <c r="C264" s="278"/>
      <c r="D264" s="278"/>
      <c r="E264" s="278"/>
      <c r="F264" s="278"/>
      <c r="G264" s="278"/>
      <c r="H264" s="278"/>
      <c r="I264" s="278"/>
      <c r="J264" s="278"/>
      <c r="K264" s="278"/>
      <c r="L264" s="278"/>
      <c r="M264" s="278"/>
      <c r="N264" s="149"/>
      <c r="O264" s="149"/>
      <c r="P264" s="278"/>
      <c r="Q264" s="278"/>
      <c r="R264" s="278"/>
      <c r="S264" s="278"/>
      <c r="T264" s="149"/>
      <c r="U264" s="202">
        <f>Input!B329</f>
        <v>0</v>
      </c>
      <c r="V264" s="448">
        <f>Input!F329</f>
        <v>0</v>
      </c>
      <c r="W264" s="399">
        <f>Input!U329</f>
        <v>0</v>
      </c>
      <c r="X264" s="303">
        <f>Input!H329</f>
        <v>0</v>
      </c>
      <c r="Y264" s="448">
        <f>Input!I329</f>
        <v>0</v>
      </c>
      <c r="Z264" s="399">
        <f>Input!V329</f>
        <v>0</v>
      </c>
      <c r="AA264" s="149"/>
      <c r="AB264" s="149"/>
      <c r="AC264" s="149"/>
      <c r="AD264" s="149"/>
      <c r="AE264" s="149"/>
      <c r="AF264" s="149"/>
      <c r="AG264" s="149"/>
      <c r="AH264" s="149"/>
      <c r="AI264" s="149"/>
      <c r="AJ264" s="149"/>
      <c r="AK264" s="149"/>
      <c r="AL264" s="149"/>
      <c r="AM264" s="149"/>
      <c r="AN264" s="149"/>
      <c r="AO264" s="149"/>
      <c r="AP264" s="149"/>
    </row>
    <row r="265" spans="1:42" x14ac:dyDescent="0.2">
      <c r="A265" s="278"/>
      <c r="B265" s="278"/>
      <c r="C265" s="278"/>
      <c r="D265" s="278"/>
      <c r="E265" s="278"/>
      <c r="F265" s="278"/>
      <c r="G265" s="278"/>
      <c r="H265" s="278"/>
      <c r="I265" s="278"/>
      <c r="J265" s="278"/>
      <c r="K265" s="278"/>
      <c r="L265" s="278"/>
      <c r="M265" s="278"/>
      <c r="N265" s="149"/>
      <c r="O265" s="149"/>
      <c r="P265" s="278"/>
      <c r="Q265" s="278"/>
      <c r="R265" s="278"/>
      <c r="S265" s="278"/>
      <c r="T265" s="149"/>
      <c r="U265" s="202">
        <f>Input!B330</f>
        <v>0</v>
      </c>
      <c r="V265" s="448">
        <f>Input!F330</f>
        <v>0</v>
      </c>
      <c r="W265" s="399">
        <f>Input!U330</f>
        <v>0</v>
      </c>
      <c r="X265" s="303">
        <f>Input!H330</f>
        <v>0</v>
      </c>
      <c r="Y265" s="448">
        <f>Input!I330</f>
        <v>0</v>
      </c>
      <c r="Z265" s="399">
        <f>Input!V330</f>
        <v>0</v>
      </c>
      <c r="AA265" s="149"/>
      <c r="AB265" s="149"/>
      <c r="AC265" s="149"/>
      <c r="AD265" s="149"/>
      <c r="AE265" s="149"/>
      <c r="AF265" s="149"/>
      <c r="AG265" s="149"/>
      <c r="AH265" s="149"/>
      <c r="AI265" s="149"/>
      <c r="AJ265" s="149"/>
      <c r="AK265" s="149"/>
      <c r="AL265" s="149"/>
      <c r="AM265" s="149"/>
      <c r="AN265" s="149"/>
      <c r="AO265" s="149"/>
      <c r="AP265" s="149"/>
    </row>
    <row r="266" spans="1:42" x14ac:dyDescent="0.2">
      <c r="A266" s="278"/>
      <c r="B266" s="278"/>
      <c r="C266" s="278"/>
      <c r="D266" s="278"/>
      <c r="E266" s="278"/>
      <c r="F266" s="278"/>
      <c r="G266" s="278"/>
      <c r="H266" s="278"/>
      <c r="I266" s="278"/>
      <c r="J266" s="278"/>
      <c r="K266" s="278"/>
      <c r="L266" s="278"/>
      <c r="M266" s="278"/>
      <c r="N266" s="149"/>
      <c r="O266" s="149"/>
      <c r="P266" s="278"/>
      <c r="Q266" s="278"/>
      <c r="R266" s="278"/>
      <c r="S266" s="278"/>
      <c r="T266" s="149"/>
      <c r="U266" s="202">
        <f>Input!B331</f>
        <v>0</v>
      </c>
      <c r="V266" s="448">
        <f>Input!F331</f>
        <v>0</v>
      </c>
      <c r="W266" s="399">
        <f>Input!U331</f>
        <v>0</v>
      </c>
      <c r="X266" s="303">
        <f>Input!H331</f>
        <v>0</v>
      </c>
      <c r="Y266" s="448">
        <f>Input!I331</f>
        <v>0</v>
      </c>
      <c r="Z266" s="399">
        <f>Input!V331</f>
        <v>0</v>
      </c>
      <c r="AA266" s="149"/>
      <c r="AB266" s="149"/>
      <c r="AC266" s="149"/>
      <c r="AD266" s="149"/>
      <c r="AE266" s="149"/>
      <c r="AF266" s="149"/>
      <c r="AG266" s="149"/>
      <c r="AH266" s="149"/>
      <c r="AI266" s="149"/>
      <c r="AJ266" s="149"/>
      <c r="AK266" s="149"/>
      <c r="AL266" s="149"/>
      <c r="AM266" s="149"/>
      <c r="AN266" s="149"/>
      <c r="AO266" s="149"/>
      <c r="AP266" s="149"/>
    </row>
    <row r="267" spans="1:42" x14ac:dyDescent="0.2">
      <c r="A267" s="278"/>
      <c r="B267" s="278"/>
      <c r="C267" s="278"/>
      <c r="D267" s="278"/>
      <c r="E267" s="278"/>
      <c r="F267" s="278"/>
      <c r="G267" s="278"/>
      <c r="H267" s="278"/>
      <c r="I267" s="278"/>
      <c r="J267" s="278"/>
      <c r="K267" s="278"/>
      <c r="L267" s="278"/>
      <c r="M267" s="278"/>
      <c r="N267" s="149"/>
      <c r="O267" s="149"/>
      <c r="P267" s="278"/>
      <c r="Q267" s="278"/>
      <c r="R267" s="278"/>
      <c r="S267" s="278"/>
      <c r="T267" s="149"/>
      <c r="U267" s="202">
        <f>Input!B332</f>
        <v>0</v>
      </c>
      <c r="V267" s="448">
        <f>Input!F332</f>
        <v>0</v>
      </c>
      <c r="W267" s="399">
        <f>Input!U332</f>
        <v>0</v>
      </c>
      <c r="X267" s="303">
        <f>Input!H332</f>
        <v>0</v>
      </c>
      <c r="Y267" s="448">
        <f>Input!I332</f>
        <v>0</v>
      </c>
      <c r="Z267" s="399">
        <f>Input!V332</f>
        <v>0</v>
      </c>
      <c r="AA267" s="149"/>
      <c r="AB267" s="149"/>
      <c r="AC267" s="149"/>
      <c r="AD267" s="149"/>
      <c r="AE267" s="149"/>
      <c r="AF267" s="149"/>
      <c r="AG267" s="149"/>
      <c r="AH267" s="149"/>
      <c r="AI267" s="149"/>
      <c r="AJ267" s="149"/>
      <c r="AK267" s="149"/>
      <c r="AL267" s="149"/>
      <c r="AM267" s="149"/>
      <c r="AN267" s="149"/>
      <c r="AO267" s="149"/>
      <c r="AP267" s="149"/>
    </row>
    <row r="268" spans="1:42" x14ac:dyDescent="0.2">
      <c r="A268" s="278"/>
      <c r="B268" s="278"/>
      <c r="C268" s="278"/>
      <c r="D268" s="278"/>
      <c r="E268" s="278"/>
      <c r="F268" s="278"/>
      <c r="G268" s="278"/>
      <c r="H268" s="278"/>
      <c r="I268" s="278"/>
      <c r="J268" s="278"/>
      <c r="K268" s="278"/>
      <c r="L268" s="278"/>
      <c r="M268" s="278"/>
      <c r="N268" s="149"/>
      <c r="O268" s="149"/>
      <c r="P268" s="278"/>
      <c r="Q268" s="278"/>
      <c r="R268" s="278"/>
      <c r="S268" s="278"/>
      <c r="T268" s="149"/>
      <c r="U268" s="202">
        <f>Input!B333</f>
        <v>0</v>
      </c>
      <c r="V268" s="448">
        <f>Input!F333</f>
        <v>0</v>
      </c>
      <c r="W268" s="399">
        <f>Input!U333</f>
        <v>0</v>
      </c>
      <c r="X268" s="303">
        <f>Input!H333</f>
        <v>0</v>
      </c>
      <c r="Y268" s="448">
        <f>Input!I333</f>
        <v>0</v>
      </c>
      <c r="Z268" s="399">
        <f>Input!V333</f>
        <v>0</v>
      </c>
      <c r="AA268" s="149"/>
      <c r="AB268" s="149"/>
      <c r="AC268" s="149"/>
      <c r="AD268" s="149"/>
      <c r="AE268" s="149"/>
      <c r="AF268" s="149"/>
      <c r="AG268" s="149"/>
      <c r="AH268" s="149"/>
      <c r="AI268" s="149"/>
      <c r="AJ268" s="149"/>
      <c r="AK268" s="149"/>
      <c r="AL268" s="149"/>
      <c r="AM268" s="149"/>
      <c r="AN268" s="149"/>
      <c r="AO268" s="149"/>
      <c r="AP268" s="149"/>
    </row>
    <row r="269" spans="1:42" x14ac:dyDescent="0.2">
      <c r="A269" s="278"/>
      <c r="B269" s="278"/>
      <c r="C269" s="278"/>
      <c r="D269" s="278"/>
      <c r="E269" s="278"/>
      <c r="F269" s="278"/>
      <c r="G269" s="278"/>
      <c r="H269" s="278"/>
      <c r="I269" s="278"/>
      <c r="J269" s="278"/>
      <c r="K269" s="278"/>
      <c r="L269" s="278"/>
      <c r="M269" s="278"/>
      <c r="N269" s="149"/>
      <c r="O269" s="149"/>
      <c r="P269" s="278"/>
      <c r="Q269" s="278"/>
      <c r="R269" s="278"/>
      <c r="S269" s="278"/>
      <c r="T269" s="149"/>
      <c r="U269" s="202">
        <f>Input!B334</f>
        <v>0</v>
      </c>
      <c r="V269" s="448">
        <f>Input!F334</f>
        <v>0</v>
      </c>
      <c r="W269" s="399">
        <f>Input!U334</f>
        <v>0</v>
      </c>
      <c r="X269" s="303">
        <f>Input!H334</f>
        <v>0</v>
      </c>
      <c r="Y269" s="448">
        <f>Input!I334</f>
        <v>0</v>
      </c>
      <c r="Z269" s="399">
        <f>Input!V334</f>
        <v>0</v>
      </c>
      <c r="AA269" s="149"/>
      <c r="AB269" s="149"/>
      <c r="AC269" s="149"/>
      <c r="AD269" s="149"/>
      <c r="AE269" s="149"/>
      <c r="AF269" s="149"/>
      <c r="AG269" s="149"/>
      <c r="AH269" s="149"/>
      <c r="AI269" s="149"/>
      <c r="AJ269" s="149"/>
      <c r="AK269" s="149"/>
      <c r="AL269" s="149"/>
      <c r="AM269" s="149"/>
      <c r="AN269" s="149"/>
      <c r="AO269" s="149"/>
      <c r="AP269" s="149"/>
    </row>
    <row r="270" spans="1:42" x14ac:dyDescent="0.2">
      <c r="A270" s="278"/>
      <c r="B270" s="278"/>
      <c r="C270" s="278"/>
      <c r="D270" s="278"/>
      <c r="E270" s="278"/>
      <c r="F270" s="278"/>
      <c r="G270" s="278"/>
      <c r="H270" s="278"/>
      <c r="I270" s="278"/>
      <c r="J270" s="278"/>
      <c r="K270" s="278"/>
      <c r="L270" s="278"/>
      <c r="M270" s="278"/>
      <c r="N270" s="149"/>
      <c r="O270" s="149"/>
      <c r="P270" s="278"/>
      <c r="Q270" s="278"/>
      <c r="R270" s="278"/>
      <c r="S270" s="278"/>
      <c r="T270" s="149"/>
      <c r="U270" s="202">
        <f>Input!B335</f>
        <v>0</v>
      </c>
      <c r="V270" s="448">
        <f>Input!F335</f>
        <v>0</v>
      </c>
      <c r="W270" s="399">
        <f>Input!U335</f>
        <v>0</v>
      </c>
      <c r="X270" s="303">
        <f>Input!H335</f>
        <v>0</v>
      </c>
      <c r="Y270" s="448">
        <f>Input!I335</f>
        <v>0</v>
      </c>
      <c r="Z270" s="399">
        <f>Input!V335</f>
        <v>0</v>
      </c>
      <c r="AA270" s="149"/>
      <c r="AB270" s="149"/>
      <c r="AC270" s="149"/>
      <c r="AD270" s="149"/>
      <c r="AE270" s="149"/>
      <c r="AF270" s="149"/>
      <c r="AG270" s="149"/>
      <c r="AH270" s="149"/>
      <c r="AI270" s="149"/>
      <c r="AJ270" s="149"/>
      <c r="AK270" s="149"/>
      <c r="AL270" s="149"/>
      <c r="AM270" s="149"/>
      <c r="AN270" s="149"/>
      <c r="AO270" s="149"/>
      <c r="AP270" s="149"/>
    </row>
    <row r="271" spans="1:42" x14ac:dyDescent="0.2">
      <c r="A271" s="278"/>
      <c r="B271" s="278"/>
      <c r="C271" s="278"/>
      <c r="D271" s="278"/>
      <c r="E271" s="278"/>
      <c r="F271" s="278"/>
      <c r="G271" s="278"/>
      <c r="H271" s="278"/>
      <c r="I271" s="278"/>
      <c r="J271" s="278"/>
      <c r="K271" s="278"/>
      <c r="L271" s="278"/>
      <c r="M271" s="278"/>
      <c r="N271" s="149"/>
      <c r="O271" s="149"/>
      <c r="P271" s="278"/>
      <c r="Q271" s="278"/>
      <c r="R271" s="278"/>
      <c r="S271" s="278"/>
      <c r="T271" s="149"/>
      <c r="U271" s="202">
        <f>Input!B336</f>
        <v>0</v>
      </c>
      <c r="V271" s="448">
        <f>Input!F336</f>
        <v>0</v>
      </c>
      <c r="W271" s="399">
        <f>Input!U336</f>
        <v>0</v>
      </c>
      <c r="X271" s="303">
        <f>Input!H336</f>
        <v>0</v>
      </c>
      <c r="Y271" s="448">
        <f>Input!I336</f>
        <v>0</v>
      </c>
      <c r="Z271" s="399">
        <f>Input!V336</f>
        <v>0</v>
      </c>
      <c r="AA271" s="149"/>
      <c r="AB271" s="149"/>
      <c r="AC271" s="149"/>
      <c r="AD271" s="149"/>
      <c r="AE271" s="149"/>
      <c r="AF271" s="149"/>
      <c r="AG271" s="149"/>
      <c r="AH271" s="149"/>
      <c r="AI271" s="149"/>
      <c r="AJ271" s="149"/>
      <c r="AK271" s="149"/>
      <c r="AL271" s="149"/>
      <c r="AM271" s="149"/>
      <c r="AN271" s="149"/>
      <c r="AO271" s="149"/>
      <c r="AP271" s="149"/>
    </row>
    <row r="272" spans="1:42" x14ac:dyDescent="0.2">
      <c r="A272" s="278"/>
      <c r="B272" s="278"/>
      <c r="C272" s="278"/>
      <c r="D272" s="278"/>
      <c r="E272" s="278"/>
      <c r="F272" s="278"/>
      <c r="G272" s="278"/>
      <c r="H272" s="278"/>
      <c r="I272" s="278"/>
      <c r="J272" s="278"/>
      <c r="K272" s="278"/>
      <c r="L272" s="278"/>
      <c r="M272" s="278"/>
      <c r="N272" s="149"/>
      <c r="O272" s="149"/>
      <c r="P272" s="278"/>
      <c r="Q272" s="278"/>
      <c r="R272" s="278"/>
      <c r="S272" s="278"/>
      <c r="T272" s="149"/>
      <c r="U272" s="202">
        <f>Input!B337</f>
        <v>0</v>
      </c>
      <c r="V272" s="448">
        <f>Input!F337</f>
        <v>0</v>
      </c>
      <c r="W272" s="399">
        <f>Input!U337</f>
        <v>0</v>
      </c>
      <c r="X272" s="303">
        <f>Input!H337</f>
        <v>0</v>
      </c>
      <c r="Y272" s="448">
        <f>Input!I337</f>
        <v>0</v>
      </c>
      <c r="Z272" s="399">
        <f>Input!V337</f>
        <v>0</v>
      </c>
      <c r="AA272" s="149"/>
      <c r="AB272" s="149"/>
      <c r="AC272" s="149"/>
      <c r="AD272" s="149"/>
      <c r="AE272" s="149"/>
      <c r="AF272" s="149"/>
      <c r="AG272" s="149"/>
      <c r="AH272" s="149"/>
      <c r="AI272" s="149"/>
      <c r="AJ272" s="149"/>
      <c r="AK272" s="149"/>
      <c r="AL272" s="149"/>
      <c r="AM272" s="149"/>
      <c r="AN272" s="149"/>
      <c r="AO272" s="149"/>
      <c r="AP272" s="149"/>
    </row>
    <row r="273" spans="1:42" x14ac:dyDescent="0.2">
      <c r="A273" s="278"/>
      <c r="B273" s="278"/>
      <c r="C273" s="278"/>
      <c r="D273" s="278"/>
      <c r="E273" s="278"/>
      <c r="F273" s="278"/>
      <c r="G273" s="278"/>
      <c r="H273" s="278"/>
      <c r="I273" s="278"/>
      <c r="J273" s="278"/>
      <c r="K273" s="278"/>
      <c r="L273" s="278"/>
      <c r="M273" s="278"/>
      <c r="N273" s="149"/>
      <c r="O273" s="149"/>
      <c r="P273" s="278"/>
      <c r="Q273" s="278"/>
      <c r="R273" s="278"/>
      <c r="S273" s="278"/>
      <c r="T273" s="149"/>
      <c r="U273" s="202">
        <f>Input!B338</f>
        <v>0</v>
      </c>
      <c r="V273" s="448">
        <f>Input!F338</f>
        <v>0</v>
      </c>
      <c r="W273" s="399">
        <f>Input!U338</f>
        <v>0</v>
      </c>
      <c r="X273" s="303">
        <f>Input!H338</f>
        <v>0</v>
      </c>
      <c r="Y273" s="448">
        <f>Input!I338</f>
        <v>0</v>
      </c>
      <c r="Z273" s="399">
        <f>Input!V338</f>
        <v>0</v>
      </c>
      <c r="AA273" s="149"/>
      <c r="AB273" s="149"/>
      <c r="AC273" s="149"/>
      <c r="AD273" s="149"/>
      <c r="AE273" s="149"/>
      <c r="AF273" s="149"/>
      <c r="AG273" s="149"/>
      <c r="AH273" s="149"/>
      <c r="AI273" s="149"/>
      <c r="AJ273" s="149"/>
      <c r="AK273" s="149"/>
      <c r="AL273" s="149"/>
      <c r="AM273" s="149"/>
      <c r="AN273" s="149"/>
      <c r="AO273" s="149"/>
      <c r="AP273" s="149"/>
    </row>
    <row r="274" spans="1:42" x14ac:dyDescent="0.2">
      <c r="A274" s="278"/>
      <c r="B274" s="278"/>
      <c r="C274" s="278"/>
      <c r="D274" s="278"/>
      <c r="E274" s="278"/>
      <c r="F274" s="278"/>
      <c r="G274" s="278"/>
      <c r="H274" s="278"/>
      <c r="I274" s="278"/>
      <c r="J274" s="278"/>
      <c r="K274" s="278"/>
      <c r="L274" s="278"/>
      <c r="M274" s="278"/>
      <c r="N274" s="149"/>
      <c r="O274" s="149"/>
      <c r="P274" s="278"/>
      <c r="Q274" s="278"/>
      <c r="R274" s="278"/>
      <c r="S274" s="278"/>
      <c r="T274" s="149"/>
      <c r="U274" s="202">
        <f>Input!B339</f>
        <v>0</v>
      </c>
      <c r="V274" s="448">
        <f>Input!F339</f>
        <v>0</v>
      </c>
      <c r="W274" s="399">
        <f>Input!U339</f>
        <v>0</v>
      </c>
      <c r="X274" s="303">
        <f>Input!H339</f>
        <v>0</v>
      </c>
      <c r="Y274" s="448">
        <f>Input!I339</f>
        <v>0</v>
      </c>
      <c r="Z274" s="399">
        <f>Input!V339</f>
        <v>0</v>
      </c>
      <c r="AA274" s="149"/>
      <c r="AB274" s="149"/>
      <c r="AC274" s="149"/>
      <c r="AD274" s="149"/>
      <c r="AE274" s="149"/>
      <c r="AF274" s="149"/>
      <c r="AG274" s="149"/>
      <c r="AH274" s="149"/>
      <c r="AI274" s="149"/>
      <c r="AJ274" s="149"/>
      <c r="AK274" s="149"/>
      <c r="AL274" s="149"/>
      <c r="AM274" s="149"/>
      <c r="AN274" s="149"/>
      <c r="AO274" s="149"/>
      <c r="AP274" s="149"/>
    </row>
    <row r="275" spans="1:42" x14ac:dyDescent="0.2">
      <c r="A275" s="278"/>
      <c r="B275" s="278"/>
      <c r="C275" s="278"/>
      <c r="D275" s="278"/>
      <c r="E275" s="278"/>
      <c r="F275" s="278"/>
      <c r="G275" s="278"/>
      <c r="H275" s="278"/>
      <c r="I275" s="278"/>
      <c r="J275" s="278"/>
      <c r="K275" s="278"/>
      <c r="L275" s="278"/>
      <c r="M275" s="278"/>
      <c r="N275" s="149"/>
      <c r="O275" s="149"/>
      <c r="P275" s="278"/>
      <c r="Q275" s="278"/>
      <c r="R275" s="278"/>
      <c r="S275" s="278"/>
      <c r="T275" s="149"/>
      <c r="U275" s="202">
        <f>Input!B340</f>
        <v>0</v>
      </c>
      <c r="V275" s="448">
        <f>Input!F340</f>
        <v>0</v>
      </c>
      <c r="W275" s="399">
        <f>Input!U340</f>
        <v>0</v>
      </c>
      <c r="X275" s="303">
        <f>Input!H340</f>
        <v>0</v>
      </c>
      <c r="Y275" s="448">
        <f>Input!I340</f>
        <v>0</v>
      </c>
      <c r="Z275" s="399">
        <f>Input!V340</f>
        <v>0</v>
      </c>
      <c r="AA275" s="149"/>
      <c r="AB275" s="149"/>
      <c r="AC275" s="149"/>
      <c r="AD275" s="149"/>
      <c r="AE275" s="149"/>
      <c r="AF275" s="149"/>
      <c r="AG275" s="149"/>
      <c r="AH275" s="149"/>
      <c r="AI275" s="149"/>
      <c r="AJ275" s="149"/>
      <c r="AK275" s="149"/>
      <c r="AL275" s="149"/>
      <c r="AM275" s="149"/>
      <c r="AN275" s="149"/>
      <c r="AO275" s="149"/>
      <c r="AP275" s="149"/>
    </row>
    <row r="276" spans="1:42" x14ac:dyDescent="0.2">
      <c r="A276" s="278"/>
      <c r="B276" s="278"/>
      <c r="C276" s="278"/>
      <c r="D276" s="278"/>
      <c r="E276" s="278"/>
      <c r="F276" s="278"/>
      <c r="G276" s="278"/>
      <c r="H276" s="278"/>
      <c r="I276" s="278"/>
      <c r="J276" s="278"/>
      <c r="K276" s="278"/>
      <c r="L276" s="278"/>
      <c r="M276" s="278"/>
      <c r="N276" s="149"/>
      <c r="O276" s="149"/>
      <c r="P276" s="278"/>
      <c r="Q276" s="278"/>
      <c r="R276" s="278"/>
      <c r="S276" s="278"/>
      <c r="T276" s="149"/>
      <c r="U276" s="202">
        <f>Input!B341</f>
        <v>0</v>
      </c>
      <c r="V276" s="448">
        <f>Input!F341</f>
        <v>0</v>
      </c>
      <c r="W276" s="399">
        <f>Input!U341</f>
        <v>0</v>
      </c>
      <c r="X276" s="303">
        <f>Input!H341</f>
        <v>0</v>
      </c>
      <c r="Y276" s="448">
        <f>Input!I341</f>
        <v>0</v>
      </c>
      <c r="Z276" s="399">
        <f>Input!V341</f>
        <v>0</v>
      </c>
      <c r="AA276" s="149"/>
      <c r="AB276" s="149"/>
      <c r="AC276" s="149"/>
      <c r="AD276" s="149"/>
      <c r="AE276" s="149"/>
      <c r="AF276" s="149"/>
      <c r="AG276" s="149"/>
      <c r="AH276" s="149"/>
      <c r="AI276" s="149"/>
      <c r="AJ276" s="149"/>
      <c r="AK276" s="149"/>
      <c r="AL276" s="149"/>
      <c r="AM276" s="149"/>
      <c r="AN276" s="149"/>
      <c r="AO276" s="149"/>
      <c r="AP276" s="149"/>
    </row>
    <row r="277" spans="1:42" x14ac:dyDescent="0.2">
      <c r="A277" s="278"/>
      <c r="B277" s="278"/>
      <c r="C277" s="278"/>
      <c r="D277" s="278"/>
      <c r="E277" s="278"/>
      <c r="F277" s="278"/>
      <c r="G277" s="278"/>
      <c r="H277" s="278"/>
      <c r="I277" s="278"/>
      <c r="J277" s="278"/>
      <c r="K277" s="278"/>
      <c r="L277" s="278"/>
      <c r="M277" s="278"/>
      <c r="N277" s="149"/>
      <c r="O277" s="149"/>
      <c r="P277" s="278"/>
      <c r="Q277" s="278"/>
      <c r="R277" s="278"/>
      <c r="S277" s="278"/>
      <c r="T277" s="149"/>
      <c r="U277" s="202">
        <f>Input!B342</f>
        <v>0</v>
      </c>
      <c r="V277" s="448">
        <f>Input!F342</f>
        <v>0</v>
      </c>
      <c r="W277" s="399">
        <f>Input!U342</f>
        <v>0</v>
      </c>
      <c r="X277" s="303">
        <f>Input!H342</f>
        <v>0</v>
      </c>
      <c r="Y277" s="448">
        <f>Input!I342</f>
        <v>0</v>
      </c>
      <c r="Z277" s="399">
        <f>Input!V342</f>
        <v>0</v>
      </c>
      <c r="AA277" s="149"/>
      <c r="AB277" s="149"/>
      <c r="AC277" s="149"/>
      <c r="AD277" s="149"/>
      <c r="AE277" s="149"/>
      <c r="AF277" s="149"/>
      <c r="AG277" s="149"/>
      <c r="AH277" s="149"/>
      <c r="AI277" s="149"/>
      <c r="AJ277" s="149"/>
      <c r="AK277" s="149"/>
      <c r="AL277" s="149"/>
      <c r="AM277" s="149"/>
      <c r="AN277" s="149"/>
      <c r="AO277" s="149"/>
      <c r="AP277" s="149"/>
    </row>
    <row r="278" spans="1:42" x14ac:dyDescent="0.2">
      <c r="A278" s="278"/>
      <c r="B278" s="278"/>
      <c r="C278" s="278"/>
      <c r="D278" s="278"/>
      <c r="E278" s="278"/>
      <c r="F278" s="278"/>
      <c r="G278" s="278"/>
      <c r="H278" s="278"/>
      <c r="I278" s="278"/>
      <c r="J278" s="278"/>
      <c r="K278" s="278"/>
      <c r="L278" s="278"/>
      <c r="M278" s="278"/>
      <c r="N278" s="149"/>
      <c r="O278" s="149"/>
      <c r="P278" s="278"/>
      <c r="Q278" s="278"/>
      <c r="R278" s="278"/>
      <c r="S278" s="278"/>
      <c r="T278" s="149"/>
      <c r="U278" s="202">
        <f>Input!B343</f>
        <v>0</v>
      </c>
      <c r="V278" s="448">
        <f>Input!F343</f>
        <v>0</v>
      </c>
      <c r="W278" s="399">
        <f>Input!U343</f>
        <v>0</v>
      </c>
      <c r="X278" s="303">
        <f>Input!H343</f>
        <v>0</v>
      </c>
      <c r="Y278" s="448">
        <f>Input!I343</f>
        <v>0</v>
      </c>
      <c r="Z278" s="399">
        <f>Input!V343</f>
        <v>0</v>
      </c>
      <c r="AA278" s="149"/>
      <c r="AB278" s="149"/>
      <c r="AC278" s="149"/>
      <c r="AD278" s="149"/>
      <c r="AE278" s="149"/>
      <c r="AF278" s="149"/>
      <c r="AG278" s="149"/>
      <c r="AH278" s="149"/>
      <c r="AI278" s="149"/>
      <c r="AJ278" s="149"/>
      <c r="AK278" s="149"/>
      <c r="AL278" s="149"/>
      <c r="AM278" s="149"/>
      <c r="AN278" s="149"/>
      <c r="AO278" s="149"/>
      <c r="AP278" s="149"/>
    </row>
    <row r="279" spans="1:42" x14ac:dyDescent="0.2">
      <c r="A279" s="278"/>
      <c r="B279" s="278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149"/>
      <c r="O279" s="149"/>
      <c r="P279" s="278"/>
      <c r="Q279" s="278"/>
      <c r="R279" s="278"/>
      <c r="S279" s="278"/>
      <c r="T279" s="149"/>
      <c r="U279" s="202">
        <f>Input!B344</f>
        <v>0</v>
      </c>
      <c r="V279" s="448">
        <f>Input!F344</f>
        <v>0</v>
      </c>
      <c r="W279" s="399">
        <f>Input!U344</f>
        <v>0</v>
      </c>
      <c r="X279" s="303">
        <f>Input!H344</f>
        <v>0</v>
      </c>
      <c r="Y279" s="448">
        <f>Input!I344</f>
        <v>0</v>
      </c>
      <c r="Z279" s="399">
        <f>Input!V344</f>
        <v>0</v>
      </c>
      <c r="AA279" s="149"/>
      <c r="AB279" s="149"/>
      <c r="AC279" s="149"/>
      <c r="AD279" s="149"/>
      <c r="AE279" s="149"/>
      <c r="AF279" s="149"/>
      <c r="AG279" s="149"/>
      <c r="AH279" s="149"/>
      <c r="AI279" s="149"/>
      <c r="AJ279" s="149"/>
      <c r="AK279" s="149"/>
      <c r="AL279" s="149"/>
      <c r="AM279" s="149"/>
      <c r="AN279" s="149"/>
      <c r="AO279" s="149"/>
      <c r="AP279" s="149"/>
    </row>
    <row r="280" spans="1:42" x14ac:dyDescent="0.2">
      <c r="A280" s="278"/>
      <c r="B280" s="278"/>
      <c r="C280" s="278"/>
      <c r="D280" s="278"/>
      <c r="E280" s="278"/>
      <c r="F280" s="278"/>
      <c r="G280" s="278"/>
      <c r="H280" s="278"/>
      <c r="I280" s="278"/>
      <c r="J280" s="278"/>
      <c r="K280" s="278"/>
      <c r="L280" s="278"/>
      <c r="M280" s="278"/>
      <c r="N280" s="149"/>
      <c r="O280" s="149"/>
      <c r="P280" s="278"/>
      <c r="Q280" s="278"/>
      <c r="R280" s="278"/>
      <c r="S280" s="278"/>
      <c r="T280" s="149"/>
      <c r="U280" s="202">
        <f>Input!B345</f>
        <v>0</v>
      </c>
      <c r="V280" s="448">
        <f>Input!F345</f>
        <v>0</v>
      </c>
      <c r="W280" s="399">
        <f>Input!U345</f>
        <v>0</v>
      </c>
      <c r="X280" s="303">
        <f>Input!H345</f>
        <v>0</v>
      </c>
      <c r="Y280" s="448">
        <f>Input!I345</f>
        <v>0</v>
      </c>
      <c r="Z280" s="399">
        <f>Input!V345</f>
        <v>0</v>
      </c>
      <c r="AA280" s="149"/>
      <c r="AB280" s="149"/>
      <c r="AC280" s="149"/>
      <c r="AD280" s="149"/>
      <c r="AE280" s="149"/>
      <c r="AF280" s="149"/>
      <c r="AG280" s="149"/>
      <c r="AH280" s="149"/>
      <c r="AI280" s="149"/>
      <c r="AJ280" s="149"/>
      <c r="AK280" s="149"/>
      <c r="AL280" s="149"/>
      <c r="AM280" s="149"/>
      <c r="AN280" s="149"/>
      <c r="AO280" s="149"/>
      <c r="AP280" s="149"/>
    </row>
    <row r="281" spans="1:42" x14ac:dyDescent="0.2">
      <c r="A281" s="278"/>
      <c r="B281" s="278"/>
      <c r="C281" s="278"/>
      <c r="D281" s="278"/>
      <c r="E281" s="278"/>
      <c r="F281" s="278"/>
      <c r="G281" s="278"/>
      <c r="H281" s="278"/>
      <c r="I281" s="278"/>
      <c r="J281" s="278"/>
      <c r="K281" s="278"/>
      <c r="L281" s="278"/>
      <c r="M281" s="278"/>
      <c r="N281" s="149"/>
      <c r="O281" s="149"/>
      <c r="P281" s="278"/>
      <c r="Q281" s="278"/>
      <c r="R281" s="278"/>
      <c r="S281" s="278"/>
      <c r="T281" s="149"/>
      <c r="U281" s="202">
        <f>Input!B346</f>
        <v>0</v>
      </c>
      <c r="V281" s="448">
        <f>Input!F346</f>
        <v>0</v>
      </c>
      <c r="W281" s="399">
        <f>Input!U346</f>
        <v>0</v>
      </c>
      <c r="X281" s="303">
        <f>Input!H346</f>
        <v>0</v>
      </c>
      <c r="Y281" s="448">
        <f>Input!I346</f>
        <v>0</v>
      </c>
      <c r="Z281" s="399">
        <f>Input!V346</f>
        <v>0</v>
      </c>
      <c r="AA281" s="149"/>
      <c r="AB281" s="149"/>
      <c r="AC281" s="149"/>
      <c r="AD281" s="149"/>
      <c r="AE281" s="149"/>
      <c r="AF281" s="149"/>
      <c r="AG281" s="149"/>
      <c r="AH281" s="149"/>
      <c r="AI281" s="149"/>
      <c r="AJ281" s="149"/>
      <c r="AK281" s="149"/>
      <c r="AL281" s="149"/>
      <c r="AM281" s="149"/>
      <c r="AN281" s="149"/>
      <c r="AO281" s="149"/>
      <c r="AP281" s="149"/>
    </row>
    <row r="282" spans="1:42" x14ac:dyDescent="0.2">
      <c r="A282" s="278"/>
      <c r="B282" s="278"/>
      <c r="C282" s="278"/>
      <c r="D282" s="278"/>
      <c r="E282" s="278"/>
      <c r="F282" s="278"/>
      <c r="G282" s="278"/>
      <c r="H282" s="278"/>
      <c r="I282" s="278"/>
      <c r="J282" s="278"/>
      <c r="K282" s="278"/>
      <c r="L282" s="278"/>
      <c r="M282" s="278"/>
      <c r="N282" s="149"/>
      <c r="O282" s="149"/>
      <c r="P282" s="278"/>
      <c r="Q282" s="278"/>
      <c r="R282" s="278"/>
      <c r="S282" s="278"/>
      <c r="T282" s="149"/>
      <c r="U282" s="202">
        <f>Input!B347</f>
        <v>0</v>
      </c>
      <c r="V282" s="448">
        <f>Input!F347</f>
        <v>0</v>
      </c>
      <c r="W282" s="399">
        <f>Input!U347</f>
        <v>0</v>
      </c>
      <c r="X282" s="303">
        <f>Input!H347</f>
        <v>0</v>
      </c>
      <c r="Y282" s="448">
        <f>Input!I347</f>
        <v>0</v>
      </c>
      <c r="Z282" s="399">
        <f>Input!V347</f>
        <v>0</v>
      </c>
      <c r="AA282" s="149"/>
      <c r="AB282" s="149"/>
      <c r="AC282" s="149"/>
      <c r="AD282" s="149"/>
      <c r="AE282" s="149"/>
      <c r="AF282" s="149"/>
      <c r="AG282" s="149"/>
      <c r="AH282" s="149"/>
      <c r="AI282" s="149"/>
      <c r="AJ282" s="149"/>
      <c r="AK282" s="149"/>
      <c r="AL282" s="149"/>
      <c r="AM282" s="149"/>
      <c r="AN282" s="149"/>
      <c r="AO282" s="149"/>
      <c r="AP282" s="149"/>
    </row>
    <row r="283" spans="1:42" x14ac:dyDescent="0.2">
      <c r="A283" s="278"/>
      <c r="B283" s="278"/>
      <c r="C283" s="278"/>
      <c r="D283" s="278"/>
      <c r="E283" s="278"/>
      <c r="F283" s="278"/>
      <c r="G283" s="278"/>
      <c r="H283" s="278"/>
      <c r="I283" s="278"/>
      <c r="J283" s="278"/>
      <c r="K283" s="278"/>
      <c r="L283" s="278"/>
      <c r="M283" s="278"/>
      <c r="N283" s="149"/>
      <c r="O283" s="149"/>
      <c r="P283" s="278"/>
      <c r="Q283" s="278"/>
      <c r="R283" s="278"/>
      <c r="S283" s="278"/>
      <c r="T283" s="149"/>
      <c r="U283" s="202">
        <f>Input!B348</f>
        <v>0</v>
      </c>
      <c r="V283" s="448">
        <f>Input!F348</f>
        <v>0</v>
      </c>
      <c r="W283" s="399">
        <f>Input!U348</f>
        <v>0</v>
      </c>
      <c r="X283" s="303">
        <f>Input!H348</f>
        <v>0</v>
      </c>
      <c r="Y283" s="448">
        <f>Input!I348</f>
        <v>0</v>
      </c>
      <c r="Z283" s="399">
        <f>Input!V348</f>
        <v>0</v>
      </c>
      <c r="AA283" s="149"/>
      <c r="AB283" s="149"/>
      <c r="AC283" s="149"/>
      <c r="AD283" s="149"/>
      <c r="AE283" s="149"/>
      <c r="AF283" s="149"/>
      <c r="AG283" s="149"/>
      <c r="AH283" s="149"/>
      <c r="AI283" s="149"/>
      <c r="AJ283" s="149"/>
      <c r="AK283" s="149"/>
      <c r="AL283" s="149"/>
      <c r="AM283" s="149"/>
      <c r="AN283" s="149"/>
      <c r="AO283" s="149"/>
      <c r="AP283" s="149"/>
    </row>
    <row r="284" spans="1:42" x14ac:dyDescent="0.2">
      <c r="A284" s="278"/>
      <c r="B284" s="278"/>
      <c r="C284" s="278"/>
      <c r="D284" s="278"/>
      <c r="E284" s="278"/>
      <c r="F284" s="278"/>
      <c r="G284" s="278"/>
      <c r="H284" s="278"/>
      <c r="I284" s="278"/>
      <c r="J284" s="278"/>
      <c r="K284" s="278"/>
      <c r="L284" s="278"/>
      <c r="M284" s="278"/>
      <c r="N284" s="149"/>
      <c r="O284" s="149"/>
      <c r="P284" s="278"/>
      <c r="Q284" s="278"/>
      <c r="R284" s="278"/>
      <c r="S284" s="278"/>
      <c r="T284" s="149"/>
      <c r="U284" s="202">
        <f>Input!B349</f>
        <v>0</v>
      </c>
      <c r="V284" s="448">
        <f>Input!F349</f>
        <v>0</v>
      </c>
      <c r="W284" s="399">
        <f>Input!U349</f>
        <v>0</v>
      </c>
      <c r="X284" s="303">
        <f>Input!H349</f>
        <v>0</v>
      </c>
      <c r="Y284" s="448">
        <f>Input!I349</f>
        <v>0</v>
      </c>
      <c r="Z284" s="399">
        <f>Input!V349</f>
        <v>0</v>
      </c>
      <c r="AA284" s="149"/>
      <c r="AB284" s="149"/>
      <c r="AC284" s="149"/>
      <c r="AD284" s="149"/>
      <c r="AE284" s="149"/>
      <c r="AF284" s="149"/>
      <c r="AG284" s="149"/>
      <c r="AH284" s="149"/>
      <c r="AI284" s="149"/>
      <c r="AJ284" s="149"/>
      <c r="AK284" s="149"/>
      <c r="AL284" s="149"/>
      <c r="AM284" s="149"/>
      <c r="AN284" s="149"/>
      <c r="AO284" s="149"/>
      <c r="AP284" s="149"/>
    </row>
    <row r="285" spans="1:42" x14ac:dyDescent="0.2">
      <c r="A285" s="278"/>
      <c r="B285" s="278"/>
      <c r="C285" s="278"/>
      <c r="D285" s="278"/>
      <c r="E285" s="278"/>
      <c r="F285" s="278"/>
      <c r="G285" s="278"/>
      <c r="H285" s="278"/>
      <c r="I285" s="278"/>
      <c r="J285" s="278"/>
      <c r="K285" s="278"/>
      <c r="L285" s="278"/>
      <c r="M285" s="278"/>
      <c r="N285" s="149"/>
      <c r="O285" s="149"/>
      <c r="P285" s="278"/>
      <c r="Q285" s="278"/>
      <c r="R285" s="278"/>
      <c r="S285" s="278"/>
      <c r="T285" s="149"/>
      <c r="U285" s="202">
        <f>Input!B350</f>
        <v>0</v>
      </c>
      <c r="V285" s="448">
        <f>Input!F350</f>
        <v>0</v>
      </c>
      <c r="W285" s="399">
        <f>Input!U350</f>
        <v>0</v>
      </c>
      <c r="X285" s="303">
        <f>Input!H350</f>
        <v>0</v>
      </c>
      <c r="Y285" s="448">
        <f>Input!I350</f>
        <v>0</v>
      </c>
      <c r="Z285" s="399">
        <f>Input!V350</f>
        <v>0</v>
      </c>
      <c r="AA285" s="149"/>
      <c r="AB285" s="149"/>
      <c r="AC285" s="149"/>
      <c r="AD285" s="149"/>
      <c r="AE285" s="149"/>
      <c r="AF285" s="149"/>
      <c r="AG285" s="149"/>
      <c r="AH285" s="149"/>
      <c r="AI285" s="149"/>
      <c r="AJ285" s="149"/>
      <c r="AK285" s="149"/>
      <c r="AL285" s="149"/>
      <c r="AM285" s="149"/>
      <c r="AN285" s="149"/>
      <c r="AO285" s="149"/>
      <c r="AP285" s="149"/>
    </row>
    <row r="286" spans="1:42" x14ac:dyDescent="0.2">
      <c r="A286" s="278"/>
      <c r="B286" s="278"/>
      <c r="C286" s="278"/>
      <c r="D286" s="278"/>
      <c r="E286" s="278"/>
      <c r="F286" s="278"/>
      <c r="G286" s="278"/>
      <c r="H286" s="278"/>
      <c r="I286" s="278"/>
      <c r="J286" s="278"/>
      <c r="K286" s="278"/>
      <c r="L286" s="278"/>
      <c r="M286" s="278"/>
      <c r="N286" s="149"/>
      <c r="O286" s="149"/>
      <c r="P286" s="278"/>
      <c r="Q286" s="278"/>
      <c r="R286" s="278"/>
      <c r="S286" s="278"/>
      <c r="T286" s="149"/>
      <c r="U286" s="202">
        <f>Input!B351</f>
        <v>0</v>
      </c>
      <c r="V286" s="448">
        <f>Input!F351</f>
        <v>0</v>
      </c>
      <c r="W286" s="399">
        <f>Input!U351</f>
        <v>0</v>
      </c>
      <c r="X286" s="303">
        <f>Input!H351</f>
        <v>0</v>
      </c>
      <c r="Y286" s="448">
        <f>Input!I351</f>
        <v>0</v>
      </c>
      <c r="Z286" s="399">
        <f>Input!V351</f>
        <v>0</v>
      </c>
      <c r="AA286" s="149"/>
      <c r="AB286" s="149"/>
      <c r="AC286" s="149"/>
      <c r="AD286" s="149"/>
      <c r="AE286" s="149"/>
      <c r="AF286" s="149"/>
      <c r="AG286" s="149"/>
      <c r="AH286" s="149"/>
      <c r="AI286" s="149"/>
      <c r="AJ286" s="149"/>
      <c r="AK286" s="149"/>
      <c r="AL286" s="149"/>
      <c r="AM286" s="149"/>
      <c r="AN286" s="149"/>
      <c r="AO286" s="149"/>
      <c r="AP286" s="149"/>
    </row>
    <row r="287" spans="1:42" x14ac:dyDescent="0.2">
      <c r="A287" s="278"/>
      <c r="B287" s="278"/>
      <c r="C287" s="278"/>
      <c r="D287" s="278"/>
      <c r="E287" s="278"/>
      <c r="F287" s="278"/>
      <c r="G287" s="278"/>
      <c r="H287" s="278"/>
      <c r="I287" s="278"/>
      <c r="J287" s="278"/>
      <c r="K287" s="278"/>
      <c r="L287" s="278"/>
      <c r="M287" s="278"/>
      <c r="N287" s="149"/>
      <c r="O287" s="149"/>
      <c r="P287" s="278"/>
      <c r="Q287" s="278"/>
      <c r="R287" s="278"/>
      <c r="S287" s="278"/>
      <c r="T287" s="149"/>
      <c r="U287" s="202">
        <f>Input!B352</f>
        <v>0</v>
      </c>
      <c r="V287" s="448">
        <f>Input!F352</f>
        <v>0</v>
      </c>
      <c r="W287" s="399">
        <f>Input!U352</f>
        <v>0</v>
      </c>
      <c r="X287" s="303">
        <f>Input!H352</f>
        <v>0</v>
      </c>
      <c r="Y287" s="448">
        <f>Input!I352</f>
        <v>0</v>
      </c>
      <c r="Z287" s="399">
        <f>Input!V352</f>
        <v>0</v>
      </c>
      <c r="AA287" s="149"/>
      <c r="AB287" s="149"/>
      <c r="AC287" s="149"/>
      <c r="AD287" s="149"/>
      <c r="AE287" s="149"/>
      <c r="AF287" s="149"/>
      <c r="AG287" s="149"/>
      <c r="AH287" s="149"/>
      <c r="AI287" s="149"/>
      <c r="AJ287" s="149"/>
      <c r="AK287" s="149"/>
      <c r="AL287" s="149"/>
      <c r="AM287" s="149"/>
      <c r="AN287" s="149"/>
      <c r="AO287" s="149"/>
      <c r="AP287" s="149"/>
    </row>
    <row r="288" spans="1:42" x14ac:dyDescent="0.2">
      <c r="A288" s="278"/>
      <c r="B288" s="278"/>
      <c r="C288" s="278"/>
      <c r="D288" s="278"/>
      <c r="E288" s="278"/>
      <c r="F288" s="278"/>
      <c r="G288" s="278"/>
      <c r="H288" s="278"/>
      <c r="I288" s="278"/>
      <c r="J288" s="278"/>
      <c r="K288" s="278"/>
      <c r="L288" s="278"/>
      <c r="M288" s="278"/>
      <c r="N288" s="149"/>
      <c r="O288" s="149"/>
      <c r="P288" s="278"/>
      <c r="Q288" s="278"/>
      <c r="R288" s="278"/>
      <c r="S288" s="278"/>
      <c r="T288" s="149"/>
      <c r="U288" s="202">
        <f>Input!B353</f>
        <v>0</v>
      </c>
      <c r="V288" s="448">
        <f>Input!F353</f>
        <v>0</v>
      </c>
      <c r="W288" s="399">
        <f>Input!U353</f>
        <v>0</v>
      </c>
      <c r="X288" s="303">
        <f>Input!H353</f>
        <v>0</v>
      </c>
      <c r="Y288" s="448">
        <f>Input!I353</f>
        <v>0</v>
      </c>
      <c r="Z288" s="399">
        <f>Input!V353</f>
        <v>0</v>
      </c>
      <c r="AA288" s="149"/>
      <c r="AB288" s="149"/>
      <c r="AC288" s="149"/>
      <c r="AD288" s="149"/>
      <c r="AE288" s="149"/>
      <c r="AF288" s="149"/>
      <c r="AG288" s="149"/>
      <c r="AH288" s="149"/>
      <c r="AI288" s="149"/>
      <c r="AJ288" s="149"/>
      <c r="AK288" s="149"/>
      <c r="AL288" s="149"/>
      <c r="AM288" s="149"/>
      <c r="AN288" s="149"/>
      <c r="AO288" s="149"/>
      <c r="AP288" s="149"/>
    </row>
    <row r="289" spans="1:42" x14ac:dyDescent="0.2">
      <c r="A289" s="278"/>
      <c r="B289" s="278"/>
      <c r="C289" s="278"/>
      <c r="D289" s="278"/>
      <c r="E289" s="278"/>
      <c r="F289" s="278"/>
      <c r="G289" s="278"/>
      <c r="H289" s="278"/>
      <c r="I289" s="278"/>
      <c r="J289" s="278"/>
      <c r="K289" s="278"/>
      <c r="L289" s="278"/>
      <c r="M289" s="278"/>
      <c r="N289" s="149"/>
      <c r="O289" s="149"/>
      <c r="P289" s="278"/>
      <c r="Q289" s="278"/>
      <c r="R289" s="278"/>
      <c r="S289" s="278"/>
      <c r="T289" s="149"/>
      <c r="U289" s="202">
        <f>Input!B354</f>
        <v>0</v>
      </c>
      <c r="V289" s="448">
        <f>Input!F354</f>
        <v>0</v>
      </c>
      <c r="W289" s="399">
        <f>Input!U354</f>
        <v>0</v>
      </c>
      <c r="X289" s="303">
        <f>Input!H354</f>
        <v>0</v>
      </c>
      <c r="Y289" s="448">
        <f>Input!I354</f>
        <v>0</v>
      </c>
      <c r="Z289" s="399">
        <f>Input!V354</f>
        <v>0</v>
      </c>
      <c r="AA289" s="149"/>
      <c r="AB289" s="149"/>
      <c r="AC289" s="149"/>
      <c r="AD289" s="149"/>
      <c r="AE289" s="149"/>
      <c r="AF289" s="149"/>
      <c r="AG289" s="149"/>
      <c r="AH289" s="149"/>
      <c r="AI289" s="149"/>
      <c r="AJ289" s="149"/>
      <c r="AK289" s="149"/>
      <c r="AL289" s="149"/>
      <c r="AM289" s="149"/>
      <c r="AN289" s="149"/>
      <c r="AO289" s="149"/>
      <c r="AP289" s="149"/>
    </row>
    <row r="290" spans="1:42" x14ac:dyDescent="0.2">
      <c r="A290" s="278"/>
      <c r="B290" s="278"/>
      <c r="C290" s="278"/>
      <c r="D290" s="278"/>
      <c r="E290" s="278"/>
      <c r="F290" s="278"/>
      <c r="G290" s="278"/>
      <c r="H290" s="278"/>
      <c r="I290" s="278"/>
      <c r="J290" s="278"/>
      <c r="K290" s="278"/>
      <c r="L290" s="278"/>
      <c r="M290" s="278"/>
      <c r="N290" s="149"/>
      <c r="O290" s="149"/>
      <c r="P290" s="278"/>
      <c r="Q290" s="278"/>
      <c r="R290" s="278"/>
      <c r="S290" s="278"/>
      <c r="T290" s="149"/>
      <c r="U290" s="202">
        <f>Input!B355</f>
        <v>0</v>
      </c>
      <c r="V290" s="448">
        <f>Input!F355</f>
        <v>0</v>
      </c>
      <c r="W290" s="399">
        <f>Input!U355</f>
        <v>0</v>
      </c>
      <c r="X290" s="303">
        <f>Input!H355</f>
        <v>0</v>
      </c>
      <c r="Y290" s="448">
        <f>Input!I355</f>
        <v>0</v>
      </c>
      <c r="Z290" s="399">
        <f>Input!V355</f>
        <v>0</v>
      </c>
      <c r="AA290" s="149"/>
      <c r="AB290" s="149"/>
      <c r="AC290" s="149"/>
      <c r="AD290" s="149"/>
      <c r="AE290" s="149"/>
      <c r="AF290" s="149"/>
      <c r="AG290" s="149"/>
      <c r="AH290" s="149"/>
      <c r="AI290" s="149"/>
      <c r="AJ290" s="149"/>
      <c r="AK290" s="149"/>
      <c r="AL290" s="149"/>
      <c r="AM290" s="149"/>
      <c r="AN290" s="149"/>
      <c r="AO290" s="149"/>
      <c r="AP290" s="149"/>
    </row>
    <row r="291" spans="1:42" x14ac:dyDescent="0.2">
      <c r="A291" s="278"/>
      <c r="B291" s="278"/>
      <c r="C291" s="278"/>
      <c r="D291" s="278"/>
      <c r="E291" s="278"/>
      <c r="F291" s="278"/>
      <c r="G291" s="278"/>
      <c r="H291" s="278"/>
      <c r="I291" s="278"/>
      <c r="J291" s="278"/>
      <c r="K291" s="278"/>
      <c r="L291" s="278"/>
      <c r="M291" s="278"/>
      <c r="N291" s="149"/>
      <c r="O291" s="149"/>
      <c r="P291" s="278"/>
      <c r="Q291" s="278"/>
      <c r="R291" s="278"/>
      <c r="S291" s="278"/>
      <c r="T291" s="149"/>
      <c r="U291" s="202">
        <f>Input!B356</f>
        <v>0</v>
      </c>
      <c r="V291" s="448">
        <f>Input!F356</f>
        <v>0</v>
      </c>
      <c r="W291" s="399">
        <f>Input!U356</f>
        <v>0</v>
      </c>
      <c r="X291" s="303">
        <f>Input!H356</f>
        <v>0</v>
      </c>
      <c r="Y291" s="448">
        <f>Input!I356</f>
        <v>0</v>
      </c>
      <c r="Z291" s="399">
        <f>Input!V356</f>
        <v>0</v>
      </c>
      <c r="AA291" s="149"/>
      <c r="AB291" s="149"/>
      <c r="AC291" s="149"/>
      <c r="AD291" s="149"/>
      <c r="AE291" s="149"/>
      <c r="AF291" s="149"/>
      <c r="AG291" s="149"/>
      <c r="AH291" s="149"/>
      <c r="AI291" s="149"/>
      <c r="AJ291" s="149"/>
      <c r="AK291" s="149"/>
      <c r="AL291" s="149"/>
      <c r="AM291" s="149"/>
      <c r="AN291" s="149"/>
      <c r="AO291" s="149"/>
      <c r="AP291" s="149"/>
    </row>
    <row r="292" spans="1:42" x14ac:dyDescent="0.2">
      <c r="A292" s="278"/>
      <c r="B292" s="278"/>
      <c r="C292" s="278"/>
      <c r="D292" s="278"/>
      <c r="E292" s="278"/>
      <c r="F292" s="278"/>
      <c r="G292" s="278"/>
      <c r="H292" s="278"/>
      <c r="I292" s="278"/>
      <c r="J292" s="278"/>
      <c r="K292" s="278"/>
      <c r="L292" s="278"/>
      <c r="M292" s="278"/>
      <c r="N292" s="149"/>
      <c r="O292" s="149"/>
      <c r="P292" s="278"/>
      <c r="Q292" s="278"/>
      <c r="R292" s="278"/>
      <c r="S292" s="278"/>
      <c r="T292" s="149"/>
      <c r="U292" s="202">
        <f>Input!B357</f>
        <v>0</v>
      </c>
      <c r="V292" s="448">
        <f>Input!F357</f>
        <v>0</v>
      </c>
      <c r="W292" s="399">
        <f>Input!U357</f>
        <v>0</v>
      </c>
      <c r="X292" s="303">
        <f>Input!H357</f>
        <v>0</v>
      </c>
      <c r="Y292" s="448">
        <f>Input!I357</f>
        <v>0</v>
      </c>
      <c r="Z292" s="399">
        <f>Input!V357</f>
        <v>0</v>
      </c>
      <c r="AA292" s="149"/>
      <c r="AB292" s="149"/>
      <c r="AC292" s="149"/>
      <c r="AD292" s="149"/>
      <c r="AE292" s="149"/>
      <c r="AF292" s="149"/>
      <c r="AG292" s="149"/>
      <c r="AH292" s="149"/>
      <c r="AI292" s="149"/>
      <c r="AJ292" s="149"/>
      <c r="AK292" s="149"/>
      <c r="AL292" s="149"/>
      <c r="AM292" s="149"/>
      <c r="AN292" s="149"/>
      <c r="AO292" s="149"/>
      <c r="AP292" s="149"/>
    </row>
    <row r="293" spans="1:42" x14ac:dyDescent="0.2">
      <c r="A293" s="278"/>
      <c r="B293" s="278"/>
      <c r="C293" s="278"/>
      <c r="D293" s="278"/>
      <c r="E293" s="278"/>
      <c r="F293" s="278"/>
      <c r="G293" s="278"/>
      <c r="H293" s="278"/>
      <c r="I293" s="278"/>
      <c r="J293" s="278"/>
      <c r="K293" s="278"/>
      <c r="L293" s="278"/>
      <c r="M293" s="278"/>
      <c r="N293" s="149"/>
      <c r="O293" s="149"/>
      <c r="P293" s="278"/>
      <c r="Q293" s="278"/>
      <c r="R293" s="278"/>
      <c r="S293" s="278"/>
      <c r="T293" s="149"/>
      <c r="U293" s="202">
        <f>Input!B358</f>
        <v>0</v>
      </c>
      <c r="V293" s="448">
        <f>Input!F358</f>
        <v>0</v>
      </c>
      <c r="W293" s="399">
        <f>Input!U358</f>
        <v>0</v>
      </c>
      <c r="X293" s="303">
        <f>Input!H358</f>
        <v>0</v>
      </c>
      <c r="Y293" s="448">
        <f>Input!I358</f>
        <v>0</v>
      </c>
      <c r="Z293" s="399">
        <f>Input!V358</f>
        <v>0</v>
      </c>
      <c r="AA293" s="149"/>
      <c r="AB293" s="149"/>
      <c r="AC293" s="149"/>
      <c r="AD293" s="149"/>
      <c r="AE293" s="149"/>
      <c r="AF293" s="149"/>
      <c r="AG293" s="149"/>
      <c r="AH293" s="149"/>
      <c r="AI293" s="149"/>
      <c r="AJ293" s="149"/>
      <c r="AK293" s="149"/>
      <c r="AL293" s="149"/>
      <c r="AM293" s="149"/>
      <c r="AN293" s="149"/>
      <c r="AO293" s="149"/>
      <c r="AP293" s="149"/>
    </row>
    <row r="294" spans="1:42" x14ac:dyDescent="0.2">
      <c r="A294" s="278"/>
      <c r="B294" s="278"/>
      <c r="C294" s="278"/>
      <c r="D294" s="278"/>
      <c r="E294" s="278"/>
      <c r="F294" s="278"/>
      <c r="G294" s="278"/>
      <c r="H294" s="278"/>
      <c r="I294" s="278"/>
      <c r="J294" s="278"/>
      <c r="K294" s="278"/>
      <c r="L294" s="278"/>
      <c r="M294" s="278"/>
      <c r="N294" s="149"/>
      <c r="O294" s="149"/>
      <c r="P294" s="278"/>
      <c r="Q294" s="278"/>
      <c r="R294" s="278"/>
      <c r="S294" s="278"/>
      <c r="T294" s="149"/>
      <c r="U294" s="202">
        <f>Input!B359</f>
        <v>0</v>
      </c>
      <c r="V294" s="448">
        <f>Input!F359</f>
        <v>0</v>
      </c>
      <c r="W294" s="399">
        <f>Input!U359</f>
        <v>0</v>
      </c>
      <c r="X294" s="303">
        <f>Input!H359</f>
        <v>0</v>
      </c>
      <c r="Y294" s="448">
        <f>Input!I359</f>
        <v>0</v>
      </c>
      <c r="Z294" s="399">
        <f>Input!V359</f>
        <v>0</v>
      </c>
      <c r="AA294" s="149"/>
      <c r="AB294" s="149"/>
      <c r="AC294" s="149"/>
      <c r="AD294" s="149"/>
      <c r="AE294" s="149"/>
      <c r="AF294" s="149"/>
      <c r="AG294" s="149"/>
      <c r="AH294" s="149"/>
      <c r="AI294" s="149"/>
      <c r="AJ294" s="149"/>
      <c r="AK294" s="149"/>
      <c r="AL294" s="149"/>
      <c r="AM294" s="149"/>
      <c r="AN294" s="149"/>
      <c r="AO294" s="149"/>
      <c r="AP294" s="149"/>
    </row>
    <row r="295" spans="1:42" x14ac:dyDescent="0.2">
      <c r="A295" s="278"/>
      <c r="B295" s="278"/>
      <c r="C295" s="278"/>
      <c r="D295" s="278"/>
      <c r="E295" s="278"/>
      <c r="F295" s="278"/>
      <c r="G295" s="278"/>
      <c r="H295" s="278"/>
      <c r="I295" s="278"/>
      <c r="J295" s="278"/>
      <c r="K295" s="278"/>
      <c r="L295" s="278"/>
      <c r="M295" s="278"/>
      <c r="N295" s="149"/>
      <c r="O295" s="149"/>
      <c r="P295" s="278"/>
      <c r="Q295" s="278"/>
      <c r="R295" s="278"/>
      <c r="S295" s="278"/>
      <c r="T295" s="149"/>
      <c r="U295" s="202">
        <f>Input!B360</f>
        <v>0</v>
      </c>
      <c r="V295" s="448">
        <f>Input!F360</f>
        <v>0</v>
      </c>
      <c r="W295" s="399">
        <f>Input!U360</f>
        <v>0</v>
      </c>
      <c r="X295" s="303">
        <f>Input!H360</f>
        <v>0</v>
      </c>
      <c r="Y295" s="448">
        <f>Input!I360</f>
        <v>0</v>
      </c>
      <c r="Z295" s="399">
        <f>Input!V360</f>
        <v>0</v>
      </c>
      <c r="AA295" s="149"/>
      <c r="AB295" s="149"/>
      <c r="AC295" s="149"/>
      <c r="AD295" s="149"/>
      <c r="AE295" s="149"/>
      <c r="AF295" s="149"/>
      <c r="AG295" s="149"/>
      <c r="AH295" s="149"/>
      <c r="AI295" s="149"/>
      <c r="AJ295" s="149"/>
      <c r="AK295" s="149"/>
      <c r="AL295" s="149"/>
      <c r="AM295" s="149"/>
      <c r="AN295" s="149"/>
      <c r="AO295" s="149"/>
      <c r="AP295" s="149"/>
    </row>
    <row r="296" spans="1:42" x14ac:dyDescent="0.2">
      <c r="A296" s="278"/>
      <c r="B296" s="278"/>
      <c r="C296" s="278"/>
      <c r="D296" s="278"/>
      <c r="E296" s="278"/>
      <c r="F296" s="278"/>
      <c r="G296" s="278"/>
      <c r="H296" s="278"/>
      <c r="I296" s="278"/>
      <c r="J296" s="278"/>
      <c r="K296" s="278"/>
      <c r="L296" s="278"/>
      <c r="M296" s="278"/>
      <c r="N296" s="149"/>
      <c r="O296" s="149"/>
      <c r="P296" s="278"/>
      <c r="Q296" s="278"/>
      <c r="R296" s="278"/>
      <c r="S296" s="278"/>
      <c r="T296" s="149"/>
      <c r="U296" s="202">
        <f>Input!B361</f>
        <v>0</v>
      </c>
      <c r="V296" s="448">
        <f>Input!F361</f>
        <v>0</v>
      </c>
      <c r="W296" s="399">
        <f>Input!U361</f>
        <v>0</v>
      </c>
      <c r="X296" s="303">
        <f>Input!H361</f>
        <v>0</v>
      </c>
      <c r="Y296" s="448">
        <f>Input!I361</f>
        <v>0</v>
      </c>
      <c r="Z296" s="399">
        <f>Input!V361</f>
        <v>0</v>
      </c>
      <c r="AA296" s="149"/>
      <c r="AB296" s="149"/>
      <c r="AC296" s="149"/>
      <c r="AD296" s="149"/>
      <c r="AE296" s="149"/>
      <c r="AF296" s="149"/>
      <c r="AG296" s="149"/>
      <c r="AH296" s="149"/>
      <c r="AI296" s="149"/>
      <c r="AJ296" s="149"/>
      <c r="AK296" s="149"/>
      <c r="AL296" s="149"/>
      <c r="AM296" s="149"/>
      <c r="AN296" s="149"/>
      <c r="AO296" s="149"/>
      <c r="AP296" s="149"/>
    </row>
    <row r="297" spans="1:42" x14ac:dyDescent="0.2">
      <c r="A297" s="278"/>
      <c r="B297" s="278"/>
      <c r="C297" s="278"/>
      <c r="D297" s="278"/>
      <c r="E297" s="278"/>
      <c r="F297" s="278"/>
      <c r="G297" s="278"/>
      <c r="H297" s="278"/>
      <c r="I297" s="278"/>
      <c r="J297" s="278"/>
      <c r="K297" s="278"/>
      <c r="L297" s="278"/>
      <c r="M297" s="278"/>
      <c r="N297" s="149"/>
      <c r="O297" s="149"/>
      <c r="P297" s="278"/>
      <c r="Q297" s="278"/>
      <c r="R297" s="278"/>
      <c r="S297" s="278"/>
      <c r="T297" s="149"/>
      <c r="U297" s="202">
        <f>Input!B362</f>
        <v>0</v>
      </c>
      <c r="V297" s="448">
        <f>Input!F362</f>
        <v>0</v>
      </c>
      <c r="W297" s="399">
        <f>Input!U362</f>
        <v>0</v>
      </c>
      <c r="X297" s="303">
        <f>Input!H362</f>
        <v>0</v>
      </c>
      <c r="Y297" s="448">
        <f>Input!I362</f>
        <v>0</v>
      </c>
      <c r="Z297" s="399">
        <f>Input!V362</f>
        <v>0</v>
      </c>
      <c r="AA297" s="149"/>
      <c r="AB297" s="149"/>
      <c r="AC297" s="149"/>
      <c r="AD297" s="149"/>
      <c r="AE297" s="149"/>
      <c r="AF297" s="149"/>
      <c r="AG297" s="149"/>
      <c r="AH297" s="149"/>
      <c r="AI297" s="149"/>
      <c r="AJ297" s="149"/>
      <c r="AK297" s="149"/>
      <c r="AL297" s="149"/>
      <c r="AM297" s="149"/>
      <c r="AN297" s="149"/>
      <c r="AO297" s="149"/>
      <c r="AP297" s="149"/>
    </row>
    <row r="298" spans="1:42" x14ac:dyDescent="0.2">
      <c r="A298" s="278"/>
      <c r="B298" s="278"/>
      <c r="C298" s="278"/>
      <c r="D298" s="278"/>
      <c r="E298" s="278"/>
      <c r="F298" s="278"/>
      <c r="G298" s="278"/>
      <c r="H298" s="278"/>
      <c r="I298" s="278"/>
      <c r="J298" s="278"/>
      <c r="K298" s="278"/>
      <c r="L298" s="278"/>
      <c r="M298" s="278"/>
      <c r="N298" s="149"/>
      <c r="O298" s="149"/>
      <c r="P298" s="278"/>
      <c r="Q298" s="278"/>
      <c r="R298" s="278"/>
      <c r="S298" s="278"/>
      <c r="T298" s="149"/>
      <c r="U298" s="202">
        <f>Input!B363</f>
        <v>0</v>
      </c>
      <c r="V298" s="448">
        <f>Input!F363</f>
        <v>0</v>
      </c>
      <c r="W298" s="399">
        <f>Input!U363</f>
        <v>0</v>
      </c>
      <c r="X298" s="303">
        <f>Input!H363</f>
        <v>0</v>
      </c>
      <c r="Y298" s="448">
        <f>Input!I363</f>
        <v>0</v>
      </c>
      <c r="Z298" s="399">
        <f>Input!V363</f>
        <v>0</v>
      </c>
      <c r="AA298" s="149"/>
      <c r="AB298" s="149"/>
      <c r="AC298" s="149"/>
      <c r="AD298" s="149"/>
      <c r="AE298" s="149"/>
      <c r="AF298" s="149"/>
      <c r="AG298" s="149"/>
      <c r="AH298" s="149"/>
      <c r="AI298" s="149"/>
      <c r="AJ298" s="149"/>
      <c r="AK298" s="149"/>
      <c r="AL298" s="149"/>
      <c r="AM298" s="149"/>
      <c r="AN298" s="149"/>
      <c r="AO298" s="149"/>
      <c r="AP298" s="149"/>
    </row>
    <row r="299" spans="1:42" x14ac:dyDescent="0.2">
      <c r="A299" s="278"/>
      <c r="B299" s="278"/>
      <c r="C299" s="278"/>
      <c r="D299" s="278"/>
      <c r="E299" s="278"/>
      <c r="F299" s="278"/>
      <c r="G299" s="278"/>
      <c r="H299" s="278"/>
      <c r="I299" s="278"/>
      <c r="J299" s="278"/>
      <c r="K299" s="278"/>
      <c r="L299" s="278"/>
      <c r="M299" s="278"/>
      <c r="N299" s="149"/>
      <c r="O299" s="149"/>
      <c r="P299" s="278"/>
      <c r="Q299" s="278"/>
      <c r="R299" s="278"/>
      <c r="S299" s="278"/>
      <c r="T299" s="149"/>
      <c r="U299" s="202">
        <f>Input!B364</f>
        <v>0</v>
      </c>
      <c r="V299" s="448">
        <f>Input!F364</f>
        <v>0</v>
      </c>
      <c r="W299" s="399">
        <f>Input!U364</f>
        <v>0</v>
      </c>
      <c r="X299" s="303">
        <f>Input!H364</f>
        <v>0</v>
      </c>
      <c r="Y299" s="448">
        <f>Input!I364</f>
        <v>0</v>
      </c>
      <c r="Z299" s="399">
        <f>Input!V364</f>
        <v>0</v>
      </c>
      <c r="AA299" s="149"/>
      <c r="AB299" s="149"/>
      <c r="AC299" s="149"/>
      <c r="AD299" s="149"/>
      <c r="AE299" s="149"/>
      <c r="AF299" s="149"/>
      <c r="AG299" s="149"/>
      <c r="AH299" s="149"/>
      <c r="AI299" s="149"/>
      <c r="AJ299" s="149"/>
      <c r="AK299" s="149"/>
      <c r="AL299" s="149"/>
      <c r="AM299" s="149"/>
      <c r="AN299" s="149"/>
      <c r="AO299" s="149"/>
      <c r="AP299" s="149"/>
    </row>
    <row r="300" spans="1:42" x14ac:dyDescent="0.2">
      <c r="A300" s="278"/>
      <c r="B300" s="278"/>
      <c r="C300" s="278"/>
      <c r="D300" s="278"/>
      <c r="E300" s="278"/>
      <c r="F300" s="278"/>
      <c r="G300" s="278"/>
      <c r="H300" s="278"/>
      <c r="I300" s="278"/>
      <c r="J300" s="278"/>
      <c r="K300" s="278"/>
      <c r="L300" s="278"/>
      <c r="M300" s="278"/>
      <c r="N300" s="149"/>
      <c r="O300" s="149"/>
      <c r="P300" s="278"/>
      <c r="Q300" s="278"/>
      <c r="R300" s="278"/>
      <c r="S300" s="278"/>
      <c r="T300" s="149"/>
      <c r="U300" s="202">
        <f>Input!B365</f>
        <v>0</v>
      </c>
      <c r="V300" s="303">
        <f>Input!F365</f>
        <v>0</v>
      </c>
      <c r="W300" s="399">
        <f>Input!U365</f>
        <v>0</v>
      </c>
      <c r="X300" s="303">
        <f>Input!H365</f>
        <v>0</v>
      </c>
      <c r="Y300" s="303">
        <f>Input!I365</f>
        <v>0</v>
      </c>
      <c r="Z300" s="399">
        <f>Input!V365</f>
        <v>0</v>
      </c>
      <c r="AA300" s="149"/>
      <c r="AB300" s="149"/>
      <c r="AC300" s="149"/>
      <c r="AD300" s="149"/>
      <c r="AE300" s="149"/>
      <c r="AF300" s="149"/>
      <c r="AG300" s="149"/>
      <c r="AH300" s="149"/>
      <c r="AI300" s="149"/>
      <c r="AJ300" s="149"/>
      <c r="AK300" s="149"/>
      <c r="AL300" s="149"/>
      <c r="AM300" s="149"/>
      <c r="AN300" s="149"/>
      <c r="AO300" s="149"/>
      <c r="AP300" s="149"/>
    </row>
    <row r="301" spans="1:42" x14ac:dyDescent="0.2">
      <c r="A301" s="278"/>
      <c r="B301" s="278"/>
      <c r="C301" s="278"/>
      <c r="D301" s="278"/>
      <c r="E301" s="278"/>
      <c r="F301" s="278"/>
      <c r="G301" s="278"/>
      <c r="H301" s="278"/>
      <c r="I301" s="278"/>
      <c r="J301" s="278"/>
      <c r="K301" s="278"/>
      <c r="L301" s="278"/>
      <c r="M301" s="278"/>
      <c r="N301" s="149"/>
      <c r="O301" s="149"/>
      <c r="P301" s="278"/>
      <c r="Q301" s="278"/>
      <c r="R301" s="278"/>
      <c r="S301" s="278"/>
      <c r="T301" s="149"/>
      <c r="U301" s="202">
        <f>Input!B366</f>
        <v>0</v>
      </c>
      <c r="V301" s="303">
        <f>Input!F366</f>
        <v>0</v>
      </c>
      <c r="W301" s="399">
        <f>Input!U366</f>
        <v>0</v>
      </c>
      <c r="X301" s="303">
        <f>Input!H366</f>
        <v>0</v>
      </c>
      <c r="Y301" s="303">
        <f>Input!I366</f>
        <v>0</v>
      </c>
      <c r="Z301" s="399">
        <f>Input!V366</f>
        <v>0</v>
      </c>
      <c r="AA301" s="149"/>
      <c r="AB301" s="149"/>
      <c r="AC301" s="149"/>
      <c r="AD301" s="149"/>
      <c r="AE301" s="149"/>
      <c r="AF301" s="149"/>
      <c r="AG301" s="149"/>
      <c r="AH301" s="149"/>
      <c r="AI301" s="149"/>
      <c r="AJ301" s="149"/>
      <c r="AK301" s="149"/>
      <c r="AL301" s="149"/>
      <c r="AM301" s="149"/>
      <c r="AN301" s="149"/>
      <c r="AO301" s="149"/>
      <c r="AP301" s="149"/>
    </row>
    <row r="302" spans="1:42" x14ac:dyDescent="0.2">
      <c r="A302" s="278"/>
      <c r="B302" s="278"/>
      <c r="C302" s="278"/>
      <c r="D302" s="278"/>
      <c r="E302" s="278"/>
      <c r="F302" s="278"/>
      <c r="G302" s="278"/>
      <c r="H302" s="278"/>
      <c r="I302" s="278"/>
      <c r="J302" s="278"/>
      <c r="K302" s="278"/>
      <c r="L302" s="278"/>
      <c r="M302" s="278"/>
      <c r="N302" s="149"/>
      <c r="O302" s="149"/>
      <c r="P302" s="278"/>
      <c r="Q302" s="278"/>
      <c r="R302" s="278"/>
      <c r="S302" s="278"/>
      <c r="T302" s="149"/>
      <c r="U302" s="202">
        <f>Input!B367</f>
        <v>0</v>
      </c>
      <c r="V302" s="303">
        <f>Input!F367</f>
        <v>0</v>
      </c>
      <c r="W302" s="399">
        <f>Input!U367</f>
        <v>0</v>
      </c>
      <c r="X302" s="303">
        <f>Input!H367</f>
        <v>0</v>
      </c>
      <c r="Y302" s="303">
        <f>Input!I367</f>
        <v>0</v>
      </c>
      <c r="Z302" s="399">
        <f>Input!V367</f>
        <v>0</v>
      </c>
      <c r="AA302" s="149"/>
      <c r="AB302" s="149"/>
      <c r="AC302" s="149"/>
      <c r="AD302" s="149"/>
      <c r="AE302" s="149"/>
      <c r="AF302" s="149"/>
      <c r="AG302" s="149"/>
      <c r="AH302" s="149"/>
      <c r="AI302" s="149"/>
      <c r="AJ302" s="149"/>
      <c r="AK302" s="149"/>
      <c r="AL302" s="149"/>
      <c r="AM302" s="149"/>
      <c r="AN302" s="149"/>
      <c r="AO302" s="149"/>
      <c r="AP302" s="149"/>
    </row>
    <row r="303" spans="1:42" x14ac:dyDescent="0.2">
      <c r="A303" s="278"/>
      <c r="B303" s="278"/>
      <c r="C303" s="278"/>
      <c r="D303" s="278"/>
      <c r="E303" s="278"/>
      <c r="F303" s="278"/>
      <c r="G303" s="278"/>
      <c r="H303" s="278"/>
      <c r="I303" s="278"/>
      <c r="J303" s="278"/>
      <c r="K303" s="278"/>
      <c r="L303" s="278"/>
      <c r="M303" s="278"/>
      <c r="N303" s="149"/>
      <c r="O303" s="149"/>
      <c r="P303" s="278"/>
      <c r="Q303" s="278"/>
      <c r="R303" s="278"/>
      <c r="S303" s="278"/>
      <c r="T303" s="149"/>
      <c r="U303" s="202">
        <f>Input!B368</f>
        <v>0</v>
      </c>
      <c r="V303" s="303">
        <f>Input!F368</f>
        <v>0</v>
      </c>
      <c r="W303" s="399">
        <f>Input!U368</f>
        <v>0</v>
      </c>
      <c r="X303" s="303">
        <f>Input!H368</f>
        <v>0</v>
      </c>
      <c r="Y303" s="303">
        <f>Input!I368</f>
        <v>0</v>
      </c>
      <c r="Z303" s="399">
        <f>Input!V368</f>
        <v>0</v>
      </c>
      <c r="AA303" s="149"/>
      <c r="AB303" s="149"/>
      <c r="AC303" s="149"/>
      <c r="AD303" s="149"/>
      <c r="AE303" s="149"/>
      <c r="AF303" s="149"/>
      <c r="AG303" s="149"/>
      <c r="AH303" s="149"/>
      <c r="AI303" s="149"/>
      <c r="AJ303" s="149"/>
      <c r="AK303" s="149"/>
      <c r="AL303" s="149"/>
      <c r="AM303" s="149"/>
      <c r="AN303" s="149"/>
      <c r="AO303" s="149"/>
      <c r="AP303" s="149"/>
    </row>
    <row r="304" spans="1:42" x14ac:dyDescent="0.2">
      <c r="A304" s="278"/>
      <c r="B304" s="278"/>
      <c r="C304" s="278"/>
      <c r="D304" s="278"/>
      <c r="E304" s="278"/>
      <c r="F304" s="278"/>
      <c r="G304" s="278"/>
      <c r="H304" s="278"/>
      <c r="I304" s="278"/>
      <c r="J304" s="278"/>
      <c r="K304" s="278"/>
      <c r="L304" s="278"/>
      <c r="M304" s="278"/>
      <c r="N304" s="149"/>
      <c r="O304" s="149"/>
      <c r="P304" s="278"/>
      <c r="Q304" s="278"/>
      <c r="R304" s="278"/>
      <c r="S304" s="278"/>
      <c r="T304" s="149"/>
      <c r="U304" s="202">
        <f>Input!B369</f>
        <v>0</v>
      </c>
      <c r="V304" s="303">
        <f>Input!F369</f>
        <v>0</v>
      </c>
      <c r="W304" s="399">
        <f>Input!U369</f>
        <v>0</v>
      </c>
      <c r="X304" s="303">
        <f>Input!H369</f>
        <v>0</v>
      </c>
      <c r="Y304" s="303">
        <f>Input!I369</f>
        <v>0</v>
      </c>
      <c r="Z304" s="399">
        <f>Input!V369</f>
        <v>0</v>
      </c>
      <c r="AA304" s="149"/>
      <c r="AB304" s="149"/>
      <c r="AC304" s="149"/>
      <c r="AD304" s="149"/>
      <c r="AE304" s="149"/>
      <c r="AF304" s="149"/>
      <c r="AG304" s="149"/>
      <c r="AH304" s="149"/>
      <c r="AI304" s="149"/>
      <c r="AJ304" s="149"/>
      <c r="AK304" s="149"/>
      <c r="AL304" s="149"/>
      <c r="AM304" s="149"/>
      <c r="AN304" s="149"/>
      <c r="AO304" s="149"/>
      <c r="AP304" s="149"/>
    </row>
    <row r="305" spans="1:42" x14ac:dyDescent="0.2">
      <c r="A305" s="278"/>
      <c r="B305" s="278"/>
      <c r="C305" s="278"/>
      <c r="D305" s="278"/>
      <c r="E305" s="278"/>
      <c r="F305" s="278"/>
      <c r="G305" s="278"/>
      <c r="H305" s="278"/>
      <c r="I305" s="278"/>
      <c r="J305" s="278"/>
      <c r="K305" s="278"/>
      <c r="L305" s="278"/>
      <c r="M305" s="278"/>
      <c r="N305" s="149"/>
      <c r="O305" s="149"/>
      <c r="P305" s="278"/>
      <c r="Q305" s="278"/>
      <c r="R305" s="278"/>
      <c r="S305" s="278"/>
      <c r="T305" s="149"/>
      <c r="U305" s="202">
        <f>Input!B370</f>
        <v>0</v>
      </c>
      <c r="V305" s="303">
        <f>Input!F370</f>
        <v>0</v>
      </c>
      <c r="W305" s="399">
        <f>Input!U370</f>
        <v>0</v>
      </c>
      <c r="X305" s="303">
        <f>Input!H370</f>
        <v>0</v>
      </c>
      <c r="Y305" s="303">
        <f>Input!I370</f>
        <v>0</v>
      </c>
      <c r="Z305" s="399">
        <f>Input!V370</f>
        <v>0</v>
      </c>
      <c r="AA305" s="149"/>
      <c r="AB305" s="149"/>
      <c r="AC305" s="149"/>
      <c r="AD305" s="149"/>
      <c r="AE305" s="149"/>
      <c r="AF305" s="149"/>
      <c r="AG305" s="149"/>
      <c r="AH305" s="149"/>
      <c r="AI305" s="149"/>
      <c r="AJ305" s="149"/>
      <c r="AK305" s="149"/>
      <c r="AL305" s="149"/>
      <c r="AM305" s="149"/>
      <c r="AN305" s="149"/>
      <c r="AO305" s="149"/>
      <c r="AP305" s="149"/>
    </row>
    <row r="306" spans="1:42" x14ac:dyDescent="0.2">
      <c r="A306" s="278"/>
      <c r="B306" s="278"/>
      <c r="C306" s="278"/>
      <c r="D306" s="278"/>
      <c r="E306" s="278"/>
      <c r="F306" s="278"/>
      <c r="G306" s="278"/>
      <c r="H306" s="278"/>
      <c r="I306" s="278"/>
      <c r="J306" s="278"/>
      <c r="K306" s="278"/>
      <c r="L306" s="278"/>
      <c r="M306" s="278"/>
      <c r="N306" s="149"/>
      <c r="O306" s="149"/>
      <c r="P306" s="278"/>
      <c r="Q306" s="278"/>
      <c r="R306" s="278"/>
      <c r="S306" s="278"/>
      <c r="T306" s="149"/>
      <c r="U306" s="202">
        <f>Input!B371</f>
        <v>0</v>
      </c>
      <c r="V306" s="303">
        <f>Input!F371</f>
        <v>0</v>
      </c>
      <c r="W306" s="399">
        <f>Input!U371</f>
        <v>0</v>
      </c>
      <c r="X306" s="303">
        <f>Input!H371</f>
        <v>0</v>
      </c>
      <c r="Y306" s="303">
        <f>Input!I371</f>
        <v>0</v>
      </c>
      <c r="Z306" s="399">
        <f>Input!V371</f>
        <v>0</v>
      </c>
      <c r="AA306" s="149"/>
      <c r="AB306" s="149"/>
      <c r="AC306" s="149"/>
      <c r="AD306" s="149"/>
      <c r="AE306" s="149"/>
      <c r="AF306" s="149"/>
      <c r="AG306" s="149"/>
      <c r="AH306" s="149"/>
      <c r="AI306" s="149"/>
      <c r="AJ306" s="149"/>
      <c r="AK306" s="149"/>
      <c r="AL306" s="149"/>
      <c r="AM306" s="149"/>
      <c r="AN306" s="149"/>
      <c r="AO306" s="149"/>
      <c r="AP306" s="149"/>
    </row>
    <row r="307" spans="1:42" x14ac:dyDescent="0.2">
      <c r="A307" s="278"/>
      <c r="B307" s="278"/>
      <c r="C307" s="278"/>
      <c r="D307" s="278"/>
      <c r="E307" s="278"/>
      <c r="F307" s="278"/>
      <c r="G307" s="278"/>
      <c r="H307" s="278"/>
      <c r="I307" s="278"/>
      <c r="J307" s="278"/>
      <c r="K307" s="278"/>
      <c r="L307" s="278"/>
      <c r="M307" s="278"/>
      <c r="N307" s="149"/>
      <c r="O307" s="149"/>
      <c r="P307" s="278"/>
      <c r="Q307" s="278"/>
      <c r="R307" s="278"/>
      <c r="S307" s="278"/>
      <c r="T307" s="149"/>
      <c r="U307" s="202">
        <f>Input!B372</f>
        <v>0</v>
      </c>
      <c r="V307" s="303">
        <f>Input!F372</f>
        <v>0</v>
      </c>
      <c r="W307" s="399">
        <f>Input!U372</f>
        <v>0</v>
      </c>
      <c r="X307" s="303">
        <f>Input!H372</f>
        <v>0</v>
      </c>
      <c r="Y307" s="303">
        <f>Input!I372</f>
        <v>0</v>
      </c>
      <c r="Z307" s="399">
        <f>Input!V372</f>
        <v>0</v>
      </c>
      <c r="AA307" s="149"/>
      <c r="AB307" s="149"/>
      <c r="AC307" s="149"/>
      <c r="AD307" s="149"/>
      <c r="AE307" s="149"/>
      <c r="AF307" s="149"/>
      <c r="AG307" s="149"/>
      <c r="AH307" s="149"/>
      <c r="AI307" s="149"/>
      <c r="AJ307" s="149"/>
      <c r="AK307" s="149"/>
      <c r="AL307" s="149"/>
      <c r="AM307" s="149"/>
      <c r="AN307" s="149"/>
      <c r="AO307" s="149"/>
      <c r="AP307" s="149"/>
    </row>
    <row r="308" spans="1:42" x14ac:dyDescent="0.2">
      <c r="A308" s="278"/>
      <c r="B308" s="278"/>
      <c r="C308" s="278"/>
      <c r="D308" s="278"/>
      <c r="E308" s="278"/>
      <c r="F308" s="278"/>
      <c r="G308" s="278"/>
      <c r="H308" s="278"/>
      <c r="I308" s="278"/>
      <c r="J308" s="278"/>
      <c r="K308" s="278"/>
      <c r="L308" s="278"/>
      <c r="M308" s="278"/>
      <c r="N308" s="149"/>
      <c r="O308" s="149"/>
      <c r="P308" s="278"/>
      <c r="Q308" s="278"/>
      <c r="R308" s="278"/>
      <c r="S308" s="278"/>
      <c r="T308" s="149"/>
      <c r="U308" s="202">
        <f>Input!B373</f>
        <v>0</v>
      </c>
      <c r="V308" s="303">
        <f>Input!F373</f>
        <v>0</v>
      </c>
      <c r="W308" s="399">
        <f>Input!U373</f>
        <v>0</v>
      </c>
      <c r="X308" s="303">
        <f>Input!H373</f>
        <v>0</v>
      </c>
      <c r="Y308" s="303">
        <f>Input!I373</f>
        <v>0</v>
      </c>
      <c r="Z308" s="399">
        <f>Input!V373</f>
        <v>0</v>
      </c>
      <c r="AA308" s="149"/>
      <c r="AB308" s="149"/>
      <c r="AC308" s="149"/>
      <c r="AD308" s="149"/>
      <c r="AE308" s="149"/>
      <c r="AF308" s="149"/>
      <c r="AG308" s="149"/>
      <c r="AH308" s="149"/>
      <c r="AI308" s="149"/>
      <c r="AJ308" s="149"/>
      <c r="AK308" s="149"/>
      <c r="AL308" s="149"/>
      <c r="AM308" s="149"/>
      <c r="AN308" s="149"/>
      <c r="AO308" s="149"/>
      <c r="AP308" s="149"/>
    </row>
    <row r="309" spans="1:42" x14ac:dyDescent="0.2">
      <c r="A309" s="278"/>
      <c r="B309" s="278"/>
      <c r="C309" s="278"/>
      <c r="D309" s="278"/>
      <c r="E309" s="278"/>
      <c r="F309" s="278"/>
      <c r="G309" s="278"/>
      <c r="H309" s="278"/>
      <c r="I309" s="278"/>
      <c r="J309" s="278"/>
      <c r="K309" s="278"/>
      <c r="L309" s="278"/>
      <c r="M309" s="278"/>
      <c r="N309" s="149"/>
      <c r="O309" s="149"/>
      <c r="P309" s="278"/>
      <c r="Q309" s="278"/>
      <c r="R309" s="278"/>
      <c r="S309" s="278"/>
      <c r="T309" s="149"/>
      <c r="U309" s="202">
        <f>Input!B374</f>
        <v>0</v>
      </c>
      <c r="V309" s="303">
        <f>Input!F374</f>
        <v>0</v>
      </c>
      <c r="W309" s="399">
        <f>Input!U374</f>
        <v>0</v>
      </c>
      <c r="X309" s="303">
        <f>Input!H374</f>
        <v>0</v>
      </c>
      <c r="Y309" s="303">
        <f>Input!I374</f>
        <v>0</v>
      </c>
      <c r="Z309" s="399">
        <f>Input!V374</f>
        <v>0</v>
      </c>
      <c r="AA309" s="149"/>
      <c r="AB309" s="149"/>
      <c r="AC309" s="149"/>
      <c r="AD309" s="149"/>
      <c r="AE309" s="149"/>
      <c r="AF309" s="149"/>
      <c r="AG309" s="149"/>
      <c r="AH309" s="149"/>
      <c r="AI309" s="149"/>
      <c r="AJ309" s="149"/>
      <c r="AK309" s="149"/>
      <c r="AL309" s="149"/>
      <c r="AM309" s="149"/>
      <c r="AN309" s="149"/>
      <c r="AO309" s="149"/>
      <c r="AP309" s="149"/>
    </row>
    <row r="310" spans="1:42" x14ac:dyDescent="0.2">
      <c r="A310" s="278"/>
      <c r="B310" s="278"/>
      <c r="C310" s="278"/>
      <c r="D310" s="278"/>
      <c r="E310" s="278"/>
      <c r="F310" s="278"/>
      <c r="G310" s="278"/>
      <c r="H310" s="278"/>
      <c r="I310" s="278"/>
      <c r="J310" s="278"/>
      <c r="K310" s="278"/>
      <c r="L310" s="278"/>
      <c r="M310" s="278"/>
      <c r="N310" s="149"/>
      <c r="O310" s="149"/>
      <c r="P310" s="278"/>
      <c r="Q310" s="278"/>
      <c r="R310" s="278"/>
      <c r="S310" s="278"/>
      <c r="T310" s="149"/>
      <c r="U310" s="202">
        <f>Input!B375</f>
        <v>0</v>
      </c>
      <c r="V310" s="303">
        <f>Input!F375</f>
        <v>0</v>
      </c>
      <c r="W310" s="399">
        <f>Input!U375</f>
        <v>0</v>
      </c>
      <c r="X310" s="303">
        <f>Input!H375</f>
        <v>0</v>
      </c>
      <c r="Y310" s="303">
        <f>Input!I375</f>
        <v>0</v>
      </c>
      <c r="Z310" s="399">
        <f>Input!V375</f>
        <v>0</v>
      </c>
      <c r="AA310" s="149"/>
      <c r="AB310" s="149"/>
      <c r="AC310" s="149"/>
      <c r="AD310" s="149"/>
      <c r="AE310" s="149"/>
      <c r="AF310" s="149"/>
      <c r="AG310" s="149"/>
      <c r="AH310" s="149"/>
      <c r="AI310" s="149"/>
      <c r="AJ310" s="149"/>
      <c r="AK310" s="149"/>
      <c r="AL310" s="149"/>
      <c r="AM310" s="149"/>
      <c r="AN310" s="149"/>
      <c r="AO310" s="149"/>
      <c r="AP310" s="149"/>
    </row>
    <row r="311" spans="1:42" x14ac:dyDescent="0.2">
      <c r="A311" s="278"/>
      <c r="B311" s="278"/>
      <c r="C311" s="278"/>
      <c r="D311" s="278"/>
      <c r="E311" s="278"/>
      <c r="F311" s="278"/>
      <c r="G311" s="278"/>
      <c r="H311" s="278"/>
      <c r="I311" s="278"/>
      <c r="J311" s="278"/>
      <c r="K311" s="278"/>
      <c r="L311" s="278"/>
      <c r="M311" s="278"/>
      <c r="N311" s="149"/>
      <c r="O311" s="149"/>
      <c r="P311" s="278"/>
      <c r="Q311" s="278"/>
      <c r="R311" s="278"/>
      <c r="S311" s="278"/>
      <c r="T311" s="149"/>
      <c r="U311" s="202">
        <f>Input!B376</f>
        <v>0</v>
      </c>
      <c r="V311" s="303">
        <f>Input!F376</f>
        <v>0</v>
      </c>
      <c r="W311" s="399">
        <f>Input!U376</f>
        <v>0</v>
      </c>
      <c r="X311" s="303">
        <f>Input!H376</f>
        <v>0</v>
      </c>
      <c r="Y311" s="303">
        <f>Input!I376</f>
        <v>0</v>
      </c>
      <c r="Z311" s="399">
        <f>Input!V376</f>
        <v>0</v>
      </c>
      <c r="AA311" s="149"/>
      <c r="AB311" s="149"/>
      <c r="AC311" s="149"/>
      <c r="AD311" s="149"/>
      <c r="AE311" s="149"/>
      <c r="AF311" s="149"/>
      <c r="AG311" s="149"/>
      <c r="AH311" s="149"/>
      <c r="AI311" s="149"/>
      <c r="AJ311" s="149"/>
      <c r="AK311" s="149"/>
      <c r="AL311" s="149"/>
      <c r="AM311" s="149"/>
      <c r="AN311" s="149"/>
      <c r="AO311" s="149"/>
      <c r="AP311" s="149"/>
    </row>
    <row r="312" spans="1:42" x14ac:dyDescent="0.2">
      <c r="A312" s="278"/>
      <c r="B312" s="278"/>
      <c r="C312" s="278"/>
      <c r="D312" s="278"/>
      <c r="E312" s="278"/>
      <c r="F312" s="278"/>
      <c r="G312" s="278"/>
      <c r="H312" s="278"/>
      <c r="I312" s="278"/>
      <c r="J312" s="278"/>
      <c r="K312" s="278"/>
      <c r="L312" s="278"/>
      <c r="M312" s="278"/>
      <c r="N312" s="149"/>
      <c r="O312" s="149"/>
      <c r="P312" s="278"/>
      <c r="Q312" s="278"/>
      <c r="R312" s="278"/>
      <c r="S312" s="278"/>
      <c r="T312" s="149"/>
      <c r="U312" s="202">
        <f>Input!B377</f>
        <v>0</v>
      </c>
      <c r="V312" s="303">
        <f>Input!F377</f>
        <v>0</v>
      </c>
      <c r="W312" s="399">
        <f>Input!U377</f>
        <v>0</v>
      </c>
      <c r="X312" s="303">
        <f>Input!H377</f>
        <v>0</v>
      </c>
      <c r="Y312" s="303">
        <f>Input!I377</f>
        <v>0</v>
      </c>
      <c r="Z312" s="399">
        <f>Input!V377</f>
        <v>0</v>
      </c>
      <c r="AA312" s="149"/>
      <c r="AB312" s="149"/>
      <c r="AC312" s="149"/>
      <c r="AD312" s="149"/>
      <c r="AE312" s="149"/>
      <c r="AF312" s="149"/>
      <c r="AG312" s="149"/>
      <c r="AH312" s="149"/>
      <c r="AI312" s="149"/>
      <c r="AJ312" s="149"/>
      <c r="AK312" s="149"/>
      <c r="AL312" s="149"/>
      <c r="AM312" s="149"/>
      <c r="AN312" s="149"/>
      <c r="AO312" s="149"/>
      <c r="AP312" s="149"/>
    </row>
    <row r="313" spans="1:42" x14ac:dyDescent="0.2">
      <c r="A313" s="278"/>
      <c r="B313" s="278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149"/>
      <c r="O313" s="149"/>
      <c r="P313" s="278"/>
      <c r="Q313" s="278"/>
      <c r="R313" s="278"/>
      <c r="S313" s="278"/>
      <c r="T313" s="149"/>
      <c r="U313" s="202">
        <f>Input!B378</f>
        <v>0</v>
      </c>
      <c r="V313" s="303">
        <f>Input!F378</f>
        <v>0</v>
      </c>
      <c r="W313" s="399">
        <f>Input!U378</f>
        <v>0</v>
      </c>
      <c r="X313" s="303">
        <f>Input!H378</f>
        <v>0</v>
      </c>
      <c r="Y313" s="303">
        <f>Input!I378</f>
        <v>0</v>
      </c>
      <c r="Z313" s="399">
        <f>Input!V378</f>
        <v>0</v>
      </c>
      <c r="AA313" s="149"/>
      <c r="AB313" s="149"/>
      <c r="AC313" s="149"/>
      <c r="AD313" s="149"/>
      <c r="AE313" s="149"/>
      <c r="AF313" s="149"/>
      <c r="AG313" s="149"/>
      <c r="AH313" s="149"/>
      <c r="AI313" s="149"/>
      <c r="AJ313" s="149"/>
      <c r="AK313" s="149"/>
      <c r="AL313" s="149"/>
      <c r="AM313" s="149"/>
      <c r="AN313" s="149"/>
      <c r="AO313" s="149"/>
      <c r="AP313" s="149"/>
    </row>
    <row r="314" spans="1:42" x14ac:dyDescent="0.2">
      <c r="A314" s="278"/>
      <c r="B314" s="278"/>
      <c r="C314" s="278"/>
      <c r="D314" s="278"/>
      <c r="E314" s="278"/>
      <c r="F314" s="278"/>
      <c r="G314" s="278"/>
      <c r="H314" s="278"/>
      <c r="I314" s="278"/>
      <c r="J314" s="278"/>
      <c r="K314" s="278"/>
      <c r="L314" s="278"/>
      <c r="M314" s="278"/>
      <c r="N314" s="149"/>
      <c r="O314" s="149"/>
      <c r="P314" s="278"/>
      <c r="Q314" s="278"/>
      <c r="R314" s="278"/>
      <c r="S314" s="278"/>
      <c r="T314" s="149"/>
      <c r="U314" s="202">
        <f>Input!B379</f>
        <v>0</v>
      </c>
      <c r="V314" s="303">
        <f>Input!F379</f>
        <v>0</v>
      </c>
      <c r="W314" s="399">
        <f>Input!U379</f>
        <v>0</v>
      </c>
      <c r="X314" s="303">
        <f>Input!H379</f>
        <v>0</v>
      </c>
      <c r="Y314" s="303">
        <f>Input!I379</f>
        <v>0</v>
      </c>
      <c r="Z314" s="399">
        <f>Input!V379</f>
        <v>0</v>
      </c>
      <c r="AA314" s="149"/>
      <c r="AB314" s="149"/>
      <c r="AC314" s="149"/>
      <c r="AD314" s="149"/>
      <c r="AE314" s="149"/>
      <c r="AF314" s="149"/>
      <c r="AG314" s="149"/>
      <c r="AH314" s="149"/>
      <c r="AI314" s="149"/>
      <c r="AJ314" s="149"/>
      <c r="AK314" s="149"/>
      <c r="AL314" s="149"/>
      <c r="AM314" s="149"/>
      <c r="AN314" s="149"/>
      <c r="AO314" s="149"/>
      <c r="AP314" s="149"/>
    </row>
    <row r="315" spans="1:42" x14ac:dyDescent="0.2">
      <c r="A315" s="278"/>
      <c r="B315" s="278"/>
      <c r="C315" s="278"/>
      <c r="D315" s="278"/>
      <c r="E315" s="278"/>
      <c r="F315" s="278"/>
      <c r="G315" s="278"/>
      <c r="H315" s="278"/>
      <c r="I315" s="278"/>
      <c r="J315" s="278"/>
      <c r="K315" s="278"/>
      <c r="L315" s="278"/>
      <c r="M315" s="278"/>
      <c r="N315" s="149"/>
      <c r="O315" s="149"/>
      <c r="P315" s="278"/>
      <c r="Q315" s="278"/>
      <c r="R315" s="278"/>
      <c r="S315" s="278"/>
      <c r="T315" s="149"/>
      <c r="U315" s="202">
        <f>Input!B380</f>
        <v>0</v>
      </c>
      <c r="V315" s="303">
        <f>Input!F380</f>
        <v>0</v>
      </c>
      <c r="W315" s="399">
        <f>Input!U380</f>
        <v>0</v>
      </c>
      <c r="X315" s="303">
        <f>Input!H380</f>
        <v>0</v>
      </c>
      <c r="Y315" s="303">
        <f>Input!I380</f>
        <v>0</v>
      </c>
      <c r="Z315" s="399">
        <f>Input!V380</f>
        <v>0</v>
      </c>
      <c r="AA315" s="149"/>
      <c r="AB315" s="149"/>
      <c r="AC315" s="149"/>
      <c r="AD315" s="149"/>
      <c r="AE315" s="149"/>
      <c r="AF315" s="149"/>
      <c r="AG315" s="149"/>
      <c r="AH315" s="149"/>
      <c r="AI315" s="149"/>
      <c r="AJ315" s="149"/>
      <c r="AK315" s="149"/>
      <c r="AL315" s="149"/>
      <c r="AM315" s="149"/>
      <c r="AN315" s="149"/>
      <c r="AO315" s="149"/>
      <c r="AP315" s="149"/>
    </row>
    <row r="316" spans="1:42" x14ac:dyDescent="0.2">
      <c r="A316" s="278"/>
      <c r="B316" s="278"/>
      <c r="C316" s="278"/>
      <c r="D316" s="278"/>
      <c r="E316" s="278"/>
      <c r="F316" s="278"/>
      <c r="G316" s="278"/>
      <c r="H316" s="278"/>
      <c r="I316" s="278"/>
      <c r="J316" s="278"/>
      <c r="K316" s="278"/>
      <c r="L316" s="278"/>
      <c r="M316" s="278"/>
      <c r="N316" s="149"/>
      <c r="O316" s="149"/>
      <c r="P316" s="278"/>
      <c r="Q316" s="278"/>
      <c r="R316" s="278"/>
      <c r="S316" s="278"/>
      <c r="T316" s="149"/>
      <c r="U316" s="202">
        <f>Input!B381</f>
        <v>0</v>
      </c>
      <c r="V316" s="303">
        <f>Input!F381</f>
        <v>0</v>
      </c>
      <c r="W316" s="399">
        <f>Input!U381</f>
        <v>0</v>
      </c>
      <c r="X316" s="303">
        <f>Input!H381</f>
        <v>0</v>
      </c>
      <c r="Y316" s="303">
        <f>Input!I381</f>
        <v>0</v>
      </c>
      <c r="Z316" s="399">
        <f>Input!V381</f>
        <v>0</v>
      </c>
      <c r="AA316" s="149"/>
      <c r="AB316" s="149"/>
      <c r="AC316" s="149"/>
      <c r="AD316" s="149"/>
      <c r="AE316" s="149"/>
      <c r="AF316" s="149"/>
      <c r="AG316" s="149"/>
      <c r="AH316" s="149"/>
      <c r="AI316" s="149"/>
      <c r="AJ316" s="149"/>
      <c r="AK316" s="149"/>
      <c r="AL316" s="149"/>
      <c r="AM316" s="149"/>
      <c r="AN316" s="149"/>
      <c r="AO316" s="149"/>
      <c r="AP316" s="149"/>
    </row>
    <row r="317" spans="1:42" x14ac:dyDescent="0.2">
      <c r="A317" s="278"/>
      <c r="B317" s="278"/>
      <c r="C317" s="278"/>
      <c r="D317" s="278"/>
      <c r="E317" s="278"/>
      <c r="F317" s="278"/>
      <c r="G317" s="278"/>
      <c r="H317" s="278"/>
      <c r="I317" s="278"/>
      <c r="J317" s="278"/>
      <c r="K317" s="278"/>
      <c r="L317" s="278"/>
      <c r="M317" s="278"/>
      <c r="N317" s="149"/>
      <c r="O317" s="149"/>
      <c r="P317" s="278"/>
      <c r="Q317" s="278"/>
      <c r="R317" s="278"/>
      <c r="S317" s="278"/>
      <c r="T317" s="149"/>
      <c r="U317" s="202">
        <f>Input!B382</f>
        <v>0</v>
      </c>
      <c r="V317" s="303">
        <f>Input!F382</f>
        <v>0</v>
      </c>
      <c r="W317" s="399">
        <f>Input!U382</f>
        <v>0</v>
      </c>
      <c r="X317" s="303">
        <f>Input!H382</f>
        <v>0</v>
      </c>
      <c r="Y317" s="303">
        <f>Input!I382</f>
        <v>0</v>
      </c>
      <c r="Z317" s="399">
        <f>Input!V382</f>
        <v>0</v>
      </c>
      <c r="AA317" s="149"/>
      <c r="AB317" s="149"/>
      <c r="AC317" s="149"/>
      <c r="AD317" s="149"/>
      <c r="AE317" s="149"/>
      <c r="AF317" s="149"/>
      <c r="AG317" s="149"/>
      <c r="AH317" s="149"/>
      <c r="AI317" s="149"/>
      <c r="AJ317" s="149"/>
      <c r="AK317" s="149"/>
      <c r="AL317" s="149"/>
      <c r="AM317" s="149"/>
      <c r="AN317" s="149"/>
      <c r="AO317" s="149"/>
      <c r="AP317" s="149"/>
    </row>
    <row r="318" spans="1:42" x14ac:dyDescent="0.2">
      <c r="A318" s="278"/>
      <c r="B318" s="278"/>
      <c r="C318" s="278"/>
      <c r="D318" s="278"/>
      <c r="E318" s="278"/>
      <c r="F318" s="278"/>
      <c r="G318" s="278"/>
      <c r="H318" s="278"/>
      <c r="I318" s="278"/>
      <c r="J318" s="278"/>
      <c r="K318" s="278"/>
      <c r="L318" s="278"/>
      <c r="M318" s="278"/>
      <c r="N318" s="149"/>
      <c r="O318" s="149"/>
      <c r="P318" s="278"/>
      <c r="Q318" s="278"/>
      <c r="R318" s="278"/>
      <c r="S318" s="278"/>
      <c r="T318" s="149"/>
      <c r="U318" s="202">
        <f>Input!B383</f>
        <v>0</v>
      </c>
      <c r="V318" s="303">
        <f>Input!F383</f>
        <v>0</v>
      </c>
      <c r="W318" s="399">
        <f>Input!U383</f>
        <v>0</v>
      </c>
      <c r="X318" s="303">
        <f>Input!H383</f>
        <v>0</v>
      </c>
      <c r="Y318" s="303">
        <f>Input!I383</f>
        <v>0</v>
      </c>
      <c r="Z318" s="399">
        <f>Input!V383</f>
        <v>0</v>
      </c>
      <c r="AA318" s="149"/>
      <c r="AB318" s="149"/>
      <c r="AC318" s="149"/>
      <c r="AD318" s="149"/>
      <c r="AE318" s="149"/>
      <c r="AF318" s="149"/>
      <c r="AG318" s="149"/>
      <c r="AH318" s="149"/>
      <c r="AI318" s="149"/>
      <c r="AJ318" s="149"/>
      <c r="AK318" s="149"/>
      <c r="AL318" s="149"/>
      <c r="AM318" s="149"/>
      <c r="AN318" s="149"/>
      <c r="AO318" s="149"/>
      <c r="AP318" s="149"/>
    </row>
    <row r="319" spans="1:42" x14ac:dyDescent="0.2">
      <c r="A319" s="278"/>
      <c r="B319" s="278"/>
      <c r="C319" s="278"/>
      <c r="D319" s="278"/>
      <c r="E319" s="278"/>
      <c r="F319" s="278"/>
      <c r="G319" s="278"/>
      <c r="H319" s="278"/>
      <c r="I319" s="278"/>
      <c r="J319" s="278"/>
      <c r="K319" s="278"/>
      <c r="L319" s="278"/>
      <c r="M319" s="278"/>
      <c r="N319" s="149"/>
      <c r="O319" s="149"/>
      <c r="P319" s="278"/>
      <c r="Q319" s="278"/>
      <c r="R319" s="278"/>
      <c r="S319" s="278"/>
      <c r="T319" s="149"/>
      <c r="U319" s="202">
        <f>Input!B384</f>
        <v>0</v>
      </c>
      <c r="V319" s="303">
        <f>Input!F384</f>
        <v>0</v>
      </c>
      <c r="W319" s="399">
        <f>Input!U384</f>
        <v>0</v>
      </c>
      <c r="X319" s="303">
        <f>Input!H384</f>
        <v>0</v>
      </c>
      <c r="Y319" s="303">
        <f>Input!I384</f>
        <v>0</v>
      </c>
      <c r="Z319" s="399">
        <f>Input!V384</f>
        <v>0</v>
      </c>
      <c r="AA319" s="149"/>
      <c r="AB319" s="149"/>
      <c r="AC319" s="149"/>
      <c r="AD319" s="149"/>
      <c r="AE319" s="149"/>
      <c r="AF319" s="149"/>
      <c r="AG319" s="149"/>
      <c r="AH319" s="149"/>
      <c r="AI319" s="149"/>
      <c r="AJ319" s="149"/>
      <c r="AK319" s="149"/>
      <c r="AL319" s="149"/>
      <c r="AM319" s="149"/>
      <c r="AN319" s="149"/>
      <c r="AO319" s="149"/>
      <c r="AP319" s="149"/>
    </row>
    <row r="320" spans="1:42" x14ac:dyDescent="0.2">
      <c r="A320" s="278"/>
      <c r="B320" s="278"/>
      <c r="C320" s="278"/>
      <c r="D320" s="278"/>
      <c r="E320" s="278"/>
      <c r="F320" s="278"/>
      <c r="G320" s="278"/>
      <c r="H320" s="278"/>
      <c r="I320" s="278"/>
      <c r="J320" s="278"/>
      <c r="K320" s="278"/>
      <c r="L320" s="278"/>
      <c r="M320" s="278"/>
      <c r="N320" s="149"/>
      <c r="O320" s="149"/>
      <c r="P320" s="278"/>
      <c r="Q320" s="278"/>
      <c r="R320" s="278"/>
      <c r="S320" s="278"/>
      <c r="T320" s="149"/>
      <c r="U320" s="202">
        <f>Input!B385</f>
        <v>0</v>
      </c>
      <c r="V320" s="303">
        <f>Input!F385</f>
        <v>0</v>
      </c>
      <c r="W320" s="399">
        <f>Input!U385</f>
        <v>0</v>
      </c>
      <c r="X320" s="303">
        <f>Input!H385</f>
        <v>0</v>
      </c>
      <c r="Y320" s="303">
        <f>Input!I385</f>
        <v>0</v>
      </c>
      <c r="Z320" s="399">
        <f>Input!V385</f>
        <v>0</v>
      </c>
      <c r="AA320" s="149"/>
      <c r="AB320" s="149"/>
      <c r="AC320" s="149"/>
      <c r="AD320" s="149"/>
      <c r="AE320" s="149"/>
      <c r="AF320" s="149"/>
      <c r="AG320" s="149"/>
      <c r="AH320" s="149"/>
      <c r="AI320" s="149"/>
      <c r="AJ320" s="149"/>
      <c r="AK320" s="149"/>
      <c r="AL320" s="149"/>
      <c r="AM320" s="149"/>
      <c r="AN320" s="149"/>
      <c r="AO320" s="149"/>
      <c r="AP320" s="149"/>
    </row>
    <row r="321" spans="1:42" x14ac:dyDescent="0.2">
      <c r="A321" s="278"/>
      <c r="B321" s="278"/>
      <c r="C321" s="278"/>
      <c r="D321" s="278"/>
      <c r="E321" s="278"/>
      <c r="F321" s="278"/>
      <c r="G321" s="278"/>
      <c r="H321" s="278"/>
      <c r="I321" s="278"/>
      <c r="J321" s="278"/>
      <c r="K321" s="278"/>
      <c r="L321" s="278"/>
      <c r="M321" s="278"/>
      <c r="N321" s="149"/>
      <c r="O321" s="149"/>
      <c r="P321" s="278"/>
      <c r="Q321" s="278"/>
      <c r="R321" s="278"/>
      <c r="S321" s="278"/>
      <c r="T321" s="149"/>
      <c r="U321" s="202">
        <f>Input!B386</f>
        <v>0</v>
      </c>
      <c r="V321" s="303">
        <f>Input!F386</f>
        <v>0</v>
      </c>
      <c r="W321" s="399">
        <f>Input!U386</f>
        <v>0</v>
      </c>
      <c r="X321" s="303">
        <f>Input!H386</f>
        <v>0</v>
      </c>
      <c r="Y321" s="303">
        <f>Input!I386</f>
        <v>0</v>
      </c>
      <c r="Z321" s="399">
        <f>Input!V386</f>
        <v>0</v>
      </c>
      <c r="AA321" s="149"/>
      <c r="AB321" s="149"/>
      <c r="AC321" s="149"/>
      <c r="AD321" s="149"/>
      <c r="AE321" s="149"/>
      <c r="AF321" s="149"/>
      <c r="AG321" s="149"/>
      <c r="AH321" s="149"/>
      <c r="AI321" s="149"/>
      <c r="AJ321" s="149"/>
      <c r="AK321" s="149"/>
      <c r="AL321" s="149"/>
      <c r="AM321" s="149"/>
      <c r="AN321" s="149"/>
      <c r="AO321" s="149"/>
      <c r="AP321" s="149"/>
    </row>
    <row r="322" spans="1:42" x14ac:dyDescent="0.2">
      <c r="A322" s="278"/>
      <c r="B322" s="278"/>
      <c r="C322" s="278"/>
      <c r="D322" s="278"/>
      <c r="E322" s="278"/>
      <c r="F322" s="278"/>
      <c r="G322" s="278"/>
      <c r="H322" s="278"/>
      <c r="I322" s="278"/>
      <c r="J322" s="278"/>
      <c r="K322" s="278"/>
      <c r="L322" s="278"/>
      <c r="M322" s="278"/>
      <c r="N322" s="149"/>
      <c r="O322" s="149"/>
      <c r="P322" s="278"/>
      <c r="Q322" s="278"/>
      <c r="R322" s="278"/>
      <c r="S322" s="278"/>
      <c r="T322" s="149"/>
      <c r="U322" s="202">
        <f>Input!B387</f>
        <v>0</v>
      </c>
      <c r="V322" s="303">
        <f>Input!F387</f>
        <v>0</v>
      </c>
      <c r="W322" s="399">
        <f>Input!U387</f>
        <v>0</v>
      </c>
      <c r="X322" s="303">
        <f>Input!H387</f>
        <v>0</v>
      </c>
      <c r="Y322" s="303">
        <f>Input!I387</f>
        <v>0</v>
      </c>
      <c r="Z322" s="399">
        <f>Input!V387</f>
        <v>0</v>
      </c>
      <c r="AA322" s="149"/>
      <c r="AB322" s="149"/>
      <c r="AC322" s="149"/>
      <c r="AD322" s="149"/>
      <c r="AE322" s="149"/>
      <c r="AF322" s="149"/>
      <c r="AG322" s="149"/>
      <c r="AH322" s="149"/>
      <c r="AI322" s="149"/>
      <c r="AJ322" s="149"/>
      <c r="AK322" s="149"/>
      <c r="AL322" s="149"/>
      <c r="AM322" s="149"/>
      <c r="AN322" s="149"/>
      <c r="AO322" s="149"/>
      <c r="AP322" s="149"/>
    </row>
    <row r="323" spans="1:42" x14ac:dyDescent="0.2">
      <c r="A323" s="278"/>
      <c r="B323" s="278"/>
      <c r="C323" s="278"/>
      <c r="D323" s="278"/>
      <c r="E323" s="278"/>
      <c r="F323" s="278"/>
      <c r="G323" s="278"/>
      <c r="H323" s="278"/>
      <c r="I323" s="278"/>
      <c r="J323" s="278"/>
      <c r="K323" s="278"/>
      <c r="L323" s="278"/>
      <c r="M323" s="278"/>
      <c r="N323" s="149"/>
      <c r="O323" s="149"/>
      <c r="P323" s="278"/>
      <c r="Q323" s="278"/>
      <c r="R323" s="278"/>
      <c r="S323" s="278"/>
      <c r="T323" s="149"/>
      <c r="U323" s="202">
        <f>Input!B388</f>
        <v>0</v>
      </c>
      <c r="V323" s="303">
        <f>Input!F388</f>
        <v>0</v>
      </c>
      <c r="W323" s="399">
        <f>Input!U388</f>
        <v>0</v>
      </c>
      <c r="X323" s="303">
        <f>Input!H388</f>
        <v>0</v>
      </c>
      <c r="Y323" s="303">
        <f>Input!I388</f>
        <v>0</v>
      </c>
      <c r="Z323" s="399">
        <f>Input!V388</f>
        <v>0</v>
      </c>
      <c r="AA323" s="149"/>
      <c r="AB323" s="149"/>
      <c r="AC323" s="149"/>
      <c r="AD323" s="149"/>
      <c r="AE323" s="149"/>
      <c r="AF323" s="149"/>
      <c r="AG323" s="149"/>
      <c r="AH323" s="149"/>
      <c r="AI323" s="149"/>
      <c r="AJ323" s="149"/>
      <c r="AK323" s="149"/>
      <c r="AL323" s="149"/>
      <c r="AM323" s="149"/>
      <c r="AN323" s="149"/>
      <c r="AO323" s="149"/>
      <c r="AP323" s="149"/>
    </row>
    <row r="324" spans="1:42" x14ac:dyDescent="0.2">
      <c r="A324" s="278"/>
      <c r="B324" s="278"/>
      <c r="C324" s="278"/>
      <c r="D324" s="278"/>
      <c r="E324" s="278"/>
      <c r="F324" s="278"/>
      <c r="G324" s="278"/>
      <c r="H324" s="278"/>
      <c r="I324" s="278"/>
      <c r="J324" s="278"/>
      <c r="K324" s="278"/>
      <c r="L324" s="278"/>
      <c r="M324" s="278"/>
      <c r="N324" s="149"/>
      <c r="O324" s="149"/>
      <c r="P324" s="278"/>
      <c r="Q324" s="278"/>
      <c r="R324" s="278"/>
      <c r="S324" s="278"/>
      <c r="T324" s="149"/>
      <c r="U324" s="202">
        <f>Input!B389</f>
        <v>0</v>
      </c>
      <c r="V324" s="303">
        <f>Input!F389</f>
        <v>0</v>
      </c>
      <c r="W324" s="399">
        <f>Input!U389</f>
        <v>0</v>
      </c>
      <c r="X324" s="303">
        <f>Input!H389</f>
        <v>0</v>
      </c>
      <c r="Y324" s="303">
        <f>Input!I389</f>
        <v>0</v>
      </c>
      <c r="Z324" s="399">
        <f>Input!V389</f>
        <v>0</v>
      </c>
      <c r="AA324" s="149"/>
      <c r="AB324" s="149"/>
      <c r="AC324" s="149"/>
      <c r="AD324" s="149"/>
      <c r="AE324" s="149"/>
      <c r="AF324" s="149"/>
      <c r="AG324" s="149"/>
      <c r="AH324" s="149"/>
      <c r="AI324" s="149"/>
      <c r="AJ324" s="149"/>
      <c r="AK324" s="149"/>
      <c r="AL324" s="149"/>
      <c r="AM324" s="149"/>
      <c r="AN324" s="149"/>
      <c r="AO324" s="149"/>
      <c r="AP324" s="149"/>
    </row>
    <row r="325" spans="1:42" x14ac:dyDescent="0.2">
      <c r="A325" s="278"/>
      <c r="B325" s="278"/>
      <c r="C325" s="278"/>
      <c r="D325" s="278"/>
      <c r="E325" s="278"/>
      <c r="F325" s="278"/>
      <c r="G325" s="278"/>
      <c r="H325" s="278"/>
      <c r="I325" s="278"/>
      <c r="J325" s="278"/>
      <c r="K325" s="278"/>
      <c r="L325" s="278"/>
      <c r="M325" s="278"/>
      <c r="N325" s="149"/>
      <c r="O325" s="149"/>
      <c r="P325" s="278"/>
      <c r="Q325" s="278"/>
      <c r="R325" s="278"/>
      <c r="S325" s="278"/>
      <c r="T325" s="149"/>
      <c r="U325" s="202">
        <f>Input!B390</f>
        <v>0</v>
      </c>
      <c r="V325" s="303">
        <f>Input!F390</f>
        <v>0</v>
      </c>
      <c r="W325" s="399">
        <f>Input!U390</f>
        <v>0</v>
      </c>
      <c r="X325" s="303">
        <f>Input!H390</f>
        <v>0</v>
      </c>
      <c r="Y325" s="303">
        <f>Input!I390</f>
        <v>0</v>
      </c>
      <c r="Z325" s="399">
        <f>Input!V390</f>
        <v>0</v>
      </c>
      <c r="AA325" s="149"/>
      <c r="AB325" s="149"/>
      <c r="AC325" s="149"/>
      <c r="AD325" s="149"/>
      <c r="AE325" s="149"/>
      <c r="AF325" s="149"/>
      <c r="AG325" s="149"/>
      <c r="AH325" s="149"/>
      <c r="AI325" s="149"/>
      <c r="AJ325" s="149"/>
      <c r="AK325" s="149"/>
      <c r="AL325" s="149"/>
      <c r="AM325" s="149"/>
      <c r="AN325" s="149"/>
      <c r="AO325" s="149"/>
      <c r="AP325" s="149"/>
    </row>
    <row r="326" spans="1:42" x14ac:dyDescent="0.2">
      <c r="A326" s="278"/>
      <c r="B326" s="278"/>
      <c r="C326" s="278"/>
      <c r="D326" s="278"/>
      <c r="E326" s="278"/>
      <c r="F326" s="278"/>
      <c r="G326" s="278"/>
      <c r="H326" s="278"/>
      <c r="I326" s="278"/>
      <c r="J326" s="278"/>
      <c r="K326" s="278"/>
      <c r="L326" s="278"/>
      <c r="M326" s="278"/>
      <c r="N326" s="149"/>
      <c r="O326" s="149"/>
      <c r="P326" s="278"/>
      <c r="Q326" s="278"/>
      <c r="R326" s="278"/>
      <c r="S326" s="278"/>
      <c r="T326" s="149"/>
      <c r="U326" s="202">
        <f>Input!B391</f>
        <v>0</v>
      </c>
      <c r="V326" s="303">
        <f>Input!F391</f>
        <v>0</v>
      </c>
      <c r="W326" s="399">
        <f>Input!U391</f>
        <v>0</v>
      </c>
      <c r="X326" s="303">
        <f>Input!H391</f>
        <v>0</v>
      </c>
      <c r="Y326" s="303">
        <f>Input!I391</f>
        <v>0</v>
      </c>
      <c r="Z326" s="399">
        <f>Input!V391</f>
        <v>0</v>
      </c>
      <c r="AA326" s="149"/>
      <c r="AB326" s="149"/>
      <c r="AC326" s="149"/>
      <c r="AD326" s="149"/>
      <c r="AE326" s="149"/>
      <c r="AF326" s="149"/>
      <c r="AG326" s="149"/>
      <c r="AH326" s="149"/>
      <c r="AI326" s="149"/>
      <c r="AJ326" s="149"/>
      <c r="AK326" s="149"/>
      <c r="AL326" s="149"/>
      <c r="AM326" s="149"/>
      <c r="AN326" s="149"/>
      <c r="AO326" s="149"/>
      <c r="AP326" s="149"/>
    </row>
    <row r="327" spans="1:42" x14ac:dyDescent="0.2">
      <c r="A327" s="278"/>
      <c r="B327" s="278"/>
      <c r="C327" s="278"/>
      <c r="D327" s="278"/>
      <c r="E327" s="278"/>
      <c r="F327" s="278"/>
      <c r="G327" s="278"/>
      <c r="H327" s="278"/>
      <c r="I327" s="278"/>
      <c r="J327" s="278"/>
      <c r="K327" s="278"/>
      <c r="L327" s="278"/>
      <c r="M327" s="278"/>
      <c r="N327" s="149"/>
      <c r="O327" s="149"/>
      <c r="P327" s="278"/>
      <c r="Q327" s="278"/>
      <c r="R327" s="278"/>
      <c r="S327" s="278"/>
      <c r="T327" s="149"/>
      <c r="U327" s="202">
        <f>Input!B392</f>
        <v>0</v>
      </c>
      <c r="V327" s="303">
        <f>Input!F392</f>
        <v>0</v>
      </c>
      <c r="W327" s="399">
        <f>Input!U392</f>
        <v>0</v>
      </c>
      <c r="X327" s="303">
        <f>Input!H392</f>
        <v>0</v>
      </c>
      <c r="Y327" s="303">
        <f>Input!I392</f>
        <v>0</v>
      </c>
      <c r="Z327" s="399">
        <f>Input!V392</f>
        <v>0</v>
      </c>
      <c r="AA327" s="149"/>
      <c r="AB327" s="149"/>
      <c r="AC327" s="149"/>
      <c r="AD327" s="149"/>
      <c r="AE327" s="149"/>
      <c r="AF327" s="149"/>
      <c r="AG327" s="149"/>
      <c r="AH327" s="149"/>
      <c r="AI327" s="149"/>
      <c r="AJ327" s="149"/>
      <c r="AK327" s="149"/>
      <c r="AL327" s="149"/>
      <c r="AM327" s="149"/>
      <c r="AN327" s="149"/>
      <c r="AO327" s="149"/>
      <c r="AP327" s="149"/>
    </row>
    <row r="328" spans="1:42" x14ac:dyDescent="0.2">
      <c r="A328" s="278"/>
      <c r="B328" s="278"/>
      <c r="C328" s="278"/>
      <c r="D328" s="278"/>
      <c r="E328" s="278"/>
      <c r="F328" s="278"/>
      <c r="G328" s="278"/>
      <c r="H328" s="278"/>
      <c r="I328" s="278"/>
      <c r="J328" s="278"/>
      <c r="K328" s="278"/>
      <c r="L328" s="278"/>
      <c r="M328" s="278"/>
      <c r="N328" s="149"/>
      <c r="O328" s="149"/>
      <c r="P328" s="278"/>
      <c r="Q328" s="278"/>
      <c r="R328" s="278"/>
      <c r="S328" s="278"/>
      <c r="T328" s="149"/>
      <c r="U328" s="202">
        <f>Input!B393</f>
        <v>0</v>
      </c>
      <c r="V328" s="303">
        <f>Input!F393</f>
        <v>0</v>
      </c>
      <c r="W328" s="399">
        <f>Input!U393</f>
        <v>0</v>
      </c>
      <c r="X328" s="303">
        <f>Input!H393</f>
        <v>0</v>
      </c>
      <c r="Y328" s="303">
        <f>Input!I393</f>
        <v>0</v>
      </c>
      <c r="Z328" s="399">
        <f>Input!V393</f>
        <v>0</v>
      </c>
      <c r="AA328" s="149"/>
      <c r="AB328" s="149"/>
      <c r="AC328" s="149"/>
      <c r="AD328" s="149"/>
      <c r="AE328" s="149"/>
      <c r="AF328" s="149"/>
      <c r="AG328" s="149"/>
      <c r="AH328" s="149"/>
      <c r="AI328" s="149"/>
      <c r="AJ328" s="149"/>
      <c r="AK328" s="149"/>
      <c r="AL328" s="149"/>
      <c r="AM328" s="149"/>
      <c r="AN328" s="149"/>
      <c r="AO328" s="149"/>
      <c r="AP328" s="149"/>
    </row>
    <row r="329" spans="1:42" x14ac:dyDescent="0.2">
      <c r="A329" s="278"/>
      <c r="B329" s="278"/>
      <c r="C329" s="278"/>
      <c r="D329" s="278"/>
      <c r="E329" s="278"/>
      <c r="F329" s="278"/>
      <c r="G329" s="278"/>
      <c r="H329" s="278"/>
      <c r="I329" s="278"/>
      <c r="J329" s="278"/>
      <c r="K329" s="278"/>
      <c r="L329" s="278"/>
      <c r="M329" s="278"/>
      <c r="N329" s="149"/>
      <c r="O329" s="149"/>
      <c r="P329" s="278"/>
      <c r="Q329" s="278"/>
      <c r="R329" s="278"/>
      <c r="S329" s="278"/>
      <c r="T329" s="149"/>
      <c r="U329" s="202">
        <f>Input!B394</f>
        <v>0</v>
      </c>
      <c r="V329" s="303">
        <f>Input!F394</f>
        <v>0</v>
      </c>
      <c r="W329" s="399">
        <f>Input!U394</f>
        <v>0</v>
      </c>
      <c r="X329" s="303">
        <f>Input!H394</f>
        <v>0</v>
      </c>
      <c r="Y329" s="303">
        <f>Input!I394</f>
        <v>0</v>
      </c>
      <c r="Z329" s="399">
        <f>Input!V394</f>
        <v>0</v>
      </c>
      <c r="AA329" s="149"/>
      <c r="AB329" s="149"/>
      <c r="AC329" s="149"/>
      <c r="AD329" s="149"/>
      <c r="AE329" s="149"/>
      <c r="AF329" s="149"/>
      <c r="AG329" s="149"/>
      <c r="AH329" s="149"/>
      <c r="AI329" s="149"/>
      <c r="AJ329" s="149"/>
      <c r="AK329" s="149"/>
      <c r="AL329" s="149"/>
      <c r="AM329" s="149"/>
      <c r="AN329" s="149"/>
      <c r="AO329" s="149"/>
      <c r="AP329" s="149"/>
    </row>
    <row r="330" spans="1:42" x14ac:dyDescent="0.2">
      <c r="A330" s="278"/>
      <c r="B330" s="278"/>
      <c r="C330" s="278"/>
      <c r="D330" s="278"/>
      <c r="E330" s="278"/>
      <c r="F330" s="278"/>
      <c r="G330" s="278"/>
      <c r="H330" s="278"/>
      <c r="I330" s="278"/>
      <c r="J330" s="278"/>
      <c r="K330" s="278"/>
      <c r="L330" s="278"/>
      <c r="M330" s="278"/>
      <c r="N330" s="149"/>
      <c r="O330" s="149"/>
      <c r="P330" s="278"/>
      <c r="Q330" s="278"/>
      <c r="R330" s="278"/>
      <c r="S330" s="278"/>
      <c r="T330" s="149"/>
      <c r="U330" s="202">
        <f>Input!B395</f>
        <v>0</v>
      </c>
      <c r="V330" s="303">
        <f>Input!F395</f>
        <v>0</v>
      </c>
      <c r="W330" s="399">
        <f>Input!U395</f>
        <v>0</v>
      </c>
      <c r="X330" s="303">
        <f>Input!H395</f>
        <v>0</v>
      </c>
      <c r="Y330" s="303">
        <f>Input!I395</f>
        <v>0</v>
      </c>
      <c r="Z330" s="399">
        <f>Input!V395</f>
        <v>0</v>
      </c>
      <c r="AA330" s="149"/>
      <c r="AB330" s="149"/>
      <c r="AC330" s="149"/>
      <c r="AD330" s="149"/>
      <c r="AE330" s="149"/>
      <c r="AF330" s="149"/>
      <c r="AG330" s="149"/>
      <c r="AH330" s="149"/>
      <c r="AI330" s="149"/>
      <c r="AJ330" s="149"/>
      <c r="AK330" s="149"/>
      <c r="AL330" s="149"/>
      <c r="AM330" s="149"/>
      <c r="AN330" s="149"/>
      <c r="AO330" s="149"/>
      <c r="AP330" s="149"/>
    </row>
    <row r="331" spans="1:42" x14ac:dyDescent="0.2">
      <c r="A331" s="278"/>
      <c r="B331" s="278"/>
      <c r="C331" s="278"/>
      <c r="D331" s="278"/>
      <c r="E331" s="278"/>
      <c r="F331" s="278"/>
      <c r="G331" s="278"/>
      <c r="H331" s="278"/>
      <c r="I331" s="278"/>
      <c r="J331" s="278"/>
      <c r="K331" s="278"/>
      <c r="L331" s="278"/>
      <c r="M331" s="278"/>
      <c r="N331" s="149"/>
      <c r="O331" s="149"/>
      <c r="P331" s="278"/>
      <c r="Q331" s="278"/>
      <c r="R331" s="278"/>
      <c r="S331" s="278"/>
      <c r="T331" s="149"/>
      <c r="U331" s="202">
        <f>Input!B396</f>
        <v>0</v>
      </c>
      <c r="V331" s="303">
        <f>Input!F396</f>
        <v>0</v>
      </c>
      <c r="W331" s="399">
        <f>Input!U396</f>
        <v>0</v>
      </c>
      <c r="X331" s="303">
        <f>Input!H396</f>
        <v>0</v>
      </c>
      <c r="Y331" s="303">
        <f>Input!I396</f>
        <v>0</v>
      </c>
      <c r="Z331" s="399">
        <f>Input!V396</f>
        <v>0</v>
      </c>
      <c r="AA331" s="149"/>
      <c r="AB331" s="149"/>
      <c r="AC331" s="149"/>
      <c r="AD331" s="149"/>
      <c r="AE331" s="149"/>
      <c r="AF331" s="149"/>
      <c r="AG331" s="149"/>
      <c r="AH331" s="149"/>
      <c r="AI331" s="149"/>
      <c r="AJ331" s="149"/>
      <c r="AK331" s="149"/>
      <c r="AL331" s="149"/>
      <c r="AM331" s="149"/>
      <c r="AN331" s="149"/>
      <c r="AO331" s="149"/>
      <c r="AP331" s="149"/>
    </row>
    <row r="332" spans="1:42" x14ac:dyDescent="0.2">
      <c r="A332" s="278"/>
      <c r="B332" s="278"/>
      <c r="C332" s="278"/>
      <c r="D332" s="278"/>
      <c r="E332" s="278"/>
      <c r="F332" s="278"/>
      <c r="G332" s="278"/>
      <c r="H332" s="278"/>
      <c r="I332" s="278"/>
      <c r="J332" s="278"/>
      <c r="K332" s="278"/>
      <c r="L332" s="278"/>
      <c r="M332" s="278"/>
      <c r="N332" s="149"/>
      <c r="O332" s="149"/>
      <c r="P332" s="278"/>
      <c r="Q332" s="278"/>
      <c r="R332" s="278"/>
      <c r="S332" s="278"/>
      <c r="T332" s="149"/>
      <c r="U332" s="202">
        <f>Input!B397</f>
        <v>0</v>
      </c>
      <c r="V332" s="303">
        <f>Input!F397</f>
        <v>0</v>
      </c>
      <c r="W332" s="399">
        <f>Input!U397</f>
        <v>0</v>
      </c>
      <c r="X332" s="303">
        <f>Input!H397</f>
        <v>0</v>
      </c>
      <c r="Y332" s="303">
        <f>Input!I397</f>
        <v>0</v>
      </c>
      <c r="Z332" s="399">
        <f>Input!V397</f>
        <v>0</v>
      </c>
      <c r="AA332" s="149"/>
      <c r="AB332" s="149"/>
      <c r="AC332" s="149"/>
      <c r="AD332" s="149"/>
      <c r="AE332" s="149"/>
      <c r="AF332" s="149"/>
      <c r="AG332" s="149"/>
      <c r="AH332" s="149"/>
      <c r="AI332" s="149"/>
      <c r="AJ332" s="149"/>
      <c r="AK332" s="149"/>
      <c r="AL332" s="149"/>
      <c r="AM332" s="149"/>
      <c r="AN332" s="149"/>
      <c r="AO332" s="149"/>
      <c r="AP332" s="149"/>
    </row>
    <row r="333" spans="1:42" x14ac:dyDescent="0.2">
      <c r="A333" s="278"/>
      <c r="B333" s="278"/>
      <c r="C333" s="278"/>
      <c r="D333" s="278"/>
      <c r="E333" s="278"/>
      <c r="F333" s="278"/>
      <c r="G333" s="278"/>
      <c r="H333" s="278"/>
      <c r="I333" s="278"/>
      <c r="J333" s="278"/>
      <c r="K333" s="278"/>
      <c r="L333" s="278"/>
      <c r="M333" s="278"/>
      <c r="N333" s="149"/>
      <c r="O333" s="149"/>
      <c r="P333" s="278"/>
      <c r="Q333" s="278"/>
      <c r="R333" s="278"/>
      <c r="S333" s="278"/>
      <c r="T333" s="149"/>
      <c r="U333" s="202">
        <f>Input!B398</f>
        <v>0</v>
      </c>
      <c r="V333" s="303">
        <f>Input!F398</f>
        <v>0</v>
      </c>
      <c r="W333" s="399">
        <f>Input!U398</f>
        <v>0</v>
      </c>
      <c r="X333" s="303">
        <f>Input!H398</f>
        <v>0</v>
      </c>
      <c r="Y333" s="303">
        <f>Input!I398</f>
        <v>0</v>
      </c>
      <c r="Z333" s="399">
        <f>Input!V398</f>
        <v>0</v>
      </c>
      <c r="AA333" s="149"/>
      <c r="AB333" s="149"/>
      <c r="AC333" s="149"/>
      <c r="AD333" s="149"/>
      <c r="AE333" s="149"/>
      <c r="AF333" s="149"/>
      <c r="AG333" s="149"/>
      <c r="AH333" s="149"/>
      <c r="AI333" s="149"/>
      <c r="AJ333" s="149"/>
      <c r="AK333" s="149"/>
      <c r="AL333" s="149"/>
      <c r="AM333" s="149"/>
      <c r="AN333" s="149"/>
      <c r="AO333" s="149"/>
      <c r="AP333" s="149"/>
    </row>
    <row r="334" spans="1:42" x14ac:dyDescent="0.2">
      <c r="A334" s="278"/>
      <c r="B334" s="278"/>
      <c r="C334" s="278"/>
      <c r="D334" s="278"/>
      <c r="E334" s="278"/>
      <c r="F334" s="278"/>
      <c r="G334" s="278"/>
      <c r="H334" s="278"/>
      <c r="I334" s="278"/>
      <c r="J334" s="278"/>
      <c r="K334" s="278"/>
      <c r="L334" s="278"/>
      <c r="M334" s="278"/>
      <c r="N334" s="149"/>
      <c r="O334" s="149"/>
      <c r="P334" s="278"/>
      <c r="Q334" s="278"/>
      <c r="R334" s="278"/>
      <c r="S334" s="278"/>
      <c r="T334" s="149"/>
      <c r="U334" s="202">
        <f>Input!B399</f>
        <v>0</v>
      </c>
      <c r="V334" s="303">
        <f>Input!F399</f>
        <v>0</v>
      </c>
      <c r="W334" s="399">
        <f>Input!U399</f>
        <v>0</v>
      </c>
      <c r="X334" s="303">
        <f>Input!H399</f>
        <v>0</v>
      </c>
      <c r="Y334" s="303">
        <f>Input!I399</f>
        <v>0</v>
      </c>
      <c r="Z334" s="399">
        <f>Input!V399</f>
        <v>0</v>
      </c>
      <c r="AA334" s="149"/>
      <c r="AB334" s="149"/>
      <c r="AC334" s="149"/>
      <c r="AD334" s="149"/>
      <c r="AE334" s="149"/>
      <c r="AF334" s="149"/>
      <c r="AG334" s="149"/>
      <c r="AH334" s="149"/>
      <c r="AI334" s="149"/>
      <c r="AJ334" s="149"/>
      <c r="AK334" s="149"/>
      <c r="AL334" s="149"/>
      <c r="AM334" s="149"/>
      <c r="AN334" s="149"/>
      <c r="AO334" s="149"/>
      <c r="AP334" s="149"/>
    </row>
    <row r="335" spans="1:42" x14ac:dyDescent="0.2">
      <c r="A335" s="278"/>
      <c r="B335" s="278"/>
      <c r="C335" s="278"/>
      <c r="D335" s="278"/>
      <c r="E335" s="278"/>
      <c r="F335" s="278"/>
      <c r="G335" s="278"/>
      <c r="H335" s="278"/>
      <c r="I335" s="278"/>
      <c r="J335" s="278"/>
      <c r="K335" s="278"/>
      <c r="L335" s="278"/>
      <c r="M335" s="278"/>
      <c r="N335" s="149"/>
      <c r="O335" s="149"/>
      <c r="P335" s="278"/>
      <c r="Q335" s="278"/>
      <c r="R335" s="278"/>
      <c r="S335" s="278"/>
      <c r="T335" s="149"/>
      <c r="U335" s="202">
        <f>Input!B400</f>
        <v>0</v>
      </c>
      <c r="V335" s="303">
        <f>Input!F400</f>
        <v>0</v>
      </c>
      <c r="W335" s="399">
        <f>Input!U400</f>
        <v>0</v>
      </c>
      <c r="X335" s="303">
        <f>Input!H400</f>
        <v>0</v>
      </c>
      <c r="Y335" s="303">
        <f>Input!I400</f>
        <v>0</v>
      </c>
      <c r="Z335" s="399">
        <f>Input!V400</f>
        <v>0</v>
      </c>
      <c r="AA335" s="149"/>
      <c r="AB335" s="149"/>
      <c r="AC335" s="149"/>
      <c r="AD335" s="149"/>
      <c r="AE335" s="149"/>
      <c r="AF335" s="149"/>
      <c r="AG335" s="149"/>
      <c r="AH335" s="149"/>
      <c r="AI335" s="149"/>
      <c r="AJ335" s="149"/>
      <c r="AK335" s="149"/>
      <c r="AL335" s="149"/>
      <c r="AM335" s="149"/>
      <c r="AN335" s="149"/>
      <c r="AO335" s="149"/>
      <c r="AP335" s="149"/>
    </row>
    <row r="336" spans="1:42" x14ac:dyDescent="0.2">
      <c r="A336" s="278"/>
      <c r="B336" s="278"/>
      <c r="C336" s="278"/>
      <c r="D336" s="278"/>
      <c r="E336" s="278"/>
      <c r="F336" s="278"/>
      <c r="G336" s="278"/>
      <c r="H336" s="278"/>
      <c r="I336" s="278"/>
      <c r="J336" s="278"/>
      <c r="K336" s="278"/>
      <c r="L336" s="278"/>
      <c r="M336" s="278"/>
      <c r="N336" s="149"/>
      <c r="O336" s="149"/>
      <c r="P336" s="278"/>
      <c r="Q336" s="278"/>
      <c r="R336" s="278"/>
      <c r="S336" s="278"/>
      <c r="T336" s="149"/>
      <c r="U336" s="202">
        <f>Input!B401</f>
        <v>0</v>
      </c>
      <c r="V336" s="303">
        <f>Input!F401</f>
        <v>0</v>
      </c>
      <c r="W336" s="399">
        <f>Input!U401</f>
        <v>0</v>
      </c>
      <c r="X336" s="303">
        <f>Input!H401</f>
        <v>0</v>
      </c>
      <c r="Y336" s="303">
        <f>Input!I401</f>
        <v>0</v>
      </c>
      <c r="Z336" s="399">
        <f>Input!V401</f>
        <v>0</v>
      </c>
      <c r="AA336" s="149"/>
      <c r="AB336" s="149"/>
      <c r="AC336" s="149"/>
      <c r="AD336" s="149"/>
      <c r="AE336" s="149"/>
      <c r="AF336" s="149"/>
      <c r="AG336" s="149"/>
      <c r="AH336" s="149"/>
      <c r="AI336" s="149"/>
      <c r="AJ336" s="149"/>
      <c r="AK336" s="149"/>
      <c r="AL336" s="149"/>
      <c r="AM336" s="149"/>
      <c r="AN336" s="149"/>
      <c r="AO336" s="149"/>
      <c r="AP336" s="149"/>
    </row>
    <row r="337" spans="1:42" x14ac:dyDescent="0.2">
      <c r="A337" s="278"/>
      <c r="B337" s="278"/>
      <c r="C337" s="278"/>
      <c r="D337" s="278"/>
      <c r="E337" s="278"/>
      <c r="F337" s="278"/>
      <c r="G337" s="278"/>
      <c r="H337" s="278"/>
      <c r="I337" s="278"/>
      <c r="J337" s="278"/>
      <c r="K337" s="278"/>
      <c r="L337" s="278"/>
      <c r="M337" s="278"/>
      <c r="N337" s="149"/>
      <c r="O337" s="149"/>
      <c r="P337" s="278"/>
      <c r="Q337" s="278"/>
      <c r="R337" s="278"/>
      <c r="S337" s="278"/>
      <c r="T337" s="149"/>
      <c r="U337" s="202">
        <f>Input!B402</f>
        <v>0</v>
      </c>
      <c r="V337" s="303">
        <f>Input!F402</f>
        <v>0</v>
      </c>
      <c r="W337" s="399">
        <f>Input!U402</f>
        <v>0</v>
      </c>
      <c r="X337" s="303">
        <f>Input!H402</f>
        <v>0</v>
      </c>
      <c r="Y337" s="303">
        <f>Input!I402</f>
        <v>0</v>
      </c>
      <c r="Z337" s="399">
        <f>Input!V402</f>
        <v>0</v>
      </c>
      <c r="AA337" s="149"/>
      <c r="AB337" s="149"/>
      <c r="AC337" s="149"/>
      <c r="AD337" s="149"/>
      <c r="AE337" s="149"/>
      <c r="AF337" s="149"/>
      <c r="AG337" s="149"/>
      <c r="AH337" s="149"/>
      <c r="AI337" s="149"/>
      <c r="AJ337" s="149"/>
      <c r="AK337" s="149"/>
      <c r="AL337" s="149"/>
      <c r="AM337" s="149"/>
      <c r="AN337" s="149"/>
      <c r="AO337" s="149"/>
      <c r="AP337" s="149"/>
    </row>
    <row r="338" spans="1:42" x14ac:dyDescent="0.2">
      <c r="A338" s="278"/>
      <c r="B338" s="278"/>
      <c r="C338" s="278"/>
      <c r="D338" s="278"/>
      <c r="E338" s="278"/>
      <c r="F338" s="278"/>
      <c r="G338" s="278"/>
      <c r="H338" s="278"/>
      <c r="I338" s="278"/>
      <c r="J338" s="278"/>
      <c r="K338" s="278"/>
      <c r="L338" s="278"/>
      <c r="M338" s="278"/>
      <c r="N338" s="149"/>
      <c r="O338" s="149"/>
      <c r="P338" s="278"/>
      <c r="Q338" s="278"/>
      <c r="R338" s="278"/>
      <c r="S338" s="278"/>
      <c r="T338" s="149"/>
      <c r="U338" s="202">
        <f>Input!B403</f>
        <v>0</v>
      </c>
      <c r="V338" s="303">
        <f>Input!F403</f>
        <v>0</v>
      </c>
      <c r="W338" s="399">
        <f>Input!U403</f>
        <v>0</v>
      </c>
      <c r="X338" s="303">
        <f>Input!H403</f>
        <v>0</v>
      </c>
      <c r="Y338" s="303">
        <f>Input!I403</f>
        <v>0</v>
      </c>
      <c r="Z338" s="399">
        <f>Input!V403</f>
        <v>0</v>
      </c>
      <c r="AA338" s="149"/>
      <c r="AB338" s="149"/>
      <c r="AC338" s="149"/>
      <c r="AD338" s="149"/>
      <c r="AE338" s="149"/>
      <c r="AF338" s="149"/>
      <c r="AG338" s="149"/>
      <c r="AH338" s="149"/>
      <c r="AI338" s="149"/>
      <c r="AJ338" s="149"/>
      <c r="AK338" s="149"/>
      <c r="AL338" s="149"/>
      <c r="AM338" s="149"/>
      <c r="AN338" s="149"/>
      <c r="AO338" s="149"/>
      <c r="AP338" s="149"/>
    </row>
    <row r="339" spans="1:42" x14ac:dyDescent="0.2">
      <c r="A339" s="278"/>
      <c r="B339" s="278"/>
      <c r="C339" s="278"/>
      <c r="D339" s="278"/>
      <c r="E339" s="278"/>
      <c r="F339" s="278"/>
      <c r="G339" s="278"/>
      <c r="H339" s="278"/>
      <c r="I339" s="278"/>
      <c r="J339" s="278"/>
      <c r="K339" s="278"/>
      <c r="L339" s="278"/>
      <c r="M339" s="278"/>
      <c r="N339" s="149"/>
      <c r="O339" s="149"/>
      <c r="P339" s="278"/>
      <c r="Q339" s="278"/>
      <c r="R339" s="278"/>
      <c r="S339" s="278"/>
      <c r="T339" s="149"/>
      <c r="U339" s="202">
        <f>Input!B404</f>
        <v>0</v>
      </c>
      <c r="V339" s="303">
        <f>Input!F404</f>
        <v>0</v>
      </c>
      <c r="W339" s="399">
        <f>Input!U404</f>
        <v>0</v>
      </c>
      <c r="X339" s="303">
        <f>Input!H404</f>
        <v>0</v>
      </c>
      <c r="Y339" s="303">
        <f>Input!I404</f>
        <v>0</v>
      </c>
      <c r="Z339" s="399">
        <f>Input!V404</f>
        <v>0</v>
      </c>
      <c r="AA339" s="149"/>
      <c r="AB339" s="149"/>
      <c r="AC339" s="149"/>
      <c r="AD339" s="149"/>
      <c r="AE339" s="149"/>
      <c r="AF339" s="149"/>
      <c r="AG339" s="149"/>
      <c r="AH339" s="149"/>
      <c r="AI339" s="149"/>
      <c r="AJ339" s="149"/>
      <c r="AK339" s="149"/>
      <c r="AL339" s="149"/>
      <c r="AM339" s="149"/>
      <c r="AN339" s="149"/>
      <c r="AO339" s="149"/>
      <c r="AP339" s="149"/>
    </row>
    <row r="340" spans="1:42" x14ac:dyDescent="0.2">
      <c r="A340" s="278"/>
      <c r="B340" s="278"/>
      <c r="C340" s="278"/>
      <c r="D340" s="278"/>
      <c r="E340" s="278"/>
      <c r="F340" s="278"/>
      <c r="G340" s="278"/>
      <c r="H340" s="278"/>
      <c r="I340" s="278"/>
      <c r="J340" s="278"/>
      <c r="K340" s="278"/>
      <c r="L340" s="278"/>
      <c r="M340" s="278"/>
      <c r="N340" s="149"/>
      <c r="O340" s="149"/>
      <c r="P340" s="278"/>
      <c r="Q340" s="278"/>
      <c r="R340" s="278"/>
      <c r="S340" s="278"/>
      <c r="T340" s="149"/>
      <c r="U340" s="202">
        <f>Input!B405</f>
        <v>0</v>
      </c>
      <c r="V340" s="303">
        <f>Input!F405</f>
        <v>0</v>
      </c>
      <c r="W340" s="399">
        <f>Input!U405</f>
        <v>0</v>
      </c>
      <c r="X340" s="303">
        <f>Input!H405</f>
        <v>0</v>
      </c>
      <c r="Y340" s="303">
        <f>Input!I405</f>
        <v>0</v>
      </c>
      <c r="Z340" s="399">
        <f>Input!V405</f>
        <v>0</v>
      </c>
      <c r="AA340" s="149"/>
      <c r="AB340" s="149"/>
      <c r="AC340" s="149"/>
      <c r="AD340" s="149"/>
      <c r="AE340" s="149"/>
      <c r="AF340" s="149"/>
      <c r="AG340" s="149"/>
      <c r="AH340" s="149"/>
      <c r="AI340" s="149"/>
      <c r="AJ340" s="149"/>
      <c r="AK340" s="149"/>
      <c r="AL340" s="149"/>
      <c r="AM340" s="149"/>
      <c r="AN340" s="149"/>
      <c r="AO340" s="149"/>
      <c r="AP340" s="149"/>
    </row>
    <row r="341" spans="1:42" x14ac:dyDescent="0.2">
      <c r="A341" s="278"/>
      <c r="B341" s="278"/>
      <c r="C341" s="278"/>
      <c r="D341" s="278"/>
      <c r="E341" s="278"/>
      <c r="F341" s="278"/>
      <c r="G341" s="278"/>
      <c r="H341" s="278"/>
      <c r="I341" s="278"/>
      <c r="J341" s="278"/>
      <c r="K341" s="278"/>
      <c r="L341" s="278"/>
      <c r="M341" s="278"/>
      <c r="N341" s="149"/>
      <c r="O341" s="149"/>
      <c r="P341" s="278"/>
      <c r="Q341" s="278"/>
      <c r="R341" s="278"/>
      <c r="S341" s="278"/>
      <c r="T341" s="149"/>
      <c r="U341" s="202">
        <f>Input!B406</f>
        <v>0</v>
      </c>
      <c r="V341" s="303">
        <f>Input!F406</f>
        <v>0</v>
      </c>
      <c r="W341" s="399">
        <f>Input!U406</f>
        <v>0</v>
      </c>
      <c r="X341" s="303">
        <f>Input!H406</f>
        <v>0</v>
      </c>
      <c r="Y341" s="303">
        <f>Input!I406</f>
        <v>0</v>
      </c>
      <c r="Z341" s="399">
        <f>Input!V406</f>
        <v>0</v>
      </c>
      <c r="AA341" s="149"/>
      <c r="AB341" s="149"/>
      <c r="AC341" s="149"/>
      <c r="AD341" s="149"/>
      <c r="AE341" s="149"/>
      <c r="AF341" s="149"/>
      <c r="AG341" s="149"/>
      <c r="AH341" s="149"/>
      <c r="AI341" s="149"/>
      <c r="AJ341" s="149"/>
      <c r="AK341" s="149"/>
      <c r="AL341" s="149"/>
      <c r="AM341" s="149"/>
      <c r="AN341" s="149"/>
      <c r="AO341" s="149"/>
      <c r="AP341" s="149"/>
    </row>
    <row r="342" spans="1:42" x14ac:dyDescent="0.2">
      <c r="A342" s="278"/>
      <c r="B342" s="278"/>
      <c r="C342" s="278"/>
      <c r="D342" s="278"/>
      <c r="E342" s="278"/>
      <c r="F342" s="278"/>
      <c r="G342" s="278"/>
      <c r="H342" s="278"/>
      <c r="I342" s="278"/>
      <c r="J342" s="278"/>
      <c r="K342" s="278"/>
      <c r="L342" s="278"/>
      <c r="M342" s="278"/>
      <c r="N342" s="149"/>
      <c r="O342" s="149"/>
      <c r="P342" s="278"/>
      <c r="Q342" s="278"/>
      <c r="R342" s="278"/>
      <c r="S342" s="278"/>
      <c r="T342" s="149"/>
      <c r="U342" s="202">
        <f>Input!B407</f>
        <v>0</v>
      </c>
      <c r="V342" s="303">
        <f>Input!F407</f>
        <v>0</v>
      </c>
      <c r="W342" s="399">
        <f>Input!U407</f>
        <v>0</v>
      </c>
      <c r="X342" s="303">
        <f>Input!H407</f>
        <v>0</v>
      </c>
      <c r="Y342" s="303">
        <f>Input!I407</f>
        <v>0</v>
      </c>
      <c r="Z342" s="399">
        <f>Input!V407</f>
        <v>0</v>
      </c>
      <c r="AA342" s="149"/>
      <c r="AB342" s="149"/>
      <c r="AC342" s="149"/>
      <c r="AD342" s="149"/>
      <c r="AE342" s="149"/>
      <c r="AF342" s="149"/>
      <c r="AG342" s="149"/>
      <c r="AH342" s="149"/>
      <c r="AI342" s="149"/>
      <c r="AJ342" s="149"/>
      <c r="AK342" s="149"/>
      <c r="AL342" s="149"/>
      <c r="AM342" s="149"/>
      <c r="AN342" s="149"/>
      <c r="AO342" s="149"/>
      <c r="AP342" s="149"/>
    </row>
    <row r="343" spans="1:42" x14ac:dyDescent="0.2">
      <c r="A343" s="278"/>
      <c r="B343" s="278"/>
      <c r="C343" s="278"/>
      <c r="D343" s="278"/>
      <c r="E343" s="278"/>
      <c r="F343" s="278"/>
      <c r="G343" s="278"/>
      <c r="H343" s="278"/>
      <c r="I343" s="278"/>
      <c r="J343" s="278"/>
      <c r="K343" s="278"/>
      <c r="L343" s="278"/>
      <c r="M343" s="278"/>
      <c r="N343" s="149"/>
      <c r="O343" s="149"/>
      <c r="P343" s="278"/>
      <c r="Q343" s="278"/>
      <c r="R343" s="278"/>
      <c r="S343" s="278"/>
      <c r="T343" s="149"/>
      <c r="U343" s="202">
        <f>Input!B408</f>
        <v>0</v>
      </c>
      <c r="V343" s="303">
        <f>Input!F408</f>
        <v>0</v>
      </c>
      <c r="W343" s="399">
        <f>Input!U408</f>
        <v>0</v>
      </c>
      <c r="X343" s="303">
        <f>Input!H408</f>
        <v>0</v>
      </c>
      <c r="Y343" s="303">
        <f>Input!I408</f>
        <v>0</v>
      </c>
      <c r="Z343" s="399">
        <f>Input!V408</f>
        <v>0</v>
      </c>
      <c r="AA343" s="149"/>
      <c r="AB343" s="149"/>
      <c r="AC343" s="149"/>
      <c r="AD343" s="149"/>
      <c r="AE343" s="149"/>
      <c r="AF343" s="149"/>
      <c r="AG343" s="149"/>
      <c r="AH343" s="149"/>
      <c r="AI343" s="149"/>
      <c r="AJ343" s="149"/>
      <c r="AK343" s="149"/>
      <c r="AL343" s="149"/>
      <c r="AM343" s="149"/>
      <c r="AN343" s="149"/>
      <c r="AO343" s="149"/>
      <c r="AP343" s="149"/>
    </row>
    <row r="344" spans="1:42" x14ac:dyDescent="0.2">
      <c r="A344" s="278"/>
      <c r="B344" s="278"/>
      <c r="C344" s="278"/>
      <c r="D344" s="278"/>
      <c r="E344" s="278"/>
      <c r="F344" s="278"/>
      <c r="G344" s="278"/>
      <c r="H344" s="278"/>
      <c r="I344" s="278"/>
      <c r="J344" s="278"/>
      <c r="K344" s="278"/>
      <c r="L344" s="278"/>
      <c r="M344" s="278"/>
      <c r="N344" s="149"/>
      <c r="O344" s="149"/>
      <c r="P344" s="278"/>
      <c r="Q344" s="278"/>
      <c r="R344" s="278"/>
      <c r="S344" s="278"/>
      <c r="T344" s="149"/>
      <c r="U344" s="202">
        <f>Input!B409</f>
        <v>0</v>
      </c>
      <c r="V344" s="303">
        <f>Input!F409</f>
        <v>0</v>
      </c>
      <c r="W344" s="399">
        <f>Input!U409</f>
        <v>0</v>
      </c>
      <c r="X344" s="303">
        <f>Input!H409</f>
        <v>0</v>
      </c>
      <c r="Y344" s="303">
        <f>Input!I409</f>
        <v>0</v>
      </c>
      <c r="Z344" s="399">
        <f>Input!V409</f>
        <v>0</v>
      </c>
      <c r="AA344" s="149"/>
      <c r="AB344" s="149"/>
      <c r="AC344" s="149"/>
      <c r="AD344" s="149"/>
      <c r="AE344" s="149"/>
      <c r="AF344" s="149"/>
      <c r="AG344" s="149"/>
      <c r="AH344" s="149"/>
      <c r="AI344" s="149"/>
      <c r="AJ344" s="149"/>
      <c r="AK344" s="149"/>
      <c r="AL344" s="149"/>
      <c r="AM344" s="149"/>
      <c r="AN344" s="149"/>
      <c r="AO344" s="149"/>
      <c r="AP344" s="149"/>
    </row>
    <row r="345" spans="1:42" x14ac:dyDescent="0.2">
      <c r="A345" s="278"/>
      <c r="B345" s="278"/>
      <c r="C345" s="278"/>
      <c r="D345" s="278"/>
      <c r="E345" s="278"/>
      <c r="F345" s="278"/>
      <c r="G345" s="278"/>
      <c r="H345" s="278"/>
      <c r="I345" s="278"/>
      <c r="J345" s="278"/>
      <c r="K345" s="278"/>
      <c r="L345" s="278"/>
      <c r="M345" s="278"/>
      <c r="N345" s="149"/>
      <c r="O345" s="149"/>
      <c r="P345" s="278"/>
      <c r="Q345" s="278"/>
      <c r="R345" s="278"/>
      <c r="S345" s="278"/>
      <c r="T345" s="149"/>
      <c r="U345" s="202">
        <f>Input!B410</f>
        <v>0</v>
      </c>
      <c r="V345" s="303">
        <f>Input!F410</f>
        <v>0</v>
      </c>
      <c r="W345" s="399">
        <f>Input!U410</f>
        <v>0</v>
      </c>
      <c r="X345" s="303">
        <f>Input!H410</f>
        <v>0</v>
      </c>
      <c r="Y345" s="303">
        <f>Input!I410</f>
        <v>0</v>
      </c>
      <c r="Z345" s="399">
        <f>Input!V410</f>
        <v>0</v>
      </c>
      <c r="AA345" s="149"/>
      <c r="AB345" s="149"/>
      <c r="AC345" s="149"/>
      <c r="AD345" s="149"/>
      <c r="AE345" s="149"/>
      <c r="AF345" s="149"/>
      <c r="AG345" s="149"/>
      <c r="AH345" s="149"/>
      <c r="AI345" s="149"/>
      <c r="AJ345" s="149"/>
      <c r="AK345" s="149"/>
      <c r="AL345" s="149"/>
      <c r="AM345" s="149"/>
      <c r="AN345" s="149"/>
      <c r="AO345" s="149"/>
      <c r="AP345" s="149"/>
    </row>
    <row r="346" spans="1:42" x14ac:dyDescent="0.2">
      <c r="A346" s="278"/>
      <c r="B346" s="278"/>
      <c r="C346" s="278"/>
      <c r="D346" s="278"/>
      <c r="E346" s="278"/>
      <c r="F346" s="278"/>
      <c r="G346" s="278"/>
      <c r="H346" s="278"/>
      <c r="I346" s="278"/>
      <c r="J346" s="278"/>
      <c r="K346" s="278"/>
      <c r="L346" s="278"/>
      <c r="M346" s="278"/>
      <c r="N346" s="149"/>
      <c r="O346" s="149"/>
      <c r="P346" s="278"/>
      <c r="Q346" s="278"/>
      <c r="R346" s="278"/>
      <c r="S346" s="278"/>
      <c r="T346" s="149"/>
      <c r="U346" s="202">
        <f>Input!B411</f>
        <v>0</v>
      </c>
      <c r="V346" s="303">
        <f>Input!F411</f>
        <v>0</v>
      </c>
      <c r="W346" s="399">
        <f>Input!U411</f>
        <v>0</v>
      </c>
      <c r="X346" s="303">
        <f>Input!H411</f>
        <v>0</v>
      </c>
      <c r="Y346" s="303">
        <f>Input!I411</f>
        <v>0</v>
      </c>
      <c r="Z346" s="399">
        <f>Input!V411</f>
        <v>0</v>
      </c>
      <c r="AA346" s="149"/>
      <c r="AB346" s="149"/>
      <c r="AC346" s="149"/>
      <c r="AD346" s="149"/>
      <c r="AE346" s="149"/>
      <c r="AF346" s="149"/>
      <c r="AG346" s="149"/>
      <c r="AH346" s="149"/>
      <c r="AI346" s="149"/>
      <c r="AJ346" s="149"/>
      <c r="AK346" s="149"/>
      <c r="AL346" s="149"/>
      <c r="AM346" s="149"/>
      <c r="AN346" s="149"/>
      <c r="AO346" s="149"/>
      <c r="AP346" s="149"/>
    </row>
    <row r="347" spans="1:42" x14ac:dyDescent="0.2">
      <c r="A347" s="278"/>
      <c r="B347" s="278"/>
      <c r="C347" s="278"/>
      <c r="D347" s="278"/>
      <c r="E347" s="278"/>
      <c r="F347" s="278"/>
      <c r="G347" s="278"/>
      <c r="H347" s="278"/>
      <c r="I347" s="278"/>
      <c r="J347" s="278"/>
      <c r="K347" s="278"/>
      <c r="L347" s="278"/>
      <c r="M347" s="278"/>
      <c r="N347" s="149"/>
      <c r="O347" s="149"/>
      <c r="P347" s="278"/>
      <c r="Q347" s="278"/>
      <c r="R347" s="278"/>
      <c r="S347" s="278"/>
      <c r="T347" s="149"/>
      <c r="U347" s="202">
        <f>Input!B412</f>
        <v>0</v>
      </c>
      <c r="V347" s="303">
        <f>Input!F412</f>
        <v>0</v>
      </c>
      <c r="W347" s="399">
        <f>Input!U412</f>
        <v>0</v>
      </c>
      <c r="X347" s="303">
        <f>Input!H412</f>
        <v>0</v>
      </c>
      <c r="Y347" s="303">
        <f>Input!I412</f>
        <v>0</v>
      </c>
      <c r="Z347" s="399">
        <f>Input!V412</f>
        <v>0</v>
      </c>
      <c r="AA347" s="149"/>
      <c r="AB347" s="149"/>
      <c r="AC347" s="149"/>
      <c r="AD347" s="149"/>
      <c r="AE347" s="149"/>
      <c r="AF347" s="149"/>
      <c r="AG347" s="149"/>
      <c r="AH347" s="149"/>
      <c r="AI347" s="149"/>
      <c r="AJ347" s="149"/>
      <c r="AK347" s="149"/>
      <c r="AL347" s="149"/>
      <c r="AM347" s="149"/>
      <c r="AN347" s="149"/>
      <c r="AO347" s="149"/>
      <c r="AP347" s="149"/>
    </row>
    <row r="348" spans="1:42" x14ac:dyDescent="0.2">
      <c r="A348" s="278"/>
      <c r="B348" s="278"/>
      <c r="C348" s="278"/>
      <c r="D348" s="278"/>
      <c r="E348" s="278"/>
      <c r="F348" s="278"/>
      <c r="G348" s="278"/>
      <c r="H348" s="278"/>
      <c r="I348" s="278"/>
      <c r="J348" s="278"/>
      <c r="K348" s="278"/>
      <c r="L348" s="278"/>
      <c r="M348" s="278"/>
      <c r="N348" s="149"/>
      <c r="O348" s="149"/>
      <c r="P348" s="278"/>
      <c r="Q348" s="278"/>
      <c r="R348" s="278"/>
      <c r="S348" s="278"/>
      <c r="T348" s="149"/>
      <c r="U348" s="202">
        <f>Input!B413</f>
        <v>0</v>
      </c>
      <c r="V348" s="303">
        <f>Input!F413</f>
        <v>0</v>
      </c>
      <c r="W348" s="399">
        <f>Input!U413</f>
        <v>0</v>
      </c>
      <c r="X348" s="303">
        <f>Input!H413</f>
        <v>0</v>
      </c>
      <c r="Y348" s="303">
        <f>Input!I413</f>
        <v>0</v>
      </c>
      <c r="Z348" s="399">
        <f>Input!V413</f>
        <v>0</v>
      </c>
      <c r="AA348" s="149"/>
      <c r="AB348" s="149"/>
      <c r="AC348" s="149"/>
      <c r="AD348" s="149"/>
      <c r="AE348" s="149"/>
      <c r="AF348" s="149"/>
      <c r="AG348" s="149"/>
      <c r="AH348" s="149"/>
      <c r="AI348" s="149"/>
      <c r="AJ348" s="149"/>
      <c r="AK348" s="149"/>
      <c r="AL348" s="149"/>
      <c r="AM348" s="149"/>
      <c r="AN348" s="149"/>
      <c r="AO348" s="149"/>
      <c r="AP348" s="149"/>
    </row>
    <row r="349" spans="1:42" x14ac:dyDescent="0.2">
      <c r="A349" s="278"/>
      <c r="B349" s="278"/>
      <c r="C349" s="278"/>
      <c r="D349" s="278"/>
      <c r="E349" s="278"/>
      <c r="F349" s="278"/>
      <c r="G349" s="278"/>
      <c r="H349" s="278"/>
      <c r="I349" s="278"/>
      <c r="J349" s="278"/>
      <c r="K349" s="278"/>
      <c r="L349" s="278"/>
      <c r="M349" s="278"/>
      <c r="N349" s="149"/>
      <c r="O349" s="149"/>
      <c r="P349" s="278"/>
      <c r="Q349" s="278"/>
      <c r="R349" s="278"/>
      <c r="S349" s="278"/>
      <c r="T349" s="149"/>
      <c r="U349" s="202">
        <f>Input!B414</f>
        <v>0</v>
      </c>
      <c r="V349" s="303">
        <f>Input!F414</f>
        <v>0</v>
      </c>
      <c r="W349" s="399">
        <f>Input!U414</f>
        <v>0</v>
      </c>
      <c r="X349" s="303">
        <f>Input!H414</f>
        <v>0</v>
      </c>
      <c r="Y349" s="303">
        <f>Input!I414</f>
        <v>0</v>
      </c>
      <c r="Z349" s="399">
        <f>Input!V414</f>
        <v>0</v>
      </c>
      <c r="AA349" s="149"/>
      <c r="AB349" s="149"/>
      <c r="AC349" s="149"/>
      <c r="AD349" s="149"/>
      <c r="AE349" s="149"/>
      <c r="AF349" s="149"/>
      <c r="AG349" s="149"/>
      <c r="AH349" s="149"/>
      <c r="AI349" s="149"/>
      <c r="AJ349" s="149"/>
      <c r="AK349" s="149"/>
      <c r="AL349" s="149"/>
      <c r="AM349" s="149"/>
      <c r="AN349" s="149"/>
      <c r="AO349" s="149"/>
      <c r="AP349" s="149"/>
    </row>
    <row r="350" spans="1:42" x14ac:dyDescent="0.2">
      <c r="A350" s="278"/>
      <c r="B350" s="278"/>
      <c r="C350" s="278"/>
      <c r="D350" s="278"/>
      <c r="E350" s="278"/>
      <c r="F350" s="278"/>
      <c r="G350" s="278"/>
      <c r="H350" s="278"/>
      <c r="I350" s="278"/>
      <c r="J350" s="278"/>
      <c r="K350" s="278"/>
      <c r="L350" s="278"/>
      <c r="M350" s="278"/>
      <c r="N350" s="149"/>
      <c r="O350" s="149"/>
      <c r="P350" s="278"/>
      <c r="Q350" s="278"/>
      <c r="R350" s="278"/>
      <c r="S350" s="278"/>
      <c r="T350" s="149"/>
      <c r="U350" s="202">
        <f>Input!B415</f>
        <v>0</v>
      </c>
      <c r="V350" s="303">
        <f>Input!F415</f>
        <v>0</v>
      </c>
      <c r="W350" s="399">
        <f>Input!U415</f>
        <v>0</v>
      </c>
      <c r="X350" s="303">
        <f>Input!H415</f>
        <v>0</v>
      </c>
      <c r="Y350" s="303">
        <f>Input!I415</f>
        <v>0</v>
      </c>
      <c r="Z350" s="399">
        <f>Input!V415</f>
        <v>0</v>
      </c>
      <c r="AA350" s="149"/>
      <c r="AB350" s="149"/>
      <c r="AC350" s="149"/>
      <c r="AD350" s="149"/>
      <c r="AE350" s="149"/>
      <c r="AF350" s="149"/>
      <c r="AG350" s="149"/>
      <c r="AH350" s="149"/>
      <c r="AI350" s="149"/>
      <c r="AJ350" s="149"/>
      <c r="AK350" s="149"/>
      <c r="AL350" s="149"/>
      <c r="AM350" s="149"/>
      <c r="AN350" s="149"/>
      <c r="AO350" s="149"/>
      <c r="AP350" s="149"/>
    </row>
    <row r="351" spans="1:42" x14ac:dyDescent="0.2">
      <c r="A351" s="278"/>
      <c r="B351" s="278"/>
      <c r="C351" s="278"/>
      <c r="D351" s="278"/>
      <c r="E351" s="278"/>
      <c r="F351" s="278"/>
      <c r="G351" s="278"/>
      <c r="H351" s="278"/>
      <c r="I351" s="278"/>
      <c r="J351" s="278"/>
      <c r="K351" s="278"/>
      <c r="L351" s="278"/>
      <c r="M351" s="278"/>
      <c r="N351" s="149"/>
      <c r="O351" s="149"/>
      <c r="P351" s="278"/>
      <c r="Q351" s="278"/>
      <c r="R351" s="278"/>
      <c r="S351" s="278"/>
      <c r="T351" s="149"/>
      <c r="U351" s="202">
        <f>Input!B416</f>
        <v>0</v>
      </c>
      <c r="V351" s="303">
        <f>Input!F416</f>
        <v>0</v>
      </c>
      <c r="W351" s="399">
        <f>Input!U416</f>
        <v>0</v>
      </c>
      <c r="X351" s="303">
        <f>Input!H416</f>
        <v>0</v>
      </c>
      <c r="Y351" s="303">
        <f>Input!I416</f>
        <v>0</v>
      </c>
      <c r="Z351" s="399">
        <f>Input!V416</f>
        <v>0</v>
      </c>
      <c r="AA351" s="149"/>
      <c r="AB351" s="149"/>
      <c r="AC351" s="149"/>
      <c r="AD351" s="149"/>
      <c r="AE351" s="149"/>
      <c r="AF351" s="149"/>
      <c r="AG351" s="149"/>
      <c r="AH351" s="149"/>
      <c r="AI351" s="149"/>
      <c r="AJ351" s="149"/>
      <c r="AK351" s="149"/>
      <c r="AL351" s="149"/>
      <c r="AM351" s="149"/>
      <c r="AN351" s="149"/>
      <c r="AO351" s="149"/>
      <c r="AP351" s="149"/>
    </row>
    <row r="352" spans="1:42" x14ac:dyDescent="0.2">
      <c r="A352" s="278"/>
      <c r="B352" s="278"/>
      <c r="C352" s="278"/>
      <c r="D352" s="278"/>
      <c r="E352" s="278"/>
      <c r="F352" s="278"/>
      <c r="G352" s="278"/>
      <c r="H352" s="278"/>
      <c r="I352" s="278"/>
      <c r="J352" s="278"/>
      <c r="K352" s="278"/>
      <c r="L352" s="278"/>
      <c r="M352" s="278"/>
      <c r="N352" s="149"/>
      <c r="O352" s="149"/>
      <c r="P352" s="278"/>
      <c r="Q352" s="278"/>
      <c r="R352" s="278"/>
      <c r="S352" s="278"/>
      <c r="T352" s="149"/>
      <c r="U352" s="202">
        <f>Input!B417</f>
        <v>0</v>
      </c>
      <c r="V352" s="303">
        <f>Input!F417</f>
        <v>0</v>
      </c>
      <c r="W352" s="399">
        <f>Input!U417</f>
        <v>0</v>
      </c>
      <c r="X352" s="303">
        <f>Input!H417</f>
        <v>0</v>
      </c>
      <c r="Y352" s="303">
        <f>Input!I417</f>
        <v>0</v>
      </c>
      <c r="Z352" s="399">
        <f>Input!V417</f>
        <v>0</v>
      </c>
      <c r="AA352" s="149"/>
      <c r="AB352" s="149"/>
      <c r="AC352" s="149"/>
      <c r="AD352" s="149"/>
      <c r="AE352" s="149"/>
      <c r="AF352" s="149"/>
      <c r="AG352" s="149"/>
      <c r="AH352" s="149"/>
      <c r="AI352" s="149"/>
      <c r="AJ352" s="149"/>
      <c r="AK352" s="149"/>
      <c r="AL352" s="149"/>
      <c r="AM352" s="149"/>
      <c r="AN352" s="149"/>
      <c r="AO352" s="149"/>
      <c r="AP352" s="149"/>
    </row>
    <row r="353" spans="1:42" x14ac:dyDescent="0.2">
      <c r="A353" s="278"/>
      <c r="B353" s="278"/>
      <c r="C353" s="278"/>
      <c r="D353" s="278"/>
      <c r="E353" s="278"/>
      <c r="F353" s="278"/>
      <c r="G353" s="278"/>
      <c r="H353" s="278"/>
      <c r="I353" s="278"/>
      <c r="J353" s="278"/>
      <c r="K353" s="278"/>
      <c r="L353" s="278"/>
      <c r="M353" s="278"/>
      <c r="N353" s="149"/>
      <c r="O353" s="149"/>
      <c r="P353" s="278"/>
      <c r="Q353" s="278"/>
      <c r="R353" s="278"/>
      <c r="S353" s="278"/>
      <c r="T353" s="149"/>
      <c r="U353" s="202">
        <f>Input!B418</f>
        <v>0</v>
      </c>
      <c r="V353" s="303">
        <f>Input!F418</f>
        <v>0</v>
      </c>
      <c r="W353" s="399">
        <f>Input!U418</f>
        <v>0</v>
      </c>
      <c r="X353" s="303">
        <f>Input!H418</f>
        <v>0</v>
      </c>
      <c r="Y353" s="303">
        <f>Input!I418</f>
        <v>0</v>
      </c>
      <c r="Z353" s="399">
        <f>Input!V418</f>
        <v>0</v>
      </c>
      <c r="AA353" s="149"/>
      <c r="AB353" s="149"/>
      <c r="AC353" s="149"/>
      <c r="AD353" s="149"/>
      <c r="AE353" s="149"/>
      <c r="AF353" s="149"/>
      <c r="AG353" s="149"/>
      <c r="AH353" s="149"/>
      <c r="AI353" s="149"/>
      <c r="AJ353" s="149"/>
      <c r="AK353" s="149"/>
      <c r="AL353" s="149"/>
      <c r="AM353" s="149"/>
      <c r="AN353" s="149"/>
      <c r="AO353" s="149"/>
      <c r="AP353" s="149"/>
    </row>
    <row r="354" spans="1:42" x14ac:dyDescent="0.2">
      <c r="A354" s="278"/>
      <c r="B354" s="278"/>
      <c r="C354" s="278"/>
      <c r="D354" s="278"/>
      <c r="E354" s="278"/>
      <c r="F354" s="278"/>
      <c r="G354" s="278"/>
      <c r="H354" s="278"/>
      <c r="I354" s="278"/>
      <c r="J354" s="278"/>
      <c r="K354" s="278"/>
      <c r="L354" s="278"/>
      <c r="M354" s="278"/>
      <c r="N354" s="149"/>
      <c r="O354" s="149"/>
      <c r="P354" s="278"/>
      <c r="Q354" s="278"/>
      <c r="R354" s="278"/>
      <c r="S354" s="278"/>
      <c r="T354" s="149"/>
      <c r="U354" s="202">
        <f>Input!B419</f>
        <v>0</v>
      </c>
      <c r="V354" s="303">
        <f>Input!F419</f>
        <v>0</v>
      </c>
      <c r="W354" s="399">
        <f>Input!U419</f>
        <v>0</v>
      </c>
      <c r="X354" s="303">
        <f>Input!H419</f>
        <v>0</v>
      </c>
      <c r="Y354" s="303">
        <f>Input!I419</f>
        <v>0</v>
      </c>
      <c r="Z354" s="399">
        <f>Input!V419</f>
        <v>0</v>
      </c>
      <c r="AA354" s="149"/>
      <c r="AB354" s="149"/>
      <c r="AC354" s="149"/>
      <c r="AD354" s="149"/>
      <c r="AE354" s="149"/>
      <c r="AF354" s="149"/>
      <c r="AG354" s="149"/>
      <c r="AH354" s="149"/>
      <c r="AI354" s="149"/>
      <c r="AJ354" s="149"/>
      <c r="AK354" s="149"/>
      <c r="AL354" s="149"/>
      <c r="AM354" s="149"/>
      <c r="AN354" s="149"/>
      <c r="AO354" s="149"/>
      <c r="AP354" s="149"/>
    </row>
    <row r="355" spans="1:42" x14ac:dyDescent="0.2">
      <c r="A355" s="278"/>
      <c r="B355" s="278"/>
      <c r="C355" s="278"/>
      <c r="D355" s="278"/>
      <c r="E355" s="278"/>
      <c r="F355" s="278"/>
      <c r="G355" s="278"/>
      <c r="H355" s="278"/>
      <c r="I355" s="278"/>
      <c r="J355" s="278"/>
      <c r="K355" s="278"/>
      <c r="L355" s="278"/>
      <c r="M355" s="278"/>
      <c r="N355" s="149"/>
      <c r="O355" s="149"/>
      <c r="P355" s="278"/>
      <c r="Q355" s="278"/>
      <c r="R355" s="278"/>
      <c r="S355" s="278"/>
      <c r="T355" s="149"/>
      <c r="U355" s="202">
        <f>Input!B420</f>
        <v>0</v>
      </c>
      <c r="V355" s="303">
        <f>Input!F420</f>
        <v>0</v>
      </c>
      <c r="W355" s="399">
        <f>Input!U420</f>
        <v>0</v>
      </c>
      <c r="X355" s="303">
        <f>Input!H420</f>
        <v>0</v>
      </c>
      <c r="Y355" s="303">
        <f>Input!I420</f>
        <v>0</v>
      </c>
      <c r="Z355" s="399">
        <f>Input!V420</f>
        <v>0</v>
      </c>
      <c r="AA355" s="149"/>
      <c r="AB355" s="149"/>
      <c r="AC355" s="149"/>
      <c r="AD355" s="149"/>
      <c r="AE355" s="149"/>
      <c r="AF355" s="149"/>
      <c r="AG355" s="149"/>
      <c r="AH355" s="149"/>
      <c r="AI355" s="149"/>
      <c r="AJ355" s="149"/>
      <c r="AK355" s="149"/>
      <c r="AL355" s="149"/>
      <c r="AM355" s="149"/>
      <c r="AN355" s="149"/>
      <c r="AO355" s="149"/>
      <c r="AP355" s="149"/>
    </row>
    <row r="356" spans="1:42" x14ac:dyDescent="0.2">
      <c r="A356" s="278"/>
      <c r="B356" s="278"/>
      <c r="C356" s="278"/>
      <c r="D356" s="278"/>
      <c r="E356" s="278"/>
      <c r="F356" s="278"/>
      <c r="G356" s="278"/>
      <c r="H356" s="278"/>
      <c r="I356" s="278"/>
      <c r="J356" s="278"/>
      <c r="K356" s="278"/>
      <c r="L356" s="278"/>
      <c r="M356" s="278"/>
      <c r="N356" s="149"/>
      <c r="O356" s="149"/>
      <c r="P356" s="278"/>
      <c r="Q356" s="278"/>
      <c r="R356" s="278"/>
      <c r="S356" s="278"/>
      <c r="T356" s="149"/>
      <c r="U356" s="202">
        <f>Input!B421</f>
        <v>0</v>
      </c>
      <c r="V356" s="303">
        <f>Input!F421</f>
        <v>0</v>
      </c>
      <c r="W356" s="399">
        <f>Input!U421</f>
        <v>0</v>
      </c>
      <c r="X356" s="303">
        <f>Input!H421</f>
        <v>0</v>
      </c>
      <c r="Y356" s="303">
        <f>Input!I421</f>
        <v>0</v>
      </c>
      <c r="Z356" s="399">
        <f>Input!V421</f>
        <v>0</v>
      </c>
      <c r="AA356" s="149"/>
      <c r="AB356" s="149"/>
      <c r="AC356" s="149"/>
      <c r="AD356" s="149"/>
      <c r="AE356" s="149"/>
      <c r="AF356" s="149"/>
      <c r="AG356" s="149"/>
      <c r="AH356" s="149"/>
      <c r="AI356" s="149"/>
      <c r="AJ356" s="149"/>
      <c r="AK356" s="149"/>
      <c r="AL356" s="149"/>
      <c r="AM356" s="149"/>
      <c r="AN356" s="149"/>
      <c r="AO356" s="149"/>
      <c r="AP356" s="149"/>
    </row>
    <row r="357" spans="1:42" x14ac:dyDescent="0.2">
      <c r="A357" s="278"/>
      <c r="B357" s="278"/>
      <c r="C357" s="278"/>
      <c r="D357" s="278"/>
      <c r="E357" s="278"/>
      <c r="F357" s="278"/>
      <c r="G357" s="278"/>
      <c r="H357" s="278"/>
      <c r="I357" s="278"/>
      <c r="J357" s="278"/>
      <c r="K357" s="278"/>
      <c r="L357" s="278"/>
      <c r="M357" s="278"/>
      <c r="N357" s="149"/>
      <c r="O357" s="149"/>
      <c r="P357" s="278"/>
      <c r="Q357" s="278"/>
      <c r="R357" s="278"/>
      <c r="S357" s="278"/>
      <c r="T357" s="149"/>
      <c r="U357" s="202">
        <f>Input!B422</f>
        <v>0</v>
      </c>
      <c r="V357" s="303">
        <f>Input!F422</f>
        <v>0</v>
      </c>
      <c r="W357" s="399">
        <f>Input!U422</f>
        <v>0</v>
      </c>
      <c r="X357" s="303">
        <f>Input!H422</f>
        <v>0</v>
      </c>
      <c r="Y357" s="303">
        <f>Input!I422</f>
        <v>0</v>
      </c>
      <c r="Z357" s="399">
        <f>Input!V422</f>
        <v>0</v>
      </c>
      <c r="AA357" s="149"/>
      <c r="AB357" s="149"/>
      <c r="AC357" s="149"/>
      <c r="AD357" s="149"/>
      <c r="AE357" s="149"/>
      <c r="AF357" s="149"/>
      <c r="AG357" s="149"/>
      <c r="AH357" s="149"/>
      <c r="AI357" s="149"/>
      <c r="AJ357" s="149"/>
      <c r="AK357" s="149"/>
      <c r="AL357" s="149"/>
      <c r="AM357" s="149"/>
      <c r="AN357" s="149"/>
      <c r="AO357" s="149"/>
      <c r="AP357" s="149"/>
    </row>
    <row r="358" spans="1:42" x14ac:dyDescent="0.2">
      <c r="A358" s="278"/>
      <c r="B358" s="278"/>
      <c r="C358" s="278"/>
      <c r="D358" s="278"/>
      <c r="E358" s="278"/>
      <c r="F358" s="278"/>
      <c r="G358" s="278"/>
      <c r="H358" s="278"/>
      <c r="I358" s="278"/>
      <c r="J358" s="278"/>
      <c r="K358" s="278"/>
      <c r="L358" s="278"/>
      <c r="M358" s="278"/>
      <c r="N358" s="149"/>
      <c r="O358" s="149"/>
      <c r="P358" s="278"/>
      <c r="Q358" s="278"/>
      <c r="R358" s="278"/>
      <c r="S358" s="278"/>
      <c r="T358" s="149"/>
      <c r="U358" s="202">
        <f>Input!B423</f>
        <v>0</v>
      </c>
      <c r="V358" s="303">
        <f>Input!F423</f>
        <v>0</v>
      </c>
      <c r="W358" s="399">
        <f>Input!U423</f>
        <v>0</v>
      </c>
      <c r="X358" s="303">
        <f>Input!H423</f>
        <v>0</v>
      </c>
      <c r="Y358" s="303">
        <f>Input!I423</f>
        <v>0</v>
      </c>
      <c r="Z358" s="399">
        <f>Input!V423</f>
        <v>0</v>
      </c>
      <c r="AA358" s="149"/>
      <c r="AB358" s="149"/>
      <c r="AC358" s="149"/>
      <c r="AD358" s="149"/>
      <c r="AE358" s="149"/>
      <c r="AF358" s="149"/>
      <c r="AG358" s="149"/>
      <c r="AH358" s="149"/>
      <c r="AI358" s="149"/>
      <c r="AJ358" s="149"/>
      <c r="AK358" s="149"/>
      <c r="AL358" s="149"/>
      <c r="AM358" s="149"/>
      <c r="AN358" s="149"/>
      <c r="AO358" s="149"/>
      <c r="AP358" s="149"/>
    </row>
    <row r="359" spans="1:42" x14ac:dyDescent="0.2">
      <c r="A359" s="278"/>
      <c r="B359" s="278"/>
      <c r="C359" s="278"/>
      <c r="D359" s="278"/>
      <c r="E359" s="278"/>
      <c r="F359" s="278"/>
      <c r="G359" s="278"/>
      <c r="H359" s="278"/>
      <c r="I359" s="278"/>
      <c r="J359" s="278"/>
      <c r="K359" s="278"/>
      <c r="L359" s="278"/>
      <c r="M359" s="278"/>
      <c r="N359" s="149"/>
      <c r="O359" s="149"/>
      <c r="P359" s="278"/>
      <c r="Q359" s="278"/>
      <c r="R359" s="278"/>
      <c r="S359" s="278"/>
      <c r="T359" s="149"/>
      <c r="U359" s="202">
        <f>Input!B424</f>
        <v>0</v>
      </c>
      <c r="V359" s="303">
        <f>Input!F424</f>
        <v>0</v>
      </c>
      <c r="W359" s="399">
        <f>Input!U424</f>
        <v>0</v>
      </c>
      <c r="X359" s="303">
        <f>Input!H424</f>
        <v>0</v>
      </c>
      <c r="Y359" s="303">
        <f>Input!I424</f>
        <v>0</v>
      </c>
      <c r="Z359" s="399">
        <f>Input!V424</f>
        <v>0</v>
      </c>
      <c r="AA359" s="149"/>
      <c r="AB359" s="149"/>
      <c r="AC359" s="149"/>
      <c r="AD359" s="149"/>
      <c r="AE359" s="149"/>
      <c r="AF359" s="149"/>
      <c r="AG359" s="149"/>
      <c r="AH359" s="149"/>
      <c r="AI359" s="149"/>
      <c r="AJ359" s="149"/>
      <c r="AK359" s="149"/>
      <c r="AL359" s="149"/>
      <c r="AM359" s="149"/>
      <c r="AN359" s="149"/>
      <c r="AO359" s="149"/>
      <c r="AP359" s="149"/>
    </row>
    <row r="360" spans="1:42" x14ac:dyDescent="0.2">
      <c r="A360" s="278"/>
      <c r="B360" s="278"/>
      <c r="C360" s="278"/>
      <c r="D360" s="278"/>
      <c r="E360" s="278"/>
      <c r="F360" s="278"/>
      <c r="G360" s="278"/>
      <c r="H360" s="278"/>
      <c r="I360" s="278"/>
      <c r="J360" s="278"/>
      <c r="K360" s="278"/>
      <c r="L360" s="278"/>
      <c r="M360" s="278"/>
      <c r="N360" s="149"/>
      <c r="O360" s="149"/>
      <c r="P360" s="278"/>
      <c r="Q360" s="278"/>
      <c r="R360" s="278"/>
      <c r="S360" s="278"/>
      <c r="T360" s="149"/>
      <c r="U360" s="202">
        <f>Input!B425</f>
        <v>0</v>
      </c>
      <c r="V360" s="303">
        <f>Input!F425</f>
        <v>0</v>
      </c>
      <c r="W360" s="399">
        <f>Input!U425</f>
        <v>0</v>
      </c>
      <c r="X360" s="303">
        <f>Input!H425</f>
        <v>0</v>
      </c>
      <c r="Y360" s="303">
        <f>Input!I425</f>
        <v>0</v>
      </c>
      <c r="Z360" s="399">
        <f>Input!V425</f>
        <v>0</v>
      </c>
      <c r="AA360" s="149"/>
      <c r="AB360" s="149"/>
      <c r="AC360" s="149"/>
      <c r="AD360" s="149"/>
      <c r="AE360" s="149"/>
      <c r="AF360" s="149"/>
      <c r="AG360" s="149"/>
      <c r="AH360" s="149"/>
      <c r="AI360" s="149"/>
      <c r="AJ360" s="149"/>
      <c r="AK360" s="149"/>
      <c r="AL360" s="149"/>
      <c r="AM360" s="149"/>
      <c r="AN360" s="149"/>
      <c r="AO360" s="149"/>
      <c r="AP360" s="149"/>
    </row>
    <row r="361" spans="1:42" x14ac:dyDescent="0.2">
      <c r="A361" s="278"/>
      <c r="B361" s="278"/>
      <c r="C361" s="278"/>
      <c r="D361" s="278"/>
      <c r="E361" s="278"/>
      <c r="F361" s="278"/>
      <c r="G361" s="278"/>
      <c r="H361" s="278"/>
      <c r="I361" s="278"/>
      <c r="J361" s="278"/>
      <c r="K361" s="278"/>
      <c r="L361" s="278"/>
      <c r="M361" s="278"/>
      <c r="N361" s="149"/>
      <c r="O361" s="149"/>
      <c r="P361" s="278"/>
      <c r="Q361" s="278"/>
      <c r="R361" s="278"/>
      <c r="S361" s="278"/>
      <c r="T361" s="149"/>
      <c r="U361" s="202">
        <f>Input!B426</f>
        <v>0</v>
      </c>
      <c r="V361" s="303">
        <f>Input!F426</f>
        <v>0</v>
      </c>
      <c r="W361" s="399">
        <f>Input!U426</f>
        <v>0</v>
      </c>
      <c r="X361" s="303">
        <f>Input!H426</f>
        <v>0</v>
      </c>
      <c r="Y361" s="303">
        <f>Input!I426</f>
        <v>0</v>
      </c>
      <c r="Z361" s="399">
        <f>Input!V426</f>
        <v>0</v>
      </c>
      <c r="AA361" s="149"/>
      <c r="AB361" s="149"/>
      <c r="AC361" s="149"/>
      <c r="AD361" s="149"/>
      <c r="AE361" s="149"/>
      <c r="AF361" s="149"/>
      <c r="AG361" s="149"/>
      <c r="AH361" s="149"/>
      <c r="AI361" s="149"/>
      <c r="AJ361" s="149"/>
      <c r="AK361" s="149"/>
      <c r="AL361" s="149"/>
      <c r="AM361" s="149"/>
      <c r="AN361" s="149"/>
      <c r="AO361" s="149"/>
      <c r="AP361" s="149"/>
    </row>
    <row r="362" spans="1:42" x14ac:dyDescent="0.2">
      <c r="A362" s="278"/>
      <c r="B362" s="278"/>
      <c r="C362" s="278"/>
      <c r="D362" s="278"/>
      <c r="E362" s="278"/>
      <c r="F362" s="278"/>
      <c r="G362" s="278"/>
      <c r="H362" s="278"/>
      <c r="I362" s="278"/>
      <c r="J362" s="278"/>
      <c r="K362" s="278"/>
      <c r="L362" s="278"/>
      <c r="M362" s="278"/>
      <c r="N362" s="149"/>
      <c r="O362" s="149"/>
      <c r="P362" s="278"/>
      <c r="Q362" s="278"/>
      <c r="R362" s="278"/>
      <c r="S362" s="278"/>
      <c r="T362" s="149"/>
      <c r="U362" s="202">
        <f>Input!B427</f>
        <v>0</v>
      </c>
      <c r="V362" s="303">
        <f>Input!F427</f>
        <v>0</v>
      </c>
      <c r="W362" s="399">
        <f>Input!U427</f>
        <v>0</v>
      </c>
      <c r="X362" s="303">
        <f>Input!H427</f>
        <v>0</v>
      </c>
      <c r="Y362" s="303">
        <f>Input!I427</f>
        <v>0</v>
      </c>
      <c r="Z362" s="399">
        <f>Input!V427</f>
        <v>0</v>
      </c>
      <c r="AA362" s="149"/>
      <c r="AB362" s="149"/>
      <c r="AC362" s="149"/>
      <c r="AD362" s="149"/>
      <c r="AE362" s="149"/>
      <c r="AF362" s="149"/>
      <c r="AG362" s="149"/>
      <c r="AH362" s="149"/>
      <c r="AI362" s="149"/>
      <c r="AJ362" s="149"/>
      <c r="AK362" s="149"/>
      <c r="AL362" s="149"/>
      <c r="AM362" s="149"/>
      <c r="AN362" s="149"/>
      <c r="AO362" s="149"/>
      <c r="AP362" s="149"/>
    </row>
    <row r="363" spans="1:42" x14ac:dyDescent="0.2">
      <c r="A363" s="278"/>
      <c r="B363" s="278"/>
      <c r="C363" s="278"/>
      <c r="D363" s="278"/>
      <c r="E363" s="278"/>
      <c r="F363" s="278"/>
      <c r="G363" s="278"/>
      <c r="H363" s="278"/>
      <c r="I363" s="278"/>
      <c r="J363" s="278"/>
      <c r="K363" s="278"/>
      <c r="L363" s="278"/>
      <c r="M363" s="278"/>
      <c r="N363" s="149"/>
      <c r="O363" s="149"/>
      <c r="P363" s="278"/>
      <c r="Q363" s="278"/>
      <c r="R363" s="278"/>
      <c r="S363" s="278"/>
      <c r="T363" s="149"/>
      <c r="U363" s="202">
        <f>Input!B428</f>
        <v>0</v>
      </c>
      <c r="V363" s="303">
        <f>Input!F428</f>
        <v>0</v>
      </c>
      <c r="W363" s="399">
        <f>Input!U428</f>
        <v>0</v>
      </c>
      <c r="X363" s="303">
        <f>Input!H428</f>
        <v>0</v>
      </c>
      <c r="Y363" s="303">
        <f>Input!I428</f>
        <v>0</v>
      </c>
      <c r="Z363" s="399">
        <f>Input!V428</f>
        <v>0</v>
      </c>
      <c r="AA363" s="149"/>
      <c r="AB363" s="149"/>
      <c r="AC363" s="149"/>
      <c r="AD363" s="149"/>
      <c r="AE363" s="149"/>
      <c r="AF363" s="149"/>
      <c r="AG363" s="149"/>
      <c r="AH363" s="149"/>
      <c r="AI363" s="149"/>
      <c r="AJ363" s="149"/>
      <c r="AK363" s="149"/>
      <c r="AL363" s="149"/>
      <c r="AM363" s="149"/>
      <c r="AN363" s="149"/>
      <c r="AO363" s="149"/>
      <c r="AP363" s="149"/>
    </row>
    <row r="364" spans="1:42" x14ac:dyDescent="0.2">
      <c r="A364" s="278"/>
      <c r="B364" s="278"/>
      <c r="C364" s="278"/>
      <c r="D364" s="278"/>
      <c r="E364" s="278"/>
      <c r="F364" s="278"/>
      <c r="G364" s="278"/>
      <c r="H364" s="278"/>
      <c r="I364" s="278"/>
      <c r="J364" s="278"/>
      <c r="K364" s="278"/>
      <c r="L364" s="278"/>
      <c r="M364" s="278"/>
      <c r="N364" s="149"/>
      <c r="O364" s="149"/>
      <c r="P364" s="278"/>
      <c r="Q364" s="278"/>
      <c r="R364" s="278"/>
      <c r="S364" s="278"/>
      <c r="T364" s="149"/>
      <c r="U364" s="202">
        <f>Input!B429</f>
        <v>0</v>
      </c>
      <c r="V364" s="303">
        <f>Input!F429</f>
        <v>0</v>
      </c>
      <c r="W364" s="399">
        <f>Input!U429</f>
        <v>0</v>
      </c>
      <c r="X364" s="303">
        <f>Input!H429</f>
        <v>0</v>
      </c>
      <c r="Y364" s="303">
        <f>Input!I429</f>
        <v>0</v>
      </c>
      <c r="Z364" s="399">
        <f>Input!V429</f>
        <v>0</v>
      </c>
      <c r="AA364" s="149"/>
      <c r="AB364" s="149"/>
      <c r="AC364" s="149"/>
      <c r="AD364" s="149"/>
      <c r="AE364" s="149"/>
      <c r="AF364" s="149"/>
      <c r="AG364" s="149"/>
      <c r="AH364" s="149"/>
      <c r="AI364" s="149"/>
      <c r="AJ364" s="149"/>
      <c r="AK364" s="149"/>
      <c r="AL364" s="149"/>
      <c r="AM364" s="149"/>
      <c r="AN364" s="149"/>
      <c r="AO364" s="149"/>
      <c r="AP364" s="149"/>
    </row>
    <row r="365" spans="1:42" x14ac:dyDescent="0.2">
      <c r="A365" s="278"/>
      <c r="B365" s="278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149"/>
      <c r="O365" s="149"/>
      <c r="P365" s="278"/>
      <c r="Q365" s="278"/>
      <c r="R365" s="278"/>
      <c r="S365" s="278"/>
      <c r="T365" s="149"/>
      <c r="U365" s="202">
        <f>Input!B430</f>
        <v>0</v>
      </c>
      <c r="V365" s="303">
        <f>Input!F430</f>
        <v>0</v>
      </c>
      <c r="W365" s="399">
        <f>Input!U430</f>
        <v>0</v>
      </c>
      <c r="X365" s="303">
        <f>Input!H430</f>
        <v>0</v>
      </c>
      <c r="Y365" s="303">
        <f>Input!I430</f>
        <v>0</v>
      </c>
      <c r="Z365" s="399">
        <f>Input!V430</f>
        <v>0</v>
      </c>
      <c r="AA365" s="149"/>
      <c r="AB365" s="149"/>
      <c r="AC365" s="149"/>
      <c r="AD365" s="149"/>
      <c r="AE365" s="149"/>
      <c r="AF365" s="149"/>
      <c r="AG365" s="149"/>
      <c r="AH365" s="149"/>
      <c r="AI365" s="149"/>
      <c r="AJ365" s="149"/>
      <c r="AK365" s="149"/>
      <c r="AL365" s="149"/>
      <c r="AM365" s="149"/>
      <c r="AN365" s="149"/>
      <c r="AO365" s="149"/>
      <c r="AP365" s="149"/>
    </row>
    <row r="366" spans="1:42" x14ac:dyDescent="0.2">
      <c r="A366" s="278"/>
      <c r="B366" s="278"/>
      <c r="C366" s="278"/>
      <c r="D366" s="278"/>
      <c r="E366" s="278"/>
      <c r="F366" s="278"/>
      <c r="G366" s="278"/>
      <c r="H366" s="278"/>
      <c r="I366" s="278"/>
      <c r="J366" s="278"/>
      <c r="K366" s="278"/>
      <c r="L366" s="278"/>
      <c r="M366" s="278"/>
      <c r="N366" s="149"/>
      <c r="O366" s="149"/>
      <c r="P366" s="278"/>
      <c r="Q366" s="278"/>
      <c r="R366" s="278"/>
      <c r="S366" s="278"/>
      <c r="T366" s="149"/>
      <c r="U366" s="202">
        <f>Input!B431</f>
        <v>0</v>
      </c>
      <c r="V366" s="303">
        <f>Input!F431</f>
        <v>0</v>
      </c>
      <c r="W366" s="399">
        <f>Input!U431</f>
        <v>0</v>
      </c>
      <c r="X366" s="303">
        <f>Input!H431</f>
        <v>0</v>
      </c>
      <c r="Y366" s="303">
        <f>Input!I431</f>
        <v>0</v>
      </c>
      <c r="Z366" s="399">
        <f>Input!V431</f>
        <v>0</v>
      </c>
      <c r="AA366" s="149"/>
      <c r="AB366" s="149"/>
      <c r="AC366" s="149"/>
      <c r="AD366" s="149"/>
      <c r="AE366" s="149"/>
      <c r="AF366" s="149"/>
      <c r="AG366" s="149"/>
      <c r="AH366" s="149"/>
      <c r="AI366" s="149"/>
      <c r="AJ366" s="149"/>
      <c r="AK366" s="149"/>
      <c r="AL366" s="149"/>
      <c r="AM366" s="149"/>
      <c r="AN366" s="149"/>
      <c r="AO366" s="149"/>
      <c r="AP366" s="149"/>
    </row>
    <row r="367" spans="1:42" x14ac:dyDescent="0.2">
      <c r="A367" s="278"/>
      <c r="B367" s="278"/>
      <c r="C367" s="278"/>
      <c r="D367" s="278"/>
      <c r="E367" s="278"/>
      <c r="F367" s="278"/>
      <c r="G367" s="278"/>
      <c r="H367" s="278"/>
      <c r="I367" s="278"/>
      <c r="J367" s="278"/>
      <c r="K367" s="278"/>
      <c r="L367" s="278"/>
      <c r="M367" s="278"/>
      <c r="N367" s="149"/>
      <c r="O367" s="149"/>
      <c r="P367" s="278"/>
      <c r="Q367" s="278"/>
      <c r="R367" s="278"/>
      <c r="S367" s="278"/>
      <c r="T367" s="149"/>
      <c r="U367" s="202">
        <f>Input!B432</f>
        <v>0</v>
      </c>
      <c r="V367" s="303">
        <f>Input!F432</f>
        <v>0</v>
      </c>
      <c r="W367" s="399">
        <f>Input!U432</f>
        <v>0</v>
      </c>
      <c r="X367" s="303">
        <f>Input!H432</f>
        <v>0</v>
      </c>
      <c r="Y367" s="303">
        <f>Input!I432</f>
        <v>0</v>
      </c>
      <c r="Z367" s="399">
        <f>Input!V432</f>
        <v>0</v>
      </c>
      <c r="AA367" s="149"/>
      <c r="AB367" s="149"/>
      <c r="AC367" s="149"/>
      <c r="AD367" s="149"/>
      <c r="AE367" s="149"/>
      <c r="AF367" s="149"/>
      <c r="AG367" s="149"/>
      <c r="AH367" s="149"/>
      <c r="AI367" s="149"/>
      <c r="AJ367" s="149"/>
      <c r="AK367" s="149"/>
      <c r="AL367" s="149"/>
      <c r="AM367" s="149"/>
      <c r="AN367" s="149"/>
      <c r="AO367" s="149"/>
      <c r="AP367" s="149"/>
    </row>
    <row r="368" spans="1:42" x14ac:dyDescent="0.2">
      <c r="A368" s="278"/>
      <c r="B368" s="278"/>
      <c r="C368" s="278"/>
      <c r="D368" s="278"/>
      <c r="E368" s="278"/>
      <c r="F368" s="278"/>
      <c r="G368" s="278"/>
      <c r="H368" s="278"/>
      <c r="I368" s="278"/>
      <c r="J368" s="278"/>
      <c r="K368" s="278"/>
      <c r="L368" s="278"/>
      <c r="M368" s="278"/>
      <c r="N368" s="149"/>
      <c r="O368" s="149"/>
      <c r="P368" s="278"/>
      <c r="Q368" s="278"/>
      <c r="R368" s="278"/>
      <c r="S368" s="278"/>
      <c r="T368" s="149"/>
      <c r="U368" s="202">
        <f>Input!B433</f>
        <v>0</v>
      </c>
      <c r="V368" s="303">
        <f>Input!F433</f>
        <v>0</v>
      </c>
      <c r="W368" s="399">
        <f>Input!U433</f>
        <v>0</v>
      </c>
      <c r="X368" s="303">
        <f>Input!H433</f>
        <v>0</v>
      </c>
      <c r="Y368" s="303">
        <f>Input!I433</f>
        <v>0</v>
      </c>
      <c r="Z368" s="399">
        <f>Input!V433</f>
        <v>0</v>
      </c>
      <c r="AA368" s="149"/>
      <c r="AB368" s="149"/>
      <c r="AC368" s="149"/>
      <c r="AD368" s="149"/>
      <c r="AE368" s="149"/>
      <c r="AF368" s="149"/>
      <c r="AG368" s="149"/>
      <c r="AH368" s="149"/>
      <c r="AI368" s="149"/>
      <c r="AJ368" s="149"/>
      <c r="AK368" s="149"/>
      <c r="AL368" s="149"/>
      <c r="AM368" s="149"/>
      <c r="AN368" s="149"/>
      <c r="AO368" s="149"/>
      <c r="AP368" s="149"/>
    </row>
    <row r="369" spans="1:42" x14ac:dyDescent="0.2">
      <c r="A369" s="278"/>
      <c r="B369" s="278"/>
      <c r="C369" s="278"/>
      <c r="D369" s="278"/>
      <c r="E369" s="278"/>
      <c r="F369" s="278"/>
      <c r="G369" s="278"/>
      <c r="H369" s="278"/>
      <c r="I369" s="278"/>
      <c r="J369" s="278"/>
      <c r="K369" s="278"/>
      <c r="L369" s="278"/>
      <c r="M369" s="278"/>
      <c r="N369" s="149"/>
      <c r="O369" s="149"/>
      <c r="P369" s="278"/>
      <c r="Q369" s="278"/>
      <c r="R369" s="278"/>
      <c r="S369" s="278"/>
      <c r="T369" s="149"/>
      <c r="U369" s="202">
        <f>Input!B434</f>
        <v>0</v>
      </c>
      <c r="V369" s="303">
        <f>Input!F434</f>
        <v>0</v>
      </c>
      <c r="W369" s="399">
        <f>Input!U434</f>
        <v>0</v>
      </c>
      <c r="X369" s="303">
        <f>Input!H434</f>
        <v>0</v>
      </c>
      <c r="Y369" s="303">
        <f>Input!I434</f>
        <v>0</v>
      </c>
      <c r="Z369" s="399">
        <f>Input!V434</f>
        <v>0</v>
      </c>
      <c r="AA369" s="149"/>
      <c r="AB369" s="149"/>
      <c r="AC369" s="149"/>
      <c r="AD369" s="149"/>
      <c r="AE369" s="149"/>
      <c r="AF369" s="149"/>
      <c r="AG369" s="149"/>
      <c r="AH369" s="149"/>
      <c r="AI369" s="149"/>
      <c r="AJ369" s="149"/>
      <c r="AK369" s="149"/>
      <c r="AL369" s="149"/>
      <c r="AM369" s="149"/>
      <c r="AN369" s="149"/>
      <c r="AO369" s="149"/>
      <c r="AP369" s="149"/>
    </row>
    <row r="370" spans="1:42" x14ac:dyDescent="0.2">
      <c r="A370" s="278"/>
      <c r="B370" s="278"/>
      <c r="C370" s="278"/>
      <c r="D370" s="278"/>
      <c r="E370" s="278"/>
      <c r="F370" s="278"/>
      <c r="G370" s="278"/>
      <c r="H370" s="278"/>
      <c r="I370" s="278"/>
      <c r="J370" s="278"/>
      <c r="K370" s="278"/>
      <c r="L370" s="278"/>
      <c r="M370" s="278"/>
      <c r="N370" s="149"/>
      <c r="O370" s="149"/>
      <c r="P370" s="278"/>
      <c r="Q370" s="278"/>
      <c r="R370" s="278"/>
      <c r="S370" s="278"/>
      <c r="T370" s="149"/>
      <c r="U370" s="202">
        <f>Input!B435</f>
        <v>0</v>
      </c>
      <c r="V370" s="303">
        <f>Input!F435</f>
        <v>0</v>
      </c>
      <c r="W370" s="399">
        <f>Input!U435</f>
        <v>0</v>
      </c>
      <c r="X370" s="303">
        <f>Input!H435</f>
        <v>0</v>
      </c>
      <c r="Y370" s="303">
        <f>Input!I435</f>
        <v>0</v>
      </c>
      <c r="Z370" s="399">
        <f>Input!V435</f>
        <v>0</v>
      </c>
      <c r="AA370" s="149"/>
      <c r="AB370" s="149"/>
      <c r="AC370" s="149"/>
      <c r="AD370" s="149"/>
      <c r="AE370" s="149"/>
      <c r="AF370" s="149"/>
      <c r="AG370" s="149"/>
      <c r="AH370" s="149"/>
      <c r="AI370" s="149"/>
      <c r="AJ370" s="149"/>
      <c r="AK370" s="149"/>
      <c r="AL370" s="149"/>
      <c r="AM370" s="149"/>
      <c r="AN370" s="149"/>
      <c r="AO370" s="149"/>
      <c r="AP370" s="149"/>
    </row>
    <row r="371" spans="1:42" x14ac:dyDescent="0.2">
      <c r="A371" s="278"/>
      <c r="B371" s="278"/>
      <c r="C371" s="278"/>
      <c r="D371" s="278"/>
      <c r="E371" s="278"/>
      <c r="F371" s="278"/>
      <c r="G371" s="278"/>
      <c r="H371" s="278"/>
      <c r="I371" s="278"/>
      <c r="J371" s="278"/>
      <c r="K371" s="278"/>
      <c r="L371" s="278"/>
      <c r="M371" s="278"/>
      <c r="N371" s="149"/>
      <c r="O371" s="149"/>
      <c r="P371" s="278"/>
      <c r="Q371" s="278"/>
      <c r="R371" s="278"/>
      <c r="S371" s="278"/>
      <c r="T371" s="149"/>
      <c r="U371" s="202">
        <f>Input!B436</f>
        <v>0</v>
      </c>
      <c r="V371" s="303">
        <f>Input!F436</f>
        <v>0</v>
      </c>
      <c r="W371" s="399">
        <f>Input!U436</f>
        <v>0</v>
      </c>
      <c r="X371" s="303">
        <f>Input!H436</f>
        <v>0</v>
      </c>
      <c r="Y371" s="303">
        <f>Input!I436</f>
        <v>0</v>
      </c>
      <c r="Z371" s="399">
        <f>Input!V436</f>
        <v>0</v>
      </c>
      <c r="AA371" s="149"/>
      <c r="AB371" s="149"/>
      <c r="AC371" s="149"/>
      <c r="AD371" s="149"/>
      <c r="AE371" s="149"/>
      <c r="AF371" s="149"/>
      <c r="AG371" s="149"/>
      <c r="AH371" s="149"/>
      <c r="AI371" s="149"/>
      <c r="AJ371" s="149"/>
      <c r="AK371" s="149"/>
      <c r="AL371" s="149"/>
      <c r="AM371" s="149"/>
      <c r="AN371" s="149"/>
      <c r="AO371" s="149"/>
      <c r="AP371" s="149"/>
    </row>
    <row r="372" spans="1:42" x14ac:dyDescent="0.2">
      <c r="A372" s="278"/>
      <c r="B372" s="278"/>
      <c r="C372" s="278"/>
      <c r="D372" s="278"/>
      <c r="E372" s="278"/>
      <c r="F372" s="278"/>
      <c r="G372" s="278"/>
      <c r="H372" s="278"/>
      <c r="I372" s="278"/>
      <c r="J372" s="278"/>
      <c r="K372" s="278"/>
      <c r="L372" s="278"/>
      <c r="M372" s="278"/>
      <c r="N372" s="149"/>
      <c r="O372" s="149"/>
      <c r="P372" s="278"/>
      <c r="Q372" s="278"/>
      <c r="R372" s="278"/>
      <c r="S372" s="278"/>
      <c r="T372" s="149"/>
      <c r="U372" s="202">
        <f>Input!B437</f>
        <v>0</v>
      </c>
      <c r="V372" s="303">
        <f>Input!F437</f>
        <v>0</v>
      </c>
      <c r="W372" s="399">
        <f>Input!U437</f>
        <v>0</v>
      </c>
      <c r="X372" s="303">
        <f>Input!H437</f>
        <v>0</v>
      </c>
      <c r="Y372" s="303">
        <f>Input!I437</f>
        <v>0</v>
      </c>
      <c r="Z372" s="399">
        <f>Input!V437</f>
        <v>0</v>
      </c>
      <c r="AA372" s="149"/>
      <c r="AB372" s="149"/>
      <c r="AC372" s="149"/>
      <c r="AD372" s="149"/>
      <c r="AE372" s="149"/>
      <c r="AF372" s="149"/>
      <c r="AG372" s="149"/>
      <c r="AH372" s="149"/>
      <c r="AI372" s="149"/>
      <c r="AJ372" s="149"/>
      <c r="AK372" s="149"/>
      <c r="AL372" s="149"/>
      <c r="AM372" s="149"/>
      <c r="AN372" s="149"/>
      <c r="AO372" s="149"/>
      <c r="AP372" s="149"/>
    </row>
    <row r="373" spans="1:42" x14ac:dyDescent="0.2">
      <c r="A373" s="278"/>
      <c r="B373" s="278"/>
      <c r="C373" s="278"/>
      <c r="D373" s="278"/>
      <c r="E373" s="278"/>
      <c r="F373" s="278"/>
      <c r="G373" s="278"/>
      <c r="H373" s="278"/>
      <c r="I373" s="278"/>
      <c r="J373" s="278"/>
      <c r="K373" s="278"/>
      <c r="L373" s="278"/>
      <c r="M373" s="278"/>
      <c r="N373" s="149"/>
      <c r="O373" s="149"/>
      <c r="P373" s="278"/>
      <c r="Q373" s="278"/>
      <c r="R373" s="278"/>
      <c r="S373" s="278"/>
      <c r="T373" s="149"/>
      <c r="U373" s="202">
        <f>Input!B438</f>
        <v>0</v>
      </c>
      <c r="V373" s="303">
        <f>Input!F438</f>
        <v>0</v>
      </c>
      <c r="W373" s="399">
        <f>Input!U438</f>
        <v>0</v>
      </c>
      <c r="X373" s="303">
        <f>Input!H438</f>
        <v>0</v>
      </c>
      <c r="Y373" s="303">
        <f>Input!I438</f>
        <v>0</v>
      </c>
      <c r="Z373" s="399">
        <f>Input!V438</f>
        <v>0</v>
      </c>
      <c r="AA373" s="149"/>
      <c r="AB373" s="149"/>
      <c r="AC373" s="149"/>
      <c r="AD373" s="149"/>
      <c r="AE373" s="149"/>
      <c r="AF373" s="149"/>
      <c r="AG373" s="149"/>
      <c r="AH373" s="149"/>
      <c r="AI373" s="149"/>
      <c r="AJ373" s="149"/>
      <c r="AK373" s="149"/>
      <c r="AL373" s="149"/>
      <c r="AM373" s="149"/>
      <c r="AN373" s="149"/>
      <c r="AO373" s="149"/>
      <c r="AP373" s="149"/>
    </row>
    <row r="374" spans="1:42" x14ac:dyDescent="0.2">
      <c r="A374" s="278"/>
      <c r="B374" s="278"/>
      <c r="C374" s="278"/>
      <c r="D374" s="278"/>
      <c r="E374" s="278"/>
      <c r="F374" s="278"/>
      <c r="G374" s="278"/>
      <c r="H374" s="278"/>
      <c r="I374" s="278"/>
      <c r="J374" s="278"/>
      <c r="K374" s="278"/>
      <c r="L374" s="278"/>
      <c r="M374" s="278"/>
      <c r="N374" s="149"/>
      <c r="O374" s="149"/>
      <c r="P374" s="278"/>
      <c r="Q374" s="278"/>
      <c r="R374" s="278"/>
      <c r="S374" s="278"/>
      <c r="T374" s="149"/>
      <c r="U374" s="202">
        <f>Input!B439</f>
        <v>0</v>
      </c>
      <c r="V374" s="303">
        <f>Input!F439</f>
        <v>0</v>
      </c>
      <c r="W374" s="399">
        <f>Input!U439</f>
        <v>0</v>
      </c>
      <c r="X374" s="303">
        <f>Input!H439</f>
        <v>0</v>
      </c>
      <c r="Y374" s="303">
        <f>Input!I439</f>
        <v>0</v>
      </c>
      <c r="Z374" s="399">
        <f>Input!V439</f>
        <v>0</v>
      </c>
      <c r="AA374" s="149"/>
      <c r="AB374" s="149"/>
      <c r="AC374" s="149"/>
      <c r="AD374" s="149"/>
      <c r="AE374" s="149"/>
      <c r="AF374" s="149"/>
      <c r="AG374" s="149"/>
      <c r="AH374" s="149"/>
      <c r="AI374" s="149"/>
      <c r="AJ374" s="149"/>
      <c r="AK374" s="149"/>
      <c r="AL374" s="149"/>
      <c r="AM374" s="149"/>
      <c r="AN374" s="149"/>
      <c r="AO374" s="149"/>
      <c r="AP374" s="149"/>
    </row>
    <row r="375" spans="1:42" x14ac:dyDescent="0.2">
      <c r="A375" s="278"/>
      <c r="B375" s="278"/>
      <c r="C375" s="278"/>
      <c r="D375" s="278"/>
      <c r="E375" s="278"/>
      <c r="F375" s="278"/>
      <c r="G375" s="278"/>
      <c r="H375" s="278"/>
      <c r="I375" s="278"/>
      <c r="J375" s="278"/>
      <c r="K375" s="278"/>
      <c r="L375" s="278"/>
      <c r="M375" s="278"/>
      <c r="N375" s="149"/>
      <c r="O375" s="149"/>
      <c r="P375" s="278"/>
      <c r="Q375" s="278"/>
      <c r="R375" s="278"/>
      <c r="S375" s="278"/>
      <c r="T375" s="149"/>
      <c r="U375" s="202">
        <f>Input!B440</f>
        <v>0</v>
      </c>
      <c r="V375" s="303">
        <f>Input!F440</f>
        <v>0</v>
      </c>
      <c r="W375" s="399">
        <f>Input!U440</f>
        <v>0</v>
      </c>
      <c r="X375" s="303">
        <f>Input!H440</f>
        <v>0</v>
      </c>
      <c r="Y375" s="303">
        <f>Input!I440</f>
        <v>0</v>
      </c>
      <c r="Z375" s="399">
        <f>Input!V440</f>
        <v>0</v>
      </c>
      <c r="AA375" s="149"/>
      <c r="AB375" s="149"/>
      <c r="AC375" s="149"/>
      <c r="AD375" s="149"/>
      <c r="AE375" s="149"/>
      <c r="AF375" s="149"/>
      <c r="AG375" s="149"/>
      <c r="AH375" s="149"/>
      <c r="AI375" s="149"/>
      <c r="AJ375" s="149"/>
      <c r="AK375" s="149"/>
      <c r="AL375" s="149"/>
      <c r="AM375" s="149"/>
      <c r="AN375" s="149"/>
      <c r="AO375" s="149"/>
      <c r="AP375" s="149"/>
    </row>
    <row r="376" spans="1:42" x14ac:dyDescent="0.2">
      <c r="A376" s="278"/>
      <c r="B376" s="278"/>
      <c r="C376" s="278"/>
      <c r="D376" s="278"/>
      <c r="E376" s="278"/>
      <c r="F376" s="278"/>
      <c r="G376" s="278"/>
      <c r="H376" s="278"/>
      <c r="I376" s="278"/>
      <c r="J376" s="278"/>
      <c r="K376" s="278"/>
      <c r="L376" s="278"/>
      <c r="M376" s="278"/>
      <c r="N376" s="149"/>
      <c r="O376" s="149"/>
      <c r="P376" s="278"/>
      <c r="Q376" s="278"/>
      <c r="R376" s="278"/>
      <c r="S376" s="278"/>
      <c r="T376" s="149"/>
      <c r="U376" s="202">
        <f>Input!B441</f>
        <v>0</v>
      </c>
      <c r="V376" s="303">
        <f>Input!F441</f>
        <v>0</v>
      </c>
      <c r="W376" s="399">
        <f>Input!U441</f>
        <v>0</v>
      </c>
      <c r="X376" s="303">
        <f>Input!H441</f>
        <v>0</v>
      </c>
      <c r="Y376" s="303">
        <f>Input!I441</f>
        <v>0</v>
      </c>
      <c r="Z376" s="399">
        <f>Input!V441</f>
        <v>0</v>
      </c>
      <c r="AA376" s="149"/>
      <c r="AB376" s="149"/>
      <c r="AC376" s="149"/>
      <c r="AD376" s="149"/>
      <c r="AE376" s="149"/>
      <c r="AF376" s="149"/>
      <c r="AG376" s="149"/>
      <c r="AH376" s="149"/>
      <c r="AI376" s="149"/>
      <c r="AJ376" s="149"/>
      <c r="AK376" s="149"/>
      <c r="AL376" s="149"/>
      <c r="AM376" s="149"/>
      <c r="AN376" s="149"/>
      <c r="AO376" s="149"/>
      <c r="AP376" s="149"/>
    </row>
    <row r="377" spans="1:42" x14ac:dyDescent="0.2">
      <c r="A377" s="278"/>
      <c r="B377" s="278"/>
      <c r="C377" s="278"/>
      <c r="D377" s="278"/>
      <c r="E377" s="278"/>
      <c r="F377" s="278"/>
      <c r="G377" s="278"/>
      <c r="H377" s="278"/>
      <c r="I377" s="278"/>
      <c r="J377" s="278"/>
      <c r="K377" s="278"/>
      <c r="L377" s="278"/>
      <c r="M377" s="278"/>
      <c r="N377" s="149"/>
      <c r="O377" s="149"/>
      <c r="P377" s="278"/>
      <c r="Q377" s="278"/>
      <c r="R377" s="278"/>
      <c r="S377" s="278"/>
      <c r="T377" s="149"/>
      <c r="U377" s="202">
        <f>Input!B442</f>
        <v>0</v>
      </c>
      <c r="V377" s="303">
        <f>Input!F442</f>
        <v>0</v>
      </c>
      <c r="W377" s="399">
        <f>Input!U442</f>
        <v>0</v>
      </c>
      <c r="X377" s="303">
        <f>Input!H442</f>
        <v>0</v>
      </c>
      <c r="Y377" s="303">
        <f>Input!I442</f>
        <v>0</v>
      </c>
      <c r="Z377" s="399">
        <f>Input!V442</f>
        <v>0</v>
      </c>
      <c r="AA377" s="149"/>
      <c r="AB377" s="149"/>
      <c r="AC377" s="149"/>
      <c r="AD377" s="149"/>
      <c r="AE377" s="149"/>
      <c r="AF377" s="149"/>
      <c r="AG377" s="149"/>
      <c r="AH377" s="149"/>
      <c r="AI377" s="149"/>
      <c r="AJ377" s="149"/>
      <c r="AK377" s="149"/>
      <c r="AL377" s="149"/>
      <c r="AM377" s="149"/>
      <c r="AN377" s="149"/>
      <c r="AO377" s="149"/>
      <c r="AP377" s="149"/>
    </row>
    <row r="378" spans="1:42" x14ac:dyDescent="0.2">
      <c r="A378" s="278"/>
      <c r="B378" s="278"/>
      <c r="C378" s="278"/>
      <c r="D378" s="278"/>
      <c r="E378" s="278"/>
      <c r="F378" s="278"/>
      <c r="G378" s="278"/>
      <c r="H378" s="278"/>
      <c r="I378" s="278"/>
      <c r="J378" s="278"/>
      <c r="K378" s="278"/>
      <c r="L378" s="278"/>
      <c r="M378" s="278"/>
      <c r="N378" s="149"/>
      <c r="O378" s="149"/>
      <c r="P378" s="278"/>
      <c r="Q378" s="278"/>
      <c r="R378" s="278"/>
      <c r="S378" s="278"/>
      <c r="T378" s="149"/>
      <c r="U378" s="202">
        <f>Input!B443</f>
        <v>0</v>
      </c>
      <c r="V378" s="303">
        <f>Input!F443</f>
        <v>0</v>
      </c>
      <c r="W378" s="399">
        <f>Input!U443</f>
        <v>0</v>
      </c>
      <c r="X378" s="303">
        <f>Input!H443</f>
        <v>0</v>
      </c>
      <c r="Y378" s="303">
        <f>Input!I443</f>
        <v>0</v>
      </c>
      <c r="Z378" s="399">
        <f>Input!V443</f>
        <v>0</v>
      </c>
      <c r="AA378" s="149"/>
      <c r="AB378" s="149"/>
      <c r="AC378" s="149"/>
      <c r="AD378" s="149"/>
      <c r="AE378" s="149"/>
      <c r="AF378" s="149"/>
      <c r="AG378" s="149"/>
      <c r="AH378" s="149"/>
      <c r="AI378" s="149"/>
      <c r="AJ378" s="149"/>
      <c r="AK378" s="149"/>
      <c r="AL378" s="149"/>
      <c r="AM378" s="149"/>
      <c r="AN378" s="149"/>
      <c r="AO378" s="149"/>
      <c r="AP378" s="149"/>
    </row>
    <row r="379" spans="1:42" x14ac:dyDescent="0.2">
      <c r="A379" s="278"/>
      <c r="B379" s="278"/>
      <c r="C379" s="278"/>
      <c r="D379" s="278"/>
      <c r="E379" s="278"/>
      <c r="F379" s="278"/>
      <c r="G379" s="278"/>
      <c r="H379" s="278"/>
      <c r="I379" s="278"/>
      <c r="J379" s="278"/>
      <c r="K379" s="278"/>
      <c r="L379" s="278"/>
      <c r="M379" s="278"/>
      <c r="N379" s="149"/>
      <c r="O379" s="149"/>
      <c r="P379" s="278"/>
      <c r="Q379" s="278"/>
      <c r="R379" s="278"/>
      <c r="S379" s="278"/>
      <c r="T379" s="149"/>
      <c r="U379" s="202">
        <f>Input!B444</f>
        <v>0</v>
      </c>
      <c r="V379" s="303">
        <f>Input!F444</f>
        <v>0</v>
      </c>
      <c r="W379" s="399">
        <f>Input!U444</f>
        <v>0</v>
      </c>
      <c r="X379" s="303">
        <f>Input!H444</f>
        <v>0</v>
      </c>
      <c r="Y379" s="303">
        <f>Input!I444</f>
        <v>0</v>
      </c>
      <c r="Z379" s="399">
        <f>Input!V444</f>
        <v>0</v>
      </c>
      <c r="AA379" s="149"/>
      <c r="AB379" s="149"/>
      <c r="AC379" s="149"/>
      <c r="AD379" s="149"/>
      <c r="AE379" s="149"/>
      <c r="AF379" s="149"/>
      <c r="AG379" s="149"/>
      <c r="AH379" s="149"/>
      <c r="AI379" s="149"/>
      <c r="AJ379" s="149"/>
      <c r="AK379" s="149"/>
      <c r="AL379" s="149"/>
      <c r="AM379" s="149"/>
      <c r="AN379" s="149"/>
      <c r="AO379" s="149"/>
      <c r="AP379" s="149"/>
    </row>
    <row r="380" spans="1:42" x14ac:dyDescent="0.2">
      <c r="A380" s="278"/>
      <c r="B380" s="278"/>
      <c r="C380" s="278"/>
      <c r="D380" s="278"/>
      <c r="E380" s="278"/>
      <c r="F380" s="278"/>
      <c r="G380" s="278"/>
      <c r="H380" s="278"/>
      <c r="I380" s="278"/>
      <c r="J380" s="278"/>
      <c r="K380" s="278"/>
      <c r="L380" s="278"/>
      <c r="M380" s="278"/>
      <c r="N380" s="149"/>
      <c r="O380" s="149"/>
      <c r="P380" s="278"/>
      <c r="Q380" s="278"/>
      <c r="R380" s="278"/>
      <c r="S380" s="278"/>
      <c r="T380" s="149"/>
      <c r="U380" s="202">
        <f>Input!B445</f>
        <v>0</v>
      </c>
      <c r="V380" s="303">
        <f>Input!F445</f>
        <v>0</v>
      </c>
      <c r="W380" s="399">
        <f>Input!U445</f>
        <v>0</v>
      </c>
      <c r="X380" s="303">
        <f>Input!H445</f>
        <v>0</v>
      </c>
      <c r="Y380" s="303">
        <f>Input!I445</f>
        <v>0</v>
      </c>
      <c r="Z380" s="399">
        <f>Input!V445</f>
        <v>0</v>
      </c>
      <c r="AA380" s="149"/>
      <c r="AB380" s="149"/>
      <c r="AC380" s="149"/>
      <c r="AD380" s="149"/>
      <c r="AE380" s="149"/>
      <c r="AF380" s="149"/>
      <c r="AG380" s="149"/>
      <c r="AH380" s="149"/>
      <c r="AI380" s="149"/>
      <c r="AJ380" s="149"/>
      <c r="AK380" s="149"/>
      <c r="AL380" s="149"/>
      <c r="AM380" s="149"/>
      <c r="AN380" s="149"/>
      <c r="AO380" s="149"/>
      <c r="AP380" s="149"/>
    </row>
    <row r="381" spans="1:42" x14ac:dyDescent="0.2">
      <c r="A381" s="278"/>
      <c r="B381" s="278"/>
      <c r="C381" s="278"/>
      <c r="D381" s="278"/>
      <c r="E381" s="278"/>
      <c r="F381" s="278"/>
      <c r="G381" s="278"/>
      <c r="H381" s="278"/>
      <c r="I381" s="278"/>
      <c r="J381" s="278"/>
      <c r="K381" s="278"/>
      <c r="L381" s="278"/>
      <c r="M381" s="278"/>
      <c r="N381" s="149"/>
      <c r="O381" s="149"/>
      <c r="P381" s="278"/>
      <c r="Q381" s="278"/>
      <c r="R381" s="278"/>
      <c r="S381" s="278"/>
      <c r="T381" s="149"/>
      <c r="U381" s="202">
        <f>Input!B446</f>
        <v>0</v>
      </c>
      <c r="V381" s="303">
        <f>Input!F446</f>
        <v>0</v>
      </c>
      <c r="W381" s="399">
        <f>Input!U446</f>
        <v>0</v>
      </c>
      <c r="X381" s="303">
        <f>Input!H446</f>
        <v>0</v>
      </c>
      <c r="Y381" s="303">
        <f>Input!I446</f>
        <v>0</v>
      </c>
      <c r="Z381" s="399">
        <f>Input!V446</f>
        <v>0</v>
      </c>
      <c r="AA381" s="149"/>
      <c r="AB381" s="149"/>
      <c r="AC381" s="149"/>
      <c r="AD381" s="149"/>
      <c r="AE381" s="149"/>
      <c r="AF381" s="149"/>
      <c r="AG381" s="149"/>
      <c r="AH381" s="149"/>
      <c r="AI381" s="149"/>
      <c r="AJ381" s="149"/>
      <c r="AK381" s="149"/>
      <c r="AL381" s="149"/>
      <c r="AM381" s="149"/>
      <c r="AN381" s="149"/>
      <c r="AO381" s="149"/>
      <c r="AP381" s="149"/>
    </row>
    <row r="382" spans="1:42" x14ac:dyDescent="0.2">
      <c r="A382" s="278"/>
      <c r="B382" s="278"/>
      <c r="C382" s="278"/>
      <c r="D382" s="278"/>
      <c r="E382" s="278"/>
      <c r="F382" s="278"/>
      <c r="G382" s="278"/>
      <c r="H382" s="278"/>
      <c r="I382" s="278"/>
      <c r="J382" s="278"/>
      <c r="K382" s="278"/>
      <c r="L382" s="278"/>
      <c r="M382" s="278"/>
      <c r="N382" s="149"/>
      <c r="O382" s="149"/>
      <c r="P382" s="278"/>
      <c r="Q382" s="278"/>
      <c r="R382" s="278"/>
      <c r="S382" s="278"/>
      <c r="T382" s="149"/>
      <c r="U382" s="202">
        <f>Input!B447</f>
        <v>0</v>
      </c>
      <c r="V382" s="303">
        <f>Input!F447</f>
        <v>0</v>
      </c>
      <c r="W382" s="399">
        <f>Input!U447</f>
        <v>0</v>
      </c>
      <c r="X382" s="303">
        <f>Input!H447</f>
        <v>0</v>
      </c>
      <c r="Y382" s="303">
        <f>Input!I447</f>
        <v>0</v>
      </c>
      <c r="Z382" s="399">
        <f>Input!V447</f>
        <v>0</v>
      </c>
      <c r="AA382" s="149"/>
      <c r="AB382" s="149"/>
      <c r="AC382" s="149"/>
      <c r="AD382" s="149"/>
      <c r="AE382" s="149"/>
      <c r="AF382" s="149"/>
      <c r="AG382" s="149"/>
      <c r="AH382" s="149"/>
      <c r="AI382" s="149"/>
      <c r="AJ382" s="149"/>
      <c r="AK382" s="149"/>
      <c r="AL382" s="149"/>
      <c r="AM382" s="149"/>
      <c r="AN382" s="149"/>
      <c r="AO382" s="149"/>
      <c r="AP382" s="149"/>
    </row>
    <row r="383" spans="1:42" x14ac:dyDescent="0.2">
      <c r="A383" s="278"/>
      <c r="B383" s="278"/>
      <c r="C383" s="278"/>
      <c r="D383" s="278"/>
      <c r="E383" s="278"/>
      <c r="F383" s="278"/>
      <c r="G383" s="278"/>
      <c r="H383" s="278"/>
      <c r="I383" s="278"/>
      <c r="J383" s="278"/>
      <c r="K383" s="278"/>
      <c r="L383" s="278"/>
      <c r="M383" s="278"/>
      <c r="N383" s="149"/>
      <c r="O383" s="149"/>
      <c r="P383" s="278"/>
      <c r="Q383" s="278"/>
      <c r="R383" s="278"/>
      <c r="S383" s="278"/>
      <c r="T383" s="149"/>
      <c r="U383" s="202">
        <f>Input!B448</f>
        <v>0</v>
      </c>
      <c r="V383" s="303">
        <f>Input!F448</f>
        <v>0</v>
      </c>
      <c r="W383" s="399">
        <f>Input!U448</f>
        <v>0</v>
      </c>
      <c r="X383" s="303">
        <f>Input!H448</f>
        <v>0</v>
      </c>
      <c r="Y383" s="303">
        <f>Input!I448</f>
        <v>0</v>
      </c>
      <c r="Z383" s="399">
        <f>Input!V448</f>
        <v>0</v>
      </c>
      <c r="AA383" s="149"/>
      <c r="AB383" s="149"/>
      <c r="AC383" s="149"/>
      <c r="AD383" s="149"/>
      <c r="AE383" s="149"/>
      <c r="AF383" s="149"/>
      <c r="AG383" s="149"/>
      <c r="AH383" s="149"/>
      <c r="AI383" s="149"/>
      <c r="AJ383" s="149"/>
      <c r="AK383" s="149"/>
      <c r="AL383" s="149"/>
      <c r="AM383" s="149"/>
      <c r="AN383" s="149"/>
      <c r="AO383" s="149"/>
      <c r="AP383" s="149"/>
    </row>
    <row r="384" spans="1:42" x14ac:dyDescent="0.2">
      <c r="A384" s="278"/>
      <c r="B384" s="278"/>
      <c r="C384" s="278"/>
      <c r="D384" s="278"/>
      <c r="E384" s="278"/>
      <c r="F384" s="278"/>
      <c r="G384" s="278"/>
      <c r="H384" s="278"/>
      <c r="I384" s="278"/>
      <c r="J384" s="278"/>
      <c r="K384" s="278"/>
      <c r="L384" s="278"/>
      <c r="M384" s="278"/>
      <c r="N384" s="149"/>
      <c r="O384" s="149"/>
      <c r="P384" s="278"/>
      <c r="Q384" s="278"/>
      <c r="R384" s="278"/>
      <c r="S384" s="278"/>
      <c r="T384" s="149"/>
      <c r="U384" s="202">
        <f>Input!B449</f>
        <v>0</v>
      </c>
      <c r="V384" s="303">
        <f>Input!F449</f>
        <v>0</v>
      </c>
      <c r="W384" s="399">
        <f>Input!U449</f>
        <v>0</v>
      </c>
      <c r="X384" s="303">
        <f>Input!H449</f>
        <v>0</v>
      </c>
      <c r="Y384" s="303">
        <f>Input!I449</f>
        <v>0</v>
      </c>
      <c r="Z384" s="399">
        <f>Input!V449</f>
        <v>0</v>
      </c>
      <c r="AA384" s="149"/>
      <c r="AB384" s="149"/>
      <c r="AC384" s="149"/>
      <c r="AD384" s="149"/>
      <c r="AE384" s="149"/>
      <c r="AF384" s="149"/>
      <c r="AG384" s="149"/>
      <c r="AH384" s="149"/>
      <c r="AI384" s="149"/>
      <c r="AJ384" s="149"/>
      <c r="AK384" s="149"/>
      <c r="AL384" s="149"/>
      <c r="AM384" s="149"/>
      <c r="AN384" s="149"/>
      <c r="AO384" s="149"/>
      <c r="AP384" s="149"/>
    </row>
    <row r="385" spans="1:42" x14ac:dyDescent="0.2">
      <c r="A385" s="278"/>
      <c r="B385" s="278"/>
      <c r="C385" s="278"/>
      <c r="D385" s="278"/>
      <c r="E385" s="278"/>
      <c r="F385" s="278"/>
      <c r="G385" s="278"/>
      <c r="H385" s="278"/>
      <c r="I385" s="278"/>
      <c r="J385" s="278"/>
      <c r="K385" s="278"/>
      <c r="L385" s="278"/>
      <c r="M385" s="278"/>
      <c r="N385" s="149"/>
      <c r="O385" s="149"/>
      <c r="P385" s="278"/>
      <c r="Q385" s="278"/>
      <c r="R385" s="278"/>
      <c r="S385" s="278"/>
      <c r="T385" s="149"/>
      <c r="U385" s="202">
        <f>Input!B450</f>
        <v>0</v>
      </c>
      <c r="V385" s="303">
        <f>Input!F450</f>
        <v>0</v>
      </c>
      <c r="W385" s="399">
        <f>Input!U450</f>
        <v>0</v>
      </c>
      <c r="X385" s="303">
        <f>Input!H450</f>
        <v>0</v>
      </c>
      <c r="Y385" s="303">
        <f>Input!I450</f>
        <v>0</v>
      </c>
      <c r="Z385" s="399">
        <f>Input!V450</f>
        <v>0</v>
      </c>
      <c r="AA385" s="149"/>
      <c r="AB385" s="149"/>
      <c r="AC385" s="149"/>
      <c r="AD385" s="149"/>
      <c r="AE385" s="149"/>
      <c r="AF385" s="149"/>
      <c r="AG385" s="149"/>
      <c r="AH385" s="149"/>
      <c r="AI385" s="149"/>
      <c r="AJ385" s="149"/>
      <c r="AK385" s="149"/>
      <c r="AL385" s="149"/>
      <c r="AM385" s="149"/>
      <c r="AN385" s="149"/>
      <c r="AO385" s="149"/>
      <c r="AP385" s="149"/>
    </row>
    <row r="386" spans="1:42" x14ac:dyDescent="0.2">
      <c r="A386" s="278"/>
      <c r="B386" s="278"/>
      <c r="C386" s="278"/>
      <c r="D386" s="278"/>
      <c r="E386" s="278"/>
      <c r="F386" s="278"/>
      <c r="G386" s="278"/>
      <c r="H386" s="278"/>
      <c r="I386" s="278"/>
      <c r="J386" s="278"/>
      <c r="K386" s="278"/>
      <c r="L386" s="278"/>
      <c r="M386" s="278"/>
      <c r="N386" s="149"/>
      <c r="O386" s="149"/>
      <c r="P386" s="278"/>
      <c r="Q386" s="278"/>
      <c r="R386" s="278"/>
      <c r="S386" s="278"/>
      <c r="T386" s="149"/>
      <c r="U386" s="202">
        <f>Input!B451</f>
        <v>0</v>
      </c>
      <c r="V386" s="303">
        <f>Input!F451</f>
        <v>0</v>
      </c>
      <c r="W386" s="399">
        <f>Input!U451</f>
        <v>0</v>
      </c>
      <c r="X386" s="303">
        <f>Input!H451</f>
        <v>0</v>
      </c>
      <c r="Y386" s="303">
        <f>Input!I451</f>
        <v>0</v>
      </c>
      <c r="Z386" s="399">
        <f>Input!V451</f>
        <v>0</v>
      </c>
      <c r="AA386" s="149"/>
      <c r="AB386" s="149"/>
      <c r="AC386" s="149"/>
      <c r="AD386" s="149"/>
      <c r="AE386" s="149"/>
      <c r="AF386" s="149"/>
      <c r="AG386" s="149"/>
      <c r="AH386" s="149"/>
      <c r="AI386" s="149"/>
      <c r="AJ386" s="149"/>
      <c r="AK386" s="149"/>
      <c r="AL386" s="149"/>
      <c r="AM386" s="149"/>
      <c r="AN386" s="149"/>
      <c r="AO386" s="149"/>
      <c r="AP386" s="149"/>
    </row>
    <row r="387" spans="1:42" x14ac:dyDescent="0.2">
      <c r="A387" s="278"/>
      <c r="B387" s="278"/>
      <c r="C387" s="278"/>
      <c r="D387" s="278"/>
      <c r="E387" s="278"/>
      <c r="F387" s="278"/>
      <c r="G387" s="278"/>
      <c r="H387" s="278"/>
      <c r="I387" s="278"/>
      <c r="J387" s="278"/>
      <c r="K387" s="278"/>
      <c r="L387" s="278"/>
      <c r="M387" s="278"/>
      <c r="N387" s="149"/>
      <c r="O387" s="149"/>
      <c r="P387" s="278"/>
      <c r="Q387" s="278"/>
      <c r="R387" s="278"/>
      <c r="S387" s="278"/>
      <c r="T387" s="149"/>
      <c r="U387" s="202">
        <f>Input!B452</f>
        <v>0</v>
      </c>
      <c r="V387" s="303">
        <f>Input!F452</f>
        <v>0</v>
      </c>
      <c r="W387" s="399">
        <f>Input!U452</f>
        <v>0</v>
      </c>
      <c r="X387" s="303">
        <f>Input!H452</f>
        <v>0</v>
      </c>
      <c r="Y387" s="303">
        <f>Input!I452</f>
        <v>0</v>
      </c>
      <c r="Z387" s="399">
        <f>Input!V452</f>
        <v>0</v>
      </c>
      <c r="AA387" s="149"/>
      <c r="AB387" s="149"/>
      <c r="AC387" s="149"/>
      <c r="AD387" s="149"/>
      <c r="AE387" s="149"/>
      <c r="AF387" s="149"/>
      <c r="AG387" s="149"/>
      <c r="AH387" s="149"/>
      <c r="AI387" s="149"/>
      <c r="AJ387" s="149"/>
      <c r="AK387" s="149"/>
      <c r="AL387" s="149"/>
      <c r="AM387" s="149"/>
      <c r="AN387" s="149"/>
      <c r="AO387" s="149"/>
      <c r="AP387" s="149"/>
    </row>
    <row r="388" spans="1:42" x14ac:dyDescent="0.2">
      <c r="A388" s="278"/>
      <c r="B388" s="278"/>
      <c r="C388" s="278"/>
      <c r="D388" s="278"/>
      <c r="E388" s="278"/>
      <c r="F388" s="278"/>
      <c r="G388" s="278"/>
      <c r="H388" s="278"/>
      <c r="I388" s="278"/>
      <c r="J388" s="278"/>
      <c r="K388" s="278"/>
      <c r="L388" s="278"/>
      <c r="M388" s="278"/>
      <c r="N388" s="149"/>
      <c r="O388" s="149"/>
      <c r="P388" s="278"/>
      <c r="Q388" s="278"/>
      <c r="R388" s="278"/>
      <c r="S388" s="278"/>
      <c r="T388" s="149"/>
      <c r="U388" s="202">
        <f>Input!B453</f>
        <v>0</v>
      </c>
      <c r="V388" s="303">
        <f>Input!F453</f>
        <v>0</v>
      </c>
      <c r="W388" s="399">
        <f>Input!U453</f>
        <v>0</v>
      </c>
      <c r="X388" s="303">
        <f>Input!H453</f>
        <v>0</v>
      </c>
      <c r="Y388" s="303">
        <f>Input!I453</f>
        <v>0</v>
      </c>
      <c r="Z388" s="399">
        <f>Input!V453</f>
        <v>0</v>
      </c>
      <c r="AA388" s="149"/>
      <c r="AB388" s="149"/>
      <c r="AC388" s="149"/>
      <c r="AD388" s="149"/>
      <c r="AE388" s="149"/>
      <c r="AF388" s="149"/>
      <c r="AG388" s="149"/>
      <c r="AH388" s="149"/>
      <c r="AI388" s="149"/>
      <c r="AJ388" s="149"/>
      <c r="AK388" s="149"/>
      <c r="AL388" s="149"/>
      <c r="AM388" s="149"/>
      <c r="AN388" s="149"/>
      <c r="AO388" s="149"/>
      <c r="AP388" s="149"/>
    </row>
    <row r="389" spans="1:42" x14ac:dyDescent="0.2">
      <c r="A389" s="278"/>
      <c r="B389" s="278"/>
      <c r="C389" s="278"/>
      <c r="D389" s="278"/>
      <c r="E389" s="278"/>
      <c r="F389" s="278"/>
      <c r="G389" s="278"/>
      <c r="H389" s="278"/>
      <c r="I389" s="278"/>
      <c r="J389" s="278"/>
      <c r="K389" s="278"/>
      <c r="L389" s="278"/>
      <c r="M389" s="278"/>
      <c r="N389" s="149"/>
      <c r="O389" s="149"/>
      <c r="P389" s="278"/>
      <c r="Q389" s="278"/>
      <c r="R389" s="278"/>
      <c r="S389" s="278"/>
      <c r="T389" s="149"/>
      <c r="U389" s="202">
        <f>Input!B454</f>
        <v>0</v>
      </c>
      <c r="V389" s="303">
        <f>Input!F454</f>
        <v>0</v>
      </c>
      <c r="W389" s="399">
        <f>Input!U454</f>
        <v>0</v>
      </c>
      <c r="X389" s="303">
        <f>Input!H454</f>
        <v>0</v>
      </c>
      <c r="Y389" s="303">
        <f>Input!I454</f>
        <v>0</v>
      </c>
      <c r="Z389" s="399">
        <f>Input!V454</f>
        <v>0</v>
      </c>
      <c r="AA389" s="149"/>
      <c r="AB389" s="149"/>
      <c r="AC389" s="149"/>
      <c r="AD389" s="149"/>
      <c r="AE389" s="149"/>
      <c r="AF389" s="149"/>
      <c r="AG389" s="149"/>
      <c r="AH389" s="149"/>
      <c r="AI389" s="149"/>
      <c r="AJ389" s="149"/>
      <c r="AK389" s="149"/>
      <c r="AL389" s="149"/>
      <c r="AM389" s="149"/>
      <c r="AN389" s="149"/>
      <c r="AO389" s="149"/>
      <c r="AP389" s="149"/>
    </row>
    <row r="390" spans="1:42" x14ac:dyDescent="0.2">
      <c r="A390" s="278"/>
      <c r="B390" s="278"/>
      <c r="C390" s="278"/>
      <c r="D390" s="278"/>
      <c r="E390" s="278"/>
      <c r="F390" s="278"/>
      <c r="G390" s="278"/>
      <c r="H390" s="278"/>
      <c r="I390" s="278"/>
      <c r="J390" s="278"/>
      <c r="K390" s="278"/>
      <c r="L390" s="278"/>
      <c r="M390" s="278"/>
      <c r="N390" s="149"/>
      <c r="O390" s="149"/>
      <c r="P390" s="278"/>
      <c r="Q390" s="278"/>
      <c r="R390" s="278"/>
      <c r="S390" s="278"/>
      <c r="T390" s="149"/>
      <c r="U390" s="202">
        <f>Input!B455</f>
        <v>0</v>
      </c>
      <c r="V390" s="303">
        <f>Input!F455</f>
        <v>0</v>
      </c>
      <c r="W390" s="399">
        <f>Input!U455</f>
        <v>0</v>
      </c>
      <c r="X390" s="303">
        <f>Input!H455</f>
        <v>0</v>
      </c>
      <c r="Y390" s="303">
        <f>Input!I455</f>
        <v>0</v>
      </c>
      <c r="Z390" s="399">
        <f>Input!V455</f>
        <v>0</v>
      </c>
      <c r="AA390" s="149"/>
      <c r="AB390" s="149"/>
      <c r="AC390" s="149"/>
      <c r="AD390" s="149"/>
      <c r="AE390" s="149"/>
      <c r="AF390" s="149"/>
      <c r="AG390" s="149"/>
      <c r="AH390" s="149"/>
      <c r="AI390" s="149"/>
      <c r="AJ390" s="149"/>
      <c r="AK390" s="149"/>
      <c r="AL390" s="149"/>
      <c r="AM390" s="149"/>
      <c r="AN390" s="149"/>
      <c r="AO390" s="149"/>
      <c r="AP390" s="149"/>
    </row>
    <row r="391" spans="1:42" x14ac:dyDescent="0.2">
      <c r="A391" s="278"/>
      <c r="B391" s="278"/>
      <c r="C391" s="278"/>
      <c r="D391" s="278"/>
      <c r="E391" s="278"/>
      <c r="F391" s="278"/>
      <c r="G391" s="278"/>
      <c r="H391" s="278"/>
      <c r="I391" s="278"/>
      <c r="J391" s="278"/>
      <c r="K391" s="278"/>
      <c r="L391" s="278"/>
      <c r="M391" s="278"/>
      <c r="N391" s="149"/>
      <c r="O391" s="149"/>
      <c r="P391" s="278"/>
      <c r="Q391" s="278"/>
      <c r="R391" s="278"/>
      <c r="S391" s="278"/>
      <c r="T391" s="149"/>
      <c r="U391" s="202">
        <f>Input!B456</f>
        <v>0</v>
      </c>
      <c r="V391" s="303">
        <f>Input!F456</f>
        <v>0</v>
      </c>
      <c r="W391" s="399">
        <f>Input!U456</f>
        <v>0</v>
      </c>
      <c r="X391" s="303">
        <f>Input!H456</f>
        <v>0</v>
      </c>
      <c r="Y391" s="303">
        <f>Input!I456</f>
        <v>0</v>
      </c>
      <c r="Z391" s="399">
        <f>Input!V456</f>
        <v>0</v>
      </c>
      <c r="AA391" s="149"/>
      <c r="AB391" s="149"/>
      <c r="AC391" s="149"/>
      <c r="AD391" s="149"/>
      <c r="AE391" s="149"/>
      <c r="AF391" s="149"/>
      <c r="AG391" s="149"/>
      <c r="AH391" s="149"/>
      <c r="AI391" s="149"/>
      <c r="AJ391" s="149"/>
      <c r="AK391" s="149"/>
      <c r="AL391" s="149"/>
      <c r="AM391" s="149"/>
      <c r="AN391" s="149"/>
      <c r="AO391" s="149"/>
      <c r="AP391" s="149"/>
    </row>
    <row r="392" spans="1:42" x14ac:dyDescent="0.2">
      <c r="A392" s="278"/>
      <c r="B392" s="278"/>
      <c r="C392" s="278"/>
      <c r="D392" s="278"/>
      <c r="E392" s="278"/>
      <c r="F392" s="278"/>
      <c r="G392" s="278"/>
      <c r="H392" s="278"/>
      <c r="I392" s="278"/>
      <c r="J392" s="278"/>
      <c r="K392" s="278"/>
      <c r="L392" s="278"/>
      <c r="M392" s="278"/>
      <c r="N392" s="149"/>
      <c r="O392" s="149"/>
      <c r="P392" s="278"/>
      <c r="Q392" s="278"/>
      <c r="R392" s="278"/>
      <c r="S392" s="278"/>
      <c r="T392" s="149"/>
      <c r="U392" s="202">
        <f>Input!B457</f>
        <v>0</v>
      </c>
      <c r="V392" s="303">
        <f>Input!F457</f>
        <v>0</v>
      </c>
      <c r="W392" s="399">
        <f>Input!U457</f>
        <v>0</v>
      </c>
      <c r="X392" s="303">
        <f>Input!H457</f>
        <v>0</v>
      </c>
      <c r="Y392" s="303">
        <f>Input!I457</f>
        <v>0</v>
      </c>
      <c r="Z392" s="399">
        <f>Input!V457</f>
        <v>0</v>
      </c>
      <c r="AA392" s="149"/>
      <c r="AB392" s="149"/>
      <c r="AC392" s="149"/>
      <c r="AD392" s="149"/>
      <c r="AE392" s="149"/>
      <c r="AF392" s="149"/>
      <c r="AG392" s="149"/>
      <c r="AH392" s="149"/>
      <c r="AI392" s="149"/>
      <c r="AJ392" s="149"/>
      <c r="AK392" s="149"/>
      <c r="AL392" s="149"/>
      <c r="AM392" s="149"/>
      <c r="AN392" s="149"/>
      <c r="AO392" s="149"/>
      <c r="AP392" s="149"/>
    </row>
    <row r="393" spans="1:42" x14ac:dyDescent="0.2">
      <c r="A393" s="278"/>
      <c r="B393" s="278"/>
      <c r="C393" s="278"/>
      <c r="D393" s="278"/>
      <c r="E393" s="278"/>
      <c r="F393" s="278"/>
      <c r="G393" s="278"/>
      <c r="H393" s="278"/>
      <c r="I393" s="278"/>
      <c r="J393" s="278"/>
      <c r="K393" s="278"/>
      <c r="L393" s="278"/>
      <c r="M393" s="278"/>
      <c r="N393" s="149"/>
      <c r="O393" s="149"/>
      <c r="P393" s="278"/>
      <c r="Q393" s="278"/>
      <c r="R393" s="278"/>
      <c r="S393" s="278"/>
      <c r="T393" s="149"/>
      <c r="U393" s="202">
        <f>Input!B458</f>
        <v>0</v>
      </c>
      <c r="V393" s="303">
        <f>Input!F458</f>
        <v>0</v>
      </c>
      <c r="W393" s="399">
        <f>Input!U458</f>
        <v>0</v>
      </c>
      <c r="X393" s="303">
        <f>Input!H458</f>
        <v>0</v>
      </c>
      <c r="Y393" s="303">
        <f>Input!I458</f>
        <v>0</v>
      </c>
      <c r="Z393" s="399">
        <f>Input!V458</f>
        <v>0</v>
      </c>
      <c r="AA393" s="149"/>
      <c r="AB393" s="149"/>
      <c r="AC393" s="149"/>
      <c r="AD393" s="149"/>
      <c r="AE393" s="149"/>
      <c r="AF393" s="149"/>
      <c r="AG393" s="149"/>
      <c r="AH393" s="149"/>
      <c r="AI393" s="149"/>
      <c r="AJ393" s="149"/>
      <c r="AK393" s="149"/>
      <c r="AL393" s="149"/>
      <c r="AM393" s="149"/>
      <c r="AN393" s="149"/>
      <c r="AO393" s="149"/>
      <c r="AP393" s="149"/>
    </row>
    <row r="394" spans="1:42" x14ac:dyDescent="0.2">
      <c r="A394" s="278"/>
      <c r="B394" s="278"/>
      <c r="C394" s="278"/>
      <c r="D394" s="278"/>
      <c r="E394" s="278"/>
      <c r="F394" s="278"/>
      <c r="G394" s="278"/>
      <c r="H394" s="278"/>
      <c r="I394" s="278"/>
      <c r="J394" s="278"/>
      <c r="K394" s="278"/>
      <c r="L394" s="278"/>
      <c r="M394" s="278"/>
      <c r="N394" s="149"/>
      <c r="O394" s="149"/>
      <c r="P394" s="278"/>
      <c r="Q394" s="278"/>
      <c r="R394" s="278"/>
      <c r="S394" s="278"/>
      <c r="T394" s="149"/>
      <c r="U394" s="202">
        <f>Input!B459</f>
        <v>0</v>
      </c>
      <c r="V394" s="303">
        <f>Input!F459</f>
        <v>0</v>
      </c>
      <c r="W394" s="399">
        <f>Input!U459</f>
        <v>0</v>
      </c>
      <c r="X394" s="303">
        <f>Input!H459</f>
        <v>0</v>
      </c>
      <c r="Y394" s="303">
        <f>Input!I459</f>
        <v>0</v>
      </c>
      <c r="Z394" s="399">
        <f>Input!V459</f>
        <v>0</v>
      </c>
      <c r="AA394" s="149"/>
      <c r="AB394" s="149"/>
      <c r="AC394" s="149"/>
      <c r="AD394" s="149"/>
      <c r="AE394" s="149"/>
      <c r="AF394" s="149"/>
      <c r="AG394" s="149"/>
      <c r="AH394" s="149"/>
      <c r="AI394" s="149"/>
      <c r="AJ394" s="149"/>
      <c r="AK394" s="149"/>
      <c r="AL394" s="149"/>
      <c r="AM394" s="149"/>
      <c r="AN394" s="149"/>
      <c r="AO394" s="149"/>
      <c r="AP394" s="149"/>
    </row>
    <row r="395" spans="1:42" x14ac:dyDescent="0.2">
      <c r="A395" s="278"/>
      <c r="B395" s="278"/>
      <c r="C395" s="278"/>
      <c r="D395" s="278"/>
      <c r="E395" s="278"/>
      <c r="F395" s="278"/>
      <c r="G395" s="278"/>
      <c r="H395" s="278"/>
      <c r="I395" s="278"/>
      <c r="J395" s="278"/>
      <c r="K395" s="278"/>
      <c r="L395" s="278"/>
      <c r="M395" s="278"/>
      <c r="N395" s="149"/>
      <c r="O395" s="149"/>
      <c r="P395" s="278"/>
      <c r="Q395" s="278"/>
      <c r="R395" s="278"/>
      <c r="S395" s="278"/>
      <c r="T395" s="149"/>
      <c r="U395" s="202">
        <f>Input!B460</f>
        <v>0</v>
      </c>
      <c r="V395" s="303">
        <f>Input!F460</f>
        <v>0</v>
      </c>
      <c r="W395" s="399">
        <f>Input!U460</f>
        <v>0</v>
      </c>
      <c r="X395" s="303">
        <f>Input!H460</f>
        <v>0</v>
      </c>
      <c r="Y395" s="303">
        <f>Input!I460</f>
        <v>0</v>
      </c>
      <c r="Z395" s="399">
        <f>Input!V460</f>
        <v>0</v>
      </c>
      <c r="AA395" s="149"/>
      <c r="AB395" s="149"/>
      <c r="AC395" s="149"/>
      <c r="AD395" s="149"/>
      <c r="AE395" s="149"/>
      <c r="AF395" s="149"/>
      <c r="AG395" s="149"/>
      <c r="AH395" s="149"/>
      <c r="AI395" s="149"/>
      <c r="AJ395" s="149"/>
      <c r="AK395" s="149"/>
      <c r="AL395" s="149"/>
      <c r="AM395" s="149"/>
      <c r="AN395" s="149"/>
      <c r="AO395" s="149"/>
      <c r="AP395" s="149"/>
    </row>
    <row r="396" spans="1:42" x14ac:dyDescent="0.2">
      <c r="A396" s="278"/>
      <c r="B396" s="278"/>
      <c r="C396" s="278"/>
      <c r="D396" s="278"/>
      <c r="E396" s="278"/>
      <c r="F396" s="278"/>
      <c r="G396" s="278"/>
      <c r="H396" s="278"/>
      <c r="I396" s="278"/>
      <c r="J396" s="278"/>
      <c r="K396" s="278"/>
      <c r="L396" s="278"/>
      <c r="M396" s="278"/>
      <c r="N396" s="149"/>
      <c r="O396" s="149"/>
      <c r="P396" s="278"/>
      <c r="Q396" s="278"/>
      <c r="R396" s="278"/>
      <c r="S396" s="278"/>
      <c r="T396" s="149"/>
      <c r="U396" s="202">
        <f>Input!B461</f>
        <v>0</v>
      </c>
      <c r="V396" s="303">
        <f>Input!F461</f>
        <v>0</v>
      </c>
      <c r="W396" s="399">
        <f>Input!U461</f>
        <v>0</v>
      </c>
      <c r="X396" s="303">
        <f>Input!H461</f>
        <v>0</v>
      </c>
      <c r="Y396" s="303">
        <f>Input!I461</f>
        <v>0</v>
      </c>
      <c r="Z396" s="399">
        <f>Input!V461</f>
        <v>0</v>
      </c>
      <c r="AA396" s="149"/>
      <c r="AB396" s="149"/>
      <c r="AC396" s="149"/>
      <c r="AD396" s="149"/>
      <c r="AE396" s="149"/>
      <c r="AF396" s="149"/>
      <c r="AG396" s="149"/>
      <c r="AH396" s="149"/>
      <c r="AI396" s="149"/>
      <c r="AJ396" s="149"/>
      <c r="AK396" s="149"/>
      <c r="AL396" s="149"/>
      <c r="AM396" s="149"/>
      <c r="AN396" s="149"/>
      <c r="AO396" s="149"/>
      <c r="AP396" s="149"/>
    </row>
    <row r="397" spans="1:42" x14ac:dyDescent="0.2">
      <c r="A397" s="278"/>
      <c r="B397" s="278"/>
      <c r="C397" s="278"/>
      <c r="D397" s="278"/>
      <c r="E397" s="278"/>
      <c r="F397" s="278"/>
      <c r="G397" s="278"/>
      <c r="H397" s="278"/>
      <c r="I397" s="278"/>
      <c r="J397" s="278"/>
      <c r="K397" s="278"/>
      <c r="L397" s="278"/>
      <c r="M397" s="278"/>
      <c r="N397" s="149"/>
      <c r="O397" s="149"/>
      <c r="P397" s="278"/>
      <c r="Q397" s="278"/>
      <c r="R397" s="278"/>
      <c r="S397" s="278"/>
      <c r="T397" s="149"/>
      <c r="U397" s="202">
        <f>Input!B462</f>
        <v>0</v>
      </c>
      <c r="V397" s="303">
        <f>Input!F462</f>
        <v>0</v>
      </c>
      <c r="W397" s="399">
        <f>Input!U462</f>
        <v>0</v>
      </c>
      <c r="X397" s="303">
        <f>Input!H462</f>
        <v>0</v>
      </c>
      <c r="Y397" s="303">
        <f>Input!I462</f>
        <v>0</v>
      </c>
      <c r="Z397" s="399">
        <f>Input!V462</f>
        <v>0</v>
      </c>
      <c r="AA397" s="149"/>
      <c r="AB397" s="149"/>
      <c r="AC397" s="149"/>
      <c r="AD397" s="149"/>
      <c r="AE397" s="149"/>
      <c r="AF397" s="149"/>
      <c r="AG397" s="149"/>
      <c r="AH397" s="149"/>
      <c r="AI397" s="149"/>
      <c r="AJ397" s="149"/>
      <c r="AK397" s="149"/>
      <c r="AL397" s="149"/>
      <c r="AM397" s="149"/>
      <c r="AN397" s="149"/>
      <c r="AO397" s="149"/>
      <c r="AP397" s="149"/>
    </row>
    <row r="398" spans="1:42" x14ac:dyDescent="0.2">
      <c r="A398" s="278"/>
      <c r="B398" s="278"/>
      <c r="C398" s="278"/>
      <c r="D398" s="278"/>
      <c r="E398" s="278"/>
      <c r="F398" s="278"/>
      <c r="G398" s="278"/>
      <c r="H398" s="278"/>
      <c r="I398" s="278"/>
      <c r="J398" s="278"/>
      <c r="K398" s="278"/>
      <c r="L398" s="278"/>
      <c r="M398" s="278"/>
      <c r="N398" s="149"/>
      <c r="O398" s="149"/>
      <c r="P398" s="278"/>
      <c r="Q398" s="278"/>
      <c r="R398" s="278"/>
      <c r="S398" s="278"/>
      <c r="T398" s="149"/>
      <c r="U398" s="202">
        <f>Input!B463</f>
        <v>0</v>
      </c>
      <c r="V398" s="303">
        <f>Input!F463</f>
        <v>0</v>
      </c>
      <c r="W398" s="399">
        <f>Input!U463</f>
        <v>0</v>
      </c>
      <c r="X398" s="303">
        <f>Input!H463</f>
        <v>0</v>
      </c>
      <c r="Y398" s="303">
        <f>Input!I463</f>
        <v>0</v>
      </c>
      <c r="Z398" s="399">
        <f>Input!V463</f>
        <v>0</v>
      </c>
      <c r="AA398" s="149"/>
      <c r="AB398" s="149"/>
      <c r="AC398" s="149"/>
      <c r="AD398" s="149"/>
      <c r="AE398" s="149"/>
      <c r="AF398" s="149"/>
      <c r="AG398" s="149"/>
      <c r="AH398" s="149"/>
      <c r="AI398" s="149"/>
      <c r="AJ398" s="149"/>
      <c r="AK398" s="149"/>
      <c r="AL398" s="149"/>
      <c r="AM398" s="149"/>
      <c r="AN398" s="149"/>
      <c r="AO398" s="149"/>
      <c r="AP398" s="149"/>
    </row>
    <row r="399" spans="1:42" x14ac:dyDescent="0.2">
      <c r="A399" s="278"/>
      <c r="B399" s="278"/>
      <c r="C399" s="278"/>
      <c r="D399" s="278"/>
      <c r="E399" s="278"/>
      <c r="F399" s="278"/>
      <c r="G399" s="278"/>
      <c r="H399" s="278"/>
      <c r="I399" s="278"/>
      <c r="J399" s="278"/>
      <c r="K399" s="278"/>
      <c r="L399" s="278"/>
      <c r="M399" s="278"/>
      <c r="N399" s="149"/>
      <c r="O399" s="149"/>
      <c r="P399" s="278"/>
      <c r="Q399" s="278"/>
      <c r="R399" s="278"/>
      <c r="S399" s="278"/>
      <c r="T399" s="149"/>
      <c r="U399" s="202">
        <f>Input!B464</f>
        <v>0</v>
      </c>
      <c r="V399" s="303">
        <f>Input!F464</f>
        <v>0</v>
      </c>
      <c r="W399" s="399">
        <f>Input!U464</f>
        <v>0</v>
      </c>
      <c r="X399" s="303">
        <f>Input!H464</f>
        <v>0</v>
      </c>
      <c r="Y399" s="303">
        <f>Input!I464</f>
        <v>0</v>
      </c>
      <c r="Z399" s="399">
        <f>Input!V464</f>
        <v>0</v>
      </c>
      <c r="AA399" s="149"/>
      <c r="AB399" s="149"/>
      <c r="AC399" s="149"/>
      <c r="AD399" s="149"/>
      <c r="AE399" s="149"/>
      <c r="AF399" s="149"/>
      <c r="AG399" s="149"/>
      <c r="AH399" s="149"/>
      <c r="AI399" s="149"/>
      <c r="AJ399" s="149"/>
      <c r="AK399" s="149"/>
      <c r="AL399" s="149"/>
      <c r="AM399" s="149"/>
      <c r="AN399" s="149"/>
      <c r="AO399" s="149"/>
      <c r="AP399" s="149"/>
    </row>
    <row r="400" spans="1:42" x14ac:dyDescent="0.2">
      <c r="A400" s="278"/>
      <c r="B400" s="278"/>
      <c r="C400" s="278"/>
      <c r="D400" s="278"/>
      <c r="E400" s="278"/>
      <c r="F400" s="278"/>
      <c r="G400" s="278"/>
      <c r="H400" s="278"/>
      <c r="I400" s="278"/>
      <c r="J400" s="278"/>
      <c r="K400" s="278"/>
      <c r="L400" s="278"/>
      <c r="M400" s="278"/>
      <c r="N400" s="149"/>
      <c r="O400" s="149"/>
      <c r="P400" s="278"/>
      <c r="Q400" s="278"/>
      <c r="R400" s="278"/>
      <c r="S400" s="278"/>
      <c r="T400" s="149"/>
      <c r="U400" s="202">
        <f>Input!B465</f>
        <v>0</v>
      </c>
      <c r="V400" s="303">
        <f>Input!F465</f>
        <v>0</v>
      </c>
      <c r="W400" s="399">
        <f>Input!U465</f>
        <v>0</v>
      </c>
      <c r="X400" s="303">
        <f>Input!H465</f>
        <v>0</v>
      </c>
      <c r="Y400" s="303">
        <f>Input!I465</f>
        <v>0</v>
      </c>
      <c r="Z400" s="399">
        <f>Input!V465</f>
        <v>0</v>
      </c>
      <c r="AA400" s="149"/>
      <c r="AB400" s="149"/>
      <c r="AC400" s="149"/>
      <c r="AD400" s="149"/>
      <c r="AE400" s="149"/>
      <c r="AF400" s="149"/>
      <c r="AG400" s="149"/>
      <c r="AH400" s="149"/>
      <c r="AI400" s="149"/>
      <c r="AJ400" s="149"/>
      <c r="AK400" s="149"/>
      <c r="AL400" s="149"/>
      <c r="AM400" s="149"/>
      <c r="AN400" s="149"/>
      <c r="AO400" s="149"/>
      <c r="AP400" s="149"/>
    </row>
    <row r="401" spans="1:42" x14ac:dyDescent="0.2">
      <c r="A401" s="278"/>
      <c r="B401" s="278"/>
      <c r="C401" s="278"/>
      <c r="D401" s="278"/>
      <c r="E401" s="278"/>
      <c r="F401" s="278"/>
      <c r="G401" s="278"/>
      <c r="H401" s="278"/>
      <c r="I401" s="278"/>
      <c r="J401" s="278"/>
      <c r="K401" s="278"/>
      <c r="L401" s="278"/>
      <c r="M401" s="278"/>
      <c r="N401" s="149"/>
      <c r="O401" s="149"/>
      <c r="P401" s="278"/>
      <c r="Q401" s="278"/>
      <c r="R401" s="278"/>
      <c r="S401" s="278"/>
      <c r="T401" s="149"/>
      <c r="U401" s="436">
        <f>Input!B466</f>
        <v>0</v>
      </c>
      <c r="V401" s="242">
        <f>Input!F466</f>
        <v>0</v>
      </c>
      <c r="W401" s="437">
        <f>Input!U466</f>
        <v>0</v>
      </c>
      <c r="X401" s="242">
        <f>Input!H466</f>
        <v>0</v>
      </c>
      <c r="Y401" s="242">
        <f>Input!I466</f>
        <v>0</v>
      </c>
      <c r="Z401" s="437">
        <f>Input!V466</f>
        <v>0</v>
      </c>
      <c r="AA401" s="149"/>
      <c r="AB401" s="149"/>
      <c r="AC401" s="149"/>
      <c r="AD401" s="149"/>
      <c r="AE401" s="149"/>
      <c r="AF401" s="149"/>
      <c r="AG401" s="149"/>
      <c r="AH401" s="149"/>
      <c r="AI401" s="149"/>
      <c r="AJ401" s="149"/>
      <c r="AK401" s="149"/>
      <c r="AL401" s="149"/>
      <c r="AM401" s="149"/>
      <c r="AN401" s="149"/>
      <c r="AO401" s="149"/>
      <c r="AP401" s="149"/>
    </row>
  </sheetData>
  <mergeCells count="7">
    <mergeCell ref="AO1:AP1"/>
    <mergeCell ref="AD6:AP6"/>
    <mergeCell ref="AE1:AF1"/>
    <mergeCell ref="AG1:AH1"/>
    <mergeCell ref="AI1:AJ1"/>
    <mergeCell ref="AK1:AL1"/>
    <mergeCell ref="AM1:A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1"/>
  <sheetViews>
    <sheetView workbookViewId="0"/>
  </sheetViews>
  <sheetFormatPr defaultColWidth="12.5703125" defaultRowHeight="15.75" customHeight="1" x14ac:dyDescent="0.2"/>
  <cols>
    <col min="1" max="1" width="6.5703125" customWidth="1"/>
    <col min="2" max="2" width="11" customWidth="1"/>
  </cols>
  <sheetData>
    <row r="1" spans="1:26" x14ac:dyDescent="0.2">
      <c r="A1" s="45" t="s">
        <v>3</v>
      </c>
      <c r="B1" s="65" t="s">
        <v>351</v>
      </c>
      <c r="C1" s="83" t="s">
        <v>352</v>
      </c>
      <c r="D1" s="45" t="s">
        <v>138</v>
      </c>
      <c r="E1" s="65" t="s">
        <v>353</v>
      </c>
      <c r="F1" s="65" t="s">
        <v>354</v>
      </c>
      <c r="G1" s="83" t="s">
        <v>355</v>
      </c>
      <c r="H1" s="463"/>
      <c r="I1" s="463"/>
      <c r="J1" s="630" t="s">
        <v>356</v>
      </c>
      <c r="K1" s="574"/>
      <c r="L1" s="574"/>
      <c r="M1" s="575"/>
      <c r="N1" s="630" t="s">
        <v>357</v>
      </c>
      <c r="O1" s="574"/>
      <c r="P1" s="574"/>
      <c r="Q1" s="575"/>
      <c r="R1" s="303"/>
      <c r="S1" s="303"/>
      <c r="T1" s="303"/>
      <c r="U1" s="303"/>
      <c r="V1" s="303"/>
      <c r="W1" s="303"/>
      <c r="X1" s="303"/>
      <c r="Y1" s="303"/>
      <c r="Z1" s="303"/>
    </row>
    <row r="2" spans="1:26" x14ac:dyDescent="0.2">
      <c r="A2" s="202">
        <v>1</v>
      </c>
      <c r="B2" s="303">
        <v>0</v>
      </c>
      <c r="C2" s="399"/>
      <c r="D2" s="303" t="s">
        <v>358</v>
      </c>
      <c r="E2" s="303">
        <v>1675</v>
      </c>
      <c r="F2" s="303">
        <v>1675</v>
      </c>
      <c r="G2" s="303">
        <v>1675</v>
      </c>
      <c r="H2" s="46" t="s">
        <v>359</v>
      </c>
      <c r="I2" s="57">
        <v>3</v>
      </c>
      <c r="J2" s="464" t="s">
        <v>138</v>
      </c>
      <c r="K2" s="463" t="s">
        <v>73</v>
      </c>
      <c r="L2" s="463" t="s">
        <v>360</v>
      </c>
      <c r="M2" s="465" t="s">
        <v>361</v>
      </c>
      <c r="N2" s="45" t="s">
        <v>138</v>
      </c>
      <c r="O2" s="65" t="s">
        <v>353</v>
      </c>
      <c r="P2" s="65" t="s">
        <v>354</v>
      </c>
      <c r="Q2" s="83" t="s">
        <v>355</v>
      </c>
      <c r="R2" s="303"/>
      <c r="S2" s="303"/>
      <c r="T2" s="303"/>
      <c r="U2" s="303"/>
      <c r="V2" s="303"/>
      <c r="W2" s="303"/>
      <c r="X2" s="303"/>
      <c r="Y2" s="303"/>
      <c r="Z2" s="303"/>
    </row>
    <row r="3" spans="1:26" x14ac:dyDescent="0.2">
      <c r="A3" s="202">
        <v>2</v>
      </c>
      <c r="B3" s="303">
        <v>100</v>
      </c>
      <c r="C3" s="399">
        <f t="shared" ref="C3:C12" si="0">B3-B2</f>
        <v>100</v>
      </c>
      <c r="D3" s="303" t="s">
        <v>362</v>
      </c>
      <c r="E3" s="303">
        <v>1675</v>
      </c>
      <c r="F3" s="303">
        <v>1675</v>
      </c>
      <c r="G3" s="303">
        <v>1675</v>
      </c>
      <c r="H3" s="466" t="s">
        <v>363</v>
      </c>
      <c r="I3" s="467">
        <v>49</v>
      </c>
      <c r="J3" s="294">
        <f>Input!H50</f>
        <v>0</v>
      </c>
      <c r="K3" s="301">
        <f>Input!H32</f>
        <v>0</v>
      </c>
      <c r="L3" s="301" t="str">
        <f>IF(Input!K50=1,$C$13,IF(Input!K50=0,$C$14,""))</f>
        <v/>
      </c>
      <c r="M3" s="430">
        <f>IF(OR(J3=Input!$A$3,J3=Input!$A$4,J3=Input!$A$5),1,0)</f>
        <v>0</v>
      </c>
      <c r="N3" s="202" t="str">
        <f t="shared" ref="N3:N17" si="1">IF(M3=1,J3,"")</f>
        <v/>
      </c>
      <c r="O3" s="303" t="str">
        <f t="shared" ref="O3:O17" si="2">IF(N3="","",IF(K3="Block",L3,0))</f>
        <v/>
      </c>
      <c r="P3" s="303" t="str">
        <f t="shared" ref="P3:P17" si="3">IF(N3="","",IF(K3="Dodge",L3,0))</f>
        <v/>
      </c>
      <c r="Q3" s="399" t="str">
        <f t="shared" ref="Q3:Q17" si="4">IF(N3="","",IF(K3="Parry",L3,0))</f>
        <v/>
      </c>
      <c r="R3" s="303"/>
      <c r="S3" s="303"/>
      <c r="T3" s="303"/>
      <c r="U3" s="303"/>
      <c r="V3" s="303"/>
      <c r="W3" s="303"/>
      <c r="X3" s="303"/>
      <c r="Y3" s="303"/>
      <c r="Z3" s="303"/>
    </row>
    <row r="4" spans="1:26" x14ac:dyDescent="0.2">
      <c r="A4" s="202">
        <v>3</v>
      </c>
      <c r="B4" s="303">
        <v>215</v>
      </c>
      <c r="C4" s="399">
        <f t="shared" si="0"/>
        <v>115</v>
      </c>
      <c r="D4" s="303" t="s">
        <v>364</v>
      </c>
      <c r="E4" s="303">
        <v>1675</v>
      </c>
      <c r="F4" s="303">
        <v>1675</v>
      </c>
      <c r="G4" s="303">
        <v>1675</v>
      </c>
      <c r="H4" s="303"/>
      <c r="I4" s="303"/>
      <c r="J4" s="202">
        <f>Input!H51</f>
        <v>0</v>
      </c>
      <c r="K4" s="303">
        <f>Input!H33</f>
        <v>0</v>
      </c>
      <c r="L4" s="303" t="str">
        <f>IF(Input!K51=1,$C$13,IF(Input!K51=0,$C$14,""))</f>
        <v/>
      </c>
      <c r="M4" s="399">
        <f>IF(OR(J4=Input!$A$3,J4=Input!$A$4,J4=Input!$A$5),1,0)</f>
        <v>0</v>
      </c>
      <c r="N4" s="202" t="str">
        <f t="shared" si="1"/>
        <v/>
      </c>
      <c r="O4" s="303" t="str">
        <f t="shared" si="2"/>
        <v/>
      </c>
      <c r="P4" s="303" t="str">
        <f t="shared" si="3"/>
        <v/>
      </c>
      <c r="Q4" s="399" t="str">
        <f t="shared" si="4"/>
        <v/>
      </c>
      <c r="R4" s="303"/>
      <c r="S4" s="303"/>
      <c r="T4" s="303"/>
      <c r="U4" s="303"/>
      <c r="V4" s="303"/>
      <c r="W4" s="303"/>
      <c r="X4" s="303"/>
      <c r="Y4" s="303"/>
      <c r="Z4" s="303"/>
    </row>
    <row r="5" spans="1:26" x14ac:dyDescent="0.2">
      <c r="A5" s="202">
        <v>4</v>
      </c>
      <c r="B5" s="303">
        <v>345</v>
      </c>
      <c r="C5" s="399">
        <f t="shared" si="0"/>
        <v>130</v>
      </c>
      <c r="D5" s="303" t="s">
        <v>358</v>
      </c>
      <c r="E5" s="303">
        <v>0</v>
      </c>
      <c r="F5" s="303">
        <v>0</v>
      </c>
      <c r="G5" s="303">
        <v>4</v>
      </c>
      <c r="H5" s="303"/>
      <c r="I5" s="303"/>
      <c r="J5" s="202">
        <f>Input!H52</f>
        <v>0</v>
      </c>
      <c r="K5" s="303">
        <f>Input!H34</f>
        <v>0</v>
      </c>
      <c r="L5" s="303" t="str">
        <f>IF(Input!K52=1,$C$13,IF(Input!K52=0,$C$14,""))</f>
        <v/>
      </c>
      <c r="M5" s="399">
        <f>IF(OR(J5=Input!$A$3,J5=Input!$A$4,J5=Input!$A$5),1,0)</f>
        <v>0</v>
      </c>
      <c r="N5" s="202" t="str">
        <f t="shared" si="1"/>
        <v/>
      </c>
      <c r="O5" s="303" t="str">
        <f t="shared" si="2"/>
        <v/>
      </c>
      <c r="P5" s="303" t="str">
        <f t="shared" si="3"/>
        <v/>
      </c>
      <c r="Q5" s="399" t="str">
        <f t="shared" si="4"/>
        <v/>
      </c>
      <c r="R5" s="303"/>
      <c r="S5" s="303"/>
      <c r="T5" s="303"/>
      <c r="U5" s="303"/>
      <c r="V5" s="303"/>
      <c r="W5" s="303"/>
      <c r="X5" s="303"/>
      <c r="Y5" s="303"/>
      <c r="Z5" s="303"/>
    </row>
    <row r="6" spans="1:26" x14ac:dyDescent="0.2">
      <c r="A6" s="202">
        <v>5</v>
      </c>
      <c r="B6" s="303">
        <v>490</v>
      </c>
      <c r="C6" s="399">
        <f t="shared" si="0"/>
        <v>145</v>
      </c>
      <c r="D6" s="303" t="s">
        <v>364</v>
      </c>
      <c r="E6" s="303">
        <v>4</v>
      </c>
      <c r="F6" s="303">
        <v>0</v>
      </c>
      <c r="G6" s="303">
        <v>0</v>
      </c>
      <c r="H6" s="303"/>
      <c r="I6" s="303"/>
      <c r="J6" s="202">
        <f>Input!H53</f>
        <v>0</v>
      </c>
      <c r="K6" s="303">
        <f>Input!H35</f>
        <v>0</v>
      </c>
      <c r="L6" s="303" t="str">
        <f>IF(Input!K53=1,$C$13,IF(Input!K53=0,$C$14,""))</f>
        <v/>
      </c>
      <c r="M6" s="399">
        <f>IF(OR(J6=Input!$A$3,J6=Input!$A$4,J6=Input!$A$5),1,0)</f>
        <v>0</v>
      </c>
      <c r="N6" s="202" t="str">
        <f t="shared" si="1"/>
        <v/>
      </c>
      <c r="O6" s="303" t="str">
        <f t="shared" si="2"/>
        <v/>
      </c>
      <c r="P6" s="303" t="str">
        <f t="shared" si="3"/>
        <v/>
      </c>
      <c r="Q6" s="399" t="str">
        <f t="shared" si="4"/>
        <v/>
      </c>
      <c r="R6" s="303"/>
      <c r="S6" s="303"/>
      <c r="T6" s="303"/>
      <c r="U6" s="303"/>
      <c r="V6" s="303"/>
      <c r="W6" s="303"/>
      <c r="X6" s="303"/>
      <c r="Y6" s="303"/>
      <c r="Z6" s="303"/>
    </row>
    <row r="7" spans="1:26" x14ac:dyDescent="0.2">
      <c r="A7" s="202">
        <v>6</v>
      </c>
      <c r="B7" s="303">
        <v>650</v>
      </c>
      <c r="C7" s="399">
        <f t="shared" si="0"/>
        <v>160</v>
      </c>
      <c r="D7" s="303" t="s">
        <v>362</v>
      </c>
      <c r="E7" s="303">
        <v>0</v>
      </c>
      <c r="F7" s="303">
        <v>2</v>
      </c>
      <c r="G7" s="303">
        <v>0</v>
      </c>
      <c r="H7" s="303"/>
      <c r="I7" s="303"/>
      <c r="J7" s="202">
        <f>Input!H54</f>
        <v>0</v>
      </c>
      <c r="K7" s="303">
        <f>Input!H36</f>
        <v>0</v>
      </c>
      <c r="L7" s="303" t="str">
        <f>IF(Input!K54=1,$C$13,IF(Input!K54=0,$C$14,""))</f>
        <v/>
      </c>
      <c r="M7" s="399">
        <f>IF(OR(J7=Input!$A$3,J7=Input!$A$4,J7=Input!$A$5),1,0)</f>
        <v>0</v>
      </c>
      <c r="N7" s="202" t="str">
        <f t="shared" si="1"/>
        <v/>
      </c>
      <c r="O7" s="303" t="str">
        <f t="shared" si="2"/>
        <v/>
      </c>
      <c r="P7" s="303" t="str">
        <f t="shared" si="3"/>
        <v/>
      </c>
      <c r="Q7" s="399" t="str">
        <f t="shared" si="4"/>
        <v/>
      </c>
      <c r="R7" s="303"/>
      <c r="S7" s="303"/>
      <c r="T7" s="303"/>
      <c r="U7" s="303"/>
      <c r="V7" s="303"/>
      <c r="W7" s="303"/>
      <c r="X7" s="303"/>
      <c r="Y7" s="303"/>
      <c r="Z7" s="303"/>
    </row>
    <row r="8" spans="1:26" x14ac:dyDescent="0.2">
      <c r="A8" s="202">
        <v>7</v>
      </c>
      <c r="B8" s="303">
        <v>825</v>
      </c>
      <c r="C8" s="399">
        <f t="shared" si="0"/>
        <v>175</v>
      </c>
      <c r="D8" s="303" t="s">
        <v>364</v>
      </c>
      <c r="E8" s="303">
        <v>4</v>
      </c>
      <c r="F8" s="303">
        <v>0</v>
      </c>
      <c r="G8" s="303">
        <v>0</v>
      </c>
      <c r="H8" s="303"/>
      <c r="I8" s="303"/>
      <c r="J8" s="202">
        <f>Input!H55</f>
        <v>0</v>
      </c>
      <c r="K8" s="303">
        <f>Input!H37</f>
        <v>0</v>
      </c>
      <c r="L8" s="303" t="str">
        <f>IF(Input!K55=1,$C$13,IF(Input!K55=0,$C$14,""))</f>
        <v/>
      </c>
      <c r="M8" s="399">
        <f>IF(OR(J8=Input!$A$3,J8=Input!$A$4,J8=Input!$A$5),1,0)</f>
        <v>0</v>
      </c>
      <c r="N8" s="202" t="str">
        <f t="shared" si="1"/>
        <v/>
      </c>
      <c r="O8" s="303" t="str">
        <f t="shared" si="2"/>
        <v/>
      </c>
      <c r="P8" s="303" t="str">
        <f t="shared" si="3"/>
        <v/>
      </c>
      <c r="Q8" s="399" t="str">
        <f t="shared" si="4"/>
        <v/>
      </c>
      <c r="R8" s="303"/>
      <c r="S8" s="303"/>
      <c r="T8" s="303"/>
      <c r="U8" s="303"/>
      <c r="V8" s="303"/>
      <c r="W8" s="303"/>
      <c r="X8" s="303"/>
      <c r="Y8" s="303"/>
      <c r="Z8" s="303"/>
    </row>
    <row r="9" spans="1:26" x14ac:dyDescent="0.2">
      <c r="A9" s="202">
        <v>8</v>
      </c>
      <c r="B9" s="303">
        <v>1015</v>
      </c>
      <c r="C9" s="399">
        <f t="shared" si="0"/>
        <v>190</v>
      </c>
      <c r="D9" s="303" t="s">
        <v>364</v>
      </c>
      <c r="E9" s="303">
        <v>0</v>
      </c>
      <c r="F9" s="303">
        <v>4</v>
      </c>
      <c r="G9" s="303">
        <v>0</v>
      </c>
      <c r="H9" s="303"/>
      <c r="I9" s="303"/>
      <c r="J9" s="202">
        <f>Input!H56</f>
        <v>0</v>
      </c>
      <c r="K9" s="303">
        <f>Input!H38</f>
        <v>0</v>
      </c>
      <c r="L9" s="303" t="str">
        <f>IF(Input!K56=1,$C$13,IF(Input!K56=0,$C$14,""))</f>
        <v/>
      </c>
      <c r="M9" s="399">
        <f>IF(OR(J9=Input!$A$3,J9=Input!$A$4,J9=Input!$A$5),1,0)</f>
        <v>0</v>
      </c>
      <c r="N9" s="202" t="str">
        <f t="shared" si="1"/>
        <v/>
      </c>
      <c r="O9" s="303" t="str">
        <f t="shared" si="2"/>
        <v/>
      </c>
      <c r="P9" s="303" t="str">
        <f t="shared" si="3"/>
        <v/>
      </c>
      <c r="Q9" s="399" t="str">
        <f t="shared" si="4"/>
        <v/>
      </c>
      <c r="R9" s="303"/>
      <c r="S9" s="303"/>
      <c r="T9" s="303"/>
      <c r="U9" s="303"/>
      <c r="V9" s="303"/>
      <c r="W9" s="303"/>
      <c r="X9" s="303"/>
      <c r="Y9" s="303"/>
      <c r="Z9" s="303"/>
    </row>
    <row r="10" spans="1:26" x14ac:dyDescent="0.2">
      <c r="A10" s="202">
        <v>9</v>
      </c>
      <c r="B10" s="303">
        <v>1220</v>
      </c>
      <c r="C10" s="399">
        <f t="shared" si="0"/>
        <v>205</v>
      </c>
      <c r="D10" s="303" t="s">
        <v>365</v>
      </c>
      <c r="E10" s="303">
        <v>0</v>
      </c>
      <c r="F10" s="303">
        <v>0</v>
      </c>
      <c r="G10" s="303">
        <v>4</v>
      </c>
      <c r="H10" s="303"/>
      <c r="I10" s="303"/>
      <c r="J10" s="202">
        <f>Input!H57</f>
        <v>0</v>
      </c>
      <c r="K10" s="303">
        <f>Input!H39</f>
        <v>0</v>
      </c>
      <c r="L10" s="303" t="str">
        <f>IF(Input!K57=1,$C$13,IF(Input!K57=0,$C$14,""))</f>
        <v/>
      </c>
      <c r="M10" s="399">
        <f>IF(OR(J10=Input!$A$3,J10=Input!$A$4,J10=Input!$A$5),1,0)</f>
        <v>0</v>
      </c>
      <c r="N10" s="202" t="str">
        <f t="shared" si="1"/>
        <v/>
      </c>
      <c r="O10" s="303" t="str">
        <f t="shared" si="2"/>
        <v/>
      </c>
      <c r="P10" s="303" t="str">
        <f t="shared" si="3"/>
        <v/>
      </c>
      <c r="Q10" s="399" t="str">
        <f t="shared" si="4"/>
        <v/>
      </c>
      <c r="R10" s="303"/>
      <c r="S10" s="303"/>
      <c r="T10" s="303"/>
      <c r="U10" s="303"/>
      <c r="V10" s="303"/>
      <c r="W10" s="303"/>
      <c r="X10" s="303"/>
      <c r="Y10" s="303"/>
      <c r="Z10" s="303"/>
    </row>
    <row r="11" spans="1:26" x14ac:dyDescent="0.2">
      <c r="A11" s="202">
        <v>10</v>
      </c>
      <c r="B11" s="303">
        <v>1440</v>
      </c>
      <c r="C11" s="399">
        <f t="shared" si="0"/>
        <v>220</v>
      </c>
      <c r="D11" s="303" t="s">
        <v>366</v>
      </c>
      <c r="E11" s="303">
        <v>0</v>
      </c>
      <c r="F11" s="303">
        <v>4</v>
      </c>
      <c r="G11" s="303">
        <v>0</v>
      </c>
      <c r="H11" s="303"/>
      <c r="I11" s="303"/>
      <c r="J11" s="202">
        <f>Input!H58</f>
        <v>0</v>
      </c>
      <c r="K11" s="303">
        <f>Input!H40</f>
        <v>0</v>
      </c>
      <c r="L11" s="303" t="str">
        <f>IF(Input!K58=1,$C$13,IF(Input!K58=0,$C$14,""))</f>
        <v/>
      </c>
      <c r="M11" s="399">
        <f>IF(OR(J11=Input!$A$3,J11=Input!$A$4,J11=Input!$A$5),1,0)</f>
        <v>0</v>
      </c>
      <c r="N11" s="202" t="str">
        <f t="shared" si="1"/>
        <v/>
      </c>
      <c r="O11" s="303" t="str">
        <f t="shared" si="2"/>
        <v/>
      </c>
      <c r="P11" s="303" t="str">
        <f t="shared" si="3"/>
        <v/>
      </c>
      <c r="Q11" s="399" t="str">
        <f t="shared" si="4"/>
        <v/>
      </c>
      <c r="R11" s="303"/>
      <c r="S11" s="303"/>
      <c r="T11" s="303"/>
      <c r="U11" s="303"/>
      <c r="V11" s="303"/>
      <c r="W11" s="303"/>
      <c r="X11" s="303"/>
      <c r="Y11" s="303"/>
      <c r="Z11" s="303"/>
    </row>
    <row r="12" spans="1:26" x14ac:dyDescent="0.2">
      <c r="A12" s="436">
        <v>11</v>
      </c>
      <c r="B12" s="242">
        <v>1675</v>
      </c>
      <c r="C12" s="437">
        <f t="shared" si="0"/>
        <v>235</v>
      </c>
      <c r="D12" s="303" t="s">
        <v>367</v>
      </c>
      <c r="E12" s="303">
        <v>0</v>
      </c>
      <c r="F12" s="303">
        <v>4</v>
      </c>
      <c r="G12" s="303">
        <v>0</v>
      </c>
      <c r="H12" s="303"/>
      <c r="I12" s="303"/>
      <c r="J12" s="202">
        <f>Input!H59</f>
        <v>0</v>
      </c>
      <c r="K12" s="303">
        <f>Input!H41</f>
        <v>0</v>
      </c>
      <c r="L12" s="303" t="str">
        <f>IF(Input!K59=1,$C$13,IF(Input!K59=0,$C$14,""))</f>
        <v/>
      </c>
      <c r="M12" s="399">
        <f>IF(OR(J12=Input!$A$3,J12=Input!$A$4,J12=Input!$A$5),1,0)</f>
        <v>0</v>
      </c>
      <c r="N12" s="202" t="str">
        <f t="shared" si="1"/>
        <v/>
      </c>
      <c r="O12" s="303" t="str">
        <f t="shared" si="2"/>
        <v/>
      </c>
      <c r="P12" s="303" t="str">
        <f t="shared" si="3"/>
        <v/>
      </c>
      <c r="Q12" s="399" t="str">
        <f t="shared" si="4"/>
        <v/>
      </c>
      <c r="R12" s="303"/>
      <c r="S12" s="303"/>
      <c r="T12" s="303"/>
      <c r="U12" s="303"/>
      <c r="V12" s="303"/>
      <c r="W12" s="303"/>
      <c r="X12" s="303"/>
      <c r="Y12" s="303"/>
      <c r="Z12" s="303"/>
    </row>
    <row r="13" spans="1:26" x14ac:dyDescent="0.2">
      <c r="A13" s="585" t="s">
        <v>368</v>
      </c>
      <c r="B13" s="565"/>
      <c r="C13" s="123">
        <v>4</v>
      </c>
      <c r="D13" s="303" t="s">
        <v>365</v>
      </c>
      <c r="E13" s="303">
        <v>0</v>
      </c>
      <c r="F13" s="303">
        <v>0</v>
      </c>
      <c r="G13" s="303">
        <v>2</v>
      </c>
      <c r="H13" s="303"/>
      <c r="I13" s="303"/>
      <c r="J13" s="202">
        <f>Input!H60</f>
        <v>0</v>
      </c>
      <c r="K13" s="303">
        <f>Input!H42</f>
        <v>0</v>
      </c>
      <c r="L13" s="303" t="str">
        <f>IF(Input!K60=1,$C$13,IF(Input!K60=0,$C$14,""))</f>
        <v/>
      </c>
      <c r="M13" s="399">
        <f>IF(OR(J13=Input!$A$3,J13=Input!$A$4,J13=Input!$A$5),1,0)</f>
        <v>0</v>
      </c>
      <c r="N13" s="202" t="str">
        <f t="shared" si="1"/>
        <v/>
      </c>
      <c r="O13" s="303" t="str">
        <f t="shared" si="2"/>
        <v/>
      </c>
      <c r="P13" s="303" t="str">
        <f t="shared" si="3"/>
        <v/>
      </c>
      <c r="Q13" s="399" t="str">
        <f t="shared" si="4"/>
        <v/>
      </c>
      <c r="R13" s="303"/>
      <c r="S13" s="303"/>
      <c r="T13" s="303"/>
      <c r="U13" s="303"/>
      <c r="V13" s="303"/>
      <c r="W13" s="303"/>
      <c r="X13" s="303"/>
      <c r="Y13" s="303"/>
      <c r="Z13" s="303"/>
    </row>
    <row r="14" spans="1:26" x14ac:dyDescent="0.2">
      <c r="A14" s="631" t="s">
        <v>369</v>
      </c>
      <c r="B14" s="561"/>
      <c r="C14" s="468">
        <v>2</v>
      </c>
      <c r="D14" s="303" t="s">
        <v>366</v>
      </c>
      <c r="E14" s="303">
        <v>0</v>
      </c>
      <c r="F14" s="303">
        <v>2</v>
      </c>
      <c r="G14" s="303">
        <v>0</v>
      </c>
      <c r="H14" s="303"/>
      <c r="I14" s="303"/>
      <c r="J14" s="202">
        <f>Input!H61</f>
        <v>0</v>
      </c>
      <c r="K14" s="303">
        <f>Input!H43</f>
        <v>0</v>
      </c>
      <c r="L14" s="303" t="str">
        <f>IF(Input!K61=1,$C$13,IF(Input!K61=0,$C$14,""))</f>
        <v/>
      </c>
      <c r="M14" s="399">
        <f>IF(OR(J14=Input!$A$3,J14=Input!$A$4,J14=Input!$A$5),1,0)</f>
        <v>0</v>
      </c>
      <c r="N14" s="202" t="str">
        <f t="shared" si="1"/>
        <v/>
      </c>
      <c r="O14" s="303" t="str">
        <f t="shared" si="2"/>
        <v/>
      </c>
      <c r="P14" s="303" t="str">
        <f t="shared" si="3"/>
        <v/>
      </c>
      <c r="Q14" s="399" t="str">
        <f t="shared" si="4"/>
        <v/>
      </c>
      <c r="R14" s="303"/>
      <c r="S14" s="303"/>
      <c r="T14" s="303"/>
      <c r="U14" s="303"/>
      <c r="V14" s="303"/>
      <c r="W14" s="303"/>
      <c r="X14" s="303"/>
      <c r="Y14" s="303"/>
      <c r="Z14" s="303"/>
    </row>
    <row r="15" spans="1:26" x14ac:dyDescent="0.2">
      <c r="A15" s="303"/>
      <c r="B15" s="303"/>
      <c r="C15" s="303"/>
      <c r="D15" s="303" t="s">
        <v>367</v>
      </c>
      <c r="E15" s="303">
        <v>2</v>
      </c>
      <c r="F15" s="303">
        <v>0</v>
      </c>
      <c r="G15" s="303">
        <v>0</v>
      </c>
      <c r="H15" s="303"/>
      <c r="I15" s="303"/>
      <c r="J15" s="202">
        <f>Input!H62</f>
        <v>0</v>
      </c>
      <c r="K15" s="303">
        <f>Input!H44</f>
        <v>0</v>
      </c>
      <c r="L15" s="303" t="str">
        <f>IF(Input!K62=1,$C$13,IF(Input!K62=0,$C$14,""))</f>
        <v/>
      </c>
      <c r="M15" s="399">
        <f>IF(OR(J15=Input!$A$3,J15=Input!$A$4,J15=Input!$A$5),1,0)</f>
        <v>0</v>
      </c>
      <c r="N15" s="202" t="str">
        <f t="shared" si="1"/>
        <v/>
      </c>
      <c r="O15" s="303" t="str">
        <f t="shared" si="2"/>
        <v/>
      </c>
      <c r="P15" s="303" t="str">
        <f t="shared" si="3"/>
        <v/>
      </c>
      <c r="Q15" s="399" t="str">
        <f t="shared" si="4"/>
        <v/>
      </c>
      <c r="R15" s="303"/>
      <c r="S15" s="303"/>
      <c r="T15" s="303"/>
      <c r="U15" s="303"/>
      <c r="V15" s="303"/>
      <c r="W15" s="303"/>
      <c r="X15" s="303"/>
      <c r="Y15" s="303"/>
      <c r="Z15" s="303"/>
    </row>
    <row r="16" spans="1:26" x14ac:dyDescent="0.2">
      <c r="A16" s="303"/>
      <c r="B16" s="303"/>
      <c r="C16" s="303"/>
      <c r="D16" s="303" t="s">
        <v>365</v>
      </c>
      <c r="E16" s="303">
        <v>0</v>
      </c>
      <c r="F16" s="303">
        <v>4</v>
      </c>
      <c r="G16" s="303">
        <v>0</v>
      </c>
      <c r="H16" s="303"/>
      <c r="I16" s="303"/>
      <c r="J16" s="202">
        <f>Input!H63</f>
        <v>0</v>
      </c>
      <c r="K16" s="303">
        <f>Input!H45</f>
        <v>0</v>
      </c>
      <c r="L16" s="303" t="str">
        <f>IF(Input!K63=1,$C$13,IF(Input!K63=0,$C$14,""))</f>
        <v/>
      </c>
      <c r="M16" s="399">
        <f>IF(OR(J16=Input!$A$3,J16=Input!$A$4,J16=Input!$A$5),1,0)</f>
        <v>0</v>
      </c>
      <c r="N16" s="202" t="str">
        <f t="shared" si="1"/>
        <v/>
      </c>
      <c r="O16" s="303" t="str">
        <f t="shared" si="2"/>
        <v/>
      </c>
      <c r="P16" s="303" t="str">
        <f t="shared" si="3"/>
        <v/>
      </c>
      <c r="Q16" s="399" t="str">
        <f t="shared" si="4"/>
        <v/>
      </c>
      <c r="R16" s="303"/>
      <c r="S16" s="303"/>
      <c r="T16" s="303"/>
      <c r="U16" s="303"/>
      <c r="V16" s="303"/>
      <c r="W16" s="303"/>
      <c r="X16" s="303"/>
      <c r="Y16" s="303"/>
      <c r="Z16" s="303"/>
    </row>
    <row r="17" spans="1:26" x14ac:dyDescent="0.2">
      <c r="A17" s="303"/>
      <c r="B17" s="303"/>
      <c r="C17" s="303"/>
      <c r="D17" s="303" t="s">
        <v>365</v>
      </c>
      <c r="E17" s="303">
        <v>0</v>
      </c>
      <c r="F17" s="303">
        <v>2</v>
      </c>
      <c r="G17" s="303">
        <v>0</v>
      </c>
      <c r="H17" s="303"/>
      <c r="I17" s="303"/>
      <c r="J17" s="436">
        <f>Input!H64</f>
        <v>0</v>
      </c>
      <c r="K17" s="242">
        <f>Input!H46</f>
        <v>0</v>
      </c>
      <c r="L17" s="242" t="str">
        <f>IF(Input!K64=1,$C$13,IF(Input!K64=0,$C$14,""))</f>
        <v/>
      </c>
      <c r="M17" s="437">
        <f>IF(OR(J17=Input!$A$3,J17=Input!$A$4,J17=Input!$A$5),1,0)</f>
        <v>0</v>
      </c>
      <c r="N17" s="436" t="str">
        <f t="shared" si="1"/>
        <v/>
      </c>
      <c r="O17" s="242" t="str">
        <f t="shared" si="2"/>
        <v/>
      </c>
      <c r="P17" s="242" t="str">
        <f t="shared" si="3"/>
        <v/>
      </c>
      <c r="Q17" s="437" t="str">
        <f t="shared" si="4"/>
        <v/>
      </c>
      <c r="R17" s="303"/>
      <c r="S17" s="303"/>
      <c r="T17" s="303"/>
      <c r="U17" s="303"/>
      <c r="V17" s="303"/>
      <c r="W17" s="303"/>
      <c r="X17" s="303"/>
      <c r="Y17" s="303"/>
      <c r="Z17" s="303"/>
    </row>
    <row r="18" spans="1:26" x14ac:dyDescent="0.2">
      <c r="A18" s="303"/>
      <c r="B18" s="303"/>
      <c r="C18" s="303"/>
      <c r="D18" s="303" t="s">
        <v>365</v>
      </c>
      <c r="E18" s="303">
        <v>2</v>
      </c>
      <c r="F18" s="303">
        <v>0</v>
      </c>
      <c r="G18" s="303">
        <v>0</v>
      </c>
      <c r="H18" s="303"/>
      <c r="I18" s="303"/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3"/>
      <c r="U18" s="303"/>
      <c r="V18" s="303"/>
      <c r="W18" s="303"/>
      <c r="X18" s="303"/>
      <c r="Y18" s="303"/>
      <c r="Z18" s="303"/>
    </row>
    <row r="19" spans="1:26" x14ac:dyDescent="0.2">
      <c r="A19" s="303"/>
      <c r="B19" s="303"/>
      <c r="C19" s="303"/>
      <c r="D19" s="303" t="s">
        <v>365</v>
      </c>
      <c r="E19" s="303">
        <v>0</v>
      </c>
      <c r="F19" s="303">
        <v>0</v>
      </c>
      <c r="G19" s="303">
        <v>0</v>
      </c>
      <c r="H19" s="303"/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</row>
    <row r="20" spans="1:26" x14ac:dyDescent="0.2">
      <c r="A20" s="303"/>
      <c r="B20" s="303"/>
      <c r="C20" s="303"/>
      <c r="D20" s="303" t="s">
        <v>366</v>
      </c>
      <c r="E20" s="303">
        <v>0</v>
      </c>
      <c r="F20" s="303">
        <v>4</v>
      </c>
      <c r="G20" s="303">
        <v>0</v>
      </c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</row>
    <row r="21" spans="1:26" x14ac:dyDescent="0.2">
      <c r="A21" s="303"/>
      <c r="B21" s="303"/>
      <c r="C21" s="303"/>
      <c r="D21" s="303" t="s">
        <v>366</v>
      </c>
      <c r="E21" s="303">
        <v>0</v>
      </c>
      <c r="F21" s="303">
        <v>4</v>
      </c>
      <c r="G21" s="303">
        <v>0</v>
      </c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</row>
    <row r="22" spans="1:26" x14ac:dyDescent="0.2">
      <c r="A22" s="303"/>
      <c r="B22" s="303"/>
      <c r="C22" s="303"/>
      <c r="D22" s="303" t="s">
        <v>365</v>
      </c>
      <c r="E22" s="303">
        <v>0</v>
      </c>
      <c r="F22" s="303">
        <v>0</v>
      </c>
      <c r="G22" s="303">
        <v>0</v>
      </c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3"/>
    </row>
    <row r="23" spans="1:26" x14ac:dyDescent="0.2">
      <c r="A23" s="303"/>
      <c r="B23" s="303"/>
      <c r="C23" s="303"/>
      <c r="D23" s="303" t="s">
        <v>365</v>
      </c>
      <c r="E23" s="303">
        <v>2</v>
      </c>
      <c r="F23" s="303">
        <v>0</v>
      </c>
      <c r="G23" s="303">
        <v>0</v>
      </c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  <c r="T23" s="303"/>
      <c r="U23" s="303"/>
      <c r="V23" s="303"/>
      <c r="W23" s="303"/>
      <c r="X23" s="303"/>
      <c r="Y23" s="303"/>
      <c r="Z23" s="303"/>
    </row>
    <row r="24" spans="1:26" x14ac:dyDescent="0.2">
      <c r="A24" s="303"/>
      <c r="B24" s="303"/>
      <c r="C24" s="303"/>
      <c r="D24" s="303" t="s">
        <v>365</v>
      </c>
      <c r="E24" s="303">
        <v>0</v>
      </c>
      <c r="F24" s="303">
        <v>0</v>
      </c>
      <c r="G24" s="303">
        <v>4</v>
      </c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  <c r="T24" s="303"/>
      <c r="U24" s="303"/>
      <c r="V24" s="303"/>
      <c r="W24" s="303"/>
      <c r="X24" s="303"/>
      <c r="Y24" s="303"/>
      <c r="Z24" s="303"/>
    </row>
    <row r="25" spans="1:26" x14ac:dyDescent="0.2">
      <c r="A25" s="303"/>
      <c r="B25" s="303"/>
      <c r="C25" s="303"/>
      <c r="D25" s="303" t="s">
        <v>367</v>
      </c>
      <c r="E25" s="303">
        <v>2</v>
      </c>
      <c r="F25" s="303">
        <v>0</v>
      </c>
      <c r="G25" s="303">
        <v>0</v>
      </c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</row>
    <row r="26" spans="1:26" x14ac:dyDescent="0.2">
      <c r="A26" s="303"/>
      <c r="B26" s="303"/>
      <c r="C26" s="303"/>
      <c r="D26" s="303" t="s">
        <v>366</v>
      </c>
      <c r="E26" s="303">
        <v>2</v>
      </c>
      <c r="F26" s="303">
        <v>0</v>
      </c>
      <c r="G26" s="303">
        <v>0</v>
      </c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</row>
    <row r="27" spans="1:26" x14ac:dyDescent="0.2">
      <c r="A27" s="303"/>
      <c r="B27" s="303"/>
      <c r="C27" s="303"/>
      <c r="D27" s="303" t="s">
        <v>358</v>
      </c>
      <c r="E27" s="303">
        <v>0</v>
      </c>
      <c r="F27" s="303">
        <v>0</v>
      </c>
      <c r="G27" s="303">
        <v>2</v>
      </c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3"/>
    </row>
    <row r="28" spans="1:26" x14ac:dyDescent="0.2">
      <c r="A28" s="303"/>
      <c r="B28" s="303"/>
      <c r="C28" s="303"/>
      <c r="D28" s="303" t="s">
        <v>364</v>
      </c>
      <c r="E28" s="303">
        <v>0</v>
      </c>
      <c r="F28" s="303">
        <v>2</v>
      </c>
      <c r="G28" s="303">
        <v>0</v>
      </c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</row>
    <row r="29" spans="1:26" x14ac:dyDescent="0.2">
      <c r="A29" s="303"/>
      <c r="B29" s="303"/>
      <c r="C29" s="303"/>
      <c r="D29" s="303" t="s">
        <v>362</v>
      </c>
      <c r="E29" s="303">
        <v>4</v>
      </c>
      <c r="F29" s="303">
        <v>0</v>
      </c>
      <c r="G29" s="303">
        <v>0</v>
      </c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</row>
    <row r="30" spans="1:26" x14ac:dyDescent="0.2">
      <c r="A30" s="303"/>
      <c r="B30" s="303"/>
      <c r="C30" s="303"/>
      <c r="D30" s="303" t="s">
        <v>52</v>
      </c>
      <c r="E30" s="303">
        <v>0</v>
      </c>
      <c r="F30" s="303">
        <v>2</v>
      </c>
      <c r="G30" s="303">
        <v>0</v>
      </c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</row>
    <row r="31" spans="1:26" x14ac:dyDescent="0.2">
      <c r="A31" s="303"/>
      <c r="B31" s="303"/>
      <c r="C31" s="303"/>
      <c r="D31" s="303" t="s">
        <v>105</v>
      </c>
      <c r="E31" s="303">
        <v>2</v>
      </c>
      <c r="F31" s="303">
        <v>0</v>
      </c>
      <c r="G31" s="303">
        <v>0</v>
      </c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  <c r="T31" s="303"/>
      <c r="U31" s="303"/>
      <c r="V31" s="303"/>
      <c r="W31" s="303"/>
      <c r="X31" s="303"/>
      <c r="Y31" s="303"/>
      <c r="Z31" s="303"/>
    </row>
    <row r="32" spans="1:26" x14ac:dyDescent="0.2">
      <c r="A32" s="303"/>
      <c r="B32" s="303"/>
      <c r="C32" s="303"/>
      <c r="D32" s="303" t="s">
        <v>104</v>
      </c>
      <c r="E32" s="303">
        <v>0</v>
      </c>
      <c r="F32" s="303">
        <v>0</v>
      </c>
      <c r="G32" s="303">
        <v>2</v>
      </c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  <c r="T32" s="303"/>
      <c r="U32" s="303"/>
      <c r="V32" s="303"/>
      <c r="W32" s="303"/>
      <c r="X32" s="303"/>
      <c r="Y32" s="303"/>
      <c r="Z32" s="303"/>
    </row>
    <row r="33" spans="1:26" x14ac:dyDescent="0.2">
      <c r="A33" s="303"/>
      <c r="B33" s="303"/>
      <c r="C33" s="303"/>
      <c r="D33" s="303" t="s">
        <v>52</v>
      </c>
      <c r="E33" s="303">
        <v>0</v>
      </c>
      <c r="F33" s="303">
        <v>0</v>
      </c>
      <c r="G33" s="303">
        <v>4</v>
      </c>
      <c r="H33" s="303"/>
      <c r="I33" s="303"/>
      <c r="J33" s="303"/>
      <c r="K33" s="303"/>
      <c r="L33" s="303"/>
      <c r="M33" s="303"/>
      <c r="N33" s="303"/>
      <c r="O33" s="303"/>
      <c r="P33" s="303"/>
      <c r="Q33" s="303"/>
      <c r="R33" s="303"/>
      <c r="S33" s="303"/>
      <c r="T33" s="303"/>
      <c r="U33" s="303"/>
      <c r="V33" s="303"/>
      <c r="W33" s="303"/>
      <c r="X33" s="303"/>
      <c r="Y33" s="303"/>
      <c r="Z33" s="303"/>
    </row>
    <row r="34" spans="1:26" x14ac:dyDescent="0.2">
      <c r="A34" s="303"/>
      <c r="B34" s="303"/>
      <c r="C34" s="303"/>
      <c r="D34" s="303" t="s">
        <v>104</v>
      </c>
      <c r="E34" s="303">
        <v>0</v>
      </c>
      <c r="F34" s="303">
        <v>4</v>
      </c>
      <c r="G34" s="303">
        <v>0</v>
      </c>
      <c r="H34" s="303"/>
      <c r="I34" s="303"/>
      <c r="J34" s="303"/>
      <c r="K34" s="303"/>
      <c r="L34" s="303"/>
      <c r="M34" s="303"/>
      <c r="N34" s="303"/>
      <c r="O34" s="303"/>
      <c r="P34" s="303"/>
      <c r="Q34" s="303"/>
      <c r="R34" s="303"/>
      <c r="S34" s="303"/>
      <c r="T34" s="303"/>
      <c r="U34" s="303"/>
      <c r="V34" s="303"/>
      <c r="W34" s="303"/>
      <c r="X34" s="303"/>
      <c r="Y34" s="303"/>
      <c r="Z34" s="303"/>
    </row>
    <row r="35" spans="1:26" x14ac:dyDescent="0.2">
      <c r="A35" s="303"/>
      <c r="B35" s="303"/>
      <c r="C35" s="303"/>
      <c r="D35" s="303" t="s">
        <v>105</v>
      </c>
      <c r="E35" s="303">
        <v>0</v>
      </c>
      <c r="F35" s="303">
        <v>0</v>
      </c>
      <c r="G35" s="303">
        <v>2</v>
      </c>
      <c r="H35" s="303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Y35" s="303"/>
      <c r="Z35" s="303"/>
    </row>
    <row r="36" spans="1:26" x14ac:dyDescent="0.2">
      <c r="A36" s="303"/>
      <c r="B36" s="303"/>
      <c r="C36" s="303"/>
      <c r="D36" s="303" t="s">
        <v>52</v>
      </c>
      <c r="E36" s="303">
        <v>0</v>
      </c>
      <c r="F36" s="303">
        <v>0</v>
      </c>
      <c r="G36" s="303">
        <v>2</v>
      </c>
      <c r="H36" s="303"/>
      <c r="I36" s="303"/>
      <c r="J36" s="303"/>
      <c r="K36" s="303"/>
      <c r="L36" s="303"/>
      <c r="M36" s="303"/>
      <c r="N36" s="303"/>
      <c r="O36" s="303"/>
      <c r="P36" s="303"/>
      <c r="Q36" s="303"/>
      <c r="R36" s="303"/>
      <c r="S36" s="303"/>
      <c r="T36" s="303"/>
      <c r="U36" s="303"/>
      <c r="V36" s="303"/>
      <c r="W36" s="303"/>
      <c r="X36" s="303"/>
      <c r="Y36" s="303"/>
      <c r="Z36" s="303"/>
    </row>
    <row r="37" spans="1:26" x14ac:dyDescent="0.2">
      <c r="A37" s="303"/>
      <c r="B37" s="303"/>
      <c r="C37" s="303"/>
      <c r="D37" s="303" t="s">
        <v>104</v>
      </c>
      <c r="E37" s="303">
        <v>0</v>
      </c>
      <c r="F37" s="303">
        <v>0</v>
      </c>
      <c r="G37" s="303">
        <v>2</v>
      </c>
      <c r="H37" s="303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Y37" s="303"/>
      <c r="Z37" s="303"/>
    </row>
    <row r="38" spans="1:26" x14ac:dyDescent="0.2">
      <c r="A38" s="303"/>
      <c r="B38" s="303"/>
      <c r="C38" s="303"/>
      <c r="D38" s="303" t="s">
        <v>104</v>
      </c>
      <c r="E38" s="303">
        <v>4</v>
      </c>
      <c r="F38" s="303">
        <v>0</v>
      </c>
      <c r="G38" s="303">
        <v>0</v>
      </c>
      <c r="H38" s="303"/>
      <c r="I38" s="303"/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3"/>
      <c r="Y38" s="303"/>
      <c r="Z38" s="303"/>
    </row>
    <row r="39" spans="1:26" x14ac:dyDescent="0.2">
      <c r="A39" s="303"/>
      <c r="B39" s="303"/>
      <c r="C39" s="303"/>
      <c r="D39" s="303" t="s">
        <v>52</v>
      </c>
      <c r="E39" s="303">
        <v>0</v>
      </c>
      <c r="F39" s="303">
        <v>0</v>
      </c>
      <c r="G39" s="303">
        <v>2</v>
      </c>
      <c r="H39" s="303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Y39" s="303"/>
      <c r="Z39" s="303"/>
    </row>
    <row r="40" spans="1:26" x14ac:dyDescent="0.2">
      <c r="A40" s="303"/>
      <c r="B40" s="303"/>
      <c r="C40" s="303"/>
      <c r="D40" s="303" t="s">
        <v>105</v>
      </c>
      <c r="E40" s="303">
        <v>0</v>
      </c>
      <c r="F40" s="303">
        <v>0</v>
      </c>
      <c r="G40" s="303">
        <v>4</v>
      </c>
      <c r="H40" s="303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Y40" s="303"/>
      <c r="Z40" s="303"/>
    </row>
    <row r="41" spans="1:26" x14ac:dyDescent="0.2">
      <c r="A41" s="303"/>
      <c r="B41" s="303"/>
      <c r="C41" s="303"/>
      <c r="D41" s="303" t="s">
        <v>52</v>
      </c>
      <c r="E41" s="303">
        <v>0</v>
      </c>
      <c r="F41" s="303">
        <v>0</v>
      </c>
      <c r="G41" s="303">
        <v>0</v>
      </c>
      <c r="H41" s="303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Y41" s="303"/>
      <c r="Z41" s="303"/>
    </row>
    <row r="42" spans="1:26" x14ac:dyDescent="0.2">
      <c r="A42" s="303"/>
      <c r="B42" s="303"/>
      <c r="C42" s="303"/>
      <c r="D42" s="303" t="s">
        <v>52</v>
      </c>
      <c r="E42" s="303">
        <v>0</v>
      </c>
      <c r="F42" s="303">
        <v>2</v>
      </c>
      <c r="G42" s="303">
        <v>0</v>
      </c>
      <c r="H42" s="303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Y42" s="303"/>
      <c r="Z42" s="303"/>
    </row>
    <row r="43" spans="1:26" x14ac:dyDescent="0.2">
      <c r="A43" s="303"/>
      <c r="B43" s="303"/>
      <c r="C43" s="303"/>
      <c r="D43" s="303" t="s">
        <v>52</v>
      </c>
      <c r="E43" s="303">
        <v>0</v>
      </c>
      <c r="F43" s="303">
        <v>4</v>
      </c>
      <c r="G43" s="303">
        <v>0</v>
      </c>
      <c r="H43" s="303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Y43" s="303"/>
      <c r="Z43" s="303"/>
    </row>
    <row r="44" spans="1:26" x14ac:dyDescent="0.2">
      <c r="A44" s="303"/>
      <c r="B44" s="303"/>
      <c r="C44" s="303"/>
      <c r="D44" s="303" t="s">
        <v>52</v>
      </c>
      <c r="E44" s="303">
        <v>2</v>
      </c>
      <c r="F44" s="303">
        <v>0</v>
      </c>
      <c r="G44" s="303">
        <v>0</v>
      </c>
      <c r="H44" s="303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Y44" s="303"/>
      <c r="Z44" s="303"/>
    </row>
    <row r="45" spans="1:26" x14ac:dyDescent="0.2">
      <c r="A45" s="303"/>
      <c r="B45" s="303"/>
      <c r="C45" s="303"/>
      <c r="D45" s="303" t="s">
        <v>52</v>
      </c>
      <c r="E45" s="303">
        <v>0</v>
      </c>
      <c r="F45" s="303">
        <v>0</v>
      </c>
      <c r="G45" s="303">
        <v>2</v>
      </c>
      <c r="H45" s="303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Y45" s="303"/>
      <c r="Z45" s="303"/>
    </row>
    <row r="46" spans="1:26" x14ac:dyDescent="0.2">
      <c r="A46" s="303"/>
      <c r="B46" s="303"/>
      <c r="C46" s="303"/>
      <c r="D46" s="303" t="s">
        <v>105</v>
      </c>
      <c r="E46" s="303">
        <v>0</v>
      </c>
      <c r="F46" s="303">
        <v>0</v>
      </c>
      <c r="G46" s="303">
        <v>2</v>
      </c>
      <c r="H46" s="303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Y46" s="303"/>
      <c r="Z46" s="303"/>
    </row>
    <row r="47" spans="1:26" x14ac:dyDescent="0.2">
      <c r="A47" s="303"/>
      <c r="B47" s="303"/>
      <c r="C47" s="303"/>
      <c r="D47" s="303" t="s">
        <v>52</v>
      </c>
      <c r="E47" s="303">
        <v>4</v>
      </c>
      <c r="F47" s="303">
        <v>0</v>
      </c>
      <c r="G47" s="303">
        <v>0</v>
      </c>
      <c r="H47" s="303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Y47" s="303"/>
      <c r="Z47" s="303"/>
    </row>
    <row r="48" spans="1:26" x14ac:dyDescent="0.2">
      <c r="A48" s="303"/>
      <c r="B48" s="303"/>
      <c r="C48" s="303"/>
      <c r="D48" s="303" t="s">
        <v>104</v>
      </c>
      <c r="E48" s="303">
        <v>4</v>
      </c>
      <c r="F48" s="303">
        <v>0</v>
      </c>
      <c r="G48" s="303">
        <v>0</v>
      </c>
      <c r="H48" s="303"/>
      <c r="I48" s="303"/>
      <c r="J48" s="303"/>
      <c r="K48" s="303"/>
      <c r="L48" s="303"/>
      <c r="M48" s="303"/>
      <c r="N48" s="303"/>
      <c r="O48" s="303"/>
      <c r="P48" s="303"/>
      <c r="Q48" s="303"/>
      <c r="R48" s="303"/>
      <c r="S48" s="303"/>
      <c r="T48" s="303"/>
      <c r="U48" s="303"/>
      <c r="V48" s="303"/>
      <c r="W48" s="303"/>
      <c r="X48" s="303"/>
      <c r="Y48" s="303"/>
      <c r="Z48" s="303"/>
    </row>
    <row r="49" spans="1:26" x14ac:dyDescent="0.2">
      <c r="A49" s="303"/>
      <c r="B49" s="303"/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Y49" s="303"/>
      <c r="Z49" s="303"/>
    </row>
    <row r="50" spans="1:26" x14ac:dyDescent="0.2">
      <c r="A50" s="303"/>
      <c r="B50" s="303"/>
      <c r="C50" s="303"/>
      <c r="D50" s="303"/>
      <c r="E50" s="303"/>
      <c r="F50" s="303"/>
      <c r="G50" s="303"/>
      <c r="H50" s="303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Y50" s="303"/>
      <c r="Z50" s="303"/>
    </row>
    <row r="51" spans="1:26" x14ac:dyDescent="0.2">
      <c r="A51" s="303"/>
      <c r="B51" s="303"/>
      <c r="C51" s="303"/>
      <c r="D51" s="303"/>
      <c r="E51" s="303"/>
      <c r="F51" s="303"/>
      <c r="G51" s="303"/>
      <c r="H51" s="303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Y51" s="303"/>
      <c r="Z51" s="303"/>
    </row>
    <row r="52" spans="1:26" x14ac:dyDescent="0.2">
      <c r="A52" s="303"/>
      <c r="B52" s="303"/>
      <c r="C52" s="303"/>
      <c r="D52" s="303"/>
      <c r="E52" s="303"/>
      <c r="F52" s="303"/>
      <c r="G52" s="303"/>
      <c r="H52" s="303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Y52" s="303"/>
      <c r="Z52" s="303"/>
    </row>
    <row r="53" spans="1:26" x14ac:dyDescent="0.2">
      <c r="A53" s="303"/>
      <c r="B53" s="303"/>
      <c r="C53" s="303"/>
      <c r="D53" s="303"/>
      <c r="E53" s="303"/>
      <c r="F53" s="303"/>
      <c r="G53" s="303"/>
      <c r="H53" s="303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Y53" s="303"/>
      <c r="Z53" s="303"/>
    </row>
    <row r="54" spans="1:26" x14ac:dyDescent="0.2">
      <c r="A54" s="303"/>
      <c r="B54" s="303"/>
      <c r="C54" s="303"/>
      <c r="D54" s="303"/>
      <c r="E54" s="303"/>
      <c r="F54" s="303"/>
      <c r="G54" s="303"/>
      <c r="H54" s="303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Y54" s="303"/>
      <c r="Z54" s="303"/>
    </row>
    <row r="55" spans="1:26" x14ac:dyDescent="0.2">
      <c r="A55" s="303"/>
      <c r="B55" s="303"/>
      <c r="C55" s="303"/>
      <c r="D55" s="303"/>
      <c r="E55" s="303"/>
      <c r="F55" s="303"/>
      <c r="G55" s="303"/>
      <c r="H55" s="303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Y55" s="303"/>
      <c r="Z55" s="303"/>
    </row>
    <row r="56" spans="1:26" x14ac:dyDescent="0.2">
      <c r="A56" s="303"/>
      <c r="B56" s="303"/>
      <c r="C56" s="303"/>
      <c r="D56" s="303"/>
      <c r="E56" s="303"/>
      <c r="F56" s="303"/>
      <c r="G56" s="303"/>
      <c r="H56" s="303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Y56" s="303"/>
      <c r="Z56" s="303"/>
    </row>
    <row r="57" spans="1:26" x14ac:dyDescent="0.2">
      <c r="A57" s="303"/>
      <c r="B57" s="303"/>
      <c r="C57" s="303"/>
      <c r="D57" s="303"/>
      <c r="E57" s="303"/>
      <c r="F57" s="303"/>
      <c r="G57" s="303"/>
      <c r="H57" s="303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Y57" s="303"/>
      <c r="Z57" s="303"/>
    </row>
    <row r="58" spans="1:26" x14ac:dyDescent="0.2">
      <c r="A58" s="303"/>
      <c r="B58" s="303"/>
      <c r="C58" s="303"/>
      <c r="D58" s="303"/>
      <c r="E58" s="303"/>
      <c r="F58" s="303"/>
      <c r="G58" s="303"/>
      <c r="H58" s="303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Y58" s="303"/>
      <c r="Z58" s="303"/>
    </row>
    <row r="59" spans="1:26" x14ac:dyDescent="0.2">
      <c r="A59" s="303"/>
      <c r="B59" s="303"/>
      <c r="C59" s="303"/>
      <c r="D59" s="303"/>
      <c r="E59" s="303"/>
      <c r="F59" s="303"/>
      <c r="G59" s="303"/>
      <c r="H59" s="303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Y59" s="303"/>
      <c r="Z59" s="303"/>
    </row>
    <row r="60" spans="1:26" x14ac:dyDescent="0.2">
      <c r="A60" s="303"/>
      <c r="B60" s="303"/>
      <c r="C60" s="303"/>
      <c r="D60" s="303"/>
      <c r="E60" s="303"/>
      <c r="F60" s="303"/>
      <c r="G60" s="303"/>
      <c r="H60" s="303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Y60" s="303"/>
      <c r="Z60" s="303"/>
    </row>
    <row r="61" spans="1:26" x14ac:dyDescent="0.2">
      <c r="A61" s="303"/>
      <c r="B61" s="303"/>
      <c r="C61" s="303"/>
      <c r="D61" s="303"/>
      <c r="E61" s="303"/>
      <c r="F61" s="303"/>
      <c r="G61" s="303"/>
      <c r="H61" s="303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Y61" s="303"/>
      <c r="Z61" s="303"/>
    </row>
    <row r="62" spans="1:26" x14ac:dyDescent="0.2">
      <c r="A62" s="303"/>
      <c r="B62" s="303"/>
      <c r="C62" s="303"/>
      <c r="D62" s="303"/>
      <c r="E62" s="303"/>
      <c r="F62" s="303"/>
      <c r="G62" s="303"/>
      <c r="H62" s="303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Y62" s="303"/>
      <c r="Z62" s="303"/>
    </row>
    <row r="63" spans="1:26" x14ac:dyDescent="0.2">
      <c r="A63" s="303"/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Y63" s="303"/>
      <c r="Z63" s="303"/>
    </row>
    <row r="64" spans="1:26" x14ac:dyDescent="0.2">
      <c r="A64" s="303"/>
      <c r="B64" s="303"/>
      <c r="C64" s="303"/>
      <c r="D64" s="303"/>
      <c r="E64" s="303"/>
      <c r="F64" s="303"/>
      <c r="G64" s="303"/>
      <c r="H64" s="303"/>
      <c r="I64" s="303"/>
      <c r="J64" s="303"/>
      <c r="K64" s="303"/>
      <c r="L64" s="303"/>
      <c r="M64" s="303"/>
      <c r="N64" s="303"/>
      <c r="O64" s="303"/>
      <c r="P64" s="303"/>
      <c r="Q64" s="303"/>
      <c r="R64" s="303"/>
      <c r="S64" s="303"/>
      <c r="T64" s="303"/>
      <c r="U64" s="303"/>
      <c r="V64" s="303"/>
      <c r="W64" s="303"/>
      <c r="X64" s="303"/>
      <c r="Y64" s="303"/>
      <c r="Z64" s="303"/>
    </row>
    <row r="65" spans="1:26" x14ac:dyDescent="0.2">
      <c r="A65" s="303"/>
      <c r="B65" s="303"/>
      <c r="C65" s="303"/>
      <c r="D65" s="303"/>
      <c r="E65" s="303"/>
      <c r="F65" s="303"/>
      <c r="G65" s="303"/>
      <c r="H65" s="303"/>
      <c r="I65" s="303"/>
      <c r="J65" s="303"/>
      <c r="K65" s="303"/>
      <c r="L65" s="303"/>
      <c r="M65" s="303"/>
      <c r="N65" s="303"/>
      <c r="O65" s="303"/>
      <c r="P65" s="303"/>
      <c r="Q65" s="303"/>
      <c r="R65" s="303"/>
      <c r="S65" s="303"/>
      <c r="T65" s="303"/>
      <c r="U65" s="303"/>
      <c r="V65" s="303"/>
      <c r="W65" s="303"/>
      <c r="X65" s="303"/>
      <c r="Y65" s="303"/>
      <c r="Z65" s="303"/>
    </row>
    <row r="66" spans="1:26" x14ac:dyDescent="0.2">
      <c r="A66" s="303"/>
      <c r="B66" s="303"/>
      <c r="C66" s="303"/>
      <c r="D66" s="303"/>
      <c r="E66" s="303"/>
      <c r="F66" s="303"/>
      <c r="G66" s="303"/>
      <c r="H66" s="303"/>
      <c r="I66" s="303"/>
      <c r="J66" s="303"/>
      <c r="K66" s="303"/>
      <c r="L66" s="303"/>
      <c r="M66" s="303"/>
      <c r="N66" s="303"/>
      <c r="O66" s="303"/>
      <c r="P66" s="303"/>
      <c r="Q66" s="303"/>
      <c r="R66" s="303"/>
      <c r="S66" s="303"/>
      <c r="T66" s="303"/>
      <c r="U66" s="303"/>
      <c r="V66" s="303"/>
      <c r="W66" s="303"/>
      <c r="X66" s="303"/>
      <c r="Y66" s="303"/>
      <c r="Z66" s="303"/>
    </row>
    <row r="67" spans="1:26" x14ac:dyDescent="0.2">
      <c r="A67" s="303"/>
      <c r="B67" s="303"/>
      <c r="C67" s="303"/>
      <c r="D67" s="303"/>
      <c r="E67" s="303"/>
      <c r="F67" s="303"/>
      <c r="G67" s="303"/>
      <c r="H67" s="303"/>
      <c r="I67" s="303"/>
      <c r="J67" s="303"/>
      <c r="K67" s="303"/>
      <c r="L67" s="303"/>
      <c r="M67" s="303"/>
      <c r="N67" s="303"/>
      <c r="O67" s="303"/>
      <c r="P67" s="303"/>
      <c r="Q67" s="303"/>
      <c r="R67" s="303"/>
      <c r="S67" s="303"/>
      <c r="T67" s="303"/>
      <c r="U67" s="303"/>
      <c r="V67" s="303"/>
      <c r="W67" s="303"/>
      <c r="X67" s="303"/>
      <c r="Y67" s="303"/>
      <c r="Z67" s="303"/>
    </row>
    <row r="68" spans="1:26" x14ac:dyDescent="0.2">
      <c r="A68" s="303"/>
      <c r="B68" s="303"/>
      <c r="C68" s="303"/>
      <c r="D68" s="303"/>
      <c r="E68" s="303"/>
      <c r="F68" s="303"/>
      <c r="G68" s="303"/>
      <c r="H68" s="303"/>
      <c r="I68" s="303"/>
      <c r="J68" s="303"/>
      <c r="K68" s="303"/>
      <c r="L68" s="303"/>
      <c r="M68" s="303"/>
      <c r="N68" s="303"/>
      <c r="O68" s="303"/>
      <c r="P68" s="303"/>
      <c r="Q68" s="303"/>
      <c r="R68" s="303"/>
      <c r="S68" s="303"/>
      <c r="T68" s="303"/>
      <c r="U68" s="303"/>
      <c r="V68" s="303"/>
      <c r="W68" s="303"/>
      <c r="X68" s="303"/>
      <c r="Y68" s="303"/>
      <c r="Z68" s="303"/>
    </row>
    <row r="69" spans="1:26" x14ac:dyDescent="0.2">
      <c r="A69" s="303"/>
      <c r="B69" s="303"/>
      <c r="C69" s="303"/>
      <c r="D69" s="303"/>
      <c r="E69" s="303"/>
      <c r="F69" s="303"/>
      <c r="G69" s="303"/>
      <c r="H69" s="303"/>
      <c r="I69" s="303"/>
      <c r="J69" s="303"/>
      <c r="K69" s="303"/>
      <c r="L69" s="303"/>
      <c r="M69" s="303"/>
      <c r="N69" s="303"/>
      <c r="O69" s="303"/>
      <c r="P69" s="303"/>
      <c r="Q69" s="303"/>
      <c r="R69" s="303"/>
      <c r="S69" s="303"/>
      <c r="T69" s="303"/>
      <c r="U69" s="303"/>
      <c r="V69" s="303"/>
      <c r="W69" s="303"/>
      <c r="X69" s="303"/>
      <c r="Y69" s="303"/>
      <c r="Z69" s="303"/>
    </row>
    <row r="70" spans="1:26" x14ac:dyDescent="0.2">
      <c r="A70" s="303"/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3"/>
      <c r="M70" s="303"/>
      <c r="N70" s="303"/>
      <c r="O70" s="303"/>
      <c r="P70" s="303"/>
      <c r="Q70" s="303"/>
      <c r="R70" s="303"/>
      <c r="S70" s="303"/>
      <c r="T70" s="303"/>
      <c r="U70" s="303"/>
      <c r="V70" s="303"/>
      <c r="W70" s="303"/>
      <c r="X70" s="303"/>
      <c r="Y70" s="303"/>
      <c r="Z70" s="303"/>
    </row>
    <row r="71" spans="1:26" x14ac:dyDescent="0.2">
      <c r="A71" s="303"/>
      <c r="B71" s="303"/>
      <c r="C71" s="303"/>
      <c r="D71" s="303"/>
      <c r="E71" s="303"/>
      <c r="F71" s="303"/>
      <c r="G71" s="303"/>
      <c r="H71" s="303"/>
      <c r="I71" s="303"/>
      <c r="J71" s="303"/>
      <c r="K71" s="303"/>
      <c r="L71" s="303"/>
      <c r="M71" s="303"/>
      <c r="N71" s="303"/>
      <c r="O71" s="303"/>
      <c r="P71" s="303"/>
      <c r="Q71" s="303"/>
      <c r="R71" s="303"/>
      <c r="S71" s="303"/>
      <c r="T71" s="303"/>
      <c r="U71" s="303"/>
      <c r="V71" s="303"/>
      <c r="W71" s="303"/>
      <c r="X71" s="303"/>
      <c r="Y71" s="303"/>
      <c r="Z71" s="303"/>
    </row>
    <row r="72" spans="1:26" x14ac:dyDescent="0.2">
      <c r="A72" s="303"/>
      <c r="B72" s="303"/>
      <c r="C72" s="303"/>
      <c r="D72" s="303"/>
      <c r="E72" s="303"/>
      <c r="F72" s="303"/>
      <c r="G72" s="303"/>
      <c r="H72" s="303"/>
      <c r="I72" s="303"/>
      <c r="J72" s="303"/>
      <c r="K72" s="303"/>
      <c r="L72" s="303"/>
      <c r="M72" s="303"/>
      <c r="N72" s="303"/>
      <c r="O72" s="303"/>
      <c r="P72" s="303"/>
      <c r="Q72" s="303"/>
      <c r="R72" s="303"/>
      <c r="S72" s="303"/>
      <c r="T72" s="303"/>
      <c r="U72" s="303"/>
      <c r="V72" s="303"/>
      <c r="W72" s="303"/>
      <c r="X72" s="303"/>
      <c r="Y72" s="303"/>
      <c r="Z72" s="303"/>
    </row>
    <row r="73" spans="1:26" x14ac:dyDescent="0.2">
      <c r="A73" s="303"/>
      <c r="B73" s="303"/>
      <c r="C73" s="303"/>
      <c r="D73" s="303"/>
      <c r="E73" s="303"/>
      <c r="F73" s="303"/>
      <c r="G73" s="303"/>
      <c r="H73" s="303"/>
      <c r="I73" s="303"/>
      <c r="J73" s="303"/>
      <c r="K73" s="303"/>
      <c r="L73" s="303"/>
      <c r="M73" s="303"/>
      <c r="N73" s="303"/>
      <c r="O73" s="303"/>
      <c r="P73" s="303"/>
      <c r="Q73" s="303"/>
      <c r="R73" s="303"/>
      <c r="S73" s="303"/>
      <c r="T73" s="303"/>
      <c r="U73" s="303"/>
      <c r="V73" s="303"/>
      <c r="W73" s="303"/>
      <c r="X73" s="303"/>
      <c r="Y73" s="303"/>
      <c r="Z73" s="303"/>
    </row>
    <row r="74" spans="1:26" x14ac:dyDescent="0.2">
      <c r="A74" s="303"/>
      <c r="B74" s="303"/>
      <c r="C74" s="303"/>
      <c r="D74" s="303"/>
      <c r="E74" s="303"/>
      <c r="F74" s="303"/>
      <c r="G74" s="303"/>
      <c r="H74" s="303"/>
      <c r="I74" s="303"/>
      <c r="J74" s="303"/>
      <c r="K74" s="303"/>
      <c r="L74" s="303"/>
      <c r="M74" s="303"/>
      <c r="N74" s="303"/>
      <c r="O74" s="303"/>
      <c r="P74" s="303"/>
      <c r="Q74" s="303"/>
      <c r="R74" s="303"/>
      <c r="S74" s="303"/>
      <c r="T74" s="303"/>
      <c r="U74" s="303"/>
      <c r="V74" s="303"/>
      <c r="W74" s="303"/>
      <c r="X74" s="303"/>
      <c r="Y74" s="303"/>
      <c r="Z74" s="303"/>
    </row>
    <row r="75" spans="1:26" x14ac:dyDescent="0.2">
      <c r="A75" s="303"/>
      <c r="B75" s="303"/>
      <c r="C75" s="303"/>
      <c r="D75" s="303"/>
      <c r="E75" s="303"/>
      <c r="F75" s="303"/>
      <c r="G75" s="303"/>
      <c r="H75" s="303"/>
      <c r="I75" s="303"/>
      <c r="J75" s="303"/>
      <c r="K75" s="303"/>
      <c r="L75" s="303"/>
      <c r="M75" s="303"/>
      <c r="N75" s="303"/>
      <c r="O75" s="303"/>
      <c r="P75" s="303"/>
      <c r="Q75" s="303"/>
      <c r="R75" s="303"/>
      <c r="S75" s="303"/>
      <c r="T75" s="303"/>
      <c r="U75" s="303"/>
      <c r="V75" s="303"/>
      <c r="W75" s="303"/>
      <c r="X75" s="303"/>
      <c r="Y75" s="303"/>
      <c r="Z75" s="303"/>
    </row>
    <row r="76" spans="1:26" x14ac:dyDescent="0.2">
      <c r="A76" s="303"/>
      <c r="B76" s="303"/>
      <c r="C76" s="303"/>
      <c r="D76" s="303"/>
      <c r="E76" s="303"/>
      <c r="F76" s="303"/>
      <c r="G76" s="303"/>
      <c r="H76" s="303"/>
      <c r="I76" s="303"/>
      <c r="J76" s="303"/>
      <c r="K76" s="303"/>
      <c r="L76" s="303"/>
      <c r="M76" s="303"/>
      <c r="N76" s="303"/>
      <c r="O76" s="303"/>
      <c r="P76" s="303"/>
      <c r="Q76" s="303"/>
      <c r="R76" s="303"/>
      <c r="S76" s="303"/>
      <c r="T76" s="303"/>
      <c r="U76" s="303"/>
      <c r="V76" s="303"/>
      <c r="W76" s="303"/>
      <c r="X76" s="303"/>
      <c r="Y76" s="303"/>
      <c r="Z76" s="303"/>
    </row>
    <row r="77" spans="1:26" x14ac:dyDescent="0.2">
      <c r="A77" s="303"/>
      <c r="B77" s="303"/>
      <c r="C77" s="303"/>
      <c r="D77" s="303"/>
      <c r="E77" s="303"/>
      <c r="F77" s="303"/>
      <c r="G77" s="303"/>
      <c r="H77" s="303"/>
      <c r="I77" s="303"/>
      <c r="J77" s="303"/>
      <c r="K77" s="303"/>
      <c r="L77" s="303"/>
      <c r="M77" s="303"/>
      <c r="N77" s="303"/>
      <c r="O77" s="303"/>
      <c r="P77" s="303"/>
      <c r="Q77" s="303"/>
      <c r="R77" s="303"/>
      <c r="S77" s="303"/>
      <c r="T77" s="303"/>
      <c r="U77" s="303"/>
      <c r="V77" s="303"/>
      <c r="W77" s="303"/>
      <c r="X77" s="303"/>
      <c r="Y77" s="303"/>
      <c r="Z77" s="303"/>
    </row>
    <row r="78" spans="1:26" x14ac:dyDescent="0.2">
      <c r="A78" s="303"/>
      <c r="B78" s="303"/>
      <c r="C78" s="303"/>
      <c r="D78" s="303"/>
      <c r="E78" s="303"/>
      <c r="F78" s="303"/>
      <c r="G78" s="303"/>
      <c r="H78" s="303"/>
      <c r="I78" s="303"/>
      <c r="J78" s="303"/>
      <c r="K78" s="303"/>
      <c r="L78" s="303"/>
      <c r="M78" s="303"/>
      <c r="N78" s="303"/>
      <c r="O78" s="303"/>
      <c r="P78" s="303"/>
      <c r="Q78" s="303"/>
      <c r="R78" s="303"/>
      <c r="S78" s="303"/>
      <c r="T78" s="303"/>
      <c r="U78" s="303"/>
      <c r="V78" s="303"/>
      <c r="W78" s="303"/>
      <c r="X78" s="303"/>
      <c r="Y78" s="303"/>
      <c r="Z78" s="303"/>
    </row>
    <row r="79" spans="1:26" x14ac:dyDescent="0.2">
      <c r="A79" s="303"/>
      <c r="B79" s="303"/>
      <c r="C79" s="303"/>
      <c r="D79" s="303"/>
      <c r="E79" s="303"/>
      <c r="F79" s="303"/>
      <c r="G79" s="303"/>
      <c r="H79" s="303"/>
      <c r="I79" s="303"/>
      <c r="J79" s="303"/>
      <c r="K79" s="303"/>
      <c r="L79" s="303"/>
      <c r="M79" s="303"/>
      <c r="N79" s="303"/>
      <c r="O79" s="303"/>
      <c r="P79" s="303"/>
      <c r="Q79" s="303"/>
      <c r="R79" s="303"/>
      <c r="S79" s="303"/>
      <c r="T79" s="303"/>
      <c r="U79" s="303"/>
      <c r="V79" s="303"/>
      <c r="W79" s="303"/>
      <c r="X79" s="303"/>
      <c r="Y79" s="303"/>
      <c r="Z79" s="303"/>
    </row>
    <row r="80" spans="1:26" x14ac:dyDescent="0.2">
      <c r="A80" s="303"/>
      <c r="B80" s="303"/>
      <c r="C80" s="303"/>
      <c r="D80" s="303"/>
      <c r="E80" s="303"/>
      <c r="F80" s="303"/>
      <c r="G80" s="303"/>
      <c r="H80" s="303"/>
      <c r="I80" s="303"/>
      <c r="J80" s="303"/>
      <c r="K80" s="303"/>
      <c r="L80" s="303"/>
      <c r="M80" s="303"/>
      <c r="N80" s="303"/>
      <c r="O80" s="303"/>
      <c r="P80" s="303"/>
      <c r="Q80" s="303"/>
      <c r="R80" s="303"/>
      <c r="S80" s="303"/>
      <c r="T80" s="303"/>
      <c r="U80" s="303"/>
      <c r="V80" s="303"/>
      <c r="W80" s="303"/>
      <c r="X80" s="303"/>
      <c r="Y80" s="303"/>
      <c r="Z80" s="303"/>
    </row>
    <row r="81" spans="1:26" x14ac:dyDescent="0.2">
      <c r="A81" s="303"/>
      <c r="B81" s="303"/>
      <c r="C81" s="303"/>
      <c r="D81" s="303"/>
      <c r="E81" s="303"/>
      <c r="F81" s="303"/>
      <c r="G81" s="303"/>
      <c r="H81" s="303"/>
      <c r="I81" s="303"/>
      <c r="J81" s="303"/>
      <c r="K81" s="303"/>
      <c r="L81" s="303"/>
      <c r="M81" s="303"/>
      <c r="N81" s="303"/>
      <c r="O81" s="303"/>
      <c r="P81" s="303"/>
      <c r="Q81" s="303"/>
      <c r="R81" s="303"/>
      <c r="S81" s="303"/>
      <c r="T81" s="303"/>
      <c r="U81" s="303"/>
      <c r="V81" s="303"/>
      <c r="W81" s="303"/>
      <c r="X81" s="303"/>
      <c r="Y81" s="303"/>
      <c r="Z81" s="303"/>
    </row>
    <row r="82" spans="1:26" x14ac:dyDescent="0.2">
      <c r="A82" s="303"/>
      <c r="B82" s="303"/>
      <c r="C82" s="303"/>
      <c r="D82" s="303"/>
      <c r="E82" s="303"/>
      <c r="F82" s="303"/>
      <c r="G82" s="303"/>
      <c r="H82" s="303"/>
      <c r="I82" s="303"/>
      <c r="J82" s="303"/>
      <c r="K82" s="303"/>
      <c r="L82" s="303"/>
      <c r="M82" s="303"/>
      <c r="N82" s="303"/>
      <c r="O82" s="303"/>
      <c r="P82" s="303"/>
      <c r="Q82" s="303"/>
      <c r="R82" s="303"/>
      <c r="S82" s="303"/>
      <c r="T82" s="303"/>
      <c r="U82" s="303"/>
      <c r="V82" s="303"/>
      <c r="W82" s="303"/>
      <c r="X82" s="303"/>
      <c r="Y82" s="303"/>
      <c r="Z82" s="303"/>
    </row>
    <row r="83" spans="1:26" x14ac:dyDescent="0.2">
      <c r="A83" s="303"/>
      <c r="B83" s="303"/>
      <c r="C83" s="303"/>
      <c r="D83" s="303"/>
      <c r="E83" s="303"/>
      <c r="F83" s="303"/>
      <c r="G83" s="303"/>
      <c r="H83" s="303"/>
      <c r="I83" s="303"/>
      <c r="J83" s="303"/>
      <c r="K83" s="303"/>
      <c r="L83" s="303"/>
      <c r="M83" s="303"/>
      <c r="N83" s="303"/>
      <c r="O83" s="303"/>
      <c r="P83" s="303"/>
      <c r="Q83" s="303"/>
      <c r="R83" s="303"/>
      <c r="S83" s="303"/>
      <c r="T83" s="303"/>
      <c r="U83" s="303"/>
      <c r="V83" s="303"/>
      <c r="W83" s="303"/>
      <c r="X83" s="303"/>
      <c r="Y83" s="303"/>
      <c r="Z83" s="303"/>
    </row>
    <row r="84" spans="1:26" x14ac:dyDescent="0.2">
      <c r="A84" s="303"/>
      <c r="B84" s="303"/>
      <c r="C84" s="303"/>
      <c r="D84" s="303"/>
      <c r="E84" s="303"/>
      <c r="F84" s="303"/>
      <c r="G84" s="303"/>
      <c r="H84" s="303"/>
      <c r="I84" s="303"/>
      <c r="J84" s="303"/>
      <c r="K84" s="303"/>
      <c r="L84" s="303"/>
      <c r="M84" s="303"/>
      <c r="N84" s="303"/>
      <c r="O84" s="303"/>
      <c r="P84" s="303"/>
      <c r="Q84" s="303"/>
      <c r="R84" s="303"/>
      <c r="S84" s="303"/>
      <c r="T84" s="303"/>
      <c r="U84" s="303"/>
      <c r="V84" s="303"/>
      <c r="W84" s="303"/>
      <c r="X84" s="303"/>
      <c r="Y84" s="303"/>
      <c r="Z84" s="303"/>
    </row>
    <row r="85" spans="1:26" x14ac:dyDescent="0.2">
      <c r="A85" s="303"/>
      <c r="B85" s="303"/>
      <c r="C85" s="303"/>
      <c r="D85" s="303"/>
      <c r="E85" s="303"/>
      <c r="F85" s="303"/>
      <c r="G85" s="303"/>
      <c r="H85" s="303"/>
      <c r="I85" s="303"/>
      <c r="J85" s="303"/>
      <c r="K85" s="303"/>
      <c r="L85" s="303"/>
      <c r="M85" s="303"/>
      <c r="N85" s="303"/>
      <c r="O85" s="303"/>
      <c r="P85" s="303"/>
      <c r="Q85" s="303"/>
      <c r="R85" s="303"/>
      <c r="S85" s="303"/>
      <c r="T85" s="303"/>
      <c r="U85" s="303"/>
      <c r="V85" s="303"/>
      <c r="W85" s="303"/>
      <c r="X85" s="303"/>
      <c r="Y85" s="303"/>
      <c r="Z85" s="303"/>
    </row>
    <row r="86" spans="1:26" x14ac:dyDescent="0.2">
      <c r="A86" s="303"/>
      <c r="B86" s="303"/>
      <c r="C86" s="303"/>
      <c r="D86" s="303"/>
      <c r="E86" s="303"/>
      <c r="F86" s="303"/>
      <c r="G86" s="303"/>
      <c r="H86" s="303"/>
      <c r="I86" s="303"/>
      <c r="J86" s="303"/>
      <c r="K86" s="303"/>
      <c r="L86" s="303"/>
      <c r="M86" s="303"/>
      <c r="N86" s="303"/>
      <c r="O86" s="303"/>
      <c r="P86" s="303"/>
      <c r="Q86" s="303"/>
      <c r="R86" s="303"/>
      <c r="S86" s="303"/>
      <c r="T86" s="303"/>
      <c r="U86" s="303"/>
      <c r="V86" s="303"/>
      <c r="W86" s="303"/>
      <c r="X86" s="303"/>
      <c r="Y86" s="303"/>
      <c r="Z86" s="303"/>
    </row>
    <row r="87" spans="1:26" x14ac:dyDescent="0.2">
      <c r="A87" s="303"/>
      <c r="B87" s="303"/>
      <c r="C87" s="303"/>
      <c r="D87" s="303"/>
      <c r="E87" s="303"/>
      <c r="F87" s="303"/>
      <c r="G87" s="303"/>
      <c r="H87" s="303"/>
      <c r="I87" s="303"/>
      <c r="J87" s="303"/>
      <c r="K87" s="303"/>
      <c r="L87" s="303"/>
      <c r="M87" s="303"/>
      <c r="N87" s="303"/>
      <c r="O87" s="303"/>
      <c r="P87" s="303"/>
      <c r="Q87" s="303"/>
      <c r="R87" s="303"/>
      <c r="S87" s="303"/>
      <c r="T87" s="303"/>
      <c r="U87" s="303"/>
      <c r="V87" s="303"/>
      <c r="W87" s="303"/>
      <c r="X87" s="303"/>
      <c r="Y87" s="303"/>
      <c r="Z87" s="303"/>
    </row>
    <row r="88" spans="1:26" x14ac:dyDescent="0.2">
      <c r="A88" s="303"/>
      <c r="B88" s="303"/>
      <c r="C88" s="303"/>
      <c r="D88" s="303"/>
      <c r="E88" s="303"/>
      <c r="F88" s="303"/>
      <c r="G88" s="303"/>
      <c r="H88" s="303"/>
      <c r="I88" s="303"/>
      <c r="J88" s="303"/>
      <c r="K88" s="303"/>
      <c r="L88" s="303"/>
      <c r="M88" s="303"/>
      <c r="N88" s="303"/>
      <c r="O88" s="303"/>
      <c r="P88" s="303"/>
      <c r="Q88" s="303"/>
      <c r="R88" s="303"/>
      <c r="S88" s="303"/>
      <c r="T88" s="303"/>
      <c r="U88" s="303"/>
      <c r="V88" s="303"/>
      <c r="W88" s="303"/>
      <c r="X88" s="303"/>
      <c r="Y88" s="303"/>
      <c r="Z88" s="303"/>
    </row>
    <row r="89" spans="1:26" x14ac:dyDescent="0.2">
      <c r="A89" s="303"/>
      <c r="B89" s="303"/>
      <c r="C89" s="303"/>
      <c r="D89" s="303"/>
      <c r="E89" s="303"/>
      <c r="F89" s="303"/>
      <c r="G89" s="303"/>
      <c r="H89" s="303"/>
      <c r="I89" s="303"/>
      <c r="J89" s="303"/>
      <c r="K89" s="303"/>
      <c r="L89" s="303"/>
      <c r="M89" s="303"/>
      <c r="N89" s="303"/>
      <c r="O89" s="303"/>
      <c r="P89" s="303"/>
      <c r="Q89" s="303"/>
      <c r="R89" s="303"/>
      <c r="S89" s="303"/>
      <c r="T89" s="303"/>
      <c r="U89" s="303"/>
      <c r="V89" s="303"/>
      <c r="W89" s="303"/>
      <c r="X89" s="303"/>
      <c r="Y89" s="303"/>
      <c r="Z89" s="303"/>
    </row>
    <row r="90" spans="1:26" x14ac:dyDescent="0.2">
      <c r="A90" s="303"/>
      <c r="B90" s="303"/>
      <c r="C90" s="303"/>
      <c r="D90" s="303"/>
      <c r="E90" s="303"/>
      <c r="F90" s="303"/>
      <c r="G90" s="303"/>
      <c r="H90" s="303"/>
      <c r="I90" s="303"/>
      <c r="J90" s="303"/>
      <c r="K90" s="303"/>
      <c r="L90" s="303"/>
      <c r="M90" s="303"/>
      <c r="N90" s="303"/>
      <c r="O90" s="303"/>
      <c r="P90" s="303"/>
      <c r="Q90" s="303"/>
      <c r="R90" s="303"/>
      <c r="S90" s="303"/>
      <c r="T90" s="303"/>
      <c r="U90" s="303"/>
      <c r="V90" s="303"/>
      <c r="W90" s="303"/>
      <c r="X90" s="303"/>
      <c r="Y90" s="303"/>
      <c r="Z90" s="303"/>
    </row>
    <row r="91" spans="1:26" x14ac:dyDescent="0.2">
      <c r="A91" s="303"/>
      <c r="B91" s="303"/>
      <c r="C91" s="303"/>
      <c r="D91" s="303"/>
      <c r="E91" s="303"/>
      <c r="F91" s="303"/>
      <c r="G91" s="303"/>
      <c r="H91" s="303"/>
      <c r="I91" s="303"/>
      <c r="J91" s="303"/>
      <c r="K91" s="303"/>
      <c r="L91" s="303"/>
      <c r="M91" s="303"/>
      <c r="N91" s="303"/>
      <c r="O91" s="303"/>
      <c r="P91" s="303"/>
      <c r="Q91" s="303"/>
      <c r="R91" s="303"/>
      <c r="S91" s="303"/>
      <c r="T91" s="303"/>
      <c r="U91" s="303"/>
      <c r="V91" s="303"/>
      <c r="W91" s="303"/>
      <c r="X91" s="303"/>
      <c r="Y91" s="303"/>
      <c r="Z91" s="303"/>
    </row>
    <row r="92" spans="1:26" x14ac:dyDescent="0.2">
      <c r="A92" s="303"/>
      <c r="B92" s="303"/>
      <c r="C92" s="303"/>
      <c r="D92" s="303"/>
      <c r="E92" s="303"/>
      <c r="F92" s="303"/>
      <c r="G92" s="303"/>
      <c r="H92" s="303"/>
      <c r="I92" s="303"/>
      <c r="J92" s="303"/>
      <c r="K92" s="303"/>
      <c r="L92" s="303"/>
      <c r="M92" s="303"/>
      <c r="N92" s="303"/>
      <c r="O92" s="303"/>
      <c r="P92" s="303"/>
      <c r="Q92" s="303"/>
      <c r="R92" s="303"/>
      <c r="S92" s="303"/>
      <c r="T92" s="303"/>
      <c r="U92" s="303"/>
      <c r="V92" s="303"/>
      <c r="W92" s="303"/>
      <c r="X92" s="303"/>
      <c r="Y92" s="303"/>
      <c r="Z92" s="303"/>
    </row>
    <row r="93" spans="1:26" x14ac:dyDescent="0.2">
      <c r="A93" s="303"/>
      <c r="B93" s="303"/>
      <c r="C93" s="303"/>
      <c r="D93" s="303"/>
      <c r="E93" s="303"/>
      <c r="F93" s="303"/>
      <c r="G93" s="303"/>
      <c r="H93" s="303"/>
      <c r="I93" s="303"/>
      <c r="J93" s="303"/>
      <c r="K93" s="303"/>
      <c r="L93" s="303"/>
      <c r="M93" s="303"/>
      <c r="N93" s="303"/>
      <c r="O93" s="303"/>
      <c r="P93" s="303"/>
      <c r="Q93" s="303"/>
      <c r="R93" s="303"/>
      <c r="S93" s="303"/>
      <c r="T93" s="303"/>
      <c r="U93" s="303"/>
      <c r="V93" s="303"/>
      <c r="W93" s="303"/>
      <c r="X93" s="303"/>
      <c r="Y93" s="303"/>
      <c r="Z93" s="303"/>
    </row>
    <row r="94" spans="1:26" x14ac:dyDescent="0.2">
      <c r="A94" s="303"/>
      <c r="B94" s="303"/>
      <c r="C94" s="303"/>
      <c r="D94" s="303"/>
      <c r="E94" s="303"/>
      <c r="F94" s="303"/>
      <c r="G94" s="303"/>
      <c r="H94" s="303"/>
      <c r="I94" s="303"/>
      <c r="J94" s="303"/>
      <c r="K94" s="303"/>
      <c r="L94" s="303"/>
      <c r="M94" s="303"/>
      <c r="N94" s="303"/>
      <c r="O94" s="303"/>
      <c r="P94" s="303"/>
      <c r="Q94" s="303"/>
      <c r="R94" s="303"/>
      <c r="S94" s="303"/>
      <c r="T94" s="303"/>
      <c r="U94" s="303"/>
      <c r="V94" s="303"/>
      <c r="W94" s="303"/>
      <c r="X94" s="303"/>
      <c r="Y94" s="303"/>
      <c r="Z94" s="303"/>
    </row>
    <row r="95" spans="1:26" x14ac:dyDescent="0.2">
      <c r="A95" s="303"/>
      <c r="B95" s="303"/>
      <c r="C95" s="303"/>
      <c r="D95" s="303"/>
      <c r="E95" s="303"/>
      <c r="F95" s="303"/>
      <c r="G95" s="303"/>
      <c r="H95" s="303"/>
      <c r="I95" s="303"/>
      <c r="J95" s="303"/>
      <c r="K95" s="303"/>
      <c r="L95" s="303"/>
      <c r="M95" s="303"/>
      <c r="N95" s="303"/>
      <c r="O95" s="303"/>
      <c r="P95" s="303"/>
      <c r="Q95" s="303"/>
      <c r="R95" s="303"/>
      <c r="S95" s="303"/>
      <c r="T95" s="303"/>
      <c r="U95" s="303"/>
      <c r="V95" s="303"/>
      <c r="W95" s="303"/>
      <c r="X95" s="303"/>
      <c r="Y95" s="303"/>
      <c r="Z95" s="303"/>
    </row>
    <row r="96" spans="1:26" x14ac:dyDescent="0.2">
      <c r="A96" s="303"/>
      <c r="B96" s="303"/>
      <c r="C96" s="303"/>
      <c r="D96" s="303"/>
      <c r="E96" s="303"/>
      <c r="F96" s="303"/>
      <c r="G96" s="303"/>
      <c r="H96" s="303"/>
      <c r="I96" s="303"/>
      <c r="J96" s="303"/>
      <c r="K96" s="303"/>
      <c r="L96" s="303"/>
      <c r="M96" s="303"/>
      <c r="N96" s="303"/>
      <c r="O96" s="303"/>
      <c r="P96" s="303"/>
      <c r="Q96" s="303"/>
      <c r="R96" s="303"/>
      <c r="S96" s="303"/>
      <c r="T96" s="303"/>
      <c r="U96" s="303"/>
      <c r="V96" s="303"/>
      <c r="W96" s="303"/>
      <c r="X96" s="303"/>
      <c r="Y96" s="303"/>
      <c r="Z96" s="303"/>
    </row>
    <row r="97" spans="1:26" x14ac:dyDescent="0.2">
      <c r="A97" s="303"/>
      <c r="B97" s="303"/>
      <c r="C97" s="303"/>
      <c r="D97" s="303"/>
      <c r="E97" s="303"/>
      <c r="F97" s="303"/>
      <c r="G97" s="303"/>
      <c r="H97" s="303"/>
      <c r="I97" s="303"/>
      <c r="J97" s="303"/>
      <c r="K97" s="303"/>
      <c r="L97" s="303"/>
      <c r="M97" s="303"/>
      <c r="N97" s="303"/>
      <c r="O97" s="303"/>
      <c r="P97" s="303"/>
      <c r="Q97" s="303"/>
      <c r="R97" s="303"/>
      <c r="S97" s="303"/>
      <c r="T97" s="303"/>
      <c r="U97" s="303"/>
      <c r="V97" s="303"/>
      <c r="W97" s="303"/>
      <c r="X97" s="303"/>
      <c r="Y97" s="303"/>
      <c r="Z97" s="303"/>
    </row>
    <row r="98" spans="1:26" x14ac:dyDescent="0.2">
      <c r="A98" s="303"/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303"/>
      <c r="T98" s="303"/>
      <c r="U98" s="303"/>
      <c r="V98" s="303"/>
      <c r="W98" s="303"/>
      <c r="X98" s="303"/>
      <c r="Y98" s="303"/>
      <c r="Z98" s="303"/>
    </row>
    <row r="99" spans="1:26" x14ac:dyDescent="0.2">
      <c r="A99" s="303"/>
      <c r="B99" s="303"/>
      <c r="C99" s="303"/>
      <c r="D99" s="303"/>
      <c r="E99" s="303"/>
      <c r="F99" s="303"/>
      <c r="G99" s="303"/>
      <c r="H99" s="303"/>
      <c r="I99" s="303"/>
      <c r="J99" s="303"/>
      <c r="K99" s="303"/>
      <c r="L99" s="303"/>
      <c r="M99" s="303"/>
      <c r="N99" s="303"/>
      <c r="O99" s="303"/>
      <c r="P99" s="303"/>
      <c r="Q99" s="303"/>
      <c r="R99" s="303"/>
      <c r="S99" s="303"/>
      <c r="T99" s="303"/>
      <c r="U99" s="303"/>
      <c r="V99" s="303"/>
      <c r="W99" s="303"/>
      <c r="X99" s="303"/>
      <c r="Y99" s="303"/>
      <c r="Z99" s="303"/>
    </row>
    <row r="100" spans="1:26" x14ac:dyDescent="0.2">
      <c r="A100" s="303"/>
      <c r="B100" s="303"/>
      <c r="C100" s="303"/>
      <c r="D100" s="303"/>
      <c r="E100" s="303"/>
      <c r="F100" s="303"/>
      <c r="G100" s="303"/>
      <c r="H100" s="303"/>
      <c r="I100" s="303"/>
      <c r="J100" s="303"/>
      <c r="K100" s="303"/>
      <c r="L100" s="303"/>
      <c r="M100" s="303"/>
      <c r="N100" s="303"/>
      <c r="O100" s="303"/>
      <c r="P100" s="303"/>
      <c r="Q100" s="303"/>
      <c r="R100" s="303"/>
      <c r="S100" s="303"/>
      <c r="T100" s="303"/>
      <c r="U100" s="303"/>
      <c r="V100" s="303"/>
      <c r="W100" s="303"/>
      <c r="X100" s="303"/>
      <c r="Y100" s="303"/>
      <c r="Z100" s="303"/>
    </row>
    <row r="101" spans="1:26" x14ac:dyDescent="0.2">
      <c r="A101" s="303"/>
      <c r="B101" s="303"/>
      <c r="C101" s="303"/>
      <c r="D101" s="303"/>
      <c r="E101" s="303"/>
      <c r="F101" s="303"/>
      <c r="G101" s="303"/>
      <c r="H101" s="303"/>
      <c r="I101" s="303"/>
      <c r="J101" s="303"/>
      <c r="K101" s="303"/>
      <c r="L101" s="303"/>
      <c r="M101" s="303"/>
      <c r="N101" s="303"/>
      <c r="O101" s="303"/>
      <c r="P101" s="303"/>
      <c r="Q101" s="303"/>
      <c r="R101" s="303"/>
      <c r="S101" s="303"/>
      <c r="T101" s="303"/>
      <c r="U101" s="303"/>
      <c r="V101" s="303"/>
      <c r="W101" s="303"/>
      <c r="X101" s="303"/>
      <c r="Y101" s="303"/>
      <c r="Z101" s="303"/>
    </row>
    <row r="102" spans="1:26" x14ac:dyDescent="0.2">
      <c r="A102" s="303"/>
      <c r="B102" s="303"/>
      <c r="C102" s="303"/>
      <c r="D102" s="303"/>
      <c r="E102" s="303"/>
      <c r="F102" s="303"/>
      <c r="G102" s="303"/>
      <c r="H102" s="303"/>
      <c r="I102" s="303"/>
      <c r="J102" s="303"/>
      <c r="K102" s="303"/>
      <c r="L102" s="303"/>
      <c r="M102" s="303"/>
      <c r="N102" s="303"/>
      <c r="O102" s="303"/>
      <c r="P102" s="303"/>
      <c r="Q102" s="303"/>
      <c r="R102" s="303"/>
      <c r="S102" s="303"/>
      <c r="T102" s="303"/>
      <c r="U102" s="303"/>
      <c r="V102" s="303"/>
      <c r="W102" s="303"/>
      <c r="X102" s="303"/>
      <c r="Y102" s="303"/>
      <c r="Z102" s="303"/>
    </row>
    <row r="103" spans="1:26" x14ac:dyDescent="0.2">
      <c r="A103" s="303"/>
      <c r="B103" s="303"/>
      <c r="C103" s="303"/>
      <c r="D103" s="303"/>
      <c r="E103" s="303"/>
      <c r="F103" s="303"/>
      <c r="G103" s="303"/>
      <c r="H103" s="303"/>
      <c r="I103" s="303"/>
      <c r="J103" s="303"/>
      <c r="K103" s="303"/>
      <c r="L103" s="303"/>
      <c r="M103" s="303"/>
      <c r="N103" s="303"/>
      <c r="O103" s="303"/>
      <c r="P103" s="303"/>
      <c r="Q103" s="303"/>
      <c r="R103" s="303"/>
      <c r="S103" s="303"/>
      <c r="T103" s="303"/>
      <c r="U103" s="303"/>
      <c r="V103" s="303"/>
      <c r="W103" s="303"/>
      <c r="X103" s="303"/>
      <c r="Y103" s="303"/>
      <c r="Z103" s="303"/>
    </row>
    <row r="104" spans="1:26" x14ac:dyDescent="0.2">
      <c r="A104" s="303"/>
      <c r="B104" s="303"/>
      <c r="C104" s="303"/>
      <c r="D104" s="303"/>
      <c r="E104" s="303"/>
      <c r="F104" s="303"/>
      <c r="G104" s="303"/>
      <c r="H104" s="303"/>
      <c r="I104" s="303"/>
      <c r="J104" s="303"/>
      <c r="K104" s="303"/>
      <c r="L104" s="303"/>
      <c r="M104" s="303"/>
      <c r="N104" s="303"/>
      <c r="O104" s="303"/>
      <c r="P104" s="303"/>
      <c r="Q104" s="303"/>
      <c r="R104" s="303"/>
      <c r="S104" s="303"/>
      <c r="T104" s="303"/>
      <c r="U104" s="303"/>
      <c r="V104" s="303"/>
      <c r="W104" s="303"/>
      <c r="X104" s="303"/>
      <c r="Y104" s="303"/>
      <c r="Z104" s="303"/>
    </row>
    <row r="105" spans="1:26" x14ac:dyDescent="0.2">
      <c r="A105" s="303"/>
      <c r="B105" s="303"/>
      <c r="C105" s="303"/>
      <c r="D105" s="303"/>
      <c r="E105" s="303"/>
      <c r="F105" s="303"/>
      <c r="G105" s="303"/>
      <c r="H105" s="303"/>
      <c r="I105" s="303"/>
      <c r="J105" s="303"/>
      <c r="K105" s="303"/>
      <c r="L105" s="303"/>
      <c r="M105" s="303"/>
      <c r="N105" s="303"/>
      <c r="O105" s="303"/>
      <c r="P105" s="303"/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</row>
    <row r="106" spans="1:26" x14ac:dyDescent="0.2">
      <c r="A106" s="303"/>
      <c r="B106" s="303"/>
      <c r="C106" s="303"/>
      <c r="D106" s="303"/>
      <c r="E106" s="303"/>
      <c r="F106" s="303"/>
      <c r="G106" s="303"/>
      <c r="H106" s="303"/>
      <c r="I106" s="303"/>
      <c r="J106" s="303"/>
      <c r="K106" s="303"/>
      <c r="L106" s="303"/>
      <c r="M106" s="303"/>
      <c r="N106" s="303"/>
      <c r="O106" s="303"/>
      <c r="P106" s="303"/>
      <c r="Q106" s="303"/>
      <c r="R106" s="303"/>
      <c r="S106" s="303"/>
      <c r="T106" s="303"/>
      <c r="U106" s="303"/>
      <c r="V106" s="303"/>
      <c r="W106" s="303"/>
      <c r="X106" s="303"/>
      <c r="Y106" s="303"/>
      <c r="Z106" s="303"/>
    </row>
    <row r="107" spans="1:26" x14ac:dyDescent="0.2">
      <c r="A107" s="303"/>
      <c r="B107" s="303"/>
      <c r="C107" s="303"/>
      <c r="D107" s="303"/>
      <c r="E107" s="303"/>
      <c r="F107" s="303"/>
      <c r="G107" s="303"/>
      <c r="H107" s="303"/>
      <c r="I107" s="303"/>
      <c r="J107" s="303"/>
      <c r="K107" s="303"/>
      <c r="L107" s="303"/>
      <c r="M107" s="303"/>
      <c r="N107" s="303"/>
      <c r="O107" s="303"/>
      <c r="P107" s="303"/>
      <c r="Q107" s="303"/>
      <c r="R107" s="303"/>
      <c r="S107" s="303"/>
      <c r="T107" s="303"/>
      <c r="U107" s="303"/>
      <c r="V107" s="303"/>
      <c r="W107" s="303"/>
      <c r="X107" s="303"/>
      <c r="Y107" s="303"/>
      <c r="Z107" s="303"/>
    </row>
    <row r="108" spans="1:26" x14ac:dyDescent="0.2">
      <c r="A108" s="303"/>
      <c r="B108" s="303"/>
      <c r="C108" s="303"/>
      <c r="D108" s="303"/>
      <c r="E108" s="303"/>
      <c r="F108" s="303"/>
      <c r="G108" s="303"/>
      <c r="H108" s="303"/>
      <c r="I108" s="303"/>
      <c r="J108" s="303"/>
      <c r="K108" s="303"/>
      <c r="L108" s="303"/>
      <c r="M108" s="303"/>
      <c r="N108" s="303"/>
      <c r="O108" s="303"/>
      <c r="P108" s="303"/>
      <c r="Q108" s="303"/>
      <c r="R108" s="303"/>
      <c r="S108" s="303"/>
      <c r="T108" s="303"/>
      <c r="U108" s="303"/>
      <c r="V108" s="303"/>
      <c r="W108" s="303"/>
      <c r="X108" s="303"/>
      <c r="Y108" s="303"/>
      <c r="Z108" s="303"/>
    </row>
    <row r="109" spans="1:26" x14ac:dyDescent="0.2">
      <c r="A109" s="303"/>
      <c r="B109" s="303"/>
      <c r="C109" s="303"/>
      <c r="D109" s="303"/>
      <c r="E109" s="303"/>
      <c r="F109" s="303"/>
      <c r="G109" s="303"/>
      <c r="H109" s="303"/>
      <c r="I109" s="303"/>
      <c r="J109" s="303"/>
      <c r="K109" s="303"/>
      <c r="L109" s="303"/>
      <c r="M109" s="303"/>
      <c r="N109" s="303"/>
      <c r="O109" s="303"/>
      <c r="P109" s="303"/>
      <c r="Q109" s="303"/>
      <c r="R109" s="303"/>
      <c r="S109" s="303"/>
      <c r="T109" s="303"/>
      <c r="U109" s="303"/>
      <c r="V109" s="303"/>
      <c r="W109" s="303"/>
      <c r="X109" s="303"/>
      <c r="Y109" s="303"/>
      <c r="Z109" s="303"/>
    </row>
    <row r="110" spans="1:26" x14ac:dyDescent="0.2">
      <c r="A110" s="303"/>
      <c r="B110" s="303"/>
      <c r="C110" s="303"/>
      <c r="D110" s="303"/>
      <c r="E110" s="303"/>
      <c r="F110" s="303"/>
      <c r="G110" s="303"/>
      <c r="H110" s="303"/>
      <c r="I110" s="303"/>
      <c r="J110" s="303"/>
      <c r="K110" s="303"/>
      <c r="L110" s="303"/>
      <c r="M110" s="303"/>
      <c r="N110" s="303"/>
      <c r="O110" s="303"/>
      <c r="P110" s="303"/>
      <c r="Q110" s="303"/>
      <c r="R110" s="303"/>
      <c r="S110" s="303"/>
      <c r="T110" s="303"/>
      <c r="U110" s="303"/>
      <c r="V110" s="303"/>
      <c r="W110" s="303"/>
      <c r="X110" s="303"/>
      <c r="Y110" s="303"/>
      <c r="Z110" s="303"/>
    </row>
    <row r="111" spans="1:26" x14ac:dyDescent="0.2">
      <c r="A111" s="303"/>
      <c r="B111" s="303"/>
      <c r="C111" s="303"/>
      <c r="D111" s="303"/>
      <c r="E111" s="303"/>
      <c r="F111" s="303"/>
      <c r="G111" s="303"/>
      <c r="H111" s="303"/>
      <c r="I111" s="303"/>
      <c r="J111" s="303"/>
      <c r="K111" s="303"/>
      <c r="L111" s="303"/>
      <c r="M111" s="303"/>
      <c r="N111" s="303"/>
      <c r="O111" s="303"/>
      <c r="P111" s="303"/>
      <c r="Q111" s="303"/>
      <c r="R111" s="303"/>
      <c r="S111" s="303"/>
      <c r="T111" s="303"/>
      <c r="U111" s="303"/>
      <c r="V111" s="303"/>
      <c r="W111" s="303"/>
      <c r="X111" s="303"/>
      <c r="Y111" s="303"/>
      <c r="Z111" s="303"/>
    </row>
    <row r="112" spans="1:26" x14ac:dyDescent="0.2">
      <c r="A112" s="303"/>
      <c r="B112" s="303"/>
      <c r="C112" s="303"/>
      <c r="D112" s="303"/>
      <c r="E112" s="303"/>
      <c r="F112" s="303"/>
      <c r="G112" s="303"/>
      <c r="H112" s="303"/>
      <c r="I112" s="303"/>
      <c r="J112" s="303"/>
      <c r="K112" s="303"/>
      <c r="L112" s="303"/>
      <c r="M112" s="303"/>
      <c r="N112" s="303"/>
      <c r="O112" s="303"/>
      <c r="P112" s="303"/>
      <c r="Q112" s="303"/>
      <c r="R112" s="303"/>
      <c r="S112" s="303"/>
      <c r="T112" s="303"/>
      <c r="U112" s="303"/>
      <c r="V112" s="303"/>
      <c r="W112" s="303"/>
      <c r="X112" s="303"/>
      <c r="Y112" s="303"/>
      <c r="Z112" s="303"/>
    </row>
    <row r="113" spans="1:26" x14ac:dyDescent="0.2">
      <c r="A113" s="303"/>
      <c r="B113" s="303"/>
      <c r="C113" s="303"/>
      <c r="D113" s="303"/>
      <c r="E113" s="303"/>
      <c r="F113" s="303"/>
      <c r="G113" s="303"/>
      <c r="H113" s="303"/>
      <c r="I113" s="303"/>
      <c r="J113" s="303"/>
      <c r="K113" s="303"/>
      <c r="L113" s="303"/>
      <c r="M113" s="303"/>
      <c r="N113" s="303"/>
      <c r="O113" s="303"/>
      <c r="P113" s="303"/>
      <c r="Q113" s="303"/>
      <c r="R113" s="303"/>
      <c r="S113" s="303"/>
      <c r="T113" s="303"/>
      <c r="U113" s="303"/>
      <c r="V113" s="303"/>
      <c r="W113" s="303"/>
      <c r="X113" s="303"/>
      <c r="Y113" s="303"/>
      <c r="Z113" s="303"/>
    </row>
    <row r="114" spans="1:26" x14ac:dyDescent="0.2">
      <c r="A114" s="303"/>
      <c r="B114" s="303"/>
      <c r="C114" s="303"/>
      <c r="D114" s="303"/>
      <c r="E114" s="303"/>
      <c r="F114" s="303"/>
      <c r="G114" s="303"/>
      <c r="H114" s="303"/>
      <c r="I114" s="303"/>
      <c r="J114" s="303"/>
      <c r="K114" s="303"/>
      <c r="L114" s="303"/>
      <c r="M114" s="303"/>
      <c r="N114" s="303"/>
      <c r="O114" s="303"/>
      <c r="P114" s="303"/>
      <c r="Q114" s="303"/>
      <c r="R114" s="303"/>
      <c r="S114" s="303"/>
      <c r="T114" s="303"/>
      <c r="U114" s="303"/>
      <c r="V114" s="303"/>
      <c r="W114" s="303"/>
      <c r="X114" s="303"/>
      <c r="Y114" s="303"/>
      <c r="Z114" s="303"/>
    </row>
    <row r="115" spans="1:26" x14ac:dyDescent="0.2">
      <c r="A115" s="303"/>
      <c r="B115" s="303"/>
      <c r="C115" s="303"/>
      <c r="D115" s="303"/>
      <c r="E115" s="303"/>
      <c r="F115" s="303"/>
      <c r="G115" s="303"/>
      <c r="H115" s="303"/>
      <c r="I115" s="303"/>
      <c r="J115" s="303"/>
      <c r="K115" s="303"/>
      <c r="L115" s="303"/>
      <c r="M115" s="303"/>
      <c r="N115" s="303"/>
      <c r="O115" s="303"/>
      <c r="P115" s="303"/>
      <c r="Q115" s="303"/>
      <c r="R115" s="303"/>
      <c r="S115" s="303"/>
      <c r="T115" s="303"/>
      <c r="U115" s="303"/>
      <c r="V115" s="303"/>
      <c r="W115" s="303"/>
      <c r="X115" s="303"/>
      <c r="Y115" s="303"/>
      <c r="Z115" s="303"/>
    </row>
    <row r="116" spans="1:26" x14ac:dyDescent="0.2">
      <c r="A116" s="303"/>
      <c r="B116" s="303"/>
      <c r="C116" s="303"/>
      <c r="D116" s="303"/>
      <c r="E116" s="303"/>
      <c r="F116" s="303"/>
      <c r="G116" s="303"/>
      <c r="H116" s="303"/>
      <c r="I116" s="303"/>
      <c r="J116" s="303"/>
      <c r="K116" s="303"/>
      <c r="L116" s="303"/>
      <c r="M116" s="303"/>
      <c r="N116" s="303"/>
      <c r="O116" s="303"/>
      <c r="P116" s="303"/>
      <c r="Q116" s="303"/>
      <c r="R116" s="303"/>
      <c r="S116" s="303"/>
      <c r="T116" s="303"/>
      <c r="U116" s="303"/>
      <c r="V116" s="303"/>
      <c r="W116" s="303"/>
      <c r="X116" s="303"/>
      <c r="Y116" s="303"/>
      <c r="Z116" s="303"/>
    </row>
    <row r="117" spans="1:26" x14ac:dyDescent="0.2">
      <c r="A117" s="303"/>
      <c r="B117" s="303"/>
      <c r="C117" s="303"/>
      <c r="D117" s="303"/>
      <c r="E117" s="303"/>
      <c r="F117" s="303"/>
      <c r="G117" s="303"/>
      <c r="H117" s="303"/>
      <c r="I117" s="303"/>
      <c r="J117" s="303"/>
      <c r="K117" s="303"/>
      <c r="L117" s="303"/>
      <c r="M117" s="303"/>
      <c r="N117" s="303"/>
      <c r="O117" s="303"/>
      <c r="P117" s="303"/>
      <c r="Q117" s="303"/>
      <c r="R117" s="303"/>
      <c r="S117" s="303"/>
      <c r="T117" s="303"/>
      <c r="U117" s="303"/>
      <c r="V117" s="303"/>
      <c r="W117" s="303"/>
      <c r="X117" s="303"/>
      <c r="Y117" s="303"/>
      <c r="Z117" s="303"/>
    </row>
    <row r="118" spans="1:26" x14ac:dyDescent="0.2">
      <c r="A118" s="303"/>
      <c r="B118" s="303"/>
      <c r="C118" s="303"/>
      <c r="D118" s="303"/>
      <c r="E118" s="303"/>
      <c r="F118" s="303"/>
      <c r="G118" s="303"/>
      <c r="H118" s="303"/>
      <c r="I118" s="303"/>
      <c r="J118" s="303"/>
      <c r="K118" s="303"/>
      <c r="L118" s="303"/>
      <c r="M118" s="303"/>
      <c r="N118" s="303"/>
      <c r="O118" s="303"/>
      <c r="P118" s="303"/>
      <c r="Q118" s="303"/>
      <c r="R118" s="303"/>
      <c r="S118" s="303"/>
      <c r="T118" s="303"/>
      <c r="U118" s="303"/>
      <c r="V118" s="303"/>
      <c r="W118" s="303"/>
      <c r="X118" s="303"/>
      <c r="Y118" s="303"/>
      <c r="Z118" s="303"/>
    </row>
    <row r="119" spans="1:26" x14ac:dyDescent="0.2">
      <c r="A119" s="303"/>
      <c r="B119" s="303"/>
      <c r="C119" s="303"/>
      <c r="D119" s="303"/>
      <c r="E119" s="303"/>
      <c r="F119" s="303"/>
      <c r="G119" s="303"/>
      <c r="H119" s="303"/>
      <c r="I119" s="303"/>
      <c r="J119" s="303"/>
      <c r="K119" s="303"/>
      <c r="L119" s="303"/>
      <c r="M119" s="303"/>
      <c r="N119" s="303"/>
      <c r="O119" s="303"/>
      <c r="P119" s="303"/>
      <c r="Q119" s="303"/>
      <c r="R119" s="303"/>
      <c r="S119" s="303"/>
      <c r="T119" s="303"/>
      <c r="U119" s="303"/>
      <c r="V119" s="303"/>
      <c r="W119" s="303"/>
      <c r="X119" s="303"/>
      <c r="Y119" s="303"/>
      <c r="Z119" s="303"/>
    </row>
    <row r="120" spans="1:26" x14ac:dyDescent="0.2">
      <c r="A120" s="303"/>
      <c r="B120" s="303"/>
      <c r="C120" s="303"/>
      <c r="D120" s="303"/>
      <c r="E120" s="303"/>
      <c r="F120" s="303"/>
      <c r="G120" s="303"/>
      <c r="H120" s="303"/>
      <c r="I120" s="303"/>
      <c r="J120" s="303"/>
      <c r="K120" s="303"/>
      <c r="L120" s="303"/>
      <c r="M120" s="303"/>
      <c r="N120" s="303"/>
      <c r="O120" s="303"/>
      <c r="P120" s="303"/>
      <c r="Q120" s="303"/>
      <c r="R120" s="303"/>
      <c r="S120" s="303"/>
      <c r="T120" s="303"/>
      <c r="U120" s="303"/>
      <c r="V120" s="303"/>
      <c r="W120" s="303"/>
      <c r="X120" s="303"/>
      <c r="Y120" s="303"/>
      <c r="Z120" s="303"/>
    </row>
    <row r="121" spans="1:26" x14ac:dyDescent="0.2">
      <c r="A121" s="303"/>
      <c r="B121" s="303"/>
      <c r="C121" s="303"/>
      <c r="D121" s="303"/>
      <c r="E121" s="303"/>
      <c r="F121" s="303"/>
      <c r="G121" s="303"/>
      <c r="H121" s="303"/>
      <c r="I121" s="303"/>
      <c r="J121" s="303"/>
      <c r="K121" s="303"/>
      <c r="L121" s="303"/>
      <c r="M121" s="303"/>
      <c r="N121" s="303"/>
      <c r="O121" s="303"/>
      <c r="P121" s="303"/>
      <c r="Q121" s="303"/>
      <c r="R121" s="303"/>
      <c r="S121" s="303"/>
      <c r="T121" s="303"/>
      <c r="U121" s="303"/>
      <c r="V121" s="303"/>
      <c r="W121" s="303"/>
      <c r="X121" s="303"/>
      <c r="Y121" s="303"/>
      <c r="Z121" s="303"/>
    </row>
    <row r="122" spans="1:26" x14ac:dyDescent="0.2">
      <c r="A122" s="303"/>
      <c r="B122" s="303"/>
      <c r="C122" s="303"/>
      <c r="D122" s="303"/>
      <c r="E122" s="303"/>
      <c r="F122" s="303"/>
      <c r="G122" s="303"/>
      <c r="H122" s="303"/>
      <c r="I122" s="303"/>
      <c r="J122" s="303"/>
      <c r="K122" s="303"/>
      <c r="L122" s="303"/>
      <c r="M122" s="303"/>
      <c r="N122" s="303"/>
      <c r="O122" s="303"/>
      <c r="P122" s="303"/>
      <c r="Q122" s="303"/>
      <c r="R122" s="303"/>
      <c r="S122" s="303"/>
      <c r="T122" s="303"/>
      <c r="U122" s="303"/>
      <c r="V122" s="303"/>
      <c r="W122" s="303"/>
      <c r="X122" s="303"/>
      <c r="Y122" s="303"/>
      <c r="Z122" s="303"/>
    </row>
    <row r="123" spans="1:26" x14ac:dyDescent="0.2">
      <c r="A123" s="303"/>
      <c r="B123" s="303"/>
      <c r="C123" s="303"/>
      <c r="D123" s="303"/>
      <c r="E123" s="303"/>
      <c r="F123" s="303"/>
      <c r="G123" s="303"/>
      <c r="H123" s="303"/>
      <c r="I123" s="303"/>
      <c r="J123" s="303"/>
      <c r="K123" s="303"/>
      <c r="L123" s="303"/>
      <c r="M123" s="303"/>
      <c r="N123" s="303"/>
      <c r="O123" s="303"/>
      <c r="P123" s="303"/>
      <c r="Q123" s="303"/>
      <c r="R123" s="303"/>
      <c r="S123" s="303"/>
      <c r="T123" s="303"/>
      <c r="U123" s="303"/>
      <c r="V123" s="303"/>
      <c r="W123" s="303"/>
      <c r="X123" s="303"/>
      <c r="Y123" s="303"/>
      <c r="Z123" s="303"/>
    </row>
    <row r="124" spans="1:26" x14ac:dyDescent="0.2">
      <c r="A124" s="303"/>
      <c r="B124" s="303"/>
      <c r="C124" s="303"/>
      <c r="D124" s="303"/>
      <c r="E124" s="303"/>
      <c r="F124" s="303"/>
      <c r="G124" s="303"/>
      <c r="H124" s="303"/>
      <c r="I124" s="303"/>
      <c r="J124" s="303"/>
      <c r="K124" s="303"/>
      <c r="L124" s="303"/>
      <c r="M124" s="303"/>
      <c r="N124" s="303"/>
      <c r="O124" s="303"/>
      <c r="P124" s="303"/>
      <c r="Q124" s="303"/>
      <c r="R124" s="303"/>
      <c r="S124" s="303"/>
      <c r="T124" s="303"/>
      <c r="U124" s="303"/>
      <c r="V124" s="303"/>
      <c r="W124" s="303"/>
      <c r="X124" s="303"/>
      <c r="Y124" s="303"/>
      <c r="Z124" s="303"/>
    </row>
    <row r="125" spans="1:26" x14ac:dyDescent="0.2">
      <c r="A125" s="303"/>
      <c r="B125" s="303"/>
      <c r="C125" s="303"/>
      <c r="D125" s="303"/>
      <c r="E125" s="303"/>
      <c r="F125" s="303"/>
      <c r="G125" s="303"/>
      <c r="H125" s="303"/>
      <c r="I125" s="303"/>
      <c r="J125" s="303"/>
      <c r="K125" s="303"/>
      <c r="L125" s="303"/>
      <c r="M125" s="303"/>
      <c r="N125" s="303"/>
      <c r="O125" s="303"/>
      <c r="P125" s="303"/>
      <c r="Q125" s="303"/>
      <c r="R125" s="303"/>
      <c r="S125" s="303"/>
      <c r="T125" s="303"/>
      <c r="U125" s="303"/>
      <c r="V125" s="303"/>
      <c r="W125" s="303"/>
      <c r="X125" s="303"/>
      <c r="Y125" s="303"/>
      <c r="Z125" s="303"/>
    </row>
    <row r="126" spans="1:26" x14ac:dyDescent="0.2">
      <c r="A126" s="303"/>
      <c r="B126" s="303"/>
      <c r="C126" s="303"/>
      <c r="D126" s="303"/>
      <c r="E126" s="303"/>
      <c r="F126" s="303"/>
      <c r="G126" s="303"/>
      <c r="H126" s="303"/>
      <c r="I126" s="303"/>
      <c r="J126" s="303"/>
      <c r="K126" s="303"/>
      <c r="L126" s="303"/>
      <c r="M126" s="303"/>
      <c r="N126" s="303"/>
      <c r="O126" s="303"/>
      <c r="P126" s="303"/>
      <c r="Q126" s="303"/>
      <c r="R126" s="303"/>
      <c r="S126" s="303"/>
      <c r="T126" s="303"/>
      <c r="U126" s="303"/>
      <c r="V126" s="303"/>
      <c r="W126" s="303"/>
      <c r="X126" s="303"/>
      <c r="Y126" s="303"/>
      <c r="Z126" s="303"/>
    </row>
    <row r="127" spans="1:26" x14ac:dyDescent="0.2">
      <c r="A127" s="303"/>
      <c r="B127" s="303"/>
      <c r="C127" s="303"/>
      <c r="D127" s="303"/>
      <c r="E127" s="303"/>
      <c r="F127" s="303"/>
      <c r="G127" s="303"/>
      <c r="H127" s="303"/>
      <c r="I127" s="303"/>
      <c r="J127" s="303"/>
      <c r="K127" s="303"/>
      <c r="L127" s="303"/>
      <c r="M127" s="303"/>
      <c r="N127" s="303"/>
      <c r="O127" s="303"/>
      <c r="P127" s="303"/>
      <c r="Q127" s="303"/>
      <c r="R127" s="303"/>
      <c r="S127" s="303"/>
      <c r="T127" s="303"/>
      <c r="U127" s="303"/>
      <c r="V127" s="303"/>
      <c r="W127" s="303"/>
      <c r="X127" s="303"/>
      <c r="Y127" s="303"/>
      <c r="Z127" s="303"/>
    </row>
    <row r="128" spans="1:26" x14ac:dyDescent="0.2">
      <c r="A128" s="303"/>
      <c r="B128" s="303"/>
      <c r="C128" s="303"/>
      <c r="D128" s="303"/>
      <c r="E128" s="303"/>
      <c r="F128" s="303"/>
      <c r="G128" s="303"/>
      <c r="H128" s="303"/>
      <c r="I128" s="303"/>
      <c r="J128" s="303"/>
      <c r="K128" s="303"/>
      <c r="L128" s="303"/>
      <c r="M128" s="303"/>
      <c r="N128" s="303"/>
      <c r="O128" s="303"/>
      <c r="P128" s="303"/>
      <c r="Q128" s="303"/>
      <c r="R128" s="303"/>
      <c r="S128" s="303"/>
      <c r="T128" s="303"/>
      <c r="U128" s="303"/>
      <c r="V128" s="303"/>
      <c r="W128" s="303"/>
      <c r="X128" s="303"/>
      <c r="Y128" s="303"/>
      <c r="Z128" s="303"/>
    </row>
    <row r="129" spans="1:26" x14ac:dyDescent="0.2">
      <c r="A129" s="303"/>
      <c r="B129" s="303"/>
      <c r="C129" s="303"/>
      <c r="D129" s="303"/>
      <c r="E129" s="303"/>
      <c r="F129" s="303"/>
      <c r="G129" s="303"/>
      <c r="H129" s="303"/>
      <c r="I129" s="303"/>
      <c r="J129" s="303"/>
      <c r="K129" s="303"/>
      <c r="L129" s="303"/>
      <c r="M129" s="303"/>
      <c r="N129" s="303"/>
      <c r="O129" s="303"/>
      <c r="P129" s="303"/>
      <c r="Q129" s="303"/>
      <c r="R129" s="303"/>
      <c r="S129" s="303"/>
      <c r="T129" s="303"/>
      <c r="U129" s="303"/>
      <c r="V129" s="303"/>
      <c r="W129" s="303"/>
      <c r="X129" s="303"/>
      <c r="Y129" s="303"/>
      <c r="Z129" s="303"/>
    </row>
    <row r="130" spans="1:26" x14ac:dyDescent="0.2">
      <c r="A130" s="303"/>
      <c r="B130" s="303"/>
      <c r="C130" s="303"/>
      <c r="D130" s="303"/>
      <c r="E130" s="303"/>
      <c r="F130" s="303"/>
      <c r="G130" s="303"/>
      <c r="H130" s="303"/>
      <c r="I130" s="303"/>
      <c r="J130" s="303"/>
      <c r="K130" s="303"/>
      <c r="L130" s="303"/>
      <c r="M130" s="303"/>
      <c r="N130" s="303"/>
      <c r="O130" s="303"/>
      <c r="P130" s="303"/>
      <c r="Q130" s="303"/>
      <c r="R130" s="303"/>
      <c r="S130" s="303"/>
      <c r="T130" s="303"/>
      <c r="U130" s="303"/>
      <c r="V130" s="303"/>
      <c r="W130" s="303"/>
      <c r="X130" s="303"/>
      <c r="Y130" s="303"/>
      <c r="Z130" s="303"/>
    </row>
    <row r="131" spans="1:26" x14ac:dyDescent="0.2">
      <c r="A131" s="303"/>
      <c r="B131" s="303"/>
      <c r="C131" s="303"/>
      <c r="D131" s="303"/>
      <c r="E131" s="303"/>
      <c r="F131" s="303"/>
      <c r="G131" s="303"/>
      <c r="H131" s="303"/>
      <c r="I131" s="303"/>
      <c r="J131" s="303"/>
      <c r="K131" s="303"/>
      <c r="L131" s="303"/>
      <c r="M131" s="303"/>
      <c r="N131" s="303"/>
      <c r="O131" s="303"/>
      <c r="P131" s="303"/>
      <c r="Q131" s="303"/>
      <c r="R131" s="303"/>
      <c r="S131" s="303"/>
      <c r="T131" s="303"/>
      <c r="U131" s="303"/>
      <c r="V131" s="303"/>
      <c r="W131" s="303"/>
      <c r="X131" s="303"/>
      <c r="Y131" s="303"/>
      <c r="Z131" s="303"/>
    </row>
    <row r="132" spans="1:26" x14ac:dyDescent="0.2">
      <c r="A132" s="303"/>
      <c r="B132" s="303"/>
      <c r="C132" s="303"/>
      <c r="D132" s="303"/>
      <c r="E132" s="303"/>
      <c r="F132" s="303"/>
      <c r="G132" s="303"/>
      <c r="H132" s="303"/>
      <c r="I132" s="303"/>
      <c r="J132" s="303"/>
      <c r="K132" s="303"/>
      <c r="L132" s="303"/>
      <c r="M132" s="303"/>
      <c r="N132" s="303"/>
      <c r="O132" s="303"/>
      <c r="P132" s="303"/>
      <c r="Q132" s="303"/>
      <c r="R132" s="303"/>
      <c r="S132" s="303"/>
      <c r="T132" s="303"/>
      <c r="U132" s="303"/>
      <c r="V132" s="303"/>
      <c r="W132" s="303"/>
      <c r="X132" s="303"/>
      <c r="Y132" s="303"/>
      <c r="Z132" s="303"/>
    </row>
    <row r="133" spans="1:26" x14ac:dyDescent="0.2">
      <c r="A133" s="303"/>
      <c r="B133" s="303"/>
      <c r="C133" s="303"/>
      <c r="D133" s="303"/>
      <c r="E133" s="303"/>
      <c r="F133" s="303"/>
      <c r="G133" s="303"/>
      <c r="H133" s="303"/>
      <c r="I133" s="303"/>
      <c r="J133" s="303"/>
      <c r="K133" s="303"/>
      <c r="L133" s="303"/>
      <c r="M133" s="303"/>
      <c r="N133" s="303"/>
      <c r="O133" s="303"/>
      <c r="P133" s="303"/>
      <c r="Q133" s="303"/>
      <c r="R133" s="303"/>
      <c r="S133" s="303"/>
      <c r="T133" s="303"/>
      <c r="U133" s="303"/>
      <c r="V133" s="303"/>
      <c r="W133" s="303"/>
      <c r="X133" s="303"/>
      <c r="Y133" s="303"/>
      <c r="Z133" s="303"/>
    </row>
    <row r="134" spans="1:26" x14ac:dyDescent="0.2">
      <c r="A134" s="303"/>
      <c r="B134" s="303"/>
      <c r="C134" s="303"/>
      <c r="D134" s="303"/>
      <c r="E134" s="303"/>
      <c r="F134" s="303"/>
      <c r="G134" s="303"/>
      <c r="H134" s="303"/>
      <c r="I134" s="303"/>
      <c r="J134" s="303"/>
      <c r="K134" s="303"/>
      <c r="L134" s="303"/>
      <c r="M134" s="303"/>
      <c r="N134" s="303"/>
      <c r="O134" s="303"/>
      <c r="P134" s="303"/>
      <c r="Q134" s="303"/>
      <c r="R134" s="303"/>
      <c r="S134" s="303"/>
      <c r="T134" s="303"/>
      <c r="U134" s="303"/>
      <c r="V134" s="303"/>
      <c r="W134" s="303"/>
      <c r="X134" s="303"/>
      <c r="Y134" s="303"/>
      <c r="Z134" s="303"/>
    </row>
    <row r="135" spans="1:26" x14ac:dyDescent="0.2">
      <c r="A135" s="303"/>
      <c r="B135" s="303"/>
      <c r="C135" s="303"/>
      <c r="D135" s="303"/>
      <c r="E135" s="303"/>
      <c r="F135" s="303"/>
      <c r="G135" s="303"/>
      <c r="H135" s="303"/>
      <c r="I135" s="303"/>
      <c r="J135" s="303"/>
      <c r="K135" s="303"/>
      <c r="L135" s="303"/>
      <c r="M135" s="303"/>
      <c r="N135" s="303"/>
      <c r="O135" s="303"/>
      <c r="P135" s="303"/>
      <c r="Q135" s="303"/>
      <c r="R135" s="303"/>
      <c r="S135" s="303"/>
      <c r="T135" s="303"/>
      <c r="U135" s="303"/>
      <c r="V135" s="303"/>
      <c r="W135" s="303"/>
      <c r="X135" s="303"/>
      <c r="Y135" s="303"/>
      <c r="Z135" s="303"/>
    </row>
    <row r="136" spans="1:26" x14ac:dyDescent="0.2">
      <c r="A136" s="303"/>
      <c r="B136" s="303"/>
      <c r="C136" s="303"/>
      <c r="D136" s="303"/>
      <c r="E136" s="303"/>
      <c r="F136" s="303"/>
      <c r="G136" s="303"/>
      <c r="H136" s="303"/>
      <c r="I136" s="303"/>
      <c r="J136" s="303"/>
      <c r="K136" s="303"/>
      <c r="L136" s="303"/>
      <c r="M136" s="303"/>
      <c r="N136" s="303"/>
      <c r="O136" s="303"/>
      <c r="P136" s="303"/>
      <c r="Q136" s="303"/>
      <c r="R136" s="303"/>
      <c r="S136" s="303"/>
      <c r="T136" s="303"/>
      <c r="U136" s="303"/>
      <c r="V136" s="303"/>
      <c r="W136" s="303"/>
      <c r="X136" s="303"/>
      <c r="Y136" s="303"/>
      <c r="Z136" s="303"/>
    </row>
    <row r="137" spans="1:26" x14ac:dyDescent="0.2">
      <c r="A137" s="303"/>
      <c r="B137" s="303"/>
      <c r="C137" s="303"/>
      <c r="D137" s="303"/>
      <c r="E137" s="303"/>
      <c r="F137" s="303"/>
      <c r="G137" s="303"/>
      <c r="H137" s="303"/>
      <c r="I137" s="303"/>
      <c r="J137" s="303"/>
      <c r="K137" s="303"/>
      <c r="L137" s="303"/>
      <c r="M137" s="303"/>
      <c r="N137" s="303"/>
      <c r="O137" s="303"/>
      <c r="P137" s="303"/>
      <c r="Q137" s="303"/>
      <c r="R137" s="303"/>
      <c r="S137" s="303"/>
      <c r="T137" s="303"/>
      <c r="U137" s="303"/>
      <c r="V137" s="303"/>
      <c r="W137" s="303"/>
      <c r="X137" s="303"/>
      <c r="Y137" s="303"/>
      <c r="Z137" s="303"/>
    </row>
    <row r="138" spans="1:26" x14ac:dyDescent="0.2">
      <c r="A138" s="303"/>
      <c r="B138" s="303"/>
      <c r="C138" s="303"/>
      <c r="D138" s="303"/>
      <c r="E138" s="303"/>
      <c r="F138" s="303"/>
      <c r="G138" s="303"/>
      <c r="H138" s="303"/>
      <c r="I138" s="303"/>
      <c r="J138" s="303"/>
      <c r="K138" s="303"/>
      <c r="L138" s="303"/>
      <c r="M138" s="303"/>
      <c r="N138" s="303"/>
      <c r="O138" s="303"/>
      <c r="P138" s="303"/>
      <c r="Q138" s="303"/>
      <c r="R138" s="303"/>
      <c r="S138" s="303"/>
      <c r="T138" s="303"/>
      <c r="U138" s="303"/>
      <c r="V138" s="303"/>
      <c r="W138" s="303"/>
      <c r="X138" s="303"/>
      <c r="Y138" s="303"/>
      <c r="Z138" s="303"/>
    </row>
    <row r="139" spans="1:26" x14ac:dyDescent="0.2">
      <c r="A139" s="303"/>
      <c r="B139" s="303"/>
      <c r="C139" s="303"/>
      <c r="D139" s="303"/>
      <c r="E139" s="303"/>
      <c r="F139" s="303"/>
      <c r="G139" s="303"/>
      <c r="H139" s="303"/>
      <c r="I139" s="303"/>
      <c r="J139" s="303"/>
      <c r="K139" s="303"/>
      <c r="L139" s="303"/>
      <c r="M139" s="303"/>
      <c r="N139" s="303"/>
      <c r="O139" s="303"/>
      <c r="P139" s="303"/>
      <c r="Q139" s="303"/>
      <c r="R139" s="303"/>
      <c r="S139" s="303"/>
      <c r="T139" s="303"/>
      <c r="U139" s="303"/>
      <c r="V139" s="303"/>
      <c r="W139" s="303"/>
      <c r="X139" s="303"/>
      <c r="Y139" s="303"/>
      <c r="Z139" s="303"/>
    </row>
    <row r="140" spans="1:26" x14ac:dyDescent="0.2">
      <c r="A140" s="303"/>
      <c r="B140" s="303"/>
      <c r="C140" s="303"/>
      <c r="D140" s="303"/>
      <c r="E140" s="303"/>
      <c r="F140" s="303"/>
      <c r="G140" s="303"/>
      <c r="H140" s="303"/>
      <c r="I140" s="303"/>
      <c r="J140" s="303"/>
      <c r="K140" s="303"/>
      <c r="L140" s="303"/>
      <c r="M140" s="303"/>
      <c r="N140" s="303"/>
      <c r="O140" s="303"/>
      <c r="P140" s="303"/>
      <c r="Q140" s="303"/>
      <c r="R140" s="303"/>
      <c r="S140" s="303"/>
      <c r="T140" s="303"/>
      <c r="U140" s="303"/>
      <c r="V140" s="303"/>
      <c r="W140" s="303"/>
      <c r="X140" s="303"/>
      <c r="Y140" s="303"/>
      <c r="Z140" s="303"/>
    </row>
    <row r="141" spans="1:26" x14ac:dyDescent="0.2">
      <c r="A141" s="303"/>
      <c r="B141" s="303"/>
      <c r="C141" s="303"/>
      <c r="D141" s="303"/>
      <c r="E141" s="303"/>
      <c r="F141" s="303"/>
      <c r="G141" s="303"/>
      <c r="H141" s="303"/>
      <c r="I141" s="303"/>
      <c r="J141" s="303"/>
      <c r="K141" s="303"/>
      <c r="L141" s="303"/>
      <c r="M141" s="303"/>
      <c r="N141" s="303"/>
      <c r="O141" s="303"/>
      <c r="P141" s="303"/>
      <c r="Q141" s="303"/>
      <c r="R141" s="303"/>
      <c r="S141" s="303"/>
      <c r="T141" s="303"/>
      <c r="U141" s="303"/>
      <c r="V141" s="303"/>
      <c r="W141" s="303"/>
      <c r="X141" s="303"/>
      <c r="Y141" s="303"/>
      <c r="Z141" s="303"/>
    </row>
    <row r="142" spans="1:26" x14ac:dyDescent="0.2">
      <c r="A142" s="303"/>
      <c r="B142" s="303"/>
      <c r="C142" s="303"/>
      <c r="D142" s="303"/>
      <c r="E142" s="303"/>
      <c r="F142" s="303"/>
      <c r="G142" s="303"/>
      <c r="H142" s="303"/>
      <c r="I142" s="303"/>
      <c r="J142" s="303"/>
      <c r="K142" s="303"/>
      <c r="L142" s="303"/>
      <c r="M142" s="303"/>
      <c r="N142" s="303"/>
      <c r="O142" s="303"/>
      <c r="P142" s="303"/>
      <c r="Q142" s="303"/>
      <c r="R142" s="303"/>
      <c r="S142" s="303"/>
      <c r="T142" s="303"/>
      <c r="U142" s="303"/>
      <c r="V142" s="303"/>
      <c r="W142" s="303"/>
      <c r="X142" s="303"/>
      <c r="Y142" s="303"/>
      <c r="Z142" s="303"/>
    </row>
    <row r="143" spans="1:26" x14ac:dyDescent="0.2">
      <c r="A143" s="303"/>
      <c r="B143" s="303"/>
      <c r="C143" s="303"/>
      <c r="D143" s="303"/>
      <c r="E143" s="303"/>
      <c r="F143" s="303"/>
      <c r="G143" s="303"/>
      <c r="H143" s="303"/>
      <c r="I143" s="303"/>
      <c r="J143" s="303"/>
      <c r="K143" s="303"/>
      <c r="L143" s="303"/>
      <c r="M143" s="303"/>
      <c r="N143" s="303"/>
      <c r="O143" s="303"/>
      <c r="P143" s="303"/>
      <c r="Q143" s="303"/>
      <c r="R143" s="303"/>
      <c r="S143" s="303"/>
      <c r="T143" s="303"/>
      <c r="U143" s="303"/>
      <c r="V143" s="303"/>
      <c r="W143" s="303"/>
      <c r="X143" s="303"/>
      <c r="Y143" s="303"/>
      <c r="Z143" s="303"/>
    </row>
    <row r="144" spans="1:26" x14ac:dyDescent="0.2">
      <c r="A144" s="303"/>
      <c r="B144" s="303"/>
      <c r="C144" s="303"/>
      <c r="D144" s="303"/>
      <c r="E144" s="303"/>
      <c r="F144" s="303"/>
      <c r="G144" s="303"/>
      <c r="H144" s="303"/>
      <c r="I144" s="303"/>
      <c r="J144" s="303"/>
      <c r="K144" s="303"/>
      <c r="L144" s="303"/>
      <c r="M144" s="303"/>
      <c r="N144" s="303"/>
      <c r="O144" s="303"/>
      <c r="P144" s="303"/>
      <c r="Q144" s="303"/>
      <c r="R144" s="303"/>
      <c r="S144" s="303"/>
      <c r="T144" s="303"/>
      <c r="U144" s="303"/>
      <c r="V144" s="303"/>
      <c r="W144" s="303"/>
      <c r="X144" s="303"/>
      <c r="Y144" s="303"/>
      <c r="Z144" s="303"/>
    </row>
    <row r="145" spans="1:26" x14ac:dyDescent="0.2">
      <c r="A145" s="303"/>
      <c r="B145" s="303"/>
      <c r="C145" s="303"/>
      <c r="D145" s="303"/>
      <c r="E145" s="303"/>
      <c r="F145" s="303"/>
      <c r="G145" s="303"/>
      <c r="H145" s="303"/>
      <c r="I145" s="303"/>
      <c r="J145" s="303"/>
      <c r="K145" s="303"/>
      <c r="L145" s="303"/>
      <c r="M145" s="303"/>
      <c r="N145" s="303"/>
      <c r="O145" s="303"/>
      <c r="P145" s="303"/>
      <c r="Q145" s="303"/>
      <c r="R145" s="303"/>
      <c r="S145" s="303"/>
      <c r="T145" s="303"/>
      <c r="U145" s="303"/>
      <c r="V145" s="303"/>
      <c r="W145" s="303"/>
      <c r="X145" s="303"/>
      <c r="Y145" s="303"/>
      <c r="Z145" s="303"/>
    </row>
    <row r="146" spans="1:26" x14ac:dyDescent="0.2">
      <c r="A146" s="303"/>
      <c r="B146" s="303"/>
      <c r="C146" s="303"/>
      <c r="D146" s="303"/>
      <c r="E146" s="303"/>
      <c r="F146" s="303"/>
      <c r="G146" s="303"/>
      <c r="H146" s="303"/>
      <c r="I146" s="303"/>
      <c r="J146" s="303"/>
      <c r="K146" s="303"/>
      <c r="L146" s="303"/>
      <c r="M146" s="303"/>
      <c r="N146" s="303"/>
      <c r="O146" s="303"/>
      <c r="P146" s="303"/>
      <c r="Q146" s="303"/>
      <c r="R146" s="303"/>
      <c r="S146" s="303"/>
      <c r="T146" s="303"/>
      <c r="U146" s="303"/>
      <c r="V146" s="303"/>
      <c r="W146" s="303"/>
      <c r="X146" s="303"/>
      <c r="Y146" s="303"/>
      <c r="Z146" s="303"/>
    </row>
    <row r="147" spans="1:26" x14ac:dyDescent="0.2">
      <c r="A147" s="303"/>
      <c r="B147" s="303"/>
      <c r="C147" s="303"/>
      <c r="D147" s="303"/>
      <c r="E147" s="303"/>
      <c r="F147" s="303"/>
      <c r="G147" s="303"/>
      <c r="H147" s="303"/>
      <c r="I147" s="303"/>
      <c r="J147" s="303"/>
      <c r="K147" s="303"/>
      <c r="L147" s="303"/>
      <c r="M147" s="303"/>
      <c r="N147" s="303"/>
      <c r="O147" s="303"/>
      <c r="P147" s="303"/>
      <c r="Q147" s="303"/>
      <c r="R147" s="303"/>
      <c r="S147" s="303"/>
      <c r="T147" s="303"/>
      <c r="U147" s="303"/>
      <c r="V147" s="303"/>
      <c r="W147" s="303"/>
      <c r="X147" s="303"/>
      <c r="Y147" s="303"/>
      <c r="Z147" s="303"/>
    </row>
    <row r="148" spans="1:26" x14ac:dyDescent="0.2">
      <c r="A148" s="303"/>
      <c r="B148" s="303"/>
      <c r="C148" s="303"/>
      <c r="D148" s="303"/>
      <c r="E148" s="303"/>
      <c r="F148" s="303"/>
      <c r="G148" s="303"/>
      <c r="H148" s="303"/>
      <c r="I148" s="303"/>
      <c r="J148" s="303"/>
      <c r="K148" s="303"/>
      <c r="L148" s="303"/>
      <c r="M148" s="303"/>
      <c r="N148" s="303"/>
      <c r="O148" s="303"/>
      <c r="P148" s="303"/>
      <c r="Q148" s="303"/>
      <c r="R148" s="303"/>
      <c r="S148" s="303"/>
      <c r="T148" s="303"/>
      <c r="U148" s="303"/>
      <c r="V148" s="303"/>
      <c r="W148" s="303"/>
      <c r="X148" s="303"/>
      <c r="Y148" s="303"/>
      <c r="Z148" s="303"/>
    </row>
    <row r="149" spans="1:26" x14ac:dyDescent="0.2">
      <c r="A149" s="303"/>
      <c r="B149" s="303"/>
      <c r="C149" s="303"/>
      <c r="D149" s="303"/>
      <c r="E149" s="303"/>
      <c r="F149" s="303"/>
      <c r="G149" s="303"/>
      <c r="H149" s="303"/>
      <c r="I149" s="303"/>
      <c r="J149" s="303"/>
      <c r="K149" s="303"/>
      <c r="L149" s="303"/>
      <c r="M149" s="303"/>
      <c r="N149" s="303"/>
      <c r="O149" s="303"/>
      <c r="P149" s="303"/>
      <c r="Q149" s="303"/>
      <c r="R149" s="303"/>
      <c r="S149" s="303"/>
      <c r="T149" s="303"/>
      <c r="U149" s="303"/>
      <c r="V149" s="303"/>
      <c r="W149" s="303"/>
      <c r="X149" s="303"/>
      <c r="Y149" s="303"/>
      <c r="Z149" s="303"/>
    </row>
    <row r="150" spans="1:26" x14ac:dyDescent="0.2">
      <c r="A150" s="303"/>
      <c r="B150" s="303"/>
      <c r="C150" s="303"/>
      <c r="D150" s="303"/>
      <c r="E150" s="303"/>
      <c r="F150" s="303"/>
      <c r="G150" s="303"/>
      <c r="H150" s="303"/>
      <c r="I150" s="303"/>
      <c r="J150" s="303"/>
      <c r="K150" s="303"/>
      <c r="L150" s="303"/>
      <c r="M150" s="303"/>
      <c r="N150" s="303"/>
      <c r="O150" s="303"/>
      <c r="P150" s="303"/>
      <c r="Q150" s="303"/>
      <c r="R150" s="303"/>
      <c r="S150" s="303"/>
      <c r="T150" s="303"/>
      <c r="U150" s="303"/>
      <c r="V150" s="303"/>
      <c r="W150" s="303"/>
      <c r="X150" s="303"/>
      <c r="Y150" s="303"/>
      <c r="Z150" s="303"/>
    </row>
    <row r="151" spans="1:26" x14ac:dyDescent="0.2">
      <c r="A151" s="303"/>
      <c r="B151" s="303"/>
      <c r="C151" s="303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  <c r="N151" s="303"/>
      <c r="O151" s="303"/>
      <c r="P151" s="303"/>
      <c r="Q151" s="303"/>
      <c r="R151" s="303"/>
      <c r="S151" s="303"/>
      <c r="T151" s="303"/>
      <c r="U151" s="303"/>
      <c r="V151" s="303"/>
      <c r="W151" s="303"/>
      <c r="X151" s="303"/>
      <c r="Y151" s="303"/>
      <c r="Z151" s="303"/>
    </row>
    <row r="152" spans="1:26" x14ac:dyDescent="0.2">
      <c r="A152" s="303"/>
      <c r="B152" s="303"/>
      <c r="C152" s="303"/>
      <c r="D152" s="303"/>
      <c r="E152" s="303"/>
      <c r="F152" s="303"/>
      <c r="G152" s="303"/>
      <c r="H152" s="303"/>
      <c r="I152" s="303"/>
      <c r="J152" s="303"/>
      <c r="K152" s="303"/>
      <c r="L152" s="303"/>
      <c r="M152" s="303"/>
      <c r="N152" s="303"/>
      <c r="O152" s="303"/>
      <c r="P152" s="303"/>
      <c r="Q152" s="303"/>
      <c r="R152" s="303"/>
      <c r="S152" s="303"/>
      <c r="T152" s="303"/>
      <c r="U152" s="303"/>
      <c r="V152" s="303"/>
      <c r="W152" s="303"/>
      <c r="X152" s="303"/>
      <c r="Y152" s="303"/>
      <c r="Z152" s="303"/>
    </row>
    <row r="153" spans="1:26" x14ac:dyDescent="0.2">
      <c r="A153" s="303"/>
      <c r="B153" s="303"/>
      <c r="C153" s="303"/>
      <c r="D153" s="303"/>
      <c r="E153" s="303"/>
      <c r="F153" s="303"/>
      <c r="G153" s="303"/>
      <c r="H153" s="303"/>
      <c r="I153" s="303"/>
      <c r="J153" s="303"/>
      <c r="K153" s="303"/>
      <c r="L153" s="303"/>
      <c r="M153" s="303"/>
      <c r="N153" s="303"/>
      <c r="O153" s="303"/>
      <c r="P153" s="303"/>
      <c r="Q153" s="303"/>
      <c r="R153" s="303"/>
      <c r="S153" s="303"/>
      <c r="T153" s="303"/>
      <c r="U153" s="303"/>
      <c r="V153" s="303"/>
      <c r="W153" s="303"/>
      <c r="X153" s="303"/>
      <c r="Y153" s="303"/>
      <c r="Z153" s="303"/>
    </row>
    <row r="154" spans="1:26" x14ac:dyDescent="0.2">
      <c r="A154" s="303"/>
      <c r="B154" s="303"/>
      <c r="C154" s="303"/>
      <c r="D154" s="303"/>
      <c r="E154" s="303"/>
      <c r="F154" s="303"/>
      <c r="G154" s="303"/>
      <c r="H154" s="303"/>
      <c r="I154" s="303"/>
      <c r="J154" s="303"/>
      <c r="K154" s="303"/>
      <c r="L154" s="303"/>
      <c r="M154" s="303"/>
      <c r="N154" s="303"/>
      <c r="O154" s="303"/>
      <c r="P154" s="303"/>
      <c r="Q154" s="303"/>
      <c r="R154" s="303"/>
      <c r="S154" s="303"/>
      <c r="T154" s="303"/>
      <c r="U154" s="303"/>
      <c r="V154" s="303"/>
      <c r="W154" s="303"/>
      <c r="X154" s="303"/>
      <c r="Y154" s="303"/>
      <c r="Z154" s="303"/>
    </row>
    <row r="155" spans="1:26" x14ac:dyDescent="0.2">
      <c r="A155" s="303"/>
      <c r="B155" s="303"/>
      <c r="C155" s="303"/>
      <c r="D155" s="303"/>
      <c r="E155" s="303"/>
      <c r="F155" s="303"/>
      <c r="G155" s="303"/>
      <c r="H155" s="303"/>
      <c r="I155" s="303"/>
      <c r="J155" s="303"/>
      <c r="K155" s="303"/>
      <c r="L155" s="303"/>
      <c r="M155" s="303"/>
      <c r="N155" s="303"/>
      <c r="O155" s="303"/>
      <c r="P155" s="303"/>
      <c r="Q155" s="303"/>
      <c r="R155" s="303"/>
      <c r="S155" s="303"/>
      <c r="T155" s="303"/>
      <c r="U155" s="303"/>
      <c r="V155" s="303"/>
      <c r="W155" s="303"/>
      <c r="X155" s="303"/>
      <c r="Y155" s="303"/>
      <c r="Z155" s="303"/>
    </row>
    <row r="156" spans="1:26" x14ac:dyDescent="0.2">
      <c r="A156" s="303"/>
      <c r="B156" s="303"/>
      <c r="C156" s="303"/>
      <c r="D156" s="303"/>
      <c r="E156" s="303"/>
      <c r="F156" s="303"/>
      <c r="G156" s="303"/>
      <c r="H156" s="303"/>
      <c r="I156" s="303"/>
      <c r="J156" s="303"/>
      <c r="K156" s="303"/>
      <c r="L156" s="303"/>
      <c r="M156" s="303"/>
      <c r="N156" s="303"/>
      <c r="O156" s="303"/>
      <c r="P156" s="303"/>
      <c r="Q156" s="303"/>
      <c r="R156" s="303"/>
      <c r="S156" s="303"/>
      <c r="T156" s="303"/>
      <c r="U156" s="303"/>
      <c r="V156" s="303"/>
      <c r="W156" s="303"/>
      <c r="X156" s="303"/>
      <c r="Y156" s="303"/>
      <c r="Z156" s="303"/>
    </row>
    <row r="157" spans="1:26" x14ac:dyDescent="0.2">
      <c r="A157" s="303"/>
      <c r="B157" s="303"/>
      <c r="C157" s="303"/>
      <c r="D157" s="303"/>
      <c r="E157" s="303"/>
      <c r="F157" s="303"/>
      <c r="G157" s="303"/>
      <c r="H157" s="303"/>
      <c r="I157" s="303"/>
      <c r="J157" s="303"/>
      <c r="K157" s="303"/>
      <c r="L157" s="303"/>
      <c r="M157" s="303"/>
      <c r="N157" s="303"/>
      <c r="O157" s="303"/>
      <c r="P157" s="303"/>
      <c r="Q157" s="303"/>
      <c r="R157" s="303"/>
      <c r="S157" s="303"/>
      <c r="T157" s="303"/>
      <c r="U157" s="303"/>
      <c r="V157" s="303"/>
      <c r="W157" s="303"/>
      <c r="X157" s="303"/>
      <c r="Y157" s="303"/>
      <c r="Z157" s="303"/>
    </row>
    <row r="158" spans="1:26" x14ac:dyDescent="0.2">
      <c r="A158" s="303"/>
      <c r="B158" s="303"/>
      <c r="C158" s="303"/>
      <c r="D158" s="303"/>
      <c r="E158" s="303"/>
      <c r="F158" s="303"/>
      <c r="G158" s="303"/>
      <c r="H158" s="303"/>
      <c r="I158" s="303"/>
      <c r="J158" s="303"/>
      <c r="K158" s="303"/>
      <c r="L158" s="303"/>
      <c r="M158" s="303"/>
      <c r="N158" s="303"/>
      <c r="O158" s="303"/>
      <c r="P158" s="303"/>
      <c r="Q158" s="303"/>
      <c r="R158" s="303"/>
      <c r="S158" s="303"/>
      <c r="T158" s="303"/>
      <c r="U158" s="303"/>
      <c r="V158" s="303"/>
      <c r="W158" s="303"/>
      <c r="X158" s="303"/>
      <c r="Y158" s="303"/>
      <c r="Z158" s="303"/>
    </row>
    <row r="159" spans="1:26" x14ac:dyDescent="0.2">
      <c r="A159" s="303"/>
      <c r="B159" s="303"/>
      <c r="C159" s="303"/>
      <c r="D159" s="303"/>
      <c r="E159" s="303"/>
      <c r="F159" s="303"/>
      <c r="G159" s="303"/>
      <c r="H159" s="303"/>
      <c r="I159" s="303"/>
      <c r="J159" s="303"/>
      <c r="K159" s="303"/>
      <c r="L159" s="303"/>
      <c r="M159" s="303"/>
      <c r="N159" s="303"/>
      <c r="O159" s="303"/>
      <c r="P159" s="303"/>
      <c r="Q159" s="303"/>
      <c r="R159" s="303"/>
      <c r="S159" s="303"/>
      <c r="T159" s="303"/>
      <c r="U159" s="303"/>
      <c r="V159" s="303"/>
      <c r="W159" s="303"/>
      <c r="X159" s="303"/>
      <c r="Y159" s="303"/>
      <c r="Z159" s="303"/>
    </row>
    <row r="160" spans="1:26" x14ac:dyDescent="0.2">
      <c r="A160" s="303"/>
      <c r="B160" s="303"/>
      <c r="C160" s="303"/>
      <c r="D160" s="303"/>
      <c r="E160" s="303"/>
      <c r="F160" s="303"/>
      <c r="G160" s="303"/>
      <c r="H160" s="303"/>
      <c r="I160" s="303"/>
      <c r="J160" s="303"/>
      <c r="K160" s="303"/>
      <c r="L160" s="303"/>
      <c r="M160" s="303"/>
      <c r="N160" s="303"/>
      <c r="O160" s="303"/>
      <c r="P160" s="303"/>
      <c r="Q160" s="303"/>
      <c r="R160" s="303"/>
      <c r="S160" s="303"/>
      <c r="T160" s="303"/>
      <c r="U160" s="303"/>
      <c r="V160" s="303"/>
      <c r="W160" s="303"/>
      <c r="X160" s="303"/>
      <c r="Y160" s="303"/>
      <c r="Z160" s="303"/>
    </row>
    <row r="161" spans="1:26" x14ac:dyDescent="0.2">
      <c r="A161" s="303"/>
      <c r="B161" s="303"/>
      <c r="C161" s="303"/>
      <c r="D161" s="303"/>
      <c r="E161" s="303"/>
      <c r="F161" s="303"/>
      <c r="G161" s="303"/>
      <c r="H161" s="303"/>
      <c r="I161" s="303"/>
      <c r="J161" s="303"/>
      <c r="K161" s="303"/>
      <c r="L161" s="303"/>
      <c r="M161" s="303"/>
      <c r="N161" s="303"/>
      <c r="O161" s="303"/>
      <c r="P161" s="303"/>
      <c r="Q161" s="303"/>
      <c r="R161" s="303"/>
      <c r="S161" s="303"/>
      <c r="T161" s="303"/>
      <c r="U161" s="303"/>
      <c r="V161" s="303"/>
      <c r="W161" s="303"/>
      <c r="X161" s="303"/>
      <c r="Y161" s="303"/>
      <c r="Z161" s="303"/>
    </row>
    <row r="162" spans="1:26" x14ac:dyDescent="0.2">
      <c r="A162" s="303"/>
      <c r="B162" s="303"/>
      <c r="C162" s="303"/>
      <c r="D162" s="303"/>
      <c r="E162" s="303"/>
      <c r="F162" s="303"/>
      <c r="G162" s="303"/>
      <c r="H162" s="303"/>
      <c r="I162" s="303"/>
      <c r="J162" s="303"/>
      <c r="K162" s="303"/>
      <c r="L162" s="303"/>
      <c r="M162" s="303"/>
      <c r="N162" s="303"/>
      <c r="O162" s="303"/>
      <c r="P162" s="303"/>
      <c r="Q162" s="303"/>
      <c r="R162" s="303"/>
      <c r="S162" s="303"/>
      <c r="T162" s="303"/>
      <c r="U162" s="303"/>
      <c r="V162" s="303"/>
      <c r="W162" s="303"/>
      <c r="X162" s="303"/>
      <c r="Y162" s="303"/>
      <c r="Z162" s="303"/>
    </row>
    <row r="163" spans="1:26" x14ac:dyDescent="0.2">
      <c r="A163" s="303"/>
      <c r="B163" s="303"/>
      <c r="C163" s="303"/>
      <c r="D163" s="303"/>
      <c r="E163" s="303"/>
      <c r="F163" s="303"/>
      <c r="G163" s="303"/>
      <c r="H163" s="303"/>
      <c r="I163" s="303"/>
      <c r="J163" s="303"/>
      <c r="K163" s="303"/>
      <c r="L163" s="303"/>
      <c r="M163" s="303"/>
      <c r="N163" s="303"/>
      <c r="O163" s="303"/>
      <c r="P163" s="303"/>
      <c r="Q163" s="303"/>
      <c r="R163" s="303"/>
      <c r="S163" s="303"/>
      <c r="T163" s="303"/>
      <c r="U163" s="303"/>
      <c r="V163" s="303"/>
      <c r="W163" s="303"/>
      <c r="X163" s="303"/>
      <c r="Y163" s="303"/>
      <c r="Z163" s="303"/>
    </row>
    <row r="164" spans="1:26" x14ac:dyDescent="0.2">
      <c r="A164" s="303"/>
      <c r="B164" s="303"/>
      <c r="C164" s="303"/>
      <c r="D164" s="303"/>
      <c r="E164" s="303"/>
      <c r="F164" s="303"/>
      <c r="G164" s="303"/>
      <c r="H164" s="303"/>
      <c r="I164" s="303"/>
      <c r="J164" s="303"/>
      <c r="K164" s="303"/>
      <c r="L164" s="303"/>
      <c r="M164" s="303"/>
      <c r="N164" s="303"/>
      <c r="O164" s="303"/>
      <c r="P164" s="303"/>
      <c r="Q164" s="303"/>
      <c r="R164" s="303"/>
      <c r="S164" s="303"/>
      <c r="T164" s="303"/>
      <c r="U164" s="303"/>
      <c r="V164" s="303"/>
      <c r="W164" s="303"/>
      <c r="X164" s="303"/>
      <c r="Y164" s="303"/>
      <c r="Z164" s="303"/>
    </row>
    <row r="165" spans="1:26" x14ac:dyDescent="0.2">
      <c r="A165" s="303"/>
      <c r="B165" s="303"/>
      <c r="C165" s="303"/>
      <c r="D165" s="303"/>
      <c r="E165" s="303"/>
      <c r="F165" s="303"/>
      <c r="G165" s="303"/>
      <c r="H165" s="303"/>
      <c r="I165" s="303"/>
      <c r="J165" s="303"/>
      <c r="K165" s="303"/>
      <c r="L165" s="303"/>
      <c r="M165" s="303"/>
      <c r="N165" s="303"/>
      <c r="O165" s="303"/>
      <c r="P165" s="303"/>
      <c r="Q165" s="303"/>
      <c r="R165" s="303"/>
      <c r="S165" s="303"/>
      <c r="T165" s="303"/>
      <c r="U165" s="303"/>
      <c r="V165" s="303"/>
      <c r="W165" s="303"/>
      <c r="X165" s="303"/>
      <c r="Y165" s="303"/>
      <c r="Z165" s="303"/>
    </row>
    <row r="166" spans="1:26" x14ac:dyDescent="0.2">
      <c r="A166" s="303"/>
      <c r="B166" s="303"/>
      <c r="C166" s="303"/>
      <c r="D166" s="303"/>
      <c r="E166" s="303"/>
      <c r="F166" s="303"/>
      <c r="G166" s="303"/>
      <c r="H166" s="303"/>
      <c r="I166" s="303"/>
      <c r="J166" s="303"/>
      <c r="K166" s="303"/>
      <c r="L166" s="303"/>
      <c r="M166" s="303"/>
      <c r="N166" s="303"/>
      <c r="O166" s="303"/>
      <c r="P166" s="303"/>
      <c r="Q166" s="303"/>
      <c r="R166" s="303"/>
      <c r="S166" s="303"/>
      <c r="T166" s="303"/>
      <c r="U166" s="303"/>
      <c r="V166" s="303"/>
      <c r="W166" s="303"/>
      <c r="X166" s="303"/>
      <c r="Y166" s="303"/>
      <c r="Z166" s="303"/>
    </row>
    <row r="167" spans="1:26" x14ac:dyDescent="0.2">
      <c r="A167" s="303"/>
      <c r="B167" s="303"/>
      <c r="C167" s="303"/>
      <c r="D167" s="303"/>
      <c r="E167" s="303"/>
      <c r="F167" s="303"/>
      <c r="G167" s="303"/>
      <c r="H167" s="303"/>
      <c r="I167" s="303"/>
      <c r="J167" s="303"/>
      <c r="K167" s="303"/>
      <c r="L167" s="303"/>
      <c r="M167" s="303"/>
      <c r="N167" s="303"/>
      <c r="O167" s="303"/>
      <c r="P167" s="303"/>
      <c r="Q167" s="303"/>
      <c r="R167" s="303"/>
      <c r="S167" s="303"/>
      <c r="T167" s="303"/>
      <c r="U167" s="303"/>
      <c r="V167" s="303"/>
      <c r="W167" s="303"/>
      <c r="X167" s="303"/>
      <c r="Y167" s="303"/>
      <c r="Z167" s="303"/>
    </row>
    <row r="168" spans="1:26" x14ac:dyDescent="0.2">
      <c r="A168" s="303"/>
      <c r="B168" s="303"/>
      <c r="C168" s="303"/>
      <c r="D168" s="303"/>
      <c r="E168" s="303"/>
      <c r="F168" s="303"/>
      <c r="G168" s="303"/>
      <c r="H168" s="303"/>
      <c r="I168" s="303"/>
      <c r="J168" s="303"/>
      <c r="K168" s="303"/>
      <c r="L168" s="303"/>
      <c r="M168" s="303"/>
      <c r="N168" s="303"/>
      <c r="O168" s="303"/>
      <c r="P168" s="303"/>
      <c r="Q168" s="303"/>
      <c r="R168" s="303"/>
      <c r="S168" s="303"/>
      <c r="T168" s="303"/>
      <c r="U168" s="303"/>
      <c r="V168" s="303"/>
      <c r="W168" s="303"/>
      <c r="X168" s="303"/>
      <c r="Y168" s="303"/>
      <c r="Z168" s="303"/>
    </row>
    <row r="169" spans="1:26" x14ac:dyDescent="0.2">
      <c r="A169" s="303"/>
      <c r="B169" s="303"/>
      <c r="C169" s="303"/>
      <c r="D169" s="303"/>
      <c r="E169" s="303"/>
      <c r="F169" s="303"/>
      <c r="G169" s="303"/>
      <c r="H169" s="303"/>
      <c r="I169" s="303"/>
      <c r="J169" s="303"/>
      <c r="K169" s="303"/>
      <c r="L169" s="303"/>
      <c r="M169" s="303"/>
      <c r="N169" s="303"/>
      <c r="O169" s="303"/>
      <c r="P169" s="303"/>
      <c r="Q169" s="303"/>
      <c r="R169" s="303"/>
      <c r="S169" s="303"/>
      <c r="T169" s="303"/>
      <c r="U169" s="303"/>
      <c r="V169" s="303"/>
      <c r="W169" s="303"/>
      <c r="X169" s="303"/>
      <c r="Y169" s="303"/>
      <c r="Z169" s="303"/>
    </row>
    <row r="170" spans="1:26" x14ac:dyDescent="0.2">
      <c r="A170" s="303"/>
      <c r="B170" s="303"/>
      <c r="C170" s="303"/>
      <c r="D170" s="303"/>
      <c r="E170" s="303"/>
      <c r="F170" s="303"/>
      <c r="G170" s="303"/>
      <c r="H170" s="303"/>
      <c r="I170" s="303"/>
      <c r="J170" s="303"/>
      <c r="K170" s="303"/>
      <c r="L170" s="303"/>
      <c r="M170" s="303"/>
      <c r="N170" s="303"/>
      <c r="O170" s="303"/>
      <c r="P170" s="303"/>
      <c r="Q170" s="303"/>
      <c r="R170" s="303"/>
      <c r="S170" s="303"/>
      <c r="T170" s="303"/>
      <c r="U170" s="303"/>
      <c r="V170" s="303"/>
      <c r="W170" s="303"/>
      <c r="X170" s="303"/>
      <c r="Y170" s="303"/>
      <c r="Z170" s="303"/>
    </row>
    <row r="171" spans="1:26" x14ac:dyDescent="0.2">
      <c r="A171" s="303"/>
      <c r="B171" s="303"/>
      <c r="C171" s="303"/>
      <c r="D171" s="303"/>
      <c r="E171" s="303"/>
      <c r="F171" s="303"/>
      <c r="G171" s="303"/>
      <c r="H171" s="303"/>
      <c r="I171" s="303"/>
      <c r="J171" s="303"/>
      <c r="K171" s="303"/>
      <c r="L171" s="303"/>
      <c r="M171" s="303"/>
      <c r="N171" s="303"/>
      <c r="O171" s="303"/>
      <c r="P171" s="303"/>
      <c r="Q171" s="303"/>
      <c r="R171" s="303"/>
      <c r="S171" s="303"/>
      <c r="T171" s="303"/>
      <c r="U171" s="303"/>
      <c r="V171" s="303"/>
      <c r="W171" s="303"/>
      <c r="X171" s="303"/>
      <c r="Y171" s="303"/>
      <c r="Z171" s="303"/>
    </row>
    <row r="172" spans="1:26" x14ac:dyDescent="0.2">
      <c r="A172" s="303"/>
      <c r="B172" s="303"/>
      <c r="C172" s="303"/>
      <c r="D172" s="303"/>
      <c r="E172" s="303"/>
      <c r="F172" s="303"/>
      <c r="G172" s="303"/>
      <c r="H172" s="303"/>
      <c r="I172" s="303"/>
      <c r="J172" s="303"/>
      <c r="K172" s="303"/>
      <c r="L172" s="303"/>
      <c r="M172" s="303"/>
      <c r="N172" s="303"/>
      <c r="O172" s="303"/>
      <c r="P172" s="303"/>
      <c r="Q172" s="303"/>
      <c r="R172" s="303"/>
      <c r="S172" s="303"/>
      <c r="T172" s="303"/>
      <c r="U172" s="303"/>
      <c r="V172" s="303"/>
      <c r="W172" s="303"/>
      <c r="X172" s="303"/>
      <c r="Y172" s="303"/>
      <c r="Z172" s="303"/>
    </row>
    <row r="173" spans="1:26" x14ac:dyDescent="0.2">
      <c r="A173" s="303"/>
      <c r="B173" s="303"/>
      <c r="C173" s="303"/>
      <c r="D173" s="303"/>
      <c r="E173" s="303"/>
      <c r="F173" s="303"/>
      <c r="G173" s="303"/>
      <c r="H173" s="303"/>
      <c r="I173" s="303"/>
      <c r="J173" s="303"/>
      <c r="K173" s="303"/>
      <c r="L173" s="303"/>
      <c r="M173" s="303"/>
      <c r="N173" s="303"/>
      <c r="O173" s="303"/>
      <c r="P173" s="303"/>
      <c r="Q173" s="303"/>
      <c r="R173" s="303"/>
      <c r="S173" s="303"/>
      <c r="T173" s="303"/>
      <c r="U173" s="303"/>
      <c r="V173" s="303"/>
      <c r="W173" s="303"/>
      <c r="X173" s="303"/>
      <c r="Y173" s="303"/>
      <c r="Z173" s="303"/>
    </row>
    <row r="174" spans="1:26" x14ac:dyDescent="0.2">
      <c r="A174" s="303"/>
      <c r="B174" s="303"/>
      <c r="C174" s="303"/>
      <c r="D174" s="303"/>
      <c r="E174" s="303"/>
      <c r="F174" s="303"/>
      <c r="G174" s="303"/>
      <c r="H174" s="303"/>
      <c r="I174" s="303"/>
      <c r="J174" s="303"/>
      <c r="K174" s="303"/>
      <c r="L174" s="303"/>
      <c r="M174" s="303"/>
      <c r="N174" s="303"/>
      <c r="O174" s="303"/>
      <c r="P174" s="303"/>
      <c r="Q174" s="303"/>
      <c r="R174" s="303"/>
      <c r="S174" s="303"/>
      <c r="T174" s="303"/>
      <c r="U174" s="303"/>
      <c r="V174" s="303"/>
      <c r="W174" s="303"/>
      <c r="X174" s="303"/>
      <c r="Y174" s="303"/>
      <c r="Z174" s="303"/>
    </row>
    <row r="175" spans="1:26" x14ac:dyDescent="0.2">
      <c r="A175" s="303"/>
      <c r="B175" s="303"/>
      <c r="C175" s="303"/>
      <c r="D175" s="303"/>
      <c r="E175" s="303"/>
      <c r="F175" s="303"/>
      <c r="G175" s="303"/>
      <c r="H175" s="303"/>
      <c r="I175" s="303"/>
      <c r="J175" s="303"/>
      <c r="K175" s="303"/>
      <c r="L175" s="303"/>
      <c r="M175" s="303"/>
      <c r="N175" s="303"/>
      <c r="O175" s="303"/>
      <c r="P175" s="303"/>
      <c r="Q175" s="303"/>
      <c r="R175" s="303"/>
      <c r="S175" s="303"/>
      <c r="T175" s="303"/>
      <c r="U175" s="303"/>
      <c r="V175" s="303"/>
      <c r="W175" s="303"/>
      <c r="X175" s="303"/>
      <c r="Y175" s="303"/>
      <c r="Z175" s="303"/>
    </row>
    <row r="176" spans="1:26" x14ac:dyDescent="0.2">
      <c r="A176" s="303"/>
      <c r="B176" s="303"/>
      <c r="C176" s="303"/>
      <c r="D176" s="303"/>
      <c r="E176" s="303"/>
      <c r="F176" s="303"/>
      <c r="G176" s="303"/>
      <c r="H176" s="303"/>
      <c r="I176" s="303"/>
      <c r="J176" s="303"/>
      <c r="K176" s="303"/>
      <c r="L176" s="303"/>
      <c r="M176" s="303"/>
      <c r="N176" s="303"/>
      <c r="O176" s="303"/>
      <c r="P176" s="303"/>
      <c r="Q176" s="303"/>
      <c r="R176" s="303"/>
      <c r="S176" s="303"/>
      <c r="T176" s="303"/>
      <c r="U176" s="303"/>
      <c r="V176" s="303"/>
      <c r="W176" s="303"/>
      <c r="X176" s="303"/>
      <c r="Y176" s="303"/>
      <c r="Z176" s="303"/>
    </row>
    <row r="177" spans="1:26" x14ac:dyDescent="0.2">
      <c r="A177" s="303"/>
      <c r="B177" s="303"/>
      <c r="C177" s="303"/>
      <c r="D177" s="303"/>
      <c r="E177" s="303"/>
      <c r="F177" s="303"/>
      <c r="G177" s="303"/>
      <c r="H177" s="303"/>
      <c r="I177" s="303"/>
      <c r="J177" s="303"/>
      <c r="K177" s="303"/>
      <c r="L177" s="303"/>
      <c r="M177" s="303"/>
      <c r="N177" s="303"/>
      <c r="O177" s="303"/>
      <c r="P177" s="303"/>
      <c r="Q177" s="303"/>
      <c r="R177" s="303"/>
      <c r="S177" s="303"/>
      <c r="T177" s="303"/>
      <c r="U177" s="303"/>
      <c r="V177" s="303"/>
      <c r="W177" s="303"/>
      <c r="X177" s="303"/>
      <c r="Y177" s="303"/>
      <c r="Z177" s="303"/>
    </row>
    <row r="178" spans="1:26" x14ac:dyDescent="0.2">
      <c r="A178" s="303"/>
      <c r="B178" s="303"/>
      <c r="C178" s="303"/>
      <c r="D178" s="303"/>
      <c r="E178" s="303"/>
      <c r="F178" s="303"/>
      <c r="G178" s="303"/>
      <c r="H178" s="303"/>
      <c r="I178" s="303"/>
      <c r="J178" s="303"/>
      <c r="K178" s="303"/>
      <c r="L178" s="303"/>
      <c r="M178" s="303"/>
      <c r="N178" s="303"/>
      <c r="O178" s="303"/>
      <c r="P178" s="303"/>
      <c r="Q178" s="303"/>
      <c r="R178" s="303"/>
      <c r="S178" s="303"/>
      <c r="T178" s="303"/>
      <c r="U178" s="303"/>
      <c r="V178" s="303"/>
      <c r="W178" s="303"/>
      <c r="X178" s="303"/>
      <c r="Y178" s="303"/>
      <c r="Z178" s="303"/>
    </row>
    <row r="179" spans="1:26" x14ac:dyDescent="0.2">
      <c r="A179" s="303"/>
      <c r="B179" s="303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  <c r="N179" s="303"/>
      <c r="O179" s="303"/>
      <c r="P179" s="303"/>
      <c r="Q179" s="303"/>
      <c r="R179" s="303"/>
      <c r="S179" s="303"/>
      <c r="T179" s="303"/>
      <c r="U179" s="303"/>
      <c r="V179" s="303"/>
      <c r="W179" s="303"/>
      <c r="X179" s="303"/>
      <c r="Y179" s="303"/>
      <c r="Z179" s="303"/>
    </row>
    <row r="180" spans="1:26" x14ac:dyDescent="0.2">
      <c r="A180" s="303"/>
      <c r="B180" s="303"/>
      <c r="C180" s="303"/>
      <c r="D180" s="303"/>
      <c r="E180" s="303"/>
      <c r="F180" s="303"/>
      <c r="G180" s="303"/>
      <c r="H180" s="303"/>
      <c r="I180" s="303"/>
      <c r="J180" s="303"/>
      <c r="K180" s="303"/>
      <c r="L180" s="303"/>
      <c r="M180" s="303"/>
      <c r="N180" s="303"/>
      <c r="O180" s="303"/>
      <c r="P180" s="303"/>
      <c r="Q180" s="303"/>
      <c r="R180" s="303"/>
      <c r="S180" s="303"/>
      <c r="T180" s="303"/>
      <c r="U180" s="303"/>
      <c r="V180" s="303"/>
      <c r="W180" s="303"/>
      <c r="X180" s="303"/>
      <c r="Y180" s="303"/>
      <c r="Z180" s="303"/>
    </row>
    <row r="181" spans="1:26" x14ac:dyDescent="0.2">
      <c r="A181" s="303"/>
      <c r="B181" s="303"/>
      <c r="C181" s="303"/>
      <c r="D181" s="303"/>
      <c r="E181" s="303"/>
      <c r="F181" s="303"/>
      <c r="G181" s="303"/>
      <c r="H181" s="303"/>
      <c r="I181" s="303"/>
      <c r="J181" s="303"/>
      <c r="K181" s="303"/>
      <c r="L181" s="303"/>
      <c r="M181" s="303"/>
      <c r="N181" s="303"/>
      <c r="O181" s="303"/>
      <c r="P181" s="303"/>
      <c r="Q181" s="303"/>
      <c r="R181" s="303"/>
      <c r="S181" s="303"/>
      <c r="T181" s="303"/>
      <c r="U181" s="303"/>
      <c r="V181" s="303"/>
      <c r="W181" s="303"/>
      <c r="X181" s="303"/>
      <c r="Y181" s="303"/>
      <c r="Z181" s="303"/>
    </row>
    <row r="182" spans="1:26" x14ac:dyDescent="0.2">
      <c r="A182" s="303"/>
      <c r="B182" s="303"/>
      <c r="C182" s="303"/>
      <c r="D182" s="303"/>
      <c r="E182" s="303"/>
      <c r="F182" s="303"/>
      <c r="G182" s="303"/>
      <c r="H182" s="303"/>
      <c r="I182" s="303"/>
      <c r="J182" s="303"/>
      <c r="K182" s="303"/>
      <c r="L182" s="303"/>
      <c r="M182" s="303"/>
      <c r="N182" s="303"/>
      <c r="O182" s="303"/>
      <c r="P182" s="303"/>
      <c r="Q182" s="303"/>
      <c r="R182" s="303"/>
      <c r="S182" s="303"/>
      <c r="T182" s="303"/>
      <c r="U182" s="303"/>
      <c r="V182" s="303"/>
      <c r="W182" s="303"/>
      <c r="X182" s="303"/>
      <c r="Y182" s="303"/>
      <c r="Z182" s="303"/>
    </row>
    <row r="183" spans="1:26" x14ac:dyDescent="0.2">
      <c r="A183" s="303"/>
      <c r="B183" s="303"/>
      <c r="C183" s="303"/>
      <c r="D183" s="303"/>
      <c r="E183" s="303"/>
      <c r="F183" s="303"/>
      <c r="G183" s="303"/>
      <c r="H183" s="303"/>
      <c r="I183" s="303"/>
      <c r="J183" s="303"/>
      <c r="K183" s="303"/>
      <c r="L183" s="303"/>
      <c r="M183" s="303"/>
      <c r="N183" s="303"/>
      <c r="O183" s="303"/>
      <c r="P183" s="303"/>
      <c r="Q183" s="303"/>
      <c r="R183" s="303"/>
      <c r="S183" s="303"/>
      <c r="T183" s="303"/>
      <c r="U183" s="303"/>
      <c r="V183" s="303"/>
      <c r="W183" s="303"/>
      <c r="X183" s="303"/>
      <c r="Y183" s="303"/>
      <c r="Z183" s="303"/>
    </row>
    <row r="184" spans="1:26" x14ac:dyDescent="0.2">
      <c r="A184" s="303"/>
      <c r="B184" s="303"/>
      <c r="C184" s="303"/>
      <c r="D184" s="303"/>
      <c r="E184" s="303"/>
      <c r="F184" s="303"/>
      <c r="G184" s="303"/>
      <c r="H184" s="303"/>
      <c r="I184" s="303"/>
      <c r="J184" s="303"/>
      <c r="K184" s="303"/>
      <c r="L184" s="303"/>
      <c r="M184" s="303"/>
      <c r="N184" s="303"/>
      <c r="O184" s="303"/>
      <c r="P184" s="303"/>
      <c r="Q184" s="303"/>
      <c r="R184" s="303"/>
      <c r="S184" s="303"/>
      <c r="T184" s="303"/>
      <c r="U184" s="303"/>
      <c r="V184" s="303"/>
      <c r="W184" s="303"/>
      <c r="X184" s="303"/>
      <c r="Y184" s="303"/>
      <c r="Z184" s="303"/>
    </row>
    <row r="185" spans="1:26" x14ac:dyDescent="0.2">
      <c r="A185" s="303"/>
      <c r="B185" s="303"/>
      <c r="C185" s="303"/>
      <c r="D185" s="303"/>
      <c r="E185" s="303"/>
      <c r="F185" s="303"/>
      <c r="G185" s="303"/>
      <c r="H185" s="303"/>
      <c r="I185" s="303"/>
      <c r="J185" s="303"/>
      <c r="K185" s="303"/>
      <c r="L185" s="303"/>
      <c r="M185" s="303"/>
      <c r="N185" s="303"/>
      <c r="O185" s="303"/>
      <c r="P185" s="303"/>
      <c r="Q185" s="303"/>
      <c r="R185" s="303"/>
      <c r="S185" s="303"/>
      <c r="T185" s="303"/>
      <c r="U185" s="303"/>
      <c r="V185" s="303"/>
      <c r="W185" s="303"/>
      <c r="X185" s="303"/>
      <c r="Y185" s="303"/>
      <c r="Z185" s="303"/>
    </row>
    <row r="186" spans="1:26" x14ac:dyDescent="0.2">
      <c r="A186" s="303"/>
      <c r="B186" s="303"/>
      <c r="C186" s="303"/>
      <c r="D186" s="303"/>
      <c r="E186" s="303"/>
      <c r="F186" s="303"/>
      <c r="G186" s="303"/>
      <c r="H186" s="303"/>
      <c r="I186" s="303"/>
      <c r="J186" s="303"/>
      <c r="K186" s="303"/>
      <c r="L186" s="303"/>
      <c r="M186" s="303"/>
      <c r="N186" s="303"/>
      <c r="O186" s="303"/>
      <c r="P186" s="303"/>
      <c r="Q186" s="303"/>
      <c r="R186" s="303"/>
      <c r="S186" s="303"/>
      <c r="T186" s="303"/>
      <c r="U186" s="303"/>
      <c r="V186" s="303"/>
      <c r="W186" s="303"/>
      <c r="X186" s="303"/>
      <c r="Y186" s="303"/>
      <c r="Z186" s="303"/>
    </row>
    <row r="187" spans="1:26" x14ac:dyDescent="0.2">
      <c r="A187" s="303"/>
      <c r="B187" s="303"/>
      <c r="C187" s="303"/>
      <c r="D187" s="303"/>
      <c r="E187" s="303"/>
      <c r="F187" s="303"/>
      <c r="G187" s="303"/>
      <c r="H187" s="303"/>
      <c r="I187" s="303"/>
      <c r="J187" s="303"/>
      <c r="K187" s="303"/>
      <c r="L187" s="303"/>
      <c r="M187" s="303"/>
      <c r="N187" s="303"/>
      <c r="O187" s="303"/>
      <c r="P187" s="303"/>
      <c r="Q187" s="303"/>
      <c r="R187" s="303"/>
      <c r="S187" s="303"/>
      <c r="T187" s="303"/>
      <c r="U187" s="303"/>
      <c r="V187" s="303"/>
      <c r="W187" s="303"/>
      <c r="X187" s="303"/>
      <c r="Y187" s="303"/>
      <c r="Z187" s="303"/>
    </row>
    <row r="188" spans="1:26" x14ac:dyDescent="0.2">
      <c r="A188" s="303"/>
      <c r="B188" s="303"/>
      <c r="C188" s="303"/>
      <c r="D188" s="303"/>
      <c r="E188" s="303"/>
      <c r="F188" s="303"/>
      <c r="G188" s="303"/>
      <c r="H188" s="303"/>
      <c r="I188" s="303"/>
      <c r="J188" s="303"/>
      <c r="K188" s="303"/>
      <c r="L188" s="303"/>
      <c r="M188" s="303"/>
      <c r="N188" s="303"/>
      <c r="O188" s="303"/>
      <c r="P188" s="303"/>
      <c r="Q188" s="303"/>
      <c r="R188" s="303"/>
      <c r="S188" s="303"/>
      <c r="T188" s="303"/>
      <c r="U188" s="303"/>
      <c r="V188" s="303"/>
      <c r="W188" s="303"/>
      <c r="X188" s="303"/>
      <c r="Y188" s="303"/>
      <c r="Z188" s="303"/>
    </row>
    <row r="189" spans="1:26" x14ac:dyDescent="0.2">
      <c r="A189" s="303"/>
      <c r="B189" s="303"/>
      <c r="C189" s="303"/>
      <c r="D189" s="303"/>
      <c r="E189" s="303"/>
      <c r="F189" s="303"/>
      <c r="G189" s="303"/>
      <c r="H189" s="303"/>
      <c r="I189" s="303"/>
      <c r="J189" s="303"/>
      <c r="K189" s="303"/>
      <c r="L189" s="303"/>
      <c r="M189" s="303"/>
      <c r="N189" s="303"/>
      <c r="O189" s="303"/>
      <c r="P189" s="303"/>
      <c r="Q189" s="303"/>
      <c r="R189" s="303"/>
      <c r="S189" s="303"/>
      <c r="T189" s="303"/>
      <c r="U189" s="303"/>
      <c r="V189" s="303"/>
      <c r="W189" s="303"/>
      <c r="X189" s="303"/>
      <c r="Y189" s="303"/>
      <c r="Z189" s="303"/>
    </row>
    <row r="190" spans="1:26" x14ac:dyDescent="0.2">
      <c r="A190" s="303"/>
      <c r="B190" s="303"/>
      <c r="C190" s="303"/>
      <c r="D190" s="303"/>
      <c r="E190" s="303"/>
      <c r="F190" s="303"/>
      <c r="G190" s="303"/>
      <c r="H190" s="303"/>
      <c r="I190" s="303"/>
      <c r="J190" s="303"/>
      <c r="K190" s="303"/>
      <c r="L190" s="303"/>
      <c r="M190" s="303"/>
      <c r="N190" s="303"/>
      <c r="O190" s="303"/>
      <c r="P190" s="303"/>
      <c r="Q190" s="303"/>
      <c r="R190" s="303"/>
      <c r="S190" s="303"/>
      <c r="T190" s="303"/>
      <c r="U190" s="303"/>
      <c r="V190" s="303"/>
      <c r="W190" s="303"/>
      <c r="X190" s="303"/>
      <c r="Y190" s="303"/>
      <c r="Z190" s="303"/>
    </row>
    <row r="191" spans="1:26" x14ac:dyDescent="0.2">
      <c r="A191" s="303"/>
      <c r="B191" s="303"/>
      <c r="C191" s="303"/>
      <c r="D191" s="303"/>
      <c r="E191" s="303"/>
      <c r="F191" s="303"/>
      <c r="G191" s="303"/>
      <c r="H191" s="303"/>
      <c r="I191" s="303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3"/>
      <c r="U191" s="303"/>
      <c r="V191" s="303"/>
      <c r="W191" s="303"/>
      <c r="X191" s="303"/>
      <c r="Y191" s="303"/>
      <c r="Z191" s="303"/>
    </row>
    <row r="192" spans="1:26" x14ac:dyDescent="0.2">
      <c r="A192" s="303"/>
      <c r="B192" s="303"/>
      <c r="C192" s="303"/>
      <c r="D192" s="303"/>
      <c r="E192" s="303"/>
      <c r="F192" s="303"/>
      <c r="G192" s="303"/>
      <c r="H192" s="303"/>
      <c r="I192" s="303"/>
      <c r="J192" s="303"/>
      <c r="K192" s="303"/>
      <c r="L192" s="303"/>
      <c r="M192" s="303"/>
      <c r="N192" s="303"/>
      <c r="O192" s="303"/>
      <c r="P192" s="303"/>
      <c r="Q192" s="303"/>
      <c r="R192" s="303"/>
      <c r="S192" s="303"/>
      <c r="T192" s="303"/>
      <c r="U192" s="303"/>
      <c r="V192" s="303"/>
      <c r="W192" s="303"/>
      <c r="X192" s="303"/>
      <c r="Y192" s="303"/>
      <c r="Z192" s="303"/>
    </row>
    <row r="193" spans="1:26" x14ac:dyDescent="0.2">
      <c r="A193" s="303"/>
      <c r="B193" s="303"/>
      <c r="C193" s="303"/>
      <c r="D193" s="303"/>
      <c r="E193" s="303"/>
      <c r="F193" s="303"/>
      <c r="G193" s="303"/>
      <c r="H193" s="303"/>
      <c r="I193" s="303"/>
      <c r="J193" s="303"/>
      <c r="K193" s="303"/>
      <c r="L193" s="303"/>
      <c r="M193" s="303"/>
      <c r="N193" s="303"/>
      <c r="O193" s="303"/>
      <c r="P193" s="303"/>
      <c r="Q193" s="303"/>
      <c r="R193" s="303"/>
      <c r="S193" s="303"/>
      <c r="T193" s="303"/>
      <c r="U193" s="303"/>
      <c r="V193" s="303"/>
      <c r="W193" s="303"/>
      <c r="X193" s="303"/>
      <c r="Y193" s="303"/>
      <c r="Z193" s="303"/>
    </row>
    <row r="194" spans="1:26" x14ac:dyDescent="0.2">
      <c r="A194" s="303"/>
      <c r="B194" s="303"/>
      <c r="C194" s="303"/>
      <c r="D194" s="303"/>
      <c r="E194" s="303"/>
      <c r="F194" s="303"/>
      <c r="G194" s="303"/>
      <c r="H194" s="303"/>
      <c r="I194" s="303"/>
      <c r="J194" s="303"/>
      <c r="K194" s="303"/>
      <c r="L194" s="303"/>
      <c r="M194" s="303"/>
      <c r="N194" s="303"/>
      <c r="O194" s="303"/>
      <c r="P194" s="303"/>
      <c r="Q194" s="303"/>
      <c r="R194" s="303"/>
      <c r="S194" s="303"/>
      <c r="T194" s="303"/>
      <c r="U194" s="303"/>
      <c r="V194" s="303"/>
      <c r="W194" s="303"/>
      <c r="X194" s="303"/>
      <c r="Y194" s="303"/>
      <c r="Z194" s="303"/>
    </row>
    <row r="195" spans="1:26" x14ac:dyDescent="0.2">
      <c r="A195" s="303"/>
      <c r="B195" s="303"/>
      <c r="C195" s="303"/>
      <c r="D195" s="303"/>
      <c r="E195" s="303"/>
      <c r="F195" s="303"/>
      <c r="G195" s="303"/>
      <c r="H195" s="303"/>
      <c r="I195" s="303"/>
      <c r="J195" s="303"/>
      <c r="K195" s="303"/>
      <c r="L195" s="303"/>
      <c r="M195" s="303"/>
      <c r="N195" s="303"/>
      <c r="O195" s="303"/>
      <c r="P195" s="303"/>
      <c r="Q195" s="303"/>
      <c r="R195" s="303"/>
      <c r="S195" s="303"/>
      <c r="T195" s="303"/>
      <c r="U195" s="303"/>
      <c r="V195" s="303"/>
      <c r="W195" s="303"/>
      <c r="X195" s="303"/>
      <c r="Y195" s="303"/>
      <c r="Z195" s="303"/>
    </row>
    <row r="196" spans="1:26" x14ac:dyDescent="0.2">
      <c r="A196" s="303"/>
      <c r="B196" s="303"/>
      <c r="C196" s="303"/>
      <c r="D196" s="303"/>
      <c r="E196" s="303"/>
      <c r="F196" s="303"/>
      <c r="G196" s="303"/>
      <c r="H196" s="303"/>
      <c r="I196" s="303"/>
      <c r="J196" s="303"/>
      <c r="K196" s="303"/>
      <c r="L196" s="303"/>
      <c r="M196" s="303"/>
      <c r="N196" s="303"/>
      <c r="O196" s="303"/>
      <c r="P196" s="303"/>
      <c r="Q196" s="303"/>
      <c r="R196" s="303"/>
      <c r="S196" s="303"/>
      <c r="T196" s="303"/>
      <c r="U196" s="303"/>
      <c r="V196" s="303"/>
      <c r="W196" s="303"/>
      <c r="X196" s="303"/>
      <c r="Y196" s="303"/>
      <c r="Z196" s="303"/>
    </row>
    <row r="197" spans="1:26" x14ac:dyDescent="0.2">
      <c r="A197" s="303"/>
      <c r="B197" s="303"/>
      <c r="C197" s="303"/>
      <c r="D197" s="303"/>
      <c r="E197" s="303"/>
      <c r="F197" s="303"/>
      <c r="G197" s="303"/>
      <c r="H197" s="303"/>
      <c r="I197" s="303"/>
      <c r="J197" s="303"/>
      <c r="K197" s="303"/>
      <c r="L197" s="303"/>
      <c r="M197" s="303"/>
      <c r="N197" s="303"/>
      <c r="O197" s="303"/>
      <c r="P197" s="303"/>
      <c r="Q197" s="303"/>
      <c r="R197" s="303"/>
      <c r="S197" s="303"/>
      <c r="T197" s="303"/>
      <c r="U197" s="303"/>
      <c r="V197" s="303"/>
      <c r="W197" s="303"/>
      <c r="X197" s="303"/>
      <c r="Y197" s="303"/>
      <c r="Z197" s="303"/>
    </row>
    <row r="198" spans="1:26" x14ac:dyDescent="0.2">
      <c r="A198" s="303"/>
      <c r="B198" s="303"/>
      <c r="C198" s="303"/>
      <c r="D198" s="303"/>
      <c r="E198" s="303"/>
      <c r="F198" s="303"/>
      <c r="G198" s="303"/>
      <c r="H198" s="303"/>
      <c r="I198" s="303"/>
      <c r="J198" s="303"/>
      <c r="K198" s="303"/>
      <c r="L198" s="303"/>
      <c r="M198" s="303"/>
      <c r="N198" s="303"/>
      <c r="O198" s="303"/>
      <c r="P198" s="303"/>
      <c r="Q198" s="303"/>
      <c r="R198" s="303"/>
      <c r="S198" s="303"/>
      <c r="T198" s="303"/>
      <c r="U198" s="303"/>
      <c r="V198" s="303"/>
      <c r="W198" s="303"/>
      <c r="X198" s="303"/>
      <c r="Y198" s="303"/>
      <c r="Z198" s="303"/>
    </row>
    <row r="199" spans="1:26" x14ac:dyDescent="0.2">
      <c r="A199" s="303"/>
      <c r="B199" s="303"/>
      <c r="C199" s="303"/>
      <c r="D199" s="303"/>
      <c r="E199" s="303"/>
      <c r="F199" s="303"/>
      <c r="G199" s="303"/>
      <c r="H199" s="303"/>
      <c r="I199" s="303"/>
      <c r="J199" s="303"/>
      <c r="K199" s="303"/>
      <c r="L199" s="303"/>
      <c r="M199" s="303"/>
      <c r="N199" s="303"/>
      <c r="O199" s="303"/>
      <c r="P199" s="303"/>
      <c r="Q199" s="303"/>
      <c r="R199" s="303"/>
      <c r="S199" s="303"/>
      <c r="T199" s="303"/>
      <c r="U199" s="303"/>
      <c r="V199" s="303"/>
      <c r="W199" s="303"/>
      <c r="X199" s="303"/>
      <c r="Y199" s="303"/>
      <c r="Z199" s="303"/>
    </row>
    <row r="200" spans="1:26" x14ac:dyDescent="0.2">
      <c r="A200" s="303"/>
      <c r="B200" s="303"/>
      <c r="C200" s="303"/>
      <c r="D200" s="303"/>
      <c r="E200" s="303"/>
      <c r="F200" s="303"/>
      <c r="G200" s="303"/>
      <c r="H200" s="303"/>
      <c r="I200" s="303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3"/>
      <c r="U200" s="303"/>
      <c r="V200" s="303"/>
      <c r="W200" s="303"/>
      <c r="X200" s="303"/>
      <c r="Y200" s="303"/>
      <c r="Z200" s="303"/>
    </row>
    <row r="201" spans="1:26" x14ac:dyDescent="0.2">
      <c r="A201" s="303"/>
      <c r="B201" s="303"/>
      <c r="C201" s="303"/>
      <c r="D201" s="303"/>
      <c r="E201" s="303"/>
      <c r="F201" s="303"/>
      <c r="G201" s="303"/>
      <c r="H201" s="303"/>
      <c r="I201" s="303"/>
      <c r="J201" s="303"/>
      <c r="K201" s="303"/>
      <c r="L201" s="303"/>
      <c r="M201" s="303"/>
      <c r="N201" s="303"/>
      <c r="O201" s="303"/>
      <c r="P201" s="303"/>
      <c r="Q201" s="303"/>
      <c r="R201" s="303"/>
      <c r="S201" s="303"/>
      <c r="T201" s="303"/>
      <c r="U201" s="303"/>
      <c r="V201" s="303"/>
      <c r="W201" s="303"/>
      <c r="X201" s="303"/>
      <c r="Y201" s="303"/>
      <c r="Z201" s="303"/>
    </row>
    <row r="202" spans="1:26" x14ac:dyDescent="0.2">
      <c r="A202" s="303"/>
      <c r="B202" s="303"/>
      <c r="C202" s="303"/>
      <c r="D202" s="303"/>
      <c r="E202" s="303"/>
      <c r="F202" s="303"/>
      <c r="G202" s="303"/>
      <c r="H202" s="303"/>
      <c r="I202" s="303"/>
      <c r="J202" s="303"/>
      <c r="K202" s="303"/>
      <c r="L202" s="303"/>
      <c r="M202" s="303"/>
      <c r="N202" s="303"/>
      <c r="O202" s="303"/>
      <c r="P202" s="303"/>
      <c r="Q202" s="303"/>
      <c r="R202" s="303"/>
      <c r="S202" s="303"/>
      <c r="T202" s="303"/>
      <c r="U202" s="303"/>
      <c r="V202" s="303"/>
      <c r="W202" s="303"/>
      <c r="X202" s="303"/>
      <c r="Y202" s="303"/>
      <c r="Z202" s="303"/>
    </row>
    <row r="203" spans="1:26" x14ac:dyDescent="0.2">
      <c r="A203" s="303"/>
      <c r="B203" s="303"/>
      <c r="C203" s="303"/>
      <c r="D203" s="303"/>
      <c r="E203" s="303"/>
      <c r="F203" s="303"/>
      <c r="G203" s="303"/>
      <c r="H203" s="303"/>
      <c r="I203" s="303"/>
      <c r="J203" s="303"/>
      <c r="K203" s="303"/>
      <c r="L203" s="303"/>
      <c r="M203" s="303"/>
      <c r="N203" s="303"/>
      <c r="O203" s="303"/>
      <c r="P203" s="303"/>
      <c r="Q203" s="303"/>
      <c r="R203" s="303"/>
      <c r="S203" s="303"/>
      <c r="T203" s="303"/>
      <c r="U203" s="303"/>
      <c r="V203" s="303"/>
      <c r="W203" s="303"/>
      <c r="X203" s="303"/>
      <c r="Y203" s="303"/>
      <c r="Z203" s="303"/>
    </row>
    <row r="204" spans="1:26" x14ac:dyDescent="0.2">
      <c r="A204" s="303"/>
      <c r="B204" s="303"/>
      <c r="C204" s="303"/>
      <c r="D204" s="303"/>
      <c r="E204" s="303"/>
      <c r="F204" s="303"/>
      <c r="G204" s="303"/>
      <c r="H204" s="303"/>
      <c r="I204" s="303"/>
      <c r="J204" s="303"/>
      <c r="K204" s="303"/>
      <c r="L204" s="303"/>
      <c r="M204" s="303"/>
      <c r="N204" s="303"/>
      <c r="O204" s="303"/>
      <c r="P204" s="303"/>
      <c r="Q204" s="303"/>
      <c r="R204" s="303"/>
      <c r="S204" s="303"/>
      <c r="T204" s="303"/>
      <c r="U204" s="303"/>
      <c r="V204" s="303"/>
      <c r="W204" s="303"/>
      <c r="X204" s="303"/>
      <c r="Y204" s="303"/>
      <c r="Z204" s="303"/>
    </row>
    <row r="205" spans="1:26" x14ac:dyDescent="0.2">
      <c r="A205" s="303"/>
      <c r="B205" s="303"/>
      <c r="C205" s="303"/>
      <c r="D205" s="303"/>
      <c r="E205" s="303"/>
      <c r="F205" s="303"/>
      <c r="G205" s="303"/>
      <c r="H205" s="303"/>
      <c r="I205" s="303"/>
      <c r="J205" s="303"/>
      <c r="K205" s="303"/>
      <c r="L205" s="303"/>
      <c r="M205" s="303"/>
      <c r="N205" s="303"/>
      <c r="O205" s="303"/>
      <c r="P205" s="303"/>
      <c r="Q205" s="303"/>
      <c r="R205" s="303"/>
      <c r="S205" s="303"/>
      <c r="T205" s="303"/>
      <c r="U205" s="303"/>
      <c r="V205" s="303"/>
      <c r="W205" s="303"/>
      <c r="X205" s="303"/>
      <c r="Y205" s="303"/>
      <c r="Z205" s="303"/>
    </row>
    <row r="206" spans="1:26" x14ac:dyDescent="0.2">
      <c r="A206" s="303"/>
      <c r="B206" s="303"/>
      <c r="C206" s="303"/>
      <c r="D206" s="303"/>
      <c r="E206" s="303"/>
      <c r="F206" s="303"/>
      <c r="G206" s="303"/>
      <c r="H206" s="303"/>
      <c r="I206" s="303"/>
      <c r="J206" s="303"/>
      <c r="K206" s="303"/>
      <c r="L206" s="303"/>
      <c r="M206" s="303"/>
      <c r="N206" s="303"/>
      <c r="O206" s="303"/>
      <c r="P206" s="303"/>
      <c r="Q206" s="303"/>
      <c r="R206" s="303"/>
      <c r="S206" s="303"/>
      <c r="T206" s="303"/>
      <c r="U206" s="303"/>
      <c r="V206" s="303"/>
      <c r="W206" s="303"/>
      <c r="X206" s="303"/>
      <c r="Y206" s="303"/>
      <c r="Z206" s="303"/>
    </row>
    <row r="207" spans="1:26" x14ac:dyDescent="0.2">
      <c r="A207" s="303"/>
      <c r="B207" s="303"/>
      <c r="C207" s="303"/>
      <c r="D207" s="303"/>
      <c r="E207" s="303"/>
      <c r="F207" s="303"/>
      <c r="G207" s="303"/>
      <c r="H207" s="303"/>
      <c r="I207" s="303"/>
      <c r="J207" s="303"/>
      <c r="K207" s="303"/>
      <c r="L207" s="303"/>
      <c r="M207" s="303"/>
      <c r="N207" s="303"/>
      <c r="O207" s="303"/>
      <c r="P207" s="303"/>
      <c r="Q207" s="303"/>
      <c r="R207" s="303"/>
      <c r="S207" s="303"/>
      <c r="T207" s="303"/>
      <c r="U207" s="303"/>
      <c r="V207" s="303"/>
      <c r="W207" s="303"/>
      <c r="X207" s="303"/>
      <c r="Y207" s="303"/>
      <c r="Z207" s="303"/>
    </row>
    <row r="208" spans="1:26" x14ac:dyDescent="0.2">
      <c r="A208" s="303"/>
      <c r="B208" s="303"/>
      <c r="C208" s="303"/>
      <c r="D208" s="303"/>
      <c r="E208" s="303"/>
      <c r="F208" s="303"/>
      <c r="G208" s="303"/>
      <c r="H208" s="303"/>
      <c r="I208" s="303"/>
      <c r="J208" s="303"/>
      <c r="K208" s="303"/>
      <c r="L208" s="303"/>
      <c r="M208" s="303"/>
      <c r="N208" s="303"/>
      <c r="O208" s="303"/>
      <c r="P208" s="303"/>
      <c r="Q208" s="303"/>
      <c r="R208" s="303"/>
      <c r="S208" s="303"/>
      <c r="T208" s="303"/>
      <c r="U208" s="303"/>
      <c r="V208" s="303"/>
      <c r="W208" s="303"/>
      <c r="X208" s="303"/>
      <c r="Y208" s="303"/>
      <c r="Z208" s="303"/>
    </row>
    <row r="209" spans="1:26" x14ac:dyDescent="0.2">
      <c r="A209" s="303"/>
      <c r="B209" s="303"/>
      <c r="C209" s="303"/>
      <c r="D209" s="303"/>
      <c r="E209" s="303"/>
      <c r="F209" s="303"/>
      <c r="G209" s="303"/>
      <c r="H209" s="303"/>
      <c r="I209" s="303"/>
      <c r="J209" s="303"/>
      <c r="K209" s="303"/>
      <c r="L209" s="303"/>
      <c r="M209" s="303"/>
      <c r="N209" s="303"/>
      <c r="O209" s="303"/>
      <c r="P209" s="303"/>
      <c r="Q209" s="303"/>
      <c r="R209" s="303"/>
      <c r="S209" s="303"/>
      <c r="T209" s="303"/>
      <c r="U209" s="303"/>
      <c r="V209" s="303"/>
      <c r="W209" s="303"/>
      <c r="X209" s="303"/>
      <c r="Y209" s="303"/>
      <c r="Z209" s="303"/>
    </row>
    <row r="210" spans="1:26" x14ac:dyDescent="0.2">
      <c r="A210" s="303"/>
      <c r="B210" s="303"/>
      <c r="C210" s="303"/>
      <c r="D210" s="303"/>
      <c r="E210" s="303"/>
      <c r="F210" s="303"/>
      <c r="G210" s="303"/>
      <c r="H210" s="303"/>
      <c r="I210" s="303"/>
      <c r="J210" s="303"/>
      <c r="K210" s="303"/>
      <c r="L210" s="303"/>
      <c r="M210" s="303"/>
      <c r="N210" s="303"/>
      <c r="O210" s="303"/>
      <c r="P210" s="303"/>
      <c r="Q210" s="303"/>
      <c r="R210" s="303"/>
      <c r="S210" s="303"/>
      <c r="T210" s="303"/>
      <c r="U210" s="303"/>
      <c r="V210" s="303"/>
      <c r="W210" s="303"/>
      <c r="X210" s="303"/>
      <c r="Y210" s="303"/>
      <c r="Z210" s="303"/>
    </row>
    <row r="211" spans="1:26" x14ac:dyDescent="0.2">
      <c r="A211" s="303"/>
      <c r="B211" s="303"/>
      <c r="C211" s="303"/>
      <c r="D211" s="303"/>
      <c r="E211" s="303"/>
      <c r="F211" s="303"/>
      <c r="G211" s="303"/>
      <c r="H211" s="303"/>
      <c r="I211" s="303"/>
      <c r="J211" s="303"/>
      <c r="K211" s="303"/>
      <c r="L211" s="303"/>
      <c r="M211" s="303"/>
      <c r="N211" s="303"/>
      <c r="O211" s="303"/>
      <c r="P211" s="303"/>
      <c r="Q211" s="303"/>
      <c r="R211" s="303"/>
      <c r="S211" s="303"/>
      <c r="T211" s="303"/>
      <c r="U211" s="303"/>
      <c r="V211" s="303"/>
      <c r="W211" s="303"/>
      <c r="X211" s="303"/>
      <c r="Y211" s="303"/>
      <c r="Z211" s="303"/>
    </row>
    <row r="212" spans="1:26" x14ac:dyDescent="0.2">
      <c r="A212" s="303"/>
      <c r="B212" s="303"/>
      <c r="C212" s="303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</row>
    <row r="213" spans="1:26" x14ac:dyDescent="0.2">
      <c r="A213" s="303"/>
      <c r="B213" s="303"/>
      <c r="C213" s="303"/>
      <c r="D213" s="303"/>
      <c r="E213" s="303"/>
      <c r="F213" s="303"/>
      <c r="G213" s="303"/>
      <c r="H213" s="303"/>
      <c r="I213" s="303"/>
      <c r="J213" s="303"/>
      <c r="K213" s="303"/>
      <c r="L213" s="303"/>
      <c r="M213" s="303"/>
      <c r="N213" s="303"/>
      <c r="O213" s="303"/>
      <c r="P213" s="303"/>
      <c r="Q213" s="303"/>
      <c r="R213" s="303"/>
      <c r="S213" s="303"/>
      <c r="T213" s="303"/>
      <c r="U213" s="303"/>
      <c r="V213" s="303"/>
      <c r="W213" s="303"/>
      <c r="X213" s="303"/>
      <c r="Y213" s="303"/>
      <c r="Z213" s="303"/>
    </row>
    <row r="214" spans="1:26" x14ac:dyDescent="0.2">
      <c r="A214" s="303"/>
      <c r="B214" s="303"/>
      <c r="C214" s="303"/>
      <c r="D214" s="303"/>
      <c r="E214" s="303"/>
      <c r="F214" s="303"/>
      <c r="G214" s="303"/>
      <c r="H214" s="303"/>
      <c r="I214" s="303"/>
      <c r="J214" s="303"/>
      <c r="K214" s="303"/>
      <c r="L214" s="303"/>
      <c r="M214" s="303"/>
      <c r="N214" s="303"/>
      <c r="O214" s="303"/>
      <c r="P214" s="303"/>
      <c r="Q214" s="303"/>
      <c r="R214" s="303"/>
      <c r="S214" s="303"/>
      <c r="T214" s="303"/>
      <c r="U214" s="303"/>
      <c r="V214" s="303"/>
      <c r="W214" s="303"/>
      <c r="X214" s="303"/>
      <c r="Y214" s="303"/>
      <c r="Z214" s="303"/>
    </row>
    <row r="215" spans="1:26" x14ac:dyDescent="0.2">
      <c r="A215" s="303"/>
      <c r="B215" s="303"/>
      <c r="C215" s="303"/>
      <c r="D215" s="303"/>
      <c r="E215" s="303"/>
      <c r="F215" s="303"/>
      <c r="G215" s="303"/>
      <c r="H215" s="303"/>
      <c r="I215" s="303"/>
      <c r="J215" s="303"/>
      <c r="K215" s="303"/>
      <c r="L215" s="303"/>
      <c r="M215" s="303"/>
      <c r="N215" s="303"/>
      <c r="O215" s="303"/>
      <c r="P215" s="303"/>
      <c r="Q215" s="303"/>
      <c r="R215" s="303"/>
      <c r="S215" s="303"/>
      <c r="T215" s="303"/>
      <c r="U215" s="303"/>
      <c r="V215" s="303"/>
      <c r="W215" s="303"/>
      <c r="X215" s="303"/>
      <c r="Y215" s="303"/>
      <c r="Z215" s="303"/>
    </row>
    <row r="216" spans="1:26" x14ac:dyDescent="0.2">
      <c r="A216" s="303"/>
      <c r="B216" s="303"/>
      <c r="C216" s="303"/>
      <c r="D216" s="303"/>
      <c r="E216" s="303"/>
      <c r="F216" s="303"/>
      <c r="G216" s="303"/>
      <c r="H216" s="303"/>
      <c r="I216" s="303"/>
      <c r="J216" s="303"/>
      <c r="K216" s="303"/>
      <c r="L216" s="303"/>
      <c r="M216" s="303"/>
      <c r="N216" s="303"/>
      <c r="O216" s="303"/>
      <c r="P216" s="303"/>
      <c r="Q216" s="303"/>
      <c r="R216" s="303"/>
      <c r="S216" s="303"/>
      <c r="T216" s="303"/>
      <c r="U216" s="303"/>
      <c r="V216" s="303"/>
      <c r="W216" s="303"/>
      <c r="X216" s="303"/>
      <c r="Y216" s="303"/>
      <c r="Z216" s="303"/>
    </row>
    <row r="217" spans="1:26" x14ac:dyDescent="0.2">
      <c r="A217" s="303"/>
      <c r="B217" s="303"/>
      <c r="C217" s="303"/>
      <c r="D217" s="303"/>
      <c r="E217" s="303"/>
      <c r="F217" s="303"/>
      <c r="G217" s="303"/>
      <c r="H217" s="303"/>
      <c r="I217" s="303"/>
      <c r="J217" s="303"/>
      <c r="K217" s="303"/>
      <c r="L217" s="303"/>
      <c r="M217" s="303"/>
      <c r="N217" s="303"/>
      <c r="O217" s="303"/>
      <c r="P217" s="303"/>
      <c r="Q217" s="303"/>
      <c r="R217" s="303"/>
      <c r="S217" s="303"/>
      <c r="T217" s="303"/>
      <c r="U217" s="303"/>
      <c r="V217" s="303"/>
      <c r="W217" s="303"/>
      <c r="X217" s="303"/>
      <c r="Y217" s="303"/>
      <c r="Z217" s="303"/>
    </row>
    <row r="218" spans="1:26" x14ac:dyDescent="0.2">
      <c r="A218" s="303"/>
      <c r="B218" s="303"/>
      <c r="C218" s="303"/>
      <c r="D218" s="303"/>
      <c r="E218" s="303"/>
      <c r="F218" s="303"/>
      <c r="G218" s="303"/>
      <c r="H218" s="303"/>
      <c r="I218" s="303"/>
      <c r="J218" s="303"/>
      <c r="K218" s="303"/>
      <c r="L218" s="303"/>
      <c r="M218" s="303"/>
      <c r="N218" s="303"/>
      <c r="O218" s="303"/>
      <c r="P218" s="303"/>
      <c r="Q218" s="303"/>
      <c r="R218" s="303"/>
      <c r="S218" s="303"/>
      <c r="T218" s="303"/>
      <c r="U218" s="303"/>
      <c r="V218" s="303"/>
      <c r="W218" s="303"/>
      <c r="X218" s="303"/>
      <c r="Y218" s="303"/>
      <c r="Z218" s="303"/>
    </row>
    <row r="219" spans="1:26" x14ac:dyDescent="0.2">
      <c r="A219" s="303"/>
      <c r="B219" s="303"/>
      <c r="C219" s="303"/>
      <c r="D219" s="303"/>
      <c r="E219" s="303"/>
      <c r="F219" s="303"/>
      <c r="G219" s="303"/>
      <c r="H219" s="303"/>
      <c r="I219" s="303"/>
      <c r="J219" s="303"/>
      <c r="K219" s="303"/>
      <c r="L219" s="303"/>
      <c r="M219" s="303"/>
      <c r="N219" s="303"/>
      <c r="O219" s="303"/>
      <c r="P219" s="303"/>
      <c r="Q219" s="303"/>
      <c r="R219" s="303"/>
      <c r="S219" s="303"/>
      <c r="T219" s="303"/>
      <c r="U219" s="303"/>
      <c r="V219" s="303"/>
      <c r="W219" s="303"/>
      <c r="X219" s="303"/>
      <c r="Y219" s="303"/>
      <c r="Z219" s="303"/>
    </row>
    <row r="220" spans="1:26" x14ac:dyDescent="0.2">
      <c r="A220" s="303"/>
      <c r="B220" s="303"/>
      <c r="C220" s="303"/>
      <c r="D220" s="303"/>
      <c r="E220" s="303"/>
      <c r="F220" s="303"/>
      <c r="G220" s="303"/>
      <c r="H220" s="303"/>
      <c r="I220" s="303"/>
      <c r="J220" s="303"/>
      <c r="K220" s="303"/>
      <c r="L220" s="303"/>
      <c r="M220" s="303"/>
      <c r="N220" s="303"/>
      <c r="O220" s="303"/>
      <c r="P220" s="303"/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</row>
    <row r="221" spans="1:26" x14ac:dyDescent="0.2">
      <c r="A221" s="303"/>
      <c r="B221" s="303"/>
      <c r="C221" s="303"/>
      <c r="D221" s="303"/>
      <c r="E221" s="303"/>
      <c r="F221" s="303"/>
      <c r="G221" s="303"/>
      <c r="H221" s="303"/>
      <c r="I221" s="303"/>
      <c r="J221" s="303"/>
      <c r="K221" s="303"/>
      <c r="L221" s="303"/>
      <c r="M221" s="303"/>
      <c r="N221" s="303"/>
      <c r="O221" s="303"/>
      <c r="P221" s="303"/>
      <c r="Q221" s="303"/>
      <c r="R221" s="303"/>
      <c r="S221" s="303"/>
      <c r="T221" s="303"/>
      <c r="U221" s="303"/>
      <c r="V221" s="303"/>
      <c r="W221" s="303"/>
      <c r="X221" s="303"/>
      <c r="Y221" s="303"/>
      <c r="Z221" s="303"/>
    </row>
    <row r="222" spans="1:26" x14ac:dyDescent="0.2">
      <c r="A222" s="303"/>
      <c r="B222" s="303"/>
      <c r="C222" s="303"/>
      <c r="D222" s="303"/>
      <c r="E222" s="303"/>
      <c r="F222" s="303"/>
      <c r="G222" s="303"/>
      <c r="H222" s="303"/>
      <c r="I222" s="303"/>
      <c r="J222" s="303"/>
      <c r="K222" s="303"/>
      <c r="L222" s="303"/>
      <c r="M222" s="303"/>
      <c r="N222" s="303"/>
      <c r="O222" s="303"/>
      <c r="P222" s="303"/>
      <c r="Q222" s="303"/>
      <c r="R222" s="303"/>
      <c r="S222" s="303"/>
      <c r="T222" s="303"/>
      <c r="U222" s="303"/>
      <c r="V222" s="303"/>
      <c r="W222" s="303"/>
      <c r="X222" s="303"/>
      <c r="Y222" s="303"/>
      <c r="Z222" s="303"/>
    </row>
    <row r="223" spans="1:26" x14ac:dyDescent="0.2">
      <c r="A223" s="303"/>
      <c r="B223" s="303"/>
      <c r="C223" s="303"/>
      <c r="D223" s="303"/>
      <c r="E223" s="303"/>
      <c r="F223" s="303"/>
      <c r="G223" s="303"/>
      <c r="H223" s="303"/>
      <c r="I223" s="303"/>
      <c r="J223" s="303"/>
      <c r="K223" s="303"/>
      <c r="L223" s="303"/>
      <c r="M223" s="303"/>
      <c r="N223" s="303"/>
      <c r="O223" s="303"/>
      <c r="P223" s="303"/>
      <c r="Q223" s="303"/>
      <c r="R223" s="303"/>
      <c r="S223" s="303"/>
      <c r="T223" s="303"/>
      <c r="U223" s="303"/>
      <c r="V223" s="303"/>
      <c r="W223" s="303"/>
      <c r="X223" s="303"/>
      <c r="Y223" s="303"/>
      <c r="Z223" s="303"/>
    </row>
    <row r="224" spans="1:26" x14ac:dyDescent="0.2">
      <c r="A224" s="303"/>
      <c r="B224" s="303"/>
      <c r="C224" s="303"/>
      <c r="D224" s="303"/>
      <c r="E224" s="303"/>
      <c r="F224" s="303"/>
      <c r="G224" s="303"/>
      <c r="H224" s="303"/>
      <c r="I224" s="303"/>
      <c r="J224" s="303"/>
      <c r="K224" s="303"/>
      <c r="L224" s="303"/>
      <c r="M224" s="303"/>
      <c r="N224" s="303"/>
      <c r="O224" s="303"/>
      <c r="P224" s="303"/>
      <c r="Q224" s="303"/>
      <c r="R224" s="303"/>
      <c r="S224" s="303"/>
      <c r="T224" s="303"/>
      <c r="U224" s="303"/>
      <c r="V224" s="303"/>
      <c r="W224" s="303"/>
      <c r="X224" s="303"/>
      <c r="Y224" s="303"/>
      <c r="Z224" s="303"/>
    </row>
    <row r="225" spans="1:26" x14ac:dyDescent="0.2">
      <c r="A225" s="303"/>
      <c r="B225" s="303"/>
      <c r="C225" s="303"/>
      <c r="D225" s="303"/>
      <c r="E225" s="303"/>
      <c r="F225" s="303"/>
      <c r="G225" s="303"/>
      <c r="H225" s="303"/>
      <c r="I225" s="303"/>
      <c r="J225" s="303"/>
      <c r="K225" s="303"/>
      <c r="L225" s="303"/>
      <c r="M225" s="303"/>
      <c r="N225" s="303"/>
      <c r="O225" s="303"/>
      <c r="P225" s="303"/>
      <c r="Q225" s="303"/>
      <c r="R225" s="303"/>
      <c r="S225" s="303"/>
      <c r="T225" s="303"/>
      <c r="U225" s="303"/>
      <c r="V225" s="303"/>
      <c r="W225" s="303"/>
      <c r="X225" s="303"/>
      <c r="Y225" s="303"/>
      <c r="Z225" s="303"/>
    </row>
    <row r="226" spans="1:26" x14ac:dyDescent="0.2">
      <c r="A226" s="303"/>
      <c r="B226" s="303"/>
      <c r="C226" s="303"/>
      <c r="D226" s="303"/>
      <c r="E226" s="303"/>
      <c r="F226" s="303"/>
      <c r="G226" s="303"/>
      <c r="H226" s="303"/>
      <c r="I226" s="303"/>
      <c r="J226" s="303"/>
      <c r="K226" s="303"/>
      <c r="L226" s="303"/>
      <c r="M226" s="303"/>
      <c r="N226" s="303"/>
      <c r="O226" s="303"/>
      <c r="P226" s="303"/>
      <c r="Q226" s="303"/>
      <c r="R226" s="303"/>
      <c r="S226" s="303"/>
      <c r="T226" s="303"/>
      <c r="U226" s="303"/>
      <c r="V226" s="303"/>
      <c r="W226" s="303"/>
      <c r="X226" s="303"/>
      <c r="Y226" s="303"/>
      <c r="Z226" s="303"/>
    </row>
    <row r="227" spans="1:26" x14ac:dyDescent="0.2">
      <c r="A227" s="303"/>
      <c r="B227" s="303"/>
      <c r="C227" s="303"/>
      <c r="D227" s="303"/>
      <c r="E227" s="303"/>
      <c r="F227" s="303"/>
      <c r="G227" s="303"/>
      <c r="H227" s="303"/>
      <c r="I227" s="303"/>
      <c r="J227" s="303"/>
      <c r="K227" s="303"/>
      <c r="L227" s="303"/>
      <c r="M227" s="303"/>
      <c r="N227" s="303"/>
      <c r="O227" s="303"/>
      <c r="P227" s="303"/>
      <c r="Q227" s="303"/>
      <c r="R227" s="303"/>
      <c r="S227" s="303"/>
      <c r="T227" s="303"/>
      <c r="U227" s="303"/>
      <c r="V227" s="303"/>
      <c r="W227" s="303"/>
      <c r="X227" s="303"/>
      <c r="Y227" s="303"/>
      <c r="Z227" s="303"/>
    </row>
    <row r="228" spans="1:26" x14ac:dyDescent="0.2">
      <c r="A228" s="303"/>
      <c r="B228" s="303"/>
      <c r="C228" s="303"/>
      <c r="D228" s="303"/>
      <c r="E228" s="303"/>
      <c r="F228" s="303"/>
      <c r="G228" s="303"/>
      <c r="H228" s="303"/>
      <c r="I228" s="303"/>
      <c r="J228" s="303"/>
      <c r="K228" s="303"/>
      <c r="L228" s="303"/>
      <c r="M228" s="303"/>
      <c r="N228" s="303"/>
      <c r="O228" s="303"/>
      <c r="P228" s="303"/>
      <c r="Q228" s="303"/>
      <c r="R228" s="303"/>
      <c r="S228" s="303"/>
      <c r="T228" s="303"/>
      <c r="U228" s="303"/>
      <c r="V228" s="303"/>
      <c r="W228" s="303"/>
      <c r="X228" s="303"/>
      <c r="Y228" s="303"/>
      <c r="Z228" s="303"/>
    </row>
    <row r="229" spans="1:26" x14ac:dyDescent="0.2">
      <c r="A229" s="303"/>
      <c r="B229" s="303"/>
      <c r="C229" s="303"/>
      <c r="D229" s="303"/>
      <c r="E229" s="303"/>
      <c r="F229" s="303"/>
      <c r="G229" s="303"/>
      <c r="H229" s="303"/>
      <c r="I229" s="303"/>
      <c r="J229" s="303"/>
      <c r="K229" s="303"/>
      <c r="L229" s="303"/>
      <c r="M229" s="303"/>
      <c r="N229" s="303"/>
      <c r="O229" s="303"/>
      <c r="P229" s="303"/>
      <c r="Q229" s="303"/>
      <c r="R229" s="303"/>
      <c r="S229" s="303"/>
      <c r="T229" s="303"/>
      <c r="U229" s="303"/>
      <c r="V229" s="303"/>
      <c r="W229" s="303"/>
      <c r="X229" s="303"/>
      <c r="Y229" s="303"/>
      <c r="Z229" s="303"/>
    </row>
    <row r="230" spans="1:26" x14ac:dyDescent="0.2">
      <c r="A230" s="303"/>
      <c r="B230" s="303"/>
      <c r="C230" s="303"/>
      <c r="D230" s="303"/>
      <c r="E230" s="303"/>
      <c r="F230" s="303"/>
      <c r="G230" s="303"/>
      <c r="H230" s="303"/>
      <c r="I230" s="303"/>
      <c r="J230" s="303"/>
      <c r="K230" s="303"/>
      <c r="L230" s="303"/>
      <c r="M230" s="303"/>
      <c r="N230" s="303"/>
      <c r="O230" s="303"/>
      <c r="P230" s="303"/>
      <c r="Q230" s="303"/>
      <c r="R230" s="303"/>
      <c r="S230" s="303"/>
      <c r="T230" s="303"/>
      <c r="U230" s="303"/>
      <c r="V230" s="303"/>
      <c r="W230" s="303"/>
      <c r="X230" s="303"/>
      <c r="Y230" s="303"/>
      <c r="Z230" s="303"/>
    </row>
    <row r="231" spans="1:26" x14ac:dyDescent="0.2">
      <c r="A231" s="303"/>
      <c r="B231" s="303"/>
      <c r="C231" s="303"/>
      <c r="D231" s="303"/>
      <c r="E231" s="303"/>
      <c r="F231" s="303"/>
      <c r="G231" s="303"/>
      <c r="H231" s="303"/>
      <c r="I231" s="303"/>
      <c r="J231" s="303"/>
      <c r="K231" s="303"/>
      <c r="L231" s="303"/>
      <c r="M231" s="303"/>
      <c r="N231" s="303"/>
      <c r="O231" s="303"/>
      <c r="P231" s="303"/>
      <c r="Q231" s="303"/>
      <c r="R231" s="303"/>
      <c r="S231" s="303"/>
      <c r="T231" s="303"/>
      <c r="U231" s="303"/>
      <c r="V231" s="303"/>
      <c r="W231" s="303"/>
      <c r="X231" s="303"/>
      <c r="Y231" s="303"/>
      <c r="Z231" s="303"/>
    </row>
    <row r="232" spans="1:26" x14ac:dyDescent="0.2">
      <c r="A232" s="303"/>
      <c r="B232" s="303"/>
      <c r="C232" s="303"/>
      <c r="D232" s="303"/>
      <c r="E232" s="303"/>
      <c r="F232" s="303"/>
      <c r="G232" s="303"/>
      <c r="H232" s="303"/>
      <c r="I232" s="303"/>
      <c r="J232" s="303"/>
      <c r="K232" s="303"/>
      <c r="L232" s="303"/>
      <c r="M232" s="303"/>
      <c r="N232" s="303"/>
      <c r="O232" s="303"/>
      <c r="P232" s="303"/>
      <c r="Q232" s="303"/>
      <c r="R232" s="303"/>
      <c r="S232" s="303"/>
      <c r="T232" s="303"/>
      <c r="U232" s="303"/>
      <c r="V232" s="303"/>
      <c r="W232" s="303"/>
      <c r="X232" s="303"/>
      <c r="Y232" s="303"/>
      <c r="Z232" s="303"/>
    </row>
    <row r="233" spans="1:26" x14ac:dyDescent="0.2">
      <c r="A233" s="303"/>
      <c r="B233" s="303"/>
      <c r="C233" s="303"/>
      <c r="D233" s="303"/>
      <c r="E233" s="303"/>
      <c r="F233" s="303"/>
      <c r="G233" s="303"/>
      <c r="H233" s="303"/>
      <c r="I233" s="303"/>
      <c r="J233" s="303"/>
      <c r="K233" s="303"/>
      <c r="L233" s="303"/>
      <c r="M233" s="303"/>
      <c r="N233" s="303"/>
      <c r="O233" s="303"/>
      <c r="P233" s="303"/>
      <c r="Q233" s="303"/>
      <c r="R233" s="303"/>
      <c r="S233" s="303"/>
      <c r="T233" s="303"/>
      <c r="U233" s="303"/>
      <c r="V233" s="303"/>
      <c r="W233" s="303"/>
      <c r="X233" s="303"/>
      <c r="Y233" s="303"/>
      <c r="Z233" s="303"/>
    </row>
    <row r="234" spans="1:26" x14ac:dyDescent="0.2">
      <c r="A234" s="303"/>
      <c r="B234" s="303"/>
      <c r="C234" s="303"/>
      <c r="D234" s="303"/>
      <c r="E234" s="303"/>
      <c r="F234" s="303"/>
      <c r="G234" s="303"/>
      <c r="H234" s="303"/>
      <c r="I234" s="303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3"/>
      <c r="U234" s="303"/>
      <c r="V234" s="303"/>
      <c r="W234" s="303"/>
      <c r="X234" s="303"/>
      <c r="Y234" s="303"/>
      <c r="Z234" s="303"/>
    </row>
    <row r="235" spans="1:26" x14ac:dyDescent="0.2">
      <c r="A235" s="303"/>
      <c r="B235" s="303"/>
      <c r="C235" s="303"/>
      <c r="D235" s="303"/>
      <c r="E235" s="303"/>
      <c r="F235" s="303"/>
      <c r="G235" s="303"/>
      <c r="H235" s="303"/>
      <c r="I235" s="303"/>
      <c r="J235" s="303"/>
      <c r="K235" s="303"/>
      <c r="L235" s="303"/>
      <c r="M235" s="303"/>
      <c r="N235" s="303"/>
      <c r="O235" s="303"/>
      <c r="P235" s="303"/>
      <c r="Q235" s="303"/>
      <c r="R235" s="303"/>
      <c r="S235" s="303"/>
      <c r="T235" s="303"/>
      <c r="U235" s="303"/>
      <c r="V235" s="303"/>
      <c r="W235" s="303"/>
      <c r="X235" s="303"/>
      <c r="Y235" s="303"/>
      <c r="Z235" s="303"/>
    </row>
    <row r="236" spans="1:26" x14ac:dyDescent="0.2">
      <c r="A236" s="303"/>
      <c r="B236" s="303"/>
      <c r="C236" s="303"/>
      <c r="D236" s="303"/>
      <c r="E236" s="303"/>
      <c r="F236" s="303"/>
      <c r="G236" s="303"/>
      <c r="H236" s="303"/>
      <c r="I236" s="303"/>
      <c r="J236" s="303"/>
      <c r="K236" s="303"/>
      <c r="L236" s="303"/>
      <c r="M236" s="303"/>
      <c r="N236" s="303"/>
      <c r="O236" s="303"/>
      <c r="P236" s="303"/>
      <c r="Q236" s="303"/>
      <c r="R236" s="303"/>
      <c r="S236" s="303"/>
      <c r="T236" s="303"/>
      <c r="U236" s="303"/>
      <c r="V236" s="303"/>
      <c r="W236" s="303"/>
      <c r="X236" s="303"/>
      <c r="Y236" s="303"/>
      <c r="Z236" s="303"/>
    </row>
    <row r="237" spans="1:26" x14ac:dyDescent="0.2">
      <c r="A237" s="303"/>
      <c r="B237" s="303"/>
      <c r="C237" s="303"/>
      <c r="D237" s="303"/>
      <c r="E237" s="303"/>
      <c r="F237" s="303"/>
      <c r="G237" s="303"/>
      <c r="H237" s="303"/>
      <c r="I237" s="303"/>
      <c r="J237" s="303"/>
      <c r="K237" s="303"/>
      <c r="L237" s="303"/>
      <c r="M237" s="303"/>
      <c r="N237" s="303"/>
      <c r="O237" s="303"/>
      <c r="P237" s="303"/>
      <c r="Q237" s="303"/>
      <c r="R237" s="303"/>
      <c r="S237" s="303"/>
      <c r="T237" s="303"/>
      <c r="U237" s="303"/>
      <c r="V237" s="303"/>
      <c r="W237" s="303"/>
      <c r="X237" s="303"/>
      <c r="Y237" s="303"/>
      <c r="Z237" s="303"/>
    </row>
    <row r="238" spans="1:26" x14ac:dyDescent="0.2">
      <c r="A238" s="303"/>
      <c r="B238" s="303"/>
      <c r="C238" s="303"/>
      <c r="D238" s="303"/>
      <c r="E238" s="303"/>
      <c r="F238" s="303"/>
      <c r="G238" s="303"/>
      <c r="H238" s="303"/>
      <c r="I238" s="303"/>
      <c r="J238" s="303"/>
      <c r="K238" s="303"/>
      <c r="L238" s="303"/>
      <c r="M238" s="303"/>
      <c r="N238" s="303"/>
      <c r="O238" s="303"/>
      <c r="P238" s="303"/>
      <c r="Q238" s="303"/>
      <c r="R238" s="303"/>
      <c r="S238" s="303"/>
      <c r="T238" s="303"/>
      <c r="U238" s="303"/>
      <c r="V238" s="303"/>
      <c r="W238" s="303"/>
      <c r="X238" s="303"/>
      <c r="Y238" s="303"/>
      <c r="Z238" s="303"/>
    </row>
    <row r="239" spans="1:26" x14ac:dyDescent="0.2">
      <c r="A239" s="303"/>
      <c r="B239" s="303"/>
      <c r="C239" s="303"/>
      <c r="D239" s="303"/>
      <c r="E239" s="303"/>
      <c r="F239" s="303"/>
      <c r="G239" s="303"/>
      <c r="H239" s="303"/>
      <c r="I239" s="303"/>
      <c r="J239" s="303"/>
      <c r="K239" s="303"/>
      <c r="L239" s="303"/>
      <c r="M239" s="303"/>
      <c r="N239" s="303"/>
      <c r="O239" s="303"/>
      <c r="P239" s="303"/>
      <c r="Q239" s="303"/>
      <c r="R239" s="303"/>
      <c r="S239" s="303"/>
      <c r="T239" s="303"/>
      <c r="U239" s="303"/>
      <c r="V239" s="303"/>
      <c r="W239" s="303"/>
      <c r="X239" s="303"/>
      <c r="Y239" s="303"/>
      <c r="Z239" s="303"/>
    </row>
    <row r="240" spans="1:26" x14ac:dyDescent="0.2">
      <c r="A240" s="303"/>
      <c r="B240" s="303"/>
      <c r="C240" s="303"/>
      <c r="D240" s="303"/>
      <c r="E240" s="303"/>
      <c r="F240" s="303"/>
      <c r="G240" s="303"/>
      <c r="H240" s="303"/>
      <c r="I240" s="303"/>
      <c r="J240" s="303"/>
      <c r="K240" s="303"/>
      <c r="L240" s="303"/>
      <c r="M240" s="303"/>
      <c r="N240" s="303"/>
      <c r="O240" s="303"/>
      <c r="P240" s="303"/>
      <c r="Q240" s="303"/>
      <c r="R240" s="303"/>
      <c r="S240" s="303"/>
      <c r="T240" s="303"/>
      <c r="U240" s="303"/>
      <c r="V240" s="303"/>
      <c r="W240" s="303"/>
      <c r="X240" s="303"/>
      <c r="Y240" s="303"/>
      <c r="Z240" s="303"/>
    </row>
    <row r="241" spans="1:26" x14ac:dyDescent="0.2">
      <c r="A241" s="303"/>
      <c r="B241" s="303"/>
      <c r="C241" s="303"/>
      <c r="D241" s="303"/>
      <c r="E241" s="303"/>
      <c r="F241" s="303"/>
      <c r="G241" s="303"/>
      <c r="H241" s="303"/>
      <c r="I241" s="303"/>
      <c r="J241" s="303"/>
      <c r="K241" s="303"/>
      <c r="L241" s="303"/>
      <c r="M241" s="303"/>
      <c r="N241" s="303"/>
      <c r="O241" s="303"/>
      <c r="P241" s="303"/>
      <c r="Q241" s="303"/>
      <c r="R241" s="303"/>
      <c r="S241" s="303"/>
      <c r="T241" s="303"/>
      <c r="U241" s="303"/>
      <c r="V241" s="303"/>
      <c r="W241" s="303"/>
      <c r="X241" s="303"/>
      <c r="Y241" s="303"/>
      <c r="Z241" s="303"/>
    </row>
    <row r="242" spans="1:26" x14ac:dyDescent="0.2">
      <c r="A242" s="303"/>
      <c r="B242" s="303"/>
      <c r="C242" s="303"/>
      <c r="D242" s="303"/>
      <c r="E242" s="303"/>
      <c r="F242" s="303"/>
      <c r="G242" s="303"/>
      <c r="H242" s="303"/>
      <c r="I242" s="303"/>
      <c r="J242" s="303"/>
      <c r="K242" s="303"/>
      <c r="L242" s="303"/>
      <c r="M242" s="303"/>
      <c r="N242" s="303"/>
      <c r="O242" s="303"/>
      <c r="P242" s="303"/>
      <c r="Q242" s="303"/>
      <c r="R242" s="303"/>
      <c r="S242" s="303"/>
      <c r="T242" s="303"/>
      <c r="U242" s="303"/>
      <c r="V242" s="303"/>
      <c r="W242" s="303"/>
      <c r="X242" s="303"/>
      <c r="Y242" s="303"/>
      <c r="Z242" s="303"/>
    </row>
    <row r="243" spans="1:26" x14ac:dyDescent="0.2">
      <c r="A243" s="303"/>
      <c r="B243" s="303"/>
      <c r="C243" s="303"/>
      <c r="D243" s="303"/>
      <c r="E243" s="303"/>
      <c r="F243" s="303"/>
      <c r="G243" s="303"/>
      <c r="H243" s="303"/>
      <c r="I243" s="303"/>
      <c r="J243" s="303"/>
      <c r="K243" s="303"/>
      <c r="L243" s="303"/>
      <c r="M243" s="303"/>
      <c r="N243" s="303"/>
      <c r="O243" s="303"/>
      <c r="P243" s="303"/>
      <c r="Q243" s="303"/>
      <c r="R243" s="303"/>
      <c r="S243" s="303"/>
      <c r="T243" s="303"/>
      <c r="U243" s="303"/>
      <c r="V243" s="303"/>
      <c r="W243" s="303"/>
      <c r="X243" s="303"/>
      <c r="Y243" s="303"/>
      <c r="Z243" s="303"/>
    </row>
    <row r="244" spans="1:26" x14ac:dyDescent="0.2">
      <c r="A244" s="303"/>
      <c r="B244" s="303"/>
      <c r="C244" s="303"/>
      <c r="D244" s="303"/>
      <c r="E244" s="303"/>
      <c r="F244" s="303"/>
      <c r="G244" s="303"/>
      <c r="H244" s="303"/>
      <c r="I244" s="303"/>
      <c r="J244" s="303"/>
      <c r="K244" s="303"/>
      <c r="L244" s="303"/>
      <c r="M244" s="303"/>
      <c r="N244" s="303"/>
      <c r="O244" s="303"/>
      <c r="P244" s="303"/>
      <c r="Q244" s="303"/>
      <c r="R244" s="303"/>
      <c r="S244" s="303"/>
      <c r="T244" s="303"/>
      <c r="U244" s="303"/>
      <c r="V244" s="303"/>
      <c r="W244" s="303"/>
      <c r="X244" s="303"/>
      <c r="Y244" s="303"/>
      <c r="Z244" s="303"/>
    </row>
    <row r="245" spans="1:26" x14ac:dyDescent="0.2">
      <c r="A245" s="303"/>
      <c r="B245" s="303"/>
      <c r="C245" s="303"/>
      <c r="D245" s="303"/>
      <c r="E245" s="303"/>
      <c r="F245" s="303"/>
      <c r="G245" s="303"/>
      <c r="H245" s="303"/>
      <c r="I245" s="303"/>
      <c r="J245" s="303"/>
      <c r="K245" s="303"/>
      <c r="L245" s="303"/>
      <c r="M245" s="303"/>
      <c r="N245" s="303"/>
      <c r="O245" s="303"/>
      <c r="P245" s="303"/>
      <c r="Q245" s="303"/>
      <c r="R245" s="303"/>
      <c r="S245" s="303"/>
      <c r="T245" s="303"/>
      <c r="U245" s="303"/>
      <c r="V245" s="303"/>
      <c r="W245" s="303"/>
      <c r="X245" s="303"/>
      <c r="Y245" s="303"/>
      <c r="Z245" s="303"/>
    </row>
    <row r="246" spans="1:26" x14ac:dyDescent="0.2">
      <c r="A246" s="303"/>
      <c r="B246" s="303"/>
      <c r="C246" s="303"/>
      <c r="D246" s="303"/>
      <c r="E246" s="303"/>
      <c r="F246" s="303"/>
      <c r="G246" s="303"/>
      <c r="H246" s="303"/>
      <c r="I246" s="303"/>
      <c r="J246" s="303"/>
      <c r="K246" s="303"/>
      <c r="L246" s="303"/>
      <c r="M246" s="303"/>
      <c r="N246" s="303"/>
      <c r="O246" s="303"/>
      <c r="P246" s="303"/>
      <c r="Q246" s="303"/>
      <c r="R246" s="303"/>
      <c r="S246" s="303"/>
      <c r="T246" s="303"/>
      <c r="U246" s="303"/>
      <c r="V246" s="303"/>
      <c r="W246" s="303"/>
      <c r="X246" s="303"/>
      <c r="Y246" s="303"/>
      <c r="Z246" s="303"/>
    </row>
    <row r="247" spans="1:26" x14ac:dyDescent="0.2">
      <c r="A247" s="303"/>
      <c r="B247" s="303"/>
      <c r="C247" s="303"/>
      <c r="D247" s="303"/>
      <c r="E247" s="303"/>
      <c r="F247" s="303"/>
      <c r="G247" s="303"/>
      <c r="H247" s="303"/>
      <c r="I247" s="303"/>
      <c r="J247" s="303"/>
      <c r="K247" s="303"/>
      <c r="L247" s="303"/>
      <c r="M247" s="303"/>
      <c r="N247" s="303"/>
      <c r="O247" s="303"/>
      <c r="P247" s="303"/>
      <c r="Q247" s="303"/>
      <c r="R247" s="303"/>
      <c r="S247" s="303"/>
      <c r="T247" s="303"/>
      <c r="U247" s="303"/>
      <c r="V247" s="303"/>
      <c r="W247" s="303"/>
      <c r="X247" s="303"/>
      <c r="Y247" s="303"/>
      <c r="Z247" s="303"/>
    </row>
    <row r="248" spans="1:26" x14ac:dyDescent="0.2">
      <c r="A248" s="303"/>
      <c r="B248" s="303"/>
      <c r="C248" s="303"/>
      <c r="D248" s="303"/>
      <c r="E248" s="303"/>
      <c r="F248" s="303"/>
      <c r="G248" s="303"/>
      <c r="H248" s="303"/>
      <c r="I248" s="303"/>
      <c r="J248" s="303"/>
      <c r="K248" s="303"/>
      <c r="L248" s="303"/>
      <c r="M248" s="303"/>
      <c r="N248" s="303"/>
      <c r="O248" s="303"/>
      <c r="P248" s="303"/>
      <c r="Q248" s="303"/>
      <c r="R248" s="303"/>
      <c r="S248" s="303"/>
      <c r="T248" s="303"/>
      <c r="U248" s="303"/>
      <c r="V248" s="303"/>
      <c r="W248" s="303"/>
      <c r="X248" s="303"/>
      <c r="Y248" s="303"/>
      <c r="Z248" s="303"/>
    </row>
    <row r="249" spans="1:26" x14ac:dyDescent="0.2">
      <c r="A249" s="303"/>
      <c r="B249" s="303"/>
      <c r="C249" s="303"/>
      <c r="D249" s="303"/>
      <c r="E249" s="303"/>
      <c r="F249" s="303"/>
      <c r="G249" s="303"/>
      <c r="H249" s="303"/>
      <c r="I249" s="303"/>
      <c r="J249" s="303"/>
      <c r="K249" s="303"/>
      <c r="L249" s="303"/>
      <c r="M249" s="303"/>
      <c r="N249" s="303"/>
      <c r="O249" s="303"/>
      <c r="P249" s="303"/>
      <c r="Q249" s="303"/>
      <c r="R249" s="303"/>
      <c r="S249" s="303"/>
      <c r="T249" s="303"/>
      <c r="U249" s="303"/>
      <c r="V249" s="303"/>
      <c r="W249" s="303"/>
      <c r="X249" s="303"/>
      <c r="Y249" s="303"/>
      <c r="Z249" s="303"/>
    </row>
    <row r="250" spans="1:26" x14ac:dyDescent="0.2">
      <c r="A250" s="303"/>
      <c r="B250" s="303"/>
      <c r="C250" s="303"/>
      <c r="D250" s="303"/>
      <c r="E250" s="303"/>
      <c r="F250" s="303"/>
      <c r="G250" s="303"/>
      <c r="H250" s="303"/>
      <c r="I250" s="303"/>
      <c r="J250" s="303"/>
      <c r="K250" s="303"/>
      <c r="L250" s="303"/>
      <c r="M250" s="303"/>
      <c r="N250" s="303"/>
      <c r="O250" s="303"/>
      <c r="P250" s="303"/>
      <c r="Q250" s="303"/>
      <c r="R250" s="303"/>
      <c r="S250" s="303"/>
      <c r="T250" s="303"/>
      <c r="U250" s="303"/>
      <c r="V250" s="303"/>
      <c r="W250" s="303"/>
      <c r="X250" s="303"/>
      <c r="Y250" s="303"/>
      <c r="Z250" s="303"/>
    </row>
    <row r="251" spans="1:26" x14ac:dyDescent="0.2">
      <c r="A251" s="303"/>
      <c r="B251" s="303"/>
      <c r="C251" s="303"/>
      <c r="D251" s="303"/>
      <c r="E251" s="303"/>
      <c r="F251" s="303"/>
      <c r="G251" s="303"/>
      <c r="H251" s="303"/>
      <c r="I251" s="303"/>
      <c r="J251" s="303"/>
      <c r="K251" s="303"/>
      <c r="L251" s="303"/>
      <c r="M251" s="303"/>
      <c r="N251" s="303"/>
      <c r="O251" s="303"/>
      <c r="P251" s="303"/>
      <c r="Q251" s="303"/>
      <c r="R251" s="303"/>
      <c r="S251" s="303"/>
      <c r="T251" s="303"/>
      <c r="U251" s="303"/>
      <c r="V251" s="303"/>
      <c r="W251" s="303"/>
      <c r="X251" s="303"/>
      <c r="Y251" s="303"/>
      <c r="Z251" s="303"/>
    </row>
    <row r="252" spans="1:26" x14ac:dyDescent="0.2">
      <c r="A252" s="303"/>
      <c r="B252" s="303"/>
      <c r="C252" s="303"/>
      <c r="D252" s="303"/>
      <c r="E252" s="303"/>
      <c r="F252" s="303"/>
      <c r="G252" s="303"/>
      <c r="H252" s="303"/>
      <c r="I252" s="303"/>
      <c r="J252" s="303"/>
      <c r="K252" s="303"/>
      <c r="L252" s="303"/>
      <c r="M252" s="303"/>
      <c r="N252" s="303"/>
      <c r="O252" s="303"/>
      <c r="P252" s="303"/>
      <c r="Q252" s="303"/>
      <c r="R252" s="303"/>
      <c r="S252" s="303"/>
      <c r="T252" s="303"/>
      <c r="U252" s="303"/>
      <c r="V252" s="303"/>
      <c r="W252" s="303"/>
      <c r="X252" s="303"/>
      <c r="Y252" s="303"/>
      <c r="Z252" s="303"/>
    </row>
    <row r="253" spans="1:26" x14ac:dyDescent="0.2">
      <c r="A253" s="303"/>
      <c r="B253" s="303"/>
      <c r="C253" s="303"/>
      <c r="D253" s="303"/>
      <c r="E253" s="303"/>
      <c r="F253" s="303"/>
      <c r="G253" s="303"/>
      <c r="H253" s="303"/>
      <c r="I253" s="303"/>
      <c r="J253" s="303"/>
      <c r="K253" s="303"/>
      <c r="L253" s="303"/>
      <c r="M253" s="303"/>
      <c r="N253" s="303"/>
      <c r="O253" s="303"/>
      <c r="P253" s="303"/>
      <c r="Q253" s="303"/>
      <c r="R253" s="303"/>
      <c r="S253" s="303"/>
      <c r="T253" s="303"/>
      <c r="U253" s="303"/>
      <c r="V253" s="303"/>
      <c r="W253" s="303"/>
      <c r="X253" s="303"/>
      <c r="Y253" s="303"/>
      <c r="Z253" s="303"/>
    </row>
    <row r="254" spans="1:26" x14ac:dyDescent="0.2">
      <c r="A254" s="303"/>
      <c r="B254" s="303"/>
      <c r="C254" s="303"/>
      <c r="D254" s="303"/>
      <c r="E254" s="303"/>
      <c r="F254" s="303"/>
      <c r="G254" s="303"/>
      <c r="H254" s="303"/>
      <c r="I254" s="303"/>
      <c r="J254" s="303"/>
      <c r="K254" s="303"/>
      <c r="L254" s="303"/>
      <c r="M254" s="303"/>
      <c r="N254" s="303"/>
      <c r="O254" s="303"/>
      <c r="P254" s="303"/>
      <c r="Q254" s="303"/>
      <c r="R254" s="303"/>
      <c r="S254" s="303"/>
      <c r="T254" s="303"/>
      <c r="U254" s="303"/>
      <c r="V254" s="303"/>
      <c r="W254" s="303"/>
      <c r="X254" s="303"/>
      <c r="Y254" s="303"/>
      <c r="Z254" s="303"/>
    </row>
    <row r="255" spans="1:26" x14ac:dyDescent="0.2">
      <c r="A255" s="303"/>
      <c r="B255" s="303"/>
      <c r="C255" s="303"/>
      <c r="D255" s="303"/>
      <c r="E255" s="303"/>
      <c r="F255" s="303"/>
      <c r="G255" s="303"/>
      <c r="H255" s="303"/>
      <c r="I255" s="303"/>
      <c r="J255" s="303"/>
      <c r="K255" s="303"/>
      <c r="L255" s="303"/>
      <c r="M255" s="303"/>
      <c r="N255" s="303"/>
      <c r="O255" s="303"/>
      <c r="P255" s="303"/>
      <c r="Q255" s="303"/>
      <c r="R255" s="303"/>
      <c r="S255" s="303"/>
      <c r="T255" s="303"/>
      <c r="U255" s="303"/>
      <c r="V255" s="303"/>
      <c r="W255" s="303"/>
      <c r="X255" s="303"/>
      <c r="Y255" s="303"/>
      <c r="Z255" s="303"/>
    </row>
    <row r="256" spans="1:26" x14ac:dyDescent="0.2">
      <c r="A256" s="303"/>
      <c r="B256" s="303"/>
      <c r="C256" s="303"/>
      <c r="D256" s="303"/>
      <c r="E256" s="303"/>
      <c r="F256" s="303"/>
      <c r="G256" s="303"/>
      <c r="H256" s="303"/>
      <c r="I256" s="303"/>
      <c r="J256" s="303"/>
      <c r="K256" s="303"/>
      <c r="L256" s="303"/>
      <c r="M256" s="303"/>
      <c r="N256" s="303"/>
      <c r="O256" s="303"/>
      <c r="P256" s="303"/>
      <c r="Q256" s="303"/>
      <c r="R256" s="303"/>
      <c r="S256" s="303"/>
      <c r="T256" s="303"/>
      <c r="U256" s="303"/>
      <c r="V256" s="303"/>
      <c r="W256" s="303"/>
      <c r="X256" s="303"/>
      <c r="Y256" s="303"/>
      <c r="Z256" s="303"/>
    </row>
    <row r="257" spans="1:26" x14ac:dyDescent="0.2">
      <c r="A257" s="303"/>
      <c r="B257" s="303"/>
      <c r="C257" s="303"/>
      <c r="D257" s="303"/>
      <c r="E257" s="303"/>
      <c r="F257" s="303"/>
      <c r="G257" s="303"/>
      <c r="H257" s="303"/>
      <c r="I257" s="303"/>
      <c r="J257" s="303"/>
      <c r="K257" s="303"/>
      <c r="L257" s="303"/>
      <c r="M257" s="303"/>
      <c r="N257" s="303"/>
      <c r="O257" s="303"/>
      <c r="P257" s="303"/>
      <c r="Q257" s="303"/>
      <c r="R257" s="303"/>
      <c r="S257" s="303"/>
      <c r="T257" s="303"/>
      <c r="U257" s="303"/>
      <c r="V257" s="303"/>
      <c r="W257" s="303"/>
      <c r="X257" s="303"/>
      <c r="Y257" s="303"/>
      <c r="Z257" s="303"/>
    </row>
    <row r="258" spans="1:26" x14ac:dyDescent="0.2">
      <c r="A258" s="303"/>
      <c r="B258" s="303"/>
      <c r="C258" s="303"/>
      <c r="D258" s="303"/>
      <c r="E258" s="303"/>
      <c r="F258" s="303"/>
      <c r="G258" s="303"/>
      <c r="H258" s="303"/>
      <c r="I258" s="303"/>
      <c r="J258" s="303"/>
      <c r="K258" s="303"/>
      <c r="L258" s="303"/>
      <c r="M258" s="303"/>
      <c r="N258" s="303"/>
      <c r="O258" s="303"/>
      <c r="P258" s="303"/>
      <c r="Q258" s="303"/>
      <c r="R258" s="303"/>
      <c r="S258" s="303"/>
      <c r="T258" s="303"/>
      <c r="U258" s="303"/>
      <c r="V258" s="303"/>
      <c r="W258" s="303"/>
      <c r="X258" s="303"/>
      <c r="Y258" s="303"/>
      <c r="Z258" s="303"/>
    </row>
    <row r="259" spans="1:26" x14ac:dyDescent="0.2">
      <c r="A259" s="303"/>
      <c r="B259" s="303"/>
      <c r="C259" s="303"/>
      <c r="D259" s="303"/>
      <c r="E259" s="303"/>
      <c r="F259" s="303"/>
      <c r="G259" s="303"/>
      <c r="H259" s="303"/>
      <c r="I259" s="303"/>
      <c r="J259" s="303"/>
      <c r="K259" s="303"/>
      <c r="L259" s="303"/>
      <c r="M259" s="303"/>
      <c r="N259" s="303"/>
      <c r="O259" s="303"/>
      <c r="P259" s="303"/>
      <c r="Q259" s="303"/>
      <c r="R259" s="303"/>
      <c r="S259" s="303"/>
      <c r="T259" s="303"/>
      <c r="U259" s="303"/>
      <c r="V259" s="303"/>
      <c r="W259" s="303"/>
      <c r="X259" s="303"/>
      <c r="Y259" s="303"/>
      <c r="Z259" s="303"/>
    </row>
    <row r="260" spans="1:26" x14ac:dyDescent="0.2">
      <c r="A260" s="303"/>
      <c r="B260" s="303"/>
      <c r="C260" s="303"/>
      <c r="D260" s="303"/>
      <c r="E260" s="303"/>
      <c r="F260" s="303"/>
      <c r="G260" s="303"/>
      <c r="H260" s="303"/>
      <c r="I260" s="303"/>
      <c r="J260" s="303"/>
      <c r="K260" s="303"/>
      <c r="L260" s="303"/>
      <c r="M260" s="303"/>
      <c r="N260" s="303"/>
      <c r="O260" s="303"/>
      <c r="P260" s="303"/>
      <c r="Q260" s="303"/>
      <c r="R260" s="303"/>
      <c r="S260" s="303"/>
      <c r="T260" s="303"/>
      <c r="U260" s="303"/>
      <c r="V260" s="303"/>
      <c r="W260" s="303"/>
      <c r="X260" s="303"/>
      <c r="Y260" s="303"/>
      <c r="Z260" s="303"/>
    </row>
    <row r="261" spans="1:26" x14ac:dyDescent="0.2">
      <c r="A261" s="303"/>
      <c r="B261" s="303"/>
      <c r="C261" s="303"/>
      <c r="D261" s="303"/>
      <c r="E261" s="303"/>
      <c r="F261" s="303"/>
      <c r="G261" s="303"/>
      <c r="H261" s="303"/>
      <c r="I261" s="303"/>
      <c r="J261" s="303"/>
      <c r="K261" s="303"/>
      <c r="L261" s="303"/>
      <c r="M261" s="303"/>
      <c r="N261" s="303"/>
      <c r="O261" s="303"/>
      <c r="P261" s="303"/>
      <c r="Q261" s="303"/>
      <c r="R261" s="303"/>
      <c r="S261" s="303"/>
      <c r="T261" s="303"/>
      <c r="U261" s="303"/>
      <c r="V261" s="303"/>
      <c r="W261" s="303"/>
      <c r="X261" s="303"/>
      <c r="Y261" s="303"/>
      <c r="Z261" s="303"/>
    </row>
    <row r="262" spans="1:26" x14ac:dyDescent="0.2">
      <c r="A262" s="303"/>
      <c r="B262" s="303"/>
      <c r="C262" s="303"/>
      <c r="D262" s="303"/>
      <c r="E262" s="303"/>
      <c r="F262" s="303"/>
      <c r="G262" s="303"/>
      <c r="H262" s="303"/>
      <c r="I262" s="303"/>
      <c r="J262" s="303"/>
      <c r="K262" s="303"/>
      <c r="L262" s="303"/>
      <c r="M262" s="303"/>
      <c r="N262" s="303"/>
      <c r="O262" s="303"/>
      <c r="P262" s="303"/>
      <c r="Q262" s="303"/>
      <c r="R262" s="303"/>
      <c r="S262" s="303"/>
      <c r="T262" s="303"/>
      <c r="U262" s="303"/>
      <c r="V262" s="303"/>
      <c r="W262" s="303"/>
      <c r="X262" s="303"/>
      <c r="Y262" s="303"/>
      <c r="Z262" s="303"/>
    </row>
    <row r="263" spans="1:26" x14ac:dyDescent="0.2">
      <c r="A263" s="303"/>
      <c r="B263" s="303"/>
      <c r="C263" s="303"/>
      <c r="D263" s="303"/>
      <c r="E263" s="303"/>
      <c r="F263" s="303"/>
      <c r="G263" s="303"/>
      <c r="H263" s="303"/>
      <c r="I263" s="303"/>
      <c r="J263" s="303"/>
      <c r="K263" s="303"/>
      <c r="L263" s="303"/>
      <c r="M263" s="303"/>
      <c r="N263" s="303"/>
      <c r="O263" s="303"/>
      <c r="P263" s="303"/>
      <c r="Q263" s="303"/>
      <c r="R263" s="303"/>
      <c r="S263" s="303"/>
      <c r="T263" s="303"/>
      <c r="U263" s="303"/>
      <c r="V263" s="303"/>
      <c r="W263" s="303"/>
      <c r="X263" s="303"/>
      <c r="Y263" s="303"/>
      <c r="Z263" s="303"/>
    </row>
    <row r="264" spans="1:26" x14ac:dyDescent="0.2">
      <c r="A264" s="303"/>
      <c r="B264" s="303"/>
      <c r="C264" s="303"/>
      <c r="D264" s="303"/>
      <c r="E264" s="303"/>
      <c r="F264" s="303"/>
      <c r="G264" s="303"/>
      <c r="H264" s="303"/>
      <c r="I264" s="303"/>
      <c r="J264" s="303"/>
      <c r="K264" s="303"/>
      <c r="L264" s="303"/>
      <c r="M264" s="303"/>
      <c r="N264" s="303"/>
      <c r="O264" s="303"/>
      <c r="P264" s="303"/>
      <c r="Q264" s="303"/>
      <c r="R264" s="303"/>
      <c r="S264" s="303"/>
      <c r="T264" s="303"/>
      <c r="U264" s="303"/>
      <c r="V264" s="303"/>
      <c r="W264" s="303"/>
      <c r="X264" s="303"/>
      <c r="Y264" s="303"/>
      <c r="Z264" s="303"/>
    </row>
    <row r="265" spans="1:26" x14ac:dyDescent="0.2">
      <c r="A265" s="303"/>
      <c r="B265" s="303"/>
      <c r="C265" s="303"/>
      <c r="D265" s="303"/>
      <c r="E265" s="303"/>
      <c r="F265" s="303"/>
      <c r="G265" s="303"/>
      <c r="H265" s="303"/>
      <c r="I265" s="303"/>
      <c r="J265" s="303"/>
      <c r="K265" s="303"/>
      <c r="L265" s="303"/>
      <c r="M265" s="303"/>
      <c r="N265" s="303"/>
      <c r="O265" s="303"/>
      <c r="P265" s="303"/>
      <c r="Q265" s="303"/>
      <c r="R265" s="303"/>
      <c r="S265" s="303"/>
      <c r="T265" s="303"/>
      <c r="U265" s="303"/>
      <c r="V265" s="303"/>
      <c r="W265" s="303"/>
      <c r="X265" s="303"/>
      <c r="Y265" s="303"/>
      <c r="Z265" s="303"/>
    </row>
    <row r="266" spans="1:26" x14ac:dyDescent="0.2">
      <c r="A266" s="303"/>
      <c r="B266" s="303"/>
      <c r="C266" s="303"/>
      <c r="D266" s="303"/>
      <c r="E266" s="303"/>
      <c r="F266" s="303"/>
      <c r="G266" s="303"/>
      <c r="H266" s="303"/>
      <c r="I266" s="303"/>
      <c r="J266" s="303"/>
      <c r="K266" s="303"/>
      <c r="L266" s="303"/>
      <c r="M266" s="303"/>
      <c r="N266" s="303"/>
      <c r="O266" s="303"/>
      <c r="P266" s="303"/>
      <c r="Q266" s="303"/>
      <c r="R266" s="303"/>
      <c r="S266" s="303"/>
      <c r="T266" s="303"/>
      <c r="U266" s="303"/>
      <c r="V266" s="303"/>
      <c r="W266" s="303"/>
      <c r="X266" s="303"/>
      <c r="Y266" s="303"/>
      <c r="Z266" s="303"/>
    </row>
    <row r="267" spans="1:26" x14ac:dyDescent="0.2">
      <c r="A267" s="303"/>
      <c r="B267" s="303"/>
      <c r="C267" s="303"/>
      <c r="D267" s="303"/>
      <c r="E267" s="303"/>
      <c r="F267" s="303"/>
      <c r="G267" s="303"/>
      <c r="H267" s="303"/>
      <c r="I267" s="303"/>
      <c r="J267" s="303"/>
      <c r="K267" s="303"/>
      <c r="L267" s="303"/>
      <c r="M267" s="303"/>
      <c r="N267" s="303"/>
      <c r="O267" s="303"/>
      <c r="P267" s="303"/>
      <c r="Q267" s="303"/>
      <c r="R267" s="303"/>
      <c r="S267" s="303"/>
      <c r="T267" s="303"/>
      <c r="U267" s="303"/>
      <c r="V267" s="303"/>
      <c r="W267" s="303"/>
      <c r="X267" s="303"/>
      <c r="Y267" s="303"/>
      <c r="Z267" s="303"/>
    </row>
    <row r="268" spans="1:26" x14ac:dyDescent="0.2">
      <c r="A268" s="303"/>
      <c r="B268" s="303"/>
      <c r="C268" s="303"/>
      <c r="D268" s="303"/>
      <c r="E268" s="303"/>
      <c r="F268" s="303"/>
      <c r="G268" s="303"/>
      <c r="H268" s="303"/>
      <c r="I268" s="303"/>
      <c r="J268" s="303"/>
      <c r="K268" s="303"/>
      <c r="L268" s="303"/>
      <c r="M268" s="303"/>
      <c r="N268" s="303"/>
      <c r="O268" s="303"/>
      <c r="P268" s="303"/>
      <c r="Q268" s="303"/>
      <c r="R268" s="303"/>
      <c r="S268" s="303"/>
      <c r="T268" s="303"/>
      <c r="U268" s="303"/>
      <c r="V268" s="303"/>
      <c r="W268" s="303"/>
      <c r="X268" s="303"/>
      <c r="Y268" s="303"/>
      <c r="Z268" s="303"/>
    </row>
    <row r="269" spans="1:26" x14ac:dyDescent="0.2">
      <c r="A269" s="303"/>
      <c r="B269" s="303"/>
      <c r="C269" s="303"/>
      <c r="D269" s="303"/>
      <c r="E269" s="303"/>
      <c r="F269" s="303"/>
      <c r="G269" s="303"/>
      <c r="H269" s="303"/>
      <c r="I269" s="303"/>
      <c r="J269" s="303"/>
      <c r="K269" s="303"/>
      <c r="L269" s="303"/>
      <c r="M269" s="303"/>
      <c r="N269" s="303"/>
      <c r="O269" s="303"/>
      <c r="P269" s="303"/>
      <c r="Q269" s="303"/>
      <c r="R269" s="303"/>
      <c r="S269" s="303"/>
      <c r="T269" s="303"/>
      <c r="U269" s="303"/>
      <c r="V269" s="303"/>
      <c r="W269" s="303"/>
      <c r="X269" s="303"/>
      <c r="Y269" s="303"/>
      <c r="Z269" s="303"/>
    </row>
    <row r="270" spans="1:26" x14ac:dyDescent="0.2">
      <c r="A270" s="303"/>
      <c r="B270" s="303"/>
      <c r="C270" s="303"/>
      <c r="D270" s="303"/>
      <c r="E270" s="303"/>
      <c r="F270" s="303"/>
      <c r="G270" s="303"/>
      <c r="H270" s="303"/>
      <c r="I270" s="303"/>
      <c r="J270" s="303"/>
      <c r="K270" s="303"/>
      <c r="L270" s="303"/>
      <c r="M270" s="303"/>
      <c r="N270" s="303"/>
      <c r="O270" s="303"/>
      <c r="P270" s="303"/>
      <c r="Q270" s="303"/>
      <c r="R270" s="303"/>
      <c r="S270" s="303"/>
      <c r="T270" s="303"/>
      <c r="U270" s="303"/>
      <c r="V270" s="303"/>
      <c r="W270" s="303"/>
      <c r="X270" s="303"/>
      <c r="Y270" s="303"/>
      <c r="Z270" s="303"/>
    </row>
    <row r="271" spans="1:26" x14ac:dyDescent="0.2">
      <c r="A271" s="303"/>
      <c r="B271" s="303"/>
      <c r="C271" s="303"/>
      <c r="D271" s="303"/>
      <c r="E271" s="303"/>
      <c r="F271" s="303"/>
      <c r="G271" s="303"/>
      <c r="H271" s="303"/>
      <c r="I271" s="303"/>
      <c r="J271" s="303"/>
      <c r="K271" s="303"/>
      <c r="L271" s="303"/>
      <c r="M271" s="303"/>
      <c r="N271" s="303"/>
      <c r="O271" s="303"/>
      <c r="P271" s="303"/>
      <c r="Q271" s="303"/>
      <c r="R271" s="303"/>
      <c r="S271" s="303"/>
      <c r="T271" s="303"/>
      <c r="U271" s="303"/>
      <c r="V271" s="303"/>
      <c r="W271" s="303"/>
      <c r="X271" s="303"/>
      <c r="Y271" s="303"/>
      <c r="Z271" s="303"/>
    </row>
    <row r="272" spans="1:26" x14ac:dyDescent="0.2">
      <c r="A272" s="303"/>
      <c r="B272" s="303"/>
      <c r="C272" s="303"/>
      <c r="D272" s="303"/>
      <c r="E272" s="303"/>
      <c r="F272" s="303"/>
      <c r="G272" s="303"/>
      <c r="H272" s="303"/>
      <c r="I272" s="303"/>
      <c r="J272" s="303"/>
      <c r="K272" s="303"/>
      <c r="L272" s="303"/>
      <c r="M272" s="303"/>
      <c r="N272" s="303"/>
      <c r="O272" s="303"/>
      <c r="P272" s="303"/>
      <c r="Q272" s="303"/>
      <c r="R272" s="303"/>
      <c r="S272" s="303"/>
      <c r="T272" s="303"/>
      <c r="U272" s="303"/>
      <c r="V272" s="303"/>
      <c r="W272" s="303"/>
      <c r="X272" s="303"/>
      <c r="Y272" s="303"/>
      <c r="Z272" s="303"/>
    </row>
    <row r="273" spans="1:26" x14ac:dyDescent="0.2">
      <c r="A273" s="303"/>
      <c r="B273" s="303"/>
      <c r="C273" s="303"/>
      <c r="D273" s="303"/>
      <c r="E273" s="303"/>
      <c r="F273" s="303"/>
      <c r="G273" s="303"/>
      <c r="H273" s="303"/>
      <c r="I273" s="303"/>
      <c r="J273" s="303"/>
      <c r="K273" s="303"/>
      <c r="L273" s="303"/>
      <c r="M273" s="303"/>
      <c r="N273" s="303"/>
      <c r="O273" s="303"/>
      <c r="P273" s="303"/>
      <c r="Q273" s="303"/>
      <c r="R273" s="303"/>
      <c r="S273" s="303"/>
      <c r="T273" s="303"/>
      <c r="U273" s="303"/>
      <c r="V273" s="303"/>
      <c r="W273" s="303"/>
      <c r="X273" s="303"/>
      <c r="Y273" s="303"/>
      <c r="Z273" s="303"/>
    </row>
    <row r="274" spans="1:26" x14ac:dyDescent="0.2">
      <c r="A274" s="303"/>
      <c r="B274" s="303"/>
      <c r="C274" s="303"/>
      <c r="D274" s="303"/>
      <c r="E274" s="303"/>
      <c r="F274" s="303"/>
      <c r="G274" s="303"/>
      <c r="H274" s="303"/>
      <c r="I274" s="303"/>
      <c r="J274" s="303"/>
      <c r="K274" s="303"/>
      <c r="L274" s="303"/>
      <c r="M274" s="303"/>
      <c r="N274" s="303"/>
      <c r="O274" s="303"/>
      <c r="P274" s="303"/>
      <c r="Q274" s="303"/>
      <c r="R274" s="303"/>
      <c r="S274" s="303"/>
      <c r="T274" s="303"/>
      <c r="U274" s="303"/>
      <c r="V274" s="303"/>
      <c r="W274" s="303"/>
      <c r="X274" s="303"/>
      <c r="Y274" s="303"/>
      <c r="Z274" s="303"/>
    </row>
    <row r="275" spans="1:26" x14ac:dyDescent="0.2">
      <c r="A275" s="303"/>
      <c r="B275" s="303"/>
      <c r="C275" s="303"/>
      <c r="D275" s="303"/>
      <c r="E275" s="303"/>
      <c r="F275" s="303"/>
      <c r="G275" s="303"/>
      <c r="H275" s="303"/>
      <c r="I275" s="303"/>
      <c r="J275" s="303"/>
      <c r="K275" s="303"/>
      <c r="L275" s="303"/>
      <c r="M275" s="303"/>
      <c r="N275" s="303"/>
      <c r="O275" s="303"/>
      <c r="P275" s="303"/>
      <c r="Q275" s="303"/>
      <c r="R275" s="303"/>
      <c r="S275" s="303"/>
      <c r="T275" s="303"/>
      <c r="U275" s="303"/>
      <c r="V275" s="303"/>
      <c r="W275" s="303"/>
      <c r="X275" s="303"/>
      <c r="Y275" s="303"/>
      <c r="Z275" s="303"/>
    </row>
    <row r="276" spans="1:26" x14ac:dyDescent="0.2">
      <c r="A276" s="303"/>
      <c r="B276" s="303"/>
      <c r="C276" s="303"/>
      <c r="D276" s="303"/>
      <c r="E276" s="303"/>
      <c r="F276" s="303"/>
      <c r="G276" s="303"/>
      <c r="H276" s="303"/>
      <c r="I276" s="303"/>
      <c r="J276" s="303"/>
      <c r="K276" s="303"/>
      <c r="L276" s="303"/>
      <c r="M276" s="303"/>
      <c r="N276" s="303"/>
      <c r="O276" s="303"/>
      <c r="P276" s="303"/>
      <c r="Q276" s="303"/>
      <c r="R276" s="303"/>
      <c r="S276" s="303"/>
      <c r="T276" s="303"/>
      <c r="U276" s="303"/>
      <c r="V276" s="303"/>
      <c r="W276" s="303"/>
      <c r="X276" s="303"/>
      <c r="Y276" s="303"/>
      <c r="Z276" s="303"/>
    </row>
    <row r="277" spans="1:26" x14ac:dyDescent="0.2">
      <c r="A277" s="303"/>
      <c r="B277" s="303"/>
      <c r="C277" s="303"/>
      <c r="D277" s="303"/>
      <c r="E277" s="303"/>
      <c r="F277" s="303"/>
      <c r="G277" s="303"/>
      <c r="H277" s="303"/>
      <c r="I277" s="303"/>
      <c r="J277" s="303"/>
      <c r="K277" s="303"/>
      <c r="L277" s="303"/>
      <c r="M277" s="303"/>
      <c r="N277" s="303"/>
      <c r="O277" s="303"/>
      <c r="P277" s="303"/>
      <c r="Q277" s="303"/>
      <c r="R277" s="303"/>
      <c r="S277" s="303"/>
      <c r="T277" s="303"/>
      <c r="U277" s="303"/>
      <c r="V277" s="303"/>
      <c r="W277" s="303"/>
      <c r="X277" s="303"/>
      <c r="Y277" s="303"/>
      <c r="Z277" s="303"/>
    </row>
    <row r="278" spans="1:26" x14ac:dyDescent="0.2">
      <c r="A278" s="303"/>
      <c r="B278" s="303"/>
      <c r="C278" s="303"/>
      <c r="D278" s="303"/>
      <c r="E278" s="303"/>
      <c r="F278" s="303"/>
      <c r="G278" s="303"/>
      <c r="H278" s="303"/>
      <c r="I278" s="303"/>
      <c r="J278" s="303"/>
      <c r="K278" s="303"/>
      <c r="L278" s="303"/>
      <c r="M278" s="303"/>
      <c r="N278" s="303"/>
      <c r="O278" s="303"/>
      <c r="P278" s="303"/>
      <c r="Q278" s="303"/>
      <c r="R278" s="303"/>
      <c r="S278" s="303"/>
      <c r="T278" s="303"/>
      <c r="U278" s="303"/>
      <c r="V278" s="303"/>
      <c r="W278" s="303"/>
      <c r="X278" s="303"/>
      <c r="Y278" s="303"/>
      <c r="Z278" s="303"/>
    </row>
    <row r="279" spans="1:26" x14ac:dyDescent="0.2">
      <c r="A279" s="303"/>
      <c r="B279" s="303"/>
      <c r="C279" s="303"/>
      <c r="D279" s="303"/>
      <c r="E279" s="303"/>
      <c r="F279" s="303"/>
      <c r="G279" s="303"/>
      <c r="H279" s="303"/>
      <c r="I279" s="303"/>
      <c r="J279" s="303"/>
      <c r="K279" s="303"/>
      <c r="L279" s="303"/>
      <c r="M279" s="303"/>
      <c r="N279" s="303"/>
      <c r="O279" s="303"/>
      <c r="P279" s="303"/>
      <c r="Q279" s="303"/>
      <c r="R279" s="303"/>
      <c r="S279" s="303"/>
      <c r="T279" s="303"/>
      <c r="U279" s="303"/>
      <c r="V279" s="303"/>
      <c r="W279" s="303"/>
      <c r="X279" s="303"/>
      <c r="Y279" s="303"/>
      <c r="Z279" s="303"/>
    </row>
    <row r="280" spans="1:26" x14ac:dyDescent="0.2">
      <c r="A280" s="303"/>
      <c r="B280" s="303"/>
      <c r="C280" s="303"/>
      <c r="D280" s="303"/>
      <c r="E280" s="303"/>
      <c r="F280" s="303"/>
      <c r="G280" s="303"/>
      <c r="H280" s="303"/>
      <c r="I280" s="303"/>
      <c r="J280" s="303"/>
      <c r="K280" s="303"/>
      <c r="L280" s="303"/>
      <c r="M280" s="303"/>
      <c r="N280" s="303"/>
      <c r="O280" s="303"/>
      <c r="P280" s="303"/>
      <c r="Q280" s="303"/>
      <c r="R280" s="303"/>
      <c r="S280" s="303"/>
      <c r="T280" s="303"/>
      <c r="U280" s="303"/>
      <c r="V280" s="303"/>
      <c r="W280" s="303"/>
      <c r="X280" s="303"/>
      <c r="Y280" s="303"/>
      <c r="Z280" s="303"/>
    </row>
    <row r="281" spans="1:26" x14ac:dyDescent="0.2">
      <c r="A281" s="303"/>
      <c r="B281" s="303"/>
      <c r="C281" s="303"/>
      <c r="D281" s="303"/>
      <c r="E281" s="303"/>
      <c r="F281" s="303"/>
      <c r="G281" s="303"/>
      <c r="H281" s="303"/>
      <c r="I281" s="303"/>
      <c r="J281" s="303"/>
      <c r="K281" s="303"/>
      <c r="L281" s="303"/>
      <c r="M281" s="303"/>
      <c r="N281" s="303"/>
      <c r="O281" s="303"/>
      <c r="P281" s="303"/>
      <c r="Q281" s="303"/>
      <c r="R281" s="303"/>
      <c r="S281" s="303"/>
      <c r="T281" s="303"/>
      <c r="U281" s="303"/>
      <c r="V281" s="303"/>
      <c r="W281" s="303"/>
      <c r="X281" s="303"/>
      <c r="Y281" s="303"/>
      <c r="Z281" s="303"/>
    </row>
    <row r="282" spans="1:26" x14ac:dyDescent="0.2">
      <c r="A282" s="303"/>
      <c r="B282" s="303"/>
      <c r="C282" s="303"/>
      <c r="D282" s="303"/>
      <c r="E282" s="303"/>
      <c r="F282" s="303"/>
      <c r="G282" s="303"/>
      <c r="H282" s="303"/>
      <c r="I282" s="303"/>
      <c r="J282" s="303"/>
      <c r="K282" s="303"/>
      <c r="L282" s="303"/>
      <c r="M282" s="303"/>
      <c r="N282" s="303"/>
      <c r="O282" s="303"/>
      <c r="P282" s="303"/>
      <c r="Q282" s="303"/>
      <c r="R282" s="303"/>
      <c r="S282" s="303"/>
      <c r="T282" s="303"/>
      <c r="U282" s="303"/>
      <c r="V282" s="303"/>
      <c r="W282" s="303"/>
      <c r="X282" s="303"/>
      <c r="Y282" s="303"/>
      <c r="Z282" s="303"/>
    </row>
    <row r="283" spans="1:26" x14ac:dyDescent="0.2">
      <c r="A283" s="303"/>
      <c r="B283" s="303"/>
      <c r="C283" s="303"/>
      <c r="D283" s="303"/>
      <c r="E283" s="303"/>
      <c r="F283" s="303"/>
      <c r="G283" s="303"/>
      <c r="H283" s="303"/>
      <c r="I283" s="303"/>
      <c r="J283" s="303"/>
      <c r="K283" s="303"/>
      <c r="L283" s="303"/>
      <c r="M283" s="303"/>
      <c r="N283" s="303"/>
      <c r="O283" s="303"/>
      <c r="P283" s="303"/>
      <c r="Q283" s="303"/>
      <c r="R283" s="303"/>
      <c r="S283" s="303"/>
      <c r="T283" s="303"/>
      <c r="U283" s="303"/>
      <c r="V283" s="303"/>
      <c r="W283" s="303"/>
      <c r="X283" s="303"/>
      <c r="Y283" s="303"/>
      <c r="Z283" s="303"/>
    </row>
    <row r="284" spans="1:26" x14ac:dyDescent="0.2">
      <c r="A284" s="303"/>
      <c r="B284" s="303"/>
      <c r="C284" s="303"/>
      <c r="D284" s="303"/>
      <c r="E284" s="303"/>
      <c r="F284" s="303"/>
      <c r="G284" s="303"/>
      <c r="H284" s="303"/>
      <c r="I284" s="303"/>
      <c r="J284" s="303"/>
      <c r="K284" s="303"/>
      <c r="L284" s="303"/>
      <c r="M284" s="303"/>
      <c r="N284" s="303"/>
      <c r="O284" s="303"/>
      <c r="P284" s="303"/>
      <c r="Q284" s="303"/>
      <c r="R284" s="303"/>
      <c r="S284" s="303"/>
      <c r="T284" s="303"/>
      <c r="U284" s="303"/>
      <c r="V284" s="303"/>
      <c r="W284" s="303"/>
      <c r="X284" s="303"/>
      <c r="Y284" s="303"/>
      <c r="Z284" s="303"/>
    </row>
    <row r="285" spans="1:26" x14ac:dyDescent="0.2">
      <c r="A285" s="303"/>
      <c r="B285" s="303"/>
      <c r="C285" s="303"/>
      <c r="D285" s="303"/>
      <c r="E285" s="303"/>
      <c r="F285" s="303"/>
      <c r="G285" s="303"/>
      <c r="H285" s="303"/>
      <c r="I285" s="303"/>
      <c r="J285" s="303"/>
      <c r="K285" s="303"/>
      <c r="L285" s="303"/>
      <c r="M285" s="303"/>
      <c r="N285" s="303"/>
      <c r="O285" s="303"/>
      <c r="P285" s="303"/>
      <c r="Q285" s="303"/>
      <c r="R285" s="303"/>
      <c r="S285" s="303"/>
      <c r="T285" s="303"/>
      <c r="U285" s="303"/>
      <c r="V285" s="303"/>
      <c r="W285" s="303"/>
      <c r="X285" s="303"/>
      <c r="Y285" s="303"/>
      <c r="Z285" s="303"/>
    </row>
    <row r="286" spans="1:26" x14ac:dyDescent="0.2">
      <c r="A286" s="303"/>
      <c r="B286" s="303"/>
      <c r="C286" s="303"/>
      <c r="D286" s="303"/>
      <c r="E286" s="303"/>
      <c r="F286" s="303"/>
      <c r="G286" s="303"/>
      <c r="H286" s="303"/>
      <c r="I286" s="303"/>
      <c r="J286" s="303"/>
      <c r="K286" s="303"/>
      <c r="L286" s="303"/>
      <c r="M286" s="303"/>
      <c r="N286" s="303"/>
      <c r="O286" s="303"/>
      <c r="P286" s="303"/>
      <c r="Q286" s="303"/>
      <c r="R286" s="303"/>
      <c r="S286" s="303"/>
      <c r="T286" s="303"/>
      <c r="U286" s="303"/>
      <c r="V286" s="303"/>
      <c r="W286" s="303"/>
      <c r="X286" s="303"/>
      <c r="Y286" s="303"/>
      <c r="Z286" s="303"/>
    </row>
    <row r="287" spans="1:26" x14ac:dyDescent="0.2">
      <c r="A287" s="303"/>
      <c r="B287" s="303"/>
      <c r="C287" s="303"/>
      <c r="D287" s="303"/>
      <c r="E287" s="303"/>
      <c r="F287" s="303"/>
      <c r="G287" s="303"/>
      <c r="H287" s="303"/>
      <c r="I287" s="303"/>
      <c r="J287" s="303"/>
      <c r="K287" s="303"/>
      <c r="L287" s="303"/>
      <c r="M287" s="303"/>
      <c r="N287" s="303"/>
      <c r="O287" s="303"/>
      <c r="P287" s="303"/>
      <c r="Q287" s="303"/>
      <c r="R287" s="303"/>
      <c r="S287" s="303"/>
      <c r="T287" s="303"/>
      <c r="U287" s="303"/>
      <c r="V287" s="303"/>
      <c r="W287" s="303"/>
      <c r="X287" s="303"/>
      <c r="Y287" s="303"/>
      <c r="Z287" s="303"/>
    </row>
    <row r="288" spans="1:26" x14ac:dyDescent="0.2">
      <c r="A288" s="303"/>
      <c r="B288" s="303"/>
      <c r="C288" s="303"/>
      <c r="D288" s="303"/>
      <c r="E288" s="303"/>
      <c r="F288" s="303"/>
      <c r="G288" s="303"/>
      <c r="H288" s="303"/>
      <c r="I288" s="303"/>
      <c r="J288" s="303"/>
      <c r="K288" s="303"/>
      <c r="L288" s="303"/>
      <c r="M288" s="303"/>
      <c r="N288" s="303"/>
      <c r="O288" s="303"/>
      <c r="P288" s="303"/>
      <c r="Q288" s="303"/>
      <c r="R288" s="303"/>
      <c r="S288" s="303"/>
      <c r="T288" s="303"/>
      <c r="U288" s="303"/>
      <c r="V288" s="303"/>
      <c r="W288" s="303"/>
      <c r="X288" s="303"/>
      <c r="Y288" s="303"/>
      <c r="Z288" s="303"/>
    </row>
    <row r="289" spans="1:26" x14ac:dyDescent="0.2">
      <c r="A289" s="303"/>
      <c r="B289" s="303"/>
      <c r="C289" s="303"/>
      <c r="D289" s="303"/>
      <c r="E289" s="303"/>
      <c r="F289" s="303"/>
      <c r="G289" s="303"/>
      <c r="H289" s="303"/>
      <c r="I289" s="303"/>
      <c r="J289" s="303"/>
      <c r="K289" s="303"/>
      <c r="L289" s="303"/>
      <c r="M289" s="303"/>
      <c r="N289" s="303"/>
      <c r="O289" s="303"/>
      <c r="P289" s="303"/>
      <c r="Q289" s="303"/>
      <c r="R289" s="303"/>
      <c r="S289" s="303"/>
      <c r="T289" s="303"/>
      <c r="U289" s="303"/>
      <c r="V289" s="303"/>
      <c r="W289" s="303"/>
      <c r="X289" s="303"/>
      <c r="Y289" s="303"/>
      <c r="Z289" s="303"/>
    </row>
    <row r="290" spans="1:26" x14ac:dyDescent="0.2">
      <c r="A290" s="303"/>
      <c r="B290" s="303"/>
      <c r="C290" s="303"/>
      <c r="D290" s="303"/>
      <c r="E290" s="303"/>
      <c r="F290" s="303"/>
      <c r="G290" s="303"/>
      <c r="H290" s="303"/>
      <c r="I290" s="303"/>
      <c r="J290" s="303"/>
      <c r="K290" s="303"/>
      <c r="L290" s="303"/>
      <c r="M290" s="303"/>
      <c r="N290" s="303"/>
      <c r="O290" s="303"/>
      <c r="P290" s="303"/>
      <c r="Q290" s="303"/>
      <c r="R290" s="303"/>
      <c r="S290" s="303"/>
      <c r="T290" s="303"/>
      <c r="U290" s="303"/>
      <c r="V290" s="303"/>
      <c r="W290" s="303"/>
      <c r="X290" s="303"/>
      <c r="Y290" s="303"/>
      <c r="Z290" s="303"/>
    </row>
    <row r="291" spans="1:26" x14ac:dyDescent="0.2">
      <c r="A291" s="303"/>
      <c r="B291" s="303"/>
      <c r="C291" s="303"/>
      <c r="D291" s="303"/>
      <c r="E291" s="303"/>
      <c r="F291" s="303"/>
      <c r="G291" s="303"/>
      <c r="H291" s="303"/>
      <c r="I291" s="303"/>
      <c r="J291" s="303"/>
      <c r="K291" s="303"/>
      <c r="L291" s="303"/>
      <c r="M291" s="303"/>
      <c r="N291" s="303"/>
      <c r="O291" s="303"/>
      <c r="P291" s="303"/>
      <c r="Q291" s="303"/>
      <c r="R291" s="303"/>
      <c r="S291" s="303"/>
      <c r="T291" s="303"/>
      <c r="U291" s="303"/>
      <c r="V291" s="303"/>
      <c r="W291" s="303"/>
      <c r="X291" s="303"/>
      <c r="Y291" s="303"/>
      <c r="Z291" s="303"/>
    </row>
    <row r="292" spans="1:26" x14ac:dyDescent="0.2">
      <c r="A292" s="303"/>
      <c r="B292" s="303"/>
      <c r="C292" s="303"/>
      <c r="D292" s="303"/>
      <c r="E292" s="303"/>
      <c r="F292" s="303"/>
      <c r="G292" s="303"/>
      <c r="H292" s="303"/>
      <c r="I292" s="303"/>
      <c r="J292" s="303"/>
      <c r="K292" s="303"/>
      <c r="L292" s="303"/>
      <c r="M292" s="303"/>
      <c r="N292" s="303"/>
      <c r="O292" s="303"/>
      <c r="P292" s="303"/>
      <c r="Q292" s="303"/>
      <c r="R292" s="303"/>
      <c r="S292" s="303"/>
      <c r="T292" s="303"/>
      <c r="U292" s="303"/>
      <c r="V292" s="303"/>
      <c r="W292" s="303"/>
      <c r="X292" s="303"/>
      <c r="Y292" s="303"/>
      <c r="Z292" s="303"/>
    </row>
    <row r="293" spans="1:26" x14ac:dyDescent="0.2">
      <c r="A293" s="303"/>
      <c r="B293" s="303"/>
      <c r="C293" s="303"/>
      <c r="D293" s="303"/>
      <c r="E293" s="303"/>
      <c r="F293" s="303"/>
      <c r="G293" s="303"/>
      <c r="H293" s="303"/>
      <c r="I293" s="303"/>
      <c r="J293" s="303"/>
      <c r="K293" s="303"/>
      <c r="L293" s="303"/>
      <c r="M293" s="303"/>
      <c r="N293" s="303"/>
      <c r="O293" s="303"/>
      <c r="P293" s="303"/>
      <c r="Q293" s="303"/>
      <c r="R293" s="303"/>
      <c r="S293" s="303"/>
      <c r="T293" s="303"/>
      <c r="U293" s="303"/>
      <c r="V293" s="303"/>
      <c r="W293" s="303"/>
      <c r="X293" s="303"/>
      <c r="Y293" s="303"/>
      <c r="Z293" s="303"/>
    </row>
    <row r="294" spans="1:26" x14ac:dyDescent="0.2">
      <c r="A294" s="303"/>
      <c r="B294" s="303"/>
      <c r="C294" s="303"/>
      <c r="D294" s="303"/>
      <c r="E294" s="303"/>
      <c r="F294" s="303"/>
      <c r="G294" s="303"/>
      <c r="H294" s="303"/>
      <c r="I294" s="303"/>
      <c r="J294" s="303"/>
      <c r="K294" s="303"/>
      <c r="L294" s="303"/>
      <c r="M294" s="303"/>
      <c r="N294" s="303"/>
      <c r="O294" s="303"/>
      <c r="P294" s="303"/>
      <c r="Q294" s="303"/>
      <c r="R294" s="303"/>
      <c r="S294" s="303"/>
      <c r="T294" s="303"/>
      <c r="U294" s="303"/>
      <c r="V294" s="303"/>
      <c r="W294" s="303"/>
      <c r="X294" s="303"/>
      <c r="Y294" s="303"/>
      <c r="Z294" s="303"/>
    </row>
    <row r="295" spans="1:26" x14ac:dyDescent="0.2">
      <c r="A295" s="303"/>
      <c r="B295" s="303"/>
      <c r="C295" s="303"/>
      <c r="D295" s="303"/>
      <c r="E295" s="303"/>
      <c r="F295" s="303"/>
      <c r="G295" s="303"/>
      <c r="H295" s="303"/>
      <c r="I295" s="303"/>
      <c r="J295" s="303"/>
      <c r="K295" s="303"/>
      <c r="L295" s="303"/>
      <c r="M295" s="303"/>
      <c r="N295" s="303"/>
      <c r="O295" s="303"/>
      <c r="P295" s="303"/>
      <c r="Q295" s="303"/>
      <c r="R295" s="303"/>
      <c r="S295" s="303"/>
      <c r="T295" s="303"/>
      <c r="U295" s="303"/>
      <c r="V295" s="303"/>
      <c r="W295" s="303"/>
      <c r="X295" s="303"/>
      <c r="Y295" s="303"/>
      <c r="Z295" s="303"/>
    </row>
    <row r="296" spans="1:26" x14ac:dyDescent="0.2">
      <c r="A296" s="303"/>
      <c r="B296" s="303"/>
      <c r="C296" s="303"/>
      <c r="D296" s="303"/>
      <c r="E296" s="303"/>
      <c r="F296" s="303"/>
      <c r="G296" s="303"/>
      <c r="H296" s="303"/>
      <c r="I296" s="303"/>
      <c r="J296" s="303"/>
      <c r="K296" s="303"/>
      <c r="L296" s="303"/>
      <c r="M296" s="303"/>
      <c r="N296" s="303"/>
      <c r="O296" s="303"/>
      <c r="P296" s="303"/>
      <c r="Q296" s="303"/>
      <c r="R296" s="303"/>
      <c r="S296" s="303"/>
      <c r="T296" s="303"/>
      <c r="U296" s="303"/>
      <c r="V296" s="303"/>
      <c r="W296" s="303"/>
      <c r="X296" s="303"/>
      <c r="Y296" s="303"/>
      <c r="Z296" s="303"/>
    </row>
    <row r="297" spans="1:26" x14ac:dyDescent="0.2">
      <c r="A297" s="303"/>
      <c r="B297" s="303"/>
      <c r="C297" s="303"/>
      <c r="D297" s="303"/>
      <c r="E297" s="303"/>
      <c r="F297" s="303"/>
      <c r="G297" s="303"/>
      <c r="H297" s="303"/>
      <c r="I297" s="303"/>
      <c r="J297" s="303"/>
      <c r="K297" s="303"/>
      <c r="L297" s="303"/>
      <c r="M297" s="303"/>
      <c r="N297" s="303"/>
      <c r="O297" s="303"/>
      <c r="P297" s="303"/>
      <c r="Q297" s="303"/>
      <c r="R297" s="303"/>
      <c r="S297" s="303"/>
      <c r="T297" s="303"/>
      <c r="U297" s="303"/>
      <c r="V297" s="303"/>
      <c r="W297" s="303"/>
      <c r="X297" s="303"/>
      <c r="Y297" s="303"/>
      <c r="Z297" s="303"/>
    </row>
    <row r="298" spans="1:26" x14ac:dyDescent="0.2">
      <c r="A298" s="303"/>
      <c r="B298" s="303"/>
      <c r="C298" s="303"/>
      <c r="D298" s="303"/>
      <c r="E298" s="303"/>
      <c r="F298" s="303"/>
      <c r="G298" s="303"/>
      <c r="H298" s="303"/>
      <c r="I298" s="303"/>
      <c r="J298" s="303"/>
      <c r="K298" s="303"/>
      <c r="L298" s="303"/>
      <c r="M298" s="303"/>
      <c r="N298" s="303"/>
      <c r="O298" s="303"/>
      <c r="P298" s="303"/>
      <c r="Q298" s="303"/>
      <c r="R298" s="303"/>
      <c r="S298" s="303"/>
      <c r="T298" s="303"/>
      <c r="U298" s="303"/>
      <c r="V298" s="303"/>
      <c r="W298" s="303"/>
      <c r="X298" s="303"/>
      <c r="Y298" s="303"/>
      <c r="Z298" s="303"/>
    </row>
    <row r="299" spans="1:26" x14ac:dyDescent="0.2">
      <c r="A299" s="303"/>
      <c r="B299" s="303"/>
      <c r="C299" s="303"/>
      <c r="D299" s="303"/>
      <c r="E299" s="303"/>
      <c r="F299" s="303"/>
      <c r="G299" s="303"/>
      <c r="H299" s="303"/>
      <c r="I299" s="303"/>
      <c r="J299" s="303"/>
      <c r="K299" s="303"/>
      <c r="L299" s="303"/>
      <c r="M299" s="303"/>
      <c r="N299" s="303"/>
      <c r="O299" s="303"/>
      <c r="P299" s="303"/>
      <c r="Q299" s="303"/>
      <c r="R299" s="303"/>
      <c r="S299" s="303"/>
      <c r="T299" s="303"/>
      <c r="U299" s="303"/>
      <c r="V299" s="303"/>
      <c r="W299" s="303"/>
      <c r="X299" s="303"/>
      <c r="Y299" s="303"/>
      <c r="Z299" s="303"/>
    </row>
    <row r="300" spans="1:26" x14ac:dyDescent="0.2">
      <c r="A300" s="303"/>
      <c r="B300" s="303"/>
      <c r="C300" s="303"/>
      <c r="D300" s="303"/>
      <c r="E300" s="303"/>
      <c r="F300" s="303"/>
      <c r="G300" s="303"/>
      <c r="H300" s="303"/>
      <c r="I300" s="303"/>
      <c r="J300" s="303"/>
      <c r="K300" s="303"/>
      <c r="L300" s="303"/>
      <c r="M300" s="303"/>
      <c r="N300" s="303"/>
      <c r="O300" s="303"/>
      <c r="P300" s="303"/>
      <c r="Q300" s="303"/>
      <c r="R300" s="303"/>
      <c r="S300" s="303"/>
      <c r="T300" s="303"/>
      <c r="U300" s="303"/>
      <c r="V300" s="303"/>
      <c r="W300" s="303"/>
      <c r="X300" s="303"/>
      <c r="Y300" s="303"/>
      <c r="Z300" s="303"/>
    </row>
    <row r="301" spans="1:26" x14ac:dyDescent="0.2">
      <c r="A301" s="303"/>
      <c r="B301" s="303"/>
      <c r="C301" s="303"/>
      <c r="D301" s="303"/>
      <c r="E301" s="303"/>
      <c r="F301" s="303"/>
      <c r="G301" s="303"/>
      <c r="H301" s="303"/>
      <c r="I301" s="303"/>
      <c r="J301" s="303"/>
      <c r="K301" s="303"/>
      <c r="L301" s="303"/>
      <c r="M301" s="303"/>
      <c r="N301" s="303"/>
      <c r="O301" s="303"/>
      <c r="P301" s="303"/>
      <c r="Q301" s="303"/>
      <c r="R301" s="303"/>
      <c r="S301" s="303"/>
      <c r="T301" s="303"/>
      <c r="U301" s="303"/>
      <c r="V301" s="303"/>
      <c r="W301" s="303"/>
      <c r="X301" s="303"/>
      <c r="Y301" s="303"/>
      <c r="Z301" s="303"/>
    </row>
    <row r="302" spans="1:26" x14ac:dyDescent="0.2">
      <c r="A302" s="303"/>
      <c r="B302" s="303"/>
      <c r="C302" s="303"/>
      <c r="D302" s="303"/>
      <c r="E302" s="303"/>
      <c r="F302" s="303"/>
      <c r="G302" s="303"/>
      <c r="H302" s="303"/>
      <c r="I302" s="303"/>
      <c r="J302" s="303"/>
      <c r="K302" s="303"/>
      <c r="L302" s="303"/>
      <c r="M302" s="303"/>
      <c r="N302" s="303"/>
      <c r="O302" s="303"/>
      <c r="P302" s="303"/>
      <c r="Q302" s="303"/>
      <c r="R302" s="303"/>
      <c r="S302" s="303"/>
      <c r="T302" s="303"/>
      <c r="U302" s="303"/>
      <c r="V302" s="303"/>
      <c r="W302" s="303"/>
      <c r="X302" s="303"/>
      <c r="Y302" s="303"/>
      <c r="Z302" s="303"/>
    </row>
    <row r="303" spans="1:26" x14ac:dyDescent="0.2">
      <c r="A303" s="303"/>
      <c r="B303" s="303"/>
      <c r="C303" s="303"/>
      <c r="D303" s="303"/>
      <c r="E303" s="303"/>
      <c r="F303" s="303"/>
      <c r="G303" s="303"/>
      <c r="H303" s="303"/>
      <c r="I303" s="303"/>
      <c r="J303" s="303"/>
      <c r="K303" s="303"/>
      <c r="L303" s="303"/>
      <c r="M303" s="303"/>
      <c r="N303" s="303"/>
      <c r="O303" s="303"/>
      <c r="P303" s="303"/>
      <c r="Q303" s="303"/>
      <c r="R303" s="303"/>
      <c r="S303" s="303"/>
      <c r="T303" s="303"/>
      <c r="U303" s="303"/>
      <c r="V303" s="303"/>
      <c r="W303" s="303"/>
      <c r="X303" s="303"/>
      <c r="Y303" s="303"/>
      <c r="Z303" s="303"/>
    </row>
    <row r="304" spans="1:26" x14ac:dyDescent="0.2">
      <c r="A304" s="303"/>
      <c r="B304" s="303"/>
      <c r="C304" s="303"/>
      <c r="D304" s="303"/>
      <c r="E304" s="303"/>
      <c r="F304" s="303"/>
      <c r="G304" s="303"/>
      <c r="H304" s="303"/>
      <c r="I304" s="303"/>
      <c r="J304" s="303"/>
      <c r="K304" s="303"/>
      <c r="L304" s="303"/>
      <c r="M304" s="303"/>
      <c r="N304" s="303"/>
      <c r="O304" s="303"/>
      <c r="P304" s="303"/>
      <c r="Q304" s="303"/>
      <c r="R304" s="303"/>
      <c r="S304" s="303"/>
      <c r="T304" s="303"/>
      <c r="U304" s="303"/>
      <c r="V304" s="303"/>
      <c r="W304" s="303"/>
      <c r="X304" s="303"/>
      <c r="Y304" s="303"/>
      <c r="Z304" s="303"/>
    </row>
    <row r="305" spans="1:26" x14ac:dyDescent="0.2">
      <c r="A305" s="303"/>
      <c r="B305" s="303"/>
      <c r="C305" s="303"/>
      <c r="D305" s="303"/>
      <c r="E305" s="303"/>
      <c r="F305" s="303"/>
      <c r="G305" s="303"/>
      <c r="H305" s="303"/>
      <c r="I305" s="303"/>
      <c r="J305" s="303"/>
      <c r="K305" s="303"/>
      <c r="L305" s="303"/>
      <c r="M305" s="303"/>
      <c r="N305" s="303"/>
      <c r="O305" s="303"/>
      <c r="P305" s="303"/>
      <c r="Q305" s="303"/>
      <c r="R305" s="303"/>
      <c r="S305" s="303"/>
      <c r="T305" s="303"/>
      <c r="U305" s="303"/>
      <c r="V305" s="303"/>
      <c r="W305" s="303"/>
      <c r="X305" s="303"/>
      <c r="Y305" s="303"/>
      <c r="Z305" s="303"/>
    </row>
    <row r="306" spans="1:26" x14ac:dyDescent="0.2">
      <c r="A306" s="303"/>
      <c r="B306" s="303"/>
      <c r="C306" s="303"/>
      <c r="D306" s="303"/>
      <c r="E306" s="303"/>
      <c r="F306" s="303"/>
      <c r="G306" s="303"/>
      <c r="H306" s="303"/>
      <c r="I306" s="303"/>
      <c r="J306" s="303"/>
      <c r="K306" s="303"/>
      <c r="L306" s="303"/>
      <c r="M306" s="303"/>
      <c r="N306" s="303"/>
      <c r="O306" s="303"/>
      <c r="P306" s="303"/>
      <c r="Q306" s="303"/>
      <c r="R306" s="303"/>
      <c r="S306" s="303"/>
      <c r="T306" s="303"/>
      <c r="U306" s="303"/>
      <c r="V306" s="303"/>
      <c r="W306" s="303"/>
      <c r="X306" s="303"/>
      <c r="Y306" s="303"/>
      <c r="Z306" s="303"/>
    </row>
    <row r="307" spans="1:26" x14ac:dyDescent="0.2">
      <c r="A307" s="303"/>
      <c r="B307" s="303"/>
      <c r="C307" s="303"/>
      <c r="D307" s="303"/>
      <c r="E307" s="303"/>
      <c r="F307" s="303"/>
      <c r="G307" s="303"/>
      <c r="H307" s="303"/>
      <c r="I307" s="303"/>
      <c r="J307" s="303"/>
      <c r="K307" s="303"/>
      <c r="L307" s="303"/>
      <c r="M307" s="303"/>
      <c r="N307" s="303"/>
      <c r="O307" s="303"/>
      <c r="P307" s="303"/>
      <c r="Q307" s="303"/>
      <c r="R307" s="303"/>
      <c r="S307" s="303"/>
      <c r="T307" s="303"/>
      <c r="U307" s="303"/>
      <c r="V307" s="303"/>
      <c r="W307" s="303"/>
      <c r="X307" s="303"/>
      <c r="Y307" s="303"/>
      <c r="Z307" s="303"/>
    </row>
    <row r="308" spans="1:26" x14ac:dyDescent="0.2">
      <c r="A308" s="303"/>
      <c r="B308" s="303"/>
      <c r="C308" s="303"/>
      <c r="D308" s="303"/>
      <c r="E308" s="303"/>
      <c r="F308" s="303"/>
      <c r="G308" s="303"/>
      <c r="H308" s="303"/>
      <c r="I308" s="303"/>
      <c r="J308" s="303"/>
      <c r="K308" s="303"/>
      <c r="L308" s="303"/>
      <c r="M308" s="303"/>
      <c r="N308" s="303"/>
      <c r="O308" s="303"/>
      <c r="P308" s="303"/>
      <c r="Q308" s="303"/>
      <c r="R308" s="303"/>
      <c r="S308" s="303"/>
      <c r="T308" s="303"/>
      <c r="U308" s="303"/>
      <c r="V308" s="303"/>
      <c r="W308" s="303"/>
      <c r="X308" s="303"/>
      <c r="Y308" s="303"/>
      <c r="Z308" s="303"/>
    </row>
    <row r="309" spans="1:26" x14ac:dyDescent="0.2">
      <c r="A309" s="303"/>
      <c r="B309" s="303"/>
      <c r="C309" s="303"/>
      <c r="D309" s="303"/>
      <c r="E309" s="303"/>
      <c r="F309" s="303"/>
      <c r="G309" s="303"/>
      <c r="H309" s="303"/>
      <c r="I309" s="303"/>
      <c r="J309" s="303"/>
      <c r="K309" s="303"/>
      <c r="L309" s="303"/>
      <c r="M309" s="303"/>
      <c r="N309" s="303"/>
      <c r="O309" s="303"/>
      <c r="P309" s="303"/>
      <c r="Q309" s="303"/>
      <c r="R309" s="303"/>
      <c r="S309" s="303"/>
      <c r="T309" s="303"/>
      <c r="U309" s="303"/>
      <c r="V309" s="303"/>
      <c r="W309" s="303"/>
      <c r="X309" s="303"/>
      <c r="Y309" s="303"/>
      <c r="Z309" s="303"/>
    </row>
    <row r="310" spans="1:26" x14ac:dyDescent="0.2">
      <c r="A310" s="303"/>
      <c r="B310" s="303"/>
      <c r="C310" s="303"/>
      <c r="D310" s="303"/>
      <c r="E310" s="303"/>
      <c r="F310" s="303"/>
      <c r="G310" s="303"/>
      <c r="H310" s="303"/>
      <c r="I310" s="303"/>
      <c r="J310" s="303"/>
      <c r="K310" s="303"/>
      <c r="L310" s="303"/>
      <c r="M310" s="303"/>
      <c r="N310" s="303"/>
      <c r="O310" s="303"/>
      <c r="P310" s="303"/>
      <c r="Q310" s="303"/>
      <c r="R310" s="303"/>
      <c r="S310" s="303"/>
      <c r="T310" s="303"/>
      <c r="U310" s="303"/>
      <c r="V310" s="303"/>
      <c r="W310" s="303"/>
      <c r="X310" s="303"/>
      <c r="Y310" s="303"/>
      <c r="Z310" s="303"/>
    </row>
    <row r="311" spans="1:26" x14ac:dyDescent="0.2">
      <c r="A311" s="303"/>
      <c r="B311" s="303"/>
      <c r="C311" s="303"/>
      <c r="D311" s="303"/>
      <c r="E311" s="303"/>
      <c r="F311" s="303"/>
      <c r="G311" s="303"/>
      <c r="H311" s="303"/>
      <c r="I311" s="303"/>
      <c r="J311" s="303"/>
      <c r="K311" s="303"/>
      <c r="L311" s="303"/>
      <c r="M311" s="303"/>
      <c r="N311" s="303"/>
      <c r="O311" s="303"/>
      <c r="P311" s="303"/>
      <c r="Q311" s="303"/>
      <c r="R311" s="303"/>
      <c r="S311" s="303"/>
      <c r="T311" s="303"/>
      <c r="U311" s="303"/>
      <c r="V311" s="303"/>
      <c r="W311" s="303"/>
      <c r="X311" s="303"/>
      <c r="Y311" s="303"/>
      <c r="Z311" s="303"/>
    </row>
    <row r="312" spans="1:26" x14ac:dyDescent="0.2">
      <c r="A312" s="303"/>
      <c r="B312" s="303"/>
      <c r="C312" s="303"/>
      <c r="D312" s="303"/>
      <c r="E312" s="303"/>
      <c r="F312" s="303"/>
      <c r="G312" s="303"/>
      <c r="H312" s="303"/>
      <c r="I312" s="303"/>
      <c r="J312" s="303"/>
      <c r="K312" s="303"/>
      <c r="L312" s="303"/>
      <c r="M312" s="303"/>
      <c r="N312" s="303"/>
      <c r="O312" s="303"/>
      <c r="P312" s="303"/>
      <c r="Q312" s="303"/>
      <c r="R312" s="303"/>
      <c r="S312" s="303"/>
      <c r="T312" s="303"/>
      <c r="U312" s="303"/>
      <c r="V312" s="303"/>
      <c r="W312" s="303"/>
      <c r="X312" s="303"/>
      <c r="Y312" s="303"/>
      <c r="Z312" s="303"/>
    </row>
    <row r="313" spans="1:26" x14ac:dyDescent="0.2">
      <c r="A313" s="303"/>
      <c r="B313" s="303"/>
      <c r="C313" s="303"/>
      <c r="D313" s="303"/>
      <c r="E313" s="303"/>
      <c r="F313" s="303"/>
      <c r="G313" s="303"/>
      <c r="H313" s="303"/>
      <c r="I313" s="303"/>
      <c r="J313" s="303"/>
      <c r="K313" s="303"/>
      <c r="L313" s="303"/>
      <c r="M313" s="303"/>
      <c r="N313" s="303"/>
      <c r="O313" s="303"/>
      <c r="P313" s="303"/>
      <c r="Q313" s="303"/>
      <c r="R313" s="303"/>
      <c r="S313" s="303"/>
      <c r="T313" s="303"/>
      <c r="U313" s="303"/>
      <c r="V313" s="303"/>
      <c r="W313" s="303"/>
      <c r="X313" s="303"/>
      <c r="Y313" s="303"/>
      <c r="Z313" s="303"/>
    </row>
    <row r="314" spans="1:26" x14ac:dyDescent="0.2">
      <c r="A314" s="303"/>
      <c r="B314" s="303"/>
      <c r="C314" s="303"/>
      <c r="D314" s="303"/>
      <c r="E314" s="303"/>
      <c r="F314" s="303"/>
      <c r="G314" s="303"/>
      <c r="H314" s="303"/>
      <c r="I314" s="303"/>
      <c r="J314" s="303"/>
      <c r="K314" s="303"/>
      <c r="L314" s="303"/>
      <c r="M314" s="303"/>
      <c r="N314" s="303"/>
      <c r="O314" s="303"/>
      <c r="P314" s="303"/>
      <c r="Q314" s="303"/>
      <c r="R314" s="303"/>
      <c r="S314" s="303"/>
      <c r="T314" s="303"/>
      <c r="U314" s="303"/>
      <c r="V314" s="303"/>
      <c r="W314" s="303"/>
      <c r="X314" s="303"/>
      <c r="Y314" s="303"/>
      <c r="Z314" s="303"/>
    </row>
    <row r="315" spans="1:26" x14ac:dyDescent="0.2">
      <c r="A315" s="303"/>
      <c r="B315" s="303"/>
      <c r="C315" s="303"/>
      <c r="D315" s="303"/>
      <c r="E315" s="303"/>
      <c r="F315" s="303"/>
      <c r="G315" s="303"/>
      <c r="H315" s="303"/>
      <c r="I315" s="303"/>
      <c r="J315" s="303"/>
      <c r="K315" s="303"/>
      <c r="L315" s="303"/>
      <c r="M315" s="303"/>
      <c r="N315" s="303"/>
      <c r="O315" s="303"/>
      <c r="P315" s="303"/>
      <c r="Q315" s="303"/>
      <c r="R315" s="303"/>
      <c r="S315" s="303"/>
      <c r="T315" s="303"/>
      <c r="U315" s="303"/>
      <c r="V315" s="303"/>
      <c r="W315" s="303"/>
      <c r="X315" s="303"/>
      <c r="Y315" s="303"/>
      <c r="Z315" s="303"/>
    </row>
    <row r="316" spans="1:26" x14ac:dyDescent="0.2">
      <c r="A316" s="303"/>
      <c r="B316" s="303"/>
      <c r="C316" s="303"/>
      <c r="D316" s="303"/>
      <c r="E316" s="303"/>
      <c r="F316" s="303"/>
      <c r="G316" s="303"/>
      <c r="H316" s="303"/>
      <c r="I316" s="303"/>
      <c r="J316" s="303"/>
      <c r="K316" s="303"/>
      <c r="L316" s="303"/>
      <c r="M316" s="303"/>
      <c r="N316" s="303"/>
      <c r="O316" s="303"/>
      <c r="P316" s="303"/>
      <c r="Q316" s="303"/>
      <c r="R316" s="303"/>
      <c r="S316" s="303"/>
      <c r="T316" s="303"/>
      <c r="U316" s="303"/>
      <c r="V316" s="303"/>
      <c r="W316" s="303"/>
      <c r="X316" s="303"/>
      <c r="Y316" s="303"/>
      <c r="Z316" s="303"/>
    </row>
    <row r="317" spans="1:26" x14ac:dyDescent="0.2">
      <c r="A317" s="303"/>
      <c r="B317" s="303"/>
      <c r="C317" s="303"/>
      <c r="D317" s="303"/>
      <c r="E317" s="303"/>
      <c r="F317" s="303"/>
      <c r="G317" s="303"/>
      <c r="H317" s="303"/>
      <c r="I317" s="303"/>
      <c r="J317" s="303"/>
      <c r="K317" s="303"/>
      <c r="L317" s="303"/>
      <c r="M317" s="303"/>
      <c r="N317" s="303"/>
      <c r="O317" s="303"/>
      <c r="P317" s="303"/>
      <c r="Q317" s="303"/>
      <c r="R317" s="303"/>
      <c r="S317" s="303"/>
      <c r="T317" s="303"/>
      <c r="U317" s="303"/>
      <c r="V317" s="303"/>
      <c r="W317" s="303"/>
      <c r="X317" s="303"/>
      <c r="Y317" s="303"/>
      <c r="Z317" s="303"/>
    </row>
    <row r="318" spans="1:26" x14ac:dyDescent="0.2">
      <c r="A318" s="303"/>
      <c r="B318" s="303"/>
      <c r="C318" s="303"/>
      <c r="D318" s="303"/>
      <c r="E318" s="303"/>
      <c r="F318" s="303"/>
      <c r="G318" s="303"/>
      <c r="H318" s="303"/>
      <c r="I318" s="303"/>
      <c r="J318" s="303"/>
      <c r="K318" s="303"/>
      <c r="L318" s="303"/>
      <c r="M318" s="303"/>
      <c r="N318" s="303"/>
      <c r="O318" s="303"/>
      <c r="P318" s="303"/>
      <c r="Q318" s="303"/>
      <c r="R318" s="303"/>
      <c r="S318" s="303"/>
      <c r="T318" s="303"/>
      <c r="U318" s="303"/>
      <c r="V318" s="303"/>
      <c r="W318" s="303"/>
      <c r="X318" s="303"/>
      <c r="Y318" s="303"/>
      <c r="Z318" s="303"/>
    </row>
    <row r="319" spans="1:26" x14ac:dyDescent="0.2">
      <c r="A319" s="303"/>
      <c r="B319" s="303"/>
      <c r="C319" s="303"/>
      <c r="D319" s="303"/>
      <c r="E319" s="303"/>
      <c r="F319" s="303"/>
      <c r="G319" s="303"/>
      <c r="H319" s="303"/>
      <c r="I319" s="303"/>
      <c r="J319" s="303"/>
      <c r="K319" s="303"/>
      <c r="L319" s="303"/>
      <c r="M319" s="303"/>
      <c r="N319" s="303"/>
      <c r="O319" s="303"/>
      <c r="P319" s="303"/>
      <c r="Q319" s="303"/>
      <c r="R319" s="303"/>
      <c r="S319" s="303"/>
      <c r="T319" s="303"/>
      <c r="U319" s="303"/>
      <c r="V319" s="303"/>
      <c r="W319" s="303"/>
      <c r="X319" s="303"/>
      <c r="Y319" s="303"/>
      <c r="Z319" s="303"/>
    </row>
    <row r="320" spans="1:26" x14ac:dyDescent="0.2">
      <c r="A320" s="303"/>
      <c r="B320" s="303"/>
      <c r="C320" s="303"/>
      <c r="D320" s="303"/>
      <c r="E320" s="303"/>
      <c r="F320" s="303"/>
      <c r="G320" s="303"/>
      <c r="H320" s="303"/>
      <c r="I320" s="303"/>
      <c r="J320" s="303"/>
      <c r="K320" s="303"/>
      <c r="L320" s="303"/>
      <c r="M320" s="303"/>
      <c r="N320" s="303"/>
      <c r="O320" s="303"/>
      <c r="P320" s="303"/>
      <c r="Q320" s="303"/>
      <c r="R320" s="303"/>
      <c r="S320" s="303"/>
      <c r="T320" s="303"/>
      <c r="U320" s="303"/>
      <c r="V320" s="303"/>
      <c r="W320" s="303"/>
      <c r="X320" s="303"/>
      <c r="Y320" s="303"/>
      <c r="Z320" s="303"/>
    </row>
    <row r="321" spans="1:26" x14ac:dyDescent="0.2">
      <c r="A321" s="303"/>
      <c r="B321" s="303"/>
      <c r="C321" s="303"/>
      <c r="D321" s="303"/>
      <c r="E321" s="303"/>
      <c r="F321" s="303"/>
      <c r="G321" s="303"/>
      <c r="H321" s="303"/>
      <c r="I321" s="303"/>
      <c r="J321" s="303"/>
      <c r="K321" s="303"/>
      <c r="L321" s="303"/>
      <c r="M321" s="303"/>
      <c r="N321" s="303"/>
      <c r="O321" s="303"/>
      <c r="P321" s="303"/>
      <c r="Q321" s="303"/>
      <c r="R321" s="303"/>
      <c r="S321" s="303"/>
      <c r="T321" s="303"/>
      <c r="U321" s="303"/>
      <c r="V321" s="303"/>
      <c r="W321" s="303"/>
      <c r="X321" s="303"/>
      <c r="Y321" s="303"/>
      <c r="Z321" s="303"/>
    </row>
    <row r="322" spans="1:26" x14ac:dyDescent="0.2">
      <c r="A322" s="303"/>
      <c r="B322" s="303"/>
      <c r="C322" s="303"/>
      <c r="D322" s="303"/>
      <c r="E322" s="303"/>
      <c r="F322" s="303"/>
      <c r="G322" s="303"/>
      <c r="H322" s="303"/>
      <c r="I322" s="303"/>
      <c r="J322" s="303"/>
      <c r="K322" s="303"/>
      <c r="L322" s="303"/>
      <c r="M322" s="303"/>
      <c r="N322" s="303"/>
      <c r="O322" s="303"/>
      <c r="P322" s="303"/>
      <c r="Q322" s="303"/>
      <c r="R322" s="303"/>
      <c r="S322" s="303"/>
      <c r="T322" s="303"/>
      <c r="U322" s="303"/>
      <c r="V322" s="303"/>
      <c r="W322" s="303"/>
      <c r="X322" s="303"/>
      <c r="Y322" s="303"/>
      <c r="Z322" s="303"/>
    </row>
    <row r="323" spans="1:26" x14ac:dyDescent="0.2">
      <c r="A323" s="303"/>
      <c r="B323" s="303"/>
      <c r="C323" s="303"/>
      <c r="D323" s="303"/>
      <c r="E323" s="303"/>
      <c r="F323" s="303"/>
      <c r="G323" s="303"/>
      <c r="H323" s="303"/>
      <c r="I323" s="303"/>
      <c r="J323" s="303"/>
      <c r="K323" s="303"/>
      <c r="L323" s="303"/>
      <c r="M323" s="303"/>
      <c r="N323" s="303"/>
      <c r="O323" s="303"/>
      <c r="P323" s="303"/>
      <c r="Q323" s="303"/>
      <c r="R323" s="303"/>
      <c r="S323" s="303"/>
      <c r="T323" s="303"/>
      <c r="U323" s="303"/>
      <c r="V323" s="303"/>
      <c r="W323" s="303"/>
      <c r="X323" s="303"/>
      <c r="Y323" s="303"/>
      <c r="Z323" s="303"/>
    </row>
    <row r="324" spans="1:26" x14ac:dyDescent="0.2">
      <c r="A324" s="303"/>
      <c r="B324" s="303"/>
      <c r="C324" s="303"/>
      <c r="D324" s="303"/>
      <c r="E324" s="303"/>
      <c r="F324" s="303"/>
      <c r="G324" s="303"/>
      <c r="H324" s="303"/>
      <c r="I324" s="303"/>
      <c r="J324" s="303"/>
      <c r="K324" s="303"/>
      <c r="L324" s="303"/>
      <c r="M324" s="303"/>
      <c r="N324" s="303"/>
      <c r="O324" s="303"/>
      <c r="P324" s="303"/>
      <c r="Q324" s="303"/>
      <c r="R324" s="303"/>
      <c r="S324" s="303"/>
      <c r="T324" s="303"/>
      <c r="U324" s="303"/>
      <c r="V324" s="303"/>
      <c r="W324" s="303"/>
      <c r="X324" s="303"/>
      <c r="Y324" s="303"/>
      <c r="Z324" s="303"/>
    </row>
    <row r="325" spans="1:26" x14ac:dyDescent="0.2">
      <c r="A325" s="303"/>
      <c r="B325" s="303"/>
      <c r="C325" s="303"/>
      <c r="D325" s="303"/>
      <c r="E325" s="303"/>
      <c r="F325" s="303"/>
      <c r="G325" s="303"/>
      <c r="H325" s="303"/>
      <c r="I325" s="303"/>
      <c r="J325" s="303"/>
      <c r="K325" s="303"/>
      <c r="L325" s="303"/>
      <c r="M325" s="303"/>
      <c r="N325" s="303"/>
      <c r="O325" s="303"/>
      <c r="P325" s="303"/>
      <c r="Q325" s="303"/>
      <c r="R325" s="303"/>
      <c r="S325" s="303"/>
      <c r="T325" s="303"/>
      <c r="U325" s="303"/>
      <c r="V325" s="303"/>
      <c r="W325" s="303"/>
      <c r="X325" s="303"/>
      <c r="Y325" s="303"/>
      <c r="Z325" s="303"/>
    </row>
    <row r="326" spans="1:26" x14ac:dyDescent="0.2">
      <c r="A326" s="303"/>
      <c r="B326" s="303"/>
      <c r="C326" s="303"/>
      <c r="D326" s="303"/>
      <c r="E326" s="303"/>
      <c r="F326" s="303"/>
      <c r="G326" s="303"/>
      <c r="H326" s="303"/>
      <c r="I326" s="303"/>
      <c r="J326" s="303"/>
      <c r="K326" s="303"/>
      <c r="L326" s="303"/>
      <c r="M326" s="303"/>
      <c r="N326" s="303"/>
      <c r="O326" s="303"/>
      <c r="P326" s="303"/>
      <c r="Q326" s="303"/>
      <c r="R326" s="303"/>
      <c r="S326" s="303"/>
      <c r="T326" s="303"/>
      <c r="U326" s="303"/>
      <c r="V326" s="303"/>
      <c r="W326" s="303"/>
      <c r="X326" s="303"/>
      <c r="Y326" s="303"/>
      <c r="Z326" s="303"/>
    </row>
    <row r="327" spans="1:26" x14ac:dyDescent="0.2">
      <c r="A327" s="303"/>
      <c r="B327" s="303"/>
      <c r="C327" s="303"/>
      <c r="D327" s="303"/>
      <c r="E327" s="303"/>
      <c r="F327" s="303"/>
      <c r="G327" s="303"/>
      <c r="H327" s="303"/>
      <c r="I327" s="303"/>
      <c r="J327" s="303"/>
      <c r="K327" s="303"/>
      <c r="L327" s="303"/>
      <c r="M327" s="303"/>
      <c r="N327" s="303"/>
      <c r="O327" s="303"/>
      <c r="P327" s="303"/>
      <c r="Q327" s="303"/>
      <c r="R327" s="303"/>
      <c r="S327" s="303"/>
      <c r="T327" s="303"/>
      <c r="U327" s="303"/>
      <c r="V327" s="303"/>
      <c r="W327" s="303"/>
      <c r="X327" s="303"/>
      <c r="Y327" s="303"/>
      <c r="Z327" s="303"/>
    </row>
    <row r="328" spans="1:26" x14ac:dyDescent="0.2">
      <c r="A328" s="303"/>
      <c r="B328" s="303"/>
      <c r="C328" s="303"/>
      <c r="D328" s="303"/>
      <c r="E328" s="303"/>
      <c r="F328" s="303"/>
      <c r="G328" s="303"/>
      <c r="H328" s="303"/>
      <c r="I328" s="303"/>
      <c r="J328" s="303"/>
      <c r="K328" s="303"/>
      <c r="L328" s="303"/>
      <c r="M328" s="303"/>
      <c r="N328" s="303"/>
      <c r="O328" s="303"/>
      <c r="P328" s="303"/>
      <c r="Q328" s="303"/>
      <c r="R328" s="303"/>
      <c r="S328" s="303"/>
      <c r="T328" s="303"/>
      <c r="U328" s="303"/>
      <c r="V328" s="303"/>
      <c r="W328" s="303"/>
      <c r="X328" s="303"/>
      <c r="Y328" s="303"/>
      <c r="Z328" s="303"/>
    </row>
    <row r="329" spans="1:26" x14ac:dyDescent="0.2">
      <c r="A329" s="303"/>
      <c r="B329" s="303"/>
      <c r="C329" s="303"/>
      <c r="D329" s="303"/>
      <c r="E329" s="303"/>
      <c r="F329" s="303"/>
      <c r="G329" s="303"/>
      <c r="H329" s="303"/>
      <c r="I329" s="303"/>
      <c r="J329" s="303"/>
      <c r="K329" s="303"/>
      <c r="L329" s="303"/>
      <c r="M329" s="303"/>
      <c r="N329" s="303"/>
      <c r="O329" s="303"/>
      <c r="P329" s="303"/>
      <c r="Q329" s="303"/>
      <c r="R329" s="303"/>
      <c r="S329" s="303"/>
      <c r="T329" s="303"/>
      <c r="U329" s="303"/>
      <c r="V329" s="303"/>
      <c r="W329" s="303"/>
      <c r="X329" s="303"/>
      <c r="Y329" s="303"/>
      <c r="Z329" s="303"/>
    </row>
    <row r="330" spans="1:26" x14ac:dyDescent="0.2">
      <c r="A330" s="303"/>
      <c r="B330" s="303"/>
      <c r="C330" s="303"/>
      <c r="D330" s="303"/>
      <c r="E330" s="303"/>
      <c r="F330" s="303"/>
      <c r="G330" s="303"/>
      <c r="H330" s="303"/>
      <c r="I330" s="303"/>
      <c r="J330" s="303"/>
      <c r="K330" s="303"/>
      <c r="L330" s="303"/>
      <c r="M330" s="303"/>
      <c r="N330" s="303"/>
      <c r="O330" s="303"/>
      <c r="P330" s="303"/>
      <c r="Q330" s="303"/>
      <c r="R330" s="303"/>
      <c r="S330" s="303"/>
      <c r="T330" s="303"/>
      <c r="U330" s="303"/>
      <c r="V330" s="303"/>
      <c r="W330" s="303"/>
      <c r="X330" s="303"/>
      <c r="Y330" s="303"/>
      <c r="Z330" s="303"/>
    </row>
    <row r="331" spans="1:26" x14ac:dyDescent="0.2">
      <c r="A331" s="303"/>
      <c r="B331" s="303"/>
      <c r="C331" s="303"/>
      <c r="D331" s="303"/>
      <c r="E331" s="303"/>
      <c r="F331" s="303"/>
      <c r="G331" s="303"/>
      <c r="H331" s="303"/>
      <c r="I331" s="303"/>
      <c r="J331" s="303"/>
      <c r="K331" s="303"/>
      <c r="L331" s="303"/>
      <c r="M331" s="303"/>
      <c r="N331" s="303"/>
      <c r="O331" s="303"/>
      <c r="P331" s="303"/>
      <c r="Q331" s="303"/>
      <c r="R331" s="303"/>
      <c r="S331" s="303"/>
      <c r="T331" s="303"/>
      <c r="U331" s="303"/>
      <c r="V331" s="303"/>
      <c r="W331" s="303"/>
      <c r="X331" s="303"/>
      <c r="Y331" s="303"/>
      <c r="Z331" s="303"/>
    </row>
    <row r="332" spans="1:26" x14ac:dyDescent="0.2">
      <c r="A332" s="303"/>
      <c r="B332" s="303"/>
      <c r="C332" s="303"/>
      <c r="D332" s="303"/>
      <c r="E332" s="303"/>
      <c r="F332" s="303"/>
      <c r="G332" s="303"/>
      <c r="H332" s="303"/>
      <c r="I332" s="303"/>
      <c r="J332" s="303"/>
      <c r="K332" s="303"/>
      <c r="L332" s="303"/>
      <c r="M332" s="303"/>
      <c r="N332" s="303"/>
      <c r="O332" s="303"/>
      <c r="P332" s="303"/>
      <c r="Q332" s="303"/>
      <c r="R332" s="303"/>
      <c r="S332" s="303"/>
      <c r="T332" s="303"/>
      <c r="U332" s="303"/>
      <c r="V332" s="303"/>
      <c r="W332" s="303"/>
      <c r="X332" s="303"/>
      <c r="Y332" s="303"/>
      <c r="Z332" s="303"/>
    </row>
    <row r="333" spans="1:26" x14ac:dyDescent="0.2">
      <c r="A333" s="303"/>
      <c r="B333" s="303"/>
      <c r="C333" s="303"/>
      <c r="D333" s="303"/>
      <c r="E333" s="303"/>
      <c r="F333" s="303"/>
      <c r="G333" s="303"/>
      <c r="H333" s="303"/>
      <c r="I333" s="303"/>
      <c r="J333" s="303"/>
      <c r="K333" s="303"/>
      <c r="L333" s="303"/>
      <c r="M333" s="303"/>
      <c r="N333" s="303"/>
      <c r="O333" s="303"/>
      <c r="P333" s="303"/>
      <c r="Q333" s="303"/>
      <c r="R333" s="303"/>
      <c r="S333" s="303"/>
      <c r="T333" s="303"/>
      <c r="U333" s="303"/>
      <c r="V333" s="303"/>
      <c r="W333" s="303"/>
      <c r="X333" s="303"/>
      <c r="Y333" s="303"/>
      <c r="Z333" s="303"/>
    </row>
    <row r="334" spans="1:26" x14ac:dyDescent="0.2">
      <c r="A334" s="303"/>
      <c r="B334" s="303"/>
      <c r="C334" s="303"/>
      <c r="D334" s="303"/>
      <c r="E334" s="303"/>
      <c r="F334" s="303"/>
      <c r="G334" s="303"/>
      <c r="H334" s="303"/>
      <c r="I334" s="303"/>
      <c r="J334" s="303"/>
      <c r="K334" s="303"/>
      <c r="L334" s="303"/>
      <c r="M334" s="303"/>
      <c r="N334" s="303"/>
      <c r="O334" s="303"/>
      <c r="P334" s="303"/>
      <c r="Q334" s="303"/>
      <c r="R334" s="303"/>
      <c r="S334" s="303"/>
      <c r="T334" s="303"/>
      <c r="U334" s="303"/>
      <c r="V334" s="303"/>
      <c r="W334" s="303"/>
      <c r="X334" s="303"/>
      <c r="Y334" s="303"/>
      <c r="Z334" s="303"/>
    </row>
    <row r="335" spans="1:26" x14ac:dyDescent="0.2">
      <c r="A335" s="303"/>
      <c r="B335" s="303"/>
      <c r="C335" s="303"/>
      <c r="D335" s="303"/>
      <c r="E335" s="303"/>
      <c r="F335" s="303"/>
      <c r="G335" s="303"/>
      <c r="H335" s="303"/>
      <c r="I335" s="303"/>
      <c r="J335" s="303"/>
      <c r="K335" s="303"/>
      <c r="L335" s="303"/>
      <c r="M335" s="303"/>
      <c r="N335" s="303"/>
      <c r="O335" s="303"/>
      <c r="P335" s="303"/>
      <c r="Q335" s="303"/>
      <c r="R335" s="303"/>
      <c r="S335" s="303"/>
      <c r="T335" s="303"/>
      <c r="U335" s="303"/>
      <c r="V335" s="303"/>
      <c r="W335" s="303"/>
      <c r="X335" s="303"/>
      <c r="Y335" s="303"/>
      <c r="Z335" s="303"/>
    </row>
    <row r="336" spans="1:26" x14ac:dyDescent="0.2">
      <c r="A336" s="303"/>
      <c r="B336" s="303"/>
      <c r="C336" s="303"/>
      <c r="D336" s="303"/>
      <c r="E336" s="303"/>
      <c r="F336" s="303"/>
      <c r="G336" s="303"/>
      <c r="H336" s="303"/>
      <c r="I336" s="303"/>
      <c r="J336" s="303"/>
      <c r="K336" s="303"/>
      <c r="L336" s="303"/>
      <c r="M336" s="303"/>
      <c r="N336" s="303"/>
      <c r="O336" s="303"/>
      <c r="P336" s="303"/>
      <c r="Q336" s="303"/>
      <c r="R336" s="303"/>
      <c r="S336" s="303"/>
      <c r="T336" s="303"/>
      <c r="U336" s="303"/>
      <c r="V336" s="303"/>
      <c r="W336" s="303"/>
      <c r="X336" s="303"/>
      <c r="Y336" s="303"/>
      <c r="Z336" s="303"/>
    </row>
    <row r="337" spans="1:26" x14ac:dyDescent="0.2">
      <c r="A337" s="303"/>
      <c r="B337" s="303"/>
      <c r="C337" s="303"/>
      <c r="D337" s="303"/>
      <c r="E337" s="303"/>
      <c r="F337" s="303"/>
      <c r="G337" s="303"/>
      <c r="H337" s="303"/>
      <c r="I337" s="303"/>
      <c r="J337" s="303"/>
      <c r="K337" s="303"/>
      <c r="L337" s="303"/>
      <c r="M337" s="303"/>
      <c r="N337" s="303"/>
      <c r="O337" s="303"/>
      <c r="P337" s="303"/>
      <c r="Q337" s="303"/>
      <c r="R337" s="303"/>
      <c r="S337" s="303"/>
      <c r="T337" s="303"/>
      <c r="U337" s="303"/>
      <c r="V337" s="303"/>
      <c r="W337" s="303"/>
      <c r="X337" s="303"/>
      <c r="Y337" s="303"/>
      <c r="Z337" s="303"/>
    </row>
    <row r="338" spans="1:26" x14ac:dyDescent="0.2">
      <c r="A338" s="303"/>
      <c r="B338" s="303"/>
      <c r="C338" s="303"/>
      <c r="D338" s="303"/>
      <c r="E338" s="303"/>
      <c r="F338" s="303"/>
      <c r="G338" s="303"/>
      <c r="H338" s="303"/>
      <c r="I338" s="303"/>
      <c r="J338" s="303"/>
      <c r="K338" s="303"/>
      <c r="L338" s="303"/>
      <c r="M338" s="303"/>
      <c r="N338" s="303"/>
      <c r="O338" s="303"/>
      <c r="P338" s="303"/>
      <c r="Q338" s="303"/>
      <c r="R338" s="303"/>
      <c r="S338" s="303"/>
      <c r="T338" s="303"/>
      <c r="U338" s="303"/>
      <c r="V338" s="303"/>
      <c r="W338" s="303"/>
      <c r="X338" s="303"/>
      <c r="Y338" s="303"/>
      <c r="Z338" s="303"/>
    </row>
    <row r="339" spans="1:26" x14ac:dyDescent="0.2">
      <c r="A339" s="303"/>
      <c r="B339" s="303"/>
      <c r="C339" s="303"/>
      <c r="D339" s="303"/>
      <c r="E339" s="303"/>
      <c r="F339" s="303"/>
      <c r="G339" s="303"/>
      <c r="H339" s="303"/>
      <c r="I339" s="303"/>
      <c r="J339" s="303"/>
      <c r="K339" s="303"/>
      <c r="L339" s="303"/>
      <c r="M339" s="303"/>
      <c r="N339" s="303"/>
      <c r="O339" s="303"/>
      <c r="P339" s="303"/>
      <c r="Q339" s="303"/>
      <c r="R339" s="303"/>
      <c r="S339" s="303"/>
      <c r="T339" s="303"/>
      <c r="U339" s="303"/>
      <c r="V339" s="303"/>
      <c r="W339" s="303"/>
      <c r="X339" s="303"/>
      <c r="Y339" s="303"/>
      <c r="Z339" s="303"/>
    </row>
    <row r="340" spans="1:26" x14ac:dyDescent="0.2">
      <c r="A340" s="303"/>
      <c r="B340" s="303"/>
      <c r="C340" s="303"/>
      <c r="D340" s="303"/>
      <c r="E340" s="303"/>
      <c r="F340" s="303"/>
      <c r="G340" s="303"/>
      <c r="H340" s="303"/>
      <c r="I340" s="303"/>
      <c r="J340" s="303"/>
      <c r="K340" s="303"/>
      <c r="L340" s="303"/>
      <c r="M340" s="303"/>
      <c r="N340" s="303"/>
      <c r="O340" s="303"/>
      <c r="P340" s="303"/>
      <c r="Q340" s="303"/>
      <c r="R340" s="303"/>
      <c r="S340" s="303"/>
      <c r="T340" s="303"/>
      <c r="U340" s="303"/>
      <c r="V340" s="303"/>
      <c r="W340" s="303"/>
      <c r="X340" s="303"/>
      <c r="Y340" s="303"/>
      <c r="Z340" s="303"/>
    </row>
    <row r="341" spans="1:26" x14ac:dyDescent="0.2">
      <c r="A341" s="303"/>
      <c r="B341" s="303"/>
      <c r="C341" s="303"/>
      <c r="D341" s="303"/>
      <c r="E341" s="303"/>
      <c r="F341" s="303"/>
      <c r="G341" s="303"/>
      <c r="H341" s="303"/>
      <c r="I341" s="303"/>
      <c r="J341" s="303"/>
      <c r="K341" s="303"/>
      <c r="L341" s="303"/>
      <c r="M341" s="303"/>
      <c r="N341" s="303"/>
      <c r="O341" s="303"/>
      <c r="P341" s="303"/>
      <c r="Q341" s="303"/>
      <c r="R341" s="303"/>
      <c r="S341" s="303"/>
      <c r="T341" s="303"/>
      <c r="U341" s="303"/>
      <c r="V341" s="303"/>
      <c r="W341" s="303"/>
      <c r="X341" s="303"/>
      <c r="Y341" s="303"/>
      <c r="Z341" s="303"/>
    </row>
    <row r="342" spans="1:26" x14ac:dyDescent="0.2">
      <c r="A342" s="303"/>
      <c r="B342" s="303"/>
      <c r="C342" s="303"/>
      <c r="D342" s="303"/>
      <c r="E342" s="303"/>
      <c r="F342" s="303"/>
      <c r="G342" s="303"/>
      <c r="H342" s="303"/>
      <c r="I342" s="303"/>
      <c r="J342" s="303"/>
      <c r="K342" s="303"/>
      <c r="L342" s="303"/>
      <c r="M342" s="303"/>
      <c r="N342" s="303"/>
      <c r="O342" s="303"/>
      <c r="P342" s="303"/>
      <c r="Q342" s="303"/>
      <c r="R342" s="303"/>
      <c r="S342" s="303"/>
      <c r="T342" s="303"/>
      <c r="U342" s="303"/>
      <c r="V342" s="303"/>
      <c r="W342" s="303"/>
      <c r="X342" s="303"/>
      <c r="Y342" s="303"/>
      <c r="Z342" s="303"/>
    </row>
    <row r="343" spans="1:26" x14ac:dyDescent="0.2">
      <c r="A343" s="303"/>
      <c r="B343" s="303"/>
      <c r="C343" s="303"/>
      <c r="D343" s="303"/>
      <c r="E343" s="303"/>
      <c r="F343" s="303"/>
      <c r="G343" s="303"/>
      <c r="H343" s="303"/>
      <c r="I343" s="303"/>
      <c r="J343" s="303"/>
      <c r="K343" s="303"/>
      <c r="L343" s="303"/>
      <c r="M343" s="303"/>
      <c r="N343" s="303"/>
      <c r="O343" s="303"/>
      <c r="P343" s="303"/>
      <c r="Q343" s="303"/>
      <c r="R343" s="303"/>
      <c r="S343" s="303"/>
      <c r="T343" s="303"/>
      <c r="U343" s="303"/>
      <c r="V343" s="303"/>
      <c r="W343" s="303"/>
      <c r="X343" s="303"/>
      <c r="Y343" s="303"/>
      <c r="Z343" s="303"/>
    </row>
    <row r="344" spans="1:26" x14ac:dyDescent="0.2">
      <c r="A344" s="303"/>
      <c r="B344" s="303"/>
      <c r="C344" s="303"/>
      <c r="D344" s="303"/>
      <c r="E344" s="303"/>
      <c r="F344" s="303"/>
      <c r="G344" s="303"/>
      <c r="H344" s="303"/>
      <c r="I344" s="303"/>
      <c r="J344" s="303"/>
      <c r="K344" s="303"/>
      <c r="L344" s="303"/>
      <c r="M344" s="303"/>
      <c r="N344" s="303"/>
      <c r="O344" s="303"/>
      <c r="P344" s="303"/>
      <c r="Q344" s="303"/>
      <c r="R344" s="303"/>
      <c r="S344" s="303"/>
      <c r="T344" s="303"/>
      <c r="U344" s="303"/>
      <c r="V344" s="303"/>
      <c r="W344" s="303"/>
      <c r="X344" s="303"/>
      <c r="Y344" s="303"/>
      <c r="Z344" s="303"/>
    </row>
    <row r="345" spans="1:26" x14ac:dyDescent="0.2">
      <c r="A345" s="303"/>
      <c r="B345" s="303"/>
      <c r="C345" s="303"/>
      <c r="D345" s="303"/>
      <c r="E345" s="303"/>
      <c r="F345" s="303"/>
      <c r="G345" s="303"/>
      <c r="H345" s="303"/>
      <c r="I345" s="303"/>
      <c r="J345" s="303"/>
      <c r="K345" s="303"/>
      <c r="L345" s="303"/>
      <c r="M345" s="303"/>
      <c r="N345" s="303"/>
      <c r="O345" s="303"/>
      <c r="P345" s="303"/>
      <c r="Q345" s="303"/>
      <c r="R345" s="303"/>
      <c r="S345" s="303"/>
      <c r="T345" s="303"/>
      <c r="U345" s="303"/>
      <c r="V345" s="303"/>
      <c r="W345" s="303"/>
      <c r="X345" s="303"/>
      <c r="Y345" s="303"/>
      <c r="Z345" s="303"/>
    </row>
    <row r="346" spans="1:26" x14ac:dyDescent="0.2">
      <c r="A346" s="303"/>
      <c r="B346" s="303"/>
      <c r="C346" s="303"/>
      <c r="D346" s="303"/>
      <c r="E346" s="303"/>
      <c r="F346" s="303"/>
      <c r="G346" s="303"/>
      <c r="H346" s="303"/>
      <c r="I346" s="303"/>
      <c r="J346" s="303"/>
      <c r="K346" s="303"/>
      <c r="L346" s="303"/>
      <c r="M346" s="303"/>
      <c r="N346" s="303"/>
      <c r="O346" s="303"/>
      <c r="P346" s="303"/>
      <c r="Q346" s="303"/>
      <c r="R346" s="303"/>
      <c r="S346" s="303"/>
      <c r="T346" s="303"/>
      <c r="U346" s="303"/>
      <c r="V346" s="303"/>
      <c r="W346" s="303"/>
      <c r="X346" s="303"/>
      <c r="Y346" s="303"/>
      <c r="Z346" s="303"/>
    </row>
    <row r="347" spans="1:26" x14ac:dyDescent="0.2">
      <c r="A347" s="303"/>
      <c r="B347" s="303"/>
      <c r="C347" s="303"/>
      <c r="D347" s="303"/>
      <c r="E347" s="303"/>
      <c r="F347" s="303"/>
      <c r="G347" s="303"/>
      <c r="H347" s="303"/>
      <c r="I347" s="303"/>
      <c r="J347" s="303"/>
      <c r="K347" s="303"/>
      <c r="L347" s="303"/>
      <c r="M347" s="303"/>
      <c r="N347" s="303"/>
      <c r="O347" s="303"/>
      <c r="P347" s="303"/>
      <c r="Q347" s="303"/>
      <c r="R347" s="303"/>
      <c r="S347" s="303"/>
      <c r="T347" s="303"/>
      <c r="U347" s="303"/>
      <c r="V347" s="303"/>
      <c r="W347" s="303"/>
      <c r="X347" s="303"/>
      <c r="Y347" s="303"/>
      <c r="Z347" s="303"/>
    </row>
    <row r="348" spans="1:26" x14ac:dyDescent="0.2">
      <c r="A348" s="303"/>
      <c r="B348" s="303"/>
      <c r="C348" s="303"/>
      <c r="D348" s="303"/>
      <c r="E348" s="303"/>
      <c r="F348" s="303"/>
      <c r="G348" s="303"/>
      <c r="H348" s="303"/>
      <c r="I348" s="303"/>
      <c r="J348" s="303"/>
      <c r="K348" s="303"/>
      <c r="L348" s="303"/>
      <c r="M348" s="303"/>
      <c r="N348" s="303"/>
      <c r="O348" s="303"/>
      <c r="P348" s="303"/>
      <c r="Q348" s="303"/>
      <c r="R348" s="303"/>
      <c r="S348" s="303"/>
      <c r="T348" s="303"/>
      <c r="U348" s="303"/>
      <c r="V348" s="303"/>
      <c r="W348" s="303"/>
      <c r="X348" s="303"/>
      <c r="Y348" s="303"/>
      <c r="Z348" s="303"/>
    </row>
    <row r="349" spans="1:26" x14ac:dyDescent="0.2">
      <c r="A349" s="303"/>
      <c r="B349" s="303"/>
      <c r="C349" s="303"/>
      <c r="D349" s="303"/>
      <c r="E349" s="303"/>
      <c r="F349" s="303"/>
      <c r="G349" s="303"/>
      <c r="H349" s="303"/>
      <c r="I349" s="303"/>
      <c r="J349" s="303"/>
      <c r="K349" s="303"/>
      <c r="L349" s="303"/>
      <c r="M349" s="303"/>
      <c r="N349" s="303"/>
      <c r="O349" s="303"/>
      <c r="P349" s="303"/>
      <c r="Q349" s="303"/>
      <c r="R349" s="303"/>
      <c r="S349" s="303"/>
      <c r="T349" s="303"/>
      <c r="U349" s="303"/>
      <c r="V349" s="303"/>
      <c r="W349" s="303"/>
      <c r="X349" s="303"/>
      <c r="Y349" s="303"/>
      <c r="Z349" s="303"/>
    </row>
    <row r="350" spans="1:26" x14ac:dyDescent="0.2">
      <c r="A350" s="303"/>
      <c r="B350" s="303"/>
      <c r="C350" s="303"/>
      <c r="D350" s="303"/>
      <c r="E350" s="303"/>
      <c r="F350" s="303"/>
      <c r="G350" s="303"/>
      <c r="H350" s="303"/>
      <c r="I350" s="303"/>
      <c r="J350" s="303"/>
      <c r="K350" s="303"/>
      <c r="L350" s="303"/>
      <c r="M350" s="303"/>
      <c r="N350" s="303"/>
      <c r="O350" s="303"/>
      <c r="P350" s="303"/>
      <c r="Q350" s="303"/>
      <c r="R350" s="303"/>
      <c r="S350" s="303"/>
      <c r="T350" s="303"/>
      <c r="U350" s="303"/>
      <c r="V350" s="303"/>
      <c r="W350" s="303"/>
      <c r="X350" s="303"/>
      <c r="Y350" s="303"/>
      <c r="Z350" s="303"/>
    </row>
    <row r="351" spans="1:26" x14ac:dyDescent="0.2">
      <c r="A351" s="303"/>
      <c r="B351" s="303"/>
      <c r="C351" s="303"/>
      <c r="D351" s="303"/>
      <c r="E351" s="303"/>
      <c r="F351" s="303"/>
      <c r="G351" s="303"/>
      <c r="H351" s="303"/>
      <c r="I351" s="303"/>
      <c r="J351" s="303"/>
      <c r="K351" s="303"/>
      <c r="L351" s="303"/>
      <c r="M351" s="303"/>
      <c r="N351" s="303"/>
      <c r="O351" s="303"/>
      <c r="P351" s="303"/>
      <c r="Q351" s="303"/>
      <c r="R351" s="303"/>
      <c r="S351" s="303"/>
      <c r="T351" s="303"/>
      <c r="U351" s="303"/>
      <c r="V351" s="303"/>
      <c r="W351" s="303"/>
      <c r="X351" s="303"/>
      <c r="Y351" s="303"/>
      <c r="Z351" s="303"/>
    </row>
    <row r="352" spans="1:26" x14ac:dyDescent="0.2">
      <c r="A352" s="303"/>
      <c r="B352" s="303"/>
      <c r="C352" s="303"/>
      <c r="D352" s="303"/>
      <c r="E352" s="303"/>
      <c r="F352" s="303"/>
      <c r="G352" s="303"/>
      <c r="H352" s="303"/>
      <c r="I352" s="303"/>
      <c r="J352" s="303"/>
      <c r="K352" s="303"/>
      <c r="L352" s="303"/>
      <c r="M352" s="303"/>
      <c r="N352" s="303"/>
      <c r="O352" s="303"/>
      <c r="P352" s="303"/>
      <c r="Q352" s="303"/>
      <c r="R352" s="303"/>
      <c r="S352" s="303"/>
      <c r="T352" s="303"/>
      <c r="U352" s="303"/>
      <c r="V352" s="303"/>
      <c r="W352" s="303"/>
      <c r="X352" s="303"/>
      <c r="Y352" s="303"/>
      <c r="Z352" s="303"/>
    </row>
    <row r="353" spans="1:26" x14ac:dyDescent="0.2">
      <c r="A353" s="303"/>
      <c r="B353" s="303"/>
      <c r="C353" s="303"/>
      <c r="D353" s="303"/>
      <c r="E353" s="303"/>
      <c r="F353" s="303"/>
      <c r="G353" s="303"/>
      <c r="H353" s="303"/>
      <c r="I353" s="303"/>
      <c r="J353" s="303"/>
      <c r="K353" s="303"/>
      <c r="L353" s="303"/>
      <c r="M353" s="303"/>
      <c r="N353" s="303"/>
      <c r="O353" s="303"/>
      <c r="P353" s="303"/>
      <c r="Q353" s="303"/>
      <c r="R353" s="303"/>
      <c r="S353" s="303"/>
      <c r="T353" s="303"/>
      <c r="U353" s="303"/>
      <c r="V353" s="303"/>
      <c r="W353" s="303"/>
      <c r="X353" s="303"/>
      <c r="Y353" s="303"/>
      <c r="Z353" s="303"/>
    </row>
    <row r="354" spans="1:26" x14ac:dyDescent="0.2">
      <c r="A354" s="303"/>
      <c r="B354" s="303"/>
      <c r="C354" s="303"/>
      <c r="D354" s="303"/>
      <c r="E354" s="303"/>
      <c r="F354" s="303"/>
      <c r="G354" s="303"/>
      <c r="H354" s="303"/>
      <c r="I354" s="303"/>
      <c r="J354" s="303"/>
      <c r="K354" s="303"/>
      <c r="L354" s="303"/>
      <c r="M354" s="303"/>
      <c r="N354" s="303"/>
      <c r="O354" s="303"/>
      <c r="P354" s="303"/>
      <c r="Q354" s="303"/>
      <c r="R354" s="303"/>
      <c r="S354" s="303"/>
      <c r="T354" s="303"/>
      <c r="U354" s="303"/>
      <c r="V354" s="303"/>
      <c r="W354" s="303"/>
      <c r="X354" s="303"/>
      <c r="Y354" s="303"/>
      <c r="Z354" s="303"/>
    </row>
    <row r="355" spans="1:26" x14ac:dyDescent="0.2">
      <c r="A355" s="303"/>
      <c r="B355" s="303"/>
      <c r="C355" s="303"/>
      <c r="D355" s="303"/>
      <c r="E355" s="303"/>
      <c r="F355" s="303"/>
      <c r="G355" s="303"/>
      <c r="H355" s="303"/>
      <c r="I355" s="303"/>
      <c r="J355" s="303"/>
      <c r="K355" s="303"/>
      <c r="L355" s="303"/>
      <c r="M355" s="303"/>
      <c r="N355" s="303"/>
      <c r="O355" s="303"/>
      <c r="P355" s="303"/>
      <c r="Q355" s="303"/>
      <c r="R355" s="303"/>
      <c r="S355" s="303"/>
      <c r="T355" s="303"/>
      <c r="U355" s="303"/>
      <c r="V355" s="303"/>
      <c r="W355" s="303"/>
      <c r="X355" s="303"/>
      <c r="Y355" s="303"/>
      <c r="Z355" s="303"/>
    </row>
    <row r="356" spans="1:26" x14ac:dyDescent="0.2">
      <c r="A356" s="303"/>
      <c r="B356" s="303"/>
      <c r="C356" s="303"/>
      <c r="D356" s="303"/>
      <c r="E356" s="303"/>
      <c r="F356" s="303"/>
      <c r="G356" s="303"/>
      <c r="H356" s="303"/>
      <c r="I356" s="303"/>
      <c r="J356" s="303"/>
      <c r="K356" s="303"/>
      <c r="L356" s="303"/>
      <c r="M356" s="303"/>
      <c r="N356" s="303"/>
      <c r="O356" s="303"/>
      <c r="P356" s="303"/>
      <c r="Q356" s="303"/>
      <c r="R356" s="303"/>
      <c r="S356" s="303"/>
      <c r="T356" s="303"/>
      <c r="U356" s="303"/>
      <c r="V356" s="303"/>
      <c r="W356" s="303"/>
      <c r="X356" s="303"/>
      <c r="Y356" s="303"/>
      <c r="Z356" s="303"/>
    </row>
    <row r="357" spans="1:26" x14ac:dyDescent="0.2">
      <c r="A357" s="303"/>
      <c r="B357" s="303"/>
      <c r="C357" s="303"/>
      <c r="D357" s="303"/>
      <c r="E357" s="303"/>
      <c r="F357" s="303"/>
      <c r="G357" s="303"/>
      <c r="H357" s="303"/>
      <c r="I357" s="303"/>
      <c r="J357" s="303"/>
      <c r="K357" s="303"/>
      <c r="L357" s="303"/>
      <c r="M357" s="303"/>
      <c r="N357" s="303"/>
      <c r="O357" s="303"/>
      <c r="P357" s="303"/>
      <c r="Q357" s="303"/>
      <c r="R357" s="303"/>
      <c r="S357" s="303"/>
      <c r="T357" s="303"/>
      <c r="U357" s="303"/>
      <c r="V357" s="303"/>
      <c r="W357" s="303"/>
      <c r="X357" s="303"/>
      <c r="Y357" s="303"/>
      <c r="Z357" s="303"/>
    </row>
    <row r="358" spans="1:26" x14ac:dyDescent="0.2">
      <c r="A358" s="303"/>
      <c r="B358" s="303"/>
      <c r="C358" s="303"/>
      <c r="D358" s="303"/>
      <c r="E358" s="303"/>
      <c r="F358" s="303"/>
      <c r="G358" s="303"/>
      <c r="H358" s="303"/>
      <c r="I358" s="303"/>
      <c r="J358" s="303"/>
      <c r="K358" s="303"/>
      <c r="L358" s="303"/>
      <c r="M358" s="303"/>
      <c r="N358" s="303"/>
      <c r="O358" s="303"/>
      <c r="P358" s="303"/>
      <c r="Q358" s="303"/>
      <c r="R358" s="303"/>
      <c r="S358" s="303"/>
      <c r="T358" s="303"/>
      <c r="U358" s="303"/>
      <c r="V358" s="303"/>
      <c r="W358" s="303"/>
      <c r="X358" s="303"/>
      <c r="Y358" s="303"/>
      <c r="Z358" s="303"/>
    </row>
    <row r="359" spans="1:26" x14ac:dyDescent="0.2">
      <c r="A359" s="303"/>
      <c r="B359" s="303"/>
      <c r="C359" s="303"/>
      <c r="D359" s="303"/>
      <c r="E359" s="303"/>
      <c r="F359" s="303"/>
      <c r="G359" s="303"/>
      <c r="H359" s="303"/>
      <c r="I359" s="303"/>
      <c r="J359" s="303"/>
      <c r="K359" s="303"/>
      <c r="L359" s="303"/>
      <c r="M359" s="303"/>
      <c r="N359" s="303"/>
      <c r="O359" s="303"/>
      <c r="P359" s="303"/>
      <c r="Q359" s="303"/>
      <c r="R359" s="303"/>
      <c r="S359" s="303"/>
      <c r="T359" s="303"/>
      <c r="U359" s="303"/>
      <c r="V359" s="303"/>
      <c r="W359" s="303"/>
      <c r="X359" s="303"/>
      <c r="Y359" s="303"/>
      <c r="Z359" s="303"/>
    </row>
    <row r="360" spans="1:26" x14ac:dyDescent="0.2">
      <c r="A360" s="303"/>
      <c r="B360" s="303"/>
      <c r="C360" s="303"/>
      <c r="D360" s="303"/>
      <c r="E360" s="303"/>
      <c r="F360" s="303"/>
      <c r="G360" s="303"/>
      <c r="H360" s="303"/>
      <c r="I360" s="303"/>
      <c r="J360" s="303"/>
      <c r="K360" s="303"/>
      <c r="L360" s="303"/>
      <c r="M360" s="303"/>
      <c r="N360" s="303"/>
      <c r="O360" s="303"/>
      <c r="P360" s="303"/>
      <c r="Q360" s="303"/>
      <c r="R360" s="303"/>
      <c r="S360" s="303"/>
      <c r="T360" s="303"/>
      <c r="U360" s="303"/>
      <c r="V360" s="303"/>
      <c r="W360" s="303"/>
      <c r="X360" s="303"/>
      <c r="Y360" s="303"/>
      <c r="Z360" s="303"/>
    </row>
    <row r="361" spans="1:26" x14ac:dyDescent="0.2">
      <c r="A361" s="303"/>
      <c r="B361" s="303"/>
      <c r="C361" s="303"/>
      <c r="D361" s="303"/>
      <c r="E361" s="303"/>
      <c r="F361" s="303"/>
      <c r="G361" s="303"/>
      <c r="H361" s="303"/>
      <c r="I361" s="303"/>
      <c r="J361" s="303"/>
      <c r="K361" s="303"/>
      <c r="L361" s="303"/>
      <c r="M361" s="303"/>
      <c r="N361" s="303"/>
      <c r="O361" s="303"/>
      <c r="P361" s="303"/>
      <c r="Q361" s="303"/>
      <c r="R361" s="303"/>
      <c r="S361" s="303"/>
      <c r="T361" s="303"/>
      <c r="U361" s="303"/>
      <c r="V361" s="303"/>
      <c r="W361" s="303"/>
      <c r="X361" s="303"/>
      <c r="Y361" s="303"/>
      <c r="Z361" s="303"/>
    </row>
    <row r="362" spans="1:26" x14ac:dyDescent="0.2">
      <c r="A362" s="303"/>
      <c r="B362" s="303"/>
      <c r="C362" s="303"/>
      <c r="D362" s="303"/>
      <c r="E362" s="303"/>
      <c r="F362" s="303"/>
      <c r="G362" s="303"/>
      <c r="H362" s="303"/>
      <c r="I362" s="303"/>
      <c r="J362" s="303"/>
      <c r="K362" s="303"/>
      <c r="L362" s="303"/>
      <c r="M362" s="303"/>
      <c r="N362" s="303"/>
      <c r="O362" s="303"/>
      <c r="P362" s="303"/>
      <c r="Q362" s="303"/>
      <c r="R362" s="303"/>
      <c r="S362" s="303"/>
      <c r="T362" s="303"/>
      <c r="U362" s="303"/>
      <c r="V362" s="303"/>
      <c r="W362" s="303"/>
      <c r="X362" s="303"/>
      <c r="Y362" s="303"/>
      <c r="Z362" s="303"/>
    </row>
    <row r="363" spans="1:26" x14ac:dyDescent="0.2">
      <c r="A363" s="303"/>
      <c r="B363" s="303"/>
      <c r="C363" s="303"/>
      <c r="D363" s="303"/>
      <c r="E363" s="303"/>
      <c r="F363" s="303"/>
      <c r="G363" s="303"/>
      <c r="H363" s="303"/>
      <c r="I363" s="303"/>
      <c r="J363" s="303"/>
      <c r="K363" s="303"/>
      <c r="L363" s="303"/>
      <c r="M363" s="303"/>
      <c r="N363" s="303"/>
      <c r="O363" s="303"/>
      <c r="P363" s="303"/>
      <c r="Q363" s="303"/>
      <c r="R363" s="303"/>
      <c r="S363" s="303"/>
      <c r="T363" s="303"/>
      <c r="U363" s="303"/>
      <c r="V363" s="303"/>
      <c r="W363" s="303"/>
      <c r="X363" s="303"/>
      <c r="Y363" s="303"/>
      <c r="Z363" s="303"/>
    </row>
    <row r="364" spans="1:26" x14ac:dyDescent="0.2">
      <c r="A364" s="303"/>
      <c r="B364" s="303"/>
      <c r="C364" s="303"/>
      <c r="D364" s="303"/>
      <c r="E364" s="303"/>
      <c r="F364" s="303"/>
      <c r="G364" s="303"/>
      <c r="H364" s="303"/>
      <c r="I364" s="303"/>
      <c r="J364" s="303"/>
      <c r="K364" s="303"/>
      <c r="L364" s="303"/>
      <c r="M364" s="303"/>
      <c r="N364" s="303"/>
      <c r="O364" s="303"/>
      <c r="P364" s="303"/>
      <c r="Q364" s="303"/>
      <c r="R364" s="303"/>
      <c r="S364" s="303"/>
      <c r="T364" s="303"/>
      <c r="U364" s="303"/>
      <c r="V364" s="303"/>
      <c r="W364" s="303"/>
      <c r="X364" s="303"/>
      <c r="Y364" s="303"/>
      <c r="Z364" s="303"/>
    </row>
    <row r="365" spans="1:26" x14ac:dyDescent="0.2">
      <c r="A365" s="303"/>
      <c r="B365" s="303"/>
      <c r="C365" s="303"/>
      <c r="D365" s="303"/>
      <c r="E365" s="303"/>
      <c r="F365" s="303"/>
      <c r="G365" s="303"/>
      <c r="H365" s="303"/>
      <c r="I365" s="303"/>
      <c r="J365" s="303"/>
      <c r="K365" s="303"/>
      <c r="L365" s="303"/>
      <c r="M365" s="303"/>
      <c r="N365" s="303"/>
      <c r="O365" s="303"/>
      <c r="P365" s="303"/>
      <c r="Q365" s="303"/>
      <c r="R365" s="303"/>
      <c r="S365" s="303"/>
      <c r="T365" s="303"/>
      <c r="U365" s="303"/>
      <c r="V365" s="303"/>
      <c r="W365" s="303"/>
      <c r="X365" s="303"/>
      <c r="Y365" s="303"/>
      <c r="Z365" s="303"/>
    </row>
    <row r="366" spans="1:26" x14ac:dyDescent="0.2">
      <c r="A366" s="303"/>
      <c r="B366" s="303"/>
      <c r="C366" s="303"/>
      <c r="D366" s="303"/>
      <c r="E366" s="303"/>
      <c r="F366" s="303"/>
      <c r="G366" s="303"/>
      <c r="H366" s="303"/>
      <c r="I366" s="303"/>
      <c r="J366" s="303"/>
      <c r="K366" s="303"/>
      <c r="L366" s="303"/>
      <c r="M366" s="303"/>
      <c r="N366" s="303"/>
      <c r="O366" s="303"/>
      <c r="P366" s="303"/>
      <c r="Q366" s="303"/>
      <c r="R366" s="303"/>
      <c r="S366" s="303"/>
      <c r="T366" s="303"/>
      <c r="U366" s="303"/>
      <c r="V366" s="303"/>
      <c r="W366" s="303"/>
      <c r="X366" s="303"/>
      <c r="Y366" s="303"/>
      <c r="Z366" s="303"/>
    </row>
    <row r="367" spans="1:26" x14ac:dyDescent="0.2">
      <c r="A367" s="303"/>
      <c r="B367" s="303"/>
      <c r="C367" s="303"/>
      <c r="D367" s="303"/>
      <c r="E367" s="303"/>
      <c r="F367" s="303"/>
      <c r="G367" s="303"/>
      <c r="H367" s="303"/>
      <c r="I367" s="303"/>
      <c r="J367" s="303"/>
      <c r="K367" s="303"/>
      <c r="L367" s="303"/>
      <c r="M367" s="303"/>
      <c r="N367" s="303"/>
      <c r="O367" s="303"/>
      <c r="P367" s="303"/>
      <c r="Q367" s="303"/>
      <c r="R367" s="303"/>
      <c r="S367" s="303"/>
      <c r="T367" s="303"/>
      <c r="U367" s="303"/>
      <c r="V367" s="303"/>
      <c r="W367" s="303"/>
      <c r="X367" s="303"/>
      <c r="Y367" s="303"/>
      <c r="Z367" s="303"/>
    </row>
    <row r="368" spans="1:26" x14ac:dyDescent="0.2">
      <c r="A368" s="303"/>
      <c r="B368" s="303"/>
      <c r="C368" s="303"/>
      <c r="D368" s="303"/>
      <c r="E368" s="303"/>
      <c r="F368" s="303"/>
      <c r="G368" s="303"/>
      <c r="H368" s="303"/>
      <c r="I368" s="303"/>
      <c r="J368" s="303"/>
      <c r="K368" s="303"/>
      <c r="L368" s="303"/>
      <c r="M368" s="303"/>
      <c r="N368" s="303"/>
      <c r="O368" s="303"/>
      <c r="P368" s="303"/>
      <c r="Q368" s="303"/>
      <c r="R368" s="303"/>
      <c r="S368" s="303"/>
      <c r="T368" s="303"/>
      <c r="U368" s="303"/>
      <c r="V368" s="303"/>
      <c r="W368" s="303"/>
      <c r="X368" s="303"/>
      <c r="Y368" s="303"/>
      <c r="Z368" s="303"/>
    </row>
    <row r="369" spans="1:26" x14ac:dyDescent="0.2">
      <c r="A369" s="303"/>
      <c r="B369" s="303"/>
      <c r="C369" s="303"/>
      <c r="D369" s="303"/>
      <c r="E369" s="303"/>
      <c r="F369" s="303"/>
      <c r="G369" s="303"/>
      <c r="H369" s="303"/>
      <c r="I369" s="303"/>
      <c r="J369" s="303"/>
      <c r="K369" s="303"/>
      <c r="L369" s="303"/>
      <c r="M369" s="303"/>
      <c r="N369" s="303"/>
      <c r="O369" s="303"/>
      <c r="P369" s="303"/>
      <c r="Q369" s="303"/>
      <c r="R369" s="303"/>
      <c r="S369" s="303"/>
      <c r="T369" s="303"/>
      <c r="U369" s="303"/>
      <c r="V369" s="303"/>
      <c r="W369" s="303"/>
      <c r="X369" s="303"/>
      <c r="Y369" s="303"/>
      <c r="Z369" s="303"/>
    </row>
    <row r="370" spans="1:26" x14ac:dyDescent="0.2">
      <c r="A370" s="303"/>
      <c r="B370" s="303"/>
      <c r="C370" s="303"/>
      <c r="D370" s="303"/>
      <c r="E370" s="303"/>
      <c r="F370" s="303"/>
      <c r="G370" s="303"/>
      <c r="H370" s="303"/>
      <c r="I370" s="303"/>
      <c r="J370" s="303"/>
      <c r="K370" s="303"/>
      <c r="L370" s="303"/>
      <c r="M370" s="303"/>
      <c r="N370" s="303"/>
      <c r="O370" s="303"/>
      <c r="P370" s="303"/>
      <c r="Q370" s="303"/>
      <c r="R370" s="303"/>
      <c r="S370" s="303"/>
      <c r="T370" s="303"/>
      <c r="U370" s="303"/>
      <c r="V370" s="303"/>
      <c r="W370" s="303"/>
      <c r="X370" s="303"/>
      <c r="Y370" s="303"/>
      <c r="Z370" s="303"/>
    </row>
    <row r="371" spans="1:26" x14ac:dyDescent="0.2">
      <c r="A371" s="303"/>
      <c r="B371" s="303"/>
      <c r="C371" s="303"/>
      <c r="D371" s="303"/>
      <c r="E371" s="303"/>
      <c r="F371" s="303"/>
      <c r="G371" s="303"/>
      <c r="H371" s="303"/>
      <c r="I371" s="303"/>
      <c r="J371" s="303"/>
      <c r="K371" s="303"/>
      <c r="L371" s="303"/>
      <c r="M371" s="303"/>
      <c r="N371" s="303"/>
      <c r="O371" s="303"/>
      <c r="P371" s="303"/>
      <c r="Q371" s="303"/>
      <c r="R371" s="303"/>
      <c r="S371" s="303"/>
      <c r="T371" s="303"/>
      <c r="U371" s="303"/>
      <c r="V371" s="303"/>
      <c r="W371" s="303"/>
      <c r="X371" s="303"/>
      <c r="Y371" s="303"/>
      <c r="Z371" s="303"/>
    </row>
    <row r="372" spans="1:26" x14ac:dyDescent="0.2">
      <c r="A372" s="303"/>
      <c r="B372" s="303"/>
      <c r="C372" s="303"/>
      <c r="D372" s="303"/>
      <c r="E372" s="303"/>
      <c r="F372" s="303"/>
      <c r="G372" s="303"/>
      <c r="H372" s="303"/>
      <c r="I372" s="303"/>
      <c r="J372" s="303"/>
      <c r="K372" s="303"/>
      <c r="L372" s="303"/>
      <c r="M372" s="303"/>
      <c r="N372" s="303"/>
      <c r="O372" s="303"/>
      <c r="P372" s="303"/>
      <c r="Q372" s="303"/>
      <c r="R372" s="303"/>
      <c r="S372" s="303"/>
      <c r="T372" s="303"/>
      <c r="U372" s="303"/>
      <c r="V372" s="303"/>
      <c r="W372" s="303"/>
      <c r="X372" s="303"/>
      <c r="Y372" s="303"/>
      <c r="Z372" s="303"/>
    </row>
    <row r="373" spans="1:26" x14ac:dyDescent="0.2">
      <c r="A373" s="303"/>
      <c r="B373" s="303"/>
      <c r="C373" s="303"/>
      <c r="D373" s="303"/>
      <c r="E373" s="303"/>
      <c r="F373" s="303"/>
      <c r="G373" s="303"/>
      <c r="H373" s="303"/>
      <c r="I373" s="303"/>
      <c r="J373" s="303"/>
      <c r="K373" s="303"/>
      <c r="L373" s="303"/>
      <c r="M373" s="303"/>
      <c r="N373" s="303"/>
      <c r="O373" s="303"/>
      <c r="P373" s="303"/>
      <c r="Q373" s="303"/>
      <c r="R373" s="303"/>
      <c r="S373" s="303"/>
      <c r="T373" s="303"/>
      <c r="U373" s="303"/>
      <c r="V373" s="303"/>
      <c r="W373" s="303"/>
      <c r="X373" s="303"/>
      <c r="Y373" s="303"/>
      <c r="Z373" s="303"/>
    </row>
    <row r="374" spans="1:26" x14ac:dyDescent="0.2">
      <c r="A374" s="303"/>
      <c r="B374" s="303"/>
      <c r="C374" s="303"/>
      <c r="D374" s="303"/>
      <c r="E374" s="303"/>
      <c r="F374" s="303"/>
      <c r="G374" s="303"/>
      <c r="H374" s="303"/>
      <c r="I374" s="303"/>
      <c r="J374" s="303"/>
      <c r="K374" s="303"/>
      <c r="L374" s="303"/>
      <c r="M374" s="303"/>
      <c r="N374" s="303"/>
      <c r="O374" s="303"/>
      <c r="P374" s="303"/>
      <c r="Q374" s="303"/>
      <c r="R374" s="303"/>
      <c r="S374" s="303"/>
      <c r="T374" s="303"/>
      <c r="U374" s="303"/>
      <c r="V374" s="303"/>
      <c r="W374" s="303"/>
      <c r="X374" s="303"/>
      <c r="Y374" s="303"/>
      <c r="Z374" s="303"/>
    </row>
    <row r="375" spans="1:26" x14ac:dyDescent="0.2">
      <c r="A375" s="303"/>
      <c r="B375" s="303"/>
      <c r="C375" s="303"/>
      <c r="D375" s="303"/>
      <c r="E375" s="303"/>
      <c r="F375" s="303"/>
      <c r="G375" s="303"/>
      <c r="H375" s="303"/>
      <c r="I375" s="303"/>
      <c r="J375" s="303"/>
      <c r="K375" s="303"/>
      <c r="L375" s="303"/>
      <c r="M375" s="303"/>
      <c r="N375" s="303"/>
      <c r="O375" s="303"/>
      <c r="P375" s="303"/>
      <c r="Q375" s="303"/>
      <c r="R375" s="303"/>
      <c r="S375" s="303"/>
      <c r="T375" s="303"/>
      <c r="U375" s="303"/>
      <c r="V375" s="303"/>
      <c r="W375" s="303"/>
      <c r="X375" s="303"/>
      <c r="Y375" s="303"/>
      <c r="Z375" s="303"/>
    </row>
    <row r="376" spans="1:26" x14ac:dyDescent="0.2">
      <c r="A376" s="303"/>
      <c r="B376" s="303"/>
      <c r="C376" s="303"/>
      <c r="D376" s="303"/>
      <c r="E376" s="303"/>
      <c r="F376" s="303"/>
      <c r="G376" s="303"/>
      <c r="H376" s="303"/>
      <c r="I376" s="303"/>
      <c r="J376" s="303"/>
      <c r="K376" s="303"/>
      <c r="L376" s="303"/>
      <c r="M376" s="303"/>
      <c r="N376" s="303"/>
      <c r="O376" s="303"/>
      <c r="P376" s="303"/>
      <c r="Q376" s="303"/>
      <c r="R376" s="303"/>
      <c r="S376" s="303"/>
      <c r="T376" s="303"/>
      <c r="U376" s="303"/>
      <c r="V376" s="303"/>
      <c r="W376" s="303"/>
      <c r="X376" s="303"/>
      <c r="Y376" s="303"/>
      <c r="Z376" s="303"/>
    </row>
    <row r="377" spans="1:26" x14ac:dyDescent="0.2">
      <c r="A377" s="303"/>
      <c r="B377" s="303"/>
      <c r="C377" s="303"/>
      <c r="D377" s="303"/>
      <c r="E377" s="303"/>
      <c r="F377" s="303"/>
      <c r="G377" s="303"/>
      <c r="H377" s="303"/>
      <c r="I377" s="303"/>
      <c r="J377" s="303"/>
      <c r="K377" s="303"/>
      <c r="L377" s="303"/>
      <c r="M377" s="303"/>
      <c r="N377" s="303"/>
      <c r="O377" s="303"/>
      <c r="P377" s="303"/>
      <c r="Q377" s="303"/>
      <c r="R377" s="303"/>
      <c r="S377" s="303"/>
      <c r="T377" s="303"/>
      <c r="U377" s="303"/>
      <c r="V377" s="303"/>
      <c r="W377" s="303"/>
      <c r="X377" s="303"/>
      <c r="Y377" s="303"/>
      <c r="Z377" s="303"/>
    </row>
    <row r="378" spans="1:26" x14ac:dyDescent="0.2">
      <c r="A378" s="303"/>
      <c r="B378" s="303"/>
      <c r="C378" s="303"/>
      <c r="D378" s="303"/>
      <c r="E378" s="303"/>
      <c r="F378" s="303"/>
      <c r="G378" s="303"/>
      <c r="H378" s="303"/>
      <c r="I378" s="303"/>
      <c r="J378" s="303"/>
      <c r="K378" s="303"/>
      <c r="L378" s="303"/>
      <c r="M378" s="303"/>
      <c r="N378" s="303"/>
      <c r="O378" s="303"/>
      <c r="P378" s="303"/>
      <c r="Q378" s="303"/>
      <c r="R378" s="303"/>
      <c r="S378" s="303"/>
      <c r="T378" s="303"/>
      <c r="U378" s="303"/>
      <c r="V378" s="303"/>
      <c r="W378" s="303"/>
      <c r="X378" s="303"/>
      <c r="Y378" s="303"/>
      <c r="Z378" s="303"/>
    </row>
    <row r="379" spans="1:26" x14ac:dyDescent="0.2">
      <c r="A379" s="303"/>
      <c r="B379" s="303"/>
      <c r="C379" s="303"/>
      <c r="D379" s="303"/>
      <c r="E379" s="303"/>
      <c r="F379" s="303"/>
      <c r="G379" s="303"/>
      <c r="H379" s="303"/>
      <c r="I379" s="303"/>
      <c r="J379" s="303"/>
      <c r="K379" s="303"/>
      <c r="L379" s="303"/>
      <c r="M379" s="303"/>
      <c r="N379" s="303"/>
      <c r="O379" s="303"/>
      <c r="P379" s="303"/>
      <c r="Q379" s="303"/>
      <c r="R379" s="303"/>
      <c r="S379" s="303"/>
      <c r="T379" s="303"/>
      <c r="U379" s="303"/>
      <c r="V379" s="303"/>
      <c r="W379" s="303"/>
      <c r="X379" s="303"/>
      <c r="Y379" s="303"/>
      <c r="Z379" s="303"/>
    </row>
    <row r="380" spans="1:26" x14ac:dyDescent="0.2">
      <c r="A380" s="303"/>
      <c r="B380" s="303"/>
      <c r="C380" s="303"/>
      <c r="D380" s="303"/>
      <c r="E380" s="303"/>
      <c r="F380" s="303"/>
      <c r="G380" s="303"/>
      <c r="H380" s="303"/>
      <c r="I380" s="303"/>
      <c r="J380" s="303"/>
      <c r="K380" s="303"/>
      <c r="L380" s="303"/>
      <c r="M380" s="303"/>
      <c r="N380" s="303"/>
      <c r="O380" s="303"/>
      <c r="P380" s="303"/>
      <c r="Q380" s="303"/>
      <c r="R380" s="303"/>
      <c r="S380" s="303"/>
      <c r="T380" s="303"/>
      <c r="U380" s="303"/>
      <c r="V380" s="303"/>
      <c r="W380" s="303"/>
      <c r="X380" s="303"/>
      <c r="Y380" s="303"/>
      <c r="Z380" s="303"/>
    </row>
    <row r="381" spans="1:26" x14ac:dyDescent="0.2">
      <c r="A381" s="303"/>
      <c r="B381" s="303"/>
      <c r="C381" s="303"/>
      <c r="D381" s="303"/>
      <c r="E381" s="303"/>
      <c r="F381" s="303"/>
      <c r="G381" s="303"/>
      <c r="H381" s="303"/>
      <c r="I381" s="303"/>
      <c r="J381" s="303"/>
      <c r="K381" s="303"/>
      <c r="L381" s="303"/>
      <c r="M381" s="303"/>
      <c r="N381" s="303"/>
      <c r="O381" s="303"/>
      <c r="P381" s="303"/>
      <c r="Q381" s="303"/>
      <c r="R381" s="303"/>
      <c r="S381" s="303"/>
      <c r="T381" s="303"/>
      <c r="U381" s="303"/>
      <c r="V381" s="303"/>
      <c r="W381" s="303"/>
      <c r="X381" s="303"/>
      <c r="Y381" s="303"/>
      <c r="Z381" s="303"/>
    </row>
    <row r="382" spans="1:26" x14ac:dyDescent="0.2">
      <c r="A382" s="303"/>
      <c r="B382" s="303"/>
      <c r="C382" s="303"/>
      <c r="D382" s="303"/>
      <c r="E382" s="303"/>
      <c r="F382" s="303"/>
      <c r="G382" s="303"/>
      <c r="H382" s="303"/>
      <c r="I382" s="303"/>
      <c r="J382" s="303"/>
      <c r="K382" s="303"/>
      <c r="L382" s="303"/>
      <c r="M382" s="303"/>
      <c r="N382" s="303"/>
      <c r="O382" s="303"/>
      <c r="P382" s="303"/>
      <c r="Q382" s="303"/>
      <c r="R382" s="303"/>
      <c r="S382" s="303"/>
      <c r="T382" s="303"/>
      <c r="U382" s="303"/>
      <c r="V382" s="303"/>
      <c r="W382" s="303"/>
      <c r="X382" s="303"/>
      <c r="Y382" s="303"/>
      <c r="Z382" s="303"/>
    </row>
    <row r="383" spans="1:26" x14ac:dyDescent="0.2">
      <c r="A383" s="303"/>
      <c r="B383" s="303"/>
      <c r="C383" s="303"/>
      <c r="D383" s="303"/>
      <c r="E383" s="303"/>
      <c r="F383" s="303"/>
      <c r="G383" s="303"/>
      <c r="H383" s="303"/>
      <c r="I383" s="303"/>
      <c r="J383" s="303"/>
      <c r="K383" s="303"/>
      <c r="L383" s="303"/>
      <c r="M383" s="303"/>
      <c r="N383" s="303"/>
      <c r="O383" s="303"/>
      <c r="P383" s="303"/>
      <c r="Q383" s="303"/>
      <c r="R383" s="303"/>
      <c r="S383" s="303"/>
      <c r="T383" s="303"/>
      <c r="U383" s="303"/>
      <c r="V383" s="303"/>
      <c r="W383" s="303"/>
      <c r="X383" s="303"/>
      <c r="Y383" s="303"/>
      <c r="Z383" s="303"/>
    </row>
    <row r="384" spans="1:26" x14ac:dyDescent="0.2">
      <c r="A384" s="303"/>
      <c r="B384" s="303"/>
      <c r="C384" s="303"/>
      <c r="D384" s="303"/>
      <c r="E384" s="303"/>
      <c r="F384" s="303"/>
      <c r="G384" s="303"/>
      <c r="H384" s="303"/>
      <c r="I384" s="303"/>
      <c r="J384" s="303"/>
      <c r="K384" s="303"/>
      <c r="L384" s="303"/>
      <c r="M384" s="303"/>
      <c r="N384" s="303"/>
      <c r="O384" s="303"/>
      <c r="P384" s="303"/>
      <c r="Q384" s="303"/>
      <c r="R384" s="303"/>
      <c r="S384" s="303"/>
      <c r="T384" s="303"/>
      <c r="U384" s="303"/>
      <c r="V384" s="303"/>
      <c r="W384" s="303"/>
      <c r="X384" s="303"/>
      <c r="Y384" s="303"/>
      <c r="Z384" s="303"/>
    </row>
    <row r="385" spans="1:26" x14ac:dyDescent="0.2">
      <c r="A385" s="303"/>
      <c r="B385" s="303"/>
      <c r="C385" s="303"/>
      <c r="D385" s="303"/>
      <c r="E385" s="303"/>
      <c r="F385" s="303"/>
      <c r="G385" s="303"/>
      <c r="H385" s="303"/>
      <c r="I385" s="303"/>
      <c r="J385" s="303"/>
      <c r="K385" s="303"/>
      <c r="L385" s="303"/>
      <c r="M385" s="303"/>
      <c r="N385" s="303"/>
      <c r="O385" s="303"/>
      <c r="P385" s="303"/>
      <c r="Q385" s="303"/>
      <c r="R385" s="303"/>
      <c r="S385" s="303"/>
      <c r="T385" s="303"/>
      <c r="U385" s="303"/>
      <c r="V385" s="303"/>
      <c r="W385" s="303"/>
      <c r="X385" s="303"/>
      <c r="Y385" s="303"/>
      <c r="Z385" s="303"/>
    </row>
    <row r="386" spans="1:26" x14ac:dyDescent="0.2">
      <c r="A386" s="303"/>
      <c r="B386" s="303"/>
      <c r="C386" s="303"/>
      <c r="D386" s="303"/>
      <c r="E386" s="303"/>
      <c r="F386" s="303"/>
      <c r="G386" s="303"/>
      <c r="H386" s="303"/>
      <c r="I386" s="303"/>
      <c r="J386" s="303"/>
      <c r="K386" s="303"/>
      <c r="L386" s="303"/>
      <c r="M386" s="303"/>
      <c r="N386" s="303"/>
      <c r="O386" s="303"/>
      <c r="P386" s="303"/>
      <c r="Q386" s="303"/>
      <c r="R386" s="303"/>
      <c r="S386" s="303"/>
      <c r="T386" s="303"/>
      <c r="U386" s="303"/>
      <c r="V386" s="303"/>
      <c r="W386" s="303"/>
      <c r="X386" s="303"/>
      <c r="Y386" s="303"/>
      <c r="Z386" s="303"/>
    </row>
    <row r="387" spans="1:26" x14ac:dyDescent="0.2">
      <c r="A387" s="303"/>
      <c r="B387" s="303"/>
      <c r="C387" s="303"/>
      <c r="D387" s="303"/>
      <c r="E387" s="303"/>
      <c r="F387" s="303"/>
      <c r="G387" s="303"/>
      <c r="H387" s="303"/>
      <c r="I387" s="303"/>
      <c r="J387" s="303"/>
      <c r="K387" s="303"/>
      <c r="L387" s="303"/>
      <c r="M387" s="303"/>
      <c r="N387" s="303"/>
      <c r="O387" s="303"/>
      <c r="P387" s="303"/>
      <c r="Q387" s="303"/>
      <c r="R387" s="303"/>
      <c r="S387" s="303"/>
      <c r="T387" s="303"/>
      <c r="U387" s="303"/>
      <c r="V387" s="303"/>
      <c r="W387" s="303"/>
      <c r="X387" s="303"/>
      <c r="Y387" s="303"/>
      <c r="Z387" s="303"/>
    </row>
    <row r="388" spans="1:26" x14ac:dyDescent="0.2">
      <c r="A388" s="303"/>
      <c r="B388" s="303"/>
      <c r="C388" s="303"/>
      <c r="D388" s="303"/>
      <c r="E388" s="303"/>
      <c r="F388" s="303"/>
      <c r="G388" s="303"/>
      <c r="H388" s="303"/>
      <c r="I388" s="303"/>
      <c r="J388" s="303"/>
      <c r="K388" s="303"/>
      <c r="L388" s="303"/>
      <c r="M388" s="303"/>
      <c r="N388" s="303"/>
      <c r="O388" s="303"/>
      <c r="P388" s="303"/>
      <c r="Q388" s="303"/>
      <c r="R388" s="303"/>
      <c r="S388" s="303"/>
      <c r="T388" s="303"/>
      <c r="U388" s="303"/>
      <c r="V388" s="303"/>
      <c r="W388" s="303"/>
      <c r="X388" s="303"/>
      <c r="Y388" s="303"/>
      <c r="Z388" s="303"/>
    </row>
    <row r="389" spans="1:26" x14ac:dyDescent="0.2">
      <c r="A389" s="303"/>
      <c r="B389" s="303"/>
      <c r="C389" s="303"/>
      <c r="D389" s="303"/>
      <c r="E389" s="303"/>
      <c r="F389" s="303"/>
      <c r="G389" s="303"/>
      <c r="H389" s="303"/>
      <c r="I389" s="303"/>
      <c r="J389" s="303"/>
      <c r="K389" s="303"/>
      <c r="L389" s="303"/>
      <c r="M389" s="303"/>
      <c r="N389" s="303"/>
      <c r="O389" s="303"/>
      <c r="P389" s="303"/>
      <c r="Q389" s="303"/>
      <c r="R389" s="303"/>
      <c r="S389" s="303"/>
      <c r="T389" s="303"/>
      <c r="U389" s="303"/>
      <c r="V389" s="303"/>
      <c r="W389" s="303"/>
      <c r="X389" s="303"/>
      <c r="Y389" s="303"/>
      <c r="Z389" s="303"/>
    </row>
    <row r="390" spans="1:26" x14ac:dyDescent="0.2">
      <c r="A390" s="303"/>
      <c r="B390" s="303"/>
      <c r="C390" s="303"/>
      <c r="D390" s="303"/>
      <c r="E390" s="303"/>
      <c r="F390" s="303"/>
      <c r="G390" s="303"/>
      <c r="H390" s="303"/>
      <c r="I390" s="303"/>
      <c r="J390" s="303"/>
      <c r="K390" s="303"/>
      <c r="L390" s="303"/>
      <c r="M390" s="303"/>
      <c r="N390" s="303"/>
      <c r="O390" s="303"/>
      <c r="P390" s="303"/>
      <c r="Q390" s="303"/>
      <c r="R390" s="303"/>
      <c r="S390" s="303"/>
      <c r="T390" s="303"/>
      <c r="U390" s="303"/>
      <c r="V390" s="303"/>
      <c r="W390" s="303"/>
      <c r="X390" s="303"/>
      <c r="Y390" s="303"/>
      <c r="Z390" s="303"/>
    </row>
    <row r="391" spans="1:26" x14ac:dyDescent="0.2">
      <c r="A391" s="303"/>
      <c r="B391" s="303"/>
      <c r="C391" s="303"/>
      <c r="D391" s="303"/>
      <c r="E391" s="303"/>
      <c r="F391" s="303"/>
      <c r="G391" s="303"/>
      <c r="H391" s="303"/>
      <c r="I391" s="303"/>
      <c r="J391" s="303"/>
      <c r="K391" s="303"/>
      <c r="L391" s="303"/>
      <c r="M391" s="303"/>
      <c r="N391" s="303"/>
      <c r="O391" s="303"/>
      <c r="P391" s="303"/>
      <c r="Q391" s="303"/>
      <c r="R391" s="303"/>
      <c r="S391" s="303"/>
      <c r="T391" s="303"/>
      <c r="U391" s="303"/>
      <c r="V391" s="303"/>
      <c r="W391" s="303"/>
      <c r="X391" s="303"/>
      <c r="Y391" s="303"/>
      <c r="Z391" s="303"/>
    </row>
    <row r="392" spans="1:26" x14ac:dyDescent="0.2">
      <c r="A392" s="303"/>
      <c r="B392" s="303"/>
      <c r="C392" s="303"/>
      <c r="D392" s="303"/>
      <c r="E392" s="303"/>
      <c r="F392" s="303"/>
      <c r="G392" s="303"/>
      <c r="H392" s="303"/>
      <c r="I392" s="303"/>
      <c r="J392" s="303"/>
      <c r="K392" s="303"/>
      <c r="L392" s="303"/>
      <c r="M392" s="303"/>
      <c r="N392" s="303"/>
      <c r="O392" s="303"/>
      <c r="P392" s="303"/>
      <c r="Q392" s="303"/>
      <c r="R392" s="303"/>
      <c r="S392" s="303"/>
      <c r="T392" s="303"/>
      <c r="U392" s="303"/>
      <c r="V392" s="303"/>
      <c r="W392" s="303"/>
      <c r="X392" s="303"/>
      <c r="Y392" s="303"/>
      <c r="Z392" s="303"/>
    </row>
    <row r="393" spans="1:26" x14ac:dyDescent="0.2">
      <c r="A393" s="303"/>
      <c r="B393" s="303"/>
      <c r="C393" s="303"/>
      <c r="D393" s="303"/>
      <c r="E393" s="303"/>
      <c r="F393" s="303"/>
      <c r="G393" s="303"/>
      <c r="H393" s="303"/>
      <c r="I393" s="303"/>
      <c r="J393" s="303"/>
      <c r="K393" s="303"/>
      <c r="L393" s="303"/>
      <c r="M393" s="303"/>
      <c r="N393" s="303"/>
      <c r="O393" s="303"/>
      <c r="P393" s="303"/>
      <c r="Q393" s="303"/>
      <c r="R393" s="303"/>
      <c r="S393" s="303"/>
      <c r="T393" s="303"/>
      <c r="U393" s="303"/>
      <c r="V393" s="303"/>
      <c r="W393" s="303"/>
      <c r="X393" s="303"/>
      <c r="Y393" s="303"/>
      <c r="Z393" s="303"/>
    </row>
    <row r="394" spans="1:26" x14ac:dyDescent="0.2">
      <c r="A394" s="303"/>
      <c r="B394" s="303"/>
      <c r="C394" s="303"/>
      <c r="D394" s="303"/>
      <c r="E394" s="303"/>
      <c r="F394" s="303"/>
      <c r="G394" s="303"/>
      <c r="H394" s="303"/>
      <c r="I394" s="303"/>
      <c r="J394" s="303"/>
      <c r="K394" s="303"/>
      <c r="L394" s="303"/>
      <c r="M394" s="303"/>
      <c r="N394" s="303"/>
      <c r="O394" s="303"/>
      <c r="P394" s="303"/>
      <c r="Q394" s="303"/>
      <c r="R394" s="303"/>
      <c r="S394" s="303"/>
      <c r="T394" s="303"/>
      <c r="U394" s="303"/>
      <c r="V394" s="303"/>
      <c r="W394" s="303"/>
      <c r="X394" s="303"/>
      <c r="Y394" s="303"/>
      <c r="Z394" s="303"/>
    </row>
    <row r="395" spans="1:26" x14ac:dyDescent="0.2">
      <c r="A395" s="303"/>
      <c r="B395" s="303"/>
      <c r="C395" s="303"/>
      <c r="D395" s="303"/>
      <c r="E395" s="303"/>
      <c r="F395" s="303"/>
      <c r="G395" s="303"/>
      <c r="H395" s="303"/>
      <c r="I395" s="303"/>
      <c r="J395" s="303"/>
      <c r="K395" s="303"/>
      <c r="L395" s="303"/>
      <c r="M395" s="303"/>
      <c r="N395" s="303"/>
      <c r="O395" s="303"/>
      <c r="P395" s="303"/>
      <c r="Q395" s="303"/>
      <c r="R395" s="303"/>
      <c r="S395" s="303"/>
      <c r="T395" s="303"/>
      <c r="U395" s="303"/>
      <c r="V395" s="303"/>
      <c r="W395" s="303"/>
      <c r="X395" s="303"/>
      <c r="Y395" s="303"/>
      <c r="Z395" s="303"/>
    </row>
    <row r="396" spans="1:26" x14ac:dyDescent="0.2">
      <c r="A396" s="303"/>
      <c r="B396" s="303"/>
      <c r="C396" s="303"/>
      <c r="D396" s="303"/>
      <c r="E396" s="303"/>
      <c r="F396" s="303"/>
      <c r="G396" s="303"/>
      <c r="H396" s="303"/>
      <c r="I396" s="303"/>
      <c r="J396" s="303"/>
      <c r="K396" s="303"/>
      <c r="L396" s="303"/>
      <c r="M396" s="303"/>
      <c r="N396" s="303"/>
      <c r="O396" s="303"/>
      <c r="P396" s="303"/>
      <c r="Q396" s="303"/>
      <c r="R396" s="303"/>
      <c r="S396" s="303"/>
      <c r="T396" s="303"/>
      <c r="U396" s="303"/>
      <c r="V396" s="303"/>
      <c r="W396" s="303"/>
      <c r="X396" s="303"/>
      <c r="Y396" s="303"/>
      <c r="Z396" s="303"/>
    </row>
    <row r="397" spans="1:26" x14ac:dyDescent="0.2">
      <c r="A397" s="303"/>
      <c r="B397" s="303"/>
      <c r="C397" s="303"/>
      <c r="D397" s="303"/>
      <c r="E397" s="303"/>
      <c r="F397" s="303"/>
      <c r="G397" s="303"/>
      <c r="H397" s="303"/>
      <c r="I397" s="303"/>
      <c r="J397" s="303"/>
      <c r="K397" s="303"/>
      <c r="L397" s="303"/>
      <c r="M397" s="303"/>
      <c r="N397" s="303"/>
      <c r="O397" s="303"/>
      <c r="P397" s="303"/>
      <c r="Q397" s="303"/>
      <c r="R397" s="303"/>
      <c r="S397" s="303"/>
      <c r="T397" s="303"/>
      <c r="U397" s="303"/>
      <c r="V397" s="303"/>
      <c r="W397" s="303"/>
      <c r="X397" s="303"/>
      <c r="Y397" s="303"/>
      <c r="Z397" s="303"/>
    </row>
    <row r="398" spans="1:26" x14ac:dyDescent="0.2">
      <c r="A398" s="303"/>
      <c r="B398" s="303"/>
      <c r="C398" s="303"/>
      <c r="D398" s="303"/>
      <c r="E398" s="303"/>
      <c r="F398" s="303"/>
      <c r="G398" s="303"/>
      <c r="H398" s="303"/>
      <c r="I398" s="303"/>
      <c r="J398" s="303"/>
      <c r="K398" s="303"/>
      <c r="L398" s="303"/>
      <c r="M398" s="303"/>
      <c r="N398" s="303"/>
      <c r="O398" s="303"/>
      <c r="P398" s="303"/>
      <c r="Q398" s="303"/>
      <c r="R398" s="303"/>
      <c r="S398" s="303"/>
      <c r="T398" s="303"/>
      <c r="U398" s="303"/>
      <c r="V398" s="303"/>
      <c r="W398" s="303"/>
      <c r="X398" s="303"/>
      <c r="Y398" s="303"/>
      <c r="Z398" s="303"/>
    </row>
    <row r="399" spans="1:26" x14ac:dyDescent="0.2">
      <c r="A399" s="303"/>
      <c r="B399" s="303"/>
      <c r="C399" s="303"/>
      <c r="D399" s="303"/>
      <c r="E399" s="303"/>
      <c r="F399" s="303"/>
      <c r="G399" s="303"/>
      <c r="H399" s="303"/>
      <c r="I399" s="303"/>
      <c r="J399" s="303"/>
      <c r="K399" s="303"/>
      <c r="L399" s="303"/>
      <c r="M399" s="303"/>
      <c r="N399" s="303"/>
      <c r="O399" s="303"/>
      <c r="P399" s="303"/>
      <c r="Q399" s="303"/>
      <c r="R399" s="303"/>
      <c r="S399" s="303"/>
      <c r="T399" s="303"/>
      <c r="U399" s="303"/>
      <c r="V399" s="303"/>
      <c r="W399" s="303"/>
      <c r="X399" s="303"/>
      <c r="Y399" s="303"/>
      <c r="Z399" s="303"/>
    </row>
    <row r="400" spans="1:26" x14ac:dyDescent="0.2">
      <c r="A400" s="303"/>
      <c r="B400" s="303"/>
      <c r="C400" s="303"/>
      <c r="D400" s="303"/>
      <c r="E400" s="303"/>
      <c r="F400" s="303"/>
      <c r="G400" s="303"/>
      <c r="H400" s="303"/>
      <c r="I400" s="303"/>
      <c r="J400" s="303"/>
      <c r="K400" s="303"/>
      <c r="L400" s="303"/>
      <c r="M400" s="303"/>
      <c r="N400" s="303"/>
      <c r="O400" s="303"/>
      <c r="P400" s="303"/>
      <c r="Q400" s="303"/>
      <c r="R400" s="303"/>
      <c r="S400" s="303"/>
      <c r="T400" s="303"/>
      <c r="U400" s="303"/>
      <c r="V400" s="303"/>
      <c r="W400" s="303"/>
      <c r="X400" s="303"/>
      <c r="Y400" s="303"/>
      <c r="Z400" s="303"/>
    </row>
    <row r="401" spans="1:26" x14ac:dyDescent="0.2">
      <c r="A401" s="303"/>
      <c r="B401" s="303"/>
      <c r="C401" s="303"/>
      <c r="D401" s="303"/>
      <c r="E401" s="303"/>
      <c r="F401" s="303"/>
      <c r="G401" s="303"/>
      <c r="H401" s="303"/>
      <c r="I401" s="303"/>
      <c r="J401" s="303"/>
      <c r="K401" s="303"/>
      <c r="L401" s="303"/>
      <c r="M401" s="303"/>
      <c r="N401" s="303"/>
      <c r="O401" s="303"/>
      <c r="P401" s="303"/>
      <c r="Q401" s="303"/>
      <c r="R401" s="303"/>
      <c r="S401" s="303"/>
      <c r="T401" s="303"/>
      <c r="U401" s="303"/>
      <c r="V401" s="303"/>
      <c r="W401" s="303"/>
      <c r="X401" s="303"/>
      <c r="Y401" s="303"/>
      <c r="Z401" s="303"/>
    </row>
    <row r="402" spans="1:26" x14ac:dyDescent="0.2">
      <c r="A402" s="303"/>
      <c r="B402" s="303"/>
      <c r="C402" s="303"/>
      <c r="D402" s="303"/>
      <c r="E402" s="303"/>
      <c r="F402" s="303"/>
      <c r="G402" s="303"/>
      <c r="H402" s="303"/>
      <c r="I402" s="303"/>
      <c r="J402" s="303"/>
      <c r="K402" s="303"/>
      <c r="L402" s="303"/>
      <c r="M402" s="303"/>
      <c r="N402" s="303"/>
      <c r="O402" s="303"/>
      <c r="P402" s="303"/>
      <c r="Q402" s="303"/>
      <c r="R402" s="303"/>
      <c r="S402" s="303"/>
      <c r="T402" s="303"/>
      <c r="U402" s="303"/>
      <c r="V402" s="303"/>
      <c r="W402" s="303"/>
      <c r="X402" s="303"/>
      <c r="Y402" s="303"/>
      <c r="Z402" s="303"/>
    </row>
    <row r="403" spans="1:26" x14ac:dyDescent="0.2">
      <c r="A403" s="303"/>
      <c r="B403" s="303"/>
      <c r="C403" s="303"/>
      <c r="D403" s="303"/>
      <c r="E403" s="303"/>
      <c r="F403" s="303"/>
      <c r="G403" s="303"/>
      <c r="H403" s="303"/>
      <c r="I403" s="303"/>
      <c r="J403" s="303"/>
      <c r="K403" s="303"/>
      <c r="L403" s="303"/>
      <c r="M403" s="303"/>
      <c r="N403" s="303"/>
      <c r="O403" s="303"/>
      <c r="P403" s="303"/>
      <c r="Q403" s="303"/>
      <c r="R403" s="303"/>
      <c r="S403" s="303"/>
      <c r="T403" s="303"/>
      <c r="U403" s="303"/>
      <c r="V403" s="303"/>
      <c r="W403" s="303"/>
      <c r="X403" s="303"/>
      <c r="Y403" s="303"/>
      <c r="Z403" s="303"/>
    </row>
    <row r="404" spans="1:26" x14ac:dyDescent="0.2">
      <c r="A404" s="303"/>
      <c r="B404" s="303"/>
      <c r="C404" s="303"/>
      <c r="D404" s="303"/>
      <c r="E404" s="303"/>
      <c r="F404" s="303"/>
      <c r="G404" s="303"/>
      <c r="H404" s="303"/>
      <c r="I404" s="303"/>
      <c r="J404" s="303"/>
      <c r="K404" s="303"/>
      <c r="L404" s="303"/>
      <c r="M404" s="303"/>
      <c r="N404" s="303"/>
      <c r="O404" s="303"/>
      <c r="P404" s="303"/>
      <c r="Q404" s="303"/>
      <c r="R404" s="303"/>
      <c r="S404" s="303"/>
      <c r="T404" s="303"/>
      <c r="U404" s="303"/>
      <c r="V404" s="303"/>
      <c r="W404" s="303"/>
      <c r="X404" s="303"/>
      <c r="Y404" s="303"/>
      <c r="Z404" s="303"/>
    </row>
    <row r="405" spans="1:26" x14ac:dyDescent="0.2">
      <c r="A405" s="303"/>
      <c r="B405" s="303"/>
      <c r="C405" s="303"/>
      <c r="D405" s="303"/>
      <c r="E405" s="303"/>
      <c r="F405" s="303"/>
      <c r="G405" s="303"/>
      <c r="H405" s="303"/>
      <c r="I405" s="303"/>
      <c r="J405" s="303"/>
      <c r="K405" s="303"/>
      <c r="L405" s="303"/>
      <c r="M405" s="303"/>
      <c r="N405" s="303"/>
      <c r="O405" s="303"/>
      <c r="P405" s="303"/>
      <c r="Q405" s="303"/>
      <c r="R405" s="303"/>
      <c r="S405" s="303"/>
      <c r="T405" s="303"/>
      <c r="U405" s="303"/>
      <c r="V405" s="303"/>
      <c r="W405" s="303"/>
      <c r="X405" s="303"/>
      <c r="Y405" s="303"/>
      <c r="Z405" s="303"/>
    </row>
    <row r="406" spans="1:26" x14ac:dyDescent="0.2">
      <c r="A406" s="303"/>
      <c r="B406" s="303"/>
      <c r="C406" s="303"/>
      <c r="D406" s="303"/>
      <c r="E406" s="303"/>
      <c r="F406" s="303"/>
      <c r="G406" s="303"/>
      <c r="H406" s="303"/>
      <c r="I406" s="303"/>
      <c r="J406" s="303"/>
      <c r="K406" s="303"/>
      <c r="L406" s="303"/>
      <c r="M406" s="303"/>
      <c r="N406" s="303"/>
      <c r="O406" s="303"/>
      <c r="P406" s="303"/>
      <c r="Q406" s="303"/>
      <c r="R406" s="303"/>
      <c r="S406" s="303"/>
      <c r="T406" s="303"/>
      <c r="U406" s="303"/>
      <c r="V406" s="303"/>
      <c r="W406" s="303"/>
      <c r="X406" s="303"/>
      <c r="Y406" s="303"/>
      <c r="Z406" s="303"/>
    </row>
    <row r="407" spans="1:26" x14ac:dyDescent="0.2">
      <c r="A407" s="303"/>
      <c r="B407" s="303"/>
      <c r="C407" s="303"/>
      <c r="D407" s="303"/>
      <c r="E407" s="303"/>
      <c r="F407" s="303"/>
      <c r="G407" s="303"/>
      <c r="H407" s="303"/>
      <c r="I407" s="303"/>
      <c r="J407" s="303"/>
      <c r="K407" s="303"/>
      <c r="L407" s="303"/>
      <c r="M407" s="303"/>
      <c r="N407" s="303"/>
      <c r="O407" s="303"/>
      <c r="P407" s="303"/>
      <c r="Q407" s="303"/>
      <c r="R407" s="303"/>
      <c r="S407" s="303"/>
      <c r="T407" s="303"/>
      <c r="U407" s="303"/>
      <c r="V407" s="303"/>
      <c r="W407" s="303"/>
      <c r="X407" s="303"/>
      <c r="Y407" s="303"/>
      <c r="Z407" s="303"/>
    </row>
    <row r="408" spans="1:26" x14ac:dyDescent="0.2">
      <c r="A408" s="303"/>
      <c r="B408" s="303"/>
      <c r="C408" s="303"/>
      <c r="D408" s="303"/>
      <c r="E408" s="303"/>
      <c r="F408" s="303"/>
      <c r="G408" s="303"/>
      <c r="H408" s="303"/>
      <c r="I408" s="303"/>
      <c r="J408" s="303"/>
      <c r="K408" s="303"/>
      <c r="L408" s="303"/>
      <c r="M408" s="303"/>
      <c r="N408" s="303"/>
      <c r="O408" s="303"/>
      <c r="P408" s="303"/>
      <c r="Q408" s="303"/>
      <c r="R408" s="303"/>
      <c r="S408" s="303"/>
      <c r="T408" s="303"/>
      <c r="U408" s="303"/>
      <c r="V408" s="303"/>
      <c r="W408" s="303"/>
      <c r="X408" s="303"/>
      <c r="Y408" s="303"/>
      <c r="Z408" s="303"/>
    </row>
    <row r="409" spans="1:26" x14ac:dyDescent="0.2">
      <c r="A409" s="303"/>
      <c r="B409" s="303"/>
      <c r="C409" s="303"/>
      <c r="D409" s="303"/>
      <c r="E409" s="303"/>
      <c r="F409" s="303"/>
      <c r="G409" s="303"/>
      <c r="H409" s="303"/>
      <c r="I409" s="303"/>
      <c r="J409" s="303"/>
      <c r="K409" s="303"/>
      <c r="L409" s="303"/>
      <c r="M409" s="303"/>
      <c r="N409" s="303"/>
      <c r="O409" s="303"/>
      <c r="P409" s="303"/>
      <c r="Q409" s="303"/>
      <c r="R409" s="303"/>
      <c r="S409" s="303"/>
      <c r="T409" s="303"/>
      <c r="U409" s="303"/>
      <c r="V409" s="303"/>
      <c r="W409" s="303"/>
      <c r="X409" s="303"/>
      <c r="Y409" s="303"/>
      <c r="Z409" s="303"/>
    </row>
    <row r="410" spans="1:26" x14ac:dyDescent="0.2">
      <c r="A410" s="303"/>
      <c r="B410" s="303"/>
      <c r="C410" s="303"/>
      <c r="D410" s="303"/>
      <c r="E410" s="303"/>
      <c r="F410" s="303"/>
      <c r="G410" s="303"/>
      <c r="H410" s="303"/>
      <c r="I410" s="303"/>
      <c r="J410" s="303"/>
      <c r="K410" s="303"/>
      <c r="L410" s="303"/>
      <c r="M410" s="303"/>
      <c r="N410" s="303"/>
      <c r="O410" s="303"/>
      <c r="P410" s="303"/>
      <c r="Q410" s="303"/>
      <c r="R410" s="303"/>
      <c r="S410" s="303"/>
      <c r="T410" s="303"/>
      <c r="U410" s="303"/>
      <c r="V410" s="303"/>
      <c r="W410" s="303"/>
      <c r="X410" s="303"/>
      <c r="Y410" s="303"/>
      <c r="Z410" s="303"/>
    </row>
    <row r="411" spans="1:26" x14ac:dyDescent="0.2">
      <c r="A411" s="303"/>
      <c r="B411" s="303"/>
      <c r="C411" s="303"/>
      <c r="D411" s="303"/>
      <c r="E411" s="303"/>
      <c r="F411" s="303"/>
      <c r="G411" s="303"/>
      <c r="H411" s="303"/>
      <c r="I411" s="303"/>
      <c r="J411" s="303"/>
      <c r="K411" s="303"/>
      <c r="L411" s="303"/>
      <c r="M411" s="303"/>
      <c r="N411" s="303"/>
      <c r="O411" s="303"/>
      <c r="P411" s="303"/>
      <c r="Q411" s="303"/>
      <c r="R411" s="303"/>
      <c r="S411" s="303"/>
      <c r="T411" s="303"/>
      <c r="U411" s="303"/>
      <c r="V411" s="303"/>
      <c r="W411" s="303"/>
      <c r="X411" s="303"/>
      <c r="Y411" s="303"/>
      <c r="Z411" s="303"/>
    </row>
    <row r="412" spans="1:26" x14ac:dyDescent="0.2">
      <c r="A412" s="303"/>
      <c r="B412" s="303"/>
      <c r="C412" s="303"/>
      <c r="D412" s="303"/>
      <c r="E412" s="303"/>
      <c r="F412" s="303"/>
      <c r="G412" s="303"/>
      <c r="H412" s="303"/>
      <c r="I412" s="303"/>
      <c r="J412" s="303"/>
      <c r="K412" s="303"/>
      <c r="L412" s="303"/>
      <c r="M412" s="303"/>
      <c r="N412" s="303"/>
      <c r="O412" s="303"/>
      <c r="P412" s="303"/>
      <c r="Q412" s="303"/>
      <c r="R412" s="303"/>
      <c r="S412" s="303"/>
      <c r="T412" s="303"/>
      <c r="U412" s="303"/>
      <c r="V412" s="303"/>
      <c r="W412" s="303"/>
      <c r="X412" s="303"/>
      <c r="Y412" s="303"/>
      <c r="Z412" s="303"/>
    </row>
    <row r="413" spans="1:26" x14ac:dyDescent="0.2">
      <c r="A413" s="303"/>
      <c r="B413" s="303"/>
      <c r="C413" s="303"/>
      <c r="D413" s="303"/>
      <c r="E413" s="303"/>
      <c r="F413" s="303"/>
      <c r="G413" s="303"/>
      <c r="H413" s="303"/>
      <c r="I413" s="303"/>
      <c r="J413" s="303"/>
      <c r="K413" s="303"/>
      <c r="L413" s="303"/>
      <c r="M413" s="303"/>
      <c r="N413" s="303"/>
      <c r="O413" s="303"/>
      <c r="P413" s="303"/>
      <c r="Q413" s="303"/>
      <c r="R413" s="303"/>
      <c r="S413" s="303"/>
      <c r="T413" s="303"/>
      <c r="U413" s="303"/>
      <c r="V413" s="303"/>
      <c r="W413" s="303"/>
      <c r="X413" s="303"/>
      <c r="Y413" s="303"/>
      <c r="Z413" s="303"/>
    </row>
    <row r="414" spans="1:26" x14ac:dyDescent="0.2">
      <c r="A414" s="303"/>
      <c r="B414" s="303"/>
      <c r="C414" s="303"/>
      <c r="D414" s="303"/>
      <c r="E414" s="303"/>
      <c r="F414" s="303"/>
      <c r="G414" s="303"/>
      <c r="H414" s="303"/>
      <c r="I414" s="303"/>
      <c r="J414" s="303"/>
      <c r="K414" s="303"/>
      <c r="L414" s="303"/>
      <c r="M414" s="303"/>
      <c r="N414" s="303"/>
      <c r="O414" s="303"/>
      <c r="P414" s="303"/>
      <c r="Q414" s="303"/>
      <c r="R414" s="303"/>
      <c r="S414" s="303"/>
      <c r="T414" s="303"/>
      <c r="U414" s="303"/>
      <c r="V414" s="303"/>
      <c r="W414" s="303"/>
      <c r="X414" s="303"/>
      <c r="Y414" s="303"/>
      <c r="Z414" s="303"/>
    </row>
    <row r="415" spans="1:26" x14ac:dyDescent="0.2">
      <c r="A415" s="303"/>
      <c r="B415" s="303"/>
      <c r="C415" s="303"/>
      <c r="D415" s="303"/>
      <c r="E415" s="303"/>
      <c r="F415" s="303"/>
      <c r="G415" s="303"/>
      <c r="H415" s="303"/>
      <c r="I415" s="303"/>
      <c r="J415" s="303"/>
      <c r="K415" s="303"/>
      <c r="L415" s="303"/>
      <c r="M415" s="303"/>
      <c r="N415" s="303"/>
      <c r="O415" s="303"/>
      <c r="P415" s="303"/>
      <c r="Q415" s="303"/>
      <c r="R415" s="303"/>
      <c r="S415" s="303"/>
      <c r="T415" s="303"/>
      <c r="U415" s="303"/>
      <c r="V415" s="303"/>
      <c r="W415" s="303"/>
      <c r="X415" s="303"/>
      <c r="Y415" s="303"/>
      <c r="Z415" s="303"/>
    </row>
    <row r="416" spans="1:26" x14ac:dyDescent="0.2">
      <c r="A416" s="303"/>
      <c r="B416" s="303"/>
      <c r="C416" s="303"/>
      <c r="D416" s="303"/>
      <c r="E416" s="303"/>
      <c r="F416" s="303"/>
      <c r="G416" s="303"/>
      <c r="H416" s="303"/>
      <c r="I416" s="303"/>
      <c r="J416" s="303"/>
      <c r="K416" s="303"/>
      <c r="L416" s="303"/>
      <c r="M416" s="303"/>
      <c r="N416" s="303"/>
      <c r="O416" s="303"/>
      <c r="P416" s="303"/>
      <c r="Q416" s="303"/>
      <c r="R416" s="303"/>
      <c r="S416" s="303"/>
      <c r="T416" s="303"/>
      <c r="U416" s="303"/>
      <c r="V416" s="303"/>
      <c r="W416" s="303"/>
      <c r="X416" s="303"/>
      <c r="Y416" s="303"/>
      <c r="Z416" s="303"/>
    </row>
    <row r="417" spans="1:26" x14ac:dyDescent="0.2">
      <c r="A417" s="303"/>
      <c r="B417" s="303"/>
      <c r="C417" s="303"/>
      <c r="D417" s="303"/>
      <c r="E417" s="303"/>
      <c r="F417" s="303"/>
      <c r="G417" s="303"/>
      <c r="H417" s="303"/>
      <c r="I417" s="303"/>
      <c r="J417" s="303"/>
      <c r="K417" s="303"/>
      <c r="L417" s="303"/>
      <c r="M417" s="303"/>
      <c r="N417" s="303"/>
      <c r="O417" s="303"/>
      <c r="P417" s="303"/>
      <c r="Q417" s="303"/>
      <c r="R417" s="303"/>
      <c r="S417" s="303"/>
      <c r="T417" s="303"/>
      <c r="U417" s="303"/>
      <c r="V417" s="303"/>
      <c r="W417" s="303"/>
      <c r="X417" s="303"/>
      <c r="Y417" s="303"/>
      <c r="Z417" s="303"/>
    </row>
    <row r="418" spans="1:26" x14ac:dyDescent="0.2">
      <c r="A418" s="303"/>
      <c r="B418" s="303"/>
      <c r="C418" s="303"/>
      <c r="D418" s="303"/>
      <c r="E418" s="303"/>
      <c r="F418" s="303"/>
      <c r="G418" s="303"/>
      <c r="H418" s="303"/>
      <c r="I418" s="303"/>
      <c r="J418" s="303"/>
      <c r="K418" s="303"/>
      <c r="L418" s="303"/>
      <c r="M418" s="303"/>
      <c r="N418" s="303"/>
      <c r="O418" s="303"/>
      <c r="P418" s="303"/>
      <c r="Q418" s="303"/>
      <c r="R418" s="303"/>
      <c r="S418" s="303"/>
      <c r="T418" s="303"/>
      <c r="U418" s="303"/>
      <c r="V418" s="303"/>
      <c r="W418" s="303"/>
      <c r="X418" s="303"/>
      <c r="Y418" s="303"/>
      <c r="Z418" s="303"/>
    </row>
    <row r="419" spans="1:26" x14ac:dyDescent="0.2">
      <c r="A419" s="303"/>
      <c r="B419" s="303"/>
      <c r="C419" s="303"/>
      <c r="D419" s="303"/>
      <c r="E419" s="303"/>
      <c r="F419" s="303"/>
      <c r="G419" s="303"/>
      <c r="H419" s="303"/>
      <c r="I419" s="303"/>
      <c r="J419" s="303"/>
      <c r="K419" s="303"/>
      <c r="L419" s="303"/>
      <c r="M419" s="303"/>
      <c r="N419" s="303"/>
      <c r="O419" s="303"/>
      <c r="P419" s="303"/>
      <c r="Q419" s="303"/>
      <c r="R419" s="303"/>
      <c r="S419" s="303"/>
      <c r="T419" s="303"/>
      <c r="U419" s="303"/>
      <c r="V419" s="303"/>
      <c r="W419" s="303"/>
      <c r="X419" s="303"/>
      <c r="Y419" s="303"/>
      <c r="Z419" s="303"/>
    </row>
    <row r="420" spans="1:26" x14ac:dyDescent="0.2">
      <c r="A420" s="303"/>
      <c r="B420" s="303"/>
      <c r="C420" s="303"/>
      <c r="D420" s="303"/>
      <c r="E420" s="303"/>
      <c r="F420" s="303"/>
      <c r="G420" s="303"/>
      <c r="H420" s="303"/>
      <c r="I420" s="303"/>
      <c r="J420" s="303"/>
      <c r="K420" s="303"/>
      <c r="L420" s="303"/>
      <c r="M420" s="303"/>
      <c r="N420" s="303"/>
      <c r="O420" s="303"/>
      <c r="P420" s="303"/>
      <c r="Q420" s="303"/>
      <c r="R420" s="303"/>
      <c r="S420" s="303"/>
      <c r="T420" s="303"/>
      <c r="U420" s="303"/>
      <c r="V420" s="303"/>
      <c r="W420" s="303"/>
      <c r="X420" s="303"/>
      <c r="Y420" s="303"/>
      <c r="Z420" s="303"/>
    </row>
    <row r="421" spans="1:26" x14ac:dyDescent="0.2">
      <c r="A421" s="303"/>
      <c r="B421" s="303"/>
      <c r="C421" s="303"/>
      <c r="D421" s="303"/>
      <c r="E421" s="303"/>
      <c r="F421" s="303"/>
      <c r="G421" s="303"/>
      <c r="H421" s="303"/>
      <c r="I421" s="303"/>
      <c r="J421" s="303"/>
      <c r="K421" s="303"/>
      <c r="L421" s="303"/>
      <c r="M421" s="303"/>
      <c r="N421" s="303"/>
      <c r="O421" s="303"/>
      <c r="P421" s="303"/>
      <c r="Q421" s="303"/>
      <c r="R421" s="303"/>
      <c r="S421" s="303"/>
      <c r="T421" s="303"/>
      <c r="U421" s="303"/>
      <c r="V421" s="303"/>
      <c r="W421" s="303"/>
      <c r="X421" s="303"/>
      <c r="Y421" s="303"/>
      <c r="Z421" s="303"/>
    </row>
    <row r="422" spans="1:26" x14ac:dyDescent="0.2">
      <c r="A422" s="303"/>
      <c r="B422" s="303"/>
      <c r="C422" s="303"/>
      <c r="D422" s="303"/>
      <c r="E422" s="303"/>
      <c r="F422" s="303"/>
      <c r="G422" s="303"/>
      <c r="H422" s="303"/>
      <c r="I422" s="303"/>
      <c r="J422" s="303"/>
      <c r="K422" s="303"/>
      <c r="L422" s="303"/>
      <c r="M422" s="303"/>
      <c r="N422" s="303"/>
      <c r="O422" s="303"/>
      <c r="P422" s="303"/>
      <c r="Q422" s="303"/>
      <c r="R422" s="303"/>
      <c r="S422" s="303"/>
      <c r="T422" s="303"/>
      <c r="U422" s="303"/>
      <c r="V422" s="303"/>
      <c r="W422" s="303"/>
      <c r="X422" s="303"/>
      <c r="Y422" s="303"/>
      <c r="Z422" s="303"/>
    </row>
    <row r="423" spans="1:26" x14ac:dyDescent="0.2">
      <c r="A423" s="303"/>
      <c r="B423" s="303"/>
      <c r="C423" s="303"/>
      <c r="D423" s="303"/>
      <c r="E423" s="303"/>
      <c r="F423" s="303"/>
      <c r="G423" s="303"/>
      <c r="H423" s="303"/>
      <c r="I423" s="303"/>
      <c r="J423" s="303"/>
      <c r="K423" s="303"/>
      <c r="L423" s="303"/>
      <c r="M423" s="303"/>
      <c r="N423" s="303"/>
      <c r="O423" s="303"/>
      <c r="P423" s="303"/>
      <c r="Q423" s="303"/>
      <c r="R423" s="303"/>
      <c r="S423" s="303"/>
      <c r="T423" s="303"/>
      <c r="U423" s="303"/>
      <c r="V423" s="303"/>
      <c r="W423" s="303"/>
      <c r="X423" s="303"/>
      <c r="Y423" s="303"/>
      <c r="Z423" s="303"/>
    </row>
    <row r="424" spans="1:26" x14ac:dyDescent="0.2">
      <c r="A424" s="303"/>
      <c r="B424" s="303"/>
      <c r="C424" s="303"/>
      <c r="D424" s="303"/>
      <c r="E424" s="303"/>
      <c r="F424" s="303"/>
      <c r="G424" s="303"/>
      <c r="H424" s="303"/>
      <c r="I424" s="303"/>
      <c r="J424" s="303"/>
      <c r="K424" s="303"/>
      <c r="L424" s="303"/>
      <c r="M424" s="303"/>
      <c r="N424" s="303"/>
      <c r="O424" s="303"/>
      <c r="P424" s="303"/>
      <c r="Q424" s="303"/>
      <c r="R424" s="303"/>
      <c r="S424" s="303"/>
      <c r="T424" s="303"/>
      <c r="U424" s="303"/>
      <c r="V424" s="303"/>
      <c r="W424" s="303"/>
      <c r="X424" s="303"/>
      <c r="Y424" s="303"/>
      <c r="Z424" s="303"/>
    </row>
    <row r="425" spans="1:26" x14ac:dyDescent="0.2">
      <c r="A425" s="303"/>
      <c r="B425" s="303"/>
      <c r="C425" s="303"/>
      <c r="D425" s="303"/>
      <c r="E425" s="303"/>
      <c r="F425" s="303"/>
      <c r="G425" s="303"/>
      <c r="H425" s="303"/>
      <c r="I425" s="303"/>
      <c r="J425" s="303"/>
      <c r="K425" s="303"/>
      <c r="L425" s="303"/>
      <c r="M425" s="303"/>
      <c r="N425" s="303"/>
      <c r="O425" s="303"/>
      <c r="P425" s="303"/>
      <c r="Q425" s="303"/>
      <c r="R425" s="303"/>
      <c r="S425" s="303"/>
      <c r="T425" s="303"/>
      <c r="U425" s="303"/>
      <c r="V425" s="303"/>
      <c r="W425" s="303"/>
      <c r="X425" s="303"/>
      <c r="Y425" s="303"/>
      <c r="Z425" s="303"/>
    </row>
    <row r="426" spans="1:26" x14ac:dyDescent="0.2">
      <c r="A426" s="303"/>
      <c r="B426" s="303"/>
      <c r="C426" s="303"/>
      <c r="D426" s="303"/>
      <c r="E426" s="303"/>
      <c r="F426" s="303"/>
      <c r="G426" s="303"/>
      <c r="H426" s="303"/>
      <c r="I426" s="303"/>
      <c r="J426" s="303"/>
      <c r="K426" s="303"/>
      <c r="L426" s="303"/>
      <c r="M426" s="303"/>
      <c r="N426" s="303"/>
      <c r="O426" s="303"/>
      <c r="P426" s="303"/>
      <c r="Q426" s="303"/>
      <c r="R426" s="303"/>
      <c r="S426" s="303"/>
      <c r="T426" s="303"/>
      <c r="U426" s="303"/>
      <c r="V426" s="303"/>
      <c r="W426" s="303"/>
      <c r="X426" s="303"/>
      <c r="Y426" s="303"/>
      <c r="Z426" s="303"/>
    </row>
    <row r="427" spans="1:26" x14ac:dyDescent="0.2">
      <c r="A427" s="303"/>
      <c r="B427" s="303"/>
      <c r="C427" s="303"/>
      <c r="D427" s="303"/>
      <c r="E427" s="303"/>
      <c r="F427" s="303"/>
      <c r="G427" s="303"/>
      <c r="H427" s="303"/>
      <c r="I427" s="303"/>
      <c r="J427" s="303"/>
      <c r="K427" s="303"/>
      <c r="L427" s="303"/>
      <c r="M427" s="303"/>
      <c r="N427" s="303"/>
      <c r="O427" s="303"/>
      <c r="P427" s="303"/>
      <c r="Q427" s="303"/>
      <c r="R427" s="303"/>
      <c r="S427" s="303"/>
      <c r="T427" s="303"/>
      <c r="U427" s="303"/>
      <c r="V427" s="303"/>
      <c r="W427" s="303"/>
      <c r="X427" s="303"/>
      <c r="Y427" s="303"/>
      <c r="Z427" s="303"/>
    </row>
    <row r="428" spans="1:26" x14ac:dyDescent="0.2">
      <c r="A428" s="303"/>
      <c r="B428" s="303"/>
      <c r="C428" s="303"/>
      <c r="D428" s="303"/>
      <c r="E428" s="303"/>
      <c r="F428" s="303"/>
      <c r="G428" s="303"/>
      <c r="H428" s="303"/>
      <c r="I428" s="303"/>
      <c r="J428" s="303"/>
      <c r="K428" s="303"/>
      <c r="L428" s="303"/>
      <c r="M428" s="303"/>
      <c r="N428" s="303"/>
      <c r="O428" s="303"/>
      <c r="P428" s="303"/>
      <c r="Q428" s="303"/>
      <c r="R428" s="303"/>
      <c r="S428" s="303"/>
      <c r="T428" s="303"/>
      <c r="U428" s="303"/>
      <c r="V428" s="303"/>
      <c r="W428" s="303"/>
      <c r="X428" s="303"/>
      <c r="Y428" s="303"/>
      <c r="Z428" s="303"/>
    </row>
    <row r="429" spans="1:26" x14ac:dyDescent="0.2">
      <c r="A429" s="303"/>
      <c r="B429" s="303"/>
      <c r="C429" s="303"/>
      <c r="D429" s="303"/>
      <c r="E429" s="303"/>
      <c r="F429" s="303"/>
      <c r="G429" s="303"/>
      <c r="H429" s="303"/>
      <c r="I429" s="303"/>
      <c r="J429" s="303"/>
      <c r="K429" s="303"/>
      <c r="L429" s="303"/>
      <c r="M429" s="303"/>
      <c r="N429" s="303"/>
      <c r="O429" s="303"/>
      <c r="P429" s="303"/>
      <c r="Q429" s="303"/>
      <c r="R429" s="303"/>
      <c r="S429" s="303"/>
      <c r="T429" s="303"/>
      <c r="U429" s="303"/>
      <c r="V429" s="303"/>
      <c r="W429" s="303"/>
      <c r="X429" s="303"/>
      <c r="Y429" s="303"/>
      <c r="Z429" s="303"/>
    </row>
    <row r="430" spans="1:26" x14ac:dyDescent="0.2">
      <c r="A430" s="303"/>
      <c r="B430" s="303"/>
      <c r="C430" s="303"/>
      <c r="D430" s="303"/>
      <c r="E430" s="303"/>
      <c r="F430" s="303"/>
      <c r="G430" s="303"/>
      <c r="H430" s="303"/>
      <c r="I430" s="303"/>
      <c r="J430" s="303"/>
      <c r="K430" s="303"/>
      <c r="L430" s="303"/>
      <c r="M430" s="303"/>
      <c r="N430" s="303"/>
      <c r="O430" s="303"/>
      <c r="P430" s="303"/>
      <c r="Q430" s="303"/>
      <c r="R430" s="303"/>
      <c r="S430" s="303"/>
      <c r="T430" s="303"/>
      <c r="U430" s="303"/>
      <c r="V430" s="303"/>
      <c r="W430" s="303"/>
      <c r="X430" s="303"/>
      <c r="Y430" s="303"/>
      <c r="Z430" s="303"/>
    </row>
    <row r="431" spans="1:26" x14ac:dyDescent="0.2">
      <c r="A431" s="303"/>
      <c r="B431" s="303"/>
      <c r="C431" s="303"/>
      <c r="D431" s="303"/>
      <c r="E431" s="303"/>
      <c r="F431" s="303"/>
      <c r="G431" s="303"/>
      <c r="H431" s="303"/>
      <c r="I431" s="303"/>
      <c r="J431" s="303"/>
      <c r="K431" s="303"/>
      <c r="L431" s="303"/>
      <c r="M431" s="303"/>
      <c r="N431" s="303"/>
      <c r="O431" s="303"/>
      <c r="P431" s="303"/>
      <c r="Q431" s="303"/>
      <c r="R431" s="303"/>
      <c r="S431" s="303"/>
      <c r="T431" s="303"/>
      <c r="U431" s="303"/>
      <c r="V431" s="303"/>
      <c r="W431" s="303"/>
      <c r="X431" s="303"/>
      <c r="Y431" s="303"/>
      <c r="Z431" s="303"/>
    </row>
    <row r="432" spans="1:26" x14ac:dyDescent="0.2">
      <c r="A432" s="303"/>
      <c r="B432" s="303"/>
      <c r="C432" s="303"/>
      <c r="D432" s="303"/>
      <c r="E432" s="303"/>
      <c r="F432" s="303"/>
      <c r="G432" s="303"/>
      <c r="H432" s="303"/>
      <c r="I432" s="303"/>
      <c r="J432" s="303"/>
      <c r="K432" s="303"/>
      <c r="L432" s="303"/>
      <c r="M432" s="303"/>
      <c r="N432" s="303"/>
      <c r="O432" s="303"/>
      <c r="P432" s="303"/>
      <c r="Q432" s="303"/>
      <c r="R432" s="303"/>
      <c r="S432" s="303"/>
      <c r="T432" s="303"/>
      <c r="U432" s="303"/>
      <c r="V432" s="303"/>
      <c r="W432" s="303"/>
      <c r="X432" s="303"/>
      <c r="Y432" s="303"/>
      <c r="Z432" s="303"/>
    </row>
    <row r="433" spans="1:26" x14ac:dyDescent="0.2">
      <c r="A433" s="303"/>
      <c r="B433" s="303"/>
      <c r="C433" s="303"/>
      <c r="D433" s="303"/>
      <c r="E433" s="303"/>
      <c r="F433" s="303"/>
      <c r="G433" s="303"/>
      <c r="H433" s="303"/>
      <c r="I433" s="303"/>
      <c r="J433" s="303"/>
      <c r="K433" s="303"/>
      <c r="L433" s="303"/>
      <c r="M433" s="303"/>
      <c r="N433" s="303"/>
      <c r="O433" s="303"/>
      <c r="P433" s="303"/>
      <c r="Q433" s="303"/>
      <c r="R433" s="303"/>
      <c r="S433" s="303"/>
      <c r="T433" s="303"/>
      <c r="U433" s="303"/>
      <c r="V433" s="303"/>
      <c r="W433" s="303"/>
      <c r="X433" s="303"/>
      <c r="Y433" s="303"/>
      <c r="Z433" s="303"/>
    </row>
    <row r="434" spans="1:26" x14ac:dyDescent="0.2">
      <c r="A434" s="303"/>
      <c r="B434" s="303"/>
      <c r="C434" s="303"/>
      <c r="D434" s="303"/>
      <c r="E434" s="303"/>
      <c r="F434" s="303"/>
      <c r="G434" s="303"/>
      <c r="H434" s="303"/>
      <c r="I434" s="303"/>
      <c r="J434" s="303"/>
      <c r="K434" s="303"/>
      <c r="L434" s="303"/>
      <c r="M434" s="303"/>
      <c r="N434" s="303"/>
      <c r="O434" s="303"/>
      <c r="P434" s="303"/>
      <c r="Q434" s="303"/>
      <c r="R434" s="303"/>
      <c r="S434" s="303"/>
      <c r="T434" s="303"/>
      <c r="U434" s="303"/>
      <c r="V434" s="303"/>
      <c r="W434" s="303"/>
      <c r="X434" s="303"/>
      <c r="Y434" s="303"/>
      <c r="Z434" s="303"/>
    </row>
    <row r="435" spans="1:26" x14ac:dyDescent="0.2">
      <c r="A435" s="303"/>
      <c r="B435" s="303"/>
      <c r="C435" s="303"/>
      <c r="D435" s="303"/>
      <c r="E435" s="303"/>
      <c r="F435" s="303"/>
      <c r="G435" s="303"/>
      <c r="H435" s="303"/>
      <c r="I435" s="303"/>
      <c r="J435" s="303"/>
      <c r="K435" s="303"/>
      <c r="L435" s="303"/>
      <c r="M435" s="303"/>
      <c r="N435" s="303"/>
      <c r="O435" s="303"/>
      <c r="P435" s="303"/>
      <c r="Q435" s="303"/>
      <c r="R435" s="303"/>
      <c r="S435" s="303"/>
      <c r="T435" s="303"/>
      <c r="U435" s="303"/>
      <c r="V435" s="303"/>
      <c r="W435" s="303"/>
      <c r="X435" s="303"/>
      <c r="Y435" s="303"/>
      <c r="Z435" s="303"/>
    </row>
    <row r="436" spans="1:26" x14ac:dyDescent="0.2">
      <c r="A436" s="303"/>
      <c r="B436" s="303"/>
      <c r="C436" s="303"/>
      <c r="D436" s="303"/>
      <c r="E436" s="303"/>
      <c r="F436" s="303"/>
      <c r="G436" s="303"/>
      <c r="H436" s="303"/>
      <c r="I436" s="303"/>
      <c r="J436" s="303"/>
      <c r="K436" s="303"/>
      <c r="L436" s="303"/>
      <c r="M436" s="303"/>
      <c r="N436" s="303"/>
      <c r="O436" s="303"/>
      <c r="P436" s="303"/>
      <c r="Q436" s="303"/>
      <c r="R436" s="303"/>
      <c r="S436" s="303"/>
      <c r="T436" s="303"/>
      <c r="U436" s="303"/>
      <c r="V436" s="303"/>
      <c r="W436" s="303"/>
      <c r="X436" s="303"/>
      <c r="Y436" s="303"/>
      <c r="Z436" s="303"/>
    </row>
    <row r="437" spans="1:26" x14ac:dyDescent="0.2">
      <c r="A437" s="303"/>
      <c r="B437" s="303"/>
      <c r="C437" s="303"/>
      <c r="D437" s="303"/>
      <c r="E437" s="303"/>
      <c r="F437" s="303"/>
      <c r="G437" s="303"/>
      <c r="H437" s="303"/>
      <c r="I437" s="303"/>
      <c r="J437" s="303"/>
      <c r="K437" s="303"/>
      <c r="L437" s="303"/>
      <c r="M437" s="303"/>
      <c r="N437" s="303"/>
      <c r="O437" s="303"/>
      <c r="P437" s="303"/>
      <c r="Q437" s="303"/>
      <c r="R437" s="303"/>
      <c r="S437" s="303"/>
      <c r="T437" s="303"/>
      <c r="U437" s="303"/>
      <c r="V437" s="303"/>
      <c r="W437" s="303"/>
      <c r="X437" s="303"/>
      <c r="Y437" s="303"/>
      <c r="Z437" s="303"/>
    </row>
    <row r="438" spans="1:26" x14ac:dyDescent="0.2">
      <c r="A438" s="303"/>
      <c r="B438" s="303"/>
      <c r="C438" s="303"/>
      <c r="D438" s="303"/>
      <c r="E438" s="303"/>
      <c r="F438" s="303"/>
      <c r="G438" s="303"/>
      <c r="H438" s="303"/>
      <c r="I438" s="303"/>
      <c r="J438" s="303"/>
      <c r="K438" s="303"/>
      <c r="L438" s="303"/>
      <c r="M438" s="303"/>
      <c r="N438" s="303"/>
      <c r="O438" s="303"/>
      <c r="P438" s="303"/>
      <c r="Q438" s="303"/>
      <c r="R438" s="303"/>
      <c r="S438" s="303"/>
      <c r="T438" s="303"/>
      <c r="U438" s="303"/>
      <c r="V438" s="303"/>
      <c r="W438" s="303"/>
      <c r="X438" s="303"/>
      <c r="Y438" s="303"/>
      <c r="Z438" s="303"/>
    </row>
    <row r="439" spans="1:26" x14ac:dyDescent="0.2">
      <c r="A439" s="303"/>
      <c r="B439" s="303"/>
      <c r="C439" s="303"/>
      <c r="D439" s="303"/>
      <c r="E439" s="303"/>
      <c r="F439" s="303"/>
      <c r="G439" s="303"/>
      <c r="H439" s="303"/>
      <c r="I439" s="303"/>
      <c r="J439" s="303"/>
      <c r="K439" s="303"/>
      <c r="L439" s="303"/>
      <c r="M439" s="303"/>
      <c r="N439" s="303"/>
      <c r="O439" s="303"/>
      <c r="P439" s="303"/>
      <c r="Q439" s="303"/>
      <c r="R439" s="303"/>
      <c r="S439" s="303"/>
      <c r="T439" s="303"/>
      <c r="U439" s="303"/>
      <c r="V439" s="303"/>
      <c r="W439" s="303"/>
      <c r="X439" s="303"/>
      <c r="Y439" s="303"/>
      <c r="Z439" s="303"/>
    </row>
    <row r="440" spans="1:26" x14ac:dyDescent="0.2">
      <c r="A440" s="303"/>
      <c r="B440" s="303"/>
      <c r="C440" s="303"/>
      <c r="D440" s="303"/>
      <c r="E440" s="303"/>
      <c r="F440" s="303"/>
      <c r="G440" s="303"/>
      <c r="H440" s="303"/>
      <c r="I440" s="303"/>
      <c r="J440" s="303"/>
      <c r="K440" s="303"/>
      <c r="L440" s="303"/>
      <c r="M440" s="303"/>
      <c r="N440" s="303"/>
      <c r="O440" s="303"/>
      <c r="P440" s="303"/>
      <c r="Q440" s="303"/>
      <c r="R440" s="303"/>
      <c r="S440" s="303"/>
      <c r="T440" s="303"/>
      <c r="U440" s="303"/>
      <c r="V440" s="303"/>
      <c r="W440" s="303"/>
      <c r="X440" s="303"/>
      <c r="Y440" s="303"/>
      <c r="Z440" s="303"/>
    </row>
    <row r="441" spans="1:26" x14ac:dyDescent="0.2">
      <c r="A441" s="303"/>
      <c r="B441" s="303"/>
      <c r="C441" s="303"/>
      <c r="D441" s="303"/>
      <c r="E441" s="303"/>
      <c r="F441" s="303"/>
      <c r="G441" s="303"/>
      <c r="H441" s="303"/>
      <c r="I441" s="303"/>
      <c r="J441" s="303"/>
      <c r="K441" s="303"/>
      <c r="L441" s="303"/>
      <c r="M441" s="303"/>
      <c r="N441" s="303"/>
      <c r="O441" s="303"/>
      <c r="P441" s="303"/>
      <c r="Q441" s="303"/>
      <c r="R441" s="303"/>
      <c r="S441" s="303"/>
      <c r="T441" s="303"/>
      <c r="U441" s="303"/>
      <c r="V441" s="303"/>
      <c r="W441" s="303"/>
      <c r="X441" s="303"/>
      <c r="Y441" s="303"/>
      <c r="Z441" s="303"/>
    </row>
    <row r="442" spans="1:26" x14ac:dyDescent="0.2">
      <c r="A442" s="303"/>
      <c r="B442" s="303"/>
      <c r="C442" s="303"/>
      <c r="D442" s="303"/>
      <c r="E442" s="303"/>
      <c r="F442" s="303"/>
      <c r="G442" s="303"/>
      <c r="H442" s="303"/>
      <c r="I442" s="303"/>
      <c r="J442" s="303"/>
      <c r="K442" s="303"/>
      <c r="L442" s="303"/>
      <c r="M442" s="303"/>
      <c r="N442" s="303"/>
      <c r="O442" s="303"/>
      <c r="P442" s="303"/>
      <c r="Q442" s="303"/>
      <c r="R442" s="303"/>
      <c r="S442" s="303"/>
      <c r="T442" s="303"/>
      <c r="U442" s="303"/>
      <c r="V442" s="303"/>
      <c r="W442" s="303"/>
      <c r="X442" s="303"/>
      <c r="Y442" s="303"/>
      <c r="Z442" s="303"/>
    </row>
    <row r="443" spans="1:26" x14ac:dyDescent="0.2">
      <c r="A443" s="303"/>
      <c r="B443" s="303"/>
      <c r="C443" s="303"/>
      <c r="D443" s="303"/>
      <c r="E443" s="303"/>
      <c r="F443" s="303"/>
      <c r="G443" s="303"/>
      <c r="H443" s="303"/>
      <c r="I443" s="303"/>
      <c r="J443" s="303"/>
      <c r="K443" s="303"/>
      <c r="L443" s="303"/>
      <c r="M443" s="303"/>
      <c r="N443" s="303"/>
      <c r="O443" s="303"/>
      <c r="P443" s="303"/>
      <c r="Q443" s="303"/>
      <c r="R443" s="303"/>
      <c r="S443" s="303"/>
      <c r="T443" s="303"/>
      <c r="U443" s="303"/>
      <c r="V443" s="303"/>
      <c r="W443" s="303"/>
      <c r="X443" s="303"/>
      <c r="Y443" s="303"/>
      <c r="Z443" s="303"/>
    </row>
    <row r="444" spans="1:26" x14ac:dyDescent="0.2">
      <c r="A444" s="303"/>
      <c r="B444" s="303"/>
      <c r="C444" s="303"/>
      <c r="D444" s="303"/>
      <c r="E444" s="303"/>
      <c r="F444" s="303"/>
      <c r="G444" s="303"/>
      <c r="H444" s="303"/>
      <c r="I444" s="303"/>
      <c r="J444" s="303"/>
      <c r="K444" s="303"/>
      <c r="L444" s="303"/>
      <c r="M444" s="303"/>
      <c r="N444" s="303"/>
      <c r="O444" s="303"/>
      <c r="P444" s="303"/>
      <c r="Q444" s="303"/>
      <c r="R444" s="303"/>
      <c r="S444" s="303"/>
      <c r="T444" s="303"/>
      <c r="U444" s="303"/>
      <c r="V444" s="303"/>
      <c r="W444" s="303"/>
      <c r="X444" s="303"/>
      <c r="Y444" s="303"/>
      <c r="Z444" s="303"/>
    </row>
    <row r="445" spans="1:26" x14ac:dyDescent="0.2">
      <c r="A445" s="303"/>
      <c r="B445" s="303"/>
      <c r="C445" s="303"/>
      <c r="D445" s="303"/>
      <c r="E445" s="303"/>
      <c r="F445" s="303"/>
      <c r="G445" s="303"/>
      <c r="H445" s="303"/>
      <c r="I445" s="303"/>
      <c r="J445" s="303"/>
      <c r="K445" s="303"/>
      <c r="L445" s="303"/>
      <c r="M445" s="303"/>
      <c r="N445" s="303"/>
      <c r="O445" s="303"/>
      <c r="P445" s="303"/>
      <c r="Q445" s="303"/>
      <c r="R445" s="303"/>
      <c r="S445" s="303"/>
      <c r="T445" s="303"/>
      <c r="U445" s="303"/>
      <c r="V445" s="303"/>
      <c r="W445" s="303"/>
      <c r="X445" s="303"/>
      <c r="Y445" s="303"/>
      <c r="Z445" s="303"/>
    </row>
    <row r="446" spans="1:26" x14ac:dyDescent="0.2">
      <c r="A446" s="303"/>
      <c r="B446" s="303"/>
      <c r="C446" s="303"/>
      <c r="D446" s="303"/>
      <c r="E446" s="303"/>
      <c r="F446" s="303"/>
      <c r="G446" s="303"/>
      <c r="H446" s="303"/>
      <c r="I446" s="303"/>
      <c r="J446" s="303"/>
      <c r="K446" s="303"/>
      <c r="L446" s="303"/>
      <c r="M446" s="303"/>
      <c r="N446" s="303"/>
      <c r="O446" s="303"/>
      <c r="P446" s="303"/>
      <c r="Q446" s="303"/>
      <c r="R446" s="303"/>
      <c r="S446" s="303"/>
      <c r="T446" s="303"/>
      <c r="U446" s="303"/>
      <c r="V446" s="303"/>
      <c r="W446" s="303"/>
      <c r="X446" s="303"/>
      <c r="Y446" s="303"/>
      <c r="Z446" s="303"/>
    </row>
    <row r="447" spans="1:26" x14ac:dyDescent="0.2">
      <c r="A447" s="303"/>
      <c r="B447" s="303"/>
      <c r="C447" s="303"/>
      <c r="D447" s="303"/>
      <c r="E447" s="303"/>
      <c r="F447" s="303"/>
      <c r="G447" s="303"/>
      <c r="H447" s="303"/>
      <c r="I447" s="303"/>
      <c r="J447" s="303"/>
      <c r="K447" s="303"/>
      <c r="L447" s="303"/>
      <c r="M447" s="303"/>
      <c r="N447" s="303"/>
      <c r="O447" s="303"/>
      <c r="P447" s="303"/>
      <c r="Q447" s="303"/>
      <c r="R447" s="303"/>
      <c r="S447" s="303"/>
      <c r="T447" s="303"/>
      <c r="U447" s="303"/>
      <c r="V447" s="303"/>
      <c r="W447" s="303"/>
      <c r="X447" s="303"/>
      <c r="Y447" s="303"/>
      <c r="Z447" s="303"/>
    </row>
    <row r="448" spans="1:26" x14ac:dyDescent="0.2">
      <c r="A448" s="303"/>
      <c r="B448" s="303"/>
      <c r="C448" s="303"/>
      <c r="D448" s="303"/>
      <c r="E448" s="303"/>
      <c r="F448" s="303"/>
      <c r="G448" s="303"/>
      <c r="H448" s="303"/>
      <c r="I448" s="303"/>
      <c r="J448" s="303"/>
      <c r="K448" s="303"/>
      <c r="L448" s="303"/>
      <c r="M448" s="303"/>
      <c r="N448" s="303"/>
      <c r="O448" s="303"/>
      <c r="P448" s="303"/>
      <c r="Q448" s="303"/>
      <c r="R448" s="303"/>
      <c r="S448" s="303"/>
      <c r="T448" s="303"/>
      <c r="U448" s="303"/>
      <c r="V448" s="303"/>
      <c r="W448" s="303"/>
      <c r="X448" s="303"/>
      <c r="Y448" s="303"/>
      <c r="Z448" s="303"/>
    </row>
    <row r="449" spans="1:26" x14ac:dyDescent="0.2">
      <c r="A449" s="303"/>
      <c r="B449" s="303"/>
      <c r="C449" s="303"/>
      <c r="D449" s="303"/>
      <c r="E449" s="303"/>
      <c r="F449" s="303"/>
      <c r="G449" s="303"/>
      <c r="H449" s="303"/>
      <c r="I449" s="303"/>
      <c r="J449" s="303"/>
      <c r="K449" s="303"/>
      <c r="L449" s="303"/>
      <c r="M449" s="303"/>
      <c r="N449" s="303"/>
      <c r="O449" s="303"/>
      <c r="P449" s="303"/>
      <c r="Q449" s="303"/>
      <c r="R449" s="303"/>
      <c r="S449" s="303"/>
      <c r="T449" s="303"/>
      <c r="U449" s="303"/>
      <c r="V449" s="303"/>
      <c r="W449" s="303"/>
      <c r="X449" s="303"/>
      <c r="Y449" s="303"/>
      <c r="Z449" s="303"/>
    </row>
    <row r="450" spans="1:26" x14ac:dyDescent="0.2">
      <c r="A450" s="303"/>
      <c r="B450" s="303"/>
      <c r="C450" s="303"/>
      <c r="D450" s="303"/>
      <c r="E450" s="303"/>
      <c r="F450" s="303"/>
      <c r="G450" s="303"/>
      <c r="H450" s="303"/>
      <c r="I450" s="303"/>
      <c r="J450" s="303"/>
      <c r="K450" s="303"/>
      <c r="L450" s="303"/>
      <c r="M450" s="303"/>
      <c r="N450" s="303"/>
      <c r="O450" s="303"/>
      <c r="P450" s="303"/>
      <c r="Q450" s="303"/>
      <c r="R450" s="303"/>
      <c r="S450" s="303"/>
      <c r="T450" s="303"/>
      <c r="U450" s="303"/>
      <c r="V450" s="303"/>
      <c r="W450" s="303"/>
      <c r="X450" s="303"/>
      <c r="Y450" s="303"/>
      <c r="Z450" s="303"/>
    </row>
    <row r="451" spans="1:26" x14ac:dyDescent="0.2">
      <c r="A451" s="303"/>
      <c r="B451" s="303"/>
      <c r="C451" s="303"/>
      <c r="D451" s="303"/>
      <c r="E451" s="303"/>
      <c r="F451" s="303"/>
      <c r="G451" s="303"/>
      <c r="H451" s="303"/>
      <c r="I451" s="303"/>
      <c r="J451" s="303"/>
      <c r="K451" s="303"/>
      <c r="L451" s="303"/>
      <c r="M451" s="303"/>
      <c r="N451" s="303"/>
      <c r="O451" s="303"/>
      <c r="P451" s="303"/>
      <c r="Q451" s="303"/>
      <c r="R451" s="303"/>
      <c r="S451" s="303"/>
      <c r="T451" s="303"/>
      <c r="U451" s="303"/>
      <c r="V451" s="303"/>
      <c r="W451" s="303"/>
      <c r="X451" s="303"/>
      <c r="Y451" s="303"/>
      <c r="Z451" s="303"/>
    </row>
    <row r="452" spans="1:26" x14ac:dyDescent="0.2">
      <c r="A452" s="303"/>
      <c r="B452" s="303"/>
      <c r="C452" s="303"/>
      <c r="D452" s="303"/>
      <c r="E452" s="303"/>
      <c r="F452" s="303"/>
      <c r="G452" s="303"/>
      <c r="H452" s="303"/>
      <c r="I452" s="303"/>
      <c r="J452" s="303"/>
      <c r="K452" s="303"/>
      <c r="L452" s="303"/>
      <c r="M452" s="303"/>
      <c r="N452" s="303"/>
      <c r="O452" s="303"/>
      <c r="P452" s="303"/>
      <c r="Q452" s="303"/>
      <c r="R452" s="303"/>
      <c r="S452" s="303"/>
      <c r="T452" s="303"/>
      <c r="U452" s="303"/>
      <c r="V452" s="303"/>
      <c r="W452" s="303"/>
      <c r="X452" s="303"/>
      <c r="Y452" s="303"/>
      <c r="Z452" s="303"/>
    </row>
    <row r="453" spans="1:26" x14ac:dyDescent="0.2">
      <c r="A453" s="303"/>
      <c r="B453" s="303"/>
      <c r="C453" s="303"/>
      <c r="D453" s="303"/>
      <c r="E453" s="303"/>
      <c r="F453" s="303"/>
      <c r="G453" s="303"/>
      <c r="H453" s="303"/>
      <c r="I453" s="303"/>
      <c r="J453" s="303"/>
      <c r="K453" s="303"/>
      <c r="L453" s="303"/>
      <c r="M453" s="303"/>
      <c r="N453" s="303"/>
      <c r="O453" s="303"/>
      <c r="P453" s="303"/>
      <c r="Q453" s="303"/>
      <c r="R453" s="303"/>
      <c r="S453" s="303"/>
      <c r="T453" s="303"/>
      <c r="U453" s="303"/>
      <c r="V453" s="303"/>
      <c r="W453" s="303"/>
      <c r="X453" s="303"/>
      <c r="Y453" s="303"/>
      <c r="Z453" s="303"/>
    </row>
    <row r="454" spans="1:26" x14ac:dyDescent="0.2">
      <c r="A454" s="303"/>
      <c r="B454" s="303"/>
      <c r="C454" s="303"/>
      <c r="D454" s="303"/>
      <c r="E454" s="303"/>
      <c r="F454" s="303"/>
      <c r="G454" s="303"/>
      <c r="H454" s="303"/>
      <c r="I454" s="303"/>
      <c r="J454" s="303"/>
      <c r="K454" s="303"/>
      <c r="L454" s="303"/>
      <c r="M454" s="303"/>
      <c r="N454" s="303"/>
      <c r="O454" s="303"/>
      <c r="P454" s="303"/>
      <c r="Q454" s="303"/>
      <c r="R454" s="303"/>
      <c r="S454" s="303"/>
      <c r="T454" s="303"/>
      <c r="U454" s="303"/>
      <c r="V454" s="303"/>
      <c r="W454" s="303"/>
      <c r="X454" s="303"/>
      <c r="Y454" s="303"/>
      <c r="Z454" s="303"/>
    </row>
    <row r="455" spans="1:26" x14ac:dyDescent="0.2">
      <c r="A455" s="303"/>
      <c r="B455" s="303"/>
      <c r="C455" s="303"/>
      <c r="D455" s="303"/>
      <c r="E455" s="303"/>
      <c r="F455" s="303"/>
      <c r="G455" s="303"/>
      <c r="H455" s="303"/>
      <c r="I455" s="303"/>
      <c r="J455" s="303"/>
      <c r="K455" s="303"/>
      <c r="L455" s="303"/>
      <c r="M455" s="303"/>
      <c r="N455" s="303"/>
      <c r="O455" s="303"/>
      <c r="P455" s="303"/>
      <c r="Q455" s="303"/>
      <c r="R455" s="303"/>
      <c r="S455" s="303"/>
      <c r="T455" s="303"/>
      <c r="U455" s="303"/>
      <c r="V455" s="303"/>
      <c r="W455" s="303"/>
      <c r="X455" s="303"/>
      <c r="Y455" s="303"/>
      <c r="Z455" s="303"/>
    </row>
    <row r="456" spans="1:26" x14ac:dyDescent="0.2">
      <c r="A456" s="303"/>
      <c r="B456" s="303"/>
      <c r="C456" s="303"/>
      <c r="D456" s="303"/>
      <c r="E456" s="303"/>
      <c r="F456" s="303"/>
      <c r="G456" s="303"/>
      <c r="H456" s="303"/>
      <c r="I456" s="303"/>
      <c r="J456" s="303"/>
      <c r="K456" s="303"/>
      <c r="L456" s="303"/>
      <c r="M456" s="303"/>
      <c r="N456" s="303"/>
      <c r="O456" s="303"/>
      <c r="P456" s="303"/>
      <c r="Q456" s="303"/>
      <c r="R456" s="303"/>
      <c r="S456" s="303"/>
      <c r="T456" s="303"/>
      <c r="U456" s="303"/>
      <c r="V456" s="303"/>
      <c r="W456" s="303"/>
      <c r="X456" s="303"/>
      <c r="Y456" s="303"/>
      <c r="Z456" s="303"/>
    </row>
    <row r="457" spans="1:26" x14ac:dyDescent="0.2">
      <c r="A457" s="303"/>
      <c r="B457" s="303"/>
      <c r="C457" s="303"/>
      <c r="D457" s="303"/>
      <c r="E457" s="303"/>
      <c r="F457" s="303"/>
      <c r="G457" s="303"/>
      <c r="H457" s="303"/>
      <c r="I457" s="303"/>
      <c r="J457" s="303"/>
      <c r="K457" s="303"/>
      <c r="L457" s="303"/>
      <c r="M457" s="303"/>
      <c r="N457" s="303"/>
      <c r="O457" s="303"/>
      <c r="P457" s="303"/>
      <c r="Q457" s="303"/>
      <c r="R457" s="303"/>
      <c r="S457" s="303"/>
      <c r="T457" s="303"/>
      <c r="U457" s="303"/>
      <c r="V457" s="303"/>
      <c r="W457" s="303"/>
      <c r="X457" s="303"/>
      <c r="Y457" s="303"/>
      <c r="Z457" s="303"/>
    </row>
    <row r="458" spans="1:26" x14ac:dyDescent="0.2">
      <c r="A458" s="303"/>
      <c r="B458" s="303"/>
      <c r="C458" s="303"/>
      <c r="D458" s="303"/>
      <c r="E458" s="303"/>
      <c r="F458" s="303"/>
      <c r="G458" s="303"/>
      <c r="H458" s="303"/>
      <c r="I458" s="303"/>
      <c r="J458" s="303"/>
      <c r="K458" s="303"/>
      <c r="L458" s="303"/>
      <c r="M458" s="303"/>
      <c r="N458" s="303"/>
      <c r="O458" s="303"/>
      <c r="P458" s="303"/>
      <c r="Q458" s="303"/>
      <c r="R458" s="303"/>
      <c r="S458" s="303"/>
      <c r="T458" s="303"/>
      <c r="U458" s="303"/>
      <c r="V458" s="303"/>
      <c r="W458" s="303"/>
      <c r="X458" s="303"/>
      <c r="Y458" s="303"/>
      <c r="Z458" s="303"/>
    </row>
    <row r="459" spans="1:26" x14ac:dyDescent="0.2">
      <c r="A459" s="303"/>
      <c r="B459" s="303"/>
      <c r="C459" s="303"/>
      <c r="D459" s="303"/>
      <c r="E459" s="303"/>
      <c r="F459" s="303"/>
      <c r="G459" s="303"/>
      <c r="H459" s="303"/>
      <c r="I459" s="303"/>
      <c r="J459" s="303"/>
      <c r="K459" s="303"/>
      <c r="L459" s="303"/>
      <c r="M459" s="303"/>
      <c r="N459" s="303"/>
      <c r="O459" s="303"/>
      <c r="P459" s="303"/>
      <c r="Q459" s="303"/>
      <c r="R459" s="303"/>
      <c r="S459" s="303"/>
      <c r="T459" s="303"/>
      <c r="U459" s="303"/>
      <c r="V459" s="303"/>
      <c r="W459" s="303"/>
      <c r="X459" s="303"/>
      <c r="Y459" s="303"/>
      <c r="Z459" s="303"/>
    </row>
    <row r="460" spans="1:26" x14ac:dyDescent="0.2">
      <c r="A460" s="303"/>
      <c r="B460" s="303"/>
      <c r="C460" s="303"/>
      <c r="D460" s="303"/>
      <c r="E460" s="303"/>
      <c r="F460" s="303"/>
      <c r="G460" s="303"/>
      <c r="H460" s="303"/>
      <c r="I460" s="303"/>
      <c r="J460" s="303"/>
      <c r="K460" s="303"/>
      <c r="L460" s="303"/>
      <c r="M460" s="303"/>
      <c r="N460" s="303"/>
      <c r="O460" s="303"/>
      <c r="P460" s="303"/>
      <c r="Q460" s="303"/>
      <c r="R460" s="303"/>
      <c r="S460" s="303"/>
      <c r="T460" s="303"/>
      <c r="U460" s="303"/>
      <c r="V460" s="303"/>
      <c r="W460" s="303"/>
      <c r="X460" s="303"/>
      <c r="Y460" s="303"/>
      <c r="Z460" s="303"/>
    </row>
    <row r="461" spans="1:26" x14ac:dyDescent="0.2">
      <c r="A461" s="303"/>
      <c r="B461" s="303"/>
      <c r="C461" s="303"/>
      <c r="D461" s="303"/>
      <c r="E461" s="303"/>
      <c r="F461" s="303"/>
      <c r="G461" s="303"/>
      <c r="H461" s="303"/>
      <c r="I461" s="303"/>
      <c r="J461" s="303"/>
      <c r="K461" s="303"/>
      <c r="L461" s="303"/>
      <c r="M461" s="303"/>
      <c r="N461" s="303"/>
      <c r="O461" s="303"/>
      <c r="P461" s="303"/>
      <c r="Q461" s="303"/>
      <c r="R461" s="303"/>
      <c r="S461" s="303"/>
      <c r="T461" s="303"/>
      <c r="U461" s="303"/>
      <c r="V461" s="303"/>
      <c r="W461" s="303"/>
      <c r="X461" s="303"/>
      <c r="Y461" s="303"/>
      <c r="Z461" s="303"/>
    </row>
    <row r="462" spans="1:26" x14ac:dyDescent="0.2">
      <c r="A462" s="303"/>
      <c r="B462" s="303"/>
      <c r="C462" s="303"/>
      <c r="D462" s="303"/>
      <c r="E462" s="303"/>
      <c r="F462" s="303"/>
      <c r="G462" s="303"/>
      <c r="H462" s="303"/>
      <c r="I462" s="303"/>
      <c r="J462" s="303"/>
      <c r="K462" s="303"/>
      <c r="L462" s="303"/>
      <c r="M462" s="303"/>
      <c r="N462" s="303"/>
      <c r="O462" s="303"/>
      <c r="P462" s="303"/>
      <c r="Q462" s="303"/>
      <c r="R462" s="303"/>
      <c r="S462" s="303"/>
      <c r="T462" s="303"/>
      <c r="U462" s="303"/>
      <c r="V462" s="303"/>
      <c r="W462" s="303"/>
      <c r="X462" s="303"/>
      <c r="Y462" s="303"/>
      <c r="Z462" s="303"/>
    </row>
    <row r="463" spans="1:26" x14ac:dyDescent="0.2">
      <c r="A463" s="303"/>
      <c r="B463" s="303"/>
      <c r="C463" s="303"/>
      <c r="D463" s="303"/>
      <c r="E463" s="303"/>
      <c r="F463" s="303"/>
      <c r="G463" s="303"/>
      <c r="H463" s="303"/>
      <c r="I463" s="303"/>
      <c r="J463" s="303"/>
      <c r="K463" s="303"/>
      <c r="L463" s="303"/>
      <c r="M463" s="303"/>
      <c r="N463" s="303"/>
      <c r="O463" s="303"/>
      <c r="P463" s="303"/>
      <c r="Q463" s="303"/>
      <c r="R463" s="303"/>
      <c r="S463" s="303"/>
      <c r="T463" s="303"/>
      <c r="U463" s="303"/>
      <c r="V463" s="303"/>
      <c r="W463" s="303"/>
      <c r="X463" s="303"/>
      <c r="Y463" s="303"/>
      <c r="Z463" s="303"/>
    </row>
    <row r="464" spans="1:26" x14ac:dyDescent="0.2">
      <c r="A464" s="303"/>
      <c r="B464" s="303"/>
      <c r="C464" s="303"/>
      <c r="D464" s="303"/>
      <c r="E464" s="303"/>
      <c r="F464" s="303"/>
      <c r="G464" s="303"/>
      <c r="H464" s="303"/>
      <c r="I464" s="303"/>
      <c r="J464" s="303"/>
      <c r="K464" s="303"/>
      <c r="L464" s="303"/>
      <c r="M464" s="303"/>
      <c r="N464" s="303"/>
      <c r="O464" s="303"/>
      <c r="P464" s="303"/>
      <c r="Q464" s="303"/>
      <c r="R464" s="303"/>
      <c r="S464" s="303"/>
      <c r="T464" s="303"/>
      <c r="U464" s="303"/>
      <c r="V464" s="303"/>
      <c r="W464" s="303"/>
      <c r="X464" s="303"/>
      <c r="Y464" s="303"/>
      <c r="Z464" s="303"/>
    </row>
    <row r="465" spans="1:26" x14ac:dyDescent="0.2">
      <c r="A465" s="303"/>
      <c r="B465" s="303"/>
      <c r="C465" s="303"/>
      <c r="D465" s="303"/>
      <c r="E465" s="303"/>
      <c r="F465" s="303"/>
      <c r="G465" s="303"/>
      <c r="H465" s="303"/>
      <c r="I465" s="303"/>
      <c r="J465" s="303"/>
      <c r="K465" s="303"/>
      <c r="L465" s="303"/>
      <c r="M465" s="303"/>
      <c r="N465" s="303"/>
      <c r="O465" s="303"/>
      <c r="P465" s="303"/>
      <c r="Q465" s="303"/>
      <c r="R465" s="303"/>
      <c r="S465" s="303"/>
      <c r="T465" s="303"/>
      <c r="U465" s="303"/>
      <c r="V465" s="303"/>
      <c r="W465" s="303"/>
      <c r="X465" s="303"/>
      <c r="Y465" s="303"/>
      <c r="Z465" s="303"/>
    </row>
    <row r="466" spans="1:26" x14ac:dyDescent="0.2">
      <c r="A466" s="303"/>
      <c r="B466" s="303"/>
      <c r="C466" s="303"/>
      <c r="D466" s="303"/>
      <c r="E466" s="303"/>
      <c r="F466" s="303"/>
      <c r="G466" s="303"/>
      <c r="H466" s="303"/>
      <c r="I466" s="303"/>
      <c r="J466" s="303"/>
      <c r="K466" s="303"/>
      <c r="L466" s="303"/>
      <c r="M466" s="303"/>
      <c r="N466" s="303"/>
      <c r="O466" s="303"/>
      <c r="P466" s="303"/>
      <c r="Q466" s="303"/>
      <c r="R466" s="303"/>
      <c r="S466" s="303"/>
      <c r="T466" s="303"/>
      <c r="U466" s="303"/>
      <c r="V466" s="303"/>
      <c r="W466" s="303"/>
      <c r="X466" s="303"/>
      <c r="Y466" s="303"/>
      <c r="Z466" s="303"/>
    </row>
    <row r="467" spans="1:26" x14ac:dyDescent="0.2">
      <c r="A467" s="303"/>
      <c r="B467" s="303"/>
      <c r="C467" s="303"/>
      <c r="D467" s="303"/>
      <c r="E467" s="303"/>
      <c r="F467" s="303"/>
      <c r="G467" s="303"/>
      <c r="H467" s="303"/>
      <c r="I467" s="303"/>
      <c r="J467" s="303"/>
      <c r="K467" s="303"/>
      <c r="L467" s="303"/>
      <c r="M467" s="303"/>
      <c r="N467" s="303"/>
      <c r="O467" s="303"/>
      <c r="P467" s="303"/>
      <c r="Q467" s="303"/>
      <c r="R467" s="303"/>
      <c r="S467" s="303"/>
      <c r="T467" s="303"/>
      <c r="U467" s="303"/>
      <c r="V467" s="303"/>
      <c r="W467" s="303"/>
      <c r="X467" s="303"/>
      <c r="Y467" s="303"/>
      <c r="Z467" s="303"/>
    </row>
    <row r="468" spans="1:26" x14ac:dyDescent="0.2">
      <c r="A468" s="303"/>
      <c r="B468" s="303"/>
      <c r="C468" s="303"/>
      <c r="D468" s="303"/>
      <c r="E468" s="303"/>
      <c r="F468" s="303"/>
      <c r="G468" s="303"/>
      <c r="H468" s="303"/>
      <c r="I468" s="303"/>
      <c r="J468" s="303"/>
      <c r="K468" s="303"/>
      <c r="L468" s="303"/>
      <c r="M468" s="303"/>
      <c r="N468" s="303"/>
      <c r="O468" s="303"/>
      <c r="P468" s="303"/>
      <c r="Q468" s="303"/>
      <c r="R468" s="303"/>
      <c r="S468" s="303"/>
      <c r="T468" s="303"/>
      <c r="U468" s="303"/>
      <c r="V468" s="303"/>
      <c r="W468" s="303"/>
      <c r="X468" s="303"/>
      <c r="Y468" s="303"/>
      <c r="Z468" s="303"/>
    </row>
    <row r="469" spans="1:26" x14ac:dyDescent="0.2">
      <c r="A469" s="303"/>
      <c r="B469" s="303"/>
      <c r="C469" s="303"/>
      <c r="D469" s="303"/>
      <c r="E469" s="303"/>
      <c r="F469" s="303"/>
      <c r="G469" s="303"/>
      <c r="H469" s="303"/>
      <c r="I469" s="303"/>
      <c r="J469" s="303"/>
      <c r="K469" s="303"/>
      <c r="L469" s="303"/>
      <c r="M469" s="303"/>
      <c r="N469" s="303"/>
      <c r="O469" s="303"/>
      <c r="P469" s="303"/>
      <c r="Q469" s="303"/>
      <c r="R469" s="303"/>
      <c r="S469" s="303"/>
      <c r="T469" s="303"/>
      <c r="U469" s="303"/>
      <c r="V469" s="303"/>
      <c r="W469" s="303"/>
      <c r="X469" s="303"/>
      <c r="Y469" s="303"/>
      <c r="Z469" s="303"/>
    </row>
    <row r="470" spans="1:26" x14ac:dyDescent="0.2">
      <c r="A470" s="303"/>
      <c r="B470" s="303"/>
      <c r="C470" s="303"/>
      <c r="D470" s="303"/>
      <c r="E470" s="303"/>
      <c r="F470" s="303"/>
      <c r="G470" s="303"/>
      <c r="H470" s="303"/>
      <c r="I470" s="303"/>
      <c r="J470" s="303"/>
      <c r="K470" s="303"/>
      <c r="L470" s="303"/>
      <c r="M470" s="303"/>
      <c r="N470" s="303"/>
      <c r="O470" s="303"/>
      <c r="P470" s="303"/>
      <c r="Q470" s="303"/>
      <c r="R470" s="303"/>
      <c r="S470" s="303"/>
      <c r="T470" s="303"/>
      <c r="U470" s="303"/>
      <c r="V470" s="303"/>
      <c r="W470" s="303"/>
      <c r="X470" s="303"/>
      <c r="Y470" s="303"/>
      <c r="Z470" s="303"/>
    </row>
    <row r="471" spans="1:26" x14ac:dyDescent="0.2">
      <c r="A471" s="303"/>
      <c r="B471" s="303"/>
      <c r="C471" s="303"/>
      <c r="D471" s="303"/>
      <c r="E471" s="303"/>
      <c r="F471" s="303"/>
      <c r="G471" s="303"/>
      <c r="H471" s="303"/>
      <c r="I471" s="303"/>
      <c r="J471" s="303"/>
      <c r="K471" s="303"/>
      <c r="L471" s="303"/>
      <c r="M471" s="303"/>
      <c r="N471" s="303"/>
      <c r="O471" s="303"/>
      <c r="P471" s="303"/>
      <c r="Q471" s="303"/>
      <c r="R471" s="303"/>
      <c r="S471" s="303"/>
      <c r="T471" s="303"/>
      <c r="U471" s="303"/>
      <c r="V471" s="303"/>
      <c r="W471" s="303"/>
      <c r="X471" s="303"/>
      <c r="Y471" s="303"/>
      <c r="Z471" s="303"/>
    </row>
    <row r="472" spans="1:26" x14ac:dyDescent="0.2">
      <c r="A472" s="303"/>
      <c r="B472" s="303"/>
      <c r="C472" s="303"/>
      <c r="D472" s="303"/>
      <c r="E472" s="303"/>
      <c r="F472" s="303"/>
      <c r="G472" s="303"/>
      <c r="H472" s="303"/>
      <c r="I472" s="303"/>
      <c r="J472" s="303"/>
      <c r="K472" s="303"/>
      <c r="L472" s="303"/>
      <c r="M472" s="303"/>
      <c r="N472" s="303"/>
      <c r="O472" s="303"/>
      <c r="P472" s="303"/>
      <c r="Q472" s="303"/>
      <c r="R472" s="303"/>
      <c r="S472" s="303"/>
      <c r="T472" s="303"/>
      <c r="U472" s="303"/>
      <c r="V472" s="303"/>
      <c r="W472" s="303"/>
      <c r="X472" s="303"/>
      <c r="Y472" s="303"/>
      <c r="Z472" s="303"/>
    </row>
    <row r="473" spans="1:26" x14ac:dyDescent="0.2">
      <c r="A473" s="303"/>
      <c r="B473" s="303"/>
      <c r="C473" s="303"/>
      <c r="D473" s="303"/>
      <c r="E473" s="303"/>
      <c r="F473" s="303"/>
      <c r="G473" s="303"/>
      <c r="H473" s="303"/>
      <c r="I473" s="303"/>
      <c r="J473" s="303"/>
      <c r="K473" s="303"/>
      <c r="L473" s="303"/>
      <c r="M473" s="303"/>
      <c r="N473" s="303"/>
      <c r="O473" s="303"/>
      <c r="P473" s="303"/>
      <c r="Q473" s="303"/>
      <c r="R473" s="303"/>
      <c r="S473" s="303"/>
      <c r="T473" s="303"/>
      <c r="U473" s="303"/>
      <c r="V473" s="303"/>
      <c r="W473" s="303"/>
      <c r="X473" s="303"/>
      <c r="Y473" s="303"/>
      <c r="Z473" s="303"/>
    </row>
    <row r="474" spans="1:26" x14ac:dyDescent="0.2">
      <c r="A474" s="303"/>
      <c r="B474" s="303"/>
      <c r="C474" s="303"/>
      <c r="D474" s="303"/>
      <c r="E474" s="303"/>
      <c r="F474" s="303"/>
      <c r="G474" s="303"/>
      <c r="H474" s="303"/>
      <c r="I474" s="303"/>
      <c r="J474" s="303"/>
      <c r="K474" s="303"/>
      <c r="L474" s="303"/>
      <c r="M474" s="303"/>
      <c r="N474" s="303"/>
      <c r="O474" s="303"/>
      <c r="P474" s="303"/>
      <c r="Q474" s="303"/>
      <c r="R474" s="303"/>
      <c r="S474" s="303"/>
      <c r="T474" s="303"/>
      <c r="U474" s="303"/>
      <c r="V474" s="303"/>
      <c r="W474" s="303"/>
      <c r="X474" s="303"/>
      <c r="Y474" s="303"/>
      <c r="Z474" s="303"/>
    </row>
    <row r="475" spans="1:26" x14ac:dyDescent="0.2">
      <c r="A475" s="303"/>
      <c r="B475" s="303"/>
      <c r="C475" s="303"/>
      <c r="D475" s="303"/>
      <c r="E475" s="303"/>
      <c r="F475" s="303"/>
      <c r="G475" s="303"/>
      <c r="H475" s="303"/>
      <c r="I475" s="303"/>
      <c r="J475" s="303"/>
      <c r="K475" s="303"/>
      <c r="L475" s="303"/>
      <c r="M475" s="303"/>
      <c r="N475" s="303"/>
      <c r="O475" s="303"/>
      <c r="P475" s="303"/>
      <c r="Q475" s="303"/>
      <c r="R475" s="303"/>
      <c r="S475" s="303"/>
      <c r="T475" s="303"/>
      <c r="U475" s="303"/>
      <c r="V475" s="303"/>
      <c r="W475" s="303"/>
      <c r="X475" s="303"/>
      <c r="Y475" s="303"/>
      <c r="Z475" s="303"/>
    </row>
    <row r="476" spans="1:26" x14ac:dyDescent="0.2">
      <c r="A476" s="303"/>
      <c r="B476" s="303"/>
      <c r="C476" s="303"/>
      <c r="D476" s="303"/>
      <c r="E476" s="303"/>
      <c r="F476" s="303"/>
      <c r="G476" s="303"/>
      <c r="H476" s="303"/>
      <c r="I476" s="303"/>
      <c r="J476" s="303"/>
      <c r="K476" s="303"/>
      <c r="L476" s="303"/>
      <c r="M476" s="303"/>
      <c r="N476" s="303"/>
      <c r="O476" s="303"/>
      <c r="P476" s="303"/>
      <c r="Q476" s="303"/>
      <c r="R476" s="303"/>
      <c r="S476" s="303"/>
      <c r="T476" s="303"/>
      <c r="U476" s="303"/>
      <c r="V476" s="303"/>
      <c r="W476" s="303"/>
      <c r="X476" s="303"/>
      <c r="Y476" s="303"/>
      <c r="Z476" s="303"/>
    </row>
    <row r="477" spans="1:26" x14ac:dyDescent="0.2">
      <c r="A477" s="303"/>
      <c r="B477" s="303"/>
      <c r="C477" s="303"/>
      <c r="D477" s="303"/>
      <c r="E477" s="303"/>
      <c r="F477" s="303"/>
      <c r="G477" s="303"/>
      <c r="H477" s="303"/>
      <c r="I477" s="303"/>
      <c r="J477" s="303"/>
      <c r="K477" s="303"/>
      <c r="L477" s="303"/>
      <c r="M477" s="303"/>
      <c r="N477" s="303"/>
      <c r="O477" s="303"/>
      <c r="P477" s="303"/>
      <c r="Q477" s="303"/>
      <c r="R477" s="303"/>
      <c r="S477" s="303"/>
      <c r="T477" s="303"/>
      <c r="U477" s="303"/>
      <c r="V477" s="303"/>
      <c r="W477" s="303"/>
      <c r="X477" s="303"/>
      <c r="Y477" s="303"/>
      <c r="Z477" s="303"/>
    </row>
    <row r="478" spans="1:26" x14ac:dyDescent="0.2">
      <c r="A478" s="303"/>
      <c r="B478" s="303"/>
      <c r="C478" s="303"/>
      <c r="D478" s="303"/>
      <c r="E478" s="303"/>
      <c r="F478" s="303"/>
      <c r="G478" s="303"/>
      <c r="H478" s="303"/>
      <c r="I478" s="303"/>
      <c r="J478" s="303"/>
      <c r="K478" s="303"/>
      <c r="L478" s="303"/>
      <c r="M478" s="303"/>
      <c r="N478" s="303"/>
      <c r="O478" s="303"/>
      <c r="P478" s="303"/>
      <c r="Q478" s="303"/>
      <c r="R478" s="303"/>
      <c r="S478" s="303"/>
      <c r="T478" s="303"/>
      <c r="U478" s="303"/>
      <c r="V478" s="303"/>
      <c r="W478" s="303"/>
      <c r="X478" s="303"/>
      <c r="Y478" s="303"/>
      <c r="Z478" s="303"/>
    </row>
    <row r="479" spans="1:26" x14ac:dyDescent="0.2">
      <c r="A479" s="303"/>
      <c r="B479" s="303"/>
      <c r="C479" s="303"/>
      <c r="D479" s="303"/>
      <c r="E479" s="303"/>
      <c r="F479" s="303"/>
      <c r="G479" s="303"/>
      <c r="H479" s="303"/>
      <c r="I479" s="303"/>
      <c r="J479" s="303"/>
      <c r="K479" s="303"/>
      <c r="L479" s="303"/>
      <c r="M479" s="303"/>
      <c r="N479" s="303"/>
      <c r="O479" s="303"/>
      <c r="P479" s="303"/>
      <c r="Q479" s="303"/>
      <c r="R479" s="303"/>
      <c r="S479" s="303"/>
      <c r="T479" s="303"/>
      <c r="U479" s="303"/>
      <c r="V479" s="303"/>
      <c r="W479" s="303"/>
      <c r="X479" s="303"/>
      <c r="Y479" s="303"/>
      <c r="Z479" s="303"/>
    </row>
    <row r="480" spans="1:26" x14ac:dyDescent="0.2">
      <c r="A480" s="303"/>
      <c r="B480" s="303"/>
      <c r="C480" s="303"/>
      <c r="D480" s="303"/>
      <c r="E480" s="303"/>
      <c r="F480" s="303"/>
      <c r="G480" s="303"/>
      <c r="H480" s="303"/>
      <c r="I480" s="303"/>
      <c r="J480" s="303"/>
      <c r="K480" s="303"/>
      <c r="L480" s="303"/>
      <c r="M480" s="303"/>
      <c r="N480" s="303"/>
      <c r="O480" s="303"/>
      <c r="P480" s="303"/>
      <c r="Q480" s="303"/>
      <c r="R480" s="303"/>
      <c r="S480" s="303"/>
      <c r="T480" s="303"/>
      <c r="U480" s="303"/>
      <c r="V480" s="303"/>
      <c r="W480" s="303"/>
      <c r="X480" s="303"/>
      <c r="Y480" s="303"/>
      <c r="Z480" s="303"/>
    </row>
    <row r="481" spans="1:26" x14ac:dyDescent="0.2">
      <c r="A481" s="303"/>
      <c r="B481" s="303"/>
      <c r="C481" s="303"/>
      <c r="D481" s="303"/>
      <c r="E481" s="303"/>
      <c r="F481" s="303"/>
      <c r="G481" s="303"/>
      <c r="H481" s="303"/>
      <c r="I481" s="303"/>
      <c r="J481" s="303"/>
      <c r="K481" s="303"/>
      <c r="L481" s="303"/>
      <c r="M481" s="303"/>
      <c r="N481" s="303"/>
      <c r="O481" s="303"/>
      <c r="P481" s="303"/>
      <c r="Q481" s="303"/>
      <c r="R481" s="303"/>
      <c r="S481" s="303"/>
      <c r="T481" s="303"/>
      <c r="U481" s="303"/>
      <c r="V481" s="303"/>
      <c r="W481" s="303"/>
      <c r="X481" s="303"/>
      <c r="Y481" s="303"/>
      <c r="Z481" s="303"/>
    </row>
    <row r="482" spans="1:26" x14ac:dyDescent="0.2">
      <c r="A482" s="303"/>
      <c r="B482" s="303"/>
      <c r="C482" s="303"/>
      <c r="D482" s="303"/>
      <c r="E482" s="303"/>
      <c r="F482" s="303"/>
      <c r="G482" s="303"/>
      <c r="H482" s="303"/>
      <c r="I482" s="303"/>
      <c r="J482" s="303"/>
      <c r="K482" s="303"/>
      <c r="L482" s="303"/>
      <c r="M482" s="303"/>
      <c r="N482" s="303"/>
      <c r="O482" s="303"/>
      <c r="P482" s="303"/>
      <c r="Q482" s="303"/>
      <c r="R482" s="303"/>
      <c r="S482" s="303"/>
      <c r="T482" s="303"/>
      <c r="U482" s="303"/>
      <c r="V482" s="303"/>
      <c r="W482" s="303"/>
      <c r="X482" s="303"/>
      <c r="Y482" s="303"/>
      <c r="Z482" s="303"/>
    </row>
    <row r="483" spans="1:26" x14ac:dyDescent="0.2">
      <c r="A483" s="303"/>
      <c r="B483" s="303"/>
      <c r="C483" s="303"/>
      <c r="D483" s="303"/>
      <c r="E483" s="303"/>
      <c r="F483" s="303"/>
      <c r="G483" s="303"/>
      <c r="H483" s="303"/>
      <c r="I483" s="303"/>
      <c r="J483" s="303"/>
      <c r="K483" s="303"/>
      <c r="L483" s="303"/>
      <c r="M483" s="303"/>
      <c r="N483" s="303"/>
      <c r="O483" s="303"/>
      <c r="P483" s="303"/>
      <c r="Q483" s="303"/>
      <c r="R483" s="303"/>
      <c r="S483" s="303"/>
      <c r="T483" s="303"/>
      <c r="U483" s="303"/>
      <c r="V483" s="303"/>
      <c r="W483" s="303"/>
      <c r="X483" s="303"/>
      <c r="Y483" s="303"/>
      <c r="Z483" s="303"/>
    </row>
    <row r="484" spans="1:26" x14ac:dyDescent="0.2">
      <c r="A484" s="303"/>
      <c r="B484" s="303"/>
      <c r="C484" s="303"/>
      <c r="D484" s="303"/>
      <c r="E484" s="303"/>
      <c r="F484" s="303"/>
      <c r="G484" s="303"/>
      <c r="H484" s="303"/>
      <c r="I484" s="303"/>
      <c r="J484" s="303"/>
      <c r="K484" s="303"/>
      <c r="L484" s="303"/>
      <c r="M484" s="303"/>
      <c r="N484" s="303"/>
      <c r="O484" s="303"/>
      <c r="P484" s="303"/>
      <c r="Q484" s="303"/>
      <c r="R484" s="303"/>
      <c r="S484" s="303"/>
      <c r="T484" s="303"/>
      <c r="U484" s="303"/>
      <c r="V484" s="303"/>
      <c r="W484" s="303"/>
      <c r="X484" s="303"/>
      <c r="Y484" s="303"/>
      <c r="Z484" s="303"/>
    </row>
    <row r="485" spans="1:26" x14ac:dyDescent="0.2">
      <c r="A485" s="303"/>
      <c r="B485" s="303"/>
      <c r="C485" s="303"/>
      <c r="D485" s="303"/>
      <c r="E485" s="303"/>
      <c r="F485" s="303"/>
      <c r="G485" s="303"/>
      <c r="H485" s="303"/>
      <c r="I485" s="303"/>
      <c r="J485" s="303"/>
      <c r="K485" s="303"/>
      <c r="L485" s="303"/>
      <c r="M485" s="303"/>
      <c r="N485" s="303"/>
      <c r="O485" s="303"/>
      <c r="P485" s="303"/>
      <c r="Q485" s="303"/>
      <c r="R485" s="303"/>
      <c r="S485" s="303"/>
      <c r="T485" s="303"/>
      <c r="U485" s="303"/>
      <c r="V485" s="303"/>
      <c r="W485" s="303"/>
      <c r="X485" s="303"/>
      <c r="Y485" s="303"/>
      <c r="Z485" s="303"/>
    </row>
    <row r="486" spans="1:26" x14ac:dyDescent="0.2">
      <c r="A486" s="303"/>
      <c r="B486" s="303"/>
      <c r="C486" s="303"/>
      <c r="D486" s="303"/>
      <c r="E486" s="303"/>
      <c r="F486" s="303"/>
      <c r="G486" s="303"/>
      <c r="H486" s="303"/>
      <c r="I486" s="303"/>
      <c r="J486" s="303"/>
      <c r="K486" s="303"/>
      <c r="L486" s="303"/>
      <c r="M486" s="303"/>
      <c r="N486" s="303"/>
      <c r="O486" s="303"/>
      <c r="P486" s="303"/>
      <c r="Q486" s="303"/>
      <c r="R486" s="303"/>
      <c r="S486" s="303"/>
      <c r="T486" s="303"/>
      <c r="U486" s="303"/>
      <c r="V486" s="303"/>
      <c r="W486" s="303"/>
      <c r="X486" s="303"/>
      <c r="Y486" s="303"/>
      <c r="Z486" s="303"/>
    </row>
    <row r="487" spans="1:26" x14ac:dyDescent="0.2">
      <c r="A487" s="303"/>
      <c r="B487" s="303"/>
      <c r="C487" s="303"/>
      <c r="D487" s="303"/>
      <c r="E487" s="303"/>
      <c r="F487" s="303"/>
      <c r="G487" s="303"/>
      <c r="H487" s="303"/>
      <c r="I487" s="303"/>
      <c r="J487" s="303"/>
      <c r="K487" s="303"/>
      <c r="L487" s="303"/>
      <c r="M487" s="303"/>
      <c r="N487" s="303"/>
      <c r="O487" s="303"/>
      <c r="P487" s="303"/>
      <c r="Q487" s="303"/>
      <c r="R487" s="303"/>
      <c r="S487" s="303"/>
      <c r="T487" s="303"/>
      <c r="U487" s="303"/>
      <c r="V487" s="303"/>
      <c r="W487" s="303"/>
      <c r="X487" s="303"/>
      <c r="Y487" s="303"/>
      <c r="Z487" s="303"/>
    </row>
    <row r="488" spans="1:26" x14ac:dyDescent="0.2">
      <c r="A488" s="303"/>
      <c r="B488" s="303"/>
      <c r="C488" s="303"/>
      <c r="D488" s="303"/>
      <c r="E488" s="303"/>
      <c r="F488" s="303"/>
      <c r="G488" s="303"/>
      <c r="H488" s="303"/>
      <c r="I488" s="303"/>
      <c r="J488" s="303"/>
      <c r="K488" s="303"/>
      <c r="L488" s="303"/>
      <c r="M488" s="303"/>
      <c r="N488" s="303"/>
      <c r="O488" s="303"/>
      <c r="P488" s="303"/>
      <c r="Q488" s="303"/>
      <c r="R488" s="303"/>
      <c r="S488" s="303"/>
      <c r="T488" s="303"/>
      <c r="U488" s="303"/>
      <c r="V488" s="303"/>
      <c r="W488" s="303"/>
      <c r="X488" s="303"/>
      <c r="Y488" s="303"/>
      <c r="Z488" s="303"/>
    </row>
    <row r="489" spans="1:26" x14ac:dyDescent="0.2">
      <c r="A489" s="303"/>
      <c r="B489" s="303"/>
      <c r="C489" s="303"/>
      <c r="D489" s="303"/>
      <c r="E489" s="303"/>
      <c r="F489" s="303"/>
      <c r="G489" s="303"/>
      <c r="H489" s="303"/>
      <c r="I489" s="303"/>
      <c r="J489" s="303"/>
      <c r="K489" s="303"/>
      <c r="L489" s="303"/>
      <c r="M489" s="303"/>
      <c r="N489" s="303"/>
      <c r="O489" s="303"/>
      <c r="P489" s="303"/>
      <c r="Q489" s="303"/>
      <c r="R489" s="303"/>
      <c r="S489" s="303"/>
      <c r="T489" s="303"/>
      <c r="U489" s="303"/>
      <c r="V489" s="303"/>
      <c r="W489" s="303"/>
      <c r="X489" s="303"/>
      <c r="Y489" s="303"/>
      <c r="Z489" s="303"/>
    </row>
    <row r="490" spans="1:26" x14ac:dyDescent="0.2">
      <c r="A490" s="303"/>
      <c r="B490" s="303"/>
      <c r="C490" s="303"/>
      <c r="D490" s="303"/>
      <c r="E490" s="303"/>
      <c r="F490" s="303"/>
      <c r="G490" s="303"/>
      <c r="H490" s="303"/>
      <c r="I490" s="303"/>
      <c r="J490" s="303"/>
      <c r="K490" s="303"/>
      <c r="L490" s="303"/>
      <c r="M490" s="303"/>
      <c r="N490" s="303"/>
      <c r="O490" s="303"/>
      <c r="P490" s="303"/>
      <c r="Q490" s="303"/>
      <c r="R490" s="303"/>
      <c r="S490" s="303"/>
      <c r="T490" s="303"/>
      <c r="U490" s="303"/>
      <c r="V490" s="303"/>
      <c r="W490" s="303"/>
      <c r="X490" s="303"/>
      <c r="Y490" s="303"/>
      <c r="Z490" s="303"/>
    </row>
    <row r="491" spans="1:26" x14ac:dyDescent="0.2">
      <c r="A491" s="303"/>
      <c r="B491" s="303"/>
      <c r="C491" s="303"/>
      <c r="D491" s="303"/>
      <c r="E491" s="303"/>
      <c r="F491" s="303"/>
      <c r="G491" s="303"/>
      <c r="H491" s="303"/>
      <c r="I491" s="303"/>
      <c r="J491" s="303"/>
      <c r="K491" s="303"/>
      <c r="L491" s="303"/>
      <c r="M491" s="303"/>
      <c r="N491" s="303"/>
      <c r="O491" s="303"/>
      <c r="P491" s="303"/>
      <c r="Q491" s="303"/>
      <c r="R491" s="303"/>
      <c r="S491" s="303"/>
      <c r="T491" s="303"/>
      <c r="U491" s="303"/>
      <c r="V491" s="303"/>
      <c r="W491" s="303"/>
      <c r="X491" s="303"/>
      <c r="Y491" s="303"/>
      <c r="Z491" s="303"/>
    </row>
    <row r="492" spans="1:26" x14ac:dyDescent="0.2">
      <c r="A492" s="303"/>
      <c r="B492" s="303"/>
      <c r="C492" s="303"/>
      <c r="D492" s="303"/>
      <c r="E492" s="303"/>
      <c r="F492" s="303"/>
      <c r="G492" s="303"/>
      <c r="H492" s="303"/>
      <c r="I492" s="303"/>
      <c r="J492" s="303"/>
      <c r="K492" s="303"/>
      <c r="L492" s="303"/>
      <c r="M492" s="303"/>
      <c r="N492" s="303"/>
      <c r="O492" s="303"/>
      <c r="P492" s="303"/>
      <c r="Q492" s="303"/>
      <c r="R492" s="303"/>
      <c r="S492" s="303"/>
      <c r="T492" s="303"/>
      <c r="U492" s="303"/>
      <c r="V492" s="303"/>
      <c r="W492" s="303"/>
      <c r="X492" s="303"/>
      <c r="Y492" s="303"/>
      <c r="Z492" s="303"/>
    </row>
    <row r="493" spans="1:26" x14ac:dyDescent="0.2">
      <c r="A493" s="303"/>
      <c r="B493" s="303"/>
      <c r="C493" s="303"/>
      <c r="D493" s="303"/>
      <c r="E493" s="303"/>
      <c r="F493" s="303"/>
      <c r="G493" s="303"/>
      <c r="H493" s="303"/>
      <c r="I493" s="303"/>
      <c r="J493" s="303"/>
      <c r="K493" s="303"/>
      <c r="L493" s="303"/>
      <c r="M493" s="303"/>
      <c r="N493" s="303"/>
      <c r="O493" s="303"/>
      <c r="P493" s="303"/>
      <c r="Q493" s="303"/>
      <c r="R493" s="303"/>
      <c r="S493" s="303"/>
      <c r="T493" s="303"/>
      <c r="U493" s="303"/>
      <c r="V493" s="303"/>
      <c r="W493" s="303"/>
      <c r="X493" s="303"/>
      <c r="Y493" s="303"/>
      <c r="Z493" s="303"/>
    </row>
    <row r="494" spans="1:26" x14ac:dyDescent="0.2">
      <c r="A494" s="303"/>
      <c r="B494" s="303"/>
      <c r="C494" s="303"/>
      <c r="D494" s="303"/>
      <c r="E494" s="303"/>
      <c r="F494" s="303"/>
      <c r="G494" s="303"/>
      <c r="H494" s="303"/>
      <c r="I494" s="303"/>
      <c r="J494" s="303"/>
      <c r="K494" s="303"/>
      <c r="L494" s="303"/>
      <c r="M494" s="303"/>
      <c r="N494" s="303"/>
      <c r="O494" s="303"/>
      <c r="P494" s="303"/>
      <c r="Q494" s="303"/>
      <c r="R494" s="303"/>
      <c r="S494" s="303"/>
      <c r="T494" s="303"/>
      <c r="U494" s="303"/>
      <c r="V494" s="303"/>
      <c r="W494" s="303"/>
      <c r="X494" s="303"/>
      <c r="Y494" s="303"/>
      <c r="Z494" s="303"/>
    </row>
    <row r="495" spans="1:26" x14ac:dyDescent="0.2">
      <c r="A495" s="303"/>
      <c r="B495" s="303"/>
      <c r="C495" s="303"/>
      <c r="D495" s="303"/>
      <c r="E495" s="303"/>
      <c r="F495" s="303"/>
      <c r="G495" s="303"/>
      <c r="H495" s="303"/>
      <c r="I495" s="303"/>
      <c r="J495" s="303"/>
      <c r="K495" s="303"/>
      <c r="L495" s="303"/>
      <c r="M495" s="303"/>
      <c r="N495" s="303"/>
      <c r="O495" s="303"/>
      <c r="P495" s="303"/>
      <c r="Q495" s="303"/>
      <c r="R495" s="303"/>
      <c r="S495" s="303"/>
      <c r="T495" s="303"/>
      <c r="U495" s="303"/>
      <c r="V495" s="303"/>
      <c r="W495" s="303"/>
      <c r="X495" s="303"/>
      <c r="Y495" s="303"/>
      <c r="Z495" s="303"/>
    </row>
    <row r="496" spans="1:26" x14ac:dyDescent="0.2">
      <c r="A496" s="303"/>
      <c r="B496" s="303"/>
      <c r="C496" s="303"/>
      <c r="D496" s="303"/>
      <c r="E496" s="303"/>
      <c r="F496" s="303"/>
      <c r="G496" s="303"/>
      <c r="H496" s="303"/>
      <c r="I496" s="303"/>
      <c r="J496" s="303"/>
      <c r="K496" s="303"/>
      <c r="L496" s="303"/>
      <c r="M496" s="303"/>
      <c r="N496" s="303"/>
      <c r="O496" s="303"/>
      <c r="P496" s="303"/>
      <c r="Q496" s="303"/>
      <c r="R496" s="303"/>
      <c r="S496" s="303"/>
      <c r="T496" s="303"/>
      <c r="U496" s="303"/>
      <c r="V496" s="303"/>
      <c r="W496" s="303"/>
      <c r="X496" s="303"/>
      <c r="Y496" s="303"/>
      <c r="Z496" s="303"/>
    </row>
    <row r="497" spans="1:26" x14ac:dyDescent="0.2">
      <c r="A497" s="303"/>
      <c r="B497" s="303"/>
      <c r="C497" s="303"/>
      <c r="D497" s="303"/>
      <c r="E497" s="303"/>
      <c r="F497" s="303"/>
      <c r="G497" s="303"/>
      <c r="H497" s="303"/>
      <c r="I497" s="303"/>
      <c r="J497" s="303"/>
      <c r="K497" s="303"/>
      <c r="L497" s="303"/>
      <c r="M497" s="303"/>
      <c r="N497" s="303"/>
      <c r="O497" s="303"/>
      <c r="P497" s="303"/>
      <c r="Q497" s="303"/>
      <c r="R497" s="303"/>
      <c r="S497" s="303"/>
      <c r="T497" s="303"/>
      <c r="U497" s="303"/>
      <c r="V497" s="303"/>
      <c r="W497" s="303"/>
      <c r="X497" s="303"/>
      <c r="Y497" s="303"/>
      <c r="Z497" s="303"/>
    </row>
    <row r="498" spans="1:26" x14ac:dyDescent="0.2">
      <c r="A498" s="303"/>
      <c r="B498" s="303"/>
      <c r="C498" s="303"/>
      <c r="D498" s="303"/>
      <c r="E498" s="303"/>
      <c r="F498" s="303"/>
      <c r="G498" s="303"/>
      <c r="H498" s="303"/>
      <c r="I498" s="303"/>
      <c r="J498" s="303"/>
      <c r="K498" s="303"/>
      <c r="L498" s="303"/>
      <c r="M498" s="303"/>
      <c r="N498" s="303"/>
      <c r="O498" s="303"/>
      <c r="P498" s="303"/>
      <c r="Q498" s="303"/>
      <c r="R498" s="303"/>
      <c r="S498" s="303"/>
      <c r="T498" s="303"/>
      <c r="U498" s="303"/>
      <c r="V498" s="303"/>
      <c r="W498" s="303"/>
      <c r="X498" s="303"/>
      <c r="Y498" s="303"/>
      <c r="Z498" s="303"/>
    </row>
    <row r="499" spans="1:26" x14ac:dyDescent="0.2">
      <c r="A499" s="303"/>
      <c r="B499" s="303"/>
      <c r="C499" s="303"/>
      <c r="D499" s="303"/>
      <c r="E499" s="303"/>
      <c r="F499" s="303"/>
      <c r="G499" s="303"/>
      <c r="H499" s="303"/>
      <c r="I499" s="303"/>
      <c r="J499" s="303"/>
      <c r="K499" s="303"/>
      <c r="L499" s="303"/>
      <c r="M499" s="303"/>
      <c r="N499" s="303"/>
      <c r="O499" s="303"/>
      <c r="P499" s="303"/>
      <c r="Q499" s="303"/>
      <c r="R499" s="303"/>
      <c r="S499" s="303"/>
      <c r="T499" s="303"/>
      <c r="U499" s="303"/>
      <c r="V499" s="303"/>
      <c r="W499" s="303"/>
      <c r="X499" s="303"/>
      <c r="Y499" s="303"/>
      <c r="Z499" s="303"/>
    </row>
    <row r="500" spans="1:26" x14ac:dyDescent="0.2">
      <c r="A500" s="303"/>
      <c r="B500" s="303"/>
      <c r="C500" s="303"/>
      <c r="D500" s="303"/>
      <c r="E500" s="303"/>
      <c r="F500" s="303"/>
      <c r="G500" s="303"/>
      <c r="H500" s="303"/>
      <c r="I500" s="303"/>
      <c r="J500" s="303"/>
      <c r="K500" s="303"/>
      <c r="L500" s="303"/>
      <c r="M500" s="303"/>
      <c r="N500" s="303"/>
      <c r="O500" s="303"/>
      <c r="P500" s="303"/>
      <c r="Q500" s="303"/>
      <c r="R500" s="303"/>
      <c r="S500" s="303"/>
      <c r="T500" s="303"/>
      <c r="U500" s="303"/>
      <c r="V500" s="303"/>
      <c r="W500" s="303"/>
      <c r="X500" s="303"/>
      <c r="Y500" s="303"/>
      <c r="Z500" s="303"/>
    </row>
    <row r="501" spans="1:26" x14ac:dyDescent="0.2">
      <c r="A501" s="303"/>
      <c r="B501" s="303"/>
      <c r="C501" s="303"/>
      <c r="D501" s="303"/>
      <c r="E501" s="303"/>
      <c r="F501" s="303"/>
      <c r="G501" s="303"/>
      <c r="H501" s="303"/>
      <c r="I501" s="303"/>
      <c r="J501" s="303"/>
      <c r="K501" s="303"/>
      <c r="L501" s="303"/>
      <c r="M501" s="303"/>
      <c r="N501" s="303"/>
      <c r="O501" s="303"/>
      <c r="P501" s="303"/>
      <c r="Q501" s="303"/>
      <c r="R501" s="303"/>
      <c r="S501" s="303"/>
      <c r="T501" s="303"/>
      <c r="U501" s="303"/>
      <c r="V501" s="303"/>
      <c r="W501" s="303"/>
      <c r="X501" s="303"/>
      <c r="Y501" s="303"/>
      <c r="Z501" s="303"/>
    </row>
    <row r="502" spans="1:26" x14ac:dyDescent="0.2">
      <c r="A502" s="303"/>
      <c r="B502" s="303"/>
      <c r="C502" s="303"/>
      <c r="D502" s="303"/>
      <c r="E502" s="303"/>
      <c r="F502" s="303"/>
      <c r="G502" s="303"/>
      <c r="H502" s="303"/>
      <c r="I502" s="303"/>
      <c r="J502" s="303"/>
      <c r="K502" s="303"/>
      <c r="L502" s="303"/>
      <c r="M502" s="303"/>
      <c r="N502" s="303"/>
      <c r="O502" s="303"/>
      <c r="P502" s="303"/>
      <c r="Q502" s="303"/>
      <c r="R502" s="303"/>
      <c r="S502" s="303"/>
      <c r="T502" s="303"/>
      <c r="U502" s="303"/>
      <c r="V502" s="303"/>
      <c r="W502" s="303"/>
      <c r="X502" s="303"/>
      <c r="Y502" s="303"/>
      <c r="Z502" s="303"/>
    </row>
    <row r="503" spans="1:26" x14ac:dyDescent="0.2">
      <c r="A503" s="303"/>
      <c r="B503" s="303"/>
      <c r="C503" s="303"/>
      <c r="D503" s="303"/>
      <c r="E503" s="303"/>
      <c r="F503" s="303"/>
      <c r="G503" s="303"/>
      <c r="H503" s="303"/>
      <c r="I503" s="303"/>
      <c r="J503" s="303"/>
      <c r="K503" s="303"/>
      <c r="L503" s="303"/>
      <c r="M503" s="303"/>
      <c r="N503" s="303"/>
      <c r="O503" s="303"/>
      <c r="P503" s="303"/>
      <c r="Q503" s="303"/>
      <c r="R503" s="303"/>
      <c r="S503" s="303"/>
      <c r="T503" s="303"/>
      <c r="U503" s="303"/>
      <c r="V503" s="303"/>
      <c r="W503" s="303"/>
      <c r="X503" s="303"/>
      <c r="Y503" s="303"/>
      <c r="Z503" s="303"/>
    </row>
    <row r="504" spans="1:26" x14ac:dyDescent="0.2">
      <c r="A504" s="303"/>
      <c r="B504" s="303"/>
      <c r="C504" s="303"/>
      <c r="D504" s="303"/>
      <c r="E504" s="303"/>
      <c r="F504" s="303"/>
      <c r="G504" s="303"/>
      <c r="H504" s="303"/>
      <c r="I504" s="303"/>
      <c r="J504" s="303"/>
      <c r="K504" s="303"/>
      <c r="L504" s="303"/>
      <c r="M504" s="303"/>
      <c r="N504" s="303"/>
      <c r="O504" s="303"/>
      <c r="P504" s="303"/>
      <c r="Q504" s="303"/>
      <c r="R504" s="303"/>
      <c r="S504" s="303"/>
      <c r="T504" s="303"/>
      <c r="U504" s="303"/>
      <c r="V504" s="303"/>
      <c r="W504" s="303"/>
      <c r="X504" s="303"/>
      <c r="Y504" s="303"/>
      <c r="Z504" s="303"/>
    </row>
    <row r="505" spans="1:26" x14ac:dyDescent="0.2">
      <c r="A505" s="303"/>
      <c r="B505" s="303"/>
      <c r="C505" s="303"/>
      <c r="D505" s="303"/>
      <c r="E505" s="303"/>
      <c r="F505" s="303"/>
      <c r="G505" s="303"/>
      <c r="H505" s="303"/>
      <c r="I505" s="303"/>
      <c r="J505" s="303"/>
      <c r="K505" s="303"/>
      <c r="L505" s="303"/>
      <c r="M505" s="303"/>
      <c r="N505" s="303"/>
      <c r="O505" s="303"/>
      <c r="P505" s="303"/>
      <c r="Q505" s="303"/>
      <c r="R505" s="303"/>
      <c r="S505" s="303"/>
      <c r="T505" s="303"/>
      <c r="U505" s="303"/>
      <c r="V505" s="303"/>
      <c r="W505" s="303"/>
      <c r="X505" s="303"/>
      <c r="Y505" s="303"/>
      <c r="Z505" s="303"/>
    </row>
    <row r="506" spans="1:26" x14ac:dyDescent="0.2">
      <c r="A506" s="303"/>
      <c r="B506" s="303"/>
      <c r="C506" s="303"/>
      <c r="D506" s="303"/>
      <c r="E506" s="303"/>
      <c r="F506" s="303"/>
      <c r="G506" s="303"/>
      <c r="H506" s="303"/>
      <c r="I506" s="303"/>
      <c r="J506" s="303"/>
      <c r="K506" s="303"/>
      <c r="L506" s="303"/>
      <c r="M506" s="303"/>
      <c r="N506" s="303"/>
      <c r="O506" s="303"/>
      <c r="P506" s="303"/>
      <c r="Q506" s="303"/>
      <c r="R506" s="303"/>
      <c r="S506" s="303"/>
      <c r="T506" s="303"/>
      <c r="U506" s="303"/>
      <c r="V506" s="303"/>
      <c r="W506" s="303"/>
      <c r="X506" s="303"/>
      <c r="Y506" s="303"/>
      <c r="Z506" s="303"/>
    </row>
    <row r="507" spans="1:26" x14ac:dyDescent="0.2">
      <c r="A507" s="303"/>
      <c r="B507" s="303"/>
      <c r="C507" s="303"/>
      <c r="D507" s="303"/>
      <c r="E507" s="303"/>
      <c r="F507" s="303"/>
      <c r="G507" s="303"/>
      <c r="H507" s="303"/>
      <c r="I507" s="303"/>
      <c r="J507" s="303"/>
      <c r="K507" s="303"/>
      <c r="L507" s="303"/>
      <c r="M507" s="303"/>
      <c r="N507" s="303"/>
      <c r="O507" s="303"/>
      <c r="P507" s="303"/>
      <c r="Q507" s="303"/>
      <c r="R507" s="303"/>
      <c r="S507" s="303"/>
      <c r="T507" s="303"/>
      <c r="U507" s="303"/>
      <c r="V507" s="303"/>
      <c r="W507" s="303"/>
      <c r="X507" s="303"/>
      <c r="Y507" s="303"/>
      <c r="Z507" s="303"/>
    </row>
    <row r="508" spans="1:26" x14ac:dyDescent="0.2">
      <c r="A508" s="303"/>
      <c r="B508" s="303"/>
      <c r="C508" s="303"/>
      <c r="D508" s="303"/>
      <c r="E508" s="303"/>
      <c r="F508" s="303"/>
      <c r="G508" s="303"/>
      <c r="H508" s="303"/>
      <c r="I508" s="303"/>
      <c r="J508" s="303"/>
      <c r="K508" s="303"/>
      <c r="L508" s="303"/>
      <c r="M508" s="303"/>
      <c r="N508" s="303"/>
      <c r="O508" s="303"/>
      <c r="P508" s="303"/>
      <c r="Q508" s="303"/>
      <c r="R508" s="303"/>
      <c r="S508" s="303"/>
      <c r="T508" s="303"/>
      <c r="U508" s="303"/>
      <c r="V508" s="303"/>
      <c r="W508" s="303"/>
      <c r="X508" s="303"/>
      <c r="Y508" s="303"/>
      <c r="Z508" s="303"/>
    </row>
    <row r="509" spans="1:26" x14ac:dyDescent="0.2">
      <c r="A509" s="303"/>
      <c r="B509" s="303"/>
      <c r="C509" s="303"/>
      <c r="D509" s="303"/>
      <c r="E509" s="303"/>
      <c r="F509" s="303"/>
      <c r="G509" s="303"/>
      <c r="H509" s="303"/>
      <c r="I509" s="303"/>
      <c r="J509" s="303"/>
      <c r="K509" s="303"/>
      <c r="L509" s="303"/>
      <c r="M509" s="303"/>
      <c r="N509" s="303"/>
      <c r="O509" s="303"/>
      <c r="P509" s="303"/>
      <c r="Q509" s="303"/>
      <c r="R509" s="303"/>
      <c r="S509" s="303"/>
      <c r="T509" s="303"/>
      <c r="U509" s="303"/>
      <c r="V509" s="303"/>
      <c r="W509" s="303"/>
      <c r="X509" s="303"/>
      <c r="Y509" s="303"/>
      <c r="Z509" s="303"/>
    </row>
    <row r="510" spans="1:26" x14ac:dyDescent="0.2">
      <c r="A510" s="303"/>
      <c r="B510" s="303"/>
      <c r="C510" s="303"/>
      <c r="D510" s="303"/>
      <c r="E510" s="303"/>
      <c r="F510" s="303"/>
      <c r="G510" s="303"/>
      <c r="H510" s="303"/>
      <c r="I510" s="303"/>
      <c r="J510" s="303"/>
      <c r="K510" s="303"/>
      <c r="L510" s="303"/>
      <c r="M510" s="303"/>
      <c r="N510" s="303"/>
      <c r="O510" s="303"/>
      <c r="P510" s="303"/>
      <c r="Q510" s="303"/>
      <c r="R510" s="303"/>
      <c r="S510" s="303"/>
      <c r="T510" s="303"/>
      <c r="U510" s="303"/>
      <c r="V510" s="303"/>
      <c r="W510" s="303"/>
      <c r="X510" s="303"/>
      <c r="Y510" s="303"/>
      <c r="Z510" s="303"/>
    </row>
    <row r="511" spans="1:26" x14ac:dyDescent="0.2">
      <c r="A511" s="303"/>
      <c r="B511" s="303"/>
      <c r="C511" s="303"/>
      <c r="D511" s="303"/>
      <c r="E511" s="303"/>
      <c r="F511" s="303"/>
      <c r="G511" s="303"/>
      <c r="H511" s="303"/>
      <c r="I511" s="303"/>
      <c r="J511" s="303"/>
      <c r="K511" s="303"/>
      <c r="L511" s="303"/>
      <c r="M511" s="303"/>
      <c r="N511" s="303"/>
      <c r="O511" s="303"/>
      <c r="P511" s="303"/>
      <c r="Q511" s="303"/>
      <c r="R511" s="303"/>
      <c r="S511" s="303"/>
      <c r="T511" s="303"/>
      <c r="U511" s="303"/>
      <c r="V511" s="303"/>
      <c r="W511" s="303"/>
      <c r="X511" s="303"/>
      <c r="Y511" s="303"/>
      <c r="Z511" s="303"/>
    </row>
    <row r="512" spans="1:26" x14ac:dyDescent="0.2">
      <c r="A512" s="303"/>
      <c r="B512" s="303"/>
      <c r="C512" s="303"/>
      <c r="D512" s="303"/>
      <c r="E512" s="303"/>
      <c r="F512" s="303"/>
      <c r="G512" s="303"/>
      <c r="H512" s="303"/>
      <c r="I512" s="303"/>
      <c r="J512" s="303"/>
      <c r="K512" s="303"/>
      <c r="L512" s="303"/>
      <c r="M512" s="303"/>
      <c r="N512" s="303"/>
      <c r="O512" s="303"/>
      <c r="P512" s="303"/>
      <c r="Q512" s="303"/>
      <c r="R512" s="303"/>
      <c r="S512" s="303"/>
      <c r="T512" s="303"/>
      <c r="U512" s="303"/>
      <c r="V512" s="303"/>
      <c r="W512" s="303"/>
      <c r="X512" s="303"/>
      <c r="Y512" s="303"/>
      <c r="Z512" s="303"/>
    </row>
    <row r="513" spans="1:26" x14ac:dyDescent="0.2">
      <c r="A513" s="303"/>
      <c r="B513" s="303"/>
      <c r="C513" s="303"/>
      <c r="D513" s="303"/>
      <c r="E513" s="303"/>
      <c r="F513" s="303"/>
      <c r="G513" s="303"/>
      <c r="H513" s="303"/>
      <c r="I513" s="303"/>
      <c r="J513" s="303"/>
      <c r="K513" s="303"/>
      <c r="L513" s="303"/>
      <c r="M513" s="303"/>
      <c r="N513" s="303"/>
      <c r="O513" s="303"/>
      <c r="P513" s="303"/>
      <c r="Q513" s="303"/>
      <c r="R513" s="303"/>
      <c r="S513" s="303"/>
      <c r="T513" s="303"/>
      <c r="U513" s="303"/>
      <c r="V513" s="303"/>
      <c r="W513" s="303"/>
      <c r="X513" s="303"/>
      <c r="Y513" s="303"/>
      <c r="Z513" s="303"/>
    </row>
    <row r="514" spans="1:26" x14ac:dyDescent="0.2">
      <c r="A514" s="303"/>
      <c r="B514" s="303"/>
      <c r="C514" s="303"/>
      <c r="D514" s="303"/>
      <c r="E514" s="303"/>
      <c r="F514" s="303"/>
      <c r="G514" s="303"/>
      <c r="H514" s="303"/>
      <c r="I514" s="303"/>
      <c r="J514" s="303"/>
      <c r="K514" s="303"/>
      <c r="L514" s="303"/>
      <c r="M514" s="303"/>
      <c r="N514" s="303"/>
      <c r="O514" s="303"/>
      <c r="P514" s="303"/>
      <c r="Q514" s="303"/>
      <c r="R514" s="303"/>
      <c r="S514" s="303"/>
      <c r="T514" s="303"/>
      <c r="U514" s="303"/>
      <c r="V514" s="303"/>
      <c r="W514" s="303"/>
      <c r="X514" s="303"/>
      <c r="Y514" s="303"/>
      <c r="Z514" s="303"/>
    </row>
    <row r="515" spans="1:26" x14ac:dyDescent="0.2">
      <c r="A515" s="303"/>
      <c r="B515" s="303"/>
      <c r="C515" s="303"/>
      <c r="D515" s="303"/>
      <c r="E515" s="303"/>
      <c r="F515" s="303"/>
      <c r="G515" s="303"/>
      <c r="H515" s="303"/>
      <c r="I515" s="303"/>
      <c r="J515" s="303"/>
      <c r="K515" s="303"/>
      <c r="L515" s="303"/>
      <c r="M515" s="303"/>
      <c r="N515" s="303"/>
      <c r="O515" s="303"/>
      <c r="P515" s="303"/>
      <c r="Q515" s="303"/>
      <c r="R515" s="303"/>
      <c r="S515" s="303"/>
      <c r="T515" s="303"/>
      <c r="U515" s="303"/>
      <c r="V515" s="303"/>
      <c r="W515" s="303"/>
      <c r="X515" s="303"/>
      <c r="Y515" s="303"/>
      <c r="Z515" s="303"/>
    </row>
    <row r="516" spans="1:26" x14ac:dyDescent="0.2">
      <c r="A516" s="303"/>
      <c r="B516" s="303"/>
      <c r="C516" s="303"/>
      <c r="D516" s="303"/>
      <c r="E516" s="303"/>
      <c r="F516" s="303"/>
      <c r="G516" s="303"/>
      <c r="H516" s="303"/>
      <c r="I516" s="303"/>
      <c r="J516" s="303"/>
      <c r="K516" s="303"/>
      <c r="L516" s="303"/>
      <c r="M516" s="303"/>
      <c r="N516" s="303"/>
      <c r="O516" s="303"/>
      <c r="P516" s="303"/>
      <c r="Q516" s="303"/>
      <c r="R516" s="303"/>
      <c r="S516" s="303"/>
      <c r="T516" s="303"/>
      <c r="U516" s="303"/>
      <c r="V516" s="303"/>
      <c r="W516" s="303"/>
      <c r="X516" s="303"/>
      <c r="Y516" s="303"/>
      <c r="Z516" s="303"/>
    </row>
    <row r="517" spans="1:26" x14ac:dyDescent="0.2">
      <c r="A517" s="303"/>
      <c r="B517" s="303"/>
      <c r="C517" s="303"/>
      <c r="D517" s="303"/>
      <c r="E517" s="303"/>
      <c r="F517" s="303"/>
      <c r="G517" s="303"/>
      <c r="H517" s="303"/>
      <c r="I517" s="303"/>
      <c r="J517" s="303"/>
      <c r="K517" s="303"/>
      <c r="L517" s="303"/>
      <c r="M517" s="303"/>
      <c r="N517" s="303"/>
      <c r="O517" s="303"/>
      <c r="P517" s="303"/>
      <c r="Q517" s="303"/>
      <c r="R517" s="303"/>
      <c r="S517" s="303"/>
      <c r="T517" s="303"/>
      <c r="U517" s="303"/>
      <c r="V517" s="303"/>
      <c r="W517" s="303"/>
      <c r="X517" s="303"/>
      <c r="Y517" s="303"/>
      <c r="Z517" s="303"/>
    </row>
    <row r="518" spans="1:26" x14ac:dyDescent="0.2">
      <c r="A518" s="303"/>
      <c r="B518" s="303"/>
      <c r="C518" s="303"/>
      <c r="D518" s="303"/>
      <c r="E518" s="303"/>
      <c r="F518" s="303"/>
      <c r="G518" s="303"/>
      <c r="H518" s="303"/>
      <c r="I518" s="303"/>
      <c r="J518" s="303"/>
      <c r="K518" s="303"/>
      <c r="L518" s="303"/>
      <c r="M518" s="303"/>
      <c r="N518" s="303"/>
      <c r="O518" s="303"/>
      <c r="P518" s="303"/>
      <c r="Q518" s="303"/>
      <c r="R518" s="303"/>
      <c r="S518" s="303"/>
      <c r="T518" s="303"/>
      <c r="U518" s="303"/>
      <c r="V518" s="303"/>
      <c r="W518" s="303"/>
      <c r="X518" s="303"/>
      <c r="Y518" s="303"/>
      <c r="Z518" s="303"/>
    </row>
    <row r="519" spans="1:26" x14ac:dyDescent="0.2">
      <c r="A519" s="303"/>
      <c r="B519" s="303"/>
      <c r="C519" s="303"/>
      <c r="D519" s="303"/>
      <c r="E519" s="303"/>
      <c r="F519" s="303"/>
      <c r="G519" s="303"/>
      <c r="H519" s="303"/>
      <c r="I519" s="303"/>
      <c r="J519" s="303"/>
      <c r="K519" s="303"/>
      <c r="L519" s="303"/>
      <c r="M519" s="303"/>
      <c r="N519" s="303"/>
      <c r="O519" s="303"/>
      <c r="P519" s="303"/>
      <c r="Q519" s="303"/>
      <c r="R519" s="303"/>
      <c r="S519" s="303"/>
      <c r="T519" s="303"/>
      <c r="U519" s="303"/>
      <c r="V519" s="303"/>
      <c r="W519" s="303"/>
      <c r="X519" s="303"/>
      <c r="Y519" s="303"/>
      <c r="Z519" s="303"/>
    </row>
    <row r="520" spans="1:26" x14ac:dyDescent="0.2">
      <c r="A520" s="303"/>
      <c r="B520" s="303"/>
      <c r="C520" s="303"/>
      <c r="D520" s="303"/>
      <c r="E520" s="303"/>
      <c r="F520" s="303"/>
      <c r="G520" s="303"/>
      <c r="H520" s="303"/>
      <c r="I520" s="303"/>
      <c r="J520" s="303"/>
      <c r="K520" s="303"/>
      <c r="L520" s="303"/>
      <c r="M520" s="303"/>
      <c r="N520" s="303"/>
      <c r="O520" s="303"/>
      <c r="P520" s="303"/>
      <c r="Q520" s="303"/>
      <c r="R520" s="303"/>
      <c r="S520" s="303"/>
      <c r="T520" s="303"/>
      <c r="U520" s="303"/>
      <c r="V520" s="303"/>
      <c r="W520" s="303"/>
      <c r="X520" s="303"/>
      <c r="Y520" s="303"/>
      <c r="Z520" s="303"/>
    </row>
    <row r="521" spans="1:26" x14ac:dyDescent="0.2">
      <c r="A521" s="303"/>
      <c r="B521" s="303"/>
      <c r="C521" s="303"/>
      <c r="D521" s="303"/>
      <c r="E521" s="303"/>
      <c r="F521" s="303"/>
      <c r="G521" s="303"/>
      <c r="H521" s="303"/>
      <c r="I521" s="303"/>
      <c r="J521" s="303"/>
      <c r="K521" s="303"/>
      <c r="L521" s="303"/>
      <c r="M521" s="303"/>
      <c r="N521" s="303"/>
      <c r="O521" s="303"/>
      <c r="P521" s="303"/>
      <c r="Q521" s="303"/>
      <c r="R521" s="303"/>
      <c r="S521" s="303"/>
      <c r="T521" s="303"/>
      <c r="U521" s="303"/>
      <c r="V521" s="303"/>
      <c r="W521" s="303"/>
      <c r="X521" s="303"/>
      <c r="Y521" s="303"/>
      <c r="Z521" s="303"/>
    </row>
    <row r="522" spans="1:26" x14ac:dyDescent="0.2">
      <c r="A522" s="303"/>
      <c r="B522" s="303"/>
      <c r="C522" s="303"/>
      <c r="D522" s="303"/>
      <c r="E522" s="303"/>
      <c r="F522" s="303"/>
      <c r="G522" s="303"/>
      <c r="H522" s="303"/>
      <c r="I522" s="303"/>
      <c r="J522" s="303"/>
      <c r="K522" s="303"/>
      <c r="L522" s="303"/>
      <c r="M522" s="303"/>
      <c r="N522" s="303"/>
      <c r="O522" s="303"/>
      <c r="P522" s="303"/>
      <c r="Q522" s="303"/>
      <c r="R522" s="303"/>
      <c r="S522" s="303"/>
      <c r="T522" s="303"/>
      <c r="U522" s="303"/>
      <c r="V522" s="303"/>
      <c r="W522" s="303"/>
      <c r="X522" s="303"/>
      <c r="Y522" s="303"/>
      <c r="Z522" s="303"/>
    </row>
    <row r="523" spans="1:26" x14ac:dyDescent="0.2">
      <c r="A523" s="303"/>
      <c r="B523" s="303"/>
      <c r="C523" s="303"/>
      <c r="D523" s="303"/>
      <c r="E523" s="303"/>
      <c r="F523" s="303"/>
      <c r="G523" s="303"/>
      <c r="H523" s="303"/>
      <c r="I523" s="303"/>
      <c r="J523" s="303"/>
      <c r="K523" s="303"/>
      <c r="L523" s="303"/>
      <c r="M523" s="303"/>
      <c r="N523" s="303"/>
      <c r="O523" s="303"/>
      <c r="P523" s="303"/>
      <c r="Q523" s="303"/>
      <c r="R523" s="303"/>
      <c r="S523" s="303"/>
      <c r="T523" s="303"/>
      <c r="U523" s="303"/>
      <c r="V523" s="303"/>
      <c r="W523" s="303"/>
      <c r="X523" s="303"/>
      <c r="Y523" s="303"/>
      <c r="Z523" s="303"/>
    </row>
    <row r="524" spans="1:26" x14ac:dyDescent="0.2">
      <c r="A524" s="303"/>
      <c r="B524" s="303"/>
      <c r="C524" s="303"/>
      <c r="D524" s="303"/>
      <c r="E524" s="303"/>
      <c r="F524" s="303"/>
      <c r="G524" s="303"/>
      <c r="H524" s="303"/>
      <c r="I524" s="303"/>
      <c r="J524" s="303"/>
      <c r="K524" s="303"/>
      <c r="L524" s="303"/>
      <c r="M524" s="303"/>
      <c r="N524" s="303"/>
      <c r="O524" s="303"/>
      <c r="P524" s="303"/>
      <c r="Q524" s="303"/>
      <c r="R524" s="303"/>
      <c r="S524" s="303"/>
      <c r="T524" s="303"/>
      <c r="U524" s="303"/>
      <c r="V524" s="303"/>
      <c r="W524" s="303"/>
      <c r="X524" s="303"/>
      <c r="Y524" s="303"/>
      <c r="Z524" s="303"/>
    </row>
    <row r="525" spans="1:26" x14ac:dyDescent="0.2">
      <c r="A525" s="303"/>
      <c r="B525" s="303"/>
      <c r="C525" s="303"/>
      <c r="D525" s="303"/>
      <c r="E525" s="303"/>
      <c r="F525" s="303"/>
      <c r="G525" s="303"/>
      <c r="H525" s="303"/>
      <c r="I525" s="303"/>
      <c r="J525" s="303"/>
      <c r="K525" s="303"/>
      <c r="L525" s="303"/>
      <c r="M525" s="303"/>
      <c r="N525" s="303"/>
      <c r="O525" s="303"/>
      <c r="P525" s="303"/>
      <c r="Q525" s="303"/>
      <c r="R525" s="303"/>
      <c r="S525" s="303"/>
      <c r="T525" s="303"/>
      <c r="U525" s="303"/>
      <c r="V525" s="303"/>
      <c r="W525" s="303"/>
      <c r="X525" s="303"/>
      <c r="Y525" s="303"/>
      <c r="Z525" s="303"/>
    </row>
    <row r="526" spans="1:26" x14ac:dyDescent="0.2">
      <c r="A526" s="303"/>
      <c r="B526" s="303"/>
      <c r="C526" s="303"/>
      <c r="D526" s="303"/>
      <c r="E526" s="303"/>
      <c r="F526" s="303"/>
      <c r="G526" s="303"/>
      <c r="H526" s="303"/>
      <c r="I526" s="303"/>
      <c r="J526" s="303"/>
      <c r="K526" s="303"/>
      <c r="L526" s="303"/>
      <c r="M526" s="303"/>
      <c r="N526" s="303"/>
      <c r="O526" s="303"/>
      <c r="P526" s="303"/>
      <c r="Q526" s="303"/>
      <c r="R526" s="303"/>
      <c r="S526" s="303"/>
      <c r="T526" s="303"/>
      <c r="U526" s="303"/>
      <c r="V526" s="303"/>
      <c r="W526" s="303"/>
      <c r="X526" s="303"/>
      <c r="Y526" s="303"/>
      <c r="Z526" s="303"/>
    </row>
    <row r="527" spans="1:26" x14ac:dyDescent="0.2">
      <c r="A527" s="303"/>
      <c r="B527" s="303"/>
      <c r="C527" s="303"/>
      <c r="D527" s="303"/>
      <c r="E527" s="303"/>
      <c r="F527" s="303"/>
      <c r="G527" s="303"/>
      <c r="H527" s="303"/>
      <c r="I527" s="303"/>
      <c r="J527" s="303"/>
      <c r="K527" s="303"/>
      <c r="L527" s="303"/>
      <c r="M527" s="303"/>
      <c r="N527" s="303"/>
      <c r="O527" s="303"/>
      <c r="P527" s="303"/>
      <c r="Q527" s="303"/>
      <c r="R527" s="303"/>
      <c r="S527" s="303"/>
      <c r="T527" s="303"/>
      <c r="U527" s="303"/>
      <c r="V527" s="303"/>
      <c r="W527" s="303"/>
      <c r="X527" s="303"/>
      <c r="Y527" s="303"/>
      <c r="Z527" s="303"/>
    </row>
    <row r="528" spans="1:26" x14ac:dyDescent="0.2">
      <c r="A528" s="303"/>
      <c r="B528" s="303"/>
      <c r="C528" s="303"/>
      <c r="D528" s="303"/>
      <c r="E528" s="303"/>
      <c r="F528" s="303"/>
      <c r="G528" s="303"/>
      <c r="H528" s="303"/>
      <c r="I528" s="303"/>
      <c r="J528" s="303"/>
      <c r="K528" s="303"/>
      <c r="L528" s="303"/>
      <c r="M528" s="303"/>
      <c r="N528" s="303"/>
      <c r="O528" s="303"/>
      <c r="P528" s="303"/>
      <c r="Q528" s="303"/>
      <c r="R528" s="303"/>
      <c r="S528" s="303"/>
      <c r="T528" s="303"/>
      <c r="U528" s="303"/>
      <c r="V528" s="303"/>
      <c r="W528" s="303"/>
      <c r="X528" s="303"/>
      <c r="Y528" s="303"/>
      <c r="Z528" s="303"/>
    </row>
    <row r="529" spans="1:26" x14ac:dyDescent="0.2">
      <c r="A529" s="303"/>
      <c r="B529" s="303"/>
      <c r="C529" s="303"/>
      <c r="D529" s="303"/>
      <c r="E529" s="303"/>
      <c r="F529" s="303"/>
      <c r="G529" s="303"/>
      <c r="H529" s="303"/>
      <c r="I529" s="303"/>
      <c r="J529" s="303"/>
      <c r="K529" s="303"/>
      <c r="L529" s="303"/>
      <c r="M529" s="303"/>
      <c r="N529" s="303"/>
      <c r="O529" s="303"/>
      <c r="P529" s="303"/>
      <c r="Q529" s="303"/>
      <c r="R529" s="303"/>
      <c r="S529" s="303"/>
      <c r="T529" s="303"/>
      <c r="U529" s="303"/>
      <c r="V529" s="303"/>
      <c r="W529" s="303"/>
      <c r="X529" s="303"/>
      <c r="Y529" s="303"/>
      <c r="Z529" s="303"/>
    </row>
    <row r="530" spans="1:26" x14ac:dyDescent="0.2">
      <c r="A530" s="303"/>
      <c r="B530" s="303"/>
      <c r="C530" s="303"/>
      <c r="D530" s="303"/>
      <c r="E530" s="303"/>
      <c r="F530" s="303"/>
      <c r="G530" s="303"/>
      <c r="H530" s="303"/>
      <c r="I530" s="303"/>
      <c r="J530" s="303"/>
      <c r="K530" s="303"/>
      <c r="L530" s="303"/>
      <c r="M530" s="303"/>
      <c r="N530" s="303"/>
      <c r="O530" s="303"/>
      <c r="P530" s="303"/>
      <c r="Q530" s="303"/>
      <c r="R530" s="303"/>
      <c r="S530" s="303"/>
      <c r="T530" s="303"/>
      <c r="U530" s="303"/>
      <c r="V530" s="303"/>
      <c r="W530" s="303"/>
      <c r="X530" s="303"/>
      <c r="Y530" s="303"/>
      <c r="Z530" s="303"/>
    </row>
    <row r="531" spans="1:26" x14ac:dyDescent="0.2">
      <c r="A531" s="303"/>
      <c r="B531" s="303"/>
      <c r="C531" s="303"/>
      <c r="D531" s="303"/>
      <c r="E531" s="303"/>
      <c r="F531" s="303"/>
      <c r="G531" s="303"/>
      <c r="H531" s="303"/>
      <c r="I531" s="303"/>
      <c r="J531" s="303"/>
      <c r="K531" s="303"/>
      <c r="L531" s="303"/>
      <c r="M531" s="303"/>
      <c r="N531" s="303"/>
      <c r="O531" s="303"/>
      <c r="P531" s="303"/>
      <c r="Q531" s="303"/>
      <c r="R531" s="303"/>
      <c r="S531" s="303"/>
      <c r="T531" s="303"/>
      <c r="U531" s="303"/>
      <c r="V531" s="303"/>
      <c r="W531" s="303"/>
      <c r="X531" s="303"/>
      <c r="Y531" s="303"/>
      <c r="Z531" s="303"/>
    </row>
    <row r="532" spans="1:26" x14ac:dyDescent="0.2">
      <c r="A532" s="303"/>
      <c r="B532" s="303"/>
      <c r="C532" s="303"/>
      <c r="D532" s="303"/>
      <c r="E532" s="303"/>
      <c r="F532" s="303"/>
      <c r="G532" s="303"/>
      <c r="H532" s="303"/>
      <c r="I532" s="303"/>
      <c r="J532" s="303"/>
      <c r="K532" s="303"/>
      <c r="L532" s="303"/>
      <c r="M532" s="303"/>
      <c r="N532" s="303"/>
      <c r="O532" s="303"/>
      <c r="P532" s="303"/>
      <c r="Q532" s="303"/>
      <c r="R532" s="303"/>
      <c r="S532" s="303"/>
      <c r="T532" s="303"/>
      <c r="U532" s="303"/>
      <c r="V532" s="303"/>
      <c r="W532" s="303"/>
      <c r="X532" s="303"/>
      <c r="Y532" s="303"/>
      <c r="Z532" s="303"/>
    </row>
    <row r="533" spans="1:26" x14ac:dyDescent="0.2">
      <c r="A533" s="303"/>
      <c r="B533" s="303"/>
      <c r="C533" s="303"/>
      <c r="D533" s="303"/>
      <c r="E533" s="303"/>
      <c r="F533" s="303"/>
      <c r="G533" s="303"/>
      <c r="H533" s="303"/>
      <c r="I533" s="303"/>
      <c r="J533" s="303"/>
      <c r="K533" s="303"/>
      <c r="L533" s="303"/>
      <c r="M533" s="303"/>
      <c r="N533" s="303"/>
      <c r="O533" s="303"/>
      <c r="P533" s="303"/>
      <c r="Q533" s="303"/>
      <c r="R533" s="303"/>
      <c r="S533" s="303"/>
      <c r="T533" s="303"/>
      <c r="U533" s="303"/>
      <c r="V533" s="303"/>
      <c r="W533" s="303"/>
      <c r="X533" s="303"/>
      <c r="Y533" s="303"/>
      <c r="Z533" s="303"/>
    </row>
    <row r="534" spans="1:26" x14ac:dyDescent="0.2">
      <c r="A534" s="303"/>
      <c r="B534" s="303"/>
      <c r="C534" s="303"/>
      <c r="D534" s="303"/>
      <c r="E534" s="303"/>
      <c r="F534" s="303"/>
      <c r="G534" s="303"/>
      <c r="H534" s="303"/>
      <c r="I534" s="303"/>
      <c r="J534" s="303"/>
      <c r="K534" s="303"/>
      <c r="L534" s="303"/>
      <c r="M534" s="303"/>
      <c r="N534" s="303"/>
      <c r="O534" s="303"/>
      <c r="P534" s="303"/>
      <c r="Q534" s="303"/>
      <c r="R534" s="303"/>
      <c r="S534" s="303"/>
      <c r="T534" s="303"/>
      <c r="U534" s="303"/>
      <c r="V534" s="303"/>
      <c r="W534" s="303"/>
      <c r="X534" s="303"/>
      <c r="Y534" s="303"/>
      <c r="Z534" s="303"/>
    </row>
    <row r="535" spans="1:26" x14ac:dyDescent="0.2">
      <c r="A535" s="303"/>
      <c r="B535" s="303"/>
      <c r="C535" s="303"/>
      <c r="D535" s="303"/>
      <c r="E535" s="303"/>
      <c r="F535" s="303"/>
      <c r="G535" s="303"/>
      <c r="H535" s="303"/>
      <c r="I535" s="303"/>
      <c r="J535" s="303"/>
      <c r="K535" s="303"/>
      <c r="L535" s="303"/>
      <c r="M535" s="303"/>
      <c r="N535" s="303"/>
      <c r="O535" s="303"/>
      <c r="P535" s="303"/>
      <c r="Q535" s="303"/>
      <c r="R535" s="303"/>
      <c r="S535" s="303"/>
      <c r="T535" s="303"/>
      <c r="U535" s="303"/>
      <c r="V535" s="303"/>
      <c r="W535" s="303"/>
      <c r="X535" s="303"/>
      <c r="Y535" s="303"/>
      <c r="Z535" s="303"/>
    </row>
    <row r="536" spans="1:26" x14ac:dyDescent="0.2">
      <c r="A536" s="303"/>
      <c r="B536" s="303"/>
      <c r="C536" s="303"/>
      <c r="D536" s="303"/>
      <c r="E536" s="303"/>
      <c r="F536" s="303"/>
      <c r="G536" s="303"/>
      <c r="H536" s="303"/>
      <c r="I536" s="303"/>
      <c r="J536" s="303"/>
      <c r="K536" s="303"/>
      <c r="L536" s="303"/>
      <c r="M536" s="303"/>
      <c r="N536" s="303"/>
      <c r="O536" s="303"/>
      <c r="P536" s="303"/>
      <c r="Q536" s="303"/>
      <c r="R536" s="303"/>
      <c r="S536" s="303"/>
      <c r="T536" s="303"/>
      <c r="U536" s="303"/>
      <c r="V536" s="303"/>
      <c r="W536" s="303"/>
      <c r="X536" s="303"/>
      <c r="Y536" s="303"/>
      <c r="Z536" s="303"/>
    </row>
    <row r="537" spans="1:26" x14ac:dyDescent="0.2">
      <c r="A537" s="303"/>
      <c r="B537" s="303"/>
      <c r="C537" s="303"/>
      <c r="D537" s="303"/>
      <c r="E537" s="303"/>
      <c r="F537" s="303"/>
      <c r="G537" s="303"/>
      <c r="H537" s="303"/>
      <c r="I537" s="303"/>
      <c r="J537" s="303"/>
      <c r="K537" s="303"/>
      <c r="L537" s="303"/>
      <c r="M537" s="303"/>
      <c r="N537" s="303"/>
      <c r="O537" s="303"/>
      <c r="P537" s="303"/>
      <c r="Q537" s="303"/>
      <c r="R537" s="303"/>
      <c r="S537" s="303"/>
      <c r="T537" s="303"/>
      <c r="U537" s="303"/>
      <c r="V537" s="303"/>
      <c r="W537" s="303"/>
      <c r="X537" s="303"/>
      <c r="Y537" s="303"/>
      <c r="Z537" s="303"/>
    </row>
    <row r="538" spans="1:26" x14ac:dyDescent="0.2">
      <c r="A538" s="303"/>
      <c r="B538" s="303"/>
      <c r="C538" s="303"/>
      <c r="D538" s="303"/>
      <c r="E538" s="303"/>
      <c r="F538" s="303"/>
      <c r="G538" s="303"/>
      <c r="H538" s="303"/>
      <c r="I538" s="303"/>
      <c r="J538" s="303"/>
      <c r="K538" s="303"/>
      <c r="L538" s="303"/>
      <c r="M538" s="303"/>
      <c r="N538" s="303"/>
      <c r="O538" s="303"/>
      <c r="P538" s="303"/>
      <c r="Q538" s="303"/>
      <c r="R538" s="303"/>
      <c r="S538" s="303"/>
      <c r="T538" s="303"/>
      <c r="U538" s="303"/>
      <c r="V538" s="303"/>
      <c r="W538" s="303"/>
      <c r="X538" s="303"/>
      <c r="Y538" s="303"/>
      <c r="Z538" s="303"/>
    </row>
    <row r="539" spans="1:26" x14ac:dyDescent="0.2">
      <c r="A539" s="303"/>
      <c r="B539" s="303"/>
      <c r="C539" s="303"/>
      <c r="D539" s="303"/>
      <c r="E539" s="303"/>
      <c r="F539" s="303"/>
      <c r="G539" s="303"/>
      <c r="H539" s="303"/>
      <c r="I539" s="303"/>
      <c r="J539" s="303"/>
      <c r="K539" s="303"/>
      <c r="L539" s="303"/>
      <c r="M539" s="303"/>
      <c r="N539" s="303"/>
      <c r="O539" s="303"/>
      <c r="P539" s="303"/>
      <c r="Q539" s="303"/>
      <c r="R539" s="303"/>
      <c r="S539" s="303"/>
      <c r="T539" s="303"/>
      <c r="U539" s="303"/>
      <c r="V539" s="303"/>
      <c r="W539" s="303"/>
      <c r="X539" s="303"/>
      <c r="Y539" s="303"/>
      <c r="Z539" s="303"/>
    </row>
    <row r="540" spans="1:26" x14ac:dyDescent="0.2">
      <c r="A540" s="303"/>
      <c r="B540" s="303"/>
      <c r="C540" s="303"/>
      <c r="D540" s="303"/>
      <c r="E540" s="303"/>
      <c r="F540" s="303"/>
      <c r="G540" s="303"/>
      <c r="H540" s="303"/>
      <c r="I540" s="303"/>
      <c r="J540" s="303"/>
      <c r="K540" s="303"/>
      <c r="L540" s="303"/>
      <c r="M540" s="303"/>
      <c r="N540" s="303"/>
      <c r="O540" s="303"/>
      <c r="P540" s="303"/>
      <c r="Q540" s="303"/>
      <c r="R540" s="303"/>
      <c r="S540" s="303"/>
      <c r="T540" s="303"/>
      <c r="U540" s="303"/>
      <c r="V540" s="303"/>
      <c r="W540" s="303"/>
      <c r="X540" s="303"/>
      <c r="Y540" s="303"/>
      <c r="Z540" s="303"/>
    </row>
    <row r="541" spans="1:26" x14ac:dyDescent="0.2">
      <c r="A541" s="303"/>
      <c r="B541" s="303"/>
      <c r="C541" s="303"/>
      <c r="D541" s="303"/>
      <c r="E541" s="303"/>
      <c r="F541" s="303"/>
      <c r="G541" s="303"/>
      <c r="H541" s="303"/>
      <c r="I541" s="303"/>
      <c r="J541" s="303"/>
      <c r="K541" s="303"/>
      <c r="L541" s="303"/>
      <c r="M541" s="303"/>
      <c r="N541" s="303"/>
      <c r="O541" s="303"/>
      <c r="P541" s="303"/>
      <c r="Q541" s="303"/>
      <c r="R541" s="303"/>
      <c r="S541" s="303"/>
      <c r="T541" s="303"/>
      <c r="U541" s="303"/>
      <c r="V541" s="303"/>
      <c r="W541" s="303"/>
      <c r="X541" s="303"/>
      <c r="Y541" s="303"/>
      <c r="Z541" s="303"/>
    </row>
    <row r="542" spans="1:26" x14ac:dyDescent="0.2">
      <c r="A542" s="303"/>
      <c r="B542" s="303"/>
      <c r="C542" s="303"/>
      <c r="D542" s="303"/>
      <c r="E542" s="303"/>
      <c r="F542" s="303"/>
      <c r="G542" s="303"/>
      <c r="H542" s="303"/>
      <c r="I542" s="303"/>
      <c r="J542" s="303"/>
      <c r="K542" s="303"/>
      <c r="L542" s="303"/>
      <c r="M542" s="303"/>
      <c r="N542" s="303"/>
      <c r="O542" s="303"/>
      <c r="P542" s="303"/>
      <c r="Q542" s="303"/>
      <c r="R542" s="303"/>
      <c r="S542" s="303"/>
      <c r="T542" s="303"/>
      <c r="U542" s="303"/>
      <c r="V542" s="303"/>
      <c r="W542" s="303"/>
      <c r="X542" s="303"/>
      <c r="Y542" s="303"/>
      <c r="Z542" s="303"/>
    </row>
    <row r="543" spans="1:26" x14ac:dyDescent="0.2">
      <c r="A543" s="303"/>
      <c r="B543" s="303"/>
      <c r="C543" s="303"/>
      <c r="D543" s="303"/>
      <c r="E543" s="303"/>
      <c r="F543" s="303"/>
      <c r="G543" s="303"/>
      <c r="H543" s="303"/>
      <c r="I543" s="303"/>
      <c r="J543" s="303"/>
      <c r="K543" s="303"/>
      <c r="L543" s="303"/>
      <c r="M543" s="303"/>
      <c r="N543" s="303"/>
      <c r="O543" s="303"/>
      <c r="P543" s="303"/>
      <c r="Q543" s="303"/>
      <c r="R543" s="303"/>
      <c r="S543" s="303"/>
      <c r="T543" s="303"/>
      <c r="U543" s="303"/>
      <c r="V543" s="303"/>
      <c r="W543" s="303"/>
      <c r="X543" s="303"/>
      <c r="Y543" s="303"/>
      <c r="Z543" s="303"/>
    </row>
    <row r="544" spans="1:26" x14ac:dyDescent="0.2">
      <c r="A544" s="303"/>
      <c r="B544" s="303"/>
      <c r="C544" s="303"/>
      <c r="D544" s="303"/>
      <c r="E544" s="303"/>
      <c r="F544" s="303"/>
      <c r="G544" s="303"/>
      <c r="H544" s="303"/>
      <c r="I544" s="303"/>
      <c r="J544" s="303"/>
      <c r="K544" s="303"/>
      <c r="L544" s="303"/>
      <c r="M544" s="303"/>
      <c r="N544" s="303"/>
      <c r="O544" s="303"/>
      <c r="P544" s="303"/>
      <c r="Q544" s="303"/>
      <c r="R544" s="303"/>
      <c r="S544" s="303"/>
      <c r="T544" s="303"/>
      <c r="U544" s="303"/>
      <c r="V544" s="303"/>
      <c r="W544" s="303"/>
      <c r="X544" s="303"/>
      <c r="Y544" s="303"/>
      <c r="Z544" s="303"/>
    </row>
    <row r="545" spans="1:26" x14ac:dyDescent="0.2">
      <c r="A545" s="303"/>
      <c r="B545" s="303"/>
      <c r="C545" s="303"/>
      <c r="D545" s="303"/>
      <c r="E545" s="303"/>
      <c r="F545" s="303"/>
      <c r="G545" s="303"/>
      <c r="H545" s="303"/>
      <c r="I545" s="303"/>
      <c r="J545" s="303"/>
      <c r="K545" s="303"/>
      <c r="L545" s="303"/>
      <c r="M545" s="303"/>
      <c r="N545" s="303"/>
      <c r="O545" s="303"/>
      <c r="P545" s="303"/>
      <c r="Q545" s="303"/>
      <c r="R545" s="303"/>
      <c r="S545" s="303"/>
      <c r="T545" s="303"/>
      <c r="U545" s="303"/>
      <c r="V545" s="303"/>
      <c r="W545" s="303"/>
      <c r="X545" s="303"/>
      <c r="Y545" s="303"/>
      <c r="Z545" s="303"/>
    </row>
    <row r="546" spans="1:26" x14ac:dyDescent="0.2">
      <c r="A546" s="303"/>
      <c r="B546" s="303"/>
      <c r="C546" s="303"/>
      <c r="D546" s="303"/>
      <c r="E546" s="303"/>
      <c r="F546" s="303"/>
      <c r="G546" s="303"/>
      <c r="H546" s="303"/>
      <c r="I546" s="303"/>
      <c r="J546" s="303"/>
      <c r="K546" s="303"/>
      <c r="L546" s="303"/>
      <c r="M546" s="303"/>
      <c r="N546" s="303"/>
      <c r="O546" s="303"/>
      <c r="P546" s="303"/>
      <c r="Q546" s="303"/>
      <c r="R546" s="303"/>
      <c r="S546" s="303"/>
      <c r="T546" s="303"/>
      <c r="U546" s="303"/>
      <c r="V546" s="303"/>
      <c r="W546" s="303"/>
      <c r="X546" s="303"/>
      <c r="Y546" s="303"/>
      <c r="Z546" s="303"/>
    </row>
    <row r="547" spans="1:26" x14ac:dyDescent="0.2">
      <c r="A547" s="303"/>
      <c r="B547" s="303"/>
      <c r="C547" s="303"/>
      <c r="D547" s="303"/>
      <c r="E547" s="303"/>
      <c r="F547" s="303"/>
      <c r="G547" s="303"/>
      <c r="H547" s="303"/>
      <c r="I547" s="303"/>
      <c r="J547" s="303"/>
      <c r="K547" s="303"/>
      <c r="L547" s="303"/>
      <c r="M547" s="303"/>
      <c r="N547" s="303"/>
      <c r="O547" s="303"/>
      <c r="P547" s="303"/>
      <c r="Q547" s="303"/>
      <c r="R547" s="303"/>
      <c r="S547" s="303"/>
      <c r="T547" s="303"/>
      <c r="U547" s="303"/>
      <c r="V547" s="303"/>
      <c r="W547" s="303"/>
      <c r="X547" s="303"/>
      <c r="Y547" s="303"/>
      <c r="Z547" s="303"/>
    </row>
    <row r="548" spans="1:26" x14ac:dyDescent="0.2">
      <c r="A548" s="303"/>
      <c r="B548" s="303"/>
      <c r="C548" s="303"/>
      <c r="D548" s="303"/>
      <c r="E548" s="303"/>
      <c r="F548" s="303"/>
      <c r="G548" s="303"/>
      <c r="H548" s="303"/>
      <c r="I548" s="303"/>
      <c r="J548" s="303"/>
      <c r="K548" s="303"/>
      <c r="L548" s="303"/>
      <c r="M548" s="303"/>
      <c r="N548" s="303"/>
      <c r="O548" s="303"/>
      <c r="P548" s="303"/>
      <c r="Q548" s="303"/>
      <c r="R548" s="303"/>
      <c r="S548" s="303"/>
      <c r="T548" s="303"/>
      <c r="U548" s="303"/>
      <c r="V548" s="303"/>
      <c r="W548" s="303"/>
      <c r="X548" s="303"/>
      <c r="Y548" s="303"/>
      <c r="Z548" s="303"/>
    </row>
    <row r="549" spans="1:26" x14ac:dyDescent="0.2">
      <c r="A549" s="303"/>
      <c r="B549" s="303"/>
      <c r="C549" s="303"/>
      <c r="D549" s="303"/>
      <c r="E549" s="303"/>
      <c r="F549" s="303"/>
      <c r="G549" s="303"/>
      <c r="H549" s="303"/>
      <c r="I549" s="303"/>
      <c r="J549" s="303"/>
      <c r="K549" s="303"/>
      <c r="L549" s="303"/>
      <c r="M549" s="303"/>
      <c r="N549" s="303"/>
      <c r="O549" s="303"/>
      <c r="P549" s="303"/>
      <c r="Q549" s="303"/>
      <c r="R549" s="303"/>
      <c r="S549" s="303"/>
      <c r="T549" s="303"/>
      <c r="U549" s="303"/>
      <c r="V549" s="303"/>
      <c r="W549" s="303"/>
      <c r="X549" s="303"/>
      <c r="Y549" s="303"/>
      <c r="Z549" s="303"/>
    </row>
    <row r="550" spans="1:26" x14ac:dyDescent="0.2">
      <c r="A550" s="303"/>
      <c r="B550" s="303"/>
      <c r="C550" s="303"/>
      <c r="D550" s="303"/>
      <c r="E550" s="303"/>
      <c r="F550" s="303"/>
      <c r="G550" s="303"/>
      <c r="H550" s="303"/>
      <c r="I550" s="303"/>
      <c r="J550" s="303"/>
      <c r="K550" s="303"/>
      <c r="L550" s="303"/>
      <c r="M550" s="303"/>
      <c r="N550" s="303"/>
      <c r="O550" s="303"/>
      <c r="P550" s="303"/>
      <c r="Q550" s="303"/>
      <c r="R550" s="303"/>
      <c r="S550" s="303"/>
      <c r="T550" s="303"/>
      <c r="U550" s="303"/>
      <c r="V550" s="303"/>
      <c r="W550" s="303"/>
      <c r="X550" s="303"/>
      <c r="Y550" s="303"/>
      <c r="Z550" s="303"/>
    </row>
    <row r="551" spans="1:26" x14ac:dyDescent="0.2">
      <c r="A551" s="303"/>
      <c r="B551" s="303"/>
      <c r="C551" s="303"/>
      <c r="D551" s="303"/>
      <c r="E551" s="303"/>
      <c r="F551" s="303"/>
      <c r="G551" s="303"/>
      <c r="H551" s="303"/>
      <c r="I551" s="303"/>
      <c r="J551" s="303"/>
      <c r="K551" s="303"/>
      <c r="L551" s="303"/>
      <c r="M551" s="303"/>
      <c r="N551" s="303"/>
      <c r="O551" s="303"/>
      <c r="P551" s="303"/>
      <c r="Q551" s="303"/>
      <c r="R551" s="303"/>
      <c r="S551" s="303"/>
      <c r="T551" s="303"/>
      <c r="U551" s="303"/>
      <c r="V551" s="303"/>
      <c r="W551" s="303"/>
      <c r="X551" s="303"/>
      <c r="Y551" s="303"/>
      <c r="Z551" s="303"/>
    </row>
    <row r="552" spans="1:26" x14ac:dyDescent="0.2">
      <c r="A552" s="303"/>
      <c r="B552" s="303"/>
      <c r="C552" s="303"/>
      <c r="D552" s="303"/>
      <c r="E552" s="303"/>
      <c r="F552" s="303"/>
      <c r="G552" s="303"/>
      <c r="H552" s="303"/>
      <c r="I552" s="303"/>
      <c r="J552" s="303"/>
      <c r="K552" s="303"/>
      <c r="L552" s="303"/>
      <c r="M552" s="303"/>
      <c r="N552" s="303"/>
      <c r="O552" s="303"/>
      <c r="P552" s="303"/>
      <c r="Q552" s="303"/>
      <c r="R552" s="303"/>
      <c r="S552" s="303"/>
      <c r="T552" s="303"/>
      <c r="U552" s="303"/>
      <c r="V552" s="303"/>
      <c r="W552" s="303"/>
      <c r="X552" s="303"/>
      <c r="Y552" s="303"/>
      <c r="Z552" s="303"/>
    </row>
    <row r="553" spans="1:26" x14ac:dyDescent="0.2">
      <c r="A553" s="303"/>
      <c r="B553" s="303"/>
      <c r="C553" s="303"/>
      <c r="D553" s="303"/>
      <c r="E553" s="303"/>
      <c r="F553" s="303"/>
      <c r="G553" s="303"/>
      <c r="H553" s="303"/>
      <c r="I553" s="303"/>
      <c r="J553" s="303"/>
      <c r="K553" s="303"/>
      <c r="L553" s="303"/>
      <c r="M553" s="303"/>
      <c r="N553" s="303"/>
      <c r="O553" s="303"/>
      <c r="P553" s="303"/>
      <c r="Q553" s="303"/>
      <c r="R553" s="303"/>
      <c r="S553" s="303"/>
      <c r="T553" s="303"/>
      <c r="U553" s="303"/>
      <c r="V553" s="303"/>
      <c r="W553" s="303"/>
      <c r="X553" s="303"/>
      <c r="Y553" s="303"/>
      <c r="Z553" s="303"/>
    </row>
    <row r="554" spans="1:26" x14ac:dyDescent="0.2">
      <c r="A554" s="303"/>
      <c r="B554" s="303"/>
      <c r="C554" s="303"/>
      <c r="D554" s="303"/>
      <c r="E554" s="303"/>
      <c r="F554" s="303"/>
      <c r="G554" s="303"/>
      <c r="H554" s="303"/>
      <c r="I554" s="303"/>
      <c r="J554" s="303"/>
      <c r="K554" s="303"/>
      <c r="L554" s="303"/>
      <c r="M554" s="303"/>
      <c r="N554" s="303"/>
      <c r="O554" s="303"/>
      <c r="P554" s="303"/>
      <c r="Q554" s="303"/>
      <c r="R554" s="303"/>
      <c r="S554" s="303"/>
      <c r="T554" s="303"/>
      <c r="U554" s="303"/>
      <c r="V554" s="303"/>
      <c r="W554" s="303"/>
      <c r="X554" s="303"/>
      <c r="Y554" s="303"/>
      <c r="Z554" s="303"/>
    </row>
    <row r="555" spans="1:26" x14ac:dyDescent="0.2">
      <c r="A555" s="303"/>
      <c r="B555" s="303"/>
      <c r="C555" s="303"/>
      <c r="D555" s="303"/>
      <c r="E555" s="303"/>
      <c r="F555" s="303"/>
      <c r="G555" s="303"/>
      <c r="H555" s="303"/>
      <c r="I555" s="303"/>
      <c r="J555" s="303"/>
      <c r="K555" s="303"/>
      <c r="L555" s="303"/>
      <c r="M555" s="303"/>
      <c r="N555" s="303"/>
      <c r="O555" s="303"/>
      <c r="P555" s="303"/>
      <c r="Q555" s="303"/>
      <c r="R555" s="303"/>
      <c r="S555" s="303"/>
      <c r="T555" s="303"/>
      <c r="U555" s="303"/>
      <c r="V555" s="303"/>
      <c r="W555" s="303"/>
      <c r="X555" s="303"/>
      <c r="Y555" s="303"/>
      <c r="Z555" s="303"/>
    </row>
    <row r="556" spans="1:26" x14ac:dyDescent="0.2">
      <c r="A556" s="303"/>
      <c r="B556" s="303"/>
      <c r="C556" s="303"/>
      <c r="D556" s="303"/>
      <c r="E556" s="303"/>
      <c r="F556" s="303"/>
      <c r="G556" s="303"/>
      <c r="H556" s="303"/>
      <c r="I556" s="303"/>
      <c r="J556" s="303"/>
      <c r="K556" s="303"/>
      <c r="L556" s="303"/>
      <c r="M556" s="303"/>
      <c r="N556" s="303"/>
      <c r="O556" s="303"/>
      <c r="P556" s="303"/>
      <c r="Q556" s="303"/>
      <c r="R556" s="303"/>
      <c r="S556" s="303"/>
      <c r="T556" s="303"/>
      <c r="U556" s="303"/>
      <c r="V556" s="303"/>
      <c r="W556" s="303"/>
      <c r="X556" s="303"/>
      <c r="Y556" s="303"/>
      <c r="Z556" s="303"/>
    </row>
    <row r="557" spans="1:26" x14ac:dyDescent="0.2">
      <c r="A557" s="303"/>
      <c r="B557" s="303"/>
      <c r="C557" s="303"/>
      <c r="D557" s="303"/>
      <c r="E557" s="303"/>
      <c r="F557" s="303"/>
      <c r="G557" s="303"/>
      <c r="H557" s="303"/>
      <c r="I557" s="303"/>
      <c r="J557" s="303"/>
      <c r="K557" s="303"/>
      <c r="L557" s="303"/>
      <c r="M557" s="303"/>
      <c r="N557" s="303"/>
      <c r="O557" s="303"/>
      <c r="P557" s="303"/>
      <c r="Q557" s="303"/>
      <c r="R557" s="303"/>
      <c r="S557" s="303"/>
      <c r="T557" s="303"/>
      <c r="U557" s="303"/>
      <c r="V557" s="303"/>
      <c r="W557" s="303"/>
      <c r="X557" s="303"/>
      <c r="Y557" s="303"/>
      <c r="Z557" s="303"/>
    </row>
    <row r="558" spans="1:26" x14ac:dyDescent="0.2">
      <c r="A558" s="303"/>
      <c r="B558" s="303"/>
      <c r="C558" s="303"/>
      <c r="D558" s="303"/>
      <c r="E558" s="303"/>
      <c r="F558" s="303"/>
      <c r="G558" s="303"/>
      <c r="H558" s="303"/>
      <c r="I558" s="303"/>
      <c r="J558" s="303"/>
      <c r="K558" s="303"/>
      <c r="L558" s="303"/>
      <c r="M558" s="303"/>
      <c r="N558" s="303"/>
      <c r="O558" s="303"/>
      <c r="P558" s="303"/>
      <c r="Q558" s="303"/>
      <c r="R558" s="303"/>
      <c r="S558" s="303"/>
      <c r="T558" s="303"/>
      <c r="U558" s="303"/>
      <c r="V558" s="303"/>
      <c r="W558" s="303"/>
      <c r="X558" s="303"/>
      <c r="Y558" s="303"/>
      <c r="Z558" s="303"/>
    </row>
    <row r="559" spans="1:26" x14ac:dyDescent="0.2">
      <c r="A559" s="303"/>
      <c r="B559" s="303"/>
      <c r="C559" s="303"/>
      <c r="D559" s="303"/>
      <c r="E559" s="303"/>
      <c r="F559" s="303"/>
      <c r="G559" s="303"/>
      <c r="H559" s="303"/>
      <c r="I559" s="303"/>
      <c r="J559" s="303"/>
      <c r="K559" s="303"/>
      <c r="L559" s="303"/>
      <c r="M559" s="303"/>
      <c r="N559" s="303"/>
      <c r="O559" s="303"/>
      <c r="P559" s="303"/>
      <c r="Q559" s="303"/>
      <c r="R559" s="303"/>
      <c r="S559" s="303"/>
      <c r="T559" s="303"/>
      <c r="U559" s="303"/>
      <c r="V559" s="303"/>
      <c r="W559" s="303"/>
      <c r="X559" s="303"/>
      <c r="Y559" s="303"/>
      <c r="Z559" s="303"/>
    </row>
    <row r="560" spans="1:26" x14ac:dyDescent="0.2">
      <c r="A560" s="303"/>
      <c r="B560" s="303"/>
      <c r="C560" s="303"/>
      <c r="D560" s="303"/>
      <c r="E560" s="303"/>
      <c r="F560" s="303"/>
      <c r="G560" s="303"/>
      <c r="H560" s="303"/>
      <c r="I560" s="303"/>
      <c r="J560" s="303"/>
      <c r="K560" s="303"/>
      <c r="L560" s="303"/>
      <c r="M560" s="303"/>
      <c r="N560" s="303"/>
      <c r="O560" s="303"/>
      <c r="P560" s="303"/>
      <c r="Q560" s="303"/>
      <c r="R560" s="303"/>
      <c r="S560" s="303"/>
      <c r="T560" s="303"/>
      <c r="U560" s="303"/>
      <c r="V560" s="303"/>
      <c r="W560" s="303"/>
      <c r="X560" s="303"/>
      <c r="Y560" s="303"/>
      <c r="Z560" s="303"/>
    </row>
    <row r="561" spans="1:26" x14ac:dyDescent="0.2">
      <c r="A561" s="303"/>
      <c r="B561" s="303"/>
      <c r="C561" s="303"/>
      <c r="D561" s="303"/>
      <c r="E561" s="303"/>
      <c r="F561" s="303"/>
      <c r="G561" s="303"/>
      <c r="H561" s="303"/>
      <c r="I561" s="303"/>
      <c r="J561" s="303"/>
      <c r="K561" s="303"/>
      <c r="L561" s="303"/>
      <c r="M561" s="303"/>
      <c r="N561" s="303"/>
      <c r="O561" s="303"/>
      <c r="P561" s="303"/>
      <c r="Q561" s="303"/>
      <c r="R561" s="303"/>
      <c r="S561" s="303"/>
      <c r="T561" s="303"/>
      <c r="U561" s="303"/>
      <c r="V561" s="303"/>
      <c r="W561" s="303"/>
      <c r="X561" s="303"/>
      <c r="Y561" s="303"/>
      <c r="Z561" s="303"/>
    </row>
    <row r="562" spans="1:26" x14ac:dyDescent="0.2">
      <c r="A562" s="303"/>
      <c r="B562" s="303"/>
      <c r="C562" s="303"/>
      <c r="D562" s="303"/>
      <c r="E562" s="303"/>
      <c r="F562" s="303"/>
      <c r="G562" s="303"/>
      <c r="H562" s="303"/>
      <c r="I562" s="303"/>
      <c r="J562" s="303"/>
      <c r="K562" s="303"/>
      <c r="L562" s="303"/>
      <c r="M562" s="303"/>
      <c r="N562" s="303"/>
      <c r="O562" s="303"/>
      <c r="P562" s="303"/>
      <c r="Q562" s="303"/>
      <c r="R562" s="303"/>
      <c r="S562" s="303"/>
      <c r="T562" s="303"/>
      <c r="U562" s="303"/>
      <c r="V562" s="303"/>
      <c r="W562" s="303"/>
      <c r="X562" s="303"/>
      <c r="Y562" s="303"/>
      <c r="Z562" s="303"/>
    </row>
    <row r="563" spans="1:26" x14ac:dyDescent="0.2">
      <c r="A563" s="303"/>
      <c r="B563" s="303"/>
      <c r="C563" s="303"/>
      <c r="D563" s="303"/>
      <c r="E563" s="303"/>
      <c r="F563" s="303"/>
      <c r="G563" s="303"/>
      <c r="H563" s="303"/>
      <c r="I563" s="303"/>
      <c r="J563" s="303"/>
      <c r="K563" s="303"/>
      <c r="L563" s="303"/>
      <c r="M563" s="303"/>
      <c r="N563" s="303"/>
      <c r="O563" s="303"/>
      <c r="P563" s="303"/>
      <c r="Q563" s="303"/>
      <c r="R563" s="303"/>
      <c r="S563" s="303"/>
      <c r="T563" s="303"/>
      <c r="U563" s="303"/>
      <c r="V563" s="303"/>
      <c r="W563" s="303"/>
      <c r="X563" s="303"/>
      <c r="Y563" s="303"/>
      <c r="Z563" s="303"/>
    </row>
    <row r="564" spans="1:26" x14ac:dyDescent="0.2">
      <c r="A564" s="303"/>
      <c r="B564" s="303"/>
      <c r="C564" s="303"/>
      <c r="D564" s="303"/>
      <c r="E564" s="303"/>
      <c r="F564" s="303"/>
      <c r="G564" s="303"/>
      <c r="H564" s="303"/>
      <c r="I564" s="303"/>
      <c r="J564" s="303"/>
      <c r="K564" s="303"/>
      <c r="L564" s="303"/>
      <c r="M564" s="303"/>
      <c r="N564" s="303"/>
      <c r="O564" s="303"/>
      <c r="P564" s="303"/>
      <c r="Q564" s="303"/>
      <c r="R564" s="303"/>
      <c r="S564" s="303"/>
      <c r="T564" s="303"/>
      <c r="U564" s="303"/>
      <c r="V564" s="303"/>
      <c r="W564" s="303"/>
      <c r="X564" s="303"/>
      <c r="Y564" s="303"/>
      <c r="Z564" s="303"/>
    </row>
    <row r="565" spans="1:26" x14ac:dyDescent="0.2">
      <c r="A565" s="303"/>
      <c r="B565" s="303"/>
      <c r="C565" s="303"/>
      <c r="D565" s="303"/>
      <c r="E565" s="303"/>
      <c r="F565" s="303"/>
      <c r="G565" s="303"/>
      <c r="H565" s="303"/>
      <c r="I565" s="303"/>
      <c r="J565" s="303"/>
      <c r="K565" s="303"/>
      <c r="L565" s="303"/>
      <c r="M565" s="303"/>
      <c r="N565" s="303"/>
      <c r="O565" s="303"/>
      <c r="P565" s="303"/>
      <c r="Q565" s="303"/>
      <c r="R565" s="303"/>
      <c r="S565" s="303"/>
      <c r="T565" s="303"/>
      <c r="U565" s="303"/>
      <c r="V565" s="303"/>
      <c r="W565" s="303"/>
      <c r="X565" s="303"/>
      <c r="Y565" s="303"/>
      <c r="Z565" s="303"/>
    </row>
    <row r="566" spans="1:26" x14ac:dyDescent="0.2">
      <c r="A566" s="303"/>
      <c r="B566" s="303"/>
      <c r="C566" s="303"/>
      <c r="D566" s="303"/>
      <c r="E566" s="303"/>
      <c r="F566" s="303"/>
      <c r="G566" s="303"/>
      <c r="H566" s="303"/>
      <c r="I566" s="303"/>
      <c r="J566" s="303"/>
      <c r="K566" s="303"/>
      <c r="L566" s="303"/>
      <c r="M566" s="303"/>
      <c r="N566" s="303"/>
      <c r="O566" s="303"/>
      <c r="P566" s="303"/>
      <c r="Q566" s="303"/>
      <c r="R566" s="303"/>
      <c r="S566" s="303"/>
      <c r="T566" s="303"/>
      <c r="U566" s="303"/>
      <c r="V566" s="303"/>
      <c r="W566" s="303"/>
      <c r="X566" s="303"/>
      <c r="Y566" s="303"/>
      <c r="Z566" s="303"/>
    </row>
    <row r="567" spans="1:26" x14ac:dyDescent="0.2">
      <c r="A567" s="303"/>
      <c r="B567" s="303"/>
      <c r="C567" s="303"/>
      <c r="D567" s="303"/>
      <c r="E567" s="303"/>
      <c r="F567" s="303"/>
      <c r="G567" s="303"/>
      <c r="H567" s="303"/>
      <c r="I567" s="303"/>
      <c r="J567" s="303"/>
      <c r="K567" s="303"/>
      <c r="L567" s="303"/>
      <c r="M567" s="303"/>
      <c r="N567" s="303"/>
      <c r="O567" s="303"/>
      <c r="P567" s="303"/>
      <c r="Q567" s="303"/>
      <c r="R567" s="303"/>
      <c r="S567" s="303"/>
      <c r="T567" s="303"/>
      <c r="U567" s="303"/>
      <c r="V567" s="303"/>
      <c r="W567" s="303"/>
      <c r="X567" s="303"/>
      <c r="Y567" s="303"/>
      <c r="Z567" s="303"/>
    </row>
    <row r="568" spans="1:26" x14ac:dyDescent="0.2">
      <c r="A568" s="303"/>
      <c r="B568" s="303"/>
      <c r="C568" s="303"/>
      <c r="D568" s="303"/>
      <c r="E568" s="303"/>
      <c r="F568" s="303"/>
      <c r="G568" s="303"/>
      <c r="H568" s="303"/>
      <c r="I568" s="303"/>
      <c r="J568" s="303"/>
      <c r="K568" s="303"/>
      <c r="L568" s="303"/>
      <c r="M568" s="303"/>
      <c r="N568" s="303"/>
      <c r="O568" s="303"/>
      <c r="P568" s="303"/>
      <c r="Q568" s="303"/>
      <c r="R568" s="303"/>
      <c r="S568" s="303"/>
      <c r="T568" s="303"/>
      <c r="U568" s="303"/>
      <c r="V568" s="303"/>
      <c r="W568" s="303"/>
      <c r="X568" s="303"/>
      <c r="Y568" s="303"/>
      <c r="Z568" s="303"/>
    </row>
    <row r="569" spans="1:26" x14ac:dyDescent="0.2">
      <c r="A569" s="303"/>
      <c r="B569" s="303"/>
      <c r="C569" s="303"/>
      <c r="D569" s="303"/>
      <c r="E569" s="303"/>
      <c r="F569" s="303"/>
      <c r="G569" s="303"/>
      <c r="H569" s="303"/>
      <c r="I569" s="303"/>
      <c r="J569" s="303"/>
      <c r="K569" s="303"/>
      <c r="L569" s="303"/>
      <c r="M569" s="303"/>
      <c r="N569" s="303"/>
      <c r="O569" s="303"/>
      <c r="P569" s="303"/>
      <c r="Q569" s="303"/>
      <c r="R569" s="303"/>
      <c r="S569" s="303"/>
      <c r="T569" s="303"/>
      <c r="U569" s="303"/>
      <c r="V569" s="303"/>
      <c r="W569" s="303"/>
      <c r="X569" s="303"/>
      <c r="Y569" s="303"/>
      <c r="Z569" s="303"/>
    </row>
    <row r="570" spans="1:26" x14ac:dyDescent="0.2">
      <c r="A570" s="303"/>
      <c r="B570" s="303"/>
      <c r="C570" s="303"/>
      <c r="D570" s="303"/>
      <c r="E570" s="303"/>
      <c r="F570" s="303"/>
      <c r="G570" s="303"/>
      <c r="H570" s="303"/>
      <c r="I570" s="303"/>
      <c r="J570" s="303"/>
      <c r="K570" s="303"/>
      <c r="L570" s="303"/>
      <c r="M570" s="303"/>
      <c r="N570" s="303"/>
      <c r="O570" s="303"/>
      <c r="P570" s="303"/>
      <c r="Q570" s="303"/>
      <c r="R570" s="303"/>
      <c r="S570" s="303"/>
      <c r="T570" s="303"/>
      <c r="U570" s="303"/>
      <c r="V570" s="303"/>
      <c r="W570" s="303"/>
      <c r="X570" s="303"/>
      <c r="Y570" s="303"/>
      <c r="Z570" s="303"/>
    </row>
    <row r="571" spans="1:26" x14ac:dyDescent="0.2">
      <c r="A571" s="303"/>
      <c r="B571" s="303"/>
      <c r="C571" s="303"/>
      <c r="D571" s="303"/>
      <c r="E571" s="303"/>
      <c r="F571" s="303"/>
      <c r="G571" s="303"/>
      <c r="H571" s="303"/>
      <c r="I571" s="303"/>
      <c r="J571" s="303"/>
      <c r="K571" s="303"/>
      <c r="L571" s="303"/>
      <c r="M571" s="303"/>
      <c r="N571" s="303"/>
      <c r="O571" s="303"/>
      <c r="P571" s="303"/>
      <c r="Q571" s="303"/>
      <c r="R571" s="303"/>
      <c r="S571" s="303"/>
      <c r="T571" s="303"/>
      <c r="U571" s="303"/>
      <c r="V571" s="303"/>
      <c r="W571" s="303"/>
      <c r="X571" s="303"/>
      <c r="Y571" s="303"/>
      <c r="Z571" s="303"/>
    </row>
    <row r="572" spans="1:26" x14ac:dyDescent="0.2">
      <c r="A572" s="303"/>
      <c r="B572" s="303"/>
      <c r="C572" s="303"/>
      <c r="D572" s="303"/>
      <c r="E572" s="303"/>
      <c r="F572" s="303"/>
      <c r="G572" s="303"/>
      <c r="H572" s="303"/>
      <c r="I572" s="303"/>
      <c r="J572" s="303"/>
      <c r="K572" s="303"/>
      <c r="L572" s="303"/>
      <c r="M572" s="303"/>
      <c r="N572" s="303"/>
      <c r="O572" s="303"/>
      <c r="P572" s="303"/>
      <c r="Q572" s="303"/>
      <c r="R572" s="303"/>
      <c r="S572" s="303"/>
      <c r="T572" s="303"/>
      <c r="U572" s="303"/>
      <c r="V572" s="303"/>
      <c r="W572" s="303"/>
      <c r="X572" s="303"/>
      <c r="Y572" s="303"/>
      <c r="Z572" s="303"/>
    </row>
    <row r="573" spans="1:26" x14ac:dyDescent="0.2">
      <c r="A573" s="303"/>
      <c r="B573" s="303"/>
      <c r="C573" s="303"/>
      <c r="D573" s="303"/>
      <c r="E573" s="303"/>
      <c r="F573" s="303"/>
      <c r="G573" s="303"/>
      <c r="H573" s="303"/>
      <c r="I573" s="303"/>
      <c r="J573" s="303"/>
      <c r="K573" s="303"/>
      <c r="L573" s="303"/>
      <c r="M573" s="303"/>
      <c r="N573" s="303"/>
      <c r="O573" s="303"/>
      <c r="P573" s="303"/>
      <c r="Q573" s="303"/>
      <c r="R573" s="303"/>
      <c r="S573" s="303"/>
      <c r="T573" s="303"/>
      <c r="U573" s="303"/>
      <c r="V573" s="303"/>
      <c r="W573" s="303"/>
      <c r="X573" s="303"/>
      <c r="Y573" s="303"/>
      <c r="Z573" s="303"/>
    </row>
    <row r="574" spans="1:26" x14ac:dyDescent="0.2">
      <c r="A574" s="303"/>
      <c r="B574" s="303"/>
      <c r="C574" s="303"/>
      <c r="D574" s="303"/>
      <c r="E574" s="303"/>
      <c r="F574" s="303"/>
      <c r="G574" s="303"/>
      <c r="H574" s="303"/>
      <c r="I574" s="303"/>
      <c r="J574" s="303"/>
      <c r="K574" s="303"/>
      <c r="L574" s="303"/>
      <c r="M574" s="303"/>
      <c r="N574" s="303"/>
      <c r="O574" s="303"/>
      <c r="P574" s="303"/>
      <c r="Q574" s="303"/>
      <c r="R574" s="303"/>
      <c r="S574" s="303"/>
      <c r="T574" s="303"/>
      <c r="U574" s="303"/>
      <c r="V574" s="303"/>
      <c r="W574" s="303"/>
      <c r="X574" s="303"/>
      <c r="Y574" s="303"/>
      <c r="Z574" s="303"/>
    </row>
    <row r="575" spans="1:26" x14ac:dyDescent="0.2">
      <c r="A575" s="303"/>
      <c r="B575" s="303"/>
      <c r="C575" s="303"/>
      <c r="D575" s="303"/>
      <c r="E575" s="303"/>
      <c r="F575" s="303"/>
      <c r="G575" s="303"/>
      <c r="H575" s="303"/>
      <c r="I575" s="303"/>
      <c r="J575" s="303"/>
      <c r="K575" s="303"/>
      <c r="L575" s="303"/>
      <c r="M575" s="303"/>
      <c r="N575" s="303"/>
      <c r="O575" s="303"/>
      <c r="P575" s="303"/>
      <c r="Q575" s="303"/>
      <c r="R575" s="303"/>
      <c r="S575" s="303"/>
      <c r="T575" s="303"/>
      <c r="U575" s="303"/>
      <c r="V575" s="303"/>
      <c r="W575" s="303"/>
      <c r="X575" s="303"/>
      <c r="Y575" s="303"/>
      <c r="Z575" s="303"/>
    </row>
    <row r="576" spans="1:26" x14ac:dyDescent="0.2">
      <c r="A576" s="303"/>
      <c r="B576" s="303"/>
      <c r="C576" s="303"/>
      <c r="D576" s="303"/>
      <c r="E576" s="303"/>
      <c r="F576" s="303"/>
      <c r="G576" s="303"/>
      <c r="H576" s="303"/>
      <c r="I576" s="303"/>
      <c r="J576" s="303"/>
      <c r="K576" s="303"/>
      <c r="L576" s="303"/>
      <c r="M576" s="303"/>
      <c r="N576" s="303"/>
      <c r="O576" s="303"/>
      <c r="P576" s="303"/>
      <c r="Q576" s="303"/>
      <c r="R576" s="303"/>
      <c r="S576" s="303"/>
      <c r="T576" s="303"/>
      <c r="U576" s="303"/>
      <c r="V576" s="303"/>
      <c r="W576" s="303"/>
      <c r="X576" s="303"/>
      <c r="Y576" s="303"/>
      <c r="Z576" s="303"/>
    </row>
    <row r="577" spans="1:26" x14ac:dyDescent="0.2">
      <c r="A577" s="303"/>
      <c r="B577" s="303"/>
      <c r="C577" s="303"/>
      <c r="D577" s="303"/>
      <c r="E577" s="303"/>
      <c r="F577" s="303"/>
      <c r="G577" s="303"/>
      <c r="H577" s="303"/>
      <c r="I577" s="303"/>
      <c r="J577" s="303"/>
      <c r="K577" s="303"/>
      <c r="L577" s="303"/>
      <c r="M577" s="303"/>
      <c r="N577" s="303"/>
      <c r="O577" s="303"/>
      <c r="P577" s="303"/>
      <c r="Q577" s="303"/>
      <c r="R577" s="303"/>
      <c r="S577" s="303"/>
      <c r="T577" s="303"/>
      <c r="U577" s="303"/>
      <c r="V577" s="303"/>
      <c r="W577" s="303"/>
      <c r="X577" s="303"/>
      <c r="Y577" s="303"/>
      <c r="Z577" s="303"/>
    </row>
    <row r="578" spans="1:26" x14ac:dyDescent="0.2">
      <c r="A578" s="303"/>
      <c r="B578" s="303"/>
      <c r="C578" s="303"/>
      <c r="D578" s="303"/>
      <c r="E578" s="303"/>
      <c r="F578" s="303"/>
      <c r="G578" s="303"/>
      <c r="H578" s="303"/>
      <c r="I578" s="303"/>
      <c r="J578" s="303"/>
      <c r="K578" s="303"/>
      <c r="L578" s="303"/>
      <c r="M578" s="303"/>
      <c r="N578" s="303"/>
      <c r="O578" s="303"/>
      <c r="P578" s="303"/>
      <c r="Q578" s="303"/>
      <c r="R578" s="303"/>
      <c r="S578" s="303"/>
      <c r="T578" s="303"/>
      <c r="U578" s="303"/>
      <c r="V578" s="303"/>
      <c r="W578" s="303"/>
      <c r="X578" s="303"/>
      <c r="Y578" s="303"/>
      <c r="Z578" s="303"/>
    </row>
    <row r="579" spans="1:26" x14ac:dyDescent="0.2">
      <c r="A579" s="303"/>
      <c r="B579" s="303"/>
      <c r="C579" s="303"/>
      <c r="D579" s="303"/>
      <c r="E579" s="303"/>
      <c r="F579" s="303"/>
      <c r="G579" s="303"/>
      <c r="H579" s="303"/>
      <c r="I579" s="303"/>
      <c r="J579" s="303"/>
      <c r="K579" s="303"/>
      <c r="L579" s="303"/>
      <c r="M579" s="303"/>
      <c r="N579" s="303"/>
      <c r="O579" s="303"/>
      <c r="P579" s="303"/>
      <c r="Q579" s="303"/>
      <c r="R579" s="303"/>
      <c r="S579" s="303"/>
      <c r="T579" s="303"/>
      <c r="U579" s="303"/>
      <c r="V579" s="303"/>
      <c r="W579" s="303"/>
      <c r="X579" s="303"/>
      <c r="Y579" s="303"/>
      <c r="Z579" s="303"/>
    </row>
    <row r="580" spans="1:26" x14ac:dyDescent="0.2">
      <c r="A580" s="303"/>
      <c r="B580" s="303"/>
      <c r="C580" s="303"/>
      <c r="D580" s="303"/>
      <c r="E580" s="303"/>
      <c r="F580" s="303"/>
      <c r="G580" s="303"/>
      <c r="H580" s="303"/>
      <c r="I580" s="303"/>
      <c r="J580" s="303"/>
      <c r="K580" s="303"/>
      <c r="L580" s="303"/>
      <c r="M580" s="303"/>
      <c r="N580" s="303"/>
      <c r="O580" s="303"/>
      <c r="P580" s="303"/>
      <c r="Q580" s="303"/>
      <c r="R580" s="303"/>
      <c r="S580" s="303"/>
      <c r="T580" s="303"/>
      <c r="U580" s="303"/>
      <c r="V580" s="303"/>
      <c r="W580" s="303"/>
      <c r="X580" s="303"/>
      <c r="Y580" s="303"/>
      <c r="Z580" s="303"/>
    </row>
    <row r="581" spans="1:26" x14ac:dyDescent="0.2">
      <c r="A581" s="303"/>
      <c r="B581" s="303"/>
      <c r="C581" s="303"/>
      <c r="D581" s="303"/>
      <c r="E581" s="303"/>
      <c r="F581" s="303"/>
      <c r="G581" s="303"/>
      <c r="H581" s="303"/>
      <c r="I581" s="303"/>
      <c r="J581" s="303"/>
      <c r="K581" s="303"/>
      <c r="L581" s="303"/>
      <c r="M581" s="303"/>
      <c r="N581" s="303"/>
      <c r="O581" s="303"/>
      <c r="P581" s="303"/>
      <c r="Q581" s="303"/>
      <c r="R581" s="303"/>
      <c r="S581" s="303"/>
      <c r="T581" s="303"/>
      <c r="U581" s="303"/>
      <c r="V581" s="303"/>
      <c r="W581" s="303"/>
      <c r="X581" s="303"/>
      <c r="Y581" s="303"/>
      <c r="Z581" s="303"/>
    </row>
    <row r="582" spans="1:26" x14ac:dyDescent="0.2">
      <c r="A582" s="303"/>
      <c r="B582" s="303"/>
      <c r="C582" s="303"/>
      <c r="D582" s="303"/>
      <c r="E582" s="303"/>
      <c r="F582" s="303"/>
      <c r="G582" s="303"/>
      <c r="H582" s="303"/>
      <c r="I582" s="303"/>
      <c r="J582" s="303"/>
      <c r="K582" s="303"/>
      <c r="L582" s="303"/>
      <c r="M582" s="303"/>
      <c r="N582" s="303"/>
      <c r="O582" s="303"/>
      <c r="P582" s="303"/>
      <c r="Q582" s="303"/>
      <c r="R582" s="303"/>
      <c r="S582" s="303"/>
      <c r="T582" s="303"/>
      <c r="U582" s="303"/>
      <c r="V582" s="303"/>
      <c r="W582" s="303"/>
      <c r="X582" s="303"/>
      <c r="Y582" s="303"/>
      <c r="Z582" s="303"/>
    </row>
    <row r="583" spans="1:26" x14ac:dyDescent="0.2">
      <c r="A583" s="303"/>
      <c r="B583" s="303"/>
      <c r="C583" s="303"/>
      <c r="D583" s="303"/>
      <c r="E583" s="303"/>
      <c r="F583" s="303"/>
      <c r="G583" s="303"/>
      <c r="H583" s="303"/>
      <c r="I583" s="303"/>
      <c r="J583" s="303"/>
      <c r="K583" s="303"/>
      <c r="L583" s="303"/>
      <c r="M583" s="303"/>
      <c r="N583" s="303"/>
      <c r="O583" s="303"/>
      <c r="P583" s="303"/>
      <c r="Q583" s="303"/>
      <c r="R583" s="303"/>
      <c r="S583" s="303"/>
      <c r="T583" s="303"/>
      <c r="U583" s="303"/>
      <c r="V583" s="303"/>
      <c r="W583" s="303"/>
      <c r="X583" s="303"/>
      <c r="Y583" s="303"/>
      <c r="Z583" s="303"/>
    </row>
    <row r="584" spans="1:26" x14ac:dyDescent="0.2">
      <c r="A584" s="303"/>
      <c r="B584" s="303"/>
      <c r="C584" s="303"/>
      <c r="D584" s="303"/>
      <c r="E584" s="303"/>
      <c r="F584" s="303"/>
      <c r="G584" s="303"/>
      <c r="H584" s="303"/>
      <c r="I584" s="303"/>
      <c r="J584" s="303"/>
      <c r="K584" s="303"/>
      <c r="L584" s="303"/>
      <c r="M584" s="303"/>
      <c r="N584" s="303"/>
      <c r="O584" s="303"/>
      <c r="P584" s="303"/>
      <c r="Q584" s="303"/>
      <c r="R584" s="303"/>
      <c r="S584" s="303"/>
      <c r="T584" s="303"/>
      <c r="U584" s="303"/>
      <c r="V584" s="303"/>
      <c r="W584" s="303"/>
      <c r="X584" s="303"/>
      <c r="Y584" s="303"/>
      <c r="Z584" s="303"/>
    </row>
    <row r="585" spans="1:26" x14ac:dyDescent="0.2">
      <c r="A585" s="303"/>
      <c r="B585" s="303"/>
      <c r="C585" s="303"/>
      <c r="D585" s="303"/>
      <c r="E585" s="303"/>
      <c r="F585" s="303"/>
      <c r="G585" s="303"/>
      <c r="H585" s="303"/>
      <c r="I585" s="303"/>
      <c r="J585" s="303"/>
      <c r="K585" s="303"/>
      <c r="L585" s="303"/>
      <c r="M585" s="303"/>
      <c r="N585" s="303"/>
      <c r="O585" s="303"/>
      <c r="P585" s="303"/>
      <c r="Q585" s="303"/>
      <c r="R585" s="303"/>
      <c r="S585" s="303"/>
      <c r="T585" s="303"/>
      <c r="U585" s="303"/>
      <c r="V585" s="303"/>
      <c r="W585" s="303"/>
      <c r="X585" s="303"/>
      <c r="Y585" s="303"/>
      <c r="Z585" s="303"/>
    </row>
    <row r="586" spans="1:26" x14ac:dyDescent="0.2">
      <c r="A586" s="303"/>
      <c r="B586" s="303"/>
      <c r="C586" s="303"/>
      <c r="D586" s="303"/>
      <c r="E586" s="303"/>
      <c r="F586" s="303"/>
      <c r="G586" s="303"/>
      <c r="H586" s="303"/>
      <c r="I586" s="303"/>
      <c r="J586" s="303"/>
      <c r="K586" s="303"/>
      <c r="L586" s="303"/>
      <c r="M586" s="303"/>
      <c r="N586" s="303"/>
      <c r="O586" s="303"/>
      <c r="P586" s="303"/>
      <c r="Q586" s="303"/>
      <c r="R586" s="303"/>
      <c r="S586" s="303"/>
      <c r="T586" s="303"/>
      <c r="U586" s="303"/>
      <c r="V586" s="303"/>
      <c r="W586" s="303"/>
      <c r="X586" s="303"/>
      <c r="Y586" s="303"/>
      <c r="Z586" s="303"/>
    </row>
    <row r="587" spans="1:26" x14ac:dyDescent="0.2">
      <c r="A587" s="303"/>
      <c r="B587" s="303"/>
      <c r="C587" s="303"/>
      <c r="D587" s="303"/>
      <c r="E587" s="303"/>
      <c r="F587" s="303"/>
      <c r="G587" s="303"/>
      <c r="H587" s="303"/>
      <c r="I587" s="303"/>
      <c r="J587" s="303"/>
      <c r="K587" s="303"/>
      <c r="L587" s="303"/>
      <c r="M587" s="303"/>
      <c r="N587" s="303"/>
      <c r="O587" s="303"/>
      <c r="P587" s="303"/>
      <c r="Q587" s="303"/>
      <c r="R587" s="303"/>
      <c r="S587" s="303"/>
      <c r="T587" s="303"/>
      <c r="U587" s="303"/>
      <c r="V587" s="303"/>
      <c r="W587" s="303"/>
      <c r="X587" s="303"/>
      <c r="Y587" s="303"/>
      <c r="Z587" s="303"/>
    </row>
    <row r="588" spans="1:26" x14ac:dyDescent="0.2">
      <c r="A588" s="303"/>
      <c r="B588" s="303"/>
      <c r="C588" s="303"/>
      <c r="D588" s="303"/>
      <c r="E588" s="303"/>
      <c r="F588" s="303"/>
      <c r="G588" s="303"/>
      <c r="H588" s="303"/>
      <c r="I588" s="303"/>
      <c r="J588" s="303"/>
      <c r="K588" s="303"/>
      <c r="L588" s="303"/>
      <c r="M588" s="303"/>
      <c r="N588" s="303"/>
      <c r="O588" s="303"/>
      <c r="P588" s="303"/>
      <c r="Q588" s="303"/>
      <c r="R588" s="303"/>
      <c r="S588" s="303"/>
      <c r="T588" s="303"/>
      <c r="U588" s="303"/>
      <c r="V588" s="303"/>
      <c r="W588" s="303"/>
      <c r="X588" s="303"/>
      <c r="Y588" s="303"/>
      <c r="Z588" s="303"/>
    </row>
    <row r="589" spans="1:26" x14ac:dyDescent="0.2">
      <c r="A589" s="303"/>
      <c r="B589" s="303"/>
      <c r="C589" s="303"/>
      <c r="D589" s="303"/>
      <c r="E589" s="303"/>
      <c r="F589" s="303"/>
      <c r="G589" s="303"/>
      <c r="H589" s="303"/>
      <c r="I589" s="303"/>
      <c r="J589" s="303"/>
      <c r="K589" s="303"/>
      <c r="L589" s="303"/>
      <c r="M589" s="303"/>
      <c r="N589" s="303"/>
      <c r="O589" s="303"/>
      <c r="P589" s="303"/>
      <c r="Q589" s="303"/>
      <c r="R589" s="303"/>
      <c r="S589" s="303"/>
      <c r="T589" s="303"/>
      <c r="U589" s="303"/>
      <c r="V589" s="303"/>
      <c r="W589" s="303"/>
      <c r="X589" s="303"/>
      <c r="Y589" s="303"/>
      <c r="Z589" s="303"/>
    </row>
    <row r="590" spans="1:26" x14ac:dyDescent="0.2">
      <c r="A590" s="303"/>
      <c r="B590" s="303"/>
      <c r="C590" s="303"/>
      <c r="D590" s="303"/>
      <c r="E590" s="303"/>
      <c r="F590" s="303"/>
      <c r="G590" s="303"/>
      <c r="H590" s="303"/>
      <c r="I590" s="303"/>
      <c r="J590" s="303"/>
      <c r="K590" s="303"/>
      <c r="L590" s="303"/>
      <c r="M590" s="303"/>
      <c r="N590" s="303"/>
      <c r="O590" s="303"/>
      <c r="P590" s="303"/>
      <c r="Q590" s="303"/>
      <c r="R590" s="303"/>
      <c r="S590" s="303"/>
      <c r="T590" s="303"/>
      <c r="U590" s="303"/>
      <c r="V590" s="303"/>
      <c r="W590" s="303"/>
      <c r="X590" s="303"/>
      <c r="Y590" s="303"/>
      <c r="Z590" s="303"/>
    </row>
    <row r="591" spans="1:26" x14ac:dyDescent="0.2">
      <c r="A591" s="303"/>
      <c r="B591" s="303"/>
      <c r="C591" s="303"/>
      <c r="D591" s="303"/>
      <c r="E591" s="303"/>
      <c r="F591" s="303"/>
      <c r="G591" s="303"/>
      <c r="H591" s="303"/>
      <c r="I591" s="303"/>
      <c r="J591" s="303"/>
      <c r="K591" s="303"/>
      <c r="L591" s="303"/>
      <c r="M591" s="303"/>
      <c r="N591" s="303"/>
      <c r="O591" s="303"/>
      <c r="P591" s="303"/>
      <c r="Q591" s="303"/>
      <c r="R591" s="303"/>
      <c r="S591" s="303"/>
      <c r="T591" s="303"/>
      <c r="U591" s="303"/>
      <c r="V591" s="303"/>
      <c r="W591" s="303"/>
      <c r="X591" s="303"/>
      <c r="Y591" s="303"/>
      <c r="Z591" s="303"/>
    </row>
    <row r="592" spans="1:26" x14ac:dyDescent="0.2">
      <c r="A592" s="303"/>
      <c r="B592" s="303"/>
      <c r="C592" s="303"/>
      <c r="D592" s="303"/>
      <c r="E592" s="303"/>
      <c r="F592" s="303"/>
      <c r="G592" s="303"/>
      <c r="H592" s="303"/>
      <c r="I592" s="303"/>
      <c r="J592" s="303"/>
      <c r="K592" s="303"/>
      <c r="L592" s="303"/>
      <c r="M592" s="303"/>
      <c r="N592" s="303"/>
      <c r="O592" s="303"/>
      <c r="P592" s="303"/>
      <c r="Q592" s="303"/>
      <c r="R592" s="303"/>
      <c r="S592" s="303"/>
      <c r="T592" s="303"/>
      <c r="U592" s="303"/>
      <c r="V592" s="303"/>
      <c r="W592" s="303"/>
      <c r="X592" s="303"/>
      <c r="Y592" s="303"/>
      <c r="Z592" s="303"/>
    </row>
    <row r="593" spans="1:26" x14ac:dyDescent="0.2">
      <c r="A593" s="303"/>
      <c r="B593" s="303"/>
      <c r="C593" s="303"/>
      <c r="D593" s="303"/>
      <c r="E593" s="303"/>
      <c r="F593" s="303"/>
      <c r="G593" s="303"/>
      <c r="H593" s="303"/>
      <c r="I593" s="303"/>
      <c r="J593" s="303"/>
      <c r="K593" s="303"/>
      <c r="L593" s="303"/>
      <c r="M593" s="303"/>
      <c r="N593" s="303"/>
      <c r="O593" s="303"/>
      <c r="P593" s="303"/>
      <c r="Q593" s="303"/>
      <c r="R593" s="303"/>
      <c r="S593" s="303"/>
      <c r="T593" s="303"/>
      <c r="U593" s="303"/>
      <c r="V593" s="303"/>
      <c r="W593" s="303"/>
      <c r="X593" s="303"/>
      <c r="Y593" s="303"/>
      <c r="Z593" s="303"/>
    </row>
    <row r="594" spans="1:26" x14ac:dyDescent="0.2">
      <c r="A594" s="303"/>
      <c r="B594" s="303"/>
      <c r="C594" s="303"/>
      <c r="D594" s="303"/>
      <c r="E594" s="303"/>
      <c r="F594" s="303"/>
      <c r="G594" s="303"/>
      <c r="H594" s="303"/>
      <c r="I594" s="303"/>
      <c r="J594" s="303"/>
      <c r="K594" s="303"/>
      <c r="L594" s="303"/>
      <c r="M594" s="303"/>
      <c r="N594" s="303"/>
      <c r="O594" s="303"/>
      <c r="P594" s="303"/>
      <c r="Q594" s="303"/>
      <c r="R594" s="303"/>
      <c r="S594" s="303"/>
      <c r="T594" s="303"/>
      <c r="U594" s="303"/>
      <c r="V594" s="303"/>
      <c r="W594" s="303"/>
      <c r="X594" s="303"/>
      <c r="Y594" s="303"/>
      <c r="Z594" s="303"/>
    </row>
    <row r="595" spans="1:26" x14ac:dyDescent="0.2">
      <c r="A595" s="303"/>
      <c r="B595" s="303"/>
      <c r="C595" s="303"/>
      <c r="D595" s="303"/>
      <c r="E595" s="303"/>
      <c r="F595" s="303"/>
      <c r="G595" s="303"/>
      <c r="H595" s="303"/>
      <c r="I595" s="303"/>
      <c r="J595" s="303"/>
      <c r="K595" s="303"/>
      <c r="L595" s="303"/>
      <c r="M595" s="303"/>
      <c r="N595" s="303"/>
      <c r="O595" s="303"/>
      <c r="P595" s="303"/>
      <c r="Q595" s="303"/>
      <c r="R595" s="303"/>
      <c r="S595" s="303"/>
      <c r="T595" s="303"/>
      <c r="U595" s="303"/>
      <c r="V595" s="303"/>
      <c r="W595" s="303"/>
      <c r="X595" s="303"/>
      <c r="Y595" s="303"/>
      <c r="Z595" s="303"/>
    </row>
    <row r="596" spans="1:26" x14ac:dyDescent="0.2">
      <c r="A596" s="303"/>
      <c r="B596" s="303"/>
      <c r="C596" s="303"/>
      <c r="D596" s="303"/>
      <c r="E596" s="303"/>
      <c r="F596" s="303"/>
      <c r="G596" s="303"/>
      <c r="H596" s="303"/>
      <c r="I596" s="303"/>
      <c r="J596" s="303"/>
      <c r="K596" s="303"/>
      <c r="L596" s="303"/>
      <c r="M596" s="303"/>
      <c r="N596" s="303"/>
      <c r="O596" s="303"/>
      <c r="P596" s="303"/>
      <c r="Q596" s="303"/>
      <c r="R596" s="303"/>
      <c r="S596" s="303"/>
      <c r="T596" s="303"/>
      <c r="U596" s="303"/>
      <c r="V596" s="303"/>
      <c r="W596" s="303"/>
      <c r="X596" s="303"/>
      <c r="Y596" s="303"/>
      <c r="Z596" s="303"/>
    </row>
    <row r="597" spans="1:26" x14ac:dyDescent="0.2">
      <c r="A597" s="303"/>
      <c r="B597" s="303"/>
      <c r="C597" s="303"/>
      <c r="D597" s="303"/>
      <c r="E597" s="303"/>
      <c r="F597" s="303"/>
      <c r="G597" s="303"/>
      <c r="H597" s="303"/>
      <c r="I597" s="303"/>
      <c r="J597" s="303"/>
      <c r="K597" s="303"/>
      <c r="L597" s="303"/>
      <c r="M597" s="303"/>
      <c r="N597" s="303"/>
      <c r="O597" s="303"/>
      <c r="P597" s="303"/>
      <c r="Q597" s="303"/>
      <c r="R597" s="303"/>
      <c r="S597" s="303"/>
      <c r="T597" s="303"/>
      <c r="U597" s="303"/>
      <c r="V597" s="303"/>
      <c r="W597" s="303"/>
      <c r="X597" s="303"/>
      <c r="Y597" s="303"/>
      <c r="Z597" s="303"/>
    </row>
    <row r="598" spans="1:26" x14ac:dyDescent="0.2">
      <c r="A598" s="303"/>
      <c r="B598" s="303"/>
      <c r="C598" s="303"/>
      <c r="D598" s="303"/>
      <c r="E598" s="303"/>
      <c r="F598" s="303"/>
      <c r="G598" s="303"/>
      <c r="H598" s="303"/>
      <c r="I598" s="303"/>
      <c r="J598" s="303"/>
      <c r="K598" s="303"/>
      <c r="L598" s="303"/>
      <c r="M598" s="303"/>
      <c r="N598" s="303"/>
      <c r="O598" s="303"/>
      <c r="P598" s="303"/>
      <c r="Q598" s="303"/>
      <c r="R598" s="303"/>
      <c r="S598" s="303"/>
      <c r="T598" s="303"/>
      <c r="U598" s="303"/>
      <c r="V598" s="303"/>
      <c r="W598" s="303"/>
      <c r="X598" s="303"/>
      <c r="Y598" s="303"/>
      <c r="Z598" s="303"/>
    </row>
    <row r="599" spans="1:26" x14ac:dyDescent="0.2">
      <c r="A599" s="303"/>
      <c r="B599" s="303"/>
      <c r="C599" s="303"/>
      <c r="D599" s="303"/>
      <c r="E599" s="303"/>
      <c r="F599" s="303"/>
      <c r="G599" s="303"/>
      <c r="H599" s="303"/>
      <c r="I599" s="303"/>
      <c r="J599" s="303"/>
      <c r="K599" s="303"/>
      <c r="L599" s="303"/>
      <c r="M599" s="303"/>
      <c r="N599" s="303"/>
      <c r="O599" s="303"/>
      <c r="P599" s="303"/>
      <c r="Q599" s="303"/>
      <c r="R599" s="303"/>
      <c r="S599" s="303"/>
      <c r="T599" s="303"/>
      <c r="U599" s="303"/>
      <c r="V599" s="303"/>
      <c r="W599" s="303"/>
      <c r="X599" s="303"/>
      <c r="Y599" s="303"/>
      <c r="Z599" s="303"/>
    </row>
    <row r="600" spans="1:26" x14ac:dyDescent="0.2">
      <c r="A600" s="303"/>
      <c r="B600" s="303"/>
      <c r="C600" s="303"/>
      <c r="D600" s="303"/>
      <c r="E600" s="303"/>
      <c r="F600" s="303"/>
      <c r="G600" s="303"/>
      <c r="H600" s="303"/>
      <c r="I600" s="303"/>
      <c r="J600" s="303"/>
      <c r="K600" s="303"/>
      <c r="L600" s="303"/>
      <c r="M600" s="303"/>
      <c r="N600" s="303"/>
      <c r="O600" s="303"/>
      <c r="P600" s="303"/>
      <c r="Q600" s="303"/>
      <c r="R600" s="303"/>
      <c r="S600" s="303"/>
      <c r="T600" s="303"/>
      <c r="U600" s="303"/>
      <c r="V600" s="303"/>
      <c r="W600" s="303"/>
      <c r="X600" s="303"/>
      <c r="Y600" s="303"/>
      <c r="Z600" s="303"/>
    </row>
    <row r="601" spans="1:26" x14ac:dyDescent="0.2">
      <c r="A601" s="303"/>
      <c r="B601" s="303"/>
      <c r="C601" s="303"/>
      <c r="D601" s="303"/>
      <c r="E601" s="303"/>
      <c r="F601" s="303"/>
      <c r="G601" s="303"/>
      <c r="H601" s="303"/>
      <c r="I601" s="303"/>
      <c r="J601" s="303"/>
      <c r="K601" s="303"/>
      <c r="L601" s="303"/>
      <c r="M601" s="303"/>
      <c r="N601" s="303"/>
      <c r="O601" s="303"/>
      <c r="P601" s="303"/>
      <c r="Q601" s="303"/>
      <c r="R601" s="303"/>
      <c r="S601" s="303"/>
      <c r="T601" s="303"/>
      <c r="U601" s="303"/>
      <c r="V601" s="303"/>
      <c r="W601" s="303"/>
      <c r="X601" s="303"/>
      <c r="Y601" s="303"/>
      <c r="Z601" s="303"/>
    </row>
    <row r="602" spans="1:26" x14ac:dyDescent="0.2">
      <c r="A602" s="303"/>
      <c r="B602" s="303"/>
      <c r="C602" s="303"/>
      <c r="D602" s="303"/>
      <c r="E602" s="303"/>
      <c r="F602" s="303"/>
      <c r="G602" s="303"/>
      <c r="H602" s="303"/>
      <c r="I602" s="303"/>
      <c r="J602" s="303"/>
      <c r="K602" s="303"/>
      <c r="L602" s="303"/>
      <c r="M602" s="303"/>
      <c r="N602" s="303"/>
      <c r="O602" s="303"/>
      <c r="P602" s="303"/>
      <c r="Q602" s="303"/>
      <c r="R602" s="303"/>
      <c r="S602" s="303"/>
      <c r="T602" s="303"/>
      <c r="U602" s="303"/>
      <c r="V602" s="303"/>
      <c r="W602" s="303"/>
      <c r="X602" s="303"/>
      <c r="Y602" s="303"/>
      <c r="Z602" s="303"/>
    </row>
    <row r="603" spans="1:26" x14ac:dyDescent="0.2">
      <c r="A603" s="303"/>
      <c r="B603" s="303"/>
      <c r="C603" s="303"/>
      <c r="D603" s="303"/>
      <c r="E603" s="303"/>
      <c r="F603" s="303"/>
      <c r="G603" s="303"/>
      <c r="H603" s="303"/>
      <c r="I603" s="303"/>
      <c r="J603" s="303"/>
      <c r="K603" s="303"/>
      <c r="L603" s="303"/>
      <c r="M603" s="303"/>
      <c r="N603" s="303"/>
      <c r="O603" s="303"/>
      <c r="P603" s="303"/>
      <c r="Q603" s="303"/>
      <c r="R603" s="303"/>
      <c r="S603" s="303"/>
      <c r="T603" s="303"/>
      <c r="U603" s="303"/>
      <c r="V603" s="303"/>
      <c r="W603" s="303"/>
      <c r="X603" s="303"/>
      <c r="Y603" s="303"/>
      <c r="Z603" s="303"/>
    </row>
    <row r="604" spans="1:26" x14ac:dyDescent="0.2">
      <c r="A604" s="303"/>
      <c r="B604" s="303"/>
      <c r="C604" s="303"/>
      <c r="D604" s="303"/>
      <c r="E604" s="303"/>
      <c r="F604" s="303"/>
      <c r="G604" s="303"/>
      <c r="H604" s="303"/>
      <c r="I604" s="303"/>
      <c r="J604" s="303"/>
      <c r="K604" s="303"/>
      <c r="L604" s="303"/>
      <c r="M604" s="303"/>
      <c r="N604" s="303"/>
      <c r="O604" s="303"/>
      <c r="P604" s="303"/>
      <c r="Q604" s="303"/>
      <c r="R604" s="303"/>
      <c r="S604" s="303"/>
      <c r="T604" s="303"/>
      <c r="U604" s="303"/>
      <c r="V604" s="303"/>
      <c r="W604" s="303"/>
      <c r="X604" s="303"/>
      <c r="Y604" s="303"/>
      <c r="Z604" s="303"/>
    </row>
    <row r="605" spans="1:26" x14ac:dyDescent="0.2">
      <c r="A605" s="303"/>
      <c r="B605" s="303"/>
      <c r="C605" s="303"/>
      <c r="D605" s="303"/>
      <c r="E605" s="303"/>
      <c r="F605" s="303"/>
      <c r="G605" s="303"/>
      <c r="H605" s="303"/>
      <c r="I605" s="303"/>
      <c r="J605" s="303"/>
      <c r="K605" s="303"/>
      <c r="L605" s="303"/>
      <c r="M605" s="303"/>
      <c r="N605" s="303"/>
      <c r="O605" s="303"/>
      <c r="P605" s="303"/>
      <c r="Q605" s="303"/>
      <c r="R605" s="303"/>
      <c r="S605" s="303"/>
      <c r="T605" s="303"/>
      <c r="U605" s="303"/>
      <c r="V605" s="303"/>
      <c r="W605" s="303"/>
      <c r="X605" s="303"/>
      <c r="Y605" s="303"/>
      <c r="Z605" s="303"/>
    </row>
    <row r="606" spans="1:26" x14ac:dyDescent="0.2">
      <c r="A606" s="303"/>
      <c r="B606" s="303"/>
      <c r="C606" s="303"/>
      <c r="D606" s="303"/>
      <c r="E606" s="303"/>
      <c r="F606" s="303"/>
      <c r="G606" s="303"/>
      <c r="H606" s="303"/>
      <c r="I606" s="303"/>
      <c r="J606" s="303"/>
      <c r="K606" s="303"/>
      <c r="L606" s="303"/>
      <c r="M606" s="303"/>
      <c r="N606" s="303"/>
      <c r="O606" s="303"/>
      <c r="P606" s="303"/>
      <c r="Q606" s="303"/>
      <c r="R606" s="303"/>
      <c r="S606" s="303"/>
      <c r="T606" s="303"/>
      <c r="U606" s="303"/>
      <c r="V606" s="303"/>
      <c r="W606" s="303"/>
      <c r="X606" s="303"/>
      <c r="Y606" s="303"/>
      <c r="Z606" s="303"/>
    </row>
    <row r="607" spans="1:26" x14ac:dyDescent="0.2">
      <c r="A607" s="303"/>
      <c r="B607" s="303"/>
      <c r="C607" s="303"/>
      <c r="D607" s="303"/>
      <c r="E607" s="303"/>
      <c r="F607" s="303"/>
      <c r="G607" s="303"/>
      <c r="H607" s="303"/>
      <c r="I607" s="303"/>
      <c r="J607" s="303"/>
      <c r="K607" s="303"/>
      <c r="L607" s="303"/>
      <c r="M607" s="303"/>
      <c r="N607" s="303"/>
      <c r="O607" s="303"/>
      <c r="P607" s="303"/>
      <c r="Q607" s="303"/>
      <c r="R607" s="303"/>
      <c r="S607" s="303"/>
      <c r="T607" s="303"/>
      <c r="U607" s="303"/>
      <c r="V607" s="303"/>
      <c r="W607" s="303"/>
      <c r="X607" s="303"/>
      <c r="Y607" s="303"/>
      <c r="Z607" s="303"/>
    </row>
    <row r="608" spans="1:26" x14ac:dyDescent="0.2">
      <c r="A608" s="303"/>
      <c r="B608" s="303"/>
      <c r="C608" s="303"/>
      <c r="D608" s="303"/>
      <c r="E608" s="303"/>
      <c r="F608" s="303"/>
      <c r="G608" s="303"/>
      <c r="H608" s="303"/>
      <c r="I608" s="303"/>
      <c r="J608" s="303"/>
      <c r="K608" s="303"/>
      <c r="L608" s="303"/>
      <c r="M608" s="303"/>
      <c r="N608" s="303"/>
      <c r="O608" s="303"/>
      <c r="P608" s="303"/>
      <c r="Q608" s="303"/>
      <c r="R608" s="303"/>
      <c r="S608" s="303"/>
      <c r="T608" s="303"/>
      <c r="U608" s="303"/>
      <c r="V608" s="303"/>
      <c r="W608" s="303"/>
      <c r="X608" s="303"/>
      <c r="Y608" s="303"/>
      <c r="Z608" s="303"/>
    </row>
    <row r="609" spans="1:26" x14ac:dyDescent="0.2">
      <c r="A609" s="303"/>
      <c r="B609" s="303"/>
      <c r="C609" s="303"/>
      <c r="D609" s="303"/>
      <c r="E609" s="303"/>
      <c r="F609" s="303"/>
      <c r="G609" s="303"/>
      <c r="H609" s="303"/>
      <c r="I609" s="303"/>
      <c r="J609" s="303"/>
      <c r="K609" s="303"/>
      <c r="L609" s="303"/>
      <c r="M609" s="303"/>
      <c r="N609" s="303"/>
      <c r="O609" s="303"/>
      <c r="P609" s="303"/>
      <c r="Q609" s="303"/>
      <c r="R609" s="303"/>
      <c r="S609" s="303"/>
      <c r="T609" s="303"/>
      <c r="U609" s="303"/>
      <c r="V609" s="303"/>
      <c r="W609" s="303"/>
      <c r="X609" s="303"/>
      <c r="Y609" s="303"/>
      <c r="Z609" s="303"/>
    </row>
    <row r="610" spans="1:26" x14ac:dyDescent="0.2">
      <c r="A610" s="303"/>
      <c r="B610" s="303"/>
      <c r="C610" s="303"/>
      <c r="D610" s="303"/>
      <c r="E610" s="303"/>
      <c r="F610" s="303"/>
      <c r="G610" s="303"/>
      <c r="H610" s="303"/>
      <c r="I610" s="303"/>
      <c r="J610" s="303"/>
      <c r="K610" s="303"/>
      <c r="L610" s="303"/>
      <c r="M610" s="303"/>
      <c r="N610" s="303"/>
      <c r="O610" s="303"/>
      <c r="P610" s="303"/>
      <c r="Q610" s="303"/>
      <c r="R610" s="303"/>
      <c r="S610" s="303"/>
      <c r="T610" s="303"/>
      <c r="U610" s="303"/>
      <c r="V610" s="303"/>
      <c r="W610" s="303"/>
      <c r="X610" s="303"/>
      <c r="Y610" s="303"/>
      <c r="Z610" s="303"/>
    </row>
    <row r="611" spans="1:26" x14ac:dyDescent="0.2">
      <c r="A611" s="303"/>
      <c r="B611" s="303"/>
      <c r="C611" s="303"/>
      <c r="D611" s="303"/>
      <c r="E611" s="303"/>
      <c r="F611" s="303"/>
      <c r="G611" s="303"/>
      <c r="H611" s="303"/>
      <c r="I611" s="303"/>
      <c r="J611" s="303"/>
      <c r="K611" s="303"/>
      <c r="L611" s="303"/>
      <c r="M611" s="303"/>
      <c r="N611" s="303"/>
      <c r="O611" s="303"/>
      <c r="P611" s="303"/>
      <c r="Q611" s="303"/>
      <c r="R611" s="303"/>
      <c r="S611" s="303"/>
      <c r="T611" s="303"/>
      <c r="U611" s="303"/>
      <c r="V611" s="303"/>
      <c r="W611" s="303"/>
      <c r="X611" s="303"/>
      <c r="Y611" s="303"/>
      <c r="Z611" s="303"/>
    </row>
    <row r="612" spans="1:26" x14ac:dyDescent="0.2">
      <c r="A612" s="303"/>
      <c r="B612" s="303"/>
      <c r="C612" s="303"/>
      <c r="D612" s="303"/>
      <c r="E612" s="303"/>
      <c r="F612" s="303"/>
      <c r="G612" s="303"/>
      <c r="H612" s="303"/>
      <c r="I612" s="303"/>
      <c r="J612" s="303"/>
      <c r="K612" s="303"/>
      <c r="L612" s="303"/>
      <c r="M612" s="303"/>
      <c r="N612" s="303"/>
      <c r="O612" s="303"/>
      <c r="P612" s="303"/>
      <c r="Q612" s="303"/>
      <c r="R612" s="303"/>
      <c r="S612" s="303"/>
      <c r="T612" s="303"/>
      <c r="U612" s="303"/>
      <c r="V612" s="303"/>
      <c r="W612" s="303"/>
      <c r="X612" s="303"/>
      <c r="Y612" s="303"/>
      <c r="Z612" s="303"/>
    </row>
    <row r="613" spans="1:26" x14ac:dyDescent="0.2">
      <c r="A613" s="303"/>
      <c r="B613" s="303"/>
      <c r="C613" s="303"/>
      <c r="D613" s="303"/>
      <c r="E613" s="303"/>
      <c r="F613" s="303"/>
      <c r="G613" s="303"/>
      <c r="H613" s="303"/>
      <c r="I613" s="303"/>
      <c r="J613" s="303"/>
      <c r="K613" s="303"/>
      <c r="L613" s="303"/>
      <c r="M613" s="303"/>
      <c r="N613" s="303"/>
      <c r="O613" s="303"/>
      <c r="P613" s="303"/>
      <c r="Q613" s="303"/>
      <c r="R613" s="303"/>
      <c r="S613" s="303"/>
      <c r="T613" s="303"/>
      <c r="U613" s="303"/>
      <c r="V613" s="303"/>
      <c r="W613" s="303"/>
      <c r="X613" s="303"/>
      <c r="Y613" s="303"/>
      <c r="Z613" s="303"/>
    </row>
    <row r="614" spans="1:26" x14ac:dyDescent="0.2">
      <c r="A614" s="303"/>
      <c r="B614" s="303"/>
      <c r="C614" s="303"/>
      <c r="D614" s="303"/>
      <c r="E614" s="303"/>
      <c r="F614" s="303"/>
      <c r="G614" s="303"/>
      <c r="H614" s="303"/>
      <c r="I614" s="303"/>
      <c r="J614" s="303"/>
      <c r="K614" s="303"/>
      <c r="L614" s="303"/>
      <c r="M614" s="303"/>
      <c r="N614" s="303"/>
      <c r="O614" s="303"/>
      <c r="P614" s="303"/>
      <c r="Q614" s="303"/>
      <c r="R614" s="303"/>
      <c r="S614" s="303"/>
      <c r="T614" s="303"/>
      <c r="U614" s="303"/>
      <c r="V614" s="303"/>
      <c r="W614" s="303"/>
      <c r="X614" s="303"/>
      <c r="Y614" s="303"/>
      <c r="Z614" s="303"/>
    </row>
    <row r="615" spans="1:26" x14ac:dyDescent="0.2">
      <c r="A615" s="303"/>
      <c r="B615" s="303"/>
      <c r="C615" s="303"/>
      <c r="D615" s="303"/>
      <c r="E615" s="303"/>
      <c r="F615" s="303"/>
      <c r="G615" s="303"/>
      <c r="H615" s="303"/>
      <c r="I615" s="303"/>
      <c r="J615" s="303"/>
      <c r="K615" s="303"/>
      <c r="L615" s="303"/>
      <c r="M615" s="303"/>
      <c r="N615" s="303"/>
      <c r="O615" s="303"/>
      <c r="P615" s="303"/>
      <c r="Q615" s="303"/>
      <c r="R615" s="303"/>
      <c r="S615" s="303"/>
      <c r="T615" s="303"/>
      <c r="U615" s="303"/>
      <c r="V615" s="303"/>
      <c r="W615" s="303"/>
      <c r="X615" s="303"/>
      <c r="Y615" s="303"/>
      <c r="Z615" s="303"/>
    </row>
    <row r="616" spans="1:26" x14ac:dyDescent="0.2">
      <c r="A616" s="303"/>
      <c r="B616" s="303"/>
      <c r="C616" s="303"/>
      <c r="D616" s="303"/>
      <c r="E616" s="303"/>
      <c r="F616" s="303"/>
      <c r="G616" s="303"/>
      <c r="H616" s="303"/>
      <c r="I616" s="303"/>
      <c r="J616" s="303"/>
      <c r="K616" s="303"/>
      <c r="L616" s="303"/>
      <c r="M616" s="303"/>
      <c r="N616" s="303"/>
      <c r="O616" s="303"/>
      <c r="P616" s="303"/>
      <c r="Q616" s="303"/>
      <c r="R616" s="303"/>
      <c r="S616" s="303"/>
      <c r="T616" s="303"/>
      <c r="U616" s="303"/>
      <c r="V616" s="303"/>
      <c r="W616" s="303"/>
      <c r="X616" s="303"/>
      <c r="Y616" s="303"/>
      <c r="Z616" s="303"/>
    </row>
    <row r="617" spans="1:26" x14ac:dyDescent="0.2">
      <c r="A617" s="303"/>
      <c r="B617" s="303"/>
      <c r="C617" s="303"/>
      <c r="D617" s="303"/>
      <c r="E617" s="303"/>
      <c r="F617" s="303"/>
      <c r="G617" s="303"/>
      <c r="H617" s="303"/>
      <c r="I617" s="303"/>
      <c r="J617" s="303"/>
      <c r="K617" s="303"/>
      <c r="L617" s="303"/>
      <c r="M617" s="303"/>
      <c r="N617" s="303"/>
      <c r="O617" s="303"/>
      <c r="P617" s="303"/>
      <c r="Q617" s="303"/>
      <c r="R617" s="303"/>
      <c r="S617" s="303"/>
      <c r="T617" s="303"/>
      <c r="U617" s="303"/>
      <c r="V617" s="303"/>
      <c r="W617" s="303"/>
      <c r="X617" s="303"/>
      <c r="Y617" s="303"/>
      <c r="Z617" s="303"/>
    </row>
    <row r="618" spans="1:26" x14ac:dyDescent="0.2">
      <c r="A618" s="303"/>
      <c r="B618" s="303"/>
      <c r="C618" s="303"/>
      <c r="D618" s="303"/>
      <c r="E618" s="303"/>
      <c r="F618" s="303"/>
      <c r="G618" s="303"/>
      <c r="H618" s="303"/>
      <c r="I618" s="303"/>
      <c r="J618" s="303"/>
      <c r="K618" s="303"/>
      <c r="L618" s="303"/>
      <c r="M618" s="303"/>
      <c r="N618" s="303"/>
      <c r="O618" s="303"/>
      <c r="P618" s="303"/>
      <c r="Q618" s="303"/>
      <c r="R618" s="303"/>
      <c r="S618" s="303"/>
      <c r="T618" s="303"/>
      <c r="U618" s="303"/>
      <c r="V618" s="303"/>
      <c r="W618" s="303"/>
      <c r="X618" s="303"/>
      <c r="Y618" s="303"/>
      <c r="Z618" s="303"/>
    </row>
    <row r="619" spans="1:26" x14ac:dyDescent="0.2">
      <c r="A619" s="303"/>
      <c r="B619" s="303"/>
      <c r="C619" s="303"/>
      <c r="D619" s="303"/>
      <c r="E619" s="303"/>
      <c r="F619" s="303"/>
      <c r="G619" s="303"/>
      <c r="H619" s="303"/>
      <c r="I619" s="303"/>
      <c r="J619" s="303"/>
      <c r="K619" s="303"/>
      <c r="L619" s="303"/>
      <c r="M619" s="303"/>
      <c r="N619" s="303"/>
      <c r="O619" s="303"/>
      <c r="P619" s="303"/>
      <c r="Q619" s="303"/>
      <c r="R619" s="303"/>
      <c r="S619" s="303"/>
      <c r="T619" s="303"/>
      <c r="U619" s="303"/>
      <c r="V619" s="303"/>
      <c r="W619" s="303"/>
      <c r="X619" s="303"/>
      <c r="Y619" s="303"/>
      <c r="Z619" s="303"/>
    </row>
    <row r="620" spans="1:26" x14ac:dyDescent="0.2">
      <c r="A620" s="303"/>
      <c r="B620" s="303"/>
      <c r="C620" s="303"/>
      <c r="D620" s="303"/>
      <c r="E620" s="303"/>
      <c r="F620" s="303"/>
      <c r="G620" s="303"/>
      <c r="H620" s="303"/>
      <c r="I620" s="303"/>
      <c r="J620" s="303"/>
      <c r="K620" s="303"/>
      <c r="L620" s="303"/>
      <c r="M620" s="303"/>
      <c r="N620" s="303"/>
      <c r="O620" s="303"/>
      <c r="P620" s="303"/>
      <c r="Q620" s="303"/>
      <c r="R620" s="303"/>
      <c r="S620" s="303"/>
      <c r="T620" s="303"/>
      <c r="U620" s="303"/>
      <c r="V620" s="303"/>
      <c r="W620" s="303"/>
      <c r="X620" s="303"/>
      <c r="Y620" s="303"/>
      <c r="Z620" s="303"/>
    </row>
    <row r="621" spans="1:26" x14ac:dyDescent="0.2">
      <c r="A621" s="303"/>
      <c r="B621" s="303"/>
      <c r="C621" s="303"/>
      <c r="D621" s="303"/>
      <c r="E621" s="303"/>
      <c r="F621" s="303"/>
      <c r="G621" s="303"/>
      <c r="H621" s="303"/>
      <c r="I621" s="303"/>
      <c r="J621" s="303"/>
      <c r="K621" s="303"/>
      <c r="L621" s="303"/>
      <c r="M621" s="303"/>
      <c r="N621" s="303"/>
      <c r="O621" s="303"/>
      <c r="P621" s="303"/>
      <c r="Q621" s="303"/>
      <c r="R621" s="303"/>
      <c r="S621" s="303"/>
      <c r="T621" s="303"/>
      <c r="U621" s="303"/>
      <c r="V621" s="303"/>
      <c r="W621" s="303"/>
      <c r="X621" s="303"/>
      <c r="Y621" s="303"/>
      <c r="Z621" s="303"/>
    </row>
    <row r="622" spans="1:26" x14ac:dyDescent="0.2">
      <c r="A622" s="303"/>
      <c r="B622" s="303"/>
      <c r="C622" s="303"/>
      <c r="D622" s="303"/>
      <c r="E622" s="303"/>
      <c r="F622" s="303"/>
      <c r="G622" s="303"/>
      <c r="H622" s="303"/>
      <c r="I622" s="303"/>
      <c r="J622" s="303"/>
      <c r="K622" s="303"/>
      <c r="L622" s="303"/>
      <c r="M622" s="303"/>
      <c r="N622" s="303"/>
      <c r="O622" s="303"/>
      <c r="P622" s="303"/>
      <c r="Q622" s="303"/>
      <c r="R622" s="303"/>
      <c r="S622" s="303"/>
      <c r="T622" s="303"/>
      <c r="U622" s="303"/>
      <c r="V622" s="303"/>
      <c r="W622" s="303"/>
      <c r="X622" s="303"/>
      <c r="Y622" s="303"/>
      <c r="Z622" s="303"/>
    </row>
    <row r="623" spans="1:26" x14ac:dyDescent="0.2">
      <c r="A623" s="303"/>
      <c r="B623" s="303"/>
      <c r="C623" s="303"/>
      <c r="D623" s="303"/>
      <c r="E623" s="303"/>
      <c r="F623" s="303"/>
      <c r="G623" s="303"/>
      <c r="H623" s="303"/>
      <c r="I623" s="303"/>
      <c r="J623" s="303"/>
      <c r="K623" s="303"/>
      <c r="L623" s="303"/>
      <c r="M623" s="303"/>
      <c r="N623" s="303"/>
      <c r="O623" s="303"/>
      <c r="P623" s="303"/>
      <c r="Q623" s="303"/>
      <c r="R623" s="303"/>
      <c r="S623" s="303"/>
      <c r="T623" s="303"/>
      <c r="U623" s="303"/>
      <c r="V623" s="303"/>
      <c r="W623" s="303"/>
      <c r="X623" s="303"/>
      <c r="Y623" s="303"/>
      <c r="Z623" s="303"/>
    </row>
    <row r="624" spans="1:26" x14ac:dyDescent="0.2">
      <c r="A624" s="303"/>
      <c r="B624" s="303"/>
      <c r="C624" s="303"/>
      <c r="D624" s="303"/>
      <c r="E624" s="303"/>
      <c r="F624" s="303"/>
      <c r="G624" s="303"/>
      <c r="H624" s="303"/>
      <c r="I624" s="303"/>
      <c r="J624" s="303"/>
      <c r="K624" s="303"/>
      <c r="L624" s="303"/>
      <c r="M624" s="303"/>
      <c r="N624" s="303"/>
      <c r="O624" s="303"/>
      <c r="P624" s="303"/>
      <c r="Q624" s="303"/>
      <c r="R624" s="303"/>
      <c r="S624" s="303"/>
      <c r="T624" s="303"/>
      <c r="U624" s="303"/>
      <c r="V624" s="303"/>
      <c r="W624" s="303"/>
      <c r="X624" s="303"/>
      <c r="Y624" s="303"/>
      <c r="Z624" s="303"/>
    </row>
    <row r="625" spans="1:26" x14ac:dyDescent="0.2">
      <c r="A625" s="303"/>
      <c r="B625" s="303"/>
      <c r="C625" s="303"/>
      <c r="D625" s="303"/>
      <c r="E625" s="303"/>
      <c r="F625" s="303"/>
      <c r="G625" s="303"/>
      <c r="H625" s="303"/>
      <c r="I625" s="303"/>
      <c r="J625" s="303"/>
      <c r="K625" s="303"/>
      <c r="L625" s="303"/>
      <c r="M625" s="303"/>
      <c r="N625" s="303"/>
      <c r="O625" s="303"/>
      <c r="P625" s="303"/>
      <c r="Q625" s="303"/>
      <c r="R625" s="303"/>
      <c r="S625" s="303"/>
      <c r="T625" s="303"/>
      <c r="U625" s="303"/>
      <c r="V625" s="303"/>
      <c r="W625" s="303"/>
      <c r="X625" s="303"/>
      <c r="Y625" s="303"/>
      <c r="Z625" s="303"/>
    </row>
    <row r="626" spans="1:26" x14ac:dyDescent="0.2">
      <c r="A626" s="303"/>
      <c r="B626" s="303"/>
      <c r="C626" s="303"/>
      <c r="D626" s="303"/>
      <c r="E626" s="303"/>
      <c r="F626" s="303"/>
      <c r="G626" s="303"/>
      <c r="H626" s="303"/>
      <c r="I626" s="303"/>
      <c r="J626" s="303"/>
      <c r="K626" s="303"/>
      <c r="L626" s="303"/>
      <c r="M626" s="303"/>
      <c r="N626" s="303"/>
      <c r="O626" s="303"/>
      <c r="P626" s="303"/>
      <c r="Q626" s="303"/>
      <c r="R626" s="303"/>
      <c r="S626" s="303"/>
      <c r="T626" s="303"/>
      <c r="U626" s="303"/>
      <c r="V626" s="303"/>
      <c r="W626" s="303"/>
      <c r="X626" s="303"/>
      <c r="Y626" s="303"/>
      <c r="Z626" s="303"/>
    </row>
    <row r="627" spans="1:26" x14ac:dyDescent="0.2">
      <c r="A627" s="303"/>
      <c r="B627" s="303"/>
      <c r="C627" s="303"/>
      <c r="D627" s="303"/>
      <c r="E627" s="303"/>
      <c r="F627" s="303"/>
      <c r="G627" s="303"/>
      <c r="H627" s="303"/>
      <c r="I627" s="303"/>
      <c r="J627" s="303"/>
      <c r="K627" s="303"/>
      <c r="L627" s="303"/>
      <c r="M627" s="303"/>
      <c r="N627" s="303"/>
      <c r="O627" s="303"/>
      <c r="P627" s="303"/>
      <c r="Q627" s="303"/>
      <c r="R627" s="303"/>
      <c r="S627" s="303"/>
      <c r="T627" s="303"/>
      <c r="U627" s="303"/>
      <c r="V627" s="303"/>
      <c r="W627" s="303"/>
      <c r="X627" s="303"/>
      <c r="Y627" s="303"/>
      <c r="Z627" s="303"/>
    </row>
    <row r="628" spans="1:26" x14ac:dyDescent="0.2">
      <c r="A628" s="303"/>
      <c r="B628" s="303"/>
      <c r="C628" s="303"/>
      <c r="D628" s="303"/>
      <c r="E628" s="303"/>
      <c r="F628" s="303"/>
      <c r="G628" s="303"/>
      <c r="H628" s="303"/>
      <c r="I628" s="303"/>
      <c r="J628" s="303"/>
      <c r="K628" s="303"/>
      <c r="L628" s="303"/>
      <c r="M628" s="303"/>
      <c r="N628" s="303"/>
      <c r="O628" s="303"/>
      <c r="P628" s="303"/>
      <c r="Q628" s="303"/>
      <c r="R628" s="303"/>
      <c r="S628" s="303"/>
      <c r="T628" s="303"/>
      <c r="U628" s="303"/>
      <c r="V628" s="303"/>
      <c r="W628" s="303"/>
      <c r="X628" s="303"/>
      <c r="Y628" s="303"/>
      <c r="Z628" s="303"/>
    </row>
    <row r="629" spans="1:26" x14ac:dyDescent="0.2">
      <c r="A629" s="303"/>
      <c r="B629" s="303"/>
      <c r="C629" s="303"/>
      <c r="D629" s="303"/>
      <c r="E629" s="303"/>
      <c r="F629" s="303"/>
      <c r="G629" s="303"/>
      <c r="H629" s="303"/>
      <c r="I629" s="303"/>
      <c r="J629" s="303"/>
      <c r="K629" s="303"/>
      <c r="L629" s="303"/>
      <c r="M629" s="303"/>
      <c r="N629" s="303"/>
      <c r="O629" s="303"/>
      <c r="P629" s="303"/>
      <c r="Q629" s="303"/>
      <c r="R629" s="303"/>
      <c r="S629" s="303"/>
      <c r="T629" s="303"/>
      <c r="U629" s="303"/>
      <c r="V629" s="303"/>
      <c r="W629" s="303"/>
      <c r="X629" s="303"/>
      <c r="Y629" s="303"/>
      <c r="Z629" s="303"/>
    </row>
    <row r="630" spans="1:26" x14ac:dyDescent="0.2">
      <c r="A630" s="303"/>
      <c r="B630" s="303"/>
      <c r="C630" s="303"/>
      <c r="D630" s="303"/>
      <c r="E630" s="303"/>
      <c r="F630" s="303"/>
      <c r="G630" s="303"/>
      <c r="H630" s="303"/>
      <c r="I630" s="303"/>
      <c r="J630" s="303"/>
      <c r="K630" s="303"/>
      <c r="L630" s="303"/>
      <c r="M630" s="303"/>
      <c r="N630" s="303"/>
      <c r="O630" s="303"/>
      <c r="P630" s="303"/>
      <c r="Q630" s="303"/>
      <c r="R630" s="303"/>
      <c r="S630" s="303"/>
      <c r="T630" s="303"/>
      <c r="U630" s="303"/>
      <c r="V630" s="303"/>
      <c r="W630" s="303"/>
      <c r="X630" s="303"/>
      <c r="Y630" s="303"/>
      <c r="Z630" s="303"/>
    </row>
    <row r="631" spans="1:26" x14ac:dyDescent="0.2">
      <c r="A631" s="303"/>
      <c r="B631" s="303"/>
      <c r="C631" s="303"/>
      <c r="D631" s="303"/>
      <c r="E631" s="303"/>
      <c r="F631" s="303"/>
      <c r="G631" s="303"/>
      <c r="H631" s="303"/>
      <c r="I631" s="303"/>
      <c r="J631" s="303"/>
      <c r="K631" s="303"/>
      <c r="L631" s="303"/>
      <c r="M631" s="303"/>
      <c r="N631" s="303"/>
      <c r="O631" s="303"/>
      <c r="P631" s="303"/>
      <c r="Q631" s="303"/>
      <c r="R631" s="303"/>
      <c r="S631" s="303"/>
      <c r="T631" s="303"/>
      <c r="U631" s="303"/>
      <c r="V631" s="303"/>
      <c r="W631" s="303"/>
      <c r="X631" s="303"/>
      <c r="Y631" s="303"/>
      <c r="Z631" s="303"/>
    </row>
    <row r="632" spans="1:26" x14ac:dyDescent="0.2">
      <c r="A632" s="303"/>
      <c r="B632" s="303"/>
      <c r="C632" s="303"/>
      <c r="D632" s="303"/>
      <c r="E632" s="303"/>
      <c r="F632" s="303"/>
      <c r="G632" s="303"/>
      <c r="H632" s="303"/>
      <c r="I632" s="303"/>
      <c r="J632" s="303"/>
      <c r="K632" s="303"/>
      <c r="L632" s="303"/>
      <c r="M632" s="303"/>
      <c r="N632" s="303"/>
      <c r="O632" s="303"/>
      <c r="P632" s="303"/>
      <c r="Q632" s="303"/>
      <c r="R632" s="303"/>
      <c r="S632" s="303"/>
      <c r="T632" s="303"/>
      <c r="U632" s="303"/>
      <c r="V632" s="303"/>
      <c r="W632" s="303"/>
      <c r="X632" s="303"/>
      <c r="Y632" s="303"/>
      <c r="Z632" s="303"/>
    </row>
    <row r="633" spans="1:26" x14ac:dyDescent="0.2">
      <c r="A633" s="303"/>
      <c r="B633" s="303"/>
      <c r="C633" s="303"/>
      <c r="D633" s="303"/>
      <c r="E633" s="303"/>
      <c r="F633" s="303"/>
      <c r="G633" s="303"/>
      <c r="H633" s="303"/>
      <c r="I633" s="303"/>
      <c r="J633" s="303"/>
      <c r="K633" s="303"/>
      <c r="L633" s="303"/>
      <c r="M633" s="303"/>
      <c r="N633" s="303"/>
      <c r="O633" s="303"/>
      <c r="P633" s="303"/>
      <c r="Q633" s="303"/>
      <c r="R633" s="303"/>
      <c r="S633" s="303"/>
      <c r="T633" s="303"/>
      <c r="U633" s="303"/>
      <c r="V633" s="303"/>
      <c r="W633" s="303"/>
      <c r="X633" s="303"/>
      <c r="Y633" s="303"/>
      <c r="Z633" s="303"/>
    </row>
    <row r="634" spans="1:26" x14ac:dyDescent="0.2">
      <c r="A634" s="303"/>
      <c r="B634" s="303"/>
      <c r="C634" s="303"/>
      <c r="D634" s="303"/>
      <c r="E634" s="303"/>
      <c r="F634" s="303"/>
      <c r="G634" s="303"/>
      <c r="H634" s="303"/>
      <c r="I634" s="303"/>
      <c r="J634" s="303"/>
      <c r="K634" s="303"/>
      <c r="L634" s="303"/>
      <c r="M634" s="303"/>
      <c r="N634" s="303"/>
      <c r="O634" s="303"/>
      <c r="P634" s="303"/>
      <c r="Q634" s="303"/>
      <c r="R634" s="303"/>
      <c r="S634" s="303"/>
      <c r="T634" s="303"/>
      <c r="U634" s="303"/>
      <c r="V634" s="303"/>
      <c r="W634" s="303"/>
      <c r="X634" s="303"/>
      <c r="Y634" s="303"/>
      <c r="Z634" s="303"/>
    </row>
    <row r="635" spans="1:26" x14ac:dyDescent="0.2">
      <c r="A635" s="303"/>
      <c r="B635" s="303"/>
      <c r="C635" s="303"/>
      <c r="D635" s="303"/>
      <c r="E635" s="303"/>
      <c r="F635" s="303"/>
      <c r="G635" s="303"/>
      <c r="H635" s="303"/>
      <c r="I635" s="303"/>
      <c r="J635" s="303"/>
      <c r="K635" s="303"/>
      <c r="L635" s="303"/>
      <c r="M635" s="303"/>
      <c r="N635" s="303"/>
      <c r="O635" s="303"/>
      <c r="P635" s="303"/>
      <c r="Q635" s="303"/>
      <c r="R635" s="303"/>
      <c r="S635" s="303"/>
      <c r="T635" s="303"/>
      <c r="U635" s="303"/>
      <c r="V635" s="303"/>
      <c r="W635" s="303"/>
      <c r="X635" s="303"/>
      <c r="Y635" s="303"/>
      <c r="Z635" s="303"/>
    </row>
    <row r="636" spans="1:26" x14ac:dyDescent="0.2">
      <c r="A636" s="303"/>
      <c r="B636" s="303"/>
      <c r="C636" s="303"/>
      <c r="D636" s="303"/>
      <c r="E636" s="303"/>
      <c r="F636" s="303"/>
      <c r="G636" s="303"/>
      <c r="H636" s="303"/>
      <c r="I636" s="303"/>
      <c r="J636" s="303"/>
      <c r="K636" s="303"/>
      <c r="L636" s="303"/>
      <c r="M636" s="303"/>
      <c r="N636" s="303"/>
      <c r="O636" s="303"/>
      <c r="P636" s="303"/>
      <c r="Q636" s="303"/>
      <c r="R636" s="303"/>
      <c r="S636" s="303"/>
      <c r="T636" s="303"/>
      <c r="U636" s="303"/>
      <c r="V636" s="303"/>
      <c r="W636" s="303"/>
      <c r="X636" s="303"/>
      <c r="Y636" s="303"/>
      <c r="Z636" s="303"/>
    </row>
    <row r="637" spans="1:26" x14ac:dyDescent="0.2">
      <c r="A637" s="303"/>
      <c r="B637" s="303"/>
      <c r="C637" s="303"/>
      <c r="D637" s="303"/>
      <c r="E637" s="303"/>
      <c r="F637" s="303"/>
      <c r="G637" s="303"/>
      <c r="H637" s="303"/>
      <c r="I637" s="303"/>
      <c r="J637" s="303"/>
      <c r="K637" s="303"/>
      <c r="L637" s="303"/>
      <c r="M637" s="303"/>
      <c r="N637" s="303"/>
      <c r="O637" s="303"/>
      <c r="P637" s="303"/>
      <c r="Q637" s="303"/>
      <c r="R637" s="303"/>
      <c r="S637" s="303"/>
      <c r="T637" s="303"/>
      <c r="U637" s="303"/>
      <c r="V637" s="303"/>
      <c r="W637" s="303"/>
      <c r="X637" s="303"/>
      <c r="Y637" s="303"/>
      <c r="Z637" s="303"/>
    </row>
    <row r="638" spans="1:26" x14ac:dyDescent="0.2">
      <c r="A638" s="303"/>
      <c r="B638" s="303"/>
      <c r="C638" s="303"/>
      <c r="D638" s="303"/>
      <c r="E638" s="303"/>
      <c r="F638" s="303"/>
      <c r="G638" s="303"/>
      <c r="H638" s="303"/>
      <c r="I638" s="303"/>
      <c r="J638" s="303"/>
      <c r="K638" s="303"/>
      <c r="L638" s="303"/>
      <c r="M638" s="303"/>
      <c r="N638" s="303"/>
      <c r="O638" s="303"/>
      <c r="P638" s="303"/>
      <c r="Q638" s="303"/>
      <c r="R638" s="303"/>
      <c r="S638" s="303"/>
      <c r="T638" s="303"/>
      <c r="U638" s="303"/>
      <c r="V638" s="303"/>
      <c r="W638" s="303"/>
      <c r="X638" s="303"/>
      <c r="Y638" s="303"/>
      <c r="Z638" s="303"/>
    </row>
    <row r="639" spans="1:26" x14ac:dyDescent="0.2">
      <c r="A639" s="303"/>
      <c r="B639" s="303"/>
      <c r="C639" s="303"/>
      <c r="D639" s="303"/>
      <c r="E639" s="303"/>
      <c r="F639" s="303"/>
      <c r="G639" s="303"/>
      <c r="H639" s="303"/>
      <c r="I639" s="303"/>
      <c r="J639" s="303"/>
      <c r="K639" s="303"/>
      <c r="L639" s="303"/>
      <c r="M639" s="303"/>
      <c r="N639" s="303"/>
      <c r="O639" s="303"/>
      <c r="P639" s="303"/>
      <c r="Q639" s="303"/>
      <c r="R639" s="303"/>
      <c r="S639" s="303"/>
      <c r="T639" s="303"/>
      <c r="U639" s="303"/>
      <c r="V639" s="303"/>
      <c r="W639" s="303"/>
      <c r="X639" s="303"/>
      <c r="Y639" s="303"/>
      <c r="Z639" s="303"/>
    </row>
    <row r="640" spans="1:26" x14ac:dyDescent="0.2">
      <c r="A640" s="303"/>
      <c r="B640" s="303"/>
      <c r="C640" s="303"/>
      <c r="D640" s="303"/>
      <c r="E640" s="303"/>
      <c r="F640" s="303"/>
      <c r="G640" s="303"/>
      <c r="H640" s="303"/>
      <c r="I640" s="303"/>
      <c r="J640" s="303"/>
      <c r="K640" s="303"/>
      <c r="L640" s="303"/>
      <c r="M640" s="303"/>
      <c r="N640" s="303"/>
      <c r="O640" s="303"/>
      <c r="P640" s="303"/>
      <c r="Q640" s="303"/>
      <c r="R640" s="303"/>
      <c r="S640" s="303"/>
      <c r="T640" s="303"/>
      <c r="U640" s="303"/>
      <c r="V640" s="303"/>
      <c r="W640" s="303"/>
      <c r="X640" s="303"/>
      <c r="Y640" s="303"/>
      <c r="Z640" s="303"/>
    </row>
    <row r="641" spans="1:26" x14ac:dyDescent="0.2">
      <c r="A641" s="303"/>
      <c r="B641" s="303"/>
      <c r="C641" s="303"/>
      <c r="D641" s="303"/>
      <c r="E641" s="303"/>
      <c r="F641" s="303"/>
      <c r="G641" s="303"/>
      <c r="H641" s="303"/>
      <c r="I641" s="303"/>
      <c r="J641" s="303"/>
      <c r="K641" s="303"/>
      <c r="L641" s="303"/>
      <c r="M641" s="303"/>
      <c r="N641" s="303"/>
      <c r="O641" s="303"/>
      <c r="P641" s="303"/>
      <c r="Q641" s="303"/>
      <c r="R641" s="303"/>
      <c r="S641" s="303"/>
      <c r="T641" s="303"/>
      <c r="U641" s="303"/>
      <c r="V641" s="303"/>
      <c r="W641" s="303"/>
      <c r="X641" s="303"/>
      <c r="Y641" s="303"/>
      <c r="Z641" s="303"/>
    </row>
    <row r="642" spans="1:26" x14ac:dyDescent="0.2">
      <c r="A642" s="303"/>
      <c r="B642" s="303"/>
      <c r="C642" s="303"/>
      <c r="D642" s="303"/>
      <c r="E642" s="303"/>
      <c r="F642" s="303"/>
      <c r="G642" s="303"/>
      <c r="H642" s="303"/>
      <c r="I642" s="303"/>
      <c r="J642" s="303"/>
      <c r="K642" s="303"/>
      <c r="L642" s="303"/>
      <c r="M642" s="303"/>
      <c r="N642" s="303"/>
      <c r="O642" s="303"/>
      <c r="P642" s="303"/>
      <c r="Q642" s="303"/>
      <c r="R642" s="303"/>
      <c r="S642" s="303"/>
      <c r="T642" s="303"/>
      <c r="U642" s="303"/>
      <c r="V642" s="303"/>
      <c r="W642" s="303"/>
      <c r="X642" s="303"/>
      <c r="Y642" s="303"/>
      <c r="Z642" s="303"/>
    </row>
    <row r="643" spans="1:26" x14ac:dyDescent="0.2">
      <c r="A643" s="303"/>
      <c r="B643" s="303"/>
      <c r="C643" s="303"/>
      <c r="D643" s="303"/>
      <c r="E643" s="303"/>
      <c r="F643" s="303"/>
      <c r="G643" s="303"/>
      <c r="H643" s="303"/>
      <c r="I643" s="303"/>
      <c r="J643" s="303"/>
      <c r="K643" s="303"/>
      <c r="L643" s="303"/>
      <c r="M643" s="303"/>
      <c r="N643" s="303"/>
      <c r="O643" s="303"/>
      <c r="P643" s="303"/>
      <c r="Q643" s="303"/>
      <c r="R643" s="303"/>
      <c r="S643" s="303"/>
      <c r="T643" s="303"/>
      <c r="U643" s="303"/>
      <c r="V643" s="303"/>
      <c r="W643" s="303"/>
      <c r="X643" s="303"/>
      <c r="Y643" s="303"/>
      <c r="Z643" s="303"/>
    </row>
    <row r="644" spans="1:26" x14ac:dyDescent="0.2">
      <c r="A644" s="303"/>
      <c r="B644" s="303"/>
      <c r="C644" s="303"/>
      <c r="D644" s="303"/>
      <c r="E644" s="303"/>
      <c r="F644" s="303"/>
      <c r="G644" s="303"/>
      <c r="H644" s="303"/>
      <c r="I644" s="303"/>
      <c r="J644" s="303"/>
      <c r="K644" s="303"/>
      <c r="L644" s="303"/>
      <c r="M644" s="303"/>
      <c r="N644" s="303"/>
      <c r="O644" s="303"/>
      <c r="P644" s="303"/>
      <c r="Q644" s="303"/>
      <c r="R644" s="303"/>
      <c r="S644" s="303"/>
      <c r="T644" s="303"/>
      <c r="U644" s="303"/>
      <c r="V644" s="303"/>
      <c r="W644" s="303"/>
      <c r="X644" s="303"/>
      <c r="Y644" s="303"/>
      <c r="Z644" s="303"/>
    </row>
    <row r="645" spans="1:26" x14ac:dyDescent="0.2">
      <c r="A645" s="303"/>
      <c r="B645" s="303"/>
      <c r="C645" s="303"/>
      <c r="D645" s="303"/>
      <c r="E645" s="303"/>
      <c r="F645" s="303"/>
      <c r="G645" s="303"/>
      <c r="H645" s="303"/>
      <c r="I645" s="303"/>
      <c r="J645" s="303"/>
      <c r="K645" s="303"/>
      <c r="L645" s="303"/>
      <c r="M645" s="303"/>
      <c r="N645" s="303"/>
      <c r="O645" s="303"/>
      <c r="P645" s="303"/>
      <c r="Q645" s="303"/>
      <c r="R645" s="303"/>
      <c r="S645" s="303"/>
      <c r="T645" s="303"/>
      <c r="U645" s="303"/>
      <c r="V645" s="303"/>
      <c r="W645" s="303"/>
      <c r="X645" s="303"/>
      <c r="Y645" s="303"/>
      <c r="Z645" s="303"/>
    </row>
    <row r="646" spans="1:26" x14ac:dyDescent="0.2">
      <c r="A646" s="303"/>
      <c r="B646" s="303"/>
      <c r="C646" s="303"/>
      <c r="D646" s="303"/>
      <c r="E646" s="303"/>
      <c r="F646" s="303"/>
      <c r="G646" s="303"/>
      <c r="H646" s="303"/>
      <c r="I646" s="303"/>
      <c r="J646" s="303"/>
      <c r="K646" s="303"/>
      <c r="L646" s="303"/>
      <c r="M646" s="303"/>
      <c r="N646" s="303"/>
      <c r="O646" s="303"/>
      <c r="P646" s="303"/>
      <c r="Q646" s="303"/>
      <c r="R646" s="303"/>
      <c r="S646" s="303"/>
      <c r="T646" s="303"/>
      <c r="U646" s="303"/>
      <c r="V646" s="303"/>
      <c r="W646" s="303"/>
      <c r="X646" s="303"/>
      <c r="Y646" s="303"/>
      <c r="Z646" s="303"/>
    </row>
    <row r="647" spans="1:26" x14ac:dyDescent="0.2">
      <c r="A647" s="303"/>
      <c r="B647" s="303"/>
      <c r="C647" s="303"/>
      <c r="D647" s="303"/>
      <c r="E647" s="303"/>
      <c r="F647" s="303"/>
      <c r="G647" s="303"/>
      <c r="H647" s="303"/>
      <c r="I647" s="303"/>
      <c r="J647" s="303"/>
      <c r="K647" s="303"/>
      <c r="L647" s="303"/>
      <c r="M647" s="303"/>
      <c r="N647" s="303"/>
      <c r="O647" s="303"/>
      <c r="P647" s="303"/>
      <c r="Q647" s="303"/>
      <c r="R647" s="303"/>
      <c r="S647" s="303"/>
      <c r="T647" s="303"/>
      <c r="U647" s="303"/>
      <c r="V647" s="303"/>
      <c r="W647" s="303"/>
      <c r="X647" s="303"/>
      <c r="Y647" s="303"/>
      <c r="Z647" s="303"/>
    </row>
    <row r="648" spans="1:26" x14ac:dyDescent="0.2">
      <c r="A648" s="303"/>
      <c r="B648" s="303"/>
      <c r="C648" s="303"/>
      <c r="D648" s="303"/>
      <c r="E648" s="303"/>
      <c r="F648" s="303"/>
      <c r="G648" s="303"/>
      <c r="H648" s="303"/>
      <c r="I648" s="303"/>
      <c r="J648" s="303"/>
      <c r="K648" s="303"/>
      <c r="L648" s="303"/>
      <c r="M648" s="303"/>
      <c r="N648" s="303"/>
      <c r="O648" s="303"/>
      <c r="P648" s="303"/>
      <c r="Q648" s="303"/>
      <c r="R648" s="303"/>
      <c r="S648" s="303"/>
      <c r="T648" s="303"/>
      <c r="U648" s="303"/>
      <c r="V648" s="303"/>
      <c r="W648" s="303"/>
      <c r="X648" s="303"/>
      <c r="Y648" s="303"/>
      <c r="Z648" s="303"/>
    </row>
    <row r="649" spans="1:26" x14ac:dyDescent="0.2">
      <c r="A649" s="303"/>
      <c r="B649" s="303"/>
      <c r="C649" s="303"/>
      <c r="D649" s="303"/>
      <c r="E649" s="303"/>
      <c r="F649" s="303"/>
      <c r="G649" s="303"/>
      <c r="H649" s="303"/>
      <c r="I649" s="303"/>
      <c r="J649" s="303"/>
      <c r="K649" s="303"/>
      <c r="L649" s="303"/>
      <c r="M649" s="303"/>
      <c r="N649" s="303"/>
      <c r="O649" s="303"/>
      <c r="P649" s="303"/>
      <c r="Q649" s="303"/>
      <c r="R649" s="303"/>
      <c r="S649" s="303"/>
      <c r="T649" s="303"/>
      <c r="U649" s="303"/>
      <c r="V649" s="303"/>
      <c r="W649" s="303"/>
      <c r="X649" s="303"/>
      <c r="Y649" s="303"/>
      <c r="Z649" s="303"/>
    </row>
    <row r="650" spans="1:26" x14ac:dyDescent="0.2">
      <c r="A650" s="303"/>
      <c r="B650" s="303"/>
      <c r="C650" s="303"/>
      <c r="D650" s="303"/>
      <c r="E650" s="303"/>
      <c r="F650" s="303"/>
      <c r="G650" s="303"/>
      <c r="H650" s="303"/>
      <c r="I650" s="303"/>
      <c r="J650" s="303"/>
      <c r="K650" s="303"/>
      <c r="L650" s="303"/>
      <c r="M650" s="303"/>
      <c r="N650" s="303"/>
      <c r="O650" s="303"/>
      <c r="P650" s="303"/>
      <c r="Q650" s="303"/>
      <c r="R650" s="303"/>
      <c r="S650" s="303"/>
      <c r="T650" s="303"/>
      <c r="U650" s="303"/>
      <c r="V650" s="303"/>
      <c r="W650" s="303"/>
      <c r="X650" s="303"/>
      <c r="Y650" s="303"/>
      <c r="Z650" s="303"/>
    </row>
    <row r="651" spans="1:26" x14ac:dyDescent="0.2">
      <c r="A651" s="303"/>
      <c r="B651" s="303"/>
      <c r="C651" s="303"/>
      <c r="D651" s="303"/>
      <c r="E651" s="303"/>
      <c r="F651" s="303"/>
      <c r="G651" s="303"/>
      <c r="H651" s="303"/>
      <c r="I651" s="303"/>
      <c r="J651" s="303"/>
      <c r="K651" s="303"/>
      <c r="L651" s="303"/>
      <c r="M651" s="303"/>
      <c r="N651" s="303"/>
      <c r="O651" s="303"/>
      <c r="P651" s="303"/>
      <c r="Q651" s="303"/>
      <c r="R651" s="303"/>
      <c r="S651" s="303"/>
      <c r="T651" s="303"/>
      <c r="U651" s="303"/>
      <c r="V651" s="303"/>
      <c r="W651" s="303"/>
      <c r="X651" s="303"/>
      <c r="Y651" s="303"/>
      <c r="Z651" s="303"/>
    </row>
    <row r="652" spans="1:26" x14ac:dyDescent="0.2">
      <c r="A652" s="303"/>
      <c r="B652" s="303"/>
      <c r="C652" s="303"/>
      <c r="D652" s="303"/>
      <c r="E652" s="303"/>
      <c r="F652" s="303"/>
      <c r="G652" s="303"/>
      <c r="H652" s="303"/>
      <c r="I652" s="303"/>
      <c r="J652" s="303"/>
      <c r="K652" s="303"/>
      <c r="L652" s="303"/>
      <c r="M652" s="303"/>
      <c r="N652" s="303"/>
      <c r="O652" s="303"/>
      <c r="P652" s="303"/>
      <c r="Q652" s="303"/>
      <c r="R652" s="303"/>
      <c r="S652" s="303"/>
      <c r="T652" s="303"/>
      <c r="U652" s="303"/>
      <c r="V652" s="303"/>
      <c r="W652" s="303"/>
      <c r="X652" s="303"/>
      <c r="Y652" s="303"/>
      <c r="Z652" s="303"/>
    </row>
    <row r="653" spans="1:26" x14ac:dyDescent="0.2">
      <c r="A653" s="303"/>
      <c r="B653" s="303"/>
      <c r="C653" s="303"/>
      <c r="D653" s="303"/>
      <c r="E653" s="303"/>
      <c r="F653" s="303"/>
      <c r="G653" s="303"/>
      <c r="H653" s="303"/>
      <c r="I653" s="303"/>
      <c r="J653" s="303"/>
      <c r="K653" s="303"/>
      <c r="L653" s="303"/>
      <c r="M653" s="303"/>
      <c r="N653" s="303"/>
      <c r="O653" s="303"/>
      <c r="P653" s="303"/>
      <c r="Q653" s="303"/>
      <c r="R653" s="303"/>
      <c r="S653" s="303"/>
      <c r="T653" s="303"/>
      <c r="U653" s="303"/>
      <c r="V653" s="303"/>
      <c r="W653" s="303"/>
      <c r="X653" s="303"/>
      <c r="Y653" s="303"/>
      <c r="Z653" s="303"/>
    </row>
    <row r="654" spans="1:26" x14ac:dyDescent="0.2">
      <c r="A654" s="303"/>
      <c r="B654" s="303"/>
      <c r="C654" s="303"/>
      <c r="D654" s="303"/>
      <c r="E654" s="303"/>
      <c r="F654" s="303"/>
      <c r="G654" s="303"/>
      <c r="H654" s="303"/>
      <c r="I654" s="303"/>
      <c r="J654" s="303"/>
      <c r="K654" s="303"/>
      <c r="L654" s="303"/>
      <c r="M654" s="303"/>
      <c r="N654" s="303"/>
      <c r="O654" s="303"/>
      <c r="P654" s="303"/>
      <c r="Q654" s="303"/>
      <c r="R654" s="303"/>
      <c r="S654" s="303"/>
      <c r="T654" s="303"/>
      <c r="U654" s="303"/>
      <c r="V654" s="303"/>
      <c r="W654" s="303"/>
      <c r="X654" s="303"/>
      <c r="Y654" s="303"/>
      <c r="Z654" s="303"/>
    </row>
    <row r="655" spans="1:26" x14ac:dyDescent="0.2">
      <c r="A655" s="303"/>
      <c r="B655" s="303"/>
      <c r="C655" s="303"/>
      <c r="D655" s="303"/>
      <c r="E655" s="303"/>
      <c r="F655" s="303"/>
      <c r="G655" s="303"/>
      <c r="H655" s="303"/>
      <c r="I655" s="303"/>
      <c r="J655" s="303"/>
      <c r="K655" s="303"/>
      <c r="L655" s="303"/>
      <c r="M655" s="303"/>
      <c r="N655" s="303"/>
      <c r="O655" s="303"/>
      <c r="P655" s="303"/>
      <c r="Q655" s="303"/>
      <c r="R655" s="303"/>
      <c r="S655" s="303"/>
      <c r="T655" s="303"/>
      <c r="U655" s="303"/>
      <c r="V655" s="303"/>
      <c r="W655" s="303"/>
      <c r="X655" s="303"/>
      <c r="Y655" s="303"/>
      <c r="Z655" s="303"/>
    </row>
    <row r="656" spans="1:26" x14ac:dyDescent="0.2">
      <c r="A656" s="303"/>
      <c r="B656" s="303"/>
      <c r="C656" s="303"/>
      <c r="D656" s="303"/>
      <c r="E656" s="303"/>
      <c r="F656" s="303"/>
      <c r="G656" s="303"/>
      <c r="H656" s="303"/>
      <c r="I656" s="303"/>
      <c r="J656" s="303"/>
      <c r="K656" s="303"/>
      <c r="L656" s="303"/>
      <c r="M656" s="303"/>
      <c r="N656" s="303"/>
      <c r="O656" s="303"/>
      <c r="P656" s="303"/>
      <c r="Q656" s="303"/>
      <c r="R656" s="303"/>
      <c r="S656" s="303"/>
      <c r="T656" s="303"/>
      <c r="U656" s="303"/>
      <c r="V656" s="303"/>
      <c r="W656" s="303"/>
      <c r="X656" s="303"/>
      <c r="Y656" s="303"/>
      <c r="Z656" s="303"/>
    </row>
    <row r="657" spans="1:26" x14ac:dyDescent="0.2">
      <c r="A657" s="303"/>
      <c r="B657" s="303"/>
      <c r="C657" s="303"/>
      <c r="D657" s="303"/>
      <c r="E657" s="303"/>
      <c r="F657" s="303"/>
      <c r="G657" s="303"/>
      <c r="H657" s="303"/>
      <c r="I657" s="303"/>
      <c r="J657" s="303"/>
      <c r="K657" s="303"/>
      <c r="L657" s="303"/>
      <c r="M657" s="303"/>
      <c r="N657" s="303"/>
      <c r="O657" s="303"/>
      <c r="P657" s="303"/>
      <c r="Q657" s="303"/>
      <c r="R657" s="303"/>
      <c r="S657" s="303"/>
      <c r="T657" s="303"/>
      <c r="U657" s="303"/>
      <c r="V657" s="303"/>
      <c r="W657" s="303"/>
      <c r="X657" s="303"/>
      <c r="Y657" s="303"/>
      <c r="Z657" s="303"/>
    </row>
    <row r="658" spans="1:26" x14ac:dyDescent="0.2">
      <c r="A658" s="303"/>
      <c r="B658" s="303"/>
      <c r="C658" s="303"/>
      <c r="D658" s="303"/>
      <c r="E658" s="303"/>
      <c r="F658" s="303"/>
      <c r="G658" s="303"/>
      <c r="H658" s="303"/>
      <c r="I658" s="303"/>
      <c r="J658" s="303"/>
      <c r="K658" s="303"/>
      <c r="L658" s="303"/>
      <c r="M658" s="303"/>
      <c r="N658" s="303"/>
      <c r="O658" s="303"/>
      <c r="P658" s="303"/>
      <c r="Q658" s="303"/>
      <c r="R658" s="303"/>
      <c r="S658" s="303"/>
      <c r="T658" s="303"/>
      <c r="U658" s="303"/>
      <c r="V658" s="303"/>
      <c r="W658" s="303"/>
      <c r="X658" s="303"/>
      <c r="Y658" s="303"/>
      <c r="Z658" s="303"/>
    </row>
    <row r="659" spans="1:26" x14ac:dyDescent="0.2">
      <c r="A659" s="303"/>
      <c r="B659" s="303"/>
      <c r="C659" s="303"/>
      <c r="D659" s="303"/>
      <c r="E659" s="303"/>
      <c r="F659" s="303"/>
      <c r="G659" s="303"/>
      <c r="H659" s="303"/>
      <c r="I659" s="303"/>
      <c r="J659" s="303"/>
      <c r="K659" s="303"/>
      <c r="L659" s="303"/>
      <c r="M659" s="303"/>
      <c r="N659" s="303"/>
      <c r="O659" s="303"/>
      <c r="P659" s="303"/>
      <c r="Q659" s="303"/>
      <c r="R659" s="303"/>
      <c r="S659" s="303"/>
      <c r="T659" s="303"/>
      <c r="U659" s="303"/>
      <c r="V659" s="303"/>
      <c r="W659" s="303"/>
      <c r="X659" s="303"/>
      <c r="Y659" s="303"/>
      <c r="Z659" s="303"/>
    </row>
    <row r="660" spans="1:26" x14ac:dyDescent="0.2">
      <c r="A660" s="303"/>
      <c r="B660" s="303"/>
      <c r="C660" s="303"/>
      <c r="D660" s="303"/>
      <c r="E660" s="303"/>
      <c r="F660" s="303"/>
      <c r="G660" s="303"/>
      <c r="H660" s="303"/>
      <c r="I660" s="303"/>
      <c r="J660" s="303"/>
      <c r="K660" s="303"/>
      <c r="L660" s="303"/>
      <c r="M660" s="303"/>
      <c r="N660" s="303"/>
      <c r="O660" s="303"/>
      <c r="P660" s="303"/>
      <c r="Q660" s="303"/>
      <c r="R660" s="303"/>
      <c r="S660" s="303"/>
      <c r="T660" s="303"/>
      <c r="U660" s="303"/>
      <c r="V660" s="303"/>
      <c r="W660" s="303"/>
      <c r="X660" s="303"/>
      <c r="Y660" s="303"/>
      <c r="Z660" s="303"/>
    </row>
    <row r="661" spans="1:26" x14ac:dyDescent="0.2">
      <c r="A661" s="303"/>
      <c r="B661" s="303"/>
      <c r="C661" s="303"/>
      <c r="D661" s="303"/>
      <c r="E661" s="303"/>
      <c r="F661" s="303"/>
      <c r="G661" s="303"/>
      <c r="H661" s="303"/>
      <c r="I661" s="303"/>
      <c r="J661" s="303"/>
      <c r="K661" s="303"/>
      <c r="L661" s="303"/>
      <c r="M661" s="303"/>
      <c r="N661" s="303"/>
      <c r="O661" s="303"/>
      <c r="P661" s="303"/>
      <c r="Q661" s="303"/>
      <c r="R661" s="303"/>
      <c r="S661" s="303"/>
      <c r="T661" s="303"/>
      <c r="U661" s="303"/>
      <c r="V661" s="303"/>
      <c r="W661" s="303"/>
      <c r="X661" s="303"/>
      <c r="Y661" s="303"/>
      <c r="Z661" s="303"/>
    </row>
    <row r="662" spans="1:26" x14ac:dyDescent="0.2">
      <c r="A662" s="303"/>
      <c r="B662" s="303"/>
      <c r="C662" s="303"/>
      <c r="D662" s="303"/>
      <c r="E662" s="303"/>
      <c r="F662" s="303"/>
      <c r="G662" s="303"/>
      <c r="H662" s="303"/>
      <c r="I662" s="303"/>
      <c r="J662" s="303"/>
      <c r="K662" s="303"/>
      <c r="L662" s="303"/>
      <c r="M662" s="303"/>
      <c r="N662" s="303"/>
      <c r="O662" s="303"/>
      <c r="P662" s="303"/>
      <c r="Q662" s="303"/>
      <c r="R662" s="303"/>
      <c r="S662" s="303"/>
      <c r="T662" s="303"/>
      <c r="U662" s="303"/>
      <c r="V662" s="303"/>
      <c r="W662" s="303"/>
      <c r="X662" s="303"/>
      <c r="Y662" s="303"/>
      <c r="Z662" s="303"/>
    </row>
    <row r="663" spans="1:26" x14ac:dyDescent="0.2">
      <c r="A663" s="303"/>
      <c r="B663" s="303"/>
      <c r="C663" s="303"/>
      <c r="D663" s="303"/>
      <c r="E663" s="303"/>
      <c r="F663" s="303"/>
      <c r="G663" s="303"/>
      <c r="H663" s="303"/>
      <c r="I663" s="303"/>
      <c r="J663" s="303"/>
      <c r="K663" s="303"/>
      <c r="L663" s="303"/>
      <c r="M663" s="303"/>
      <c r="N663" s="303"/>
      <c r="O663" s="303"/>
      <c r="P663" s="303"/>
      <c r="Q663" s="303"/>
      <c r="R663" s="303"/>
      <c r="S663" s="303"/>
      <c r="T663" s="303"/>
      <c r="U663" s="303"/>
      <c r="V663" s="303"/>
      <c r="W663" s="303"/>
      <c r="X663" s="303"/>
      <c r="Y663" s="303"/>
      <c r="Z663" s="303"/>
    </row>
    <row r="664" spans="1:26" x14ac:dyDescent="0.2">
      <c r="A664" s="303"/>
      <c r="B664" s="303"/>
      <c r="C664" s="303"/>
      <c r="D664" s="303"/>
      <c r="E664" s="303"/>
      <c r="F664" s="303"/>
      <c r="G664" s="303"/>
      <c r="H664" s="303"/>
      <c r="I664" s="303"/>
      <c r="J664" s="303"/>
      <c r="K664" s="303"/>
      <c r="L664" s="303"/>
      <c r="M664" s="303"/>
      <c r="N664" s="303"/>
      <c r="O664" s="303"/>
      <c r="P664" s="303"/>
      <c r="Q664" s="303"/>
      <c r="R664" s="303"/>
      <c r="S664" s="303"/>
      <c r="T664" s="303"/>
      <c r="U664" s="303"/>
      <c r="V664" s="303"/>
      <c r="W664" s="303"/>
      <c r="X664" s="303"/>
      <c r="Y664" s="303"/>
      <c r="Z664" s="303"/>
    </row>
    <row r="665" spans="1:26" x14ac:dyDescent="0.2">
      <c r="A665" s="303"/>
      <c r="B665" s="303"/>
      <c r="C665" s="303"/>
      <c r="D665" s="303"/>
      <c r="E665" s="303"/>
      <c r="F665" s="303"/>
      <c r="G665" s="303"/>
      <c r="H665" s="303"/>
      <c r="I665" s="303"/>
      <c r="J665" s="303"/>
      <c r="K665" s="303"/>
      <c r="L665" s="303"/>
      <c r="M665" s="303"/>
      <c r="N665" s="303"/>
      <c r="O665" s="303"/>
      <c r="P665" s="303"/>
      <c r="Q665" s="303"/>
      <c r="R665" s="303"/>
      <c r="S665" s="303"/>
      <c r="T665" s="303"/>
      <c r="U665" s="303"/>
      <c r="V665" s="303"/>
      <c r="W665" s="303"/>
      <c r="X665" s="303"/>
      <c r="Y665" s="303"/>
      <c r="Z665" s="303"/>
    </row>
    <row r="666" spans="1:26" x14ac:dyDescent="0.2">
      <c r="A666" s="303"/>
      <c r="B666" s="303"/>
      <c r="C666" s="303"/>
      <c r="D666" s="303"/>
      <c r="E666" s="303"/>
      <c r="F666" s="303"/>
      <c r="G666" s="303"/>
      <c r="H666" s="303"/>
      <c r="I666" s="303"/>
      <c r="J666" s="303"/>
      <c r="K666" s="303"/>
      <c r="L666" s="303"/>
      <c r="M666" s="303"/>
      <c r="N666" s="303"/>
      <c r="O666" s="303"/>
      <c r="P666" s="303"/>
      <c r="Q666" s="303"/>
      <c r="R666" s="303"/>
      <c r="S666" s="303"/>
      <c r="T666" s="303"/>
      <c r="U666" s="303"/>
      <c r="V666" s="303"/>
      <c r="W666" s="303"/>
      <c r="X666" s="303"/>
      <c r="Y666" s="303"/>
      <c r="Z666" s="303"/>
    </row>
    <row r="667" spans="1:26" x14ac:dyDescent="0.2">
      <c r="A667" s="303"/>
      <c r="B667" s="303"/>
      <c r="C667" s="303"/>
      <c r="D667" s="303"/>
      <c r="E667" s="303"/>
      <c r="F667" s="303"/>
      <c r="G667" s="303"/>
      <c r="H667" s="303"/>
      <c r="I667" s="303"/>
      <c r="J667" s="303"/>
      <c r="K667" s="303"/>
      <c r="L667" s="303"/>
      <c r="M667" s="303"/>
      <c r="N667" s="303"/>
      <c r="O667" s="303"/>
      <c r="P667" s="303"/>
      <c r="Q667" s="303"/>
      <c r="R667" s="303"/>
      <c r="S667" s="303"/>
      <c r="T667" s="303"/>
      <c r="U667" s="303"/>
      <c r="V667" s="303"/>
      <c r="W667" s="303"/>
      <c r="X667" s="303"/>
      <c r="Y667" s="303"/>
      <c r="Z667" s="303"/>
    </row>
    <row r="668" spans="1:26" x14ac:dyDescent="0.2">
      <c r="A668" s="303"/>
      <c r="B668" s="303"/>
      <c r="C668" s="303"/>
      <c r="D668" s="303"/>
      <c r="E668" s="303"/>
      <c r="F668" s="303"/>
      <c r="G668" s="303"/>
      <c r="H668" s="303"/>
      <c r="I668" s="303"/>
      <c r="J668" s="303"/>
      <c r="K668" s="303"/>
      <c r="L668" s="303"/>
      <c r="M668" s="303"/>
      <c r="N668" s="303"/>
      <c r="O668" s="303"/>
      <c r="P668" s="303"/>
      <c r="Q668" s="303"/>
      <c r="R668" s="303"/>
      <c r="S668" s="303"/>
      <c r="T668" s="303"/>
      <c r="U668" s="303"/>
      <c r="V668" s="303"/>
      <c r="W668" s="303"/>
      <c r="X668" s="303"/>
      <c r="Y668" s="303"/>
      <c r="Z668" s="303"/>
    </row>
    <row r="669" spans="1:26" x14ac:dyDescent="0.2">
      <c r="A669" s="303"/>
      <c r="B669" s="303"/>
      <c r="C669" s="303"/>
      <c r="D669" s="303"/>
      <c r="E669" s="303"/>
      <c r="F669" s="303"/>
      <c r="G669" s="303"/>
      <c r="H669" s="303"/>
      <c r="I669" s="303"/>
      <c r="J669" s="303"/>
      <c r="K669" s="303"/>
      <c r="L669" s="303"/>
      <c r="M669" s="303"/>
      <c r="N669" s="303"/>
      <c r="O669" s="303"/>
      <c r="P669" s="303"/>
      <c r="Q669" s="303"/>
      <c r="R669" s="303"/>
      <c r="S669" s="303"/>
      <c r="T669" s="303"/>
      <c r="U669" s="303"/>
      <c r="V669" s="303"/>
      <c r="W669" s="303"/>
      <c r="X669" s="303"/>
      <c r="Y669" s="303"/>
      <c r="Z669" s="303"/>
    </row>
    <row r="670" spans="1:26" x14ac:dyDescent="0.2">
      <c r="A670" s="303"/>
      <c r="B670" s="303"/>
      <c r="C670" s="303"/>
      <c r="D670" s="303"/>
      <c r="E670" s="303"/>
      <c r="F670" s="303"/>
      <c r="G670" s="303"/>
      <c r="H670" s="303"/>
      <c r="I670" s="303"/>
      <c r="J670" s="303"/>
      <c r="K670" s="303"/>
      <c r="L670" s="303"/>
      <c r="M670" s="303"/>
      <c r="N670" s="303"/>
      <c r="O670" s="303"/>
      <c r="P670" s="303"/>
      <c r="Q670" s="303"/>
      <c r="R670" s="303"/>
      <c r="S670" s="303"/>
      <c r="T670" s="303"/>
      <c r="U670" s="303"/>
      <c r="V670" s="303"/>
      <c r="W670" s="303"/>
      <c r="X670" s="303"/>
      <c r="Y670" s="303"/>
      <c r="Z670" s="303"/>
    </row>
    <row r="671" spans="1:26" x14ac:dyDescent="0.2">
      <c r="A671" s="303"/>
      <c r="B671" s="303"/>
      <c r="C671" s="303"/>
      <c r="D671" s="303"/>
      <c r="E671" s="303"/>
      <c r="F671" s="303"/>
      <c r="G671" s="303"/>
      <c r="H671" s="303"/>
      <c r="I671" s="303"/>
      <c r="J671" s="303"/>
      <c r="K671" s="303"/>
      <c r="L671" s="303"/>
      <c r="M671" s="303"/>
      <c r="N671" s="303"/>
      <c r="O671" s="303"/>
      <c r="P671" s="303"/>
      <c r="Q671" s="303"/>
      <c r="R671" s="303"/>
      <c r="S671" s="303"/>
      <c r="T671" s="303"/>
      <c r="U671" s="303"/>
      <c r="V671" s="303"/>
      <c r="W671" s="303"/>
      <c r="X671" s="303"/>
      <c r="Y671" s="303"/>
      <c r="Z671" s="303"/>
    </row>
    <row r="672" spans="1:26" x14ac:dyDescent="0.2">
      <c r="A672" s="303"/>
      <c r="B672" s="303"/>
      <c r="C672" s="303"/>
      <c r="D672" s="303"/>
      <c r="E672" s="303"/>
      <c r="F672" s="303"/>
      <c r="G672" s="303"/>
      <c r="H672" s="303"/>
      <c r="I672" s="303"/>
      <c r="J672" s="303"/>
      <c r="K672" s="303"/>
      <c r="L672" s="303"/>
      <c r="M672" s="303"/>
      <c r="N672" s="303"/>
      <c r="O672" s="303"/>
      <c r="P672" s="303"/>
      <c r="Q672" s="303"/>
      <c r="R672" s="303"/>
      <c r="S672" s="303"/>
      <c r="T672" s="303"/>
      <c r="U672" s="303"/>
      <c r="V672" s="303"/>
      <c r="W672" s="303"/>
      <c r="X672" s="303"/>
      <c r="Y672" s="303"/>
      <c r="Z672" s="303"/>
    </row>
    <row r="673" spans="1:26" x14ac:dyDescent="0.2">
      <c r="A673" s="303"/>
      <c r="B673" s="303"/>
      <c r="C673" s="303"/>
      <c r="D673" s="303"/>
      <c r="E673" s="303"/>
      <c r="F673" s="303"/>
      <c r="G673" s="303"/>
      <c r="H673" s="303"/>
      <c r="I673" s="303"/>
      <c r="J673" s="303"/>
      <c r="K673" s="303"/>
      <c r="L673" s="303"/>
      <c r="M673" s="303"/>
      <c r="N673" s="303"/>
      <c r="O673" s="303"/>
      <c r="P673" s="303"/>
      <c r="Q673" s="303"/>
      <c r="R673" s="303"/>
      <c r="S673" s="303"/>
      <c r="T673" s="303"/>
      <c r="U673" s="303"/>
      <c r="V673" s="303"/>
      <c r="W673" s="303"/>
      <c r="X673" s="303"/>
      <c r="Y673" s="303"/>
      <c r="Z673" s="303"/>
    </row>
    <row r="674" spans="1:26" x14ac:dyDescent="0.2">
      <c r="A674" s="303"/>
      <c r="B674" s="303"/>
      <c r="C674" s="303"/>
      <c r="D674" s="303"/>
      <c r="E674" s="303"/>
      <c r="F674" s="303"/>
      <c r="G674" s="303"/>
      <c r="H674" s="303"/>
      <c r="I674" s="303"/>
      <c r="J674" s="303"/>
      <c r="K674" s="303"/>
      <c r="L674" s="303"/>
      <c r="M674" s="303"/>
      <c r="N674" s="303"/>
      <c r="O674" s="303"/>
      <c r="P674" s="303"/>
      <c r="Q674" s="303"/>
      <c r="R674" s="303"/>
      <c r="S674" s="303"/>
      <c r="T674" s="303"/>
      <c r="U674" s="303"/>
      <c r="V674" s="303"/>
      <c r="W674" s="303"/>
      <c r="X674" s="303"/>
      <c r="Y674" s="303"/>
      <c r="Z674" s="303"/>
    </row>
    <row r="675" spans="1:26" x14ac:dyDescent="0.2">
      <c r="A675" s="303"/>
      <c r="B675" s="303"/>
      <c r="C675" s="303"/>
      <c r="D675" s="303"/>
      <c r="E675" s="303"/>
      <c r="F675" s="303"/>
      <c r="G675" s="303"/>
      <c r="H675" s="303"/>
      <c r="I675" s="303"/>
      <c r="J675" s="303"/>
      <c r="K675" s="303"/>
      <c r="L675" s="303"/>
      <c r="M675" s="303"/>
      <c r="N675" s="303"/>
      <c r="O675" s="303"/>
      <c r="P675" s="303"/>
      <c r="Q675" s="303"/>
      <c r="R675" s="303"/>
      <c r="S675" s="303"/>
      <c r="T675" s="303"/>
      <c r="U675" s="303"/>
      <c r="V675" s="303"/>
      <c r="W675" s="303"/>
      <c r="X675" s="303"/>
      <c r="Y675" s="303"/>
      <c r="Z675" s="303"/>
    </row>
    <row r="676" spans="1:26" x14ac:dyDescent="0.2">
      <c r="A676" s="303"/>
      <c r="B676" s="303"/>
      <c r="C676" s="303"/>
      <c r="D676" s="303"/>
      <c r="E676" s="303"/>
      <c r="F676" s="303"/>
      <c r="G676" s="303"/>
      <c r="H676" s="303"/>
      <c r="I676" s="303"/>
      <c r="J676" s="303"/>
      <c r="K676" s="303"/>
      <c r="L676" s="303"/>
      <c r="M676" s="303"/>
      <c r="N676" s="303"/>
      <c r="O676" s="303"/>
      <c r="P676" s="303"/>
      <c r="Q676" s="303"/>
      <c r="R676" s="303"/>
      <c r="S676" s="303"/>
      <c r="T676" s="303"/>
      <c r="U676" s="303"/>
      <c r="V676" s="303"/>
      <c r="W676" s="303"/>
      <c r="X676" s="303"/>
      <c r="Y676" s="303"/>
      <c r="Z676" s="303"/>
    </row>
    <row r="677" spans="1:26" x14ac:dyDescent="0.2">
      <c r="A677" s="303"/>
      <c r="B677" s="303"/>
      <c r="C677" s="303"/>
      <c r="D677" s="303"/>
      <c r="E677" s="303"/>
      <c r="F677" s="303"/>
      <c r="G677" s="303"/>
      <c r="H677" s="303"/>
      <c r="I677" s="303"/>
      <c r="J677" s="303"/>
      <c r="K677" s="303"/>
      <c r="L677" s="303"/>
      <c r="M677" s="303"/>
      <c r="N677" s="303"/>
      <c r="O677" s="303"/>
      <c r="P677" s="303"/>
      <c r="Q677" s="303"/>
      <c r="R677" s="303"/>
      <c r="S677" s="303"/>
      <c r="T677" s="303"/>
      <c r="U677" s="303"/>
      <c r="V677" s="303"/>
      <c r="W677" s="303"/>
      <c r="X677" s="303"/>
      <c r="Y677" s="303"/>
      <c r="Z677" s="303"/>
    </row>
    <row r="678" spans="1:26" x14ac:dyDescent="0.2">
      <c r="A678" s="303"/>
      <c r="B678" s="303"/>
      <c r="C678" s="303"/>
      <c r="D678" s="303"/>
      <c r="E678" s="303"/>
      <c r="F678" s="303"/>
      <c r="G678" s="303"/>
      <c r="H678" s="303"/>
      <c r="I678" s="303"/>
      <c r="J678" s="303"/>
      <c r="K678" s="303"/>
      <c r="L678" s="303"/>
      <c r="M678" s="303"/>
      <c r="N678" s="303"/>
      <c r="O678" s="303"/>
      <c r="P678" s="303"/>
      <c r="Q678" s="303"/>
      <c r="R678" s="303"/>
      <c r="S678" s="303"/>
      <c r="T678" s="303"/>
      <c r="U678" s="303"/>
      <c r="V678" s="303"/>
      <c r="W678" s="303"/>
      <c r="X678" s="303"/>
      <c r="Y678" s="303"/>
      <c r="Z678" s="303"/>
    </row>
    <row r="679" spans="1:26" x14ac:dyDescent="0.2">
      <c r="A679" s="303"/>
      <c r="B679" s="303"/>
      <c r="C679" s="303"/>
      <c r="D679" s="303"/>
      <c r="E679" s="303"/>
      <c r="F679" s="303"/>
      <c r="G679" s="303"/>
      <c r="H679" s="303"/>
      <c r="I679" s="303"/>
      <c r="J679" s="303"/>
      <c r="K679" s="303"/>
      <c r="L679" s="303"/>
      <c r="M679" s="303"/>
      <c r="N679" s="303"/>
      <c r="O679" s="303"/>
      <c r="P679" s="303"/>
      <c r="Q679" s="303"/>
      <c r="R679" s="303"/>
      <c r="S679" s="303"/>
      <c r="T679" s="303"/>
      <c r="U679" s="303"/>
      <c r="V679" s="303"/>
      <c r="W679" s="303"/>
      <c r="X679" s="303"/>
      <c r="Y679" s="303"/>
      <c r="Z679" s="303"/>
    </row>
    <row r="680" spans="1:26" x14ac:dyDescent="0.2">
      <c r="A680" s="303"/>
      <c r="B680" s="303"/>
      <c r="C680" s="303"/>
      <c r="D680" s="303"/>
      <c r="E680" s="303"/>
      <c r="F680" s="303"/>
      <c r="G680" s="303"/>
      <c r="H680" s="303"/>
      <c r="I680" s="303"/>
      <c r="J680" s="303"/>
      <c r="K680" s="303"/>
      <c r="L680" s="303"/>
      <c r="M680" s="303"/>
      <c r="N680" s="303"/>
      <c r="O680" s="303"/>
      <c r="P680" s="303"/>
      <c r="Q680" s="303"/>
      <c r="R680" s="303"/>
      <c r="S680" s="303"/>
      <c r="T680" s="303"/>
      <c r="U680" s="303"/>
      <c r="V680" s="303"/>
      <c r="W680" s="303"/>
      <c r="X680" s="303"/>
      <c r="Y680" s="303"/>
      <c r="Z680" s="303"/>
    </row>
    <row r="681" spans="1:26" x14ac:dyDescent="0.2">
      <c r="A681" s="303"/>
      <c r="B681" s="303"/>
      <c r="C681" s="303"/>
      <c r="D681" s="303"/>
      <c r="E681" s="303"/>
      <c r="F681" s="303"/>
      <c r="G681" s="303"/>
      <c r="H681" s="303"/>
      <c r="I681" s="303"/>
      <c r="J681" s="303"/>
      <c r="K681" s="303"/>
      <c r="L681" s="303"/>
      <c r="M681" s="303"/>
      <c r="N681" s="303"/>
      <c r="O681" s="303"/>
      <c r="P681" s="303"/>
      <c r="Q681" s="303"/>
      <c r="R681" s="303"/>
      <c r="S681" s="303"/>
      <c r="T681" s="303"/>
      <c r="U681" s="303"/>
      <c r="V681" s="303"/>
      <c r="W681" s="303"/>
      <c r="X681" s="303"/>
      <c r="Y681" s="303"/>
      <c r="Z681" s="303"/>
    </row>
    <row r="682" spans="1:26" x14ac:dyDescent="0.2">
      <c r="A682" s="303"/>
      <c r="B682" s="303"/>
      <c r="C682" s="303"/>
      <c r="D682" s="303"/>
      <c r="E682" s="303"/>
      <c r="F682" s="303"/>
      <c r="G682" s="303"/>
      <c r="H682" s="303"/>
      <c r="I682" s="303"/>
      <c r="J682" s="303"/>
      <c r="K682" s="303"/>
      <c r="L682" s="303"/>
      <c r="M682" s="303"/>
      <c r="N682" s="303"/>
      <c r="O682" s="303"/>
      <c r="P682" s="303"/>
      <c r="Q682" s="303"/>
      <c r="R682" s="303"/>
      <c r="S682" s="303"/>
      <c r="T682" s="303"/>
      <c r="U682" s="303"/>
      <c r="V682" s="303"/>
      <c r="W682" s="303"/>
      <c r="X682" s="303"/>
      <c r="Y682" s="303"/>
      <c r="Z682" s="303"/>
    </row>
    <row r="683" spans="1:26" x14ac:dyDescent="0.2">
      <c r="A683" s="303"/>
      <c r="B683" s="303"/>
      <c r="C683" s="303"/>
      <c r="D683" s="303"/>
      <c r="E683" s="303"/>
      <c r="F683" s="303"/>
      <c r="G683" s="303"/>
      <c r="H683" s="303"/>
      <c r="I683" s="303"/>
      <c r="J683" s="303"/>
      <c r="K683" s="303"/>
      <c r="L683" s="303"/>
      <c r="M683" s="303"/>
      <c r="N683" s="303"/>
      <c r="O683" s="303"/>
      <c r="P683" s="303"/>
      <c r="Q683" s="303"/>
      <c r="R683" s="303"/>
      <c r="S683" s="303"/>
      <c r="T683" s="303"/>
      <c r="U683" s="303"/>
      <c r="V683" s="303"/>
      <c r="W683" s="303"/>
      <c r="X683" s="303"/>
      <c r="Y683" s="303"/>
      <c r="Z683" s="303"/>
    </row>
    <row r="684" spans="1:26" x14ac:dyDescent="0.2">
      <c r="A684" s="303"/>
      <c r="B684" s="303"/>
      <c r="C684" s="303"/>
      <c r="D684" s="303"/>
      <c r="E684" s="303"/>
      <c r="F684" s="303"/>
      <c r="G684" s="303"/>
      <c r="H684" s="303"/>
      <c r="I684" s="303"/>
      <c r="J684" s="303"/>
      <c r="K684" s="303"/>
      <c r="L684" s="303"/>
      <c r="M684" s="303"/>
      <c r="N684" s="303"/>
      <c r="O684" s="303"/>
      <c r="P684" s="303"/>
      <c r="Q684" s="303"/>
      <c r="R684" s="303"/>
      <c r="S684" s="303"/>
      <c r="T684" s="303"/>
      <c r="U684" s="303"/>
      <c r="V684" s="303"/>
      <c r="W684" s="303"/>
      <c r="X684" s="303"/>
      <c r="Y684" s="303"/>
      <c r="Z684" s="303"/>
    </row>
    <row r="685" spans="1:26" x14ac:dyDescent="0.2">
      <c r="A685" s="303"/>
      <c r="B685" s="303"/>
      <c r="C685" s="303"/>
      <c r="D685" s="303"/>
      <c r="E685" s="303"/>
      <c r="F685" s="303"/>
      <c r="G685" s="303"/>
      <c r="H685" s="303"/>
      <c r="I685" s="303"/>
      <c r="J685" s="303"/>
      <c r="K685" s="303"/>
      <c r="L685" s="303"/>
      <c r="M685" s="303"/>
      <c r="N685" s="303"/>
      <c r="O685" s="303"/>
      <c r="P685" s="303"/>
      <c r="Q685" s="303"/>
      <c r="R685" s="303"/>
      <c r="S685" s="303"/>
      <c r="T685" s="303"/>
      <c r="U685" s="303"/>
      <c r="V685" s="303"/>
      <c r="W685" s="303"/>
      <c r="X685" s="303"/>
      <c r="Y685" s="303"/>
      <c r="Z685" s="303"/>
    </row>
    <row r="686" spans="1:26" x14ac:dyDescent="0.2">
      <c r="A686" s="303"/>
      <c r="B686" s="303"/>
      <c r="C686" s="303"/>
      <c r="D686" s="303"/>
      <c r="E686" s="303"/>
      <c r="F686" s="303"/>
      <c r="G686" s="303"/>
      <c r="H686" s="303"/>
      <c r="I686" s="303"/>
      <c r="J686" s="303"/>
      <c r="K686" s="303"/>
      <c r="L686" s="303"/>
      <c r="M686" s="303"/>
      <c r="N686" s="303"/>
      <c r="O686" s="303"/>
      <c r="P686" s="303"/>
      <c r="Q686" s="303"/>
      <c r="R686" s="303"/>
      <c r="S686" s="303"/>
      <c r="T686" s="303"/>
      <c r="U686" s="303"/>
      <c r="V686" s="303"/>
      <c r="W686" s="303"/>
      <c r="X686" s="303"/>
      <c r="Y686" s="303"/>
      <c r="Z686" s="303"/>
    </row>
    <row r="687" spans="1:26" x14ac:dyDescent="0.2">
      <c r="A687" s="303"/>
      <c r="B687" s="303"/>
      <c r="C687" s="303"/>
      <c r="D687" s="303"/>
      <c r="E687" s="303"/>
      <c r="F687" s="303"/>
      <c r="G687" s="303"/>
      <c r="H687" s="303"/>
      <c r="I687" s="303"/>
      <c r="J687" s="303"/>
      <c r="K687" s="303"/>
      <c r="L687" s="303"/>
      <c r="M687" s="303"/>
      <c r="N687" s="303"/>
      <c r="O687" s="303"/>
      <c r="P687" s="303"/>
      <c r="Q687" s="303"/>
      <c r="R687" s="303"/>
      <c r="S687" s="303"/>
      <c r="T687" s="303"/>
      <c r="U687" s="303"/>
      <c r="V687" s="303"/>
      <c r="W687" s="303"/>
      <c r="X687" s="303"/>
      <c r="Y687" s="303"/>
      <c r="Z687" s="303"/>
    </row>
    <row r="688" spans="1:26" x14ac:dyDescent="0.2">
      <c r="A688" s="303"/>
      <c r="B688" s="303"/>
      <c r="C688" s="303"/>
      <c r="D688" s="303"/>
      <c r="E688" s="303"/>
      <c r="F688" s="303"/>
      <c r="G688" s="303"/>
      <c r="H688" s="303"/>
      <c r="I688" s="303"/>
      <c r="J688" s="303"/>
      <c r="K688" s="303"/>
      <c r="L688" s="303"/>
      <c r="M688" s="303"/>
      <c r="N688" s="303"/>
      <c r="O688" s="303"/>
      <c r="P688" s="303"/>
      <c r="Q688" s="303"/>
      <c r="R688" s="303"/>
      <c r="S688" s="303"/>
      <c r="T688" s="303"/>
      <c r="U688" s="303"/>
      <c r="V688" s="303"/>
      <c r="W688" s="303"/>
      <c r="X688" s="303"/>
      <c r="Y688" s="303"/>
      <c r="Z688" s="303"/>
    </row>
    <row r="689" spans="1:26" x14ac:dyDescent="0.2">
      <c r="A689" s="303"/>
      <c r="B689" s="303"/>
      <c r="C689" s="303"/>
      <c r="D689" s="303"/>
      <c r="E689" s="303"/>
      <c r="F689" s="303"/>
      <c r="G689" s="303"/>
      <c r="H689" s="303"/>
      <c r="I689" s="303"/>
      <c r="J689" s="303"/>
      <c r="K689" s="303"/>
      <c r="L689" s="303"/>
      <c r="M689" s="303"/>
      <c r="N689" s="303"/>
      <c r="O689" s="303"/>
      <c r="P689" s="303"/>
      <c r="Q689" s="303"/>
      <c r="R689" s="303"/>
      <c r="S689" s="303"/>
      <c r="T689" s="303"/>
      <c r="U689" s="303"/>
      <c r="V689" s="303"/>
      <c r="W689" s="303"/>
      <c r="X689" s="303"/>
      <c r="Y689" s="303"/>
      <c r="Z689" s="303"/>
    </row>
    <row r="690" spans="1:26" x14ac:dyDescent="0.2">
      <c r="A690" s="303"/>
      <c r="B690" s="303"/>
      <c r="C690" s="303"/>
      <c r="D690" s="303"/>
      <c r="E690" s="303"/>
      <c r="F690" s="303"/>
      <c r="G690" s="303"/>
      <c r="H690" s="303"/>
      <c r="I690" s="303"/>
      <c r="J690" s="303"/>
      <c r="K690" s="303"/>
      <c r="L690" s="303"/>
      <c r="M690" s="303"/>
      <c r="N690" s="303"/>
      <c r="O690" s="303"/>
      <c r="P690" s="303"/>
      <c r="Q690" s="303"/>
      <c r="R690" s="303"/>
      <c r="S690" s="303"/>
      <c r="T690" s="303"/>
      <c r="U690" s="303"/>
      <c r="V690" s="303"/>
      <c r="W690" s="303"/>
      <c r="X690" s="303"/>
      <c r="Y690" s="303"/>
      <c r="Z690" s="303"/>
    </row>
    <row r="691" spans="1:26" x14ac:dyDescent="0.2">
      <c r="A691" s="303"/>
      <c r="B691" s="303"/>
      <c r="C691" s="303"/>
      <c r="D691" s="303"/>
      <c r="E691" s="303"/>
      <c r="F691" s="303"/>
      <c r="G691" s="303"/>
      <c r="H691" s="303"/>
      <c r="I691" s="303"/>
      <c r="J691" s="303"/>
      <c r="K691" s="303"/>
      <c r="L691" s="303"/>
      <c r="M691" s="303"/>
      <c r="N691" s="303"/>
      <c r="O691" s="303"/>
      <c r="P691" s="303"/>
      <c r="Q691" s="303"/>
      <c r="R691" s="303"/>
      <c r="S691" s="303"/>
      <c r="T691" s="303"/>
      <c r="U691" s="303"/>
      <c r="V691" s="303"/>
      <c r="W691" s="303"/>
      <c r="X691" s="303"/>
      <c r="Y691" s="303"/>
      <c r="Z691" s="303"/>
    </row>
    <row r="692" spans="1:26" x14ac:dyDescent="0.2">
      <c r="A692" s="303"/>
      <c r="B692" s="303"/>
      <c r="C692" s="303"/>
      <c r="D692" s="303"/>
      <c r="E692" s="303"/>
      <c r="F692" s="303"/>
      <c r="G692" s="303"/>
      <c r="H692" s="303"/>
      <c r="I692" s="303"/>
      <c r="J692" s="303"/>
      <c r="K692" s="303"/>
      <c r="L692" s="303"/>
      <c r="M692" s="303"/>
      <c r="N692" s="303"/>
      <c r="O692" s="303"/>
      <c r="P692" s="303"/>
      <c r="Q692" s="303"/>
      <c r="R692" s="303"/>
      <c r="S692" s="303"/>
      <c r="T692" s="303"/>
      <c r="U692" s="303"/>
      <c r="V692" s="303"/>
      <c r="W692" s="303"/>
      <c r="X692" s="303"/>
      <c r="Y692" s="303"/>
      <c r="Z692" s="303"/>
    </row>
    <row r="693" spans="1:26" x14ac:dyDescent="0.2">
      <c r="A693" s="303"/>
      <c r="B693" s="303"/>
      <c r="C693" s="303"/>
      <c r="D693" s="303"/>
      <c r="E693" s="303"/>
      <c r="F693" s="303"/>
      <c r="G693" s="303"/>
      <c r="H693" s="303"/>
      <c r="I693" s="303"/>
      <c r="J693" s="303"/>
      <c r="K693" s="303"/>
      <c r="L693" s="303"/>
      <c r="M693" s="303"/>
      <c r="N693" s="303"/>
      <c r="O693" s="303"/>
      <c r="P693" s="303"/>
      <c r="Q693" s="303"/>
      <c r="R693" s="303"/>
      <c r="S693" s="303"/>
      <c r="T693" s="303"/>
      <c r="U693" s="303"/>
      <c r="V693" s="303"/>
      <c r="W693" s="303"/>
      <c r="X693" s="303"/>
      <c r="Y693" s="303"/>
      <c r="Z693" s="303"/>
    </row>
    <row r="694" spans="1:26" x14ac:dyDescent="0.2">
      <c r="A694" s="303"/>
      <c r="B694" s="303"/>
      <c r="C694" s="303"/>
      <c r="D694" s="303"/>
      <c r="E694" s="303"/>
      <c r="F694" s="303"/>
      <c r="G694" s="303"/>
      <c r="H694" s="303"/>
      <c r="I694" s="303"/>
      <c r="J694" s="303"/>
      <c r="K694" s="303"/>
      <c r="L694" s="303"/>
      <c r="M694" s="303"/>
      <c r="N694" s="303"/>
      <c r="O694" s="303"/>
      <c r="P694" s="303"/>
      <c r="Q694" s="303"/>
      <c r="R694" s="303"/>
      <c r="S694" s="303"/>
      <c r="T694" s="303"/>
      <c r="U694" s="303"/>
      <c r="V694" s="303"/>
      <c r="W694" s="303"/>
      <c r="X694" s="303"/>
      <c r="Y694" s="303"/>
      <c r="Z694" s="303"/>
    </row>
    <row r="695" spans="1:26" x14ac:dyDescent="0.2">
      <c r="A695" s="303"/>
      <c r="B695" s="303"/>
      <c r="C695" s="303"/>
      <c r="D695" s="303"/>
      <c r="E695" s="303"/>
      <c r="F695" s="303"/>
      <c r="G695" s="303"/>
      <c r="H695" s="303"/>
      <c r="I695" s="303"/>
      <c r="J695" s="303"/>
      <c r="K695" s="303"/>
      <c r="L695" s="303"/>
      <c r="M695" s="303"/>
      <c r="N695" s="303"/>
      <c r="O695" s="303"/>
      <c r="P695" s="303"/>
      <c r="Q695" s="303"/>
      <c r="R695" s="303"/>
      <c r="S695" s="303"/>
      <c r="T695" s="303"/>
      <c r="U695" s="303"/>
      <c r="V695" s="303"/>
      <c r="W695" s="303"/>
      <c r="X695" s="303"/>
      <c r="Y695" s="303"/>
      <c r="Z695" s="303"/>
    </row>
    <row r="696" spans="1:26" x14ac:dyDescent="0.2">
      <c r="A696" s="303"/>
      <c r="B696" s="303"/>
      <c r="C696" s="303"/>
      <c r="D696" s="303"/>
      <c r="E696" s="303"/>
      <c r="F696" s="303"/>
      <c r="G696" s="303"/>
      <c r="H696" s="303"/>
      <c r="I696" s="303"/>
      <c r="J696" s="303"/>
      <c r="K696" s="303"/>
      <c r="L696" s="303"/>
      <c r="M696" s="303"/>
      <c r="N696" s="303"/>
      <c r="O696" s="303"/>
      <c r="P696" s="303"/>
      <c r="Q696" s="303"/>
      <c r="R696" s="303"/>
      <c r="S696" s="303"/>
      <c r="T696" s="303"/>
      <c r="U696" s="303"/>
      <c r="V696" s="303"/>
      <c r="W696" s="303"/>
      <c r="X696" s="303"/>
      <c r="Y696" s="303"/>
      <c r="Z696" s="303"/>
    </row>
    <row r="697" spans="1:26" x14ac:dyDescent="0.2">
      <c r="A697" s="303"/>
      <c r="B697" s="303"/>
      <c r="C697" s="303"/>
      <c r="D697" s="303"/>
      <c r="E697" s="303"/>
      <c r="F697" s="303"/>
      <c r="G697" s="303"/>
      <c r="H697" s="303"/>
      <c r="I697" s="303"/>
      <c r="J697" s="303"/>
      <c r="K697" s="303"/>
      <c r="L697" s="303"/>
      <c r="M697" s="303"/>
      <c r="N697" s="303"/>
      <c r="O697" s="303"/>
      <c r="P697" s="303"/>
      <c r="Q697" s="303"/>
      <c r="R697" s="303"/>
      <c r="S697" s="303"/>
      <c r="T697" s="303"/>
      <c r="U697" s="303"/>
      <c r="V697" s="303"/>
      <c r="W697" s="303"/>
      <c r="X697" s="303"/>
      <c r="Y697" s="303"/>
      <c r="Z697" s="303"/>
    </row>
    <row r="698" spans="1:26" x14ac:dyDescent="0.2">
      <c r="A698" s="303"/>
      <c r="B698" s="303"/>
      <c r="C698" s="303"/>
      <c r="D698" s="303"/>
      <c r="E698" s="303"/>
      <c r="F698" s="303"/>
      <c r="G698" s="303"/>
      <c r="H698" s="303"/>
      <c r="I698" s="303"/>
      <c r="J698" s="303"/>
      <c r="K698" s="303"/>
      <c r="L698" s="303"/>
      <c r="M698" s="303"/>
      <c r="N698" s="303"/>
      <c r="O698" s="303"/>
      <c r="P698" s="303"/>
      <c r="Q698" s="303"/>
      <c r="R698" s="303"/>
      <c r="S698" s="303"/>
      <c r="T698" s="303"/>
      <c r="U698" s="303"/>
      <c r="V698" s="303"/>
      <c r="W698" s="303"/>
      <c r="X698" s="303"/>
      <c r="Y698" s="303"/>
      <c r="Z698" s="303"/>
    </row>
    <row r="699" spans="1:26" x14ac:dyDescent="0.2">
      <c r="A699" s="303"/>
      <c r="B699" s="303"/>
      <c r="C699" s="303"/>
      <c r="D699" s="303"/>
      <c r="E699" s="303"/>
      <c r="F699" s="303"/>
      <c r="G699" s="303"/>
      <c r="H699" s="303"/>
      <c r="I699" s="303"/>
      <c r="J699" s="303"/>
      <c r="K699" s="303"/>
      <c r="L699" s="303"/>
      <c r="M699" s="303"/>
      <c r="N699" s="303"/>
      <c r="O699" s="303"/>
      <c r="P699" s="303"/>
      <c r="Q699" s="303"/>
      <c r="R699" s="303"/>
      <c r="S699" s="303"/>
      <c r="T699" s="303"/>
      <c r="U699" s="303"/>
      <c r="V699" s="303"/>
      <c r="W699" s="303"/>
      <c r="X699" s="303"/>
      <c r="Y699" s="303"/>
      <c r="Z699" s="303"/>
    </row>
    <row r="700" spans="1:26" x14ac:dyDescent="0.2">
      <c r="A700" s="303"/>
      <c r="B700" s="303"/>
      <c r="C700" s="303"/>
      <c r="D700" s="303"/>
      <c r="E700" s="303"/>
      <c r="F700" s="303"/>
      <c r="G700" s="303"/>
      <c r="H700" s="303"/>
      <c r="I700" s="303"/>
      <c r="J700" s="303"/>
      <c r="K700" s="303"/>
      <c r="L700" s="303"/>
      <c r="M700" s="303"/>
      <c r="N700" s="303"/>
      <c r="O700" s="303"/>
      <c r="P700" s="303"/>
      <c r="Q700" s="303"/>
      <c r="R700" s="303"/>
      <c r="S700" s="303"/>
      <c r="T700" s="303"/>
      <c r="U700" s="303"/>
      <c r="V700" s="303"/>
      <c r="W700" s="303"/>
      <c r="X700" s="303"/>
      <c r="Y700" s="303"/>
      <c r="Z700" s="303"/>
    </row>
    <row r="701" spans="1:26" x14ac:dyDescent="0.2">
      <c r="A701" s="303"/>
      <c r="B701" s="303"/>
      <c r="C701" s="303"/>
      <c r="D701" s="303"/>
      <c r="E701" s="303"/>
      <c r="F701" s="303"/>
      <c r="G701" s="303"/>
      <c r="H701" s="303"/>
      <c r="I701" s="303"/>
      <c r="J701" s="303"/>
      <c r="K701" s="303"/>
      <c r="L701" s="303"/>
      <c r="M701" s="303"/>
      <c r="N701" s="303"/>
      <c r="O701" s="303"/>
      <c r="P701" s="303"/>
      <c r="Q701" s="303"/>
      <c r="R701" s="303"/>
      <c r="S701" s="303"/>
      <c r="T701" s="303"/>
      <c r="U701" s="303"/>
      <c r="V701" s="303"/>
      <c r="W701" s="303"/>
      <c r="X701" s="303"/>
      <c r="Y701" s="303"/>
      <c r="Z701" s="303"/>
    </row>
    <row r="702" spans="1:26" x14ac:dyDescent="0.2">
      <c r="A702" s="303"/>
      <c r="B702" s="303"/>
      <c r="C702" s="303"/>
      <c r="D702" s="303"/>
      <c r="E702" s="303"/>
      <c r="F702" s="303"/>
      <c r="G702" s="303"/>
      <c r="H702" s="303"/>
      <c r="I702" s="303"/>
      <c r="J702" s="303"/>
      <c r="K702" s="303"/>
      <c r="L702" s="303"/>
      <c r="M702" s="303"/>
      <c r="N702" s="303"/>
      <c r="O702" s="303"/>
      <c r="P702" s="303"/>
      <c r="Q702" s="303"/>
      <c r="R702" s="303"/>
      <c r="S702" s="303"/>
      <c r="T702" s="303"/>
      <c r="U702" s="303"/>
      <c r="V702" s="303"/>
      <c r="W702" s="303"/>
      <c r="X702" s="303"/>
      <c r="Y702" s="303"/>
      <c r="Z702" s="303"/>
    </row>
    <row r="703" spans="1:26" x14ac:dyDescent="0.2">
      <c r="A703" s="303"/>
      <c r="B703" s="303"/>
      <c r="C703" s="303"/>
      <c r="D703" s="303"/>
      <c r="E703" s="303"/>
      <c r="F703" s="303"/>
      <c r="G703" s="303"/>
      <c r="H703" s="303"/>
      <c r="I703" s="303"/>
      <c r="J703" s="303"/>
      <c r="K703" s="303"/>
      <c r="L703" s="303"/>
      <c r="M703" s="303"/>
      <c r="N703" s="303"/>
      <c r="O703" s="303"/>
      <c r="P703" s="303"/>
      <c r="Q703" s="303"/>
      <c r="R703" s="303"/>
      <c r="S703" s="303"/>
      <c r="T703" s="303"/>
      <c r="U703" s="303"/>
      <c r="V703" s="303"/>
      <c r="W703" s="303"/>
      <c r="X703" s="303"/>
      <c r="Y703" s="303"/>
      <c r="Z703" s="303"/>
    </row>
    <row r="704" spans="1:26" x14ac:dyDescent="0.2">
      <c r="A704" s="303"/>
      <c r="B704" s="303"/>
      <c r="C704" s="303"/>
      <c r="D704" s="303"/>
      <c r="E704" s="303"/>
      <c r="F704" s="303"/>
      <c r="G704" s="303"/>
      <c r="H704" s="303"/>
      <c r="I704" s="303"/>
      <c r="J704" s="303"/>
      <c r="K704" s="303"/>
      <c r="L704" s="303"/>
      <c r="M704" s="303"/>
      <c r="N704" s="303"/>
      <c r="O704" s="303"/>
      <c r="P704" s="303"/>
      <c r="Q704" s="303"/>
      <c r="R704" s="303"/>
      <c r="S704" s="303"/>
      <c r="T704" s="303"/>
      <c r="U704" s="303"/>
      <c r="V704" s="303"/>
      <c r="W704" s="303"/>
      <c r="X704" s="303"/>
      <c r="Y704" s="303"/>
      <c r="Z704" s="303"/>
    </row>
    <row r="705" spans="1:26" x14ac:dyDescent="0.2">
      <c r="A705" s="303"/>
      <c r="B705" s="303"/>
      <c r="C705" s="303"/>
      <c r="D705" s="303"/>
      <c r="E705" s="303"/>
      <c r="F705" s="303"/>
      <c r="G705" s="303"/>
      <c r="H705" s="303"/>
      <c r="I705" s="303"/>
      <c r="J705" s="303"/>
      <c r="K705" s="303"/>
      <c r="L705" s="303"/>
      <c r="M705" s="303"/>
      <c r="N705" s="303"/>
      <c r="O705" s="303"/>
      <c r="P705" s="303"/>
      <c r="Q705" s="303"/>
      <c r="R705" s="303"/>
      <c r="S705" s="303"/>
      <c r="T705" s="303"/>
      <c r="U705" s="303"/>
      <c r="V705" s="303"/>
      <c r="W705" s="303"/>
      <c r="X705" s="303"/>
      <c r="Y705" s="303"/>
      <c r="Z705" s="303"/>
    </row>
    <row r="706" spans="1:26" x14ac:dyDescent="0.2">
      <c r="A706" s="303"/>
      <c r="B706" s="303"/>
      <c r="C706" s="303"/>
      <c r="D706" s="303"/>
      <c r="E706" s="303"/>
      <c r="F706" s="303"/>
      <c r="G706" s="303"/>
      <c r="H706" s="303"/>
      <c r="I706" s="303"/>
      <c r="J706" s="303"/>
      <c r="K706" s="303"/>
      <c r="L706" s="303"/>
      <c r="M706" s="303"/>
      <c r="N706" s="303"/>
      <c r="O706" s="303"/>
      <c r="P706" s="303"/>
      <c r="Q706" s="303"/>
      <c r="R706" s="303"/>
      <c r="S706" s="303"/>
      <c r="T706" s="303"/>
      <c r="U706" s="303"/>
      <c r="V706" s="303"/>
      <c r="W706" s="303"/>
      <c r="X706" s="303"/>
      <c r="Y706" s="303"/>
      <c r="Z706" s="303"/>
    </row>
    <row r="707" spans="1:26" x14ac:dyDescent="0.2">
      <c r="A707" s="303"/>
      <c r="B707" s="303"/>
      <c r="C707" s="303"/>
      <c r="D707" s="303"/>
      <c r="E707" s="303"/>
      <c r="F707" s="303"/>
      <c r="G707" s="303"/>
      <c r="H707" s="303"/>
      <c r="I707" s="303"/>
      <c r="J707" s="303"/>
      <c r="K707" s="303"/>
      <c r="L707" s="303"/>
      <c r="M707" s="303"/>
      <c r="N707" s="303"/>
      <c r="O707" s="303"/>
      <c r="P707" s="303"/>
      <c r="Q707" s="303"/>
      <c r="R707" s="303"/>
      <c r="S707" s="303"/>
      <c r="T707" s="303"/>
      <c r="U707" s="303"/>
      <c r="V707" s="303"/>
      <c r="W707" s="303"/>
      <c r="X707" s="303"/>
      <c r="Y707" s="303"/>
      <c r="Z707" s="303"/>
    </row>
    <row r="708" spans="1:26" x14ac:dyDescent="0.2">
      <c r="A708" s="303"/>
      <c r="B708" s="303"/>
      <c r="C708" s="303"/>
      <c r="D708" s="303"/>
      <c r="E708" s="303"/>
      <c r="F708" s="303"/>
      <c r="G708" s="303"/>
      <c r="H708" s="303"/>
      <c r="I708" s="303"/>
      <c r="J708" s="303"/>
      <c r="K708" s="303"/>
      <c r="L708" s="303"/>
      <c r="M708" s="303"/>
      <c r="N708" s="303"/>
      <c r="O708" s="303"/>
      <c r="P708" s="303"/>
      <c r="Q708" s="303"/>
      <c r="R708" s="303"/>
      <c r="S708" s="303"/>
      <c r="T708" s="303"/>
      <c r="U708" s="303"/>
      <c r="V708" s="303"/>
      <c r="W708" s="303"/>
      <c r="X708" s="303"/>
      <c r="Y708" s="303"/>
      <c r="Z708" s="303"/>
    </row>
    <row r="709" spans="1:26" x14ac:dyDescent="0.2">
      <c r="A709" s="303"/>
      <c r="B709" s="303"/>
      <c r="C709" s="303"/>
      <c r="D709" s="303"/>
      <c r="E709" s="303"/>
      <c r="F709" s="303"/>
      <c r="G709" s="303"/>
      <c r="H709" s="303"/>
      <c r="I709" s="303"/>
      <c r="J709" s="303"/>
      <c r="K709" s="303"/>
      <c r="L709" s="303"/>
      <c r="M709" s="303"/>
      <c r="N709" s="303"/>
      <c r="O709" s="303"/>
      <c r="P709" s="303"/>
      <c r="Q709" s="303"/>
      <c r="R709" s="303"/>
      <c r="S709" s="303"/>
      <c r="T709" s="303"/>
      <c r="U709" s="303"/>
      <c r="V709" s="303"/>
      <c r="W709" s="303"/>
      <c r="X709" s="303"/>
      <c r="Y709" s="303"/>
      <c r="Z709" s="303"/>
    </row>
    <row r="710" spans="1:26" x14ac:dyDescent="0.2">
      <c r="A710" s="303"/>
      <c r="B710" s="303"/>
      <c r="C710" s="303"/>
      <c r="D710" s="303"/>
      <c r="E710" s="303"/>
      <c r="F710" s="303"/>
      <c r="G710" s="303"/>
      <c r="H710" s="303"/>
      <c r="I710" s="303"/>
      <c r="J710" s="303"/>
      <c r="K710" s="303"/>
      <c r="L710" s="303"/>
      <c r="M710" s="303"/>
      <c r="N710" s="303"/>
      <c r="O710" s="303"/>
      <c r="P710" s="303"/>
      <c r="Q710" s="303"/>
      <c r="R710" s="303"/>
      <c r="S710" s="303"/>
      <c r="T710" s="303"/>
      <c r="U710" s="303"/>
      <c r="V710" s="303"/>
      <c r="W710" s="303"/>
      <c r="X710" s="303"/>
      <c r="Y710" s="303"/>
      <c r="Z710" s="303"/>
    </row>
    <row r="711" spans="1:26" x14ac:dyDescent="0.2">
      <c r="A711" s="303"/>
      <c r="B711" s="303"/>
      <c r="C711" s="303"/>
      <c r="D711" s="303"/>
      <c r="E711" s="303"/>
      <c r="F711" s="303"/>
      <c r="G711" s="303"/>
      <c r="H711" s="303"/>
      <c r="I711" s="303"/>
      <c r="J711" s="303"/>
      <c r="K711" s="303"/>
      <c r="L711" s="303"/>
      <c r="M711" s="303"/>
      <c r="N711" s="303"/>
      <c r="O711" s="303"/>
      <c r="P711" s="303"/>
      <c r="Q711" s="303"/>
      <c r="R711" s="303"/>
      <c r="S711" s="303"/>
      <c r="T711" s="303"/>
      <c r="U711" s="303"/>
      <c r="V711" s="303"/>
      <c r="W711" s="303"/>
      <c r="X711" s="303"/>
      <c r="Y711" s="303"/>
      <c r="Z711" s="303"/>
    </row>
    <row r="712" spans="1:26" x14ac:dyDescent="0.2">
      <c r="A712" s="303"/>
      <c r="B712" s="303"/>
      <c r="C712" s="303"/>
      <c r="D712" s="303"/>
      <c r="E712" s="303"/>
      <c r="F712" s="303"/>
      <c r="G712" s="303"/>
      <c r="H712" s="303"/>
      <c r="I712" s="303"/>
      <c r="J712" s="303"/>
      <c r="K712" s="303"/>
      <c r="L712" s="303"/>
      <c r="M712" s="303"/>
      <c r="N712" s="303"/>
      <c r="O712" s="303"/>
      <c r="P712" s="303"/>
      <c r="Q712" s="303"/>
      <c r="R712" s="303"/>
      <c r="S712" s="303"/>
      <c r="T712" s="303"/>
      <c r="U712" s="303"/>
      <c r="V712" s="303"/>
      <c r="W712" s="303"/>
      <c r="X712" s="303"/>
      <c r="Y712" s="303"/>
      <c r="Z712" s="303"/>
    </row>
    <row r="713" spans="1:26" x14ac:dyDescent="0.2">
      <c r="A713" s="303"/>
      <c r="B713" s="303"/>
      <c r="C713" s="303"/>
      <c r="D713" s="303"/>
      <c r="E713" s="303"/>
      <c r="F713" s="303"/>
      <c r="G713" s="303"/>
      <c r="H713" s="303"/>
      <c r="I713" s="303"/>
      <c r="J713" s="303"/>
      <c r="K713" s="303"/>
      <c r="L713" s="303"/>
      <c r="M713" s="303"/>
      <c r="N713" s="303"/>
      <c r="O713" s="303"/>
      <c r="P713" s="303"/>
      <c r="Q713" s="303"/>
      <c r="R713" s="303"/>
      <c r="S713" s="303"/>
      <c r="T713" s="303"/>
      <c r="U713" s="303"/>
      <c r="V713" s="303"/>
      <c r="W713" s="303"/>
      <c r="X713" s="303"/>
      <c r="Y713" s="303"/>
      <c r="Z713" s="303"/>
    </row>
    <row r="714" spans="1:26" x14ac:dyDescent="0.2">
      <c r="A714" s="303"/>
      <c r="B714" s="303"/>
      <c r="C714" s="303"/>
      <c r="D714" s="303"/>
      <c r="E714" s="303"/>
      <c r="F714" s="303"/>
      <c r="G714" s="303"/>
      <c r="H714" s="303"/>
      <c r="I714" s="303"/>
      <c r="J714" s="303"/>
      <c r="K714" s="303"/>
      <c r="L714" s="303"/>
      <c r="M714" s="303"/>
      <c r="N714" s="303"/>
      <c r="O714" s="303"/>
      <c r="P714" s="303"/>
      <c r="Q714" s="303"/>
      <c r="R714" s="303"/>
      <c r="S714" s="303"/>
      <c r="T714" s="303"/>
      <c r="U714" s="303"/>
      <c r="V714" s="303"/>
      <c r="W714" s="303"/>
      <c r="X714" s="303"/>
      <c r="Y714" s="303"/>
      <c r="Z714" s="303"/>
    </row>
    <row r="715" spans="1:26" x14ac:dyDescent="0.2">
      <c r="A715" s="303"/>
      <c r="B715" s="303"/>
      <c r="C715" s="303"/>
      <c r="D715" s="303"/>
      <c r="E715" s="303"/>
      <c r="F715" s="303"/>
      <c r="G715" s="303"/>
      <c r="H715" s="303"/>
      <c r="I715" s="303"/>
      <c r="J715" s="303"/>
      <c r="K715" s="303"/>
      <c r="L715" s="303"/>
      <c r="M715" s="303"/>
      <c r="N715" s="303"/>
      <c r="O715" s="303"/>
      <c r="P715" s="303"/>
      <c r="Q715" s="303"/>
      <c r="R715" s="303"/>
      <c r="S715" s="303"/>
      <c r="T715" s="303"/>
      <c r="U715" s="303"/>
      <c r="V715" s="303"/>
      <c r="W715" s="303"/>
      <c r="X715" s="303"/>
      <c r="Y715" s="303"/>
      <c r="Z715" s="303"/>
    </row>
    <row r="716" spans="1:26" x14ac:dyDescent="0.2">
      <c r="A716" s="303"/>
      <c r="B716" s="303"/>
      <c r="C716" s="303"/>
      <c r="D716" s="303"/>
      <c r="E716" s="303"/>
      <c r="F716" s="303"/>
      <c r="G716" s="303"/>
      <c r="H716" s="303"/>
      <c r="I716" s="303"/>
      <c r="J716" s="303"/>
      <c r="K716" s="303"/>
      <c r="L716" s="303"/>
      <c r="M716" s="303"/>
      <c r="N716" s="303"/>
      <c r="O716" s="303"/>
      <c r="P716" s="303"/>
      <c r="Q716" s="303"/>
      <c r="R716" s="303"/>
      <c r="S716" s="303"/>
      <c r="T716" s="303"/>
      <c r="U716" s="303"/>
      <c r="V716" s="303"/>
      <c r="W716" s="303"/>
      <c r="X716" s="303"/>
      <c r="Y716" s="303"/>
      <c r="Z716" s="303"/>
    </row>
    <row r="717" spans="1:26" x14ac:dyDescent="0.2">
      <c r="A717" s="303"/>
      <c r="B717" s="303"/>
      <c r="C717" s="303"/>
      <c r="D717" s="303"/>
      <c r="E717" s="303"/>
      <c r="F717" s="303"/>
      <c r="G717" s="303"/>
      <c r="H717" s="303"/>
      <c r="I717" s="303"/>
      <c r="J717" s="303"/>
      <c r="K717" s="303"/>
      <c r="L717" s="303"/>
      <c r="M717" s="303"/>
      <c r="N717" s="303"/>
      <c r="O717" s="303"/>
      <c r="P717" s="303"/>
      <c r="Q717" s="303"/>
      <c r="R717" s="303"/>
      <c r="S717" s="303"/>
      <c r="T717" s="303"/>
      <c r="U717" s="303"/>
      <c r="V717" s="303"/>
      <c r="W717" s="303"/>
      <c r="X717" s="303"/>
      <c r="Y717" s="303"/>
      <c r="Z717" s="303"/>
    </row>
    <row r="718" spans="1:26" x14ac:dyDescent="0.2">
      <c r="A718" s="303"/>
      <c r="B718" s="303"/>
      <c r="C718" s="303"/>
      <c r="D718" s="303"/>
      <c r="E718" s="303"/>
      <c r="F718" s="303"/>
      <c r="G718" s="303"/>
      <c r="H718" s="303"/>
      <c r="I718" s="303"/>
      <c r="J718" s="303"/>
      <c r="K718" s="303"/>
      <c r="L718" s="303"/>
      <c r="M718" s="303"/>
      <c r="N718" s="303"/>
      <c r="O718" s="303"/>
      <c r="P718" s="303"/>
      <c r="Q718" s="303"/>
      <c r="R718" s="303"/>
      <c r="S718" s="303"/>
      <c r="T718" s="303"/>
      <c r="U718" s="303"/>
      <c r="V718" s="303"/>
      <c r="W718" s="303"/>
      <c r="X718" s="303"/>
      <c r="Y718" s="303"/>
      <c r="Z718" s="303"/>
    </row>
    <row r="719" spans="1:26" x14ac:dyDescent="0.2">
      <c r="A719" s="303"/>
      <c r="B719" s="303"/>
      <c r="C719" s="303"/>
      <c r="D719" s="303"/>
      <c r="E719" s="303"/>
      <c r="F719" s="303"/>
      <c r="G719" s="303"/>
      <c r="H719" s="303"/>
      <c r="I719" s="303"/>
      <c r="J719" s="303"/>
      <c r="K719" s="303"/>
      <c r="L719" s="303"/>
      <c r="M719" s="303"/>
      <c r="N719" s="303"/>
      <c r="O719" s="303"/>
      <c r="P719" s="303"/>
      <c r="Q719" s="303"/>
      <c r="R719" s="303"/>
      <c r="S719" s="303"/>
      <c r="T719" s="303"/>
      <c r="U719" s="303"/>
      <c r="V719" s="303"/>
      <c r="W719" s="303"/>
      <c r="X719" s="303"/>
      <c r="Y719" s="303"/>
      <c r="Z719" s="303"/>
    </row>
    <row r="720" spans="1:26" x14ac:dyDescent="0.2">
      <c r="A720" s="303"/>
      <c r="B720" s="303"/>
      <c r="C720" s="303"/>
      <c r="D720" s="303"/>
      <c r="E720" s="303"/>
      <c r="F720" s="303"/>
      <c r="G720" s="303"/>
      <c r="H720" s="303"/>
      <c r="I720" s="303"/>
      <c r="J720" s="303"/>
      <c r="K720" s="303"/>
      <c r="L720" s="303"/>
      <c r="M720" s="303"/>
      <c r="N720" s="303"/>
      <c r="O720" s="303"/>
      <c r="P720" s="303"/>
      <c r="Q720" s="303"/>
      <c r="R720" s="303"/>
      <c r="S720" s="303"/>
      <c r="T720" s="303"/>
      <c r="U720" s="303"/>
      <c r="V720" s="303"/>
      <c r="W720" s="303"/>
      <c r="X720" s="303"/>
      <c r="Y720" s="303"/>
      <c r="Z720" s="303"/>
    </row>
    <row r="721" spans="1:26" x14ac:dyDescent="0.2">
      <c r="A721" s="303"/>
      <c r="B721" s="303"/>
      <c r="C721" s="303"/>
      <c r="D721" s="303"/>
      <c r="E721" s="303"/>
      <c r="F721" s="303"/>
      <c r="G721" s="303"/>
      <c r="H721" s="303"/>
      <c r="I721" s="303"/>
      <c r="J721" s="303"/>
      <c r="K721" s="303"/>
      <c r="L721" s="303"/>
      <c r="M721" s="303"/>
      <c r="N721" s="303"/>
      <c r="O721" s="303"/>
      <c r="P721" s="303"/>
      <c r="Q721" s="303"/>
      <c r="R721" s="303"/>
      <c r="S721" s="303"/>
      <c r="T721" s="303"/>
      <c r="U721" s="303"/>
      <c r="V721" s="303"/>
      <c r="W721" s="303"/>
      <c r="X721" s="303"/>
      <c r="Y721" s="303"/>
      <c r="Z721" s="303"/>
    </row>
    <row r="722" spans="1:26" x14ac:dyDescent="0.2">
      <c r="A722" s="303"/>
      <c r="B722" s="303"/>
      <c r="C722" s="303"/>
      <c r="D722" s="303"/>
      <c r="E722" s="303"/>
      <c r="F722" s="303"/>
      <c r="G722" s="303"/>
      <c r="H722" s="303"/>
      <c r="I722" s="303"/>
      <c r="J722" s="303"/>
      <c r="K722" s="303"/>
      <c r="L722" s="303"/>
      <c r="M722" s="303"/>
      <c r="N722" s="303"/>
      <c r="O722" s="303"/>
      <c r="P722" s="303"/>
      <c r="Q722" s="303"/>
      <c r="R722" s="303"/>
      <c r="S722" s="303"/>
      <c r="T722" s="303"/>
      <c r="U722" s="303"/>
      <c r="V722" s="303"/>
      <c r="W722" s="303"/>
      <c r="X722" s="303"/>
      <c r="Y722" s="303"/>
      <c r="Z722" s="303"/>
    </row>
    <row r="723" spans="1:26" x14ac:dyDescent="0.2">
      <c r="A723" s="303"/>
      <c r="B723" s="303"/>
      <c r="C723" s="303"/>
      <c r="D723" s="303"/>
      <c r="E723" s="303"/>
      <c r="F723" s="303"/>
      <c r="G723" s="303"/>
      <c r="H723" s="303"/>
      <c r="I723" s="303"/>
      <c r="J723" s="303"/>
      <c r="K723" s="303"/>
      <c r="L723" s="303"/>
      <c r="M723" s="303"/>
      <c r="N723" s="303"/>
      <c r="O723" s="303"/>
      <c r="P723" s="303"/>
      <c r="Q723" s="303"/>
      <c r="R723" s="303"/>
      <c r="S723" s="303"/>
      <c r="T723" s="303"/>
      <c r="U723" s="303"/>
      <c r="V723" s="303"/>
      <c r="W723" s="303"/>
      <c r="X723" s="303"/>
      <c r="Y723" s="303"/>
      <c r="Z723" s="303"/>
    </row>
    <row r="724" spans="1:26" x14ac:dyDescent="0.2">
      <c r="A724" s="303"/>
      <c r="B724" s="303"/>
      <c r="C724" s="303"/>
      <c r="D724" s="303"/>
      <c r="E724" s="303"/>
      <c r="F724" s="303"/>
      <c r="G724" s="303"/>
      <c r="H724" s="303"/>
      <c r="I724" s="303"/>
      <c r="J724" s="303"/>
      <c r="K724" s="303"/>
      <c r="L724" s="303"/>
      <c r="M724" s="303"/>
      <c r="N724" s="303"/>
      <c r="O724" s="303"/>
      <c r="P724" s="303"/>
      <c r="Q724" s="303"/>
      <c r="R724" s="303"/>
      <c r="S724" s="303"/>
      <c r="T724" s="303"/>
      <c r="U724" s="303"/>
      <c r="V724" s="303"/>
      <c r="W724" s="303"/>
      <c r="X724" s="303"/>
      <c r="Y724" s="303"/>
      <c r="Z724" s="303"/>
    </row>
    <row r="725" spans="1:26" x14ac:dyDescent="0.2">
      <c r="A725" s="303"/>
      <c r="B725" s="303"/>
      <c r="C725" s="303"/>
      <c r="D725" s="303"/>
      <c r="E725" s="303"/>
      <c r="F725" s="303"/>
      <c r="G725" s="303"/>
      <c r="H725" s="303"/>
      <c r="I725" s="303"/>
      <c r="J725" s="303"/>
      <c r="K725" s="303"/>
      <c r="L725" s="303"/>
      <c r="M725" s="303"/>
      <c r="N725" s="303"/>
      <c r="O725" s="303"/>
      <c r="P725" s="303"/>
      <c r="Q725" s="303"/>
      <c r="R725" s="303"/>
      <c r="S725" s="303"/>
      <c r="T725" s="303"/>
      <c r="U725" s="303"/>
      <c r="V725" s="303"/>
      <c r="W725" s="303"/>
      <c r="X725" s="303"/>
      <c r="Y725" s="303"/>
      <c r="Z725" s="303"/>
    </row>
    <row r="726" spans="1:26" x14ac:dyDescent="0.2">
      <c r="A726" s="303"/>
      <c r="B726" s="303"/>
      <c r="C726" s="303"/>
      <c r="D726" s="303"/>
      <c r="E726" s="303"/>
      <c r="F726" s="303"/>
      <c r="G726" s="303"/>
      <c r="H726" s="303"/>
      <c r="I726" s="303"/>
      <c r="J726" s="303"/>
      <c r="K726" s="303"/>
      <c r="L726" s="303"/>
      <c r="M726" s="303"/>
      <c r="N726" s="303"/>
      <c r="O726" s="303"/>
      <c r="P726" s="303"/>
      <c r="Q726" s="303"/>
      <c r="R726" s="303"/>
      <c r="S726" s="303"/>
      <c r="T726" s="303"/>
      <c r="U726" s="303"/>
      <c r="V726" s="303"/>
      <c r="W726" s="303"/>
      <c r="X726" s="303"/>
      <c r="Y726" s="303"/>
      <c r="Z726" s="303"/>
    </row>
    <row r="727" spans="1:26" x14ac:dyDescent="0.2">
      <c r="A727" s="303"/>
      <c r="B727" s="303"/>
      <c r="C727" s="303"/>
      <c r="D727" s="303"/>
      <c r="E727" s="303"/>
      <c r="F727" s="303"/>
      <c r="G727" s="303"/>
      <c r="H727" s="303"/>
      <c r="I727" s="303"/>
      <c r="J727" s="303"/>
      <c r="K727" s="303"/>
      <c r="L727" s="303"/>
      <c r="M727" s="303"/>
      <c r="N727" s="303"/>
      <c r="O727" s="303"/>
      <c r="P727" s="303"/>
      <c r="Q727" s="303"/>
      <c r="R727" s="303"/>
      <c r="S727" s="303"/>
      <c r="T727" s="303"/>
      <c r="U727" s="303"/>
      <c r="V727" s="303"/>
      <c r="W727" s="303"/>
      <c r="X727" s="303"/>
      <c r="Y727" s="303"/>
      <c r="Z727" s="303"/>
    </row>
    <row r="728" spans="1:26" x14ac:dyDescent="0.2">
      <c r="A728" s="303"/>
      <c r="B728" s="303"/>
      <c r="C728" s="303"/>
      <c r="D728" s="303"/>
      <c r="E728" s="303"/>
      <c r="F728" s="303"/>
      <c r="G728" s="303"/>
      <c r="H728" s="303"/>
      <c r="I728" s="303"/>
      <c r="J728" s="303"/>
      <c r="K728" s="303"/>
      <c r="L728" s="303"/>
      <c r="M728" s="303"/>
      <c r="N728" s="303"/>
      <c r="O728" s="303"/>
      <c r="P728" s="303"/>
      <c r="Q728" s="303"/>
      <c r="R728" s="303"/>
      <c r="S728" s="303"/>
      <c r="T728" s="303"/>
      <c r="U728" s="303"/>
      <c r="V728" s="303"/>
      <c r="W728" s="303"/>
      <c r="X728" s="303"/>
      <c r="Y728" s="303"/>
      <c r="Z728" s="303"/>
    </row>
    <row r="729" spans="1:26" x14ac:dyDescent="0.2">
      <c r="A729" s="303"/>
      <c r="B729" s="303"/>
      <c r="C729" s="303"/>
      <c r="D729" s="303"/>
      <c r="E729" s="303"/>
      <c r="F729" s="303"/>
      <c r="G729" s="303"/>
      <c r="H729" s="303"/>
      <c r="I729" s="303"/>
      <c r="J729" s="303"/>
      <c r="K729" s="303"/>
      <c r="L729" s="303"/>
      <c r="M729" s="303"/>
      <c r="N729" s="303"/>
      <c r="O729" s="303"/>
      <c r="P729" s="303"/>
      <c r="Q729" s="303"/>
      <c r="R729" s="303"/>
      <c r="S729" s="303"/>
      <c r="T729" s="303"/>
      <c r="U729" s="303"/>
      <c r="V729" s="303"/>
      <c r="W729" s="303"/>
      <c r="X729" s="303"/>
      <c r="Y729" s="303"/>
      <c r="Z729" s="303"/>
    </row>
    <row r="730" spans="1:26" x14ac:dyDescent="0.2">
      <c r="A730" s="303"/>
      <c r="B730" s="303"/>
      <c r="C730" s="303"/>
      <c r="D730" s="303"/>
      <c r="E730" s="303"/>
      <c r="F730" s="303"/>
      <c r="G730" s="303"/>
      <c r="H730" s="303"/>
      <c r="I730" s="303"/>
      <c r="J730" s="303"/>
      <c r="K730" s="303"/>
      <c r="L730" s="303"/>
      <c r="M730" s="303"/>
      <c r="N730" s="303"/>
      <c r="O730" s="303"/>
      <c r="P730" s="303"/>
      <c r="Q730" s="303"/>
      <c r="R730" s="303"/>
      <c r="S730" s="303"/>
      <c r="T730" s="303"/>
      <c r="U730" s="303"/>
      <c r="V730" s="303"/>
      <c r="W730" s="303"/>
      <c r="X730" s="303"/>
      <c r="Y730" s="303"/>
      <c r="Z730" s="303"/>
    </row>
    <row r="731" spans="1:26" x14ac:dyDescent="0.2">
      <c r="A731" s="303"/>
      <c r="B731" s="303"/>
      <c r="C731" s="303"/>
      <c r="D731" s="303"/>
      <c r="E731" s="303"/>
      <c r="F731" s="303"/>
      <c r="G731" s="303"/>
      <c r="H731" s="303"/>
      <c r="I731" s="303"/>
      <c r="J731" s="303"/>
      <c r="K731" s="303"/>
      <c r="L731" s="303"/>
      <c r="M731" s="303"/>
      <c r="N731" s="303"/>
      <c r="O731" s="303"/>
      <c r="P731" s="303"/>
      <c r="Q731" s="303"/>
      <c r="R731" s="303"/>
      <c r="S731" s="303"/>
      <c r="T731" s="303"/>
      <c r="U731" s="303"/>
      <c r="V731" s="303"/>
      <c r="W731" s="303"/>
      <c r="X731" s="303"/>
      <c r="Y731" s="303"/>
      <c r="Z731" s="303"/>
    </row>
    <row r="732" spans="1:26" x14ac:dyDescent="0.2">
      <c r="A732" s="303"/>
      <c r="B732" s="303"/>
      <c r="C732" s="303"/>
      <c r="D732" s="303"/>
      <c r="E732" s="303"/>
      <c r="F732" s="303"/>
      <c r="G732" s="303"/>
      <c r="H732" s="303"/>
      <c r="I732" s="303"/>
      <c r="J732" s="303"/>
      <c r="K732" s="303"/>
      <c r="L732" s="303"/>
      <c r="M732" s="303"/>
      <c r="N732" s="303"/>
      <c r="O732" s="303"/>
      <c r="P732" s="303"/>
      <c r="Q732" s="303"/>
      <c r="R732" s="303"/>
      <c r="S732" s="303"/>
      <c r="T732" s="303"/>
      <c r="U732" s="303"/>
      <c r="V732" s="303"/>
      <c r="W732" s="303"/>
      <c r="X732" s="303"/>
      <c r="Y732" s="303"/>
      <c r="Z732" s="303"/>
    </row>
    <row r="733" spans="1:26" x14ac:dyDescent="0.2">
      <c r="A733" s="303"/>
      <c r="B733" s="303"/>
      <c r="C733" s="303"/>
      <c r="D733" s="303"/>
      <c r="E733" s="303"/>
      <c r="F733" s="303"/>
      <c r="G733" s="303"/>
      <c r="H733" s="303"/>
      <c r="I733" s="303"/>
      <c r="J733" s="303"/>
      <c r="K733" s="303"/>
      <c r="L733" s="303"/>
      <c r="M733" s="303"/>
      <c r="N733" s="303"/>
      <c r="O733" s="303"/>
      <c r="P733" s="303"/>
      <c r="Q733" s="303"/>
      <c r="R733" s="303"/>
      <c r="S733" s="303"/>
      <c r="T733" s="303"/>
      <c r="U733" s="303"/>
      <c r="V733" s="303"/>
      <c r="W733" s="303"/>
      <c r="X733" s="303"/>
      <c r="Y733" s="303"/>
      <c r="Z733" s="303"/>
    </row>
    <row r="734" spans="1:26" x14ac:dyDescent="0.2">
      <c r="A734" s="303"/>
      <c r="B734" s="303"/>
      <c r="C734" s="303"/>
      <c r="D734" s="303"/>
      <c r="E734" s="303"/>
      <c r="F734" s="303"/>
      <c r="G734" s="303"/>
      <c r="H734" s="303"/>
      <c r="I734" s="303"/>
      <c r="J734" s="303"/>
      <c r="K734" s="303"/>
      <c r="L734" s="303"/>
      <c r="M734" s="303"/>
      <c r="N734" s="303"/>
      <c r="O734" s="303"/>
      <c r="P734" s="303"/>
      <c r="Q734" s="303"/>
      <c r="R734" s="303"/>
      <c r="S734" s="303"/>
      <c r="T734" s="303"/>
      <c r="U734" s="303"/>
      <c r="V734" s="303"/>
      <c r="W734" s="303"/>
      <c r="X734" s="303"/>
      <c r="Y734" s="303"/>
      <c r="Z734" s="303"/>
    </row>
    <row r="735" spans="1:26" x14ac:dyDescent="0.2">
      <c r="A735" s="303"/>
      <c r="B735" s="303"/>
      <c r="C735" s="303"/>
      <c r="D735" s="303"/>
      <c r="E735" s="303"/>
      <c r="F735" s="303"/>
      <c r="G735" s="303"/>
      <c r="H735" s="303"/>
      <c r="I735" s="303"/>
      <c r="J735" s="303"/>
      <c r="K735" s="303"/>
      <c r="L735" s="303"/>
      <c r="M735" s="303"/>
      <c r="N735" s="303"/>
      <c r="O735" s="303"/>
      <c r="P735" s="303"/>
      <c r="Q735" s="303"/>
      <c r="R735" s="303"/>
      <c r="S735" s="303"/>
      <c r="T735" s="303"/>
      <c r="U735" s="303"/>
      <c r="V735" s="303"/>
      <c r="W735" s="303"/>
      <c r="X735" s="303"/>
      <c r="Y735" s="303"/>
      <c r="Z735" s="303"/>
    </row>
    <row r="736" spans="1:26" x14ac:dyDescent="0.2">
      <c r="A736" s="303"/>
      <c r="B736" s="303"/>
      <c r="C736" s="303"/>
      <c r="D736" s="303"/>
      <c r="E736" s="303"/>
      <c r="F736" s="303"/>
      <c r="G736" s="303"/>
      <c r="H736" s="303"/>
      <c r="I736" s="303"/>
      <c r="J736" s="303"/>
      <c r="K736" s="303"/>
      <c r="L736" s="303"/>
      <c r="M736" s="303"/>
      <c r="N736" s="303"/>
      <c r="O736" s="303"/>
      <c r="P736" s="303"/>
      <c r="Q736" s="303"/>
      <c r="R736" s="303"/>
      <c r="S736" s="303"/>
      <c r="T736" s="303"/>
      <c r="U736" s="303"/>
      <c r="V736" s="303"/>
      <c r="W736" s="303"/>
      <c r="X736" s="303"/>
      <c r="Y736" s="303"/>
      <c r="Z736" s="303"/>
    </row>
    <row r="737" spans="1:26" x14ac:dyDescent="0.2">
      <c r="A737" s="303"/>
      <c r="B737" s="303"/>
      <c r="C737" s="303"/>
      <c r="D737" s="303"/>
      <c r="E737" s="303"/>
      <c r="F737" s="303"/>
      <c r="G737" s="303"/>
      <c r="H737" s="303"/>
      <c r="I737" s="303"/>
      <c r="J737" s="303"/>
      <c r="K737" s="303"/>
      <c r="L737" s="303"/>
      <c r="M737" s="303"/>
      <c r="N737" s="303"/>
      <c r="O737" s="303"/>
      <c r="P737" s="303"/>
      <c r="Q737" s="303"/>
      <c r="R737" s="303"/>
      <c r="S737" s="303"/>
      <c r="T737" s="303"/>
      <c r="U737" s="303"/>
      <c r="V737" s="303"/>
      <c r="W737" s="303"/>
      <c r="X737" s="303"/>
      <c r="Y737" s="303"/>
      <c r="Z737" s="303"/>
    </row>
    <row r="738" spans="1:26" x14ac:dyDescent="0.2">
      <c r="A738" s="303"/>
      <c r="B738" s="303"/>
      <c r="C738" s="303"/>
      <c r="D738" s="303"/>
      <c r="E738" s="303"/>
      <c r="F738" s="303"/>
      <c r="G738" s="303"/>
      <c r="H738" s="303"/>
      <c r="I738" s="303"/>
      <c r="J738" s="303"/>
      <c r="K738" s="303"/>
      <c r="L738" s="303"/>
      <c r="M738" s="303"/>
      <c r="N738" s="303"/>
      <c r="O738" s="303"/>
      <c r="P738" s="303"/>
      <c r="Q738" s="303"/>
      <c r="R738" s="303"/>
      <c r="S738" s="303"/>
      <c r="T738" s="303"/>
      <c r="U738" s="303"/>
      <c r="V738" s="303"/>
      <c r="W738" s="303"/>
      <c r="X738" s="303"/>
      <c r="Y738" s="303"/>
      <c r="Z738" s="303"/>
    </row>
    <row r="739" spans="1:26" x14ac:dyDescent="0.2">
      <c r="A739" s="303"/>
      <c r="B739" s="303"/>
      <c r="C739" s="303"/>
      <c r="D739" s="303"/>
      <c r="E739" s="303"/>
      <c r="F739" s="303"/>
      <c r="G739" s="303"/>
      <c r="H739" s="303"/>
      <c r="I739" s="303"/>
      <c r="J739" s="303"/>
      <c r="K739" s="303"/>
      <c r="L739" s="303"/>
      <c r="M739" s="303"/>
      <c r="N739" s="303"/>
      <c r="O739" s="303"/>
      <c r="P739" s="303"/>
      <c r="Q739" s="303"/>
      <c r="R739" s="303"/>
      <c r="S739" s="303"/>
      <c r="T739" s="303"/>
      <c r="U739" s="303"/>
      <c r="V739" s="303"/>
      <c r="W739" s="303"/>
      <c r="X739" s="303"/>
      <c r="Y739" s="303"/>
      <c r="Z739" s="303"/>
    </row>
    <row r="740" spans="1:26" x14ac:dyDescent="0.2">
      <c r="A740" s="303"/>
      <c r="B740" s="303"/>
      <c r="C740" s="303"/>
      <c r="D740" s="303"/>
      <c r="E740" s="303"/>
      <c r="F740" s="303"/>
      <c r="G740" s="303"/>
      <c r="H740" s="303"/>
      <c r="I740" s="303"/>
      <c r="J740" s="303"/>
      <c r="K740" s="303"/>
      <c r="L740" s="303"/>
      <c r="M740" s="303"/>
      <c r="N740" s="303"/>
      <c r="O740" s="303"/>
      <c r="P740" s="303"/>
      <c r="Q740" s="303"/>
      <c r="R740" s="303"/>
      <c r="S740" s="303"/>
      <c r="T740" s="303"/>
      <c r="U740" s="303"/>
      <c r="V740" s="303"/>
      <c r="W740" s="303"/>
      <c r="X740" s="303"/>
      <c r="Y740" s="303"/>
      <c r="Z740" s="303"/>
    </row>
    <row r="741" spans="1:26" x14ac:dyDescent="0.2">
      <c r="A741" s="303"/>
      <c r="B741" s="303"/>
      <c r="C741" s="303"/>
      <c r="D741" s="303"/>
      <c r="E741" s="303"/>
      <c r="F741" s="303"/>
      <c r="G741" s="303"/>
      <c r="H741" s="303"/>
      <c r="I741" s="303"/>
      <c r="J741" s="303"/>
      <c r="K741" s="303"/>
      <c r="L741" s="303"/>
      <c r="M741" s="303"/>
      <c r="N741" s="303"/>
      <c r="O741" s="303"/>
      <c r="P741" s="303"/>
      <c r="Q741" s="303"/>
      <c r="R741" s="303"/>
      <c r="S741" s="303"/>
      <c r="T741" s="303"/>
      <c r="U741" s="303"/>
      <c r="V741" s="303"/>
      <c r="W741" s="303"/>
      <c r="X741" s="303"/>
      <c r="Y741" s="303"/>
      <c r="Z741" s="303"/>
    </row>
    <row r="742" spans="1:26" x14ac:dyDescent="0.2">
      <c r="A742" s="303"/>
      <c r="B742" s="303"/>
      <c r="C742" s="303"/>
      <c r="D742" s="303"/>
      <c r="E742" s="303"/>
      <c r="F742" s="303"/>
      <c r="G742" s="303"/>
      <c r="H742" s="303"/>
      <c r="I742" s="303"/>
      <c r="J742" s="303"/>
      <c r="K742" s="303"/>
      <c r="L742" s="303"/>
      <c r="M742" s="303"/>
      <c r="N742" s="303"/>
      <c r="O742" s="303"/>
      <c r="P742" s="303"/>
      <c r="Q742" s="303"/>
      <c r="R742" s="303"/>
      <c r="S742" s="303"/>
      <c r="T742" s="303"/>
      <c r="U742" s="303"/>
      <c r="V742" s="303"/>
      <c r="W742" s="303"/>
      <c r="X742" s="303"/>
      <c r="Y742" s="303"/>
      <c r="Z742" s="303"/>
    </row>
    <row r="743" spans="1:26" x14ac:dyDescent="0.2">
      <c r="A743" s="303"/>
      <c r="B743" s="303"/>
      <c r="C743" s="303"/>
      <c r="D743" s="303"/>
      <c r="E743" s="303"/>
      <c r="F743" s="303"/>
      <c r="G743" s="303"/>
      <c r="H743" s="303"/>
      <c r="I743" s="303"/>
      <c r="J743" s="303"/>
      <c r="K743" s="303"/>
      <c r="L743" s="303"/>
      <c r="M743" s="303"/>
      <c r="N743" s="303"/>
      <c r="O743" s="303"/>
      <c r="P743" s="303"/>
      <c r="Q743" s="303"/>
      <c r="R743" s="303"/>
      <c r="S743" s="303"/>
      <c r="T743" s="303"/>
      <c r="U743" s="303"/>
      <c r="V743" s="303"/>
      <c r="W743" s="303"/>
      <c r="X743" s="303"/>
      <c r="Y743" s="303"/>
      <c r="Z743" s="303"/>
    </row>
    <row r="744" spans="1:26" x14ac:dyDescent="0.2">
      <c r="A744" s="303"/>
      <c r="B744" s="303"/>
      <c r="C744" s="303"/>
      <c r="D744" s="303"/>
      <c r="E744" s="303"/>
      <c r="F744" s="303"/>
      <c r="G744" s="303"/>
      <c r="H744" s="303"/>
      <c r="I744" s="303"/>
      <c r="J744" s="303"/>
      <c r="K744" s="303"/>
      <c r="L744" s="303"/>
      <c r="M744" s="303"/>
      <c r="N744" s="303"/>
      <c r="O744" s="303"/>
      <c r="P744" s="303"/>
      <c r="Q744" s="303"/>
      <c r="R744" s="303"/>
      <c r="S744" s="303"/>
      <c r="T744" s="303"/>
      <c r="U744" s="303"/>
      <c r="V744" s="303"/>
      <c r="W744" s="303"/>
      <c r="X744" s="303"/>
      <c r="Y744" s="303"/>
      <c r="Z744" s="303"/>
    </row>
    <row r="745" spans="1:26" x14ac:dyDescent="0.2">
      <c r="A745" s="303"/>
      <c r="B745" s="303"/>
      <c r="C745" s="303"/>
      <c r="D745" s="303"/>
      <c r="E745" s="303"/>
      <c r="F745" s="303"/>
      <c r="G745" s="303"/>
      <c r="H745" s="303"/>
      <c r="I745" s="303"/>
      <c r="J745" s="303"/>
      <c r="K745" s="303"/>
      <c r="L745" s="303"/>
      <c r="M745" s="303"/>
      <c r="N745" s="303"/>
      <c r="O745" s="303"/>
      <c r="P745" s="303"/>
      <c r="Q745" s="303"/>
      <c r="R745" s="303"/>
      <c r="S745" s="303"/>
      <c r="T745" s="303"/>
      <c r="U745" s="303"/>
      <c r="V745" s="303"/>
      <c r="W745" s="303"/>
      <c r="X745" s="303"/>
      <c r="Y745" s="303"/>
      <c r="Z745" s="303"/>
    </row>
    <row r="746" spans="1:26" x14ac:dyDescent="0.2">
      <c r="A746" s="303"/>
      <c r="B746" s="303"/>
      <c r="C746" s="303"/>
      <c r="D746" s="303"/>
      <c r="E746" s="303"/>
      <c r="F746" s="303"/>
      <c r="G746" s="303"/>
      <c r="H746" s="303"/>
      <c r="I746" s="303"/>
      <c r="J746" s="303"/>
      <c r="K746" s="303"/>
      <c r="L746" s="303"/>
      <c r="M746" s="303"/>
      <c r="N746" s="303"/>
      <c r="O746" s="303"/>
      <c r="P746" s="303"/>
      <c r="Q746" s="303"/>
      <c r="R746" s="303"/>
      <c r="S746" s="303"/>
      <c r="T746" s="303"/>
      <c r="U746" s="303"/>
      <c r="V746" s="303"/>
      <c r="W746" s="303"/>
      <c r="X746" s="303"/>
      <c r="Y746" s="303"/>
      <c r="Z746" s="303"/>
    </row>
    <row r="747" spans="1:26" x14ac:dyDescent="0.2">
      <c r="A747" s="303"/>
      <c r="B747" s="303"/>
      <c r="C747" s="303"/>
      <c r="D747" s="303"/>
      <c r="E747" s="303"/>
      <c r="F747" s="303"/>
      <c r="G747" s="303"/>
      <c r="H747" s="303"/>
      <c r="I747" s="303"/>
      <c r="J747" s="303"/>
      <c r="K747" s="303"/>
      <c r="L747" s="303"/>
      <c r="M747" s="303"/>
      <c r="N747" s="303"/>
      <c r="O747" s="303"/>
      <c r="P747" s="303"/>
      <c r="Q747" s="303"/>
      <c r="R747" s="303"/>
      <c r="S747" s="303"/>
      <c r="T747" s="303"/>
      <c r="U747" s="303"/>
      <c r="V747" s="303"/>
      <c r="W747" s="303"/>
      <c r="X747" s="303"/>
      <c r="Y747" s="303"/>
      <c r="Z747" s="303"/>
    </row>
    <row r="748" spans="1:26" x14ac:dyDescent="0.2">
      <c r="A748" s="303"/>
      <c r="B748" s="303"/>
      <c r="C748" s="303"/>
      <c r="D748" s="303"/>
      <c r="E748" s="303"/>
      <c r="F748" s="303"/>
      <c r="G748" s="303"/>
      <c r="H748" s="303"/>
      <c r="I748" s="303"/>
      <c r="J748" s="303"/>
      <c r="K748" s="303"/>
      <c r="L748" s="303"/>
      <c r="M748" s="303"/>
      <c r="N748" s="303"/>
      <c r="O748" s="303"/>
      <c r="P748" s="303"/>
      <c r="Q748" s="303"/>
      <c r="R748" s="303"/>
      <c r="S748" s="303"/>
      <c r="T748" s="303"/>
      <c r="U748" s="303"/>
      <c r="V748" s="303"/>
      <c r="W748" s="303"/>
      <c r="X748" s="303"/>
      <c r="Y748" s="303"/>
      <c r="Z748" s="303"/>
    </row>
    <row r="749" spans="1:26" x14ac:dyDescent="0.2">
      <c r="A749" s="303"/>
      <c r="B749" s="303"/>
      <c r="C749" s="303"/>
      <c r="D749" s="303"/>
      <c r="E749" s="303"/>
      <c r="F749" s="303"/>
      <c r="G749" s="303"/>
      <c r="H749" s="303"/>
      <c r="I749" s="303"/>
      <c r="J749" s="303"/>
      <c r="K749" s="303"/>
      <c r="L749" s="303"/>
      <c r="M749" s="303"/>
      <c r="N749" s="303"/>
      <c r="O749" s="303"/>
      <c r="P749" s="303"/>
      <c r="Q749" s="303"/>
      <c r="R749" s="303"/>
      <c r="S749" s="303"/>
      <c r="T749" s="303"/>
      <c r="U749" s="303"/>
      <c r="V749" s="303"/>
      <c r="W749" s="303"/>
      <c r="X749" s="303"/>
      <c r="Y749" s="303"/>
      <c r="Z749" s="303"/>
    </row>
    <row r="750" spans="1:26" x14ac:dyDescent="0.2">
      <c r="A750" s="303"/>
      <c r="B750" s="303"/>
      <c r="C750" s="303"/>
      <c r="D750" s="303"/>
      <c r="E750" s="303"/>
      <c r="F750" s="303"/>
      <c r="G750" s="303"/>
      <c r="H750" s="303"/>
      <c r="I750" s="303"/>
      <c r="J750" s="303"/>
      <c r="K750" s="303"/>
      <c r="L750" s="303"/>
      <c r="M750" s="303"/>
      <c r="N750" s="303"/>
      <c r="O750" s="303"/>
      <c r="P750" s="303"/>
      <c r="Q750" s="303"/>
      <c r="R750" s="303"/>
      <c r="S750" s="303"/>
      <c r="T750" s="303"/>
      <c r="U750" s="303"/>
      <c r="V750" s="303"/>
      <c r="W750" s="303"/>
      <c r="X750" s="303"/>
      <c r="Y750" s="303"/>
      <c r="Z750" s="303"/>
    </row>
    <row r="751" spans="1:26" x14ac:dyDescent="0.2">
      <c r="A751" s="303"/>
      <c r="B751" s="303"/>
      <c r="C751" s="303"/>
      <c r="D751" s="303"/>
      <c r="E751" s="303"/>
      <c r="F751" s="303"/>
      <c r="G751" s="303"/>
      <c r="H751" s="303"/>
      <c r="I751" s="303"/>
      <c r="J751" s="303"/>
      <c r="K751" s="303"/>
      <c r="L751" s="303"/>
      <c r="M751" s="303"/>
      <c r="N751" s="303"/>
      <c r="O751" s="303"/>
      <c r="P751" s="303"/>
      <c r="Q751" s="303"/>
      <c r="R751" s="303"/>
      <c r="S751" s="303"/>
      <c r="T751" s="303"/>
      <c r="U751" s="303"/>
      <c r="V751" s="303"/>
      <c r="W751" s="303"/>
      <c r="X751" s="303"/>
      <c r="Y751" s="303"/>
      <c r="Z751" s="303"/>
    </row>
    <row r="752" spans="1:26" x14ac:dyDescent="0.2">
      <c r="A752" s="303"/>
      <c r="B752" s="303"/>
      <c r="C752" s="303"/>
      <c r="D752" s="303"/>
      <c r="E752" s="303"/>
      <c r="F752" s="303"/>
      <c r="G752" s="303"/>
      <c r="H752" s="303"/>
      <c r="I752" s="303"/>
      <c r="J752" s="303"/>
      <c r="K752" s="303"/>
      <c r="L752" s="303"/>
      <c r="M752" s="303"/>
      <c r="N752" s="303"/>
      <c r="O752" s="303"/>
      <c r="P752" s="303"/>
      <c r="Q752" s="303"/>
      <c r="R752" s="303"/>
      <c r="S752" s="303"/>
      <c r="T752" s="303"/>
      <c r="U752" s="303"/>
      <c r="V752" s="303"/>
      <c r="W752" s="303"/>
      <c r="X752" s="303"/>
      <c r="Y752" s="303"/>
      <c r="Z752" s="303"/>
    </row>
    <row r="753" spans="1:26" x14ac:dyDescent="0.2">
      <c r="A753" s="303"/>
      <c r="B753" s="303"/>
      <c r="C753" s="303"/>
      <c r="D753" s="303"/>
      <c r="E753" s="303"/>
      <c r="F753" s="303"/>
      <c r="G753" s="303"/>
      <c r="H753" s="303"/>
      <c r="I753" s="303"/>
      <c r="J753" s="303"/>
      <c r="K753" s="303"/>
      <c r="L753" s="303"/>
      <c r="M753" s="303"/>
      <c r="N753" s="303"/>
      <c r="O753" s="303"/>
      <c r="P753" s="303"/>
      <c r="Q753" s="303"/>
      <c r="R753" s="303"/>
      <c r="S753" s="303"/>
      <c r="T753" s="303"/>
      <c r="U753" s="303"/>
      <c r="V753" s="303"/>
      <c r="W753" s="303"/>
      <c r="X753" s="303"/>
      <c r="Y753" s="303"/>
      <c r="Z753" s="303"/>
    </row>
    <row r="754" spans="1:26" x14ac:dyDescent="0.2">
      <c r="A754" s="303"/>
      <c r="B754" s="303"/>
      <c r="C754" s="303"/>
      <c r="D754" s="303"/>
      <c r="E754" s="303"/>
      <c r="F754" s="303"/>
      <c r="G754" s="303"/>
      <c r="H754" s="303"/>
      <c r="I754" s="303"/>
      <c r="J754" s="303"/>
      <c r="K754" s="303"/>
      <c r="L754" s="303"/>
      <c r="M754" s="303"/>
      <c r="N754" s="303"/>
      <c r="O754" s="303"/>
      <c r="P754" s="303"/>
      <c r="Q754" s="303"/>
      <c r="R754" s="303"/>
      <c r="S754" s="303"/>
      <c r="T754" s="303"/>
      <c r="U754" s="303"/>
      <c r="V754" s="303"/>
      <c r="W754" s="303"/>
      <c r="X754" s="303"/>
      <c r="Y754" s="303"/>
      <c r="Z754" s="303"/>
    </row>
    <row r="755" spans="1:26" x14ac:dyDescent="0.2">
      <c r="A755" s="303"/>
      <c r="B755" s="303"/>
      <c r="C755" s="303"/>
      <c r="D755" s="303"/>
      <c r="E755" s="303"/>
      <c r="F755" s="303"/>
      <c r="G755" s="303"/>
      <c r="H755" s="303"/>
      <c r="I755" s="303"/>
      <c r="J755" s="303"/>
      <c r="K755" s="303"/>
      <c r="L755" s="303"/>
      <c r="M755" s="303"/>
      <c r="N755" s="303"/>
      <c r="O755" s="303"/>
      <c r="P755" s="303"/>
      <c r="Q755" s="303"/>
      <c r="R755" s="303"/>
      <c r="S755" s="303"/>
      <c r="T755" s="303"/>
      <c r="U755" s="303"/>
      <c r="V755" s="303"/>
      <c r="W755" s="303"/>
      <c r="X755" s="303"/>
      <c r="Y755" s="303"/>
      <c r="Z755" s="303"/>
    </row>
    <row r="756" spans="1:26" x14ac:dyDescent="0.2">
      <c r="A756" s="303"/>
      <c r="B756" s="303"/>
      <c r="C756" s="303"/>
      <c r="D756" s="303"/>
      <c r="E756" s="303"/>
      <c r="F756" s="303"/>
      <c r="G756" s="303"/>
      <c r="H756" s="303"/>
      <c r="I756" s="303"/>
      <c r="J756" s="303"/>
      <c r="K756" s="303"/>
      <c r="L756" s="303"/>
      <c r="M756" s="303"/>
      <c r="N756" s="303"/>
      <c r="O756" s="303"/>
      <c r="P756" s="303"/>
      <c r="Q756" s="303"/>
      <c r="R756" s="303"/>
      <c r="S756" s="303"/>
      <c r="T756" s="303"/>
      <c r="U756" s="303"/>
      <c r="V756" s="303"/>
      <c r="W756" s="303"/>
      <c r="X756" s="303"/>
      <c r="Y756" s="303"/>
      <c r="Z756" s="303"/>
    </row>
    <row r="757" spans="1:26" x14ac:dyDescent="0.2">
      <c r="A757" s="303"/>
      <c r="B757" s="303"/>
      <c r="C757" s="303"/>
      <c r="D757" s="303"/>
      <c r="E757" s="303"/>
      <c r="F757" s="303"/>
      <c r="G757" s="303"/>
      <c r="H757" s="303"/>
      <c r="I757" s="303"/>
      <c r="J757" s="303"/>
      <c r="K757" s="303"/>
      <c r="L757" s="303"/>
      <c r="M757" s="303"/>
      <c r="N757" s="303"/>
      <c r="O757" s="303"/>
      <c r="P757" s="303"/>
      <c r="Q757" s="303"/>
      <c r="R757" s="303"/>
      <c r="S757" s="303"/>
      <c r="T757" s="303"/>
      <c r="U757" s="303"/>
      <c r="V757" s="303"/>
      <c r="W757" s="303"/>
      <c r="X757" s="303"/>
      <c r="Y757" s="303"/>
      <c r="Z757" s="303"/>
    </row>
    <row r="758" spans="1:26" x14ac:dyDescent="0.2">
      <c r="A758" s="303"/>
      <c r="B758" s="303"/>
      <c r="C758" s="303"/>
      <c r="D758" s="303"/>
      <c r="E758" s="303"/>
      <c r="F758" s="303"/>
      <c r="G758" s="303"/>
      <c r="H758" s="303"/>
      <c r="I758" s="303"/>
      <c r="J758" s="303"/>
      <c r="K758" s="303"/>
      <c r="L758" s="303"/>
      <c r="M758" s="303"/>
      <c r="N758" s="303"/>
      <c r="O758" s="303"/>
      <c r="P758" s="303"/>
      <c r="Q758" s="303"/>
      <c r="R758" s="303"/>
      <c r="S758" s="303"/>
      <c r="T758" s="303"/>
      <c r="U758" s="303"/>
      <c r="V758" s="303"/>
      <c r="W758" s="303"/>
      <c r="X758" s="303"/>
      <c r="Y758" s="303"/>
      <c r="Z758" s="303"/>
    </row>
    <row r="759" spans="1:26" x14ac:dyDescent="0.2">
      <c r="A759" s="303"/>
      <c r="B759" s="303"/>
      <c r="C759" s="303"/>
      <c r="D759" s="303"/>
      <c r="E759" s="303"/>
      <c r="F759" s="303"/>
      <c r="G759" s="303"/>
      <c r="H759" s="303"/>
      <c r="I759" s="303"/>
      <c r="J759" s="303"/>
      <c r="K759" s="303"/>
      <c r="L759" s="303"/>
      <c r="M759" s="303"/>
      <c r="N759" s="303"/>
      <c r="O759" s="303"/>
      <c r="P759" s="303"/>
      <c r="Q759" s="303"/>
      <c r="R759" s="303"/>
      <c r="S759" s="303"/>
      <c r="T759" s="303"/>
      <c r="U759" s="303"/>
      <c r="V759" s="303"/>
      <c r="W759" s="303"/>
      <c r="X759" s="303"/>
      <c r="Y759" s="303"/>
      <c r="Z759" s="303"/>
    </row>
    <row r="760" spans="1:26" x14ac:dyDescent="0.2">
      <c r="A760" s="303"/>
      <c r="B760" s="303"/>
      <c r="C760" s="303"/>
      <c r="D760" s="303"/>
      <c r="E760" s="303"/>
      <c r="F760" s="303"/>
      <c r="G760" s="303"/>
      <c r="H760" s="303"/>
      <c r="I760" s="303"/>
      <c r="J760" s="303"/>
      <c r="K760" s="303"/>
      <c r="L760" s="303"/>
      <c r="M760" s="303"/>
      <c r="N760" s="303"/>
      <c r="O760" s="303"/>
      <c r="P760" s="303"/>
      <c r="Q760" s="303"/>
      <c r="R760" s="303"/>
      <c r="S760" s="303"/>
      <c r="T760" s="303"/>
      <c r="U760" s="303"/>
      <c r="V760" s="303"/>
      <c r="W760" s="303"/>
      <c r="X760" s="303"/>
      <c r="Y760" s="303"/>
      <c r="Z760" s="303"/>
    </row>
    <row r="761" spans="1:26" x14ac:dyDescent="0.2">
      <c r="A761" s="303"/>
      <c r="B761" s="303"/>
      <c r="C761" s="303"/>
      <c r="D761" s="303"/>
      <c r="E761" s="303"/>
      <c r="F761" s="303"/>
      <c r="G761" s="303"/>
      <c r="H761" s="303"/>
      <c r="I761" s="303"/>
      <c r="J761" s="303"/>
      <c r="K761" s="303"/>
      <c r="L761" s="303"/>
      <c r="M761" s="303"/>
      <c r="N761" s="303"/>
      <c r="O761" s="303"/>
      <c r="P761" s="303"/>
      <c r="Q761" s="303"/>
      <c r="R761" s="303"/>
      <c r="S761" s="303"/>
      <c r="T761" s="303"/>
      <c r="U761" s="303"/>
      <c r="V761" s="303"/>
      <c r="W761" s="303"/>
      <c r="X761" s="303"/>
      <c r="Y761" s="303"/>
      <c r="Z761" s="303"/>
    </row>
    <row r="762" spans="1:26" x14ac:dyDescent="0.2">
      <c r="A762" s="303"/>
      <c r="B762" s="303"/>
      <c r="C762" s="303"/>
      <c r="D762" s="303"/>
      <c r="E762" s="303"/>
      <c r="F762" s="303"/>
      <c r="G762" s="303"/>
      <c r="H762" s="303"/>
      <c r="I762" s="303"/>
      <c r="J762" s="303"/>
      <c r="K762" s="303"/>
      <c r="L762" s="303"/>
      <c r="M762" s="303"/>
      <c r="N762" s="303"/>
      <c r="O762" s="303"/>
      <c r="P762" s="303"/>
      <c r="Q762" s="303"/>
      <c r="R762" s="303"/>
      <c r="S762" s="303"/>
      <c r="T762" s="303"/>
      <c r="U762" s="303"/>
      <c r="V762" s="303"/>
      <c r="W762" s="303"/>
      <c r="X762" s="303"/>
      <c r="Y762" s="303"/>
      <c r="Z762" s="303"/>
    </row>
    <row r="763" spans="1:26" x14ac:dyDescent="0.2">
      <c r="A763" s="303"/>
      <c r="B763" s="303"/>
      <c r="C763" s="303"/>
      <c r="D763" s="303"/>
      <c r="E763" s="303"/>
      <c r="F763" s="303"/>
      <c r="G763" s="303"/>
      <c r="H763" s="303"/>
      <c r="I763" s="303"/>
      <c r="J763" s="303"/>
      <c r="K763" s="303"/>
      <c r="L763" s="303"/>
      <c r="M763" s="303"/>
      <c r="N763" s="303"/>
      <c r="O763" s="303"/>
      <c r="P763" s="303"/>
      <c r="Q763" s="303"/>
      <c r="R763" s="303"/>
      <c r="S763" s="303"/>
      <c r="T763" s="303"/>
      <c r="U763" s="303"/>
      <c r="V763" s="303"/>
      <c r="W763" s="303"/>
      <c r="X763" s="303"/>
      <c r="Y763" s="303"/>
      <c r="Z763" s="303"/>
    </row>
    <row r="764" spans="1:26" x14ac:dyDescent="0.2">
      <c r="A764" s="303"/>
      <c r="B764" s="303"/>
      <c r="C764" s="303"/>
      <c r="D764" s="303"/>
      <c r="E764" s="303"/>
      <c r="F764" s="303"/>
      <c r="G764" s="303"/>
      <c r="H764" s="303"/>
      <c r="I764" s="303"/>
      <c r="J764" s="303"/>
      <c r="K764" s="303"/>
      <c r="L764" s="303"/>
      <c r="M764" s="303"/>
      <c r="N764" s="303"/>
      <c r="O764" s="303"/>
      <c r="P764" s="303"/>
      <c r="Q764" s="303"/>
      <c r="R764" s="303"/>
      <c r="S764" s="303"/>
      <c r="T764" s="303"/>
      <c r="U764" s="303"/>
      <c r="V764" s="303"/>
      <c r="W764" s="303"/>
      <c r="X764" s="303"/>
      <c r="Y764" s="303"/>
      <c r="Z764" s="303"/>
    </row>
    <row r="765" spans="1:26" x14ac:dyDescent="0.2">
      <c r="A765" s="303"/>
      <c r="B765" s="303"/>
      <c r="C765" s="303"/>
      <c r="D765" s="303"/>
      <c r="E765" s="303"/>
      <c r="F765" s="303"/>
      <c r="G765" s="303"/>
      <c r="H765" s="303"/>
      <c r="I765" s="303"/>
      <c r="J765" s="303"/>
      <c r="K765" s="303"/>
      <c r="L765" s="303"/>
      <c r="M765" s="303"/>
      <c r="N765" s="303"/>
      <c r="O765" s="303"/>
      <c r="P765" s="303"/>
      <c r="Q765" s="303"/>
      <c r="R765" s="303"/>
      <c r="S765" s="303"/>
      <c r="T765" s="303"/>
      <c r="U765" s="303"/>
      <c r="V765" s="303"/>
      <c r="W765" s="303"/>
      <c r="X765" s="303"/>
      <c r="Y765" s="303"/>
      <c r="Z765" s="303"/>
    </row>
    <row r="766" spans="1:26" x14ac:dyDescent="0.2">
      <c r="A766" s="303"/>
      <c r="B766" s="303"/>
      <c r="C766" s="303"/>
      <c r="D766" s="303"/>
      <c r="E766" s="303"/>
      <c r="F766" s="303"/>
      <c r="G766" s="303"/>
      <c r="H766" s="303"/>
      <c r="I766" s="303"/>
      <c r="J766" s="303"/>
      <c r="K766" s="303"/>
      <c r="L766" s="303"/>
      <c r="M766" s="303"/>
      <c r="N766" s="303"/>
      <c r="O766" s="303"/>
      <c r="P766" s="303"/>
      <c r="Q766" s="303"/>
      <c r="R766" s="303"/>
      <c r="S766" s="303"/>
      <c r="T766" s="303"/>
      <c r="U766" s="303"/>
      <c r="V766" s="303"/>
      <c r="W766" s="303"/>
      <c r="X766" s="303"/>
      <c r="Y766" s="303"/>
      <c r="Z766" s="303"/>
    </row>
    <row r="767" spans="1:26" x14ac:dyDescent="0.2">
      <c r="A767" s="303"/>
      <c r="B767" s="303"/>
      <c r="C767" s="303"/>
      <c r="D767" s="303"/>
      <c r="E767" s="303"/>
      <c r="F767" s="303"/>
      <c r="G767" s="303"/>
      <c r="H767" s="303"/>
      <c r="I767" s="303"/>
      <c r="J767" s="303"/>
      <c r="K767" s="303"/>
      <c r="L767" s="303"/>
      <c r="M767" s="303"/>
      <c r="N767" s="303"/>
      <c r="O767" s="303"/>
      <c r="P767" s="303"/>
      <c r="Q767" s="303"/>
      <c r="R767" s="303"/>
      <c r="S767" s="303"/>
      <c r="T767" s="303"/>
      <c r="U767" s="303"/>
      <c r="V767" s="303"/>
      <c r="W767" s="303"/>
      <c r="X767" s="303"/>
      <c r="Y767" s="303"/>
      <c r="Z767" s="303"/>
    </row>
    <row r="768" spans="1:26" x14ac:dyDescent="0.2">
      <c r="A768" s="303"/>
      <c r="B768" s="303"/>
      <c r="C768" s="303"/>
      <c r="D768" s="303"/>
      <c r="E768" s="303"/>
      <c r="F768" s="303"/>
      <c r="G768" s="303"/>
      <c r="H768" s="303"/>
      <c r="I768" s="303"/>
      <c r="J768" s="303"/>
      <c r="K768" s="303"/>
      <c r="L768" s="303"/>
      <c r="M768" s="303"/>
      <c r="N768" s="303"/>
      <c r="O768" s="303"/>
      <c r="P768" s="303"/>
      <c r="Q768" s="303"/>
      <c r="R768" s="303"/>
      <c r="S768" s="303"/>
      <c r="T768" s="303"/>
      <c r="U768" s="303"/>
      <c r="V768" s="303"/>
      <c r="W768" s="303"/>
      <c r="X768" s="303"/>
      <c r="Y768" s="303"/>
      <c r="Z768" s="303"/>
    </row>
    <row r="769" spans="1:26" x14ac:dyDescent="0.2">
      <c r="A769" s="303"/>
      <c r="B769" s="303"/>
      <c r="C769" s="303"/>
      <c r="D769" s="303"/>
      <c r="E769" s="303"/>
      <c r="F769" s="303"/>
      <c r="G769" s="303"/>
      <c r="H769" s="303"/>
      <c r="I769" s="303"/>
      <c r="J769" s="303"/>
      <c r="K769" s="303"/>
      <c r="L769" s="303"/>
      <c r="M769" s="303"/>
      <c r="N769" s="303"/>
      <c r="O769" s="303"/>
      <c r="P769" s="303"/>
      <c r="Q769" s="303"/>
      <c r="R769" s="303"/>
      <c r="S769" s="303"/>
      <c r="T769" s="303"/>
      <c r="U769" s="303"/>
      <c r="V769" s="303"/>
      <c r="W769" s="303"/>
      <c r="X769" s="303"/>
      <c r="Y769" s="303"/>
      <c r="Z769" s="303"/>
    </row>
    <row r="770" spans="1:26" x14ac:dyDescent="0.2">
      <c r="A770" s="303"/>
      <c r="B770" s="303"/>
      <c r="C770" s="303"/>
      <c r="D770" s="303"/>
      <c r="E770" s="303"/>
      <c r="F770" s="303"/>
      <c r="G770" s="303"/>
      <c r="H770" s="303"/>
      <c r="I770" s="303"/>
      <c r="J770" s="303"/>
      <c r="K770" s="303"/>
      <c r="L770" s="303"/>
      <c r="M770" s="303"/>
      <c r="N770" s="303"/>
      <c r="O770" s="303"/>
      <c r="P770" s="303"/>
      <c r="Q770" s="303"/>
      <c r="R770" s="303"/>
      <c r="S770" s="303"/>
      <c r="T770" s="303"/>
      <c r="U770" s="303"/>
      <c r="V770" s="303"/>
      <c r="W770" s="303"/>
      <c r="X770" s="303"/>
      <c r="Y770" s="303"/>
      <c r="Z770" s="303"/>
    </row>
    <row r="771" spans="1:26" x14ac:dyDescent="0.2">
      <c r="A771" s="303"/>
      <c r="B771" s="303"/>
      <c r="C771" s="303"/>
      <c r="D771" s="303"/>
      <c r="E771" s="303"/>
      <c r="F771" s="303"/>
      <c r="G771" s="303"/>
      <c r="H771" s="303"/>
      <c r="I771" s="303"/>
      <c r="J771" s="303"/>
      <c r="K771" s="303"/>
      <c r="L771" s="303"/>
      <c r="M771" s="303"/>
      <c r="N771" s="303"/>
      <c r="O771" s="303"/>
      <c r="P771" s="303"/>
      <c r="Q771" s="303"/>
      <c r="R771" s="303"/>
      <c r="S771" s="303"/>
      <c r="T771" s="303"/>
      <c r="U771" s="303"/>
      <c r="V771" s="303"/>
      <c r="W771" s="303"/>
      <c r="X771" s="303"/>
      <c r="Y771" s="303"/>
      <c r="Z771" s="303"/>
    </row>
    <row r="772" spans="1:26" x14ac:dyDescent="0.2">
      <c r="A772" s="303"/>
      <c r="B772" s="303"/>
      <c r="C772" s="303"/>
      <c r="D772" s="303"/>
      <c r="E772" s="303"/>
      <c r="F772" s="303"/>
      <c r="G772" s="303"/>
      <c r="H772" s="303"/>
      <c r="I772" s="303"/>
      <c r="J772" s="303"/>
      <c r="K772" s="303"/>
      <c r="L772" s="303"/>
      <c r="M772" s="303"/>
      <c r="N772" s="303"/>
      <c r="O772" s="303"/>
      <c r="P772" s="303"/>
      <c r="Q772" s="303"/>
      <c r="R772" s="303"/>
      <c r="S772" s="303"/>
      <c r="T772" s="303"/>
      <c r="U772" s="303"/>
      <c r="V772" s="303"/>
      <c r="W772" s="303"/>
      <c r="X772" s="303"/>
      <c r="Y772" s="303"/>
      <c r="Z772" s="303"/>
    </row>
    <row r="773" spans="1:26" x14ac:dyDescent="0.2">
      <c r="A773" s="303"/>
      <c r="B773" s="303"/>
      <c r="C773" s="303"/>
      <c r="D773" s="303"/>
      <c r="E773" s="303"/>
      <c r="F773" s="303"/>
      <c r="G773" s="303"/>
      <c r="H773" s="303"/>
      <c r="I773" s="303"/>
      <c r="J773" s="303"/>
      <c r="K773" s="303"/>
      <c r="L773" s="303"/>
      <c r="M773" s="303"/>
      <c r="N773" s="303"/>
      <c r="O773" s="303"/>
      <c r="P773" s="303"/>
      <c r="Q773" s="303"/>
      <c r="R773" s="303"/>
      <c r="S773" s="303"/>
      <c r="T773" s="303"/>
      <c r="U773" s="303"/>
      <c r="V773" s="303"/>
      <c r="W773" s="303"/>
      <c r="X773" s="303"/>
      <c r="Y773" s="303"/>
      <c r="Z773" s="303"/>
    </row>
    <row r="774" spans="1:26" x14ac:dyDescent="0.2">
      <c r="A774" s="303"/>
      <c r="B774" s="303"/>
      <c r="C774" s="303"/>
      <c r="D774" s="303"/>
      <c r="E774" s="303"/>
      <c r="F774" s="303"/>
      <c r="G774" s="303"/>
      <c r="H774" s="303"/>
      <c r="I774" s="303"/>
      <c r="J774" s="303"/>
      <c r="K774" s="303"/>
      <c r="L774" s="303"/>
      <c r="M774" s="303"/>
      <c r="N774" s="303"/>
      <c r="O774" s="303"/>
      <c r="P774" s="303"/>
      <c r="Q774" s="303"/>
      <c r="R774" s="303"/>
      <c r="S774" s="303"/>
      <c r="T774" s="303"/>
      <c r="U774" s="303"/>
      <c r="V774" s="303"/>
      <c r="W774" s="303"/>
      <c r="X774" s="303"/>
      <c r="Y774" s="303"/>
      <c r="Z774" s="303"/>
    </row>
    <row r="775" spans="1:26" x14ac:dyDescent="0.2">
      <c r="A775" s="303"/>
      <c r="B775" s="303"/>
      <c r="C775" s="303"/>
      <c r="D775" s="303"/>
      <c r="E775" s="303"/>
      <c r="F775" s="303"/>
      <c r="G775" s="303"/>
      <c r="H775" s="303"/>
      <c r="I775" s="303"/>
      <c r="J775" s="303"/>
      <c r="K775" s="303"/>
      <c r="L775" s="303"/>
      <c r="M775" s="303"/>
      <c r="N775" s="303"/>
      <c r="O775" s="303"/>
      <c r="P775" s="303"/>
      <c r="Q775" s="303"/>
      <c r="R775" s="303"/>
      <c r="S775" s="303"/>
      <c r="T775" s="303"/>
      <c r="U775" s="303"/>
      <c r="V775" s="303"/>
      <c r="W775" s="303"/>
      <c r="X775" s="303"/>
      <c r="Y775" s="303"/>
      <c r="Z775" s="303"/>
    </row>
    <row r="776" spans="1:26" x14ac:dyDescent="0.2">
      <c r="A776" s="303"/>
      <c r="B776" s="303"/>
      <c r="C776" s="303"/>
      <c r="D776" s="303"/>
      <c r="E776" s="303"/>
      <c r="F776" s="303"/>
      <c r="G776" s="303"/>
      <c r="H776" s="303"/>
      <c r="I776" s="303"/>
      <c r="J776" s="303"/>
      <c r="K776" s="303"/>
      <c r="L776" s="303"/>
      <c r="M776" s="303"/>
      <c r="N776" s="303"/>
      <c r="O776" s="303"/>
      <c r="P776" s="303"/>
      <c r="Q776" s="303"/>
      <c r="R776" s="303"/>
      <c r="S776" s="303"/>
      <c r="T776" s="303"/>
      <c r="U776" s="303"/>
      <c r="V776" s="303"/>
      <c r="W776" s="303"/>
      <c r="X776" s="303"/>
      <c r="Y776" s="303"/>
      <c r="Z776" s="303"/>
    </row>
    <row r="777" spans="1:26" x14ac:dyDescent="0.2">
      <c r="A777" s="303"/>
      <c r="B777" s="303"/>
      <c r="C777" s="303"/>
      <c r="D777" s="303"/>
      <c r="E777" s="303"/>
      <c r="F777" s="303"/>
      <c r="G777" s="303"/>
      <c r="H777" s="303"/>
      <c r="I777" s="303"/>
      <c r="J777" s="303"/>
      <c r="K777" s="303"/>
      <c r="L777" s="303"/>
      <c r="M777" s="303"/>
      <c r="N777" s="303"/>
      <c r="O777" s="303"/>
      <c r="P777" s="303"/>
      <c r="Q777" s="303"/>
      <c r="R777" s="303"/>
      <c r="S777" s="303"/>
      <c r="T777" s="303"/>
      <c r="U777" s="303"/>
      <c r="V777" s="303"/>
      <c r="W777" s="303"/>
      <c r="X777" s="303"/>
      <c r="Y777" s="303"/>
      <c r="Z777" s="303"/>
    </row>
    <row r="778" spans="1:26" x14ac:dyDescent="0.2">
      <c r="A778" s="303"/>
      <c r="B778" s="303"/>
      <c r="C778" s="303"/>
      <c r="D778" s="303"/>
      <c r="E778" s="303"/>
      <c r="F778" s="303"/>
      <c r="G778" s="303"/>
      <c r="H778" s="303"/>
      <c r="I778" s="303"/>
      <c r="J778" s="303"/>
      <c r="K778" s="303"/>
      <c r="L778" s="303"/>
      <c r="M778" s="303"/>
      <c r="N778" s="303"/>
      <c r="O778" s="303"/>
      <c r="P778" s="303"/>
      <c r="Q778" s="303"/>
      <c r="R778" s="303"/>
      <c r="S778" s="303"/>
      <c r="T778" s="303"/>
      <c r="U778" s="303"/>
      <c r="V778" s="303"/>
      <c r="W778" s="303"/>
      <c r="X778" s="303"/>
      <c r="Y778" s="303"/>
      <c r="Z778" s="303"/>
    </row>
    <row r="779" spans="1:26" x14ac:dyDescent="0.2">
      <c r="A779" s="303"/>
      <c r="B779" s="303"/>
      <c r="C779" s="303"/>
      <c r="D779" s="303"/>
      <c r="E779" s="303"/>
      <c r="F779" s="303"/>
      <c r="G779" s="303"/>
      <c r="H779" s="303"/>
      <c r="I779" s="303"/>
      <c r="J779" s="303"/>
      <c r="K779" s="303"/>
      <c r="L779" s="303"/>
      <c r="M779" s="303"/>
      <c r="N779" s="303"/>
      <c r="O779" s="303"/>
      <c r="P779" s="303"/>
      <c r="Q779" s="303"/>
      <c r="R779" s="303"/>
      <c r="S779" s="303"/>
      <c r="T779" s="303"/>
      <c r="U779" s="303"/>
      <c r="V779" s="303"/>
      <c r="W779" s="303"/>
      <c r="X779" s="303"/>
      <c r="Y779" s="303"/>
      <c r="Z779" s="303"/>
    </row>
    <row r="780" spans="1:26" x14ac:dyDescent="0.2">
      <c r="A780" s="303"/>
      <c r="B780" s="303"/>
      <c r="C780" s="303"/>
      <c r="D780" s="303"/>
      <c r="E780" s="303"/>
      <c r="F780" s="303"/>
      <c r="G780" s="303"/>
      <c r="H780" s="303"/>
      <c r="I780" s="303"/>
      <c r="J780" s="303"/>
      <c r="K780" s="303"/>
      <c r="L780" s="303"/>
      <c r="M780" s="303"/>
      <c r="N780" s="303"/>
      <c r="O780" s="303"/>
      <c r="P780" s="303"/>
      <c r="Q780" s="303"/>
      <c r="R780" s="303"/>
      <c r="S780" s="303"/>
      <c r="T780" s="303"/>
      <c r="U780" s="303"/>
      <c r="V780" s="303"/>
      <c r="W780" s="303"/>
      <c r="X780" s="303"/>
      <c r="Y780" s="303"/>
      <c r="Z780" s="303"/>
    </row>
    <row r="781" spans="1:26" x14ac:dyDescent="0.2">
      <c r="A781" s="303"/>
      <c r="B781" s="303"/>
      <c r="C781" s="303"/>
      <c r="D781" s="303"/>
      <c r="E781" s="303"/>
      <c r="F781" s="303"/>
      <c r="G781" s="303"/>
      <c r="H781" s="303"/>
      <c r="I781" s="303"/>
      <c r="J781" s="303"/>
      <c r="K781" s="303"/>
      <c r="L781" s="303"/>
      <c r="M781" s="303"/>
      <c r="N781" s="303"/>
      <c r="O781" s="303"/>
      <c r="P781" s="303"/>
      <c r="Q781" s="303"/>
      <c r="R781" s="303"/>
      <c r="S781" s="303"/>
      <c r="T781" s="303"/>
      <c r="U781" s="303"/>
      <c r="V781" s="303"/>
      <c r="W781" s="303"/>
      <c r="X781" s="303"/>
      <c r="Y781" s="303"/>
      <c r="Z781" s="303"/>
    </row>
    <row r="782" spans="1:26" x14ac:dyDescent="0.2">
      <c r="A782" s="303"/>
      <c r="B782" s="303"/>
      <c r="C782" s="303"/>
      <c r="D782" s="303"/>
      <c r="E782" s="303"/>
      <c r="F782" s="303"/>
      <c r="G782" s="303"/>
      <c r="H782" s="303"/>
      <c r="I782" s="303"/>
      <c r="J782" s="303"/>
      <c r="K782" s="303"/>
      <c r="L782" s="303"/>
      <c r="M782" s="303"/>
      <c r="N782" s="303"/>
      <c r="O782" s="303"/>
      <c r="P782" s="303"/>
      <c r="Q782" s="303"/>
      <c r="R782" s="303"/>
      <c r="S782" s="303"/>
      <c r="T782" s="303"/>
      <c r="U782" s="303"/>
      <c r="V782" s="303"/>
      <c r="W782" s="303"/>
      <c r="X782" s="303"/>
      <c r="Y782" s="303"/>
      <c r="Z782" s="303"/>
    </row>
    <row r="783" spans="1:26" x14ac:dyDescent="0.2">
      <c r="A783" s="303"/>
      <c r="B783" s="303"/>
      <c r="C783" s="303"/>
      <c r="D783" s="303"/>
      <c r="E783" s="303"/>
      <c r="F783" s="303"/>
      <c r="G783" s="303"/>
      <c r="H783" s="303"/>
      <c r="I783" s="303"/>
      <c r="J783" s="303"/>
      <c r="K783" s="303"/>
      <c r="L783" s="303"/>
      <c r="M783" s="303"/>
      <c r="N783" s="303"/>
      <c r="O783" s="303"/>
      <c r="P783" s="303"/>
      <c r="Q783" s="303"/>
      <c r="R783" s="303"/>
      <c r="S783" s="303"/>
      <c r="T783" s="303"/>
      <c r="U783" s="303"/>
      <c r="V783" s="303"/>
      <c r="W783" s="303"/>
      <c r="X783" s="303"/>
      <c r="Y783" s="303"/>
      <c r="Z783" s="303"/>
    </row>
    <row r="784" spans="1:26" x14ac:dyDescent="0.2">
      <c r="A784" s="303"/>
      <c r="B784" s="303"/>
      <c r="C784" s="303"/>
      <c r="D784" s="303"/>
      <c r="E784" s="303"/>
      <c r="F784" s="303"/>
      <c r="G784" s="303"/>
      <c r="H784" s="303"/>
      <c r="I784" s="303"/>
      <c r="J784" s="303"/>
      <c r="K784" s="303"/>
      <c r="L784" s="303"/>
      <c r="M784" s="303"/>
      <c r="N784" s="303"/>
      <c r="O784" s="303"/>
      <c r="P784" s="303"/>
      <c r="Q784" s="303"/>
      <c r="R784" s="303"/>
      <c r="S784" s="303"/>
      <c r="T784" s="303"/>
      <c r="U784" s="303"/>
      <c r="V784" s="303"/>
      <c r="W784" s="303"/>
      <c r="X784" s="303"/>
      <c r="Y784" s="303"/>
      <c r="Z784" s="303"/>
    </row>
    <row r="785" spans="1:26" x14ac:dyDescent="0.2">
      <c r="A785" s="303"/>
      <c r="B785" s="303"/>
      <c r="C785" s="303"/>
      <c r="D785" s="303"/>
      <c r="E785" s="303"/>
      <c r="F785" s="303"/>
      <c r="G785" s="303"/>
      <c r="H785" s="303"/>
      <c r="I785" s="303"/>
      <c r="J785" s="303"/>
      <c r="K785" s="303"/>
      <c r="L785" s="303"/>
      <c r="M785" s="303"/>
      <c r="N785" s="303"/>
      <c r="O785" s="303"/>
      <c r="P785" s="303"/>
      <c r="Q785" s="303"/>
      <c r="R785" s="303"/>
      <c r="S785" s="303"/>
      <c r="T785" s="303"/>
      <c r="U785" s="303"/>
      <c r="V785" s="303"/>
      <c r="W785" s="303"/>
      <c r="X785" s="303"/>
      <c r="Y785" s="303"/>
      <c r="Z785" s="303"/>
    </row>
    <row r="786" spans="1:26" x14ac:dyDescent="0.2">
      <c r="A786" s="303"/>
      <c r="B786" s="303"/>
      <c r="C786" s="303"/>
      <c r="D786" s="303"/>
      <c r="E786" s="303"/>
      <c r="F786" s="303"/>
      <c r="G786" s="303"/>
      <c r="H786" s="303"/>
      <c r="I786" s="303"/>
      <c r="J786" s="303"/>
      <c r="K786" s="303"/>
      <c r="L786" s="303"/>
      <c r="M786" s="303"/>
      <c r="N786" s="303"/>
      <c r="O786" s="303"/>
      <c r="P786" s="303"/>
      <c r="Q786" s="303"/>
      <c r="R786" s="303"/>
      <c r="S786" s="303"/>
      <c r="T786" s="303"/>
      <c r="U786" s="303"/>
      <c r="V786" s="303"/>
      <c r="W786" s="303"/>
      <c r="X786" s="303"/>
      <c r="Y786" s="303"/>
      <c r="Z786" s="303"/>
    </row>
    <row r="787" spans="1:26" x14ac:dyDescent="0.2">
      <c r="A787" s="303"/>
      <c r="B787" s="303"/>
      <c r="C787" s="303"/>
      <c r="D787" s="303"/>
      <c r="E787" s="303"/>
      <c r="F787" s="303"/>
      <c r="G787" s="303"/>
      <c r="H787" s="303"/>
      <c r="I787" s="303"/>
      <c r="J787" s="303"/>
      <c r="K787" s="303"/>
      <c r="L787" s="303"/>
      <c r="M787" s="303"/>
      <c r="N787" s="303"/>
      <c r="O787" s="303"/>
      <c r="P787" s="303"/>
      <c r="Q787" s="303"/>
      <c r="R787" s="303"/>
      <c r="S787" s="303"/>
      <c r="T787" s="303"/>
      <c r="U787" s="303"/>
      <c r="V787" s="303"/>
      <c r="W787" s="303"/>
      <c r="X787" s="303"/>
      <c r="Y787" s="303"/>
      <c r="Z787" s="303"/>
    </row>
    <row r="788" spans="1:26" x14ac:dyDescent="0.2">
      <c r="A788" s="303"/>
      <c r="B788" s="303"/>
      <c r="C788" s="303"/>
      <c r="D788" s="303"/>
      <c r="E788" s="303"/>
      <c r="F788" s="303"/>
      <c r="G788" s="303"/>
      <c r="H788" s="303"/>
      <c r="I788" s="303"/>
      <c r="J788" s="303"/>
      <c r="K788" s="303"/>
      <c r="L788" s="303"/>
      <c r="M788" s="303"/>
      <c r="N788" s="303"/>
      <c r="O788" s="303"/>
      <c r="P788" s="303"/>
      <c r="Q788" s="303"/>
      <c r="R788" s="303"/>
      <c r="S788" s="303"/>
      <c r="T788" s="303"/>
      <c r="U788" s="303"/>
      <c r="V788" s="303"/>
      <c r="W788" s="303"/>
      <c r="X788" s="303"/>
      <c r="Y788" s="303"/>
      <c r="Z788" s="303"/>
    </row>
    <row r="789" spans="1:26" x14ac:dyDescent="0.2">
      <c r="A789" s="303"/>
      <c r="B789" s="303"/>
      <c r="C789" s="303"/>
      <c r="D789" s="303"/>
      <c r="E789" s="303"/>
      <c r="F789" s="303"/>
      <c r="G789" s="303"/>
      <c r="H789" s="303"/>
      <c r="I789" s="303"/>
      <c r="J789" s="303"/>
      <c r="K789" s="303"/>
      <c r="L789" s="303"/>
      <c r="M789" s="303"/>
      <c r="N789" s="303"/>
      <c r="O789" s="303"/>
      <c r="P789" s="303"/>
      <c r="Q789" s="303"/>
      <c r="R789" s="303"/>
      <c r="S789" s="303"/>
      <c r="T789" s="303"/>
      <c r="U789" s="303"/>
      <c r="V789" s="303"/>
      <c r="W789" s="303"/>
      <c r="X789" s="303"/>
      <c r="Y789" s="303"/>
      <c r="Z789" s="303"/>
    </row>
    <row r="790" spans="1:26" x14ac:dyDescent="0.2">
      <c r="A790" s="303"/>
      <c r="B790" s="303"/>
      <c r="C790" s="303"/>
      <c r="D790" s="303"/>
      <c r="E790" s="303"/>
      <c r="F790" s="303"/>
      <c r="G790" s="303"/>
      <c r="H790" s="303"/>
      <c r="I790" s="303"/>
      <c r="J790" s="303"/>
      <c r="K790" s="303"/>
      <c r="L790" s="303"/>
      <c r="M790" s="303"/>
      <c r="N790" s="303"/>
      <c r="O790" s="303"/>
      <c r="P790" s="303"/>
      <c r="Q790" s="303"/>
      <c r="R790" s="303"/>
      <c r="S790" s="303"/>
      <c r="T790" s="303"/>
      <c r="U790" s="303"/>
      <c r="V790" s="303"/>
      <c r="W790" s="303"/>
      <c r="X790" s="303"/>
      <c r="Y790" s="303"/>
      <c r="Z790" s="303"/>
    </row>
    <row r="791" spans="1:26" x14ac:dyDescent="0.2">
      <c r="A791" s="303"/>
      <c r="B791" s="303"/>
      <c r="C791" s="303"/>
      <c r="D791" s="303"/>
      <c r="E791" s="303"/>
      <c r="F791" s="303"/>
      <c r="G791" s="303"/>
      <c r="H791" s="303"/>
      <c r="I791" s="303"/>
      <c r="J791" s="303"/>
      <c r="K791" s="303"/>
      <c r="L791" s="303"/>
      <c r="M791" s="303"/>
      <c r="N791" s="303"/>
      <c r="O791" s="303"/>
      <c r="P791" s="303"/>
      <c r="Q791" s="303"/>
      <c r="R791" s="303"/>
      <c r="S791" s="303"/>
      <c r="T791" s="303"/>
      <c r="U791" s="303"/>
      <c r="V791" s="303"/>
      <c r="W791" s="303"/>
      <c r="X791" s="303"/>
      <c r="Y791" s="303"/>
      <c r="Z791" s="303"/>
    </row>
    <row r="792" spans="1:26" x14ac:dyDescent="0.2">
      <c r="A792" s="303"/>
      <c r="B792" s="303"/>
      <c r="C792" s="303"/>
      <c r="D792" s="303"/>
      <c r="E792" s="303"/>
      <c r="F792" s="303"/>
      <c r="G792" s="303"/>
      <c r="H792" s="303"/>
      <c r="I792" s="303"/>
      <c r="J792" s="303"/>
      <c r="K792" s="303"/>
      <c r="L792" s="303"/>
      <c r="M792" s="303"/>
      <c r="N792" s="303"/>
      <c r="O792" s="303"/>
      <c r="P792" s="303"/>
      <c r="Q792" s="303"/>
      <c r="R792" s="303"/>
      <c r="S792" s="303"/>
      <c r="T792" s="303"/>
      <c r="U792" s="303"/>
      <c r="V792" s="303"/>
      <c r="W792" s="303"/>
      <c r="X792" s="303"/>
      <c r="Y792" s="303"/>
      <c r="Z792" s="303"/>
    </row>
    <row r="793" spans="1:26" x14ac:dyDescent="0.2">
      <c r="A793" s="303"/>
      <c r="B793" s="303"/>
      <c r="C793" s="303"/>
      <c r="D793" s="303"/>
      <c r="E793" s="303"/>
      <c r="F793" s="303"/>
      <c r="G793" s="303"/>
      <c r="H793" s="303"/>
      <c r="I793" s="303"/>
      <c r="J793" s="303"/>
      <c r="K793" s="303"/>
      <c r="L793" s="303"/>
      <c r="M793" s="303"/>
      <c r="N793" s="303"/>
      <c r="O793" s="303"/>
      <c r="P793" s="303"/>
      <c r="Q793" s="303"/>
      <c r="R793" s="303"/>
      <c r="S793" s="303"/>
      <c r="T793" s="303"/>
      <c r="U793" s="303"/>
      <c r="V793" s="303"/>
      <c r="W793" s="303"/>
      <c r="X793" s="303"/>
      <c r="Y793" s="303"/>
      <c r="Z793" s="303"/>
    </row>
    <row r="794" spans="1:26" x14ac:dyDescent="0.2">
      <c r="A794" s="303"/>
      <c r="B794" s="303"/>
      <c r="C794" s="303"/>
      <c r="D794" s="303"/>
      <c r="E794" s="303"/>
      <c r="F794" s="303"/>
      <c r="G794" s="303"/>
      <c r="H794" s="303"/>
      <c r="I794" s="303"/>
      <c r="J794" s="303"/>
      <c r="K794" s="303"/>
      <c r="L794" s="303"/>
      <c r="M794" s="303"/>
      <c r="N794" s="303"/>
      <c r="O794" s="303"/>
      <c r="P794" s="303"/>
      <c r="Q794" s="303"/>
      <c r="R794" s="303"/>
      <c r="S794" s="303"/>
      <c r="T794" s="303"/>
      <c r="U794" s="303"/>
      <c r="V794" s="303"/>
      <c r="W794" s="303"/>
      <c r="X794" s="303"/>
      <c r="Y794" s="303"/>
      <c r="Z794" s="303"/>
    </row>
    <row r="795" spans="1:26" x14ac:dyDescent="0.2">
      <c r="A795" s="303"/>
      <c r="B795" s="303"/>
      <c r="C795" s="303"/>
      <c r="D795" s="303"/>
      <c r="E795" s="303"/>
      <c r="F795" s="303"/>
      <c r="G795" s="303"/>
      <c r="H795" s="303"/>
      <c r="I795" s="303"/>
      <c r="J795" s="303"/>
      <c r="K795" s="303"/>
      <c r="L795" s="303"/>
      <c r="M795" s="303"/>
      <c r="N795" s="303"/>
      <c r="O795" s="303"/>
      <c r="P795" s="303"/>
      <c r="Q795" s="303"/>
      <c r="R795" s="303"/>
      <c r="S795" s="303"/>
      <c r="T795" s="303"/>
      <c r="U795" s="303"/>
      <c r="V795" s="303"/>
      <c r="W795" s="303"/>
      <c r="X795" s="303"/>
      <c r="Y795" s="303"/>
      <c r="Z795" s="303"/>
    </row>
    <row r="796" spans="1:26" x14ac:dyDescent="0.2">
      <c r="A796" s="303"/>
      <c r="B796" s="303"/>
      <c r="C796" s="303"/>
      <c r="D796" s="303"/>
      <c r="E796" s="303"/>
      <c r="F796" s="303"/>
      <c r="G796" s="303"/>
      <c r="H796" s="303"/>
      <c r="I796" s="303"/>
      <c r="J796" s="303"/>
      <c r="K796" s="303"/>
      <c r="L796" s="303"/>
      <c r="M796" s="303"/>
      <c r="N796" s="303"/>
      <c r="O796" s="303"/>
      <c r="P796" s="303"/>
      <c r="Q796" s="303"/>
      <c r="R796" s="303"/>
      <c r="S796" s="303"/>
      <c r="T796" s="303"/>
      <c r="U796" s="303"/>
      <c r="V796" s="303"/>
      <c r="W796" s="303"/>
      <c r="X796" s="303"/>
      <c r="Y796" s="303"/>
      <c r="Z796" s="303"/>
    </row>
    <row r="797" spans="1:26" x14ac:dyDescent="0.2">
      <c r="A797" s="303"/>
      <c r="B797" s="303"/>
      <c r="C797" s="303"/>
      <c r="D797" s="303"/>
      <c r="E797" s="303"/>
      <c r="F797" s="303"/>
      <c r="G797" s="303"/>
      <c r="H797" s="303"/>
      <c r="I797" s="303"/>
      <c r="J797" s="303"/>
      <c r="K797" s="303"/>
      <c r="L797" s="303"/>
      <c r="M797" s="303"/>
      <c r="N797" s="303"/>
      <c r="O797" s="303"/>
      <c r="P797" s="303"/>
      <c r="Q797" s="303"/>
      <c r="R797" s="303"/>
      <c r="S797" s="303"/>
      <c r="T797" s="303"/>
      <c r="U797" s="303"/>
      <c r="V797" s="303"/>
      <c r="W797" s="303"/>
      <c r="X797" s="303"/>
      <c r="Y797" s="303"/>
      <c r="Z797" s="303"/>
    </row>
    <row r="798" spans="1:26" x14ac:dyDescent="0.2">
      <c r="A798" s="303"/>
      <c r="B798" s="303"/>
      <c r="C798" s="303"/>
      <c r="D798" s="303"/>
      <c r="E798" s="303"/>
      <c r="F798" s="303"/>
      <c r="G798" s="303"/>
      <c r="H798" s="303"/>
      <c r="I798" s="303"/>
      <c r="J798" s="303"/>
      <c r="K798" s="303"/>
      <c r="L798" s="303"/>
      <c r="M798" s="303"/>
      <c r="N798" s="303"/>
      <c r="O798" s="303"/>
      <c r="P798" s="303"/>
      <c r="Q798" s="303"/>
      <c r="R798" s="303"/>
      <c r="S798" s="303"/>
      <c r="T798" s="303"/>
      <c r="U798" s="303"/>
      <c r="V798" s="303"/>
      <c r="W798" s="303"/>
      <c r="X798" s="303"/>
      <c r="Y798" s="303"/>
      <c r="Z798" s="303"/>
    </row>
    <row r="799" spans="1:26" x14ac:dyDescent="0.2">
      <c r="A799" s="303"/>
      <c r="B799" s="303"/>
      <c r="C799" s="303"/>
      <c r="D799" s="303"/>
      <c r="E799" s="303"/>
      <c r="F799" s="303"/>
      <c r="G799" s="303"/>
      <c r="H799" s="303"/>
      <c r="I799" s="303"/>
      <c r="J799" s="303"/>
      <c r="K799" s="303"/>
      <c r="L799" s="303"/>
      <c r="M799" s="303"/>
      <c r="N799" s="303"/>
      <c r="O799" s="303"/>
      <c r="P799" s="303"/>
      <c r="Q799" s="303"/>
      <c r="R799" s="303"/>
      <c r="S799" s="303"/>
      <c r="T799" s="303"/>
      <c r="U799" s="303"/>
      <c r="V799" s="303"/>
      <c r="W799" s="303"/>
      <c r="X799" s="303"/>
      <c r="Y799" s="303"/>
      <c r="Z799" s="303"/>
    </row>
    <row r="800" spans="1:26" x14ac:dyDescent="0.2">
      <c r="A800" s="303"/>
      <c r="B800" s="303"/>
      <c r="C800" s="303"/>
      <c r="D800" s="303"/>
      <c r="E800" s="303"/>
      <c r="F800" s="303"/>
      <c r="G800" s="303"/>
      <c r="H800" s="303"/>
      <c r="I800" s="303"/>
      <c r="J800" s="303"/>
      <c r="K800" s="303"/>
      <c r="L800" s="303"/>
      <c r="M800" s="303"/>
      <c r="N800" s="303"/>
      <c r="O800" s="303"/>
      <c r="P800" s="303"/>
      <c r="Q800" s="303"/>
      <c r="R800" s="303"/>
      <c r="S800" s="303"/>
      <c r="T800" s="303"/>
      <c r="U800" s="303"/>
      <c r="V800" s="303"/>
      <c r="W800" s="303"/>
      <c r="X800" s="303"/>
      <c r="Y800" s="303"/>
      <c r="Z800" s="303"/>
    </row>
    <row r="801" spans="1:26" x14ac:dyDescent="0.2">
      <c r="A801" s="303"/>
      <c r="B801" s="303"/>
      <c r="C801" s="303"/>
      <c r="D801" s="303"/>
      <c r="E801" s="303"/>
      <c r="F801" s="303"/>
      <c r="G801" s="303"/>
      <c r="H801" s="303"/>
      <c r="I801" s="303"/>
      <c r="J801" s="303"/>
      <c r="K801" s="303"/>
      <c r="L801" s="303"/>
      <c r="M801" s="303"/>
      <c r="N801" s="303"/>
      <c r="O801" s="303"/>
      <c r="P801" s="303"/>
      <c r="Q801" s="303"/>
      <c r="R801" s="303"/>
      <c r="S801" s="303"/>
      <c r="T801" s="303"/>
      <c r="U801" s="303"/>
      <c r="V801" s="303"/>
      <c r="W801" s="303"/>
      <c r="X801" s="303"/>
      <c r="Y801" s="303"/>
      <c r="Z801" s="303"/>
    </row>
    <row r="802" spans="1:26" x14ac:dyDescent="0.2">
      <c r="A802" s="303"/>
      <c r="B802" s="303"/>
      <c r="C802" s="303"/>
      <c r="D802" s="303"/>
      <c r="E802" s="303"/>
      <c r="F802" s="303"/>
      <c r="G802" s="303"/>
      <c r="H802" s="303"/>
      <c r="I802" s="303"/>
      <c r="J802" s="303"/>
      <c r="K802" s="303"/>
      <c r="L802" s="303"/>
      <c r="M802" s="303"/>
      <c r="N802" s="303"/>
      <c r="O802" s="303"/>
      <c r="P802" s="303"/>
      <c r="Q802" s="303"/>
      <c r="R802" s="303"/>
      <c r="S802" s="303"/>
      <c r="T802" s="303"/>
      <c r="U802" s="303"/>
      <c r="V802" s="303"/>
      <c r="W802" s="303"/>
      <c r="X802" s="303"/>
      <c r="Y802" s="303"/>
      <c r="Z802" s="303"/>
    </row>
    <row r="803" spans="1:26" x14ac:dyDescent="0.2">
      <c r="A803" s="303"/>
      <c r="B803" s="303"/>
      <c r="C803" s="303"/>
      <c r="D803" s="303"/>
      <c r="E803" s="303"/>
      <c r="F803" s="303"/>
      <c r="G803" s="303"/>
      <c r="H803" s="303"/>
      <c r="I803" s="303"/>
      <c r="J803" s="303"/>
      <c r="K803" s="303"/>
      <c r="L803" s="303"/>
      <c r="M803" s="303"/>
      <c r="N803" s="303"/>
      <c r="O803" s="303"/>
      <c r="P803" s="303"/>
      <c r="Q803" s="303"/>
      <c r="R803" s="303"/>
      <c r="S803" s="303"/>
      <c r="T803" s="303"/>
      <c r="U803" s="303"/>
      <c r="V803" s="303"/>
      <c r="W803" s="303"/>
      <c r="X803" s="303"/>
      <c r="Y803" s="303"/>
      <c r="Z803" s="303"/>
    </row>
    <row r="804" spans="1:26" x14ac:dyDescent="0.2">
      <c r="A804" s="303"/>
      <c r="B804" s="303"/>
      <c r="C804" s="303"/>
      <c r="D804" s="303"/>
      <c r="E804" s="303"/>
      <c r="F804" s="303"/>
      <c r="G804" s="303"/>
      <c r="H804" s="303"/>
      <c r="I804" s="303"/>
      <c r="J804" s="303"/>
      <c r="K804" s="303"/>
      <c r="L804" s="303"/>
      <c r="M804" s="303"/>
      <c r="N804" s="303"/>
      <c r="O804" s="303"/>
      <c r="P804" s="303"/>
      <c r="Q804" s="303"/>
      <c r="R804" s="303"/>
      <c r="S804" s="303"/>
      <c r="T804" s="303"/>
      <c r="U804" s="303"/>
      <c r="V804" s="303"/>
      <c r="W804" s="303"/>
      <c r="X804" s="303"/>
      <c r="Y804" s="303"/>
      <c r="Z804" s="303"/>
    </row>
    <row r="805" spans="1:26" x14ac:dyDescent="0.2">
      <c r="A805" s="303"/>
      <c r="B805" s="303"/>
      <c r="C805" s="303"/>
      <c r="D805" s="303"/>
      <c r="E805" s="303"/>
      <c r="F805" s="303"/>
      <c r="G805" s="303"/>
      <c r="H805" s="303"/>
      <c r="I805" s="303"/>
      <c r="J805" s="303"/>
      <c r="K805" s="303"/>
      <c r="L805" s="303"/>
      <c r="M805" s="303"/>
      <c r="N805" s="303"/>
      <c r="O805" s="303"/>
      <c r="P805" s="303"/>
      <c r="Q805" s="303"/>
      <c r="R805" s="303"/>
      <c r="S805" s="303"/>
      <c r="T805" s="303"/>
      <c r="U805" s="303"/>
      <c r="V805" s="303"/>
      <c r="W805" s="303"/>
      <c r="X805" s="303"/>
      <c r="Y805" s="303"/>
      <c r="Z805" s="303"/>
    </row>
    <row r="806" spans="1:26" x14ac:dyDescent="0.2">
      <c r="A806" s="303"/>
      <c r="B806" s="303"/>
      <c r="C806" s="303"/>
      <c r="D806" s="303"/>
      <c r="E806" s="303"/>
      <c r="F806" s="303"/>
      <c r="G806" s="303"/>
      <c r="H806" s="303"/>
      <c r="I806" s="303"/>
      <c r="J806" s="303"/>
      <c r="K806" s="303"/>
      <c r="L806" s="303"/>
      <c r="M806" s="303"/>
      <c r="N806" s="303"/>
      <c r="O806" s="303"/>
      <c r="P806" s="303"/>
      <c r="Q806" s="303"/>
      <c r="R806" s="303"/>
      <c r="S806" s="303"/>
      <c r="T806" s="303"/>
      <c r="U806" s="303"/>
      <c r="V806" s="303"/>
      <c r="W806" s="303"/>
      <c r="X806" s="303"/>
      <c r="Y806" s="303"/>
      <c r="Z806" s="303"/>
    </row>
    <row r="807" spans="1:26" x14ac:dyDescent="0.2">
      <c r="A807" s="303"/>
      <c r="B807" s="303"/>
      <c r="C807" s="303"/>
      <c r="D807" s="303"/>
      <c r="E807" s="303"/>
      <c r="F807" s="303"/>
      <c r="G807" s="303"/>
      <c r="H807" s="303"/>
      <c r="I807" s="303"/>
      <c r="J807" s="303"/>
      <c r="K807" s="303"/>
      <c r="L807" s="303"/>
      <c r="M807" s="303"/>
      <c r="N807" s="303"/>
      <c r="O807" s="303"/>
      <c r="P807" s="303"/>
      <c r="Q807" s="303"/>
      <c r="R807" s="303"/>
      <c r="S807" s="303"/>
      <c r="T807" s="303"/>
      <c r="U807" s="303"/>
      <c r="V807" s="303"/>
      <c r="W807" s="303"/>
      <c r="X807" s="303"/>
      <c r="Y807" s="303"/>
      <c r="Z807" s="303"/>
    </row>
    <row r="808" spans="1:26" x14ac:dyDescent="0.2">
      <c r="A808" s="303"/>
      <c r="B808" s="303"/>
      <c r="C808" s="303"/>
      <c r="D808" s="303"/>
      <c r="E808" s="303"/>
      <c r="F808" s="303"/>
      <c r="G808" s="303"/>
      <c r="H808" s="303"/>
      <c r="I808" s="303"/>
      <c r="J808" s="303"/>
      <c r="K808" s="303"/>
      <c r="L808" s="303"/>
      <c r="M808" s="303"/>
      <c r="N808" s="303"/>
      <c r="O808" s="303"/>
      <c r="P808" s="303"/>
      <c r="Q808" s="303"/>
      <c r="R808" s="303"/>
      <c r="S808" s="303"/>
      <c r="T808" s="303"/>
      <c r="U808" s="303"/>
      <c r="V808" s="303"/>
      <c r="W808" s="303"/>
      <c r="X808" s="303"/>
      <c r="Y808" s="303"/>
      <c r="Z808" s="303"/>
    </row>
    <row r="809" spans="1:26" x14ac:dyDescent="0.2">
      <c r="A809" s="303"/>
      <c r="B809" s="303"/>
      <c r="C809" s="303"/>
      <c r="D809" s="303"/>
      <c r="E809" s="303"/>
      <c r="F809" s="303"/>
      <c r="G809" s="303"/>
      <c r="H809" s="303"/>
      <c r="I809" s="303"/>
      <c r="J809" s="303"/>
      <c r="K809" s="303"/>
      <c r="L809" s="303"/>
      <c r="M809" s="303"/>
      <c r="N809" s="303"/>
      <c r="O809" s="303"/>
      <c r="P809" s="303"/>
      <c r="Q809" s="303"/>
      <c r="R809" s="303"/>
      <c r="S809" s="303"/>
      <c r="T809" s="303"/>
      <c r="U809" s="303"/>
      <c r="V809" s="303"/>
      <c r="W809" s="303"/>
      <c r="X809" s="303"/>
      <c r="Y809" s="303"/>
      <c r="Z809" s="303"/>
    </row>
    <row r="810" spans="1:26" x14ac:dyDescent="0.2">
      <c r="A810" s="303"/>
      <c r="B810" s="303"/>
      <c r="C810" s="303"/>
      <c r="D810" s="303"/>
      <c r="E810" s="303"/>
      <c r="F810" s="303"/>
      <c r="G810" s="303"/>
      <c r="H810" s="303"/>
      <c r="I810" s="303"/>
      <c r="J810" s="303"/>
      <c r="K810" s="303"/>
      <c r="L810" s="303"/>
      <c r="M810" s="303"/>
      <c r="N810" s="303"/>
      <c r="O810" s="303"/>
      <c r="P810" s="303"/>
      <c r="Q810" s="303"/>
      <c r="R810" s="303"/>
      <c r="S810" s="303"/>
      <c r="T810" s="303"/>
      <c r="U810" s="303"/>
      <c r="V810" s="303"/>
      <c r="W810" s="303"/>
      <c r="X810" s="303"/>
      <c r="Y810" s="303"/>
      <c r="Z810" s="303"/>
    </row>
    <row r="811" spans="1:26" x14ac:dyDescent="0.2">
      <c r="A811" s="303"/>
      <c r="B811" s="303"/>
      <c r="C811" s="303"/>
      <c r="D811" s="303"/>
      <c r="E811" s="303"/>
      <c r="F811" s="303"/>
      <c r="G811" s="303"/>
      <c r="H811" s="303"/>
      <c r="I811" s="303"/>
      <c r="J811" s="303"/>
      <c r="K811" s="303"/>
      <c r="L811" s="303"/>
      <c r="M811" s="303"/>
      <c r="N811" s="303"/>
      <c r="O811" s="303"/>
      <c r="P811" s="303"/>
      <c r="Q811" s="303"/>
      <c r="R811" s="303"/>
      <c r="S811" s="303"/>
      <c r="T811" s="303"/>
      <c r="U811" s="303"/>
      <c r="V811" s="303"/>
      <c r="W811" s="303"/>
      <c r="X811" s="303"/>
      <c r="Y811" s="303"/>
      <c r="Z811" s="303"/>
    </row>
    <row r="812" spans="1:26" x14ac:dyDescent="0.2">
      <c r="A812" s="303"/>
      <c r="B812" s="303"/>
      <c r="C812" s="303"/>
      <c r="D812" s="303"/>
      <c r="E812" s="303"/>
      <c r="F812" s="303"/>
      <c r="G812" s="303"/>
      <c r="H812" s="303"/>
      <c r="I812" s="303"/>
      <c r="J812" s="303"/>
      <c r="K812" s="303"/>
      <c r="L812" s="303"/>
      <c r="M812" s="303"/>
      <c r="N812" s="303"/>
      <c r="O812" s="303"/>
      <c r="P812" s="303"/>
      <c r="Q812" s="303"/>
      <c r="R812" s="303"/>
      <c r="S812" s="303"/>
      <c r="T812" s="303"/>
      <c r="U812" s="303"/>
      <c r="V812" s="303"/>
      <c r="W812" s="303"/>
      <c r="X812" s="303"/>
      <c r="Y812" s="303"/>
      <c r="Z812" s="303"/>
    </row>
    <row r="813" spans="1:26" x14ac:dyDescent="0.2">
      <c r="A813" s="303"/>
      <c r="B813" s="303"/>
      <c r="C813" s="303"/>
      <c r="D813" s="303"/>
      <c r="E813" s="303"/>
      <c r="F813" s="303"/>
      <c r="G813" s="303"/>
      <c r="H813" s="303"/>
      <c r="I813" s="303"/>
      <c r="J813" s="303"/>
      <c r="K813" s="303"/>
      <c r="L813" s="303"/>
      <c r="M813" s="303"/>
      <c r="N813" s="303"/>
      <c r="O813" s="303"/>
      <c r="P813" s="303"/>
      <c r="Q813" s="303"/>
      <c r="R813" s="303"/>
      <c r="S813" s="303"/>
      <c r="T813" s="303"/>
      <c r="U813" s="303"/>
      <c r="V813" s="303"/>
      <c r="W813" s="303"/>
      <c r="X813" s="303"/>
      <c r="Y813" s="303"/>
      <c r="Z813" s="303"/>
    </row>
    <row r="814" spans="1:26" x14ac:dyDescent="0.2">
      <c r="A814" s="303"/>
      <c r="B814" s="303"/>
      <c r="C814" s="303"/>
      <c r="D814" s="303"/>
      <c r="E814" s="303"/>
      <c r="F814" s="303"/>
      <c r="G814" s="303"/>
      <c r="H814" s="303"/>
      <c r="I814" s="303"/>
      <c r="J814" s="303"/>
      <c r="K814" s="303"/>
      <c r="L814" s="303"/>
      <c r="M814" s="303"/>
      <c r="N814" s="303"/>
      <c r="O814" s="303"/>
      <c r="P814" s="303"/>
      <c r="Q814" s="303"/>
      <c r="R814" s="303"/>
      <c r="S814" s="303"/>
      <c r="T814" s="303"/>
      <c r="U814" s="303"/>
      <c r="V814" s="303"/>
      <c r="W814" s="303"/>
      <c r="X814" s="303"/>
      <c r="Y814" s="303"/>
      <c r="Z814" s="303"/>
    </row>
    <row r="815" spans="1:26" x14ac:dyDescent="0.2">
      <c r="A815" s="303"/>
      <c r="B815" s="303"/>
      <c r="C815" s="303"/>
      <c r="D815" s="303"/>
      <c r="E815" s="303"/>
      <c r="F815" s="303"/>
      <c r="G815" s="303"/>
      <c r="H815" s="303"/>
      <c r="I815" s="303"/>
      <c r="J815" s="303"/>
      <c r="K815" s="303"/>
      <c r="L815" s="303"/>
      <c r="M815" s="303"/>
      <c r="N815" s="303"/>
      <c r="O815" s="303"/>
      <c r="P815" s="303"/>
      <c r="Q815" s="303"/>
      <c r="R815" s="303"/>
      <c r="S815" s="303"/>
      <c r="T815" s="303"/>
      <c r="U815" s="303"/>
      <c r="V815" s="303"/>
      <c r="W815" s="303"/>
      <c r="X815" s="303"/>
      <c r="Y815" s="303"/>
      <c r="Z815" s="303"/>
    </row>
    <row r="816" spans="1:26" x14ac:dyDescent="0.2">
      <c r="A816" s="303"/>
      <c r="B816" s="303"/>
      <c r="C816" s="303"/>
      <c r="D816" s="303"/>
      <c r="E816" s="303"/>
      <c r="F816" s="303"/>
      <c r="G816" s="303"/>
      <c r="H816" s="303"/>
      <c r="I816" s="303"/>
      <c r="J816" s="303"/>
      <c r="K816" s="303"/>
      <c r="L816" s="303"/>
      <c r="M816" s="303"/>
      <c r="N816" s="303"/>
      <c r="O816" s="303"/>
      <c r="P816" s="303"/>
      <c r="Q816" s="303"/>
      <c r="R816" s="303"/>
      <c r="S816" s="303"/>
      <c r="T816" s="303"/>
      <c r="U816" s="303"/>
      <c r="V816" s="303"/>
      <c r="W816" s="303"/>
      <c r="X816" s="303"/>
      <c r="Y816" s="303"/>
      <c r="Z816" s="303"/>
    </row>
    <row r="817" spans="1:26" x14ac:dyDescent="0.2">
      <c r="A817" s="303"/>
      <c r="B817" s="303"/>
      <c r="C817" s="303"/>
      <c r="D817" s="303"/>
      <c r="E817" s="303"/>
      <c r="F817" s="303"/>
      <c r="G817" s="303"/>
      <c r="H817" s="303"/>
      <c r="I817" s="303"/>
      <c r="J817" s="303"/>
      <c r="K817" s="303"/>
      <c r="L817" s="303"/>
      <c r="M817" s="303"/>
      <c r="N817" s="303"/>
      <c r="O817" s="303"/>
      <c r="P817" s="303"/>
      <c r="Q817" s="303"/>
      <c r="R817" s="303"/>
      <c r="S817" s="303"/>
      <c r="T817" s="303"/>
      <c r="U817" s="303"/>
      <c r="V817" s="303"/>
      <c r="W817" s="303"/>
      <c r="X817" s="303"/>
      <c r="Y817" s="303"/>
      <c r="Z817" s="303"/>
    </row>
    <row r="818" spans="1:26" x14ac:dyDescent="0.2">
      <c r="A818" s="303"/>
      <c r="B818" s="303"/>
      <c r="C818" s="303"/>
      <c r="D818" s="303"/>
      <c r="E818" s="303"/>
      <c r="F818" s="303"/>
      <c r="G818" s="303"/>
      <c r="H818" s="303"/>
      <c r="I818" s="303"/>
      <c r="J818" s="303"/>
      <c r="K818" s="303"/>
      <c r="L818" s="303"/>
      <c r="M818" s="303"/>
      <c r="N818" s="303"/>
      <c r="O818" s="303"/>
      <c r="P818" s="303"/>
      <c r="Q818" s="303"/>
      <c r="R818" s="303"/>
      <c r="S818" s="303"/>
      <c r="T818" s="303"/>
      <c r="U818" s="303"/>
      <c r="V818" s="303"/>
      <c r="W818" s="303"/>
      <c r="X818" s="303"/>
      <c r="Y818" s="303"/>
      <c r="Z818" s="303"/>
    </row>
    <row r="819" spans="1:26" x14ac:dyDescent="0.2">
      <c r="A819" s="303"/>
      <c r="B819" s="303"/>
      <c r="C819" s="303"/>
      <c r="D819" s="303"/>
      <c r="E819" s="303"/>
      <c r="F819" s="303"/>
      <c r="G819" s="303"/>
      <c r="H819" s="303"/>
      <c r="I819" s="303"/>
      <c r="J819" s="303"/>
      <c r="K819" s="303"/>
      <c r="L819" s="303"/>
      <c r="M819" s="303"/>
      <c r="N819" s="303"/>
      <c r="O819" s="303"/>
      <c r="P819" s="303"/>
      <c r="Q819" s="303"/>
      <c r="R819" s="303"/>
      <c r="S819" s="303"/>
      <c r="T819" s="303"/>
      <c r="U819" s="303"/>
      <c r="V819" s="303"/>
      <c r="W819" s="303"/>
      <c r="X819" s="303"/>
      <c r="Y819" s="303"/>
      <c r="Z819" s="303"/>
    </row>
    <row r="820" spans="1:26" x14ac:dyDescent="0.2">
      <c r="A820" s="303"/>
      <c r="B820" s="303"/>
      <c r="C820" s="303"/>
      <c r="D820" s="303"/>
      <c r="E820" s="303"/>
      <c r="F820" s="303"/>
      <c r="G820" s="303"/>
      <c r="H820" s="303"/>
      <c r="I820" s="303"/>
      <c r="J820" s="303"/>
      <c r="K820" s="303"/>
      <c r="L820" s="303"/>
      <c r="M820" s="303"/>
      <c r="N820" s="303"/>
      <c r="O820" s="303"/>
      <c r="P820" s="303"/>
      <c r="Q820" s="303"/>
      <c r="R820" s="303"/>
      <c r="S820" s="303"/>
      <c r="T820" s="303"/>
      <c r="U820" s="303"/>
      <c r="V820" s="303"/>
      <c r="W820" s="303"/>
      <c r="X820" s="303"/>
      <c r="Y820" s="303"/>
      <c r="Z820" s="303"/>
    </row>
    <row r="821" spans="1:26" x14ac:dyDescent="0.2">
      <c r="A821" s="303"/>
      <c r="B821" s="303"/>
      <c r="C821" s="303"/>
      <c r="D821" s="303"/>
      <c r="E821" s="303"/>
      <c r="F821" s="303"/>
      <c r="G821" s="303"/>
      <c r="H821" s="303"/>
      <c r="I821" s="303"/>
      <c r="J821" s="303"/>
      <c r="K821" s="303"/>
      <c r="L821" s="303"/>
      <c r="M821" s="303"/>
      <c r="N821" s="303"/>
      <c r="O821" s="303"/>
      <c r="P821" s="303"/>
      <c r="Q821" s="303"/>
      <c r="R821" s="303"/>
      <c r="S821" s="303"/>
      <c r="T821" s="303"/>
      <c r="U821" s="303"/>
      <c r="V821" s="303"/>
      <c r="W821" s="303"/>
      <c r="X821" s="303"/>
      <c r="Y821" s="303"/>
      <c r="Z821" s="303"/>
    </row>
    <row r="822" spans="1:26" x14ac:dyDescent="0.2">
      <c r="A822" s="303"/>
      <c r="B822" s="303"/>
      <c r="C822" s="303"/>
      <c r="D822" s="303"/>
      <c r="E822" s="303"/>
      <c r="F822" s="303"/>
      <c r="G822" s="303"/>
      <c r="H822" s="303"/>
      <c r="I822" s="303"/>
      <c r="J822" s="303"/>
      <c r="K822" s="303"/>
      <c r="L822" s="303"/>
      <c r="M822" s="303"/>
      <c r="N822" s="303"/>
      <c r="O822" s="303"/>
      <c r="P822" s="303"/>
      <c r="Q822" s="303"/>
      <c r="R822" s="303"/>
      <c r="S822" s="303"/>
      <c r="T822" s="303"/>
      <c r="U822" s="303"/>
      <c r="V822" s="303"/>
      <c r="W822" s="303"/>
      <c r="X822" s="303"/>
      <c r="Y822" s="303"/>
      <c r="Z822" s="303"/>
    </row>
    <row r="823" spans="1:26" x14ac:dyDescent="0.2">
      <c r="A823" s="303"/>
      <c r="B823" s="303"/>
      <c r="C823" s="303"/>
      <c r="D823" s="303"/>
      <c r="E823" s="303"/>
      <c r="F823" s="303"/>
      <c r="G823" s="303"/>
      <c r="H823" s="303"/>
      <c r="I823" s="303"/>
      <c r="J823" s="303"/>
      <c r="K823" s="303"/>
      <c r="L823" s="303"/>
      <c r="M823" s="303"/>
      <c r="N823" s="303"/>
      <c r="O823" s="303"/>
      <c r="P823" s="303"/>
      <c r="Q823" s="303"/>
      <c r="R823" s="303"/>
      <c r="S823" s="303"/>
      <c r="T823" s="303"/>
      <c r="U823" s="303"/>
      <c r="V823" s="303"/>
      <c r="W823" s="303"/>
      <c r="X823" s="303"/>
      <c r="Y823" s="303"/>
      <c r="Z823" s="303"/>
    </row>
    <row r="824" spans="1:26" x14ac:dyDescent="0.2">
      <c r="A824" s="303"/>
      <c r="B824" s="303"/>
      <c r="C824" s="303"/>
      <c r="D824" s="303"/>
      <c r="E824" s="303"/>
      <c r="F824" s="303"/>
      <c r="G824" s="303"/>
      <c r="H824" s="303"/>
      <c r="I824" s="303"/>
      <c r="J824" s="303"/>
      <c r="K824" s="303"/>
      <c r="L824" s="303"/>
      <c r="M824" s="303"/>
      <c r="N824" s="303"/>
      <c r="O824" s="303"/>
      <c r="P824" s="303"/>
      <c r="Q824" s="303"/>
      <c r="R824" s="303"/>
      <c r="S824" s="303"/>
      <c r="T824" s="303"/>
      <c r="U824" s="303"/>
      <c r="V824" s="303"/>
      <c r="W824" s="303"/>
      <c r="X824" s="303"/>
      <c r="Y824" s="303"/>
      <c r="Z824" s="303"/>
    </row>
    <row r="825" spans="1:26" x14ac:dyDescent="0.2">
      <c r="A825" s="303"/>
      <c r="B825" s="303"/>
      <c r="C825" s="303"/>
      <c r="D825" s="303"/>
      <c r="E825" s="303"/>
      <c r="F825" s="303"/>
      <c r="G825" s="303"/>
      <c r="H825" s="303"/>
      <c r="I825" s="303"/>
      <c r="J825" s="303"/>
      <c r="K825" s="303"/>
      <c r="L825" s="303"/>
      <c r="M825" s="303"/>
      <c r="N825" s="303"/>
      <c r="O825" s="303"/>
      <c r="P825" s="303"/>
      <c r="Q825" s="303"/>
      <c r="R825" s="303"/>
      <c r="S825" s="303"/>
      <c r="T825" s="303"/>
      <c r="U825" s="303"/>
      <c r="V825" s="303"/>
      <c r="W825" s="303"/>
      <c r="X825" s="303"/>
      <c r="Y825" s="303"/>
      <c r="Z825" s="303"/>
    </row>
    <row r="826" spans="1:26" x14ac:dyDescent="0.2">
      <c r="A826" s="303"/>
      <c r="B826" s="303"/>
      <c r="C826" s="303"/>
      <c r="D826" s="303"/>
      <c r="E826" s="303"/>
      <c r="F826" s="303"/>
      <c r="G826" s="303"/>
      <c r="H826" s="303"/>
      <c r="I826" s="303"/>
      <c r="J826" s="303"/>
      <c r="K826" s="303"/>
      <c r="L826" s="303"/>
      <c r="M826" s="303"/>
      <c r="N826" s="303"/>
      <c r="O826" s="303"/>
      <c r="P826" s="303"/>
      <c r="Q826" s="303"/>
      <c r="R826" s="303"/>
      <c r="S826" s="303"/>
      <c r="T826" s="303"/>
      <c r="U826" s="303"/>
      <c r="V826" s="303"/>
      <c r="W826" s="303"/>
      <c r="X826" s="303"/>
      <c r="Y826" s="303"/>
      <c r="Z826" s="303"/>
    </row>
    <row r="827" spans="1:26" x14ac:dyDescent="0.2">
      <c r="A827" s="303"/>
      <c r="B827" s="303"/>
      <c r="C827" s="303"/>
      <c r="D827" s="303"/>
      <c r="E827" s="303"/>
      <c r="F827" s="303"/>
      <c r="G827" s="303"/>
      <c r="H827" s="303"/>
      <c r="I827" s="303"/>
      <c r="J827" s="303"/>
      <c r="K827" s="303"/>
      <c r="L827" s="303"/>
      <c r="M827" s="303"/>
      <c r="N827" s="303"/>
      <c r="O827" s="303"/>
      <c r="P827" s="303"/>
      <c r="Q827" s="303"/>
      <c r="R827" s="303"/>
      <c r="S827" s="303"/>
      <c r="T827" s="303"/>
      <c r="U827" s="303"/>
      <c r="V827" s="303"/>
      <c r="W827" s="303"/>
      <c r="X827" s="303"/>
      <c r="Y827" s="303"/>
      <c r="Z827" s="303"/>
    </row>
    <row r="828" spans="1:26" x14ac:dyDescent="0.2">
      <c r="A828" s="303"/>
      <c r="B828" s="303"/>
      <c r="C828" s="303"/>
      <c r="D828" s="303"/>
      <c r="E828" s="303"/>
      <c r="F828" s="303"/>
      <c r="G828" s="303"/>
      <c r="H828" s="303"/>
      <c r="I828" s="303"/>
      <c r="J828" s="303"/>
      <c r="K828" s="303"/>
      <c r="L828" s="303"/>
      <c r="M828" s="303"/>
      <c r="N828" s="303"/>
      <c r="O828" s="303"/>
      <c r="P828" s="303"/>
      <c r="Q828" s="303"/>
      <c r="R828" s="303"/>
      <c r="S828" s="303"/>
      <c r="T828" s="303"/>
      <c r="U828" s="303"/>
      <c r="V828" s="303"/>
      <c r="W828" s="303"/>
      <c r="X828" s="303"/>
      <c r="Y828" s="303"/>
      <c r="Z828" s="303"/>
    </row>
    <row r="829" spans="1:26" x14ac:dyDescent="0.2">
      <c r="A829" s="303"/>
      <c r="B829" s="303"/>
      <c r="C829" s="303"/>
      <c r="D829" s="303"/>
      <c r="E829" s="303"/>
      <c r="F829" s="303"/>
      <c r="G829" s="303"/>
      <c r="H829" s="303"/>
      <c r="I829" s="303"/>
      <c r="J829" s="303"/>
      <c r="K829" s="303"/>
      <c r="L829" s="303"/>
      <c r="M829" s="303"/>
      <c r="N829" s="303"/>
      <c r="O829" s="303"/>
      <c r="P829" s="303"/>
      <c r="Q829" s="303"/>
      <c r="R829" s="303"/>
      <c r="S829" s="303"/>
      <c r="T829" s="303"/>
      <c r="U829" s="303"/>
      <c r="V829" s="303"/>
      <c r="W829" s="303"/>
      <c r="X829" s="303"/>
      <c r="Y829" s="303"/>
      <c r="Z829" s="303"/>
    </row>
    <row r="830" spans="1:26" x14ac:dyDescent="0.2">
      <c r="A830" s="303"/>
      <c r="B830" s="303"/>
      <c r="C830" s="303"/>
      <c r="D830" s="303"/>
      <c r="E830" s="303"/>
      <c r="F830" s="303"/>
      <c r="G830" s="303"/>
      <c r="H830" s="303"/>
      <c r="I830" s="303"/>
      <c r="J830" s="303"/>
      <c r="K830" s="303"/>
      <c r="L830" s="303"/>
      <c r="M830" s="303"/>
      <c r="N830" s="303"/>
      <c r="O830" s="303"/>
      <c r="P830" s="303"/>
      <c r="Q830" s="303"/>
      <c r="R830" s="303"/>
      <c r="S830" s="303"/>
      <c r="T830" s="303"/>
      <c r="U830" s="303"/>
      <c r="V830" s="303"/>
      <c r="W830" s="303"/>
      <c r="X830" s="303"/>
      <c r="Y830" s="303"/>
      <c r="Z830" s="303"/>
    </row>
    <row r="831" spans="1:26" x14ac:dyDescent="0.2">
      <c r="A831" s="303"/>
      <c r="B831" s="303"/>
      <c r="C831" s="303"/>
      <c r="D831" s="303"/>
      <c r="E831" s="303"/>
      <c r="F831" s="303"/>
      <c r="G831" s="303"/>
      <c r="H831" s="303"/>
      <c r="I831" s="303"/>
      <c r="J831" s="303"/>
      <c r="K831" s="303"/>
      <c r="L831" s="303"/>
      <c r="M831" s="303"/>
      <c r="N831" s="303"/>
      <c r="O831" s="303"/>
      <c r="P831" s="303"/>
      <c r="Q831" s="303"/>
      <c r="R831" s="303"/>
      <c r="S831" s="303"/>
      <c r="T831" s="303"/>
      <c r="U831" s="303"/>
      <c r="V831" s="303"/>
      <c r="W831" s="303"/>
      <c r="X831" s="303"/>
      <c r="Y831" s="303"/>
      <c r="Z831" s="303"/>
    </row>
    <row r="832" spans="1:26" x14ac:dyDescent="0.2">
      <c r="A832" s="303"/>
      <c r="B832" s="303"/>
      <c r="C832" s="303"/>
      <c r="D832" s="303"/>
      <c r="E832" s="303"/>
      <c r="F832" s="303"/>
      <c r="G832" s="303"/>
      <c r="H832" s="303"/>
      <c r="I832" s="303"/>
      <c r="J832" s="303"/>
      <c r="K832" s="303"/>
      <c r="L832" s="303"/>
      <c r="M832" s="303"/>
      <c r="N832" s="303"/>
      <c r="O832" s="303"/>
      <c r="P832" s="303"/>
      <c r="Q832" s="303"/>
      <c r="R832" s="303"/>
      <c r="S832" s="303"/>
      <c r="T832" s="303"/>
      <c r="U832" s="303"/>
      <c r="V832" s="303"/>
      <c r="W832" s="303"/>
      <c r="X832" s="303"/>
      <c r="Y832" s="303"/>
      <c r="Z832" s="303"/>
    </row>
    <row r="833" spans="1:26" x14ac:dyDescent="0.2">
      <c r="A833" s="303"/>
      <c r="B833" s="303"/>
      <c r="C833" s="303"/>
      <c r="D833" s="303"/>
      <c r="E833" s="303"/>
      <c r="F833" s="303"/>
      <c r="G833" s="303"/>
      <c r="H833" s="303"/>
      <c r="I833" s="303"/>
      <c r="J833" s="303"/>
      <c r="K833" s="303"/>
      <c r="L833" s="303"/>
      <c r="M833" s="303"/>
      <c r="N833" s="303"/>
      <c r="O833" s="303"/>
      <c r="P833" s="303"/>
      <c r="Q833" s="303"/>
      <c r="R833" s="303"/>
      <c r="S833" s="303"/>
      <c r="T833" s="303"/>
      <c r="U833" s="303"/>
      <c r="V833" s="303"/>
      <c r="W833" s="303"/>
      <c r="X833" s="303"/>
      <c r="Y833" s="303"/>
      <c r="Z833" s="303"/>
    </row>
    <row r="834" spans="1:26" x14ac:dyDescent="0.2">
      <c r="A834" s="303"/>
      <c r="B834" s="303"/>
      <c r="C834" s="303"/>
      <c r="D834" s="303"/>
      <c r="E834" s="303"/>
      <c r="F834" s="303"/>
      <c r="G834" s="303"/>
      <c r="H834" s="303"/>
      <c r="I834" s="303"/>
      <c r="J834" s="303"/>
      <c r="K834" s="303"/>
      <c r="L834" s="303"/>
      <c r="M834" s="303"/>
      <c r="N834" s="303"/>
      <c r="O834" s="303"/>
      <c r="P834" s="303"/>
      <c r="Q834" s="303"/>
      <c r="R834" s="303"/>
      <c r="S834" s="303"/>
      <c r="T834" s="303"/>
      <c r="U834" s="303"/>
      <c r="V834" s="303"/>
      <c r="W834" s="303"/>
      <c r="X834" s="303"/>
      <c r="Y834" s="303"/>
      <c r="Z834" s="303"/>
    </row>
    <row r="835" spans="1:26" x14ac:dyDescent="0.2">
      <c r="A835" s="303"/>
      <c r="B835" s="303"/>
      <c r="C835" s="303"/>
      <c r="D835" s="303"/>
      <c r="E835" s="303"/>
      <c r="F835" s="303"/>
      <c r="G835" s="303"/>
      <c r="H835" s="303"/>
      <c r="I835" s="303"/>
      <c r="J835" s="303"/>
      <c r="K835" s="303"/>
      <c r="L835" s="303"/>
      <c r="M835" s="303"/>
      <c r="N835" s="303"/>
      <c r="O835" s="303"/>
      <c r="P835" s="303"/>
      <c r="Q835" s="303"/>
      <c r="R835" s="303"/>
      <c r="S835" s="303"/>
      <c r="T835" s="303"/>
      <c r="U835" s="303"/>
      <c r="V835" s="303"/>
      <c r="W835" s="303"/>
      <c r="X835" s="303"/>
      <c r="Y835" s="303"/>
      <c r="Z835" s="303"/>
    </row>
    <row r="836" spans="1:26" x14ac:dyDescent="0.2">
      <c r="A836" s="303"/>
      <c r="B836" s="303"/>
      <c r="C836" s="303"/>
      <c r="D836" s="303"/>
      <c r="E836" s="303"/>
      <c r="F836" s="303"/>
      <c r="G836" s="303"/>
      <c r="H836" s="303"/>
      <c r="I836" s="303"/>
      <c r="J836" s="303"/>
      <c r="K836" s="303"/>
      <c r="L836" s="303"/>
      <c r="M836" s="303"/>
      <c r="N836" s="303"/>
      <c r="O836" s="303"/>
      <c r="P836" s="303"/>
      <c r="Q836" s="303"/>
      <c r="R836" s="303"/>
      <c r="S836" s="303"/>
      <c r="T836" s="303"/>
      <c r="U836" s="303"/>
      <c r="V836" s="303"/>
      <c r="W836" s="303"/>
      <c r="X836" s="303"/>
      <c r="Y836" s="303"/>
      <c r="Z836" s="303"/>
    </row>
    <row r="837" spans="1:26" x14ac:dyDescent="0.2">
      <c r="A837" s="303"/>
      <c r="B837" s="303"/>
      <c r="C837" s="303"/>
      <c r="D837" s="303"/>
      <c r="E837" s="303"/>
      <c r="F837" s="303"/>
      <c r="G837" s="303"/>
      <c r="H837" s="303"/>
      <c r="I837" s="303"/>
      <c r="J837" s="303"/>
      <c r="K837" s="303"/>
      <c r="L837" s="303"/>
      <c r="M837" s="303"/>
      <c r="N837" s="303"/>
      <c r="O837" s="303"/>
      <c r="P837" s="303"/>
      <c r="Q837" s="303"/>
      <c r="R837" s="303"/>
      <c r="S837" s="303"/>
      <c r="T837" s="303"/>
      <c r="U837" s="303"/>
      <c r="V837" s="303"/>
      <c r="W837" s="303"/>
      <c r="X837" s="303"/>
      <c r="Y837" s="303"/>
      <c r="Z837" s="303"/>
    </row>
    <row r="838" spans="1:26" x14ac:dyDescent="0.2">
      <c r="A838" s="303"/>
      <c r="B838" s="303"/>
      <c r="C838" s="303"/>
      <c r="D838" s="303"/>
      <c r="E838" s="303"/>
      <c r="F838" s="303"/>
      <c r="G838" s="303"/>
      <c r="H838" s="303"/>
      <c r="I838" s="303"/>
      <c r="J838" s="303"/>
      <c r="K838" s="303"/>
      <c r="L838" s="303"/>
      <c r="M838" s="303"/>
      <c r="N838" s="303"/>
      <c r="O838" s="303"/>
      <c r="P838" s="303"/>
      <c r="Q838" s="303"/>
      <c r="R838" s="303"/>
      <c r="S838" s="303"/>
      <c r="T838" s="303"/>
      <c r="U838" s="303"/>
      <c r="V838" s="303"/>
      <c r="W838" s="303"/>
      <c r="X838" s="303"/>
      <c r="Y838" s="303"/>
      <c r="Z838" s="303"/>
    </row>
    <row r="839" spans="1:26" x14ac:dyDescent="0.2">
      <c r="A839" s="303"/>
      <c r="B839" s="303"/>
      <c r="C839" s="303"/>
      <c r="D839" s="303"/>
      <c r="E839" s="303"/>
      <c r="F839" s="303"/>
      <c r="G839" s="303"/>
      <c r="H839" s="303"/>
      <c r="I839" s="303"/>
      <c r="J839" s="303"/>
      <c r="K839" s="303"/>
      <c r="L839" s="303"/>
      <c r="M839" s="303"/>
      <c r="N839" s="303"/>
      <c r="O839" s="303"/>
      <c r="P839" s="303"/>
      <c r="Q839" s="303"/>
      <c r="R839" s="303"/>
      <c r="S839" s="303"/>
      <c r="T839" s="303"/>
      <c r="U839" s="303"/>
      <c r="V839" s="303"/>
      <c r="W839" s="303"/>
      <c r="X839" s="303"/>
      <c r="Y839" s="303"/>
      <c r="Z839" s="303"/>
    </row>
    <row r="840" spans="1:26" x14ac:dyDescent="0.2">
      <c r="A840" s="303"/>
      <c r="B840" s="303"/>
      <c r="C840" s="303"/>
      <c r="D840" s="303"/>
      <c r="E840" s="303"/>
      <c r="F840" s="303"/>
      <c r="G840" s="303"/>
      <c r="H840" s="303"/>
      <c r="I840" s="303"/>
      <c r="J840" s="303"/>
      <c r="K840" s="303"/>
      <c r="L840" s="303"/>
      <c r="M840" s="303"/>
      <c r="N840" s="303"/>
      <c r="O840" s="303"/>
      <c r="P840" s="303"/>
      <c r="Q840" s="303"/>
      <c r="R840" s="303"/>
      <c r="S840" s="303"/>
      <c r="T840" s="303"/>
      <c r="U840" s="303"/>
      <c r="V840" s="303"/>
      <c r="W840" s="303"/>
      <c r="X840" s="303"/>
      <c r="Y840" s="303"/>
      <c r="Z840" s="303"/>
    </row>
    <row r="841" spans="1:26" x14ac:dyDescent="0.2">
      <c r="A841" s="303"/>
      <c r="B841" s="303"/>
      <c r="C841" s="303"/>
      <c r="D841" s="303"/>
      <c r="E841" s="303"/>
      <c r="F841" s="303"/>
      <c r="G841" s="303"/>
      <c r="H841" s="303"/>
      <c r="I841" s="303"/>
      <c r="J841" s="303"/>
      <c r="K841" s="303"/>
      <c r="L841" s="303"/>
      <c r="M841" s="303"/>
      <c r="N841" s="303"/>
      <c r="O841" s="303"/>
      <c r="P841" s="303"/>
      <c r="Q841" s="303"/>
      <c r="R841" s="303"/>
      <c r="S841" s="303"/>
      <c r="T841" s="303"/>
      <c r="U841" s="303"/>
      <c r="V841" s="303"/>
      <c r="W841" s="303"/>
      <c r="X841" s="303"/>
      <c r="Y841" s="303"/>
      <c r="Z841" s="303"/>
    </row>
    <row r="842" spans="1:26" x14ac:dyDescent="0.2">
      <c r="A842" s="303"/>
      <c r="B842" s="303"/>
      <c r="C842" s="303"/>
      <c r="D842" s="303"/>
      <c r="E842" s="303"/>
      <c r="F842" s="303"/>
      <c r="G842" s="303"/>
      <c r="H842" s="303"/>
      <c r="I842" s="303"/>
      <c r="J842" s="303"/>
      <c r="K842" s="303"/>
      <c r="L842" s="303"/>
      <c r="M842" s="303"/>
      <c r="N842" s="303"/>
      <c r="O842" s="303"/>
      <c r="P842" s="303"/>
      <c r="Q842" s="303"/>
      <c r="R842" s="303"/>
      <c r="S842" s="303"/>
      <c r="T842" s="303"/>
      <c r="U842" s="303"/>
      <c r="V842" s="303"/>
      <c r="W842" s="303"/>
      <c r="X842" s="303"/>
      <c r="Y842" s="303"/>
      <c r="Z842" s="303"/>
    </row>
    <row r="843" spans="1:26" x14ac:dyDescent="0.2">
      <c r="A843" s="303"/>
      <c r="B843" s="303"/>
      <c r="C843" s="303"/>
      <c r="D843" s="303"/>
      <c r="E843" s="303"/>
      <c r="F843" s="303"/>
      <c r="G843" s="303"/>
      <c r="H843" s="303"/>
      <c r="I843" s="303"/>
      <c r="J843" s="303"/>
      <c r="K843" s="303"/>
      <c r="L843" s="303"/>
      <c r="M843" s="303"/>
      <c r="N843" s="303"/>
      <c r="O843" s="303"/>
      <c r="P843" s="303"/>
      <c r="Q843" s="303"/>
      <c r="R843" s="303"/>
      <c r="S843" s="303"/>
      <c r="T843" s="303"/>
      <c r="U843" s="303"/>
      <c r="V843" s="303"/>
      <c r="W843" s="303"/>
      <c r="X843" s="303"/>
      <c r="Y843" s="303"/>
      <c r="Z843" s="303"/>
    </row>
    <row r="844" spans="1:26" x14ac:dyDescent="0.2">
      <c r="A844" s="303"/>
      <c r="B844" s="303"/>
      <c r="C844" s="303"/>
      <c r="D844" s="303"/>
      <c r="E844" s="303"/>
      <c r="F844" s="303"/>
      <c r="G844" s="303"/>
      <c r="H844" s="303"/>
      <c r="I844" s="303"/>
      <c r="J844" s="303"/>
      <c r="K844" s="303"/>
      <c r="L844" s="303"/>
      <c r="M844" s="303"/>
      <c r="N844" s="303"/>
      <c r="O844" s="303"/>
      <c r="P844" s="303"/>
      <c r="Q844" s="303"/>
      <c r="R844" s="303"/>
      <c r="S844" s="303"/>
      <c r="T844" s="303"/>
      <c r="U844" s="303"/>
      <c r="V844" s="303"/>
      <c r="W844" s="303"/>
      <c r="X844" s="303"/>
      <c r="Y844" s="303"/>
      <c r="Z844" s="303"/>
    </row>
    <row r="845" spans="1:26" x14ac:dyDescent="0.2">
      <c r="A845" s="303"/>
      <c r="B845" s="303"/>
      <c r="C845" s="303"/>
      <c r="D845" s="303"/>
      <c r="E845" s="303"/>
      <c r="F845" s="303"/>
      <c r="G845" s="303"/>
      <c r="H845" s="303"/>
      <c r="I845" s="303"/>
      <c r="J845" s="303"/>
      <c r="K845" s="303"/>
      <c r="L845" s="303"/>
      <c r="M845" s="303"/>
      <c r="N845" s="303"/>
      <c r="O845" s="303"/>
      <c r="P845" s="303"/>
      <c r="Q845" s="303"/>
      <c r="R845" s="303"/>
      <c r="S845" s="303"/>
      <c r="T845" s="303"/>
      <c r="U845" s="303"/>
      <c r="V845" s="303"/>
      <c r="W845" s="303"/>
      <c r="X845" s="303"/>
      <c r="Y845" s="303"/>
      <c r="Z845" s="303"/>
    </row>
    <row r="846" spans="1:26" x14ac:dyDescent="0.2">
      <c r="A846" s="303"/>
      <c r="B846" s="303"/>
      <c r="C846" s="303"/>
      <c r="D846" s="303"/>
      <c r="E846" s="303"/>
      <c r="F846" s="303"/>
      <c r="G846" s="303"/>
      <c r="H846" s="303"/>
      <c r="I846" s="303"/>
      <c r="J846" s="303"/>
      <c r="K846" s="303"/>
      <c r="L846" s="303"/>
      <c r="M846" s="303"/>
      <c r="N846" s="303"/>
      <c r="O846" s="303"/>
      <c r="P846" s="303"/>
      <c r="Q846" s="303"/>
      <c r="R846" s="303"/>
      <c r="S846" s="303"/>
      <c r="T846" s="303"/>
      <c r="U846" s="303"/>
      <c r="V846" s="303"/>
      <c r="W846" s="303"/>
      <c r="X846" s="303"/>
      <c r="Y846" s="303"/>
      <c r="Z846" s="303"/>
    </row>
    <row r="847" spans="1:26" x14ac:dyDescent="0.2">
      <c r="A847" s="303"/>
      <c r="B847" s="303"/>
      <c r="C847" s="303"/>
      <c r="D847" s="303"/>
      <c r="E847" s="303"/>
      <c r="F847" s="303"/>
      <c r="G847" s="303"/>
      <c r="H847" s="303"/>
      <c r="I847" s="303"/>
      <c r="J847" s="303"/>
      <c r="K847" s="303"/>
      <c r="L847" s="303"/>
      <c r="M847" s="303"/>
      <c r="N847" s="303"/>
      <c r="O847" s="303"/>
      <c r="P847" s="303"/>
      <c r="Q847" s="303"/>
      <c r="R847" s="303"/>
      <c r="S847" s="303"/>
      <c r="T847" s="303"/>
      <c r="U847" s="303"/>
      <c r="V847" s="303"/>
      <c r="W847" s="303"/>
      <c r="X847" s="303"/>
      <c r="Y847" s="303"/>
      <c r="Z847" s="303"/>
    </row>
    <row r="848" spans="1:26" x14ac:dyDescent="0.2">
      <c r="A848" s="303"/>
      <c r="B848" s="303"/>
      <c r="C848" s="303"/>
      <c r="D848" s="303"/>
      <c r="E848" s="303"/>
      <c r="F848" s="303"/>
      <c r="G848" s="303"/>
      <c r="H848" s="303"/>
      <c r="I848" s="303"/>
      <c r="J848" s="303"/>
      <c r="K848" s="303"/>
      <c r="L848" s="303"/>
      <c r="M848" s="303"/>
      <c r="N848" s="303"/>
      <c r="O848" s="303"/>
      <c r="P848" s="303"/>
      <c r="Q848" s="303"/>
      <c r="R848" s="303"/>
      <c r="S848" s="303"/>
      <c r="T848" s="303"/>
      <c r="U848" s="303"/>
      <c r="V848" s="303"/>
      <c r="W848" s="303"/>
      <c r="X848" s="303"/>
      <c r="Y848" s="303"/>
      <c r="Z848" s="303"/>
    </row>
    <row r="849" spans="1:26" x14ac:dyDescent="0.2">
      <c r="A849" s="303"/>
      <c r="B849" s="303"/>
      <c r="C849" s="303"/>
      <c r="D849" s="303"/>
      <c r="E849" s="303"/>
      <c r="F849" s="303"/>
      <c r="G849" s="303"/>
      <c r="H849" s="303"/>
      <c r="I849" s="303"/>
      <c r="J849" s="303"/>
      <c r="K849" s="303"/>
      <c r="L849" s="303"/>
      <c r="M849" s="303"/>
      <c r="N849" s="303"/>
      <c r="O849" s="303"/>
      <c r="P849" s="303"/>
      <c r="Q849" s="303"/>
      <c r="R849" s="303"/>
      <c r="S849" s="303"/>
      <c r="T849" s="303"/>
      <c r="U849" s="303"/>
      <c r="V849" s="303"/>
      <c r="W849" s="303"/>
      <c r="X849" s="303"/>
      <c r="Y849" s="303"/>
      <c r="Z849" s="303"/>
    </row>
    <row r="850" spans="1:26" x14ac:dyDescent="0.2">
      <c r="A850" s="303"/>
      <c r="B850" s="303"/>
      <c r="C850" s="303"/>
      <c r="D850" s="303"/>
      <c r="E850" s="303"/>
      <c r="F850" s="303"/>
      <c r="G850" s="303"/>
      <c r="H850" s="303"/>
      <c r="I850" s="303"/>
      <c r="J850" s="303"/>
      <c r="K850" s="303"/>
      <c r="L850" s="303"/>
      <c r="M850" s="303"/>
      <c r="N850" s="303"/>
      <c r="O850" s="303"/>
      <c r="P850" s="303"/>
      <c r="Q850" s="303"/>
      <c r="R850" s="303"/>
      <c r="S850" s="303"/>
      <c r="T850" s="303"/>
      <c r="U850" s="303"/>
      <c r="V850" s="303"/>
      <c r="W850" s="303"/>
      <c r="X850" s="303"/>
      <c r="Y850" s="303"/>
      <c r="Z850" s="303"/>
    </row>
    <row r="851" spans="1:26" x14ac:dyDescent="0.2">
      <c r="A851" s="303"/>
      <c r="B851" s="303"/>
      <c r="C851" s="303"/>
      <c r="D851" s="303"/>
      <c r="E851" s="303"/>
      <c r="F851" s="303"/>
      <c r="G851" s="303"/>
      <c r="H851" s="303"/>
      <c r="I851" s="303"/>
      <c r="J851" s="303"/>
      <c r="K851" s="303"/>
      <c r="L851" s="303"/>
      <c r="M851" s="303"/>
      <c r="N851" s="303"/>
      <c r="O851" s="303"/>
      <c r="P851" s="303"/>
      <c r="Q851" s="303"/>
      <c r="R851" s="303"/>
      <c r="S851" s="303"/>
      <c r="T851" s="303"/>
      <c r="U851" s="303"/>
      <c r="V851" s="303"/>
      <c r="W851" s="303"/>
      <c r="X851" s="303"/>
      <c r="Y851" s="303"/>
      <c r="Z851" s="303"/>
    </row>
    <row r="852" spans="1:26" x14ac:dyDescent="0.2">
      <c r="A852" s="303"/>
      <c r="B852" s="303"/>
      <c r="C852" s="303"/>
      <c r="D852" s="303"/>
      <c r="E852" s="303"/>
      <c r="F852" s="303"/>
      <c r="G852" s="303"/>
      <c r="H852" s="303"/>
      <c r="I852" s="303"/>
      <c r="J852" s="303"/>
      <c r="K852" s="303"/>
      <c r="L852" s="303"/>
      <c r="M852" s="303"/>
      <c r="N852" s="303"/>
      <c r="O852" s="303"/>
      <c r="P852" s="303"/>
      <c r="Q852" s="303"/>
      <c r="R852" s="303"/>
      <c r="S852" s="303"/>
      <c r="T852" s="303"/>
      <c r="U852" s="303"/>
      <c r="V852" s="303"/>
      <c r="W852" s="303"/>
      <c r="X852" s="303"/>
      <c r="Y852" s="303"/>
      <c r="Z852" s="303"/>
    </row>
    <row r="853" spans="1:26" x14ac:dyDescent="0.2">
      <c r="A853" s="303"/>
      <c r="B853" s="303"/>
      <c r="C853" s="303"/>
      <c r="D853" s="303"/>
      <c r="E853" s="303"/>
      <c r="F853" s="303"/>
      <c r="G853" s="303"/>
      <c r="H853" s="303"/>
      <c r="I853" s="303"/>
      <c r="J853" s="303"/>
      <c r="K853" s="303"/>
      <c r="L853" s="303"/>
      <c r="M853" s="303"/>
      <c r="N853" s="303"/>
      <c r="O853" s="303"/>
      <c r="P853" s="303"/>
      <c r="Q853" s="303"/>
      <c r="R853" s="303"/>
      <c r="S853" s="303"/>
      <c r="T853" s="303"/>
      <c r="U853" s="303"/>
      <c r="V853" s="303"/>
      <c r="W853" s="303"/>
      <c r="X853" s="303"/>
      <c r="Y853" s="303"/>
      <c r="Z853" s="303"/>
    </row>
    <row r="854" spans="1:26" x14ac:dyDescent="0.2">
      <c r="A854" s="303"/>
      <c r="B854" s="303"/>
      <c r="C854" s="303"/>
      <c r="D854" s="303"/>
      <c r="E854" s="303"/>
      <c r="F854" s="303"/>
      <c r="G854" s="303"/>
      <c r="H854" s="303"/>
      <c r="I854" s="303"/>
      <c r="J854" s="303"/>
      <c r="K854" s="303"/>
      <c r="L854" s="303"/>
      <c r="M854" s="303"/>
      <c r="N854" s="303"/>
      <c r="O854" s="303"/>
      <c r="P854" s="303"/>
      <c r="Q854" s="303"/>
      <c r="R854" s="303"/>
      <c r="S854" s="303"/>
      <c r="T854" s="303"/>
      <c r="U854" s="303"/>
      <c r="V854" s="303"/>
      <c r="W854" s="303"/>
      <c r="X854" s="303"/>
      <c r="Y854" s="303"/>
      <c r="Z854" s="303"/>
    </row>
    <row r="855" spans="1:26" x14ac:dyDescent="0.2">
      <c r="A855" s="303"/>
      <c r="B855" s="303"/>
      <c r="C855" s="303"/>
      <c r="D855" s="303"/>
      <c r="E855" s="303"/>
      <c r="F855" s="303"/>
      <c r="G855" s="303"/>
      <c r="H855" s="303"/>
      <c r="I855" s="303"/>
      <c r="J855" s="303"/>
      <c r="K855" s="303"/>
      <c r="L855" s="303"/>
      <c r="M855" s="303"/>
      <c r="N855" s="303"/>
      <c r="O855" s="303"/>
      <c r="P855" s="303"/>
      <c r="Q855" s="303"/>
      <c r="R855" s="303"/>
      <c r="S855" s="303"/>
      <c r="T855" s="303"/>
      <c r="U855" s="303"/>
      <c r="V855" s="303"/>
      <c r="W855" s="303"/>
      <c r="X855" s="303"/>
      <c r="Y855" s="303"/>
      <c r="Z855" s="303"/>
    </row>
    <row r="856" spans="1:26" x14ac:dyDescent="0.2">
      <c r="A856" s="303"/>
      <c r="B856" s="303"/>
      <c r="C856" s="303"/>
      <c r="D856" s="303"/>
      <c r="E856" s="303"/>
      <c r="F856" s="303"/>
      <c r="G856" s="303"/>
      <c r="H856" s="303"/>
      <c r="I856" s="303"/>
      <c r="J856" s="303"/>
      <c r="K856" s="303"/>
      <c r="L856" s="303"/>
      <c r="M856" s="303"/>
      <c r="N856" s="303"/>
      <c r="O856" s="303"/>
      <c r="P856" s="303"/>
      <c r="Q856" s="303"/>
      <c r="R856" s="303"/>
      <c r="S856" s="303"/>
      <c r="T856" s="303"/>
      <c r="U856" s="303"/>
      <c r="V856" s="303"/>
      <c r="W856" s="303"/>
      <c r="X856" s="303"/>
      <c r="Y856" s="303"/>
      <c r="Z856" s="303"/>
    </row>
    <row r="857" spans="1:26" x14ac:dyDescent="0.2">
      <c r="A857" s="303"/>
      <c r="B857" s="303"/>
      <c r="C857" s="303"/>
      <c r="D857" s="303"/>
      <c r="E857" s="303"/>
      <c r="F857" s="303"/>
      <c r="G857" s="303"/>
      <c r="H857" s="303"/>
      <c r="I857" s="303"/>
      <c r="J857" s="303"/>
      <c r="K857" s="303"/>
      <c r="L857" s="303"/>
      <c r="M857" s="303"/>
      <c r="N857" s="303"/>
      <c r="O857" s="303"/>
      <c r="P857" s="303"/>
      <c r="Q857" s="303"/>
      <c r="R857" s="303"/>
      <c r="S857" s="303"/>
      <c r="T857" s="303"/>
      <c r="U857" s="303"/>
      <c r="V857" s="303"/>
      <c r="W857" s="303"/>
      <c r="X857" s="303"/>
      <c r="Y857" s="303"/>
      <c r="Z857" s="303"/>
    </row>
    <row r="858" spans="1:26" x14ac:dyDescent="0.2">
      <c r="A858" s="303"/>
      <c r="B858" s="303"/>
      <c r="C858" s="303"/>
      <c r="D858" s="303"/>
      <c r="E858" s="303"/>
      <c r="F858" s="303"/>
      <c r="G858" s="303"/>
      <c r="H858" s="303"/>
      <c r="I858" s="303"/>
      <c r="J858" s="303"/>
      <c r="K858" s="303"/>
      <c r="L858" s="303"/>
      <c r="M858" s="303"/>
      <c r="N858" s="303"/>
      <c r="O858" s="303"/>
      <c r="P858" s="303"/>
      <c r="Q858" s="303"/>
      <c r="R858" s="303"/>
      <c r="S858" s="303"/>
      <c r="T858" s="303"/>
      <c r="U858" s="303"/>
      <c r="V858" s="303"/>
      <c r="W858" s="303"/>
      <c r="X858" s="303"/>
      <c r="Y858" s="303"/>
      <c r="Z858" s="303"/>
    </row>
    <row r="859" spans="1:26" x14ac:dyDescent="0.2">
      <c r="A859" s="303"/>
      <c r="B859" s="303"/>
      <c r="C859" s="303"/>
      <c r="D859" s="303"/>
      <c r="E859" s="303"/>
      <c r="F859" s="303"/>
      <c r="G859" s="303"/>
      <c r="H859" s="303"/>
      <c r="I859" s="303"/>
      <c r="J859" s="303"/>
      <c r="K859" s="303"/>
      <c r="L859" s="303"/>
      <c r="M859" s="303"/>
      <c r="N859" s="303"/>
      <c r="O859" s="303"/>
      <c r="P859" s="303"/>
      <c r="Q859" s="303"/>
      <c r="R859" s="303"/>
      <c r="S859" s="303"/>
      <c r="T859" s="303"/>
      <c r="U859" s="303"/>
      <c r="V859" s="303"/>
      <c r="W859" s="303"/>
      <c r="X859" s="303"/>
      <c r="Y859" s="303"/>
      <c r="Z859" s="303"/>
    </row>
    <row r="860" spans="1:26" x14ac:dyDescent="0.2">
      <c r="A860" s="303"/>
      <c r="B860" s="303"/>
      <c r="C860" s="303"/>
      <c r="D860" s="303"/>
      <c r="E860" s="303"/>
      <c r="F860" s="303"/>
      <c r="G860" s="303"/>
      <c r="H860" s="303"/>
      <c r="I860" s="303"/>
      <c r="J860" s="303"/>
      <c r="K860" s="303"/>
      <c r="L860" s="303"/>
      <c r="M860" s="303"/>
      <c r="N860" s="303"/>
      <c r="O860" s="303"/>
      <c r="P860" s="303"/>
      <c r="Q860" s="303"/>
      <c r="R860" s="303"/>
      <c r="S860" s="303"/>
      <c r="T860" s="303"/>
      <c r="U860" s="303"/>
      <c r="V860" s="303"/>
      <c r="W860" s="303"/>
      <c r="X860" s="303"/>
      <c r="Y860" s="303"/>
      <c r="Z860" s="303"/>
    </row>
    <row r="861" spans="1:26" x14ac:dyDescent="0.2">
      <c r="A861" s="303"/>
      <c r="B861" s="303"/>
      <c r="C861" s="303"/>
      <c r="D861" s="303"/>
      <c r="E861" s="303"/>
      <c r="F861" s="303"/>
      <c r="G861" s="303"/>
      <c r="H861" s="303"/>
      <c r="I861" s="303"/>
      <c r="J861" s="303"/>
      <c r="K861" s="303"/>
      <c r="L861" s="303"/>
      <c r="M861" s="303"/>
      <c r="N861" s="303"/>
      <c r="O861" s="303"/>
      <c r="P861" s="303"/>
      <c r="Q861" s="303"/>
      <c r="R861" s="303"/>
      <c r="S861" s="303"/>
      <c r="T861" s="303"/>
      <c r="U861" s="303"/>
      <c r="V861" s="303"/>
      <c r="W861" s="303"/>
      <c r="X861" s="303"/>
      <c r="Y861" s="303"/>
      <c r="Z861" s="303"/>
    </row>
    <row r="862" spans="1:26" x14ac:dyDescent="0.2">
      <c r="A862" s="303"/>
      <c r="B862" s="303"/>
      <c r="C862" s="303"/>
      <c r="D862" s="303"/>
      <c r="E862" s="303"/>
      <c r="F862" s="303"/>
      <c r="G862" s="303"/>
      <c r="H862" s="303"/>
      <c r="I862" s="303"/>
      <c r="J862" s="303"/>
      <c r="K862" s="303"/>
      <c r="L862" s="303"/>
      <c r="M862" s="303"/>
      <c r="N862" s="303"/>
      <c r="O862" s="303"/>
      <c r="P862" s="303"/>
      <c r="Q862" s="303"/>
      <c r="R862" s="303"/>
      <c r="S862" s="303"/>
      <c r="T862" s="303"/>
      <c r="U862" s="303"/>
      <c r="V862" s="303"/>
      <c r="W862" s="303"/>
      <c r="X862" s="303"/>
      <c r="Y862" s="303"/>
      <c r="Z862" s="303"/>
    </row>
    <row r="863" spans="1:26" x14ac:dyDescent="0.2">
      <c r="A863" s="303"/>
      <c r="B863" s="303"/>
      <c r="C863" s="303"/>
      <c r="D863" s="303"/>
      <c r="E863" s="303"/>
      <c r="F863" s="303"/>
      <c r="G863" s="303"/>
      <c r="H863" s="303"/>
      <c r="I863" s="303"/>
      <c r="J863" s="303"/>
      <c r="K863" s="303"/>
      <c r="L863" s="303"/>
      <c r="M863" s="303"/>
      <c r="N863" s="303"/>
      <c r="O863" s="303"/>
      <c r="P863" s="303"/>
      <c r="Q863" s="303"/>
      <c r="R863" s="303"/>
      <c r="S863" s="303"/>
      <c r="T863" s="303"/>
      <c r="U863" s="303"/>
      <c r="V863" s="303"/>
      <c r="W863" s="303"/>
      <c r="X863" s="303"/>
      <c r="Y863" s="303"/>
      <c r="Z863" s="303"/>
    </row>
    <row r="864" spans="1:26" x14ac:dyDescent="0.2">
      <c r="A864" s="303"/>
      <c r="B864" s="303"/>
      <c r="C864" s="303"/>
      <c r="D864" s="303"/>
      <c r="E864" s="303"/>
      <c r="F864" s="303"/>
      <c r="G864" s="303"/>
      <c r="H864" s="303"/>
      <c r="I864" s="303"/>
      <c r="J864" s="303"/>
      <c r="K864" s="303"/>
      <c r="L864" s="303"/>
      <c r="M864" s="303"/>
      <c r="N864" s="303"/>
      <c r="O864" s="303"/>
      <c r="P864" s="303"/>
      <c r="Q864" s="303"/>
      <c r="R864" s="303"/>
      <c r="S864" s="303"/>
      <c r="T864" s="303"/>
      <c r="U864" s="303"/>
      <c r="V864" s="303"/>
      <c r="W864" s="303"/>
      <c r="X864" s="303"/>
      <c r="Y864" s="303"/>
      <c r="Z864" s="303"/>
    </row>
    <row r="865" spans="1:26" x14ac:dyDescent="0.2">
      <c r="A865" s="303"/>
      <c r="B865" s="303"/>
      <c r="C865" s="303"/>
      <c r="D865" s="303"/>
      <c r="E865" s="303"/>
      <c r="F865" s="303"/>
      <c r="G865" s="303"/>
      <c r="H865" s="303"/>
      <c r="I865" s="303"/>
      <c r="J865" s="303"/>
      <c r="K865" s="303"/>
      <c r="L865" s="303"/>
      <c r="M865" s="303"/>
      <c r="N865" s="303"/>
      <c r="O865" s="303"/>
      <c r="P865" s="303"/>
      <c r="Q865" s="303"/>
      <c r="R865" s="303"/>
      <c r="S865" s="303"/>
      <c r="T865" s="303"/>
      <c r="U865" s="303"/>
      <c r="V865" s="303"/>
      <c r="W865" s="303"/>
      <c r="X865" s="303"/>
      <c r="Y865" s="303"/>
      <c r="Z865" s="303"/>
    </row>
    <row r="866" spans="1:26" x14ac:dyDescent="0.2">
      <c r="A866" s="303"/>
      <c r="B866" s="303"/>
      <c r="C866" s="303"/>
      <c r="D866" s="303"/>
      <c r="E866" s="303"/>
      <c r="F866" s="303"/>
      <c r="G866" s="303"/>
      <c r="H866" s="303"/>
      <c r="I866" s="303"/>
      <c r="J866" s="303"/>
      <c r="K866" s="303"/>
      <c r="L866" s="303"/>
      <c r="M866" s="303"/>
      <c r="N866" s="303"/>
      <c r="O866" s="303"/>
      <c r="P866" s="303"/>
      <c r="Q866" s="303"/>
      <c r="R866" s="303"/>
      <c r="S866" s="303"/>
      <c r="T866" s="303"/>
      <c r="U866" s="303"/>
      <c r="V866" s="303"/>
      <c r="W866" s="303"/>
      <c r="X866" s="303"/>
      <c r="Y866" s="303"/>
      <c r="Z866" s="303"/>
    </row>
    <row r="867" spans="1:26" x14ac:dyDescent="0.2">
      <c r="A867" s="303"/>
      <c r="B867" s="303"/>
      <c r="C867" s="303"/>
      <c r="D867" s="303"/>
      <c r="E867" s="303"/>
      <c r="F867" s="303"/>
      <c r="G867" s="303"/>
      <c r="H867" s="303"/>
      <c r="I867" s="303"/>
      <c r="J867" s="303"/>
      <c r="K867" s="303"/>
      <c r="L867" s="303"/>
      <c r="M867" s="303"/>
      <c r="N867" s="303"/>
      <c r="O867" s="303"/>
      <c r="P867" s="303"/>
      <c r="Q867" s="303"/>
      <c r="R867" s="303"/>
      <c r="S867" s="303"/>
      <c r="T867" s="303"/>
      <c r="U867" s="303"/>
      <c r="V867" s="303"/>
      <c r="W867" s="303"/>
      <c r="X867" s="303"/>
      <c r="Y867" s="303"/>
      <c r="Z867" s="303"/>
    </row>
    <row r="868" spans="1:26" x14ac:dyDescent="0.2">
      <c r="A868" s="303"/>
      <c r="B868" s="303"/>
      <c r="C868" s="303"/>
      <c r="D868" s="303"/>
      <c r="E868" s="303"/>
      <c r="F868" s="303"/>
      <c r="G868" s="303"/>
      <c r="H868" s="303"/>
      <c r="I868" s="303"/>
      <c r="J868" s="303"/>
      <c r="K868" s="303"/>
      <c r="L868" s="303"/>
      <c r="M868" s="303"/>
      <c r="N868" s="303"/>
      <c r="O868" s="303"/>
      <c r="P868" s="303"/>
      <c r="Q868" s="303"/>
      <c r="R868" s="303"/>
      <c r="S868" s="303"/>
      <c r="T868" s="303"/>
      <c r="U868" s="303"/>
      <c r="V868" s="303"/>
      <c r="W868" s="303"/>
      <c r="X868" s="303"/>
      <c r="Y868" s="303"/>
      <c r="Z868" s="303"/>
    </row>
    <row r="869" spans="1:26" x14ac:dyDescent="0.2">
      <c r="A869" s="303"/>
      <c r="B869" s="303"/>
      <c r="C869" s="303"/>
      <c r="D869" s="303"/>
      <c r="E869" s="303"/>
      <c r="F869" s="303"/>
      <c r="G869" s="303"/>
      <c r="H869" s="303"/>
      <c r="I869" s="303"/>
      <c r="J869" s="303"/>
      <c r="K869" s="303"/>
      <c r="L869" s="303"/>
      <c r="M869" s="303"/>
      <c r="N869" s="303"/>
      <c r="O869" s="303"/>
      <c r="P869" s="303"/>
      <c r="Q869" s="303"/>
      <c r="R869" s="303"/>
      <c r="S869" s="303"/>
      <c r="T869" s="303"/>
      <c r="U869" s="303"/>
      <c r="V869" s="303"/>
      <c r="W869" s="303"/>
      <c r="X869" s="303"/>
      <c r="Y869" s="303"/>
      <c r="Z869" s="303"/>
    </row>
    <row r="870" spans="1:26" x14ac:dyDescent="0.2">
      <c r="A870" s="303"/>
      <c r="B870" s="303"/>
      <c r="C870" s="303"/>
      <c r="D870" s="303"/>
      <c r="E870" s="303"/>
      <c r="F870" s="303"/>
      <c r="G870" s="303"/>
      <c r="H870" s="303"/>
      <c r="I870" s="303"/>
      <c r="J870" s="303"/>
      <c r="K870" s="303"/>
      <c r="L870" s="303"/>
      <c r="M870" s="303"/>
      <c r="N870" s="303"/>
      <c r="O870" s="303"/>
      <c r="P870" s="303"/>
      <c r="Q870" s="303"/>
      <c r="R870" s="303"/>
      <c r="S870" s="303"/>
      <c r="T870" s="303"/>
      <c r="U870" s="303"/>
      <c r="V870" s="303"/>
      <c r="W870" s="303"/>
      <c r="X870" s="303"/>
      <c r="Y870" s="303"/>
      <c r="Z870" s="303"/>
    </row>
    <row r="871" spans="1:26" x14ac:dyDescent="0.2">
      <c r="A871" s="303"/>
      <c r="B871" s="303"/>
      <c r="C871" s="303"/>
      <c r="D871" s="303"/>
      <c r="E871" s="303"/>
      <c r="F871" s="303"/>
      <c r="G871" s="303"/>
      <c r="H871" s="303"/>
      <c r="I871" s="303"/>
      <c r="J871" s="303"/>
      <c r="K871" s="303"/>
      <c r="L871" s="303"/>
      <c r="M871" s="303"/>
      <c r="N871" s="303"/>
      <c r="O871" s="303"/>
      <c r="P871" s="303"/>
      <c r="Q871" s="303"/>
      <c r="R871" s="303"/>
      <c r="S871" s="303"/>
      <c r="T871" s="303"/>
      <c r="U871" s="303"/>
      <c r="V871" s="303"/>
      <c r="W871" s="303"/>
      <c r="X871" s="303"/>
      <c r="Y871" s="303"/>
      <c r="Z871" s="303"/>
    </row>
    <row r="872" spans="1:26" x14ac:dyDescent="0.2">
      <c r="A872" s="303"/>
      <c r="B872" s="303"/>
      <c r="C872" s="303"/>
      <c r="D872" s="303"/>
      <c r="E872" s="303"/>
      <c r="F872" s="303"/>
      <c r="G872" s="303"/>
      <c r="H872" s="303"/>
      <c r="I872" s="303"/>
      <c r="J872" s="303"/>
      <c r="K872" s="303"/>
      <c r="L872" s="303"/>
      <c r="M872" s="303"/>
      <c r="N872" s="303"/>
      <c r="O872" s="303"/>
      <c r="P872" s="303"/>
      <c r="Q872" s="303"/>
      <c r="R872" s="303"/>
      <c r="S872" s="303"/>
      <c r="T872" s="303"/>
      <c r="U872" s="303"/>
      <c r="V872" s="303"/>
      <c r="W872" s="303"/>
      <c r="X872" s="303"/>
      <c r="Y872" s="303"/>
      <c r="Z872" s="303"/>
    </row>
    <row r="873" spans="1:26" x14ac:dyDescent="0.2">
      <c r="A873" s="303"/>
      <c r="B873" s="303"/>
      <c r="C873" s="303"/>
      <c r="D873" s="303"/>
      <c r="E873" s="303"/>
      <c r="F873" s="303"/>
      <c r="G873" s="303"/>
      <c r="H873" s="303"/>
      <c r="I873" s="303"/>
      <c r="J873" s="303"/>
      <c r="K873" s="303"/>
      <c r="L873" s="303"/>
      <c r="M873" s="303"/>
      <c r="N873" s="303"/>
      <c r="O873" s="303"/>
      <c r="P873" s="303"/>
      <c r="Q873" s="303"/>
      <c r="R873" s="303"/>
      <c r="S873" s="303"/>
      <c r="T873" s="303"/>
      <c r="U873" s="303"/>
      <c r="V873" s="303"/>
      <c r="W873" s="303"/>
      <c r="X873" s="303"/>
      <c r="Y873" s="303"/>
      <c r="Z873" s="303"/>
    </row>
    <row r="874" spans="1:26" x14ac:dyDescent="0.2">
      <c r="A874" s="303"/>
      <c r="B874" s="303"/>
      <c r="C874" s="303"/>
      <c r="D874" s="303"/>
      <c r="E874" s="303"/>
      <c r="F874" s="303"/>
      <c r="G874" s="303"/>
      <c r="H874" s="303"/>
      <c r="I874" s="303"/>
      <c r="J874" s="303"/>
      <c r="K874" s="303"/>
      <c r="L874" s="303"/>
      <c r="M874" s="303"/>
      <c r="N874" s="303"/>
      <c r="O874" s="303"/>
      <c r="P874" s="303"/>
      <c r="Q874" s="303"/>
      <c r="R874" s="303"/>
      <c r="S874" s="303"/>
      <c r="T874" s="303"/>
      <c r="U874" s="303"/>
      <c r="V874" s="303"/>
      <c r="W874" s="303"/>
      <c r="X874" s="303"/>
      <c r="Y874" s="303"/>
      <c r="Z874" s="303"/>
    </row>
    <row r="875" spans="1:26" x14ac:dyDescent="0.2">
      <c r="A875" s="303"/>
      <c r="B875" s="303"/>
      <c r="C875" s="303"/>
      <c r="D875" s="303"/>
      <c r="E875" s="303"/>
      <c r="F875" s="303"/>
      <c r="G875" s="303"/>
      <c r="H875" s="303"/>
      <c r="I875" s="303"/>
      <c r="J875" s="303"/>
      <c r="K875" s="303"/>
      <c r="L875" s="303"/>
      <c r="M875" s="303"/>
      <c r="N875" s="303"/>
      <c r="O875" s="303"/>
      <c r="P875" s="303"/>
      <c r="Q875" s="303"/>
      <c r="R875" s="303"/>
      <c r="S875" s="303"/>
      <c r="T875" s="303"/>
      <c r="U875" s="303"/>
      <c r="V875" s="303"/>
      <c r="W875" s="303"/>
      <c r="X875" s="303"/>
      <c r="Y875" s="303"/>
      <c r="Z875" s="303"/>
    </row>
    <row r="876" spans="1:26" x14ac:dyDescent="0.2">
      <c r="A876" s="303"/>
      <c r="B876" s="303"/>
      <c r="C876" s="303"/>
      <c r="D876" s="303"/>
      <c r="E876" s="303"/>
      <c r="F876" s="303"/>
      <c r="G876" s="303"/>
      <c r="H876" s="303"/>
      <c r="I876" s="303"/>
      <c r="J876" s="303"/>
      <c r="K876" s="303"/>
      <c r="L876" s="303"/>
      <c r="M876" s="303"/>
      <c r="N876" s="303"/>
      <c r="O876" s="303"/>
      <c r="P876" s="303"/>
      <c r="Q876" s="303"/>
      <c r="R876" s="303"/>
      <c r="S876" s="303"/>
      <c r="T876" s="303"/>
      <c r="U876" s="303"/>
      <c r="V876" s="303"/>
      <c r="W876" s="303"/>
      <c r="X876" s="303"/>
      <c r="Y876" s="303"/>
      <c r="Z876" s="303"/>
    </row>
    <row r="877" spans="1:26" x14ac:dyDescent="0.2">
      <c r="A877" s="303"/>
      <c r="B877" s="303"/>
      <c r="C877" s="303"/>
      <c r="D877" s="303"/>
      <c r="E877" s="303"/>
      <c r="F877" s="303"/>
      <c r="G877" s="303"/>
      <c r="H877" s="303"/>
      <c r="I877" s="303"/>
      <c r="J877" s="303"/>
      <c r="K877" s="303"/>
      <c r="L877" s="303"/>
      <c r="M877" s="303"/>
      <c r="N877" s="303"/>
      <c r="O877" s="303"/>
      <c r="P877" s="303"/>
      <c r="Q877" s="303"/>
      <c r="R877" s="303"/>
      <c r="S877" s="303"/>
      <c r="T877" s="303"/>
      <c r="U877" s="303"/>
      <c r="V877" s="303"/>
      <c r="W877" s="303"/>
      <c r="X877" s="303"/>
      <c r="Y877" s="303"/>
      <c r="Z877" s="303"/>
    </row>
    <row r="878" spans="1:26" x14ac:dyDescent="0.2">
      <c r="A878" s="303"/>
      <c r="B878" s="303"/>
      <c r="C878" s="303"/>
      <c r="D878" s="303"/>
      <c r="E878" s="303"/>
      <c r="F878" s="303"/>
      <c r="G878" s="303"/>
      <c r="H878" s="303"/>
      <c r="I878" s="303"/>
      <c r="J878" s="303"/>
      <c r="K878" s="303"/>
      <c r="L878" s="303"/>
      <c r="M878" s="303"/>
      <c r="N878" s="303"/>
      <c r="O878" s="303"/>
      <c r="P878" s="303"/>
      <c r="Q878" s="303"/>
      <c r="R878" s="303"/>
      <c r="S878" s="303"/>
      <c r="T878" s="303"/>
      <c r="U878" s="303"/>
      <c r="V878" s="303"/>
      <c r="W878" s="303"/>
      <c r="X878" s="303"/>
      <c r="Y878" s="303"/>
      <c r="Z878" s="303"/>
    </row>
    <row r="879" spans="1:26" x14ac:dyDescent="0.2">
      <c r="A879" s="303"/>
      <c r="B879" s="303"/>
      <c r="C879" s="303"/>
      <c r="D879" s="303"/>
      <c r="E879" s="303"/>
      <c r="F879" s="303"/>
      <c r="G879" s="303"/>
      <c r="H879" s="303"/>
      <c r="I879" s="303"/>
      <c r="J879" s="303"/>
      <c r="K879" s="303"/>
      <c r="L879" s="303"/>
      <c r="M879" s="303"/>
      <c r="N879" s="303"/>
      <c r="O879" s="303"/>
      <c r="P879" s="303"/>
      <c r="Q879" s="303"/>
      <c r="R879" s="303"/>
      <c r="S879" s="303"/>
      <c r="T879" s="303"/>
      <c r="U879" s="303"/>
      <c r="V879" s="303"/>
      <c r="W879" s="303"/>
      <c r="X879" s="303"/>
      <c r="Y879" s="303"/>
      <c r="Z879" s="303"/>
    </row>
    <row r="880" spans="1:26" x14ac:dyDescent="0.2">
      <c r="A880" s="303"/>
      <c r="B880" s="303"/>
      <c r="C880" s="303"/>
      <c r="D880" s="303"/>
      <c r="E880" s="303"/>
      <c r="F880" s="303"/>
      <c r="G880" s="303"/>
      <c r="H880" s="303"/>
      <c r="I880" s="303"/>
      <c r="J880" s="303"/>
      <c r="K880" s="303"/>
      <c r="L880" s="303"/>
      <c r="M880" s="303"/>
      <c r="N880" s="303"/>
      <c r="O880" s="303"/>
      <c r="P880" s="303"/>
      <c r="Q880" s="303"/>
      <c r="R880" s="303"/>
      <c r="S880" s="303"/>
      <c r="T880" s="303"/>
      <c r="U880" s="303"/>
      <c r="V880" s="303"/>
      <c r="W880" s="303"/>
      <c r="X880" s="303"/>
      <c r="Y880" s="303"/>
      <c r="Z880" s="303"/>
    </row>
    <row r="881" spans="1:26" x14ac:dyDescent="0.2">
      <c r="A881" s="303"/>
      <c r="B881" s="303"/>
      <c r="C881" s="303"/>
      <c r="D881" s="303"/>
      <c r="E881" s="303"/>
      <c r="F881" s="303"/>
      <c r="G881" s="303"/>
      <c r="H881" s="303"/>
      <c r="I881" s="303"/>
      <c r="J881" s="303"/>
      <c r="K881" s="303"/>
      <c r="L881" s="303"/>
      <c r="M881" s="303"/>
      <c r="N881" s="303"/>
      <c r="O881" s="303"/>
      <c r="P881" s="303"/>
      <c r="Q881" s="303"/>
      <c r="R881" s="303"/>
      <c r="S881" s="303"/>
      <c r="T881" s="303"/>
      <c r="U881" s="303"/>
      <c r="V881" s="303"/>
      <c r="W881" s="303"/>
      <c r="X881" s="303"/>
      <c r="Y881" s="303"/>
      <c r="Z881" s="303"/>
    </row>
    <row r="882" spans="1:26" x14ac:dyDescent="0.2">
      <c r="A882" s="303"/>
      <c r="B882" s="303"/>
      <c r="C882" s="303"/>
      <c r="D882" s="303"/>
      <c r="E882" s="303"/>
      <c r="F882" s="303"/>
      <c r="G882" s="303"/>
      <c r="H882" s="303"/>
      <c r="I882" s="303"/>
      <c r="J882" s="303"/>
      <c r="K882" s="303"/>
      <c r="L882" s="303"/>
      <c r="M882" s="303"/>
      <c r="N882" s="303"/>
      <c r="O882" s="303"/>
      <c r="P882" s="303"/>
      <c r="Q882" s="303"/>
      <c r="R882" s="303"/>
      <c r="S882" s="303"/>
      <c r="T882" s="303"/>
      <c r="U882" s="303"/>
      <c r="V882" s="303"/>
      <c r="W882" s="303"/>
      <c r="X882" s="303"/>
      <c r="Y882" s="303"/>
      <c r="Z882" s="303"/>
    </row>
    <row r="883" spans="1:26" x14ac:dyDescent="0.2">
      <c r="A883" s="303"/>
      <c r="B883" s="303"/>
      <c r="C883" s="303"/>
      <c r="D883" s="303"/>
      <c r="E883" s="303"/>
      <c r="F883" s="303"/>
      <c r="G883" s="303"/>
      <c r="H883" s="303"/>
      <c r="I883" s="303"/>
      <c r="J883" s="303"/>
      <c r="K883" s="303"/>
      <c r="L883" s="303"/>
      <c r="M883" s="303"/>
      <c r="N883" s="303"/>
      <c r="O883" s="303"/>
      <c r="P883" s="303"/>
      <c r="Q883" s="303"/>
      <c r="R883" s="303"/>
      <c r="S883" s="303"/>
      <c r="T883" s="303"/>
      <c r="U883" s="303"/>
      <c r="V883" s="303"/>
      <c r="W883" s="303"/>
      <c r="X883" s="303"/>
      <c r="Y883" s="303"/>
      <c r="Z883" s="303"/>
    </row>
    <row r="884" spans="1:26" x14ac:dyDescent="0.2">
      <c r="A884" s="303"/>
      <c r="B884" s="303"/>
      <c r="C884" s="303"/>
      <c r="D884" s="303"/>
      <c r="E884" s="303"/>
      <c r="F884" s="303"/>
      <c r="G884" s="303"/>
      <c r="H884" s="303"/>
      <c r="I884" s="303"/>
      <c r="J884" s="303"/>
      <c r="K884" s="303"/>
      <c r="L884" s="303"/>
      <c r="M884" s="303"/>
      <c r="N884" s="303"/>
      <c r="O884" s="303"/>
      <c r="P884" s="303"/>
      <c r="Q884" s="303"/>
      <c r="R884" s="303"/>
      <c r="S884" s="303"/>
      <c r="T884" s="303"/>
      <c r="U884" s="303"/>
      <c r="V884" s="303"/>
      <c r="W884" s="303"/>
      <c r="X884" s="303"/>
      <c r="Y884" s="303"/>
      <c r="Z884" s="303"/>
    </row>
    <row r="885" spans="1:26" x14ac:dyDescent="0.2">
      <c r="A885" s="303"/>
      <c r="B885" s="303"/>
      <c r="C885" s="303"/>
      <c r="D885" s="303"/>
      <c r="E885" s="303"/>
      <c r="F885" s="303"/>
      <c r="G885" s="303"/>
      <c r="H885" s="303"/>
      <c r="I885" s="303"/>
      <c r="J885" s="303"/>
      <c r="K885" s="303"/>
      <c r="L885" s="303"/>
      <c r="M885" s="303"/>
      <c r="N885" s="303"/>
      <c r="O885" s="303"/>
      <c r="P885" s="303"/>
      <c r="Q885" s="303"/>
      <c r="R885" s="303"/>
      <c r="S885" s="303"/>
      <c r="T885" s="303"/>
      <c r="U885" s="303"/>
      <c r="V885" s="303"/>
      <c r="W885" s="303"/>
      <c r="X885" s="303"/>
      <c r="Y885" s="303"/>
      <c r="Z885" s="303"/>
    </row>
    <row r="886" spans="1:26" x14ac:dyDescent="0.2">
      <c r="A886" s="303"/>
      <c r="B886" s="303"/>
      <c r="C886" s="303"/>
      <c r="D886" s="303"/>
      <c r="E886" s="303"/>
      <c r="F886" s="303"/>
      <c r="G886" s="303"/>
      <c r="H886" s="303"/>
      <c r="I886" s="303"/>
      <c r="J886" s="303"/>
      <c r="K886" s="303"/>
      <c r="L886" s="303"/>
      <c r="M886" s="303"/>
      <c r="N886" s="303"/>
      <c r="O886" s="303"/>
      <c r="P886" s="303"/>
      <c r="Q886" s="303"/>
      <c r="R886" s="303"/>
      <c r="S886" s="303"/>
      <c r="T886" s="303"/>
      <c r="U886" s="303"/>
      <c r="V886" s="303"/>
      <c r="W886" s="303"/>
      <c r="X886" s="303"/>
      <c r="Y886" s="303"/>
      <c r="Z886" s="303"/>
    </row>
    <row r="887" spans="1:26" x14ac:dyDescent="0.2">
      <c r="A887" s="303"/>
      <c r="B887" s="303"/>
      <c r="C887" s="303"/>
      <c r="D887" s="303"/>
      <c r="E887" s="303"/>
      <c r="F887" s="303"/>
      <c r="G887" s="303"/>
      <c r="H887" s="303"/>
      <c r="I887" s="303"/>
      <c r="J887" s="303"/>
      <c r="K887" s="303"/>
      <c r="L887" s="303"/>
      <c r="M887" s="303"/>
      <c r="N887" s="303"/>
      <c r="O887" s="303"/>
      <c r="P887" s="303"/>
      <c r="Q887" s="303"/>
      <c r="R887" s="303"/>
      <c r="S887" s="303"/>
      <c r="T887" s="303"/>
      <c r="U887" s="303"/>
      <c r="V887" s="303"/>
      <c r="W887" s="303"/>
      <c r="X887" s="303"/>
      <c r="Y887" s="303"/>
      <c r="Z887" s="303"/>
    </row>
    <row r="888" spans="1:26" x14ac:dyDescent="0.2">
      <c r="A888" s="303"/>
      <c r="B888" s="303"/>
      <c r="C888" s="303"/>
      <c r="D888" s="303"/>
      <c r="E888" s="303"/>
      <c r="F888" s="303"/>
      <c r="G888" s="303"/>
      <c r="H888" s="303"/>
      <c r="I888" s="303"/>
      <c r="J888" s="303"/>
      <c r="K888" s="303"/>
      <c r="L888" s="303"/>
      <c r="M888" s="303"/>
      <c r="N888" s="303"/>
      <c r="O888" s="303"/>
      <c r="P888" s="303"/>
      <c r="Q888" s="303"/>
      <c r="R888" s="303"/>
      <c r="S888" s="303"/>
      <c r="T888" s="303"/>
      <c r="U888" s="303"/>
      <c r="V888" s="303"/>
      <c r="W888" s="303"/>
      <c r="X888" s="303"/>
      <c r="Y888" s="303"/>
      <c r="Z888" s="303"/>
    </row>
    <row r="889" spans="1:26" x14ac:dyDescent="0.2">
      <c r="A889" s="303"/>
      <c r="B889" s="303"/>
      <c r="C889" s="303"/>
      <c r="D889" s="303"/>
      <c r="E889" s="303"/>
      <c r="F889" s="303"/>
      <c r="G889" s="303"/>
      <c r="H889" s="303"/>
      <c r="I889" s="303"/>
      <c r="J889" s="303"/>
      <c r="K889" s="303"/>
      <c r="L889" s="303"/>
      <c r="M889" s="303"/>
      <c r="N889" s="303"/>
      <c r="O889" s="303"/>
      <c r="P889" s="303"/>
      <c r="Q889" s="303"/>
      <c r="R889" s="303"/>
      <c r="S889" s="303"/>
      <c r="T889" s="303"/>
      <c r="U889" s="303"/>
      <c r="V889" s="303"/>
      <c r="W889" s="303"/>
      <c r="X889" s="303"/>
      <c r="Y889" s="303"/>
      <c r="Z889" s="303"/>
    </row>
    <row r="890" spans="1:26" x14ac:dyDescent="0.2">
      <c r="A890" s="303"/>
      <c r="B890" s="303"/>
      <c r="C890" s="303"/>
      <c r="D890" s="303"/>
      <c r="E890" s="303"/>
      <c r="F890" s="303"/>
      <c r="G890" s="303"/>
      <c r="H890" s="303"/>
      <c r="I890" s="303"/>
      <c r="J890" s="303"/>
      <c r="K890" s="303"/>
      <c r="L890" s="303"/>
      <c r="M890" s="303"/>
      <c r="N890" s="303"/>
      <c r="O890" s="303"/>
      <c r="P890" s="303"/>
      <c r="Q890" s="303"/>
      <c r="R890" s="303"/>
      <c r="S890" s="303"/>
      <c r="T890" s="303"/>
      <c r="U890" s="303"/>
      <c r="V890" s="303"/>
      <c r="W890" s="303"/>
      <c r="X890" s="303"/>
      <c r="Y890" s="303"/>
      <c r="Z890" s="303"/>
    </row>
    <row r="891" spans="1:26" x14ac:dyDescent="0.2">
      <c r="A891" s="303"/>
      <c r="B891" s="303"/>
      <c r="C891" s="303"/>
      <c r="D891" s="303"/>
      <c r="E891" s="303"/>
      <c r="F891" s="303"/>
      <c r="G891" s="303"/>
      <c r="H891" s="303"/>
      <c r="I891" s="303"/>
      <c r="J891" s="303"/>
      <c r="K891" s="303"/>
      <c r="L891" s="303"/>
      <c r="M891" s="303"/>
      <c r="N891" s="303"/>
      <c r="O891" s="303"/>
      <c r="P891" s="303"/>
      <c r="Q891" s="303"/>
      <c r="R891" s="303"/>
      <c r="S891" s="303"/>
      <c r="T891" s="303"/>
      <c r="U891" s="303"/>
      <c r="V891" s="303"/>
      <c r="W891" s="303"/>
      <c r="X891" s="303"/>
      <c r="Y891" s="303"/>
      <c r="Z891" s="303"/>
    </row>
    <row r="892" spans="1:26" x14ac:dyDescent="0.2">
      <c r="A892" s="303"/>
      <c r="B892" s="303"/>
      <c r="C892" s="303"/>
      <c r="D892" s="303"/>
      <c r="E892" s="303"/>
      <c r="F892" s="303"/>
      <c r="G892" s="303"/>
      <c r="H892" s="303"/>
      <c r="I892" s="303"/>
      <c r="J892" s="303"/>
      <c r="K892" s="303"/>
      <c r="L892" s="303"/>
      <c r="M892" s="303"/>
      <c r="N892" s="303"/>
      <c r="O892" s="303"/>
      <c r="P892" s="303"/>
      <c r="Q892" s="303"/>
      <c r="R892" s="303"/>
      <c r="S892" s="303"/>
      <c r="T892" s="303"/>
      <c r="U892" s="303"/>
      <c r="V892" s="303"/>
      <c r="W892" s="303"/>
      <c r="X892" s="303"/>
      <c r="Y892" s="303"/>
      <c r="Z892" s="303"/>
    </row>
    <row r="893" spans="1:26" x14ac:dyDescent="0.2">
      <c r="A893" s="303"/>
      <c r="B893" s="303"/>
      <c r="C893" s="303"/>
      <c r="D893" s="303"/>
      <c r="E893" s="303"/>
      <c r="F893" s="303"/>
      <c r="G893" s="303"/>
      <c r="H893" s="303"/>
      <c r="I893" s="303"/>
      <c r="J893" s="303"/>
      <c r="K893" s="303"/>
      <c r="L893" s="303"/>
      <c r="M893" s="303"/>
      <c r="N893" s="303"/>
      <c r="O893" s="303"/>
      <c r="P893" s="303"/>
      <c r="Q893" s="303"/>
      <c r="R893" s="303"/>
      <c r="S893" s="303"/>
      <c r="T893" s="303"/>
      <c r="U893" s="303"/>
      <c r="V893" s="303"/>
      <c r="W893" s="303"/>
      <c r="X893" s="303"/>
      <c r="Y893" s="303"/>
      <c r="Z893" s="303"/>
    </row>
    <row r="894" spans="1:26" x14ac:dyDescent="0.2">
      <c r="A894" s="303"/>
      <c r="B894" s="303"/>
      <c r="C894" s="303"/>
      <c r="D894" s="303"/>
      <c r="E894" s="303"/>
      <c r="F894" s="303"/>
      <c r="G894" s="303"/>
      <c r="H894" s="303"/>
      <c r="I894" s="303"/>
      <c r="J894" s="303"/>
      <c r="K894" s="303"/>
      <c r="L894" s="303"/>
      <c r="M894" s="303"/>
      <c r="N894" s="303"/>
      <c r="O894" s="303"/>
      <c r="P894" s="303"/>
      <c r="Q894" s="303"/>
      <c r="R894" s="303"/>
      <c r="S894" s="303"/>
      <c r="T894" s="303"/>
      <c r="U894" s="303"/>
      <c r="V894" s="303"/>
      <c r="W894" s="303"/>
      <c r="X894" s="303"/>
      <c r="Y894" s="303"/>
      <c r="Z894" s="303"/>
    </row>
    <row r="895" spans="1:26" x14ac:dyDescent="0.2">
      <c r="A895" s="303"/>
      <c r="B895" s="303"/>
      <c r="C895" s="303"/>
      <c r="D895" s="303"/>
      <c r="E895" s="303"/>
      <c r="F895" s="303"/>
      <c r="G895" s="303"/>
      <c r="H895" s="303"/>
      <c r="I895" s="303"/>
      <c r="J895" s="303"/>
      <c r="K895" s="303"/>
      <c r="L895" s="303"/>
      <c r="M895" s="303"/>
      <c r="N895" s="303"/>
      <c r="O895" s="303"/>
      <c r="P895" s="303"/>
      <c r="Q895" s="303"/>
      <c r="R895" s="303"/>
      <c r="S895" s="303"/>
      <c r="T895" s="303"/>
      <c r="U895" s="303"/>
      <c r="V895" s="303"/>
      <c r="W895" s="303"/>
      <c r="X895" s="303"/>
      <c r="Y895" s="303"/>
      <c r="Z895" s="303"/>
    </row>
    <row r="896" spans="1:26" x14ac:dyDescent="0.2">
      <c r="A896" s="303"/>
      <c r="B896" s="303"/>
      <c r="C896" s="303"/>
      <c r="D896" s="303"/>
      <c r="E896" s="303"/>
      <c r="F896" s="303"/>
      <c r="G896" s="303"/>
      <c r="H896" s="303"/>
      <c r="I896" s="303"/>
      <c r="J896" s="303"/>
      <c r="K896" s="303"/>
      <c r="L896" s="303"/>
      <c r="M896" s="303"/>
      <c r="N896" s="303"/>
      <c r="O896" s="303"/>
      <c r="P896" s="303"/>
      <c r="Q896" s="303"/>
      <c r="R896" s="303"/>
      <c r="S896" s="303"/>
      <c r="T896" s="303"/>
      <c r="U896" s="303"/>
      <c r="V896" s="303"/>
      <c r="W896" s="303"/>
      <c r="X896" s="303"/>
      <c r="Y896" s="303"/>
      <c r="Z896" s="303"/>
    </row>
    <row r="897" spans="1:26" x14ac:dyDescent="0.2">
      <c r="A897" s="303"/>
      <c r="B897" s="303"/>
      <c r="C897" s="303"/>
      <c r="D897" s="303"/>
      <c r="E897" s="303"/>
      <c r="F897" s="303"/>
      <c r="G897" s="303"/>
      <c r="H897" s="303"/>
      <c r="I897" s="303"/>
      <c r="J897" s="303"/>
      <c r="K897" s="303"/>
      <c r="L897" s="303"/>
      <c r="M897" s="303"/>
      <c r="N897" s="303"/>
      <c r="O897" s="303"/>
      <c r="P897" s="303"/>
      <c r="Q897" s="303"/>
      <c r="R897" s="303"/>
      <c r="S897" s="303"/>
      <c r="T897" s="303"/>
      <c r="U897" s="303"/>
      <c r="V897" s="303"/>
      <c r="W897" s="303"/>
      <c r="X897" s="303"/>
      <c r="Y897" s="303"/>
      <c r="Z897" s="303"/>
    </row>
    <row r="898" spans="1:26" x14ac:dyDescent="0.2">
      <c r="A898" s="303"/>
      <c r="B898" s="303"/>
      <c r="C898" s="303"/>
      <c r="D898" s="303"/>
      <c r="E898" s="303"/>
      <c r="F898" s="303"/>
      <c r="G898" s="303"/>
      <c r="H898" s="303"/>
      <c r="I898" s="303"/>
      <c r="J898" s="303"/>
      <c r="K898" s="303"/>
      <c r="L898" s="303"/>
      <c r="M898" s="303"/>
      <c r="N898" s="303"/>
      <c r="O898" s="303"/>
      <c r="P898" s="303"/>
      <c r="Q898" s="303"/>
      <c r="R898" s="303"/>
      <c r="S898" s="303"/>
      <c r="T898" s="303"/>
      <c r="U898" s="303"/>
      <c r="V898" s="303"/>
      <c r="W898" s="303"/>
      <c r="X898" s="303"/>
      <c r="Y898" s="303"/>
      <c r="Z898" s="303"/>
    </row>
    <row r="899" spans="1:26" x14ac:dyDescent="0.2">
      <c r="A899" s="303"/>
      <c r="B899" s="303"/>
      <c r="C899" s="303"/>
      <c r="D899" s="303"/>
      <c r="E899" s="303"/>
      <c r="F899" s="303"/>
      <c r="G899" s="303"/>
      <c r="H899" s="303"/>
      <c r="I899" s="303"/>
      <c r="J899" s="303"/>
      <c r="K899" s="303"/>
      <c r="L899" s="303"/>
      <c r="M899" s="303"/>
      <c r="N899" s="303"/>
      <c r="O899" s="303"/>
      <c r="P899" s="303"/>
      <c r="Q899" s="303"/>
      <c r="R899" s="303"/>
      <c r="S899" s="303"/>
      <c r="T899" s="303"/>
      <c r="U899" s="303"/>
      <c r="V899" s="303"/>
      <c r="W899" s="303"/>
      <c r="X899" s="303"/>
      <c r="Y899" s="303"/>
      <c r="Z899" s="303"/>
    </row>
    <row r="900" spans="1:26" x14ac:dyDescent="0.2">
      <c r="A900" s="303"/>
      <c r="B900" s="303"/>
      <c r="C900" s="303"/>
      <c r="D900" s="303"/>
      <c r="E900" s="303"/>
      <c r="F900" s="303"/>
      <c r="G900" s="303"/>
      <c r="H900" s="303"/>
      <c r="I900" s="303"/>
      <c r="J900" s="303"/>
      <c r="K900" s="303"/>
      <c r="L900" s="303"/>
      <c r="M900" s="303"/>
      <c r="N900" s="303"/>
      <c r="O900" s="303"/>
      <c r="P900" s="303"/>
      <c r="Q900" s="303"/>
      <c r="R900" s="303"/>
      <c r="S900" s="303"/>
      <c r="T900" s="303"/>
      <c r="U900" s="303"/>
      <c r="V900" s="303"/>
      <c r="W900" s="303"/>
      <c r="X900" s="303"/>
      <c r="Y900" s="303"/>
      <c r="Z900" s="303"/>
    </row>
    <row r="901" spans="1:26" x14ac:dyDescent="0.2">
      <c r="A901" s="303"/>
      <c r="B901" s="303"/>
      <c r="C901" s="303"/>
      <c r="D901" s="303"/>
      <c r="E901" s="303"/>
      <c r="F901" s="303"/>
      <c r="G901" s="303"/>
      <c r="H901" s="303"/>
      <c r="I901" s="303"/>
      <c r="J901" s="303"/>
      <c r="K901" s="303"/>
      <c r="L901" s="303"/>
      <c r="M901" s="303"/>
      <c r="N901" s="303"/>
      <c r="O901" s="303"/>
      <c r="P901" s="303"/>
      <c r="Q901" s="303"/>
      <c r="R901" s="303"/>
      <c r="S901" s="303"/>
      <c r="T901" s="303"/>
      <c r="U901" s="303"/>
      <c r="V901" s="303"/>
      <c r="W901" s="303"/>
      <c r="X901" s="303"/>
      <c r="Y901" s="303"/>
      <c r="Z901" s="303"/>
    </row>
    <row r="902" spans="1:26" x14ac:dyDescent="0.2">
      <c r="A902" s="303"/>
      <c r="B902" s="303"/>
      <c r="C902" s="303"/>
      <c r="D902" s="303"/>
      <c r="E902" s="303"/>
      <c r="F902" s="303"/>
      <c r="G902" s="303"/>
      <c r="H902" s="303"/>
      <c r="I902" s="303"/>
      <c r="J902" s="303"/>
      <c r="K902" s="303"/>
      <c r="L902" s="303"/>
      <c r="M902" s="303"/>
      <c r="N902" s="303"/>
      <c r="O902" s="303"/>
      <c r="P902" s="303"/>
      <c r="Q902" s="303"/>
      <c r="R902" s="303"/>
      <c r="S902" s="303"/>
      <c r="T902" s="303"/>
      <c r="U902" s="303"/>
      <c r="V902" s="303"/>
      <c r="W902" s="303"/>
      <c r="X902" s="303"/>
      <c r="Y902" s="303"/>
      <c r="Z902" s="303"/>
    </row>
    <row r="903" spans="1:26" x14ac:dyDescent="0.2">
      <c r="A903" s="303"/>
      <c r="B903" s="303"/>
      <c r="C903" s="303"/>
      <c r="D903" s="303"/>
      <c r="E903" s="303"/>
      <c r="F903" s="303"/>
      <c r="G903" s="303"/>
      <c r="H903" s="303"/>
      <c r="I903" s="303"/>
      <c r="J903" s="303"/>
      <c r="K903" s="303"/>
      <c r="L903" s="303"/>
      <c r="M903" s="303"/>
      <c r="N903" s="303"/>
      <c r="O903" s="303"/>
      <c r="P903" s="303"/>
      <c r="Q903" s="303"/>
      <c r="R903" s="303"/>
      <c r="S903" s="303"/>
      <c r="T903" s="303"/>
      <c r="U903" s="303"/>
      <c r="V903" s="303"/>
      <c r="W903" s="303"/>
      <c r="X903" s="303"/>
      <c r="Y903" s="303"/>
      <c r="Z903" s="303"/>
    </row>
    <row r="904" spans="1:26" x14ac:dyDescent="0.2">
      <c r="A904" s="303"/>
      <c r="B904" s="303"/>
      <c r="C904" s="303"/>
      <c r="D904" s="303"/>
      <c r="E904" s="303"/>
      <c r="F904" s="303"/>
      <c r="G904" s="303"/>
      <c r="H904" s="303"/>
      <c r="I904" s="303"/>
      <c r="J904" s="303"/>
      <c r="K904" s="303"/>
      <c r="L904" s="303"/>
      <c r="M904" s="303"/>
      <c r="N904" s="303"/>
      <c r="O904" s="303"/>
      <c r="P904" s="303"/>
      <c r="Q904" s="303"/>
      <c r="R904" s="303"/>
      <c r="S904" s="303"/>
      <c r="T904" s="303"/>
      <c r="U904" s="303"/>
      <c r="V904" s="303"/>
      <c r="W904" s="303"/>
      <c r="X904" s="303"/>
      <c r="Y904" s="303"/>
      <c r="Z904" s="303"/>
    </row>
    <row r="905" spans="1:26" x14ac:dyDescent="0.2">
      <c r="A905" s="303"/>
      <c r="B905" s="303"/>
      <c r="C905" s="303"/>
      <c r="D905" s="303"/>
      <c r="E905" s="303"/>
      <c r="F905" s="303"/>
      <c r="G905" s="303"/>
      <c r="H905" s="303"/>
      <c r="I905" s="303"/>
      <c r="J905" s="303"/>
      <c r="K905" s="303"/>
      <c r="L905" s="303"/>
      <c r="M905" s="303"/>
      <c r="N905" s="303"/>
      <c r="O905" s="303"/>
      <c r="P905" s="303"/>
      <c r="Q905" s="303"/>
      <c r="R905" s="303"/>
      <c r="S905" s="303"/>
      <c r="T905" s="303"/>
      <c r="U905" s="303"/>
      <c r="V905" s="303"/>
      <c r="W905" s="303"/>
      <c r="X905" s="303"/>
      <c r="Y905" s="303"/>
      <c r="Z905" s="303"/>
    </row>
    <row r="906" spans="1:26" x14ac:dyDescent="0.2">
      <c r="A906" s="303"/>
      <c r="B906" s="303"/>
      <c r="C906" s="303"/>
      <c r="D906" s="303"/>
      <c r="E906" s="303"/>
      <c r="F906" s="303"/>
      <c r="G906" s="303"/>
      <c r="H906" s="303"/>
      <c r="I906" s="303"/>
      <c r="J906" s="303"/>
      <c r="K906" s="303"/>
      <c r="L906" s="303"/>
      <c r="M906" s="303"/>
      <c r="N906" s="303"/>
      <c r="O906" s="303"/>
      <c r="P906" s="303"/>
      <c r="Q906" s="303"/>
      <c r="R906" s="303"/>
      <c r="S906" s="303"/>
      <c r="T906" s="303"/>
      <c r="U906" s="303"/>
      <c r="V906" s="303"/>
      <c r="W906" s="303"/>
      <c r="X906" s="303"/>
      <c r="Y906" s="303"/>
      <c r="Z906" s="303"/>
    </row>
    <row r="907" spans="1:26" x14ac:dyDescent="0.2">
      <c r="A907" s="303"/>
      <c r="B907" s="303"/>
      <c r="C907" s="303"/>
      <c r="D907" s="303"/>
      <c r="E907" s="303"/>
      <c r="F907" s="303"/>
      <c r="G907" s="303"/>
      <c r="H907" s="303"/>
      <c r="I907" s="303"/>
      <c r="J907" s="303"/>
      <c r="K907" s="303"/>
      <c r="L907" s="303"/>
      <c r="M907" s="303"/>
      <c r="N907" s="303"/>
      <c r="O907" s="303"/>
      <c r="P907" s="303"/>
      <c r="Q907" s="303"/>
      <c r="R907" s="303"/>
      <c r="S907" s="303"/>
      <c r="T907" s="303"/>
      <c r="U907" s="303"/>
      <c r="V907" s="303"/>
      <c r="W907" s="303"/>
      <c r="X907" s="303"/>
      <c r="Y907" s="303"/>
      <c r="Z907" s="303"/>
    </row>
    <row r="908" spans="1:26" x14ac:dyDescent="0.2">
      <c r="A908" s="303"/>
      <c r="B908" s="303"/>
      <c r="C908" s="303"/>
      <c r="D908" s="303"/>
      <c r="E908" s="303"/>
      <c r="F908" s="303"/>
      <c r="G908" s="303"/>
      <c r="H908" s="303"/>
      <c r="I908" s="303"/>
      <c r="J908" s="303"/>
      <c r="K908" s="303"/>
      <c r="L908" s="303"/>
      <c r="M908" s="303"/>
      <c r="N908" s="303"/>
      <c r="O908" s="303"/>
      <c r="P908" s="303"/>
      <c r="Q908" s="303"/>
      <c r="R908" s="303"/>
      <c r="S908" s="303"/>
      <c r="T908" s="303"/>
      <c r="U908" s="303"/>
      <c r="V908" s="303"/>
      <c r="W908" s="303"/>
      <c r="X908" s="303"/>
      <c r="Y908" s="303"/>
      <c r="Z908" s="303"/>
    </row>
    <row r="909" spans="1:26" x14ac:dyDescent="0.2">
      <c r="A909" s="303"/>
      <c r="B909" s="303"/>
      <c r="C909" s="303"/>
      <c r="D909" s="303"/>
      <c r="E909" s="303"/>
      <c r="F909" s="303"/>
      <c r="G909" s="303"/>
      <c r="H909" s="303"/>
      <c r="I909" s="303"/>
      <c r="J909" s="303"/>
      <c r="K909" s="303"/>
      <c r="L909" s="303"/>
      <c r="M909" s="303"/>
      <c r="N909" s="303"/>
      <c r="O909" s="303"/>
      <c r="P909" s="303"/>
      <c r="Q909" s="303"/>
      <c r="R909" s="303"/>
      <c r="S909" s="303"/>
      <c r="T909" s="303"/>
      <c r="U909" s="303"/>
      <c r="V909" s="303"/>
      <c r="W909" s="303"/>
      <c r="X909" s="303"/>
      <c r="Y909" s="303"/>
      <c r="Z909" s="303"/>
    </row>
    <row r="910" spans="1:26" x14ac:dyDescent="0.2">
      <c r="A910" s="303"/>
      <c r="B910" s="303"/>
      <c r="C910" s="303"/>
      <c r="D910" s="303"/>
      <c r="E910" s="303"/>
      <c r="F910" s="303"/>
      <c r="G910" s="303"/>
      <c r="H910" s="303"/>
      <c r="I910" s="303"/>
      <c r="J910" s="303"/>
      <c r="K910" s="303"/>
      <c r="L910" s="303"/>
      <c r="M910" s="303"/>
      <c r="N910" s="303"/>
      <c r="O910" s="303"/>
      <c r="P910" s="303"/>
      <c r="Q910" s="303"/>
      <c r="R910" s="303"/>
      <c r="S910" s="303"/>
      <c r="T910" s="303"/>
      <c r="U910" s="303"/>
      <c r="V910" s="303"/>
      <c r="W910" s="303"/>
      <c r="X910" s="303"/>
      <c r="Y910" s="303"/>
      <c r="Z910" s="303"/>
    </row>
    <row r="911" spans="1:26" x14ac:dyDescent="0.2">
      <c r="A911" s="303"/>
      <c r="B911" s="303"/>
      <c r="C911" s="303"/>
      <c r="D911" s="303"/>
      <c r="E911" s="303"/>
      <c r="F911" s="303"/>
      <c r="G911" s="303"/>
      <c r="H911" s="303"/>
      <c r="I911" s="303"/>
      <c r="J911" s="303"/>
      <c r="K911" s="303"/>
      <c r="L911" s="303"/>
      <c r="M911" s="303"/>
      <c r="N911" s="303"/>
      <c r="O911" s="303"/>
      <c r="P911" s="303"/>
      <c r="Q911" s="303"/>
      <c r="R911" s="303"/>
      <c r="S911" s="303"/>
      <c r="T911" s="303"/>
      <c r="U911" s="303"/>
      <c r="V911" s="303"/>
      <c r="W911" s="303"/>
      <c r="X911" s="303"/>
      <c r="Y911" s="303"/>
      <c r="Z911" s="303"/>
    </row>
    <row r="912" spans="1:26" x14ac:dyDescent="0.2">
      <c r="A912" s="303"/>
      <c r="B912" s="303"/>
      <c r="C912" s="303"/>
      <c r="D912" s="303"/>
      <c r="E912" s="303"/>
      <c r="F912" s="303"/>
      <c r="G912" s="303"/>
      <c r="H912" s="303"/>
      <c r="I912" s="303"/>
      <c r="J912" s="303"/>
      <c r="K912" s="303"/>
      <c r="L912" s="303"/>
      <c r="M912" s="303"/>
      <c r="N912" s="303"/>
      <c r="O912" s="303"/>
      <c r="P912" s="303"/>
      <c r="Q912" s="303"/>
      <c r="R912" s="303"/>
      <c r="S912" s="303"/>
      <c r="T912" s="303"/>
      <c r="U912" s="303"/>
      <c r="V912" s="303"/>
      <c r="W912" s="303"/>
      <c r="X912" s="303"/>
      <c r="Y912" s="303"/>
      <c r="Z912" s="303"/>
    </row>
    <row r="913" spans="1:26" x14ac:dyDescent="0.2">
      <c r="A913" s="303"/>
      <c r="B913" s="303"/>
      <c r="C913" s="303"/>
      <c r="D913" s="303"/>
      <c r="E913" s="303"/>
      <c r="F913" s="303"/>
      <c r="G913" s="303"/>
      <c r="H913" s="303"/>
      <c r="I913" s="303"/>
      <c r="J913" s="303"/>
      <c r="K913" s="303"/>
      <c r="L913" s="303"/>
      <c r="M913" s="303"/>
      <c r="N913" s="303"/>
      <c r="O913" s="303"/>
      <c r="P913" s="303"/>
      <c r="Q913" s="303"/>
      <c r="R913" s="303"/>
      <c r="S913" s="303"/>
      <c r="T913" s="303"/>
      <c r="U913" s="303"/>
      <c r="V913" s="303"/>
      <c r="W913" s="303"/>
      <c r="X913" s="303"/>
      <c r="Y913" s="303"/>
      <c r="Z913" s="303"/>
    </row>
    <row r="914" spans="1:26" x14ac:dyDescent="0.2">
      <c r="A914" s="303"/>
      <c r="B914" s="303"/>
      <c r="C914" s="303"/>
      <c r="D914" s="303"/>
      <c r="E914" s="303"/>
      <c r="F914" s="303"/>
      <c r="G914" s="303"/>
      <c r="H914" s="303"/>
      <c r="I914" s="303"/>
      <c r="J914" s="303"/>
      <c r="K914" s="303"/>
      <c r="L914" s="303"/>
      <c r="M914" s="303"/>
      <c r="N914" s="303"/>
      <c r="O914" s="303"/>
      <c r="P914" s="303"/>
      <c r="Q914" s="303"/>
      <c r="R914" s="303"/>
      <c r="S914" s="303"/>
      <c r="T914" s="303"/>
      <c r="U914" s="303"/>
      <c r="V914" s="303"/>
      <c r="W914" s="303"/>
      <c r="X914" s="303"/>
      <c r="Y914" s="303"/>
      <c r="Z914" s="303"/>
    </row>
    <row r="915" spans="1:26" x14ac:dyDescent="0.2">
      <c r="A915" s="303"/>
      <c r="B915" s="303"/>
      <c r="C915" s="303"/>
      <c r="D915" s="303"/>
      <c r="E915" s="303"/>
      <c r="F915" s="303"/>
      <c r="G915" s="303"/>
      <c r="H915" s="303"/>
      <c r="I915" s="303"/>
      <c r="J915" s="303"/>
      <c r="K915" s="303"/>
      <c r="L915" s="303"/>
      <c r="M915" s="303"/>
      <c r="N915" s="303"/>
      <c r="O915" s="303"/>
      <c r="P915" s="303"/>
      <c r="Q915" s="303"/>
      <c r="R915" s="303"/>
      <c r="S915" s="303"/>
      <c r="T915" s="303"/>
      <c r="U915" s="303"/>
      <c r="V915" s="303"/>
      <c r="W915" s="303"/>
      <c r="X915" s="303"/>
      <c r="Y915" s="303"/>
      <c r="Z915" s="303"/>
    </row>
    <row r="916" spans="1:26" x14ac:dyDescent="0.2">
      <c r="A916" s="303"/>
      <c r="B916" s="303"/>
      <c r="C916" s="303"/>
      <c r="D916" s="303"/>
      <c r="E916" s="303"/>
      <c r="F916" s="303"/>
      <c r="G916" s="303"/>
      <c r="H916" s="303"/>
      <c r="I916" s="303"/>
      <c r="J916" s="303"/>
      <c r="K916" s="303"/>
      <c r="L916" s="303"/>
      <c r="M916" s="303"/>
      <c r="N916" s="303"/>
      <c r="O916" s="303"/>
      <c r="P916" s="303"/>
      <c r="Q916" s="303"/>
      <c r="R916" s="303"/>
      <c r="S916" s="303"/>
      <c r="T916" s="303"/>
      <c r="U916" s="303"/>
      <c r="V916" s="303"/>
      <c r="W916" s="303"/>
      <c r="X916" s="303"/>
      <c r="Y916" s="303"/>
      <c r="Z916" s="303"/>
    </row>
    <row r="917" spans="1:26" x14ac:dyDescent="0.2">
      <c r="A917" s="303"/>
      <c r="B917" s="303"/>
      <c r="C917" s="303"/>
      <c r="D917" s="303"/>
      <c r="E917" s="303"/>
      <c r="F917" s="303"/>
      <c r="G917" s="303"/>
      <c r="H917" s="303"/>
      <c r="I917" s="303"/>
      <c r="J917" s="303"/>
      <c r="K917" s="303"/>
      <c r="L917" s="303"/>
      <c r="M917" s="303"/>
      <c r="N917" s="303"/>
      <c r="O917" s="303"/>
      <c r="P917" s="303"/>
      <c r="Q917" s="303"/>
      <c r="R917" s="303"/>
      <c r="S917" s="303"/>
      <c r="T917" s="303"/>
      <c r="U917" s="303"/>
      <c r="V917" s="303"/>
      <c r="W917" s="303"/>
      <c r="X917" s="303"/>
      <c r="Y917" s="303"/>
      <c r="Z917" s="303"/>
    </row>
    <row r="918" spans="1:26" x14ac:dyDescent="0.2">
      <c r="A918" s="303"/>
      <c r="B918" s="303"/>
      <c r="C918" s="303"/>
      <c r="D918" s="303"/>
      <c r="E918" s="303"/>
      <c r="F918" s="303"/>
      <c r="G918" s="303"/>
      <c r="H918" s="303"/>
      <c r="I918" s="303"/>
      <c r="J918" s="303"/>
      <c r="K918" s="303"/>
      <c r="L918" s="303"/>
      <c r="M918" s="303"/>
      <c r="N918" s="303"/>
      <c r="O918" s="303"/>
      <c r="P918" s="303"/>
      <c r="Q918" s="303"/>
      <c r="R918" s="303"/>
      <c r="S918" s="303"/>
      <c r="T918" s="303"/>
      <c r="U918" s="303"/>
      <c r="V918" s="303"/>
      <c r="W918" s="303"/>
      <c r="X918" s="303"/>
      <c r="Y918" s="303"/>
      <c r="Z918" s="303"/>
    </row>
    <row r="919" spans="1:26" x14ac:dyDescent="0.2">
      <c r="A919" s="303"/>
      <c r="B919" s="303"/>
      <c r="C919" s="303"/>
      <c r="D919" s="303"/>
      <c r="E919" s="303"/>
      <c r="F919" s="303"/>
      <c r="G919" s="303"/>
      <c r="H919" s="303"/>
      <c r="I919" s="303"/>
      <c r="J919" s="303"/>
      <c r="K919" s="303"/>
      <c r="L919" s="303"/>
      <c r="M919" s="303"/>
      <c r="N919" s="303"/>
      <c r="O919" s="303"/>
      <c r="P919" s="303"/>
      <c r="Q919" s="303"/>
      <c r="R919" s="303"/>
      <c r="S919" s="303"/>
      <c r="T919" s="303"/>
      <c r="U919" s="303"/>
      <c r="V919" s="303"/>
      <c r="W919" s="303"/>
      <c r="X919" s="303"/>
      <c r="Y919" s="303"/>
      <c r="Z919" s="303"/>
    </row>
    <row r="920" spans="1:26" x14ac:dyDescent="0.2">
      <c r="A920" s="303"/>
      <c r="B920" s="303"/>
      <c r="C920" s="303"/>
      <c r="D920" s="303"/>
      <c r="E920" s="303"/>
      <c r="F920" s="303"/>
      <c r="G920" s="303"/>
      <c r="H920" s="303"/>
      <c r="I920" s="303"/>
      <c r="J920" s="303"/>
      <c r="K920" s="303"/>
      <c r="L920" s="303"/>
      <c r="M920" s="303"/>
      <c r="N920" s="303"/>
      <c r="O920" s="303"/>
      <c r="P920" s="303"/>
      <c r="Q920" s="303"/>
      <c r="R920" s="303"/>
      <c r="S920" s="303"/>
      <c r="T920" s="303"/>
      <c r="U920" s="303"/>
      <c r="V920" s="303"/>
      <c r="W920" s="303"/>
      <c r="X920" s="303"/>
      <c r="Y920" s="303"/>
      <c r="Z920" s="303"/>
    </row>
    <row r="921" spans="1:26" x14ac:dyDescent="0.2">
      <c r="A921" s="303"/>
      <c r="B921" s="303"/>
      <c r="C921" s="303"/>
      <c r="D921" s="303"/>
      <c r="E921" s="303"/>
      <c r="F921" s="303"/>
      <c r="G921" s="303"/>
      <c r="H921" s="303"/>
      <c r="I921" s="303"/>
      <c r="J921" s="303"/>
      <c r="K921" s="303"/>
      <c r="L921" s="303"/>
      <c r="M921" s="303"/>
      <c r="N921" s="303"/>
      <c r="O921" s="303"/>
      <c r="P921" s="303"/>
      <c r="Q921" s="303"/>
      <c r="R921" s="303"/>
      <c r="S921" s="303"/>
      <c r="T921" s="303"/>
      <c r="U921" s="303"/>
      <c r="V921" s="303"/>
      <c r="W921" s="303"/>
      <c r="X921" s="303"/>
      <c r="Y921" s="303"/>
      <c r="Z921" s="303"/>
    </row>
    <row r="922" spans="1:26" x14ac:dyDescent="0.2">
      <c r="A922" s="303"/>
      <c r="B922" s="303"/>
      <c r="C922" s="303"/>
      <c r="D922" s="303"/>
      <c r="E922" s="303"/>
      <c r="F922" s="303"/>
      <c r="G922" s="303"/>
      <c r="H922" s="303"/>
      <c r="I922" s="303"/>
      <c r="J922" s="303"/>
      <c r="K922" s="303"/>
      <c r="L922" s="303"/>
      <c r="M922" s="303"/>
      <c r="N922" s="303"/>
      <c r="O922" s="303"/>
      <c r="P922" s="303"/>
      <c r="Q922" s="303"/>
      <c r="R922" s="303"/>
      <c r="S922" s="303"/>
      <c r="T922" s="303"/>
      <c r="U922" s="303"/>
      <c r="V922" s="303"/>
      <c r="W922" s="303"/>
      <c r="X922" s="303"/>
      <c r="Y922" s="303"/>
      <c r="Z922" s="303"/>
    </row>
    <row r="923" spans="1:26" x14ac:dyDescent="0.2">
      <c r="A923" s="303"/>
      <c r="B923" s="303"/>
      <c r="C923" s="303"/>
      <c r="D923" s="303"/>
      <c r="E923" s="303"/>
      <c r="F923" s="303"/>
      <c r="G923" s="303"/>
      <c r="H923" s="303"/>
      <c r="I923" s="303"/>
      <c r="J923" s="303"/>
      <c r="K923" s="303"/>
      <c r="L923" s="303"/>
      <c r="M923" s="303"/>
      <c r="N923" s="303"/>
      <c r="O923" s="303"/>
      <c r="P923" s="303"/>
      <c r="Q923" s="303"/>
      <c r="R923" s="303"/>
      <c r="S923" s="303"/>
      <c r="T923" s="303"/>
      <c r="U923" s="303"/>
      <c r="V923" s="303"/>
      <c r="W923" s="303"/>
      <c r="X923" s="303"/>
      <c r="Y923" s="303"/>
      <c r="Z923" s="303"/>
    </row>
    <row r="924" spans="1:26" x14ac:dyDescent="0.2">
      <c r="A924" s="303"/>
      <c r="B924" s="303"/>
      <c r="C924" s="303"/>
      <c r="D924" s="303"/>
      <c r="E924" s="303"/>
      <c r="F924" s="303"/>
      <c r="G924" s="303"/>
      <c r="H924" s="303"/>
      <c r="I924" s="303"/>
      <c r="J924" s="303"/>
      <c r="K924" s="303"/>
      <c r="L924" s="303"/>
      <c r="M924" s="303"/>
      <c r="N924" s="303"/>
      <c r="O924" s="303"/>
      <c r="P924" s="303"/>
      <c r="Q924" s="303"/>
      <c r="R924" s="303"/>
      <c r="S924" s="303"/>
      <c r="T924" s="303"/>
      <c r="U924" s="303"/>
      <c r="V924" s="303"/>
      <c r="W924" s="303"/>
      <c r="X924" s="303"/>
      <c r="Y924" s="303"/>
      <c r="Z924" s="303"/>
    </row>
    <row r="925" spans="1:26" x14ac:dyDescent="0.2">
      <c r="A925" s="303"/>
      <c r="B925" s="303"/>
      <c r="C925" s="303"/>
      <c r="D925" s="303"/>
      <c r="E925" s="303"/>
      <c r="F925" s="303"/>
      <c r="G925" s="303"/>
      <c r="H925" s="303"/>
      <c r="I925" s="303"/>
      <c r="J925" s="303"/>
      <c r="K925" s="303"/>
      <c r="L925" s="303"/>
      <c r="M925" s="303"/>
      <c r="N925" s="303"/>
      <c r="O925" s="303"/>
      <c r="P925" s="303"/>
      <c r="Q925" s="303"/>
      <c r="R925" s="303"/>
      <c r="S925" s="303"/>
      <c r="T925" s="303"/>
      <c r="U925" s="303"/>
      <c r="V925" s="303"/>
      <c r="W925" s="303"/>
      <c r="X925" s="303"/>
      <c r="Y925" s="303"/>
      <c r="Z925" s="303"/>
    </row>
    <row r="926" spans="1:26" x14ac:dyDescent="0.2">
      <c r="A926" s="303"/>
      <c r="B926" s="303"/>
      <c r="C926" s="303"/>
      <c r="D926" s="303"/>
      <c r="E926" s="303"/>
      <c r="F926" s="303"/>
      <c r="G926" s="303"/>
      <c r="H926" s="303"/>
      <c r="I926" s="303"/>
      <c r="J926" s="303"/>
      <c r="K926" s="303"/>
      <c r="L926" s="303"/>
      <c r="M926" s="303"/>
      <c r="N926" s="303"/>
      <c r="O926" s="303"/>
      <c r="P926" s="303"/>
      <c r="Q926" s="303"/>
      <c r="R926" s="303"/>
      <c r="S926" s="303"/>
      <c r="T926" s="303"/>
      <c r="U926" s="303"/>
      <c r="V926" s="303"/>
      <c r="W926" s="303"/>
      <c r="X926" s="303"/>
      <c r="Y926" s="303"/>
      <c r="Z926" s="303"/>
    </row>
    <row r="927" spans="1:26" x14ac:dyDescent="0.2">
      <c r="A927" s="303"/>
      <c r="B927" s="303"/>
      <c r="C927" s="303"/>
      <c r="D927" s="303"/>
      <c r="E927" s="303"/>
      <c r="F927" s="303"/>
      <c r="G927" s="303"/>
      <c r="H927" s="303"/>
      <c r="I927" s="303"/>
      <c r="J927" s="303"/>
      <c r="K927" s="303"/>
      <c r="L927" s="303"/>
      <c r="M927" s="303"/>
      <c r="N927" s="303"/>
      <c r="O927" s="303"/>
      <c r="P927" s="303"/>
      <c r="Q927" s="303"/>
      <c r="R927" s="303"/>
      <c r="S927" s="303"/>
      <c r="T927" s="303"/>
      <c r="U927" s="303"/>
      <c r="V927" s="303"/>
      <c r="W927" s="303"/>
      <c r="X927" s="303"/>
      <c r="Y927" s="303"/>
      <c r="Z927" s="303"/>
    </row>
    <row r="928" spans="1:26" x14ac:dyDescent="0.2">
      <c r="A928" s="303"/>
      <c r="B928" s="303"/>
      <c r="C928" s="303"/>
      <c r="D928" s="303"/>
      <c r="E928" s="303"/>
      <c r="F928" s="303"/>
      <c r="G928" s="303"/>
      <c r="H928" s="303"/>
      <c r="I928" s="303"/>
      <c r="J928" s="303"/>
      <c r="K928" s="303"/>
      <c r="L928" s="303"/>
      <c r="M928" s="303"/>
      <c r="N928" s="303"/>
      <c r="O928" s="303"/>
      <c r="P928" s="303"/>
      <c r="Q928" s="303"/>
      <c r="R928" s="303"/>
      <c r="S928" s="303"/>
      <c r="T928" s="303"/>
      <c r="U928" s="303"/>
      <c r="V928" s="303"/>
      <c r="W928" s="303"/>
      <c r="X928" s="303"/>
      <c r="Y928" s="303"/>
      <c r="Z928" s="303"/>
    </row>
    <row r="929" spans="1:26" x14ac:dyDescent="0.2">
      <c r="A929" s="303"/>
      <c r="B929" s="303"/>
      <c r="C929" s="303"/>
      <c r="D929" s="303"/>
      <c r="E929" s="303"/>
      <c r="F929" s="303"/>
      <c r="G929" s="303"/>
      <c r="H929" s="303"/>
      <c r="I929" s="303"/>
      <c r="J929" s="303"/>
      <c r="K929" s="303"/>
      <c r="L929" s="303"/>
      <c r="M929" s="303"/>
      <c r="N929" s="303"/>
      <c r="O929" s="303"/>
      <c r="P929" s="303"/>
      <c r="Q929" s="303"/>
      <c r="R929" s="303"/>
      <c r="S929" s="303"/>
      <c r="T929" s="303"/>
      <c r="U929" s="303"/>
      <c r="V929" s="303"/>
      <c r="W929" s="303"/>
      <c r="X929" s="303"/>
      <c r="Y929" s="303"/>
      <c r="Z929" s="303"/>
    </row>
    <row r="930" spans="1:26" x14ac:dyDescent="0.2">
      <c r="A930" s="303"/>
      <c r="B930" s="303"/>
      <c r="C930" s="303"/>
      <c r="D930" s="303"/>
      <c r="E930" s="303"/>
      <c r="F930" s="303"/>
      <c r="G930" s="303"/>
      <c r="H930" s="303"/>
      <c r="I930" s="303"/>
      <c r="J930" s="303"/>
      <c r="K930" s="303"/>
      <c r="L930" s="303"/>
      <c r="M930" s="303"/>
      <c r="N930" s="303"/>
      <c r="O930" s="303"/>
      <c r="P930" s="303"/>
      <c r="Q930" s="303"/>
      <c r="R930" s="303"/>
      <c r="S930" s="303"/>
      <c r="T930" s="303"/>
      <c r="U930" s="303"/>
      <c r="V930" s="303"/>
      <c r="W930" s="303"/>
      <c r="X930" s="303"/>
      <c r="Y930" s="303"/>
      <c r="Z930" s="303"/>
    </row>
    <row r="931" spans="1:26" x14ac:dyDescent="0.2">
      <c r="A931" s="303"/>
      <c r="B931" s="303"/>
      <c r="C931" s="303"/>
      <c r="D931" s="303"/>
      <c r="E931" s="303"/>
      <c r="F931" s="303"/>
      <c r="G931" s="303"/>
      <c r="H931" s="303"/>
      <c r="I931" s="303"/>
      <c r="J931" s="303"/>
      <c r="K931" s="303"/>
      <c r="L931" s="303"/>
      <c r="M931" s="303"/>
      <c r="N931" s="303"/>
      <c r="O931" s="303"/>
      <c r="P931" s="303"/>
      <c r="Q931" s="303"/>
      <c r="R931" s="303"/>
      <c r="S931" s="303"/>
      <c r="T931" s="303"/>
      <c r="U931" s="303"/>
      <c r="V931" s="303"/>
      <c r="W931" s="303"/>
      <c r="X931" s="303"/>
      <c r="Y931" s="303"/>
      <c r="Z931" s="303"/>
    </row>
    <row r="932" spans="1:26" x14ac:dyDescent="0.2">
      <c r="A932" s="303"/>
      <c r="B932" s="303"/>
      <c r="C932" s="303"/>
      <c r="D932" s="303"/>
      <c r="E932" s="303"/>
      <c r="F932" s="303"/>
      <c r="G932" s="303"/>
      <c r="H932" s="303"/>
      <c r="I932" s="303"/>
      <c r="J932" s="303"/>
      <c r="K932" s="303"/>
      <c r="L932" s="303"/>
      <c r="M932" s="303"/>
      <c r="N932" s="303"/>
      <c r="O932" s="303"/>
      <c r="P932" s="303"/>
      <c r="Q932" s="303"/>
      <c r="R932" s="303"/>
      <c r="S932" s="303"/>
      <c r="T932" s="303"/>
      <c r="U932" s="303"/>
      <c r="V932" s="303"/>
      <c r="W932" s="303"/>
      <c r="X932" s="303"/>
      <c r="Y932" s="303"/>
      <c r="Z932" s="303"/>
    </row>
    <row r="933" spans="1:26" x14ac:dyDescent="0.2">
      <c r="A933" s="303"/>
      <c r="B933" s="303"/>
      <c r="C933" s="303"/>
      <c r="D933" s="303"/>
      <c r="E933" s="303"/>
      <c r="F933" s="303"/>
      <c r="G933" s="303"/>
      <c r="H933" s="303"/>
      <c r="I933" s="303"/>
      <c r="J933" s="303"/>
      <c r="K933" s="303"/>
      <c r="L933" s="303"/>
      <c r="M933" s="303"/>
      <c r="N933" s="303"/>
      <c r="O933" s="303"/>
      <c r="P933" s="303"/>
      <c r="Q933" s="303"/>
      <c r="R933" s="303"/>
      <c r="S933" s="303"/>
      <c r="T933" s="303"/>
      <c r="U933" s="303"/>
      <c r="V933" s="303"/>
      <c r="W933" s="303"/>
      <c r="X933" s="303"/>
      <c r="Y933" s="303"/>
      <c r="Z933" s="303"/>
    </row>
    <row r="934" spans="1:26" x14ac:dyDescent="0.2">
      <c r="A934" s="303"/>
      <c r="B934" s="303"/>
      <c r="C934" s="303"/>
      <c r="D934" s="303"/>
      <c r="E934" s="303"/>
      <c r="F934" s="303"/>
      <c r="G934" s="303"/>
      <c r="H934" s="303"/>
      <c r="I934" s="303"/>
      <c r="J934" s="303"/>
      <c r="K934" s="303"/>
      <c r="L934" s="303"/>
      <c r="M934" s="303"/>
      <c r="N934" s="303"/>
      <c r="O934" s="303"/>
      <c r="P934" s="303"/>
      <c r="Q934" s="303"/>
      <c r="R934" s="303"/>
      <c r="S934" s="303"/>
      <c r="T934" s="303"/>
      <c r="U934" s="303"/>
      <c r="V934" s="303"/>
      <c r="W934" s="303"/>
      <c r="X934" s="303"/>
      <c r="Y934" s="303"/>
      <c r="Z934" s="303"/>
    </row>
    <row r="935" spans="1:26" x14ac:dyDescent="0.2">
      <c r="A935" s="303"/>
      <c r="B935" s="303"/>
      <c r="C935" s="303"/>
      <c r="D935" s="303"/>
      <c r="E935" s="303"/>
      <c r="F935" s="303"/>
      <c r="G935" s="303"/>
      <c r="H935" s="303"/>
      <c r="I935" s="303"/>
      <c r="J935" s="303"/>
      <c r="K935" s="303"/>
      <c r="L935" s="303"/>
      <c r="M935" s="303"/>
      <c r="N935" s="303"/>
      <c r="O935" s="303"/>
      <c r="P935" s="303"/>
      <c r="Q935" s="303"/>
      <c r="R935" s="303"/>
      <c r="S935" s="303"/>
      <c r="T935" s="303"/>
      <c r="U935" s="303"/>
      <c r="V935" s="303"/>
      <c r="W935" s="303"/>
      <c r="X935" s="303"/>
      <c r="Y935" s="303"/>
      <c r="Z935" s="303"/>
    </row>
    <row r="936" spans="1:26" x14ac:dyDescent="0.2">
      <c r="A936" s="303"/>
      <c r="B936" s="303"/>
      <c r="C936" s="303"/>
      <c r="D936" s="303"/>
      <c r="E936" s="303"/>
      <c r="F936" s="303"/>
      <c r="G936" s="303"/>
      <c r="H936" s="303"/>
      <c r="I936" s="303"/>
      <c r="J936" s="303"/>
      <c r="K936" s="303"/>
      <c r="L936" s="303"/>
      <c r="M936" s="303"/>
      <c r="N936" s="303"/>
      <c r="O936" s="303"/>
      <c r="P936" s="303"/>
      <c r="Q936" s="303"/>
      <c r="R936" s="303"/>
      <c r="S936" s="303"/>
      <c r="T936" s="303"/>
      <c r="U936" s="303"/>
      <c r="V936" s="303"/>
      <c r="W936" s="303"/>
      <c r="X936" s="303"/>
      <c r="Y936" s="303"/>
      <c r="Z936" s="303"/>
    </row>
    <row r="937" spans="1:26" x14ac:dyDescent="0.2">
      <c r="A937" s="303"/>
      <c r="B937" s="303"/>
      <c r="C937" s="303"/>
      <c r="D937" s="303"/>
      <c r="E937" s="303"/>
      <c r="F937" s="303"/>
      <c r="G937" s="303"/>
      <c r="H937" s="303"/>
      <c r="I937" s="303"/>
      <c r="J937" s="303"/>
      <c r="K937" s="303"/>
      <c r="L937" s="303"/>
      <c r="M937" s="303"/>
      <c r="N937" s="303"/>
      <c r="O937" s="303"/>
      <c r="P937" s="303"/>
      <c r="Q937" s="303"/>
      <c r="R937" s="303"/>
      <c r="S937" s="303"/>
      <c r="T937" s="303"/>
      <c r="U937" s="303"/>
      <c r="V937" s="303"/>
      <c r="W937" s="303"/>
      <c r="X937" s="303"/>
      <c r="Y937" s="303"/>
      <c r="Z937" s="303"/>
    </row>
    <row r="938" spans="1:26" x14ac:dyDescent="0.2">
      <c r="A938" s="303"/>
      <c r="B938" s="303"/>
      <c r="C938" s="303"/>
      <c r="D938" s="303"/>
      <c r="E938" s="303"/>
      <c r="F938" s="303"/>
      <c r="G938" s="303"/>
      <c r="H938" s="303"/>
      <c r="I938" s="303"/>
      <c r="J938" s="303"/>
      <c r="K938" s="303"/>
      <c r="L938" s="303"/>
      <c r="M938" s="303"/>
      <c r="N938" s="303"/>
      <c r="O938" s="303"/>
      <c r="P938" s="303"/>
      <c r="Q938" s="303"/>
      <c r="R938" s="303"/>
      <c r="S938" s="303"/>
      <c r="T938" s="303"/>
      <c r="U938" s="303"/>
      <c r="V938" s="303"/>
      <c r="W938" s="303"/>
      <c r="X938" s="303"/>
      <c r="Y938" s="303"/>
      <c r="Z938" s="303"/>
    </row>
    <row r="939" spans="1:26" x14ac:dyDescent="0.2">
      <c r="A939" s="303"/>
      <c r="B939" s="303"/>
      <c r="C939" s="303"/>
      <c r="D939" s="303"/>
      <c r="E939" s="303"/>
      <c r="F939" s="303"/>
      <c r="G939" s="303"/>
      <c r="H939" s="303"/>
      <c r="I939" s="303"/>
      <c r="J939" s="303"/>
      <c r="K939" s="303"/>
      <c r="L939" s="303"/>
      <c r="M939" s="303"/>
      <c r="N939" s="303"/>
      <c r="O939" s="303"/>
      <c r="P939" s="303"/>
      <c r="Q939" s="303"/>
      <c r="R939" s="303"/>
      <c r="S939" s="303"/>
      <c r="T939" s="303"/>
      <c r="U939" s="303"/>
      <c r="V939" s="303"/>
      <c r="W939" s="303"/>
      <c r="X939" s="303"/>
      <c r="Y939" s="303"/>
      <c r="Z939" s="303"/>
    </row>
    <row r="940" spans="1:26" x14ac:dyDescent="0.2">
      <c r="A940" s="303"/>
      <c r="B940" s="303"/>
      <c r="C940" s="303"/>
      <c r="D940" s="303"/>
      <c r="E940" s="303"/>
      <c r="F940" s="303"/>
      <c r="G940" s="303"/>
      <c r="H940" s="303"/>
      <c r="I940" s="303"/>
      <c r="J940" s="303"/>
      <c r="K940" s="303"/>
      <c r="L940" s="303"/>
      <c r="M940" s="303"/>
      <c r="N940" s="303"/>
      <c r="O940" s="303"/>
      <c r="P940" s="303"/>
      <c r="Q940" s="303"/>
      <c r="R940" s="303"/>
      <c r="S940" s="303"/>
      <c r="T940" s="303"/>
      <c r="U940" s="303"/>
      <c r="V940" s="303"/>
      <c r="W940" s="303"/>
      <c r="X940" s="303"/>
      <c r="Y940" s="303"/>
      <c r="Z940" s="303"/>
    </row>
    <row r="941" spans="1:26" x14ac:dyDescent="0.2">
      <c r="A941" s="303"/>
      <c r="B941" s="303"/>
      <c r="C941" s="303"/>
      <c r="D941" s="303"/>
      <c r="E941" s="303"/>
      <c r="F941" s="303"/>
      <c r="G941" s="303"/>
      <c r="H941" s="303"/>
      <c r="I941" s="303"/>
      <c r="J941" s="303"/>
      <c r="K941" s="303"/>
      <c r="L941" s="303"/>
      <c r="M941" s="303"/>
      <c r="N941" s="303"/>
      <c r="O941" s="303"/>
      <c r="P941" s="303"/>
      <c r="Q941" s="303"/>
      <c r="R941" s="303"/>
      <c r="S941" s="303"/>
      <c r="T941" s="303"/>
      <c r="U941" s="303"/>
      <c r="V941" s="303"/>
      <c r="W941" s="303"/>
      <c r="X941" s="303"/>
      <c r="Y941" s="303"/>
      <c r="Z941" s="303"/>
    </row>
    <row r="942" spans="1:26" x14ac:dyDescent="0.2">
      <c r="A942" s="303"/>
      <c r="B942" s="303"/>
      <c r="C942" s="303"/>
      <c r="D942" s="303"/>
      <c r="E942" s="303"/>
      <c r="F942" s="303"/>
      <c r="G942" s="303"/>
      <c r="H942" s="303"/>
      <c r="I942" s="303"/>
      <c r="J942" s="303"/>
      <c r="K942" s="303"/>
      <c r="L942" s="303"/>
      <c r="M942" s="303"/>
      <c r="N942" s="303"/>
      <c r="O942" s="303"/>
      <c r="P942" s="303"/>
      <c r="Q942" s="303"/>
      <c r="R942" s="303"/>
      <c r="S942" s="303"/>
      <c r="T942" s="303"/>
      <c r="U942" s="303"/>
      <c r="V942" s="303"/>
      <c r="W942" s="303"/>
      <c r="X942" s="303"/>
      <c r="Y942" s="303"/>
      <c r="Z942" s="303"/>
    </row>
    <row r="943" spans="1:26" x14ac:dyDescent="0.2">
      <c r="A943" s="303"/>
      <c r="B943" s="303"/>
      <c r="C943" s="303"/>
      <c r="D943" s="303"/>
      <c r="E943" s="303"/>
      <c r="F943" s="303"/>
      <c r="G943" s="303"/>
      <c r="H943" s="303"/>
      <c r="I943" s="303"/>
      <c r="J943" s="303"/>
      <c r="K943" s="303"/>
      <c r="L943" s="303"/>
      <c r="M943" s="303"/>
      <c r="N943" s="303"/>
      <c r="O943" s="303"/>
      <c r="P943" s="303"/>
      <c r="Q943" s="303"/>
      <c r="R943" s="303"/>
      <c r="S943" s="303"/>
      <c r="T943" s="303"/>
      <c r="U943" s="303"/>
      <c r="V943" s="303"/>
      <c r="W943" s="303"/>
      <c r="X943" s="303"/>
      <c r="Y943" s="303"/>
      <c r="Z943" s="303"/>
    </row>
    <row r="944" spans="1:26" x14ac:dyDescent="0.2">
      <c r="A944" s="303"/>
      <c r="B944" s="303"/>
      <c r="C944" s="303"/>
      <c r="D944" s="303"/>
      <c r="E944" s="303"/>
      <c r="F944" s="303"/>
      <c r="G944" s="303"/>
      <c r="H944" s="303"/>
      <c r="I944" s="303"/>
      <c r="J944" s="303"/>
      <c r="K944" s="303"/>
      <c r="L944" s="303"/>
      <c r="M944" s="303"/>
      <c r="N944" s="303"/>
      <c r="O944" s="303"/>
      <c r="P944" s="303"/>
      <c r="Q944" s="303"/>
      <c r="R944" s="303"/>
      <c r="S944" s="303"/>
      <c r="T944" s="303"/>
      <c r="U944" s="303"/>
      <c r="V944" s="303"/>
      <c r="W944" s="303"/>
      <c r="X944" s="303"/>
      <c r="Y944" s="303"/>
      <c r="Z944" s="303"/>
    </row>
    <row r="945" spans="1:26" x14ac:dyDescent="0.2">
      <c r="A945" s="303"/>
      <c r="B945" s="303"/>
      <c r="C945" s="303"/>
      <c r="D945" s="303"/>
      <c r="E945" s="303"/>
      <c r="F945" s="303"/>
      <c r="G945" s="303"/>
      <c r="H945" s="303"/>
      <c r="I945" s="303"/>
      <c r="J945" s="303"/>
      <c r="K945" s="303"/>
      <c r="L945" s="303"/>
      <c r="M945" s="303"/>
      <c r="N945" s="303"/>
      <c r="O945" s="303"/>
      <c r="P945" s="303"/>
      <c r="Q945" s="303"/>
      <c r="R945" s="303"/>
      <c r="S945" s="303"/>
      <c r="T945" s="303"/>
      <c r="U945" s="303"/>
      <c r="V945" s="303"/>
      <c r="W945" s="303"/>
      <c r="X945" s="303"/>
      <c r="Y945" s="303"/>
      <c r="Z945" s="303"/>
    </row>
    <row r="946" spans="1:26" x14ac:dyDescent="0.2">
      <c r="A946" s="303"/>
      <c r="B946" s="303"/>
      <c r="C946" s="303"/>
      <c r="D946" s="303"/>
      <c r="E946" s="303"/>
      <c r="F946" s="303"/>
      <c r="G946" s="303"/>
      <c r="H946" s="303"/>
      <c r="I946" s="303"/>
      <c r="J946" s="303"/>
      <c r="K946" s="303"/>
      <c r="L946" s="303"/>
      <c r="M946" s="303"/>
      <c r="N946" s="303"/>
      <c r="O946" s="303"/>
      <c r="P946" s="303"/>
      <c r="Q946" s="303"/>
      <c r="R946" s="303"/>
      <c r="S946" s="303"/>
      <c r="T946" s="303"/>
      <c r="U946" s="303"/>
      <c r="V946" s="303"/>
      <c r="W946" s="303"/>
      <c r="X946" s="303"/>
      <c r="Y946" s="303"/>
      <c r="Z946" s="303"/>
    </row>
    <row r="947" spans="1:26" x14ac:dyDescent="0.2">
      <c r="A947" s="303"/>
      <c r="B947" s="303"/>
      <c r="C947" s="303"/>
      <c r="D947" s="303"/>
      <c r="E947" s="303"/>
      <c r="F947" s="303"/>
      <c r="G947" s="303"/>
      <c r="H947" s="303"/>
      <c r="I947" s="303"/>
      <c r="J947" s="303"/>
      <c r="K947" s="303"/>
      <c r="L947" s="303"/>
      <c r="M947" s="303"/>
      <c r="N947" s="303"/>
      <c r="O947" s="303"/>
      <c r="P947" s="303"/>
      <c r="Q947" s="303"/>
      <c r="R947" s="303"/>
      <c r="S947" s="303"/>
      <c r="T947" s="303"/>
      <c r="U947" s="303"/>
      <c r="V947" s="303"/>
      <c r="W947" s="303"/>
      <c r="X947" s="303"/>
      <c r="Y947" s="303"/>
      <c r="Z947" s="303"/>
    </row>
    <row r="948" spans="1:26" x14ac:dyDescent="0.2">
      <c r="A948" s="303"/>
      <c r="B948" s="303"/>
      <c r="C948" s="303"/>
      <c r="D948" s="303"/>
      <c r="E948" s="303"/>
      <c r="F948" s="303"/>
      <c r="G948" s="303"/>
      <c r="H948" s="303"/>
      <c r="I948" s="303"/>
      <c r="J948" s="303"/>
      <c r="K948" s="303"/>
      <c r="L948" s="303"/>
      <c r="M948" s="303"/>
      <c r="N948" s="303"/>
      <c r="O948" s="303"/>
      <c r="P948" s="303"/>
      <c r="Q948" s="303"/>
      <c r="R948" s="303"/>
      <c r="S948" s="303"/>
      <c r="T948" s="303"/>
      <c r="U948" s="303"/>
      <c r="V948" s="303"/>
      <c r="W948" s="303"/>
      <c r="X948" s="303"/>
      <c r="Y948" s="303"/>
      <c r="Z948" s="303"/>
    </row>
    <row r="949" spans="1:26" x14ac:dyDescent="0.2">
      <c r="A949" s="303"/>
      <c r="B949" s="303"/>
      <c r="C949" s="303"/>
      <c r="D949" s="303"/>
      <c r="E949" s="303"/>
      <c r="F949" s="303"/>
      <c r="G949" s="303"/>
      <c r="H949" s="303"/>
      <c r="I949" s="303"/>
      <c r="J949" s="303"/>
      <c r="K949" s="303"/>
      <c r="L949" s="303"/>
      <c r="M949" s="303"/>
      <c r="N949" s="303"/>
      <c r="O949" s="303"/>
      <c r="P949" s="303"/>
      <c r="Q949" s="303"/>
      <c r="R949" s="303"/>
      <c r="S949" s="303"/>
      <c r="T949" s="303"/>
      <c r="U949" s="303"/>
      <c r="V949" s="303"/>
      <c r="W949" s="303"/>
      <c r="X949" s="303"/>
      <c r="Y949" s="303"/>
      <c r="Z949" s="303"/>
    </row>
    <row r="950" spans="1:26" x14ac:dyDescent="0.2">
      <c r="A950" s="303"/>
      <c r="B950" s="303"/>
      <c r="C950" s="303"/>
      <c r="D950" s="303"/>
      <c r="E950" s="303"/>
      <c r="F950" s="303"/>
      <c r="G950" s="303"/>
      <c r="H950" s="303"/>
      <c r="I950" s="303"/>
      <c r="J950" s="303"/>
      <c r="K950" s="303"/>
      <c r="L950" s="303"/>
      <c r="M950" s="303"/>
      <c r="N950" s="303"/>
      <c r="O950" s="303"/>
      <c r="P950" s="303"/>
      <c r="Q950" s="303"/>
      <c r="R950" s="303"/>
      <c r="S950" s="303"/>
      <c r="T950" s="303"/>
      <c r="U950" s="303"/>
      <c r="V950" s="303"/>
      <c r="W950" s="303"/>
      <c r="X950" s="303"/>
      <c r="Y950" s="303"/>
      <c r="Z950" s="303"/>
    </row>
    <row r="951" spans="1:26" x14ac:dyDescent="0.2">
      <c r="A951" s="303"/>
      <c r="B951" s="303"/>
      <c r="C951" s="303"/>
      <c r="D951" s="303"/>
      <c r="E951" s="303"/>
      <c r="F951" s="303"/>
      <c r="G951" s="303"/>
      <c r="H951" s="303"/>
      <c r="I951" s="303"/>
      <c r="J951" s="303"/>
      <c r="K951" s="303"/>
      <c r="L951" s="303"/>
      <c r="M951" s="303"/>
      <c r="N951" s="303"/>
      <c r="O951" s="303"/>
      <c r="P951" s="303"/>
      <c r="Q951" s="303"/>
      <c r="R951" s="303"/>
      <c r="S951" s="303"/>
      <c r="T951" s="303"/>
      <c r="U951" s="303"/>
      <c r="V951" s="303"/>
      <c r="W951" s="303"/>
      <c r="X951" s="303"/>
      <c r="Y951" s="303"/>
      <c r="Z951" s="303"/>
    </row>
    <row r="952" spans="1:26" x14ac:dyDescent="0.2">
      <c r="A952" s="303"/>
      <c r="B952" s="303"/>
      <c r="C952" s="303"/>
      <c r="D952" s="303"/>
      <c r="E952" s="303"/>
      <c r="F952" s="303"/>
      <c r="G952" s="303"/>
      <c r="H952" s="303"/>
      <c r="I952" s="303"/>
      <c r="J952" s="303"/>
      <c r="K952" s="303"/>
      <c r="L952" s="303"/>
      <c r="M952" s="303"/>
      <c r="N952" s="303"/>
      <c r="O952" s="303"/>
      <c r="P952" s="303"/>
      <c r="Q952" s="303"/>
      <c r="R952" s="303"/>
      <c r="S952" s="303"/>
      <c r="T952" s="303"/>
      <c r="U952" s="303"/>
      <c r="V952" s="303"/>
      <c r="W952" s="303"/>
      <c r="X952" s="303"/>
      <c r="Y952" s="303"/>
      <c r="Z952" s="303"/>
    </row>
    <row r="953" spans="1:26" x14ac:dyDescent="0.2">
      <c r="A953" s="303"/>
      <c r="B953" s="303"/>
      <c r="C953" s="303"/>
      <c r="D953" s="303"/>
      <c r="E953" s="303"/>
      <c r="F953" s="303"/>
      <c r="G953" s="303"/>
      <c r="H953" s="303"/>
      <c r="I953" s="303"/>
      <c r="J953" s="303"/>
      <c r="K953" s="303"/>
      <c r="L953" s="303"/>
      <c r="M953" s="303"/>
      <c r="N953" s="303"/>
      <c r="O953" s="303"/>
      <c r="P953" s="303"/>
      <c r="Q953" s="303"/>
      <c r="R953" s="303"/>
      <c r="S953" s="303"/>
      <c r="T953" s="303"/>
      <c r="U953" s="303"/>
      <c r="V953" s="303"/>
      <c r="W953" s="303"/>
      <c r="X953" s="303"/>
      <c r="Y953" s="303"/>
      <c r="Z953" s="303"/>
    </row>
    <row r="954" spans="1:26" x14ac:dyDescent="0.2">
      <c r="A954" s="303"/>
      <c r="B954" s="303"/>
      <c r="C954" s="303"/>
      <c r="D954" s="303"/>
      <c r="E954" s="303"/>
      <c r="F954" s="303"/>
      <c r="G954" s="303"/>
      <c r="H954" s="303"/>
      <c r="I954" s="303"/>
      <c r="J954" s="303"/>
      <c r="K954" s="303"/>
      <c r="L954" s="303"/>
      <c r="M954" s="303"/>
      <c r="N954" s="303"/>
      <c r="O954" s="303"/>
      <c r="P954" s="303"/>
      <c r="Q954" s="303"/>
      <c r="R954" s="303"/>
      <c r="S954" s="303"/>
      <c r="T954" s="303"/>
      <c r="U954" s="303"/>
      <c r="V954" s="303"/>
      <c r="W954" s="303"/>
      <c r="X954" s="303"/>
      <c r="Y954" s="303"/>
      <c r="Z954" s="303"/>
    </row>
    <row r="955" spans="1:26" x14ac:dyDescent="0.2">
      <c r="A955" s="303"/>
      <c r="B955" s="303"/>
      <c r="C955" s="303"/>
      <c r="D955" s="303"/>
      <c r="E955" s="303"/>
      <c r="F955" s="303"/>
      <c r="G955" s="303"/>
      <c r="H955" s="303"/>
      <c r="I955" s="303"/>
      <c r="J955" s="303"/>
      <c r="K955" s="303"/>
      <c r="L955" s="303"/>
      <c r="M955" s="303"/>
      <c r="N955" s="303"/>
      <c r="O955" s="303"/>
      <c r="P955" s="303"/>
      <c r="Q955" s="303"/>
      <c r="R955" s="303"/>
      <c r="S955" s="303"/>
      <c r="T955" s="303"/>
      <c r="U955" s="303"/>
      <c r="V955" s="303"/>
      <c r="W955" s="303"/>
      <c r="X955" s="303"/>
      <c r="Y955" s="303"/>
      <c r="Z955" s="303"/>
    </row>
    <row r="956" spans="1:26" x14ac:dyDescent="0.2">
      <c r="A956" s="303"/>
      <c r="B956" s="303"/>
      <c r="C956" s="303"/>
      <c r="D956" s="303"/>
      <c r="E956" s="303"/>
      <c r="F956" s="303"/>
      <c r="G956" s="303"/>
      <c r="H956" s="303"/>
      <c r="I956" s="303"/>
      <c r="J956" s="303"/>
      <c r="K956" s="303"/>
      <c r="L956" s="303"/>
      <c r="M956" s="303"/>
      <c r="N956" s="303"/>
      <c r="O956" s="303"/>
      <c r="P956" s="303"/>
      <c r="Q956" s="303"/>
      <c r="R956" s="303"/>
      <c r="S956" s="303"/>
      <c r="T956" s="303"/>
      <c r="U956" s="303"/>
      <c r="V956" s="303"/>
      <c r="W956" s="303"/>
      <c r="X956" s="303"/>
      <c r="Y956" s="303"/>
      <c r="Z956" s="303"/>
    </row>
    <row r="957" spans="1:26" x14ac:dyDescent="0.2">
      <c r="A957" s="303"/>
      <c r="B957" s="303"/>
      <c r="C957" s="303"/>
      <c r="D957" s="303"/>
      <c r="E957" s="303"/>
      <c r="F957" s="303"/>
      <c r="G957" s="303"/>
      <c r="H957" s="303"/>
      <c r="I957" s="303"/>
      <c r="J957" s="303"/>
      <c r="K957" s="303"/>
      <c r="L957" s="303"/>
      <c r="M957" s="303"/>
      <c r="N957" s="303"/>
      <c r="O957" s="303"/>
      <c r="P957" s="303"/>
      <c r="Q957" s="303"/>
      <c r="R957" s="303"/>
      <c r="S957" s="303"/>
      <c r="T957" s="303"/>
      <c r="U957" s="303"/>
      <c r="V957" s="303"/>
      <c r="W957" s="303"/>
      <c r="X957" s="303"/>
      <c r="Y957" s="303"/>
      <c r="Z957" s="303"/>
    </row>
    <row r="958" spans="1:26" x14ac:dyDescent="0.2">
      <c r="A958" s="303"/>
      <c r="B958" s="303"/>
      <c r="C958" s="303"/>
      <c r="D958" s="303"/>
      <c r="E958" s="303"/>
      <c r="F958" s="303"/>
      <c r="G958" s="303"/>
      <c r="H958" s="303"/>
      <c r="I958" s="303"/>
      <c r="J958" s="303"/>
      <c r="K958" s="303"/>
      <c r="L958" s="303"/>
      <c r="M958" s="303"/>
      <c r="N958" s="303"/>
      <c r="O958" s="303"/>
      <c r="P958" s="303"/>
      <c r="Q958" s="303"/>
      <c r="R958" s="303"/>
      <c r="S958" s="303"/>
      <c r="T958" s="303"/>
      <c r="U958" s="303"/>
      <c r="V958" s="303"/>
      <c r="W958" s="303"/>
      <c r="X958" s="303"/>
      <c r="Y958" s="303"/>
      <c r="Z958" s="303"/>
    </row>
    <row r="959" spans="1:26" x14ac:dyDescent="0.2">
      <c r="A959" s="303"/>
      <c r="B959" s="303"/>
      <c r="C959" s="303"/>
      <c r="D959" s="303"/>
      <c r="E959" s="303"/>
      <c r="F959" s="303"/>
      <c r="G959" s="303"/>
      <c r="H959" s="303"/>
      <c r="I959" s="303"/>
      <c r="J959" s="303"/>
      <c r="K959" s="303"/>
      <c r="L959" s="303"/>
      <c r="M959" s="303"/>
      <c r="N959" s="303"/>
      <c r="O959" s="303"/>
      <c r="P959" s="303"/>
      <c r="Q959" s="303"/>
      <c r="R959" s="303"/>
      <c r="S959" s="303"/>
      <c r="T959" s="303"/>
      <c r="U959" s="303"/>
      <c r="V959" s="303"/>
      <c r="W959" s="303"/>
      <c r="X959" s="303"/>
      <c r="Y959" s="303"/>
      <c r="Z959" s="303"/>
    </row>
    <row r="960" spans="1:26" x14ac:dyDescent="0.2">
      <c r="A960" s="303"/>
      <c r="B960" s="303"/>
      <c r="C960" s="303"/>
      <c r="D960" s="303"/>
      <c r="E960" s="303"/>
      <c r="F960" s="303"/>
      <c r="G960" s="303"/>
      <c r="H960" s="303"/>
      <c r="I960" s="303"/>
      <c r="J960" s="303"/>
      <c r="K960" s="303"/>
      <c r="L960" s="303"/>
      <c r="M960" s="303"/>
      <c r="N960" s="303"/>
      <c r="O960" s="303"/>
      <c r="P960" s="303"/>
      <c r="Q960" s="303"/>
      <c r="R960" s="303"/>
      <c r="S960" s="303"/>
      <c r="T960" s="303"/>
      <c r="U960" s="303"/>
      <c r="V960" s="303"/>
      <c r="W960" s="303"/>
      <c r="X960" s="303"/>
      <c r="Y960" s="303"/>
      <c r="Z960" s="303"/>
    </row>
    <row r="961" spans="1:26" x14ac:dyDescent="0.2">
      <c r="A961" s="303"/>
      <c r="B961" s="303"/>
      <c r="C961" s="303"/>
      <c r="D961" s="303"/>
      <c r="E961" s="303"/>
      <c r="F961" s="303"/>
      <c r="G961" s="303"/>
      <c r="H961" s="303"/>
      <c r="I961" s="303"/>
      <c r="J961" s="303"/>
      <c r="K961" s="303"/>
      <c r="L961" s="303"/>
      <c r="M961" s="303"/>
      <c r="N961" s="303"/>
      <c r="O961" s="303"/>
      <c r="P961" s="303"/>
      <c r="Q961" s="303"/>
      <c r="R961" s="303"/>
      <c r="S961" s="303"/>
      <c r="T961" s="303"/>
      <c r="U961" s="303"/>
      <c r="V961" s="303"/>
      <c r="W961" s="303"/>
      <c r="X961" s="303"/>
      <c r="Y961" s="303"/>
      <c r="Z961" s="303"/>
    </row>
    <row r="962" spans="1:26" x14ac:dyDescent="0.2">
      <c r="A962" s="303"/>
      <c r="B962" s="303"/>
      <c r="C962" s="303"/>
      <c r="D962" s="303"/>
      <c r="E962" s="303"/>
      <c r="F962" s="303"/>
      <c r="G962" s="303"/>
      <c r="H962" s="303"/>
      <c r="I962" s="303"/>
      <c r="J962" s="303"/>
      <c r="K962" s="303"/>
      <c r="L962" s="303"/>
      <c r="M962" s="303"/>
      <c r="N962" s="303"/>
      <c r="O962" s="303"/>
      <c r="P962" s="303"/>
      <c r="Q962" s="303"/>
      <c r="R962" s="303"/>
      <c r="S962" s="303"/>
      <c r="T962" s="303"/>
      <c r="U962" s="303"/>
      <c r="V962" s="303"/>
      <c r="W962" s="303"/>
      <c r="X962" s="303"/>
      <c r="Y962" s="303"/>
      <c r="Z962" s="303"/>
    </row>
    <row r="963" spans="1:26" x14ac:dyDescent="0.2">
      <c r="A963" s="303"/>
      <c r="B963" s="303"/>
      <c r="C963" s="303"/>
      <c r="D963" s="303"/>
      <c r="E963" s="303"/>
      <c r="F963" s="303"/>
      <c r="G963" s="303"/>
      <c r="H963" s="303"/>
      <c r="I963" s="303"/>
      <c r="J963" s="303"/>
      <c r="K963" s="303"/>
      <c r="L963" s="303"/>
      <c r="M963" s="303"/>
      <c r="N963" s="303"/>
      <c r="O963" s="303"/>
      <c r="P963" s="303"/>
      <c r="Q963" s="303"/>
      <c r="R963" s="303"/>
      <c r="S963" s="303"/>
      <c r="T963" s="303"/>
      <c r="U963" s="303"/>
      <c r="V963" s="303"/>
      <c r="W963" s="303"/>
      <c r="X963" s="303"/>
      <c r="Y963" s="303"/>
      <c r="Z963" s="303"/>
    </row>
    <row r="964" spans="1:26" x14ac:dyDescent="0.2">
      <c r="A964" s="303"/>
      <c r="B964" s="303"/>
      <c r="C964" s="303"/>
      <c r="D964" s="303"/>
      <c r="E964" s="303"/>
      <c r="F964" s="303"/>
      <c r="G964" s="303"/>
      <c r="H964" s="303"/>
      <c r="I964" s="303"/>
      <c r="J964" s="303"/>
      <c r="K964" s="303"/>
      <c r="L964" s="303"/>
      <c r="M964" s="303"/>
      <c r="N964" s="303"/>
      <c r="O964" s="303"/>
      <c r="P964" s="303"/>
      <c r="Q964" s="303"/>
      <c r="R964" s="303"/>
      <c r="S964" s="303"/>
      <c r="T964" s="303"/>
      <c r="U964" s="303"/>
      <c r="V964" s="303"/>
      <c r="W964" s="303"/>
      <c r="X964" s="303"/>
      <c r="Y964" s="303"/>
      <c r="Z964" s="303"/>
    </row>
    <row r="965" spans="1:26" x14ac:dyDescent="0.2">
      <c r="A965" s="303"/>
      <c r="B965" s="303"/>
      <c r="C965" s="303"/>
      <c r="D965" s="303"/>
      <c r="E965" s="303"/>
      <c r="F965" s="303"/>
      <c r="G965" s="303"/>
      <c r="H965" s="303"/>
      <c r="I965" s="303"/>
      <c r="J965" s="303"/>
      <c r="K965" s="303"/>
      <c r="L965" s="303"/>
      <c r="M965" s="303"/>
      <c r="N965" s="303"/>
      <c r="O965" s="303"/>
      <c r="P965" s="303"/>
      <c r="Q965" s="303"/>
      <c r="R965" s="303"/>
      <c r="S965" s="303"/>
      <c r="T965" s="303"/>
      <c r="U965" s="303"/>
      <c r="V965" s="303"/>
      <c r="W965" s="303"/>
      <c r="X965" s="303"/>
      <c r="Y965" s="303"/>
      <c r="Z965" s="303"/>
    </row>
    <row r="966" spans="1:26" x14ac:dyDescent="0.2">
      <c r="A966" s="303"/>
      <c r="B966" s="303"/>
      <c r="C966" s="303"/>
      <c r="D966" s="303"/>
      <c r="E966" s="303"/>
      <c r="F966" s="303"/>
      <c r="G966" s="303"/>
      <c r="H966" s="303"/>
      <c r="I966" s="303"/>
      <c r="J966" s="303"/>
      <c r="K966" s="303"/>
      <c r="L966" s="303"/>
      <c r="M966" s="303"/>
      <c r="N966" s="303"/>
      <c r="O966" s="303"/>
      <c r="P966" s="303"/>
      <c r="Q966" s="303"/>
      <c r="R966" s="303"/>
      <c r="S966" s="303"/>
      <c r="T966" s="303"/>
      <c r="U966" s="303"/>
      <c r="V966" s="303"/>
      <c r="W966" s="303"/>
      <c r="X966" s="303"/>
      <c r="Y966" s="303"/>
      <c r="Z966" s="303"/>
    </row>
    <row r="967" spans="1:26" x14ac:dyDescent="0.2">
      <c r="A967" s="303"/>
      <c r="B967" s="303"/>
      <c r="C967" s="303"/>
      <c r="D967" s="303"/>
      <c r="E967" s="303"/>
      <c r="F967" s="303"/>
      <c r="G967" s="303"/>
      <c r="H967" s="303"/>
      <c r="I967" s="303"/>
      <c r="J967" s="303"/>
      <c r="K967" s="303"/>
      <c r="L967" s="303"/>
      <c r="M967" s="303"/>
      <c r="N967" s="303"/>
      <c r="O967" s="303"/>
      <c r="P967" s="303"/>
      <c r="Q967" s="303"/>
      <c r="R967" s="303"/>
      <c r="S967" s="303"/>
      <c r="T967" s="303"/>
      <c r="U967" s="303"/>
      <c r="V967" s="303"/>
      <c r="W967" s="303"/>
      <c r="X967" s="303"/>
      <c r="Y967" s="303"/>
      <c r="Z967" s="303"/>
    </row>
    <row r="968" spans="1:26" x14ac:dyDescent="0.2">
      <c r="A968" s="303"/>
      <c r="B968" s="303"/>
      <c r="C968" s="303"/>
      <c r="D968" s="303"/>
      <c r="E968" s="303"/>
      <c r="F968" s="303"/>
      <c r="G968" s="303"/>
      <c r="H968" s="303"/>
      <c r="I968" s="303"/>
      <c r="J968" s="303"/>
      <c r="K968" s="303"/>
      <c r="L968" s="303"/>
      <c r="M968" s="303"/>
      <c r="N968" s="303"/>
      <c r="O968" s="303"/>
      <c r="P968" s="303"/>
      <c r="Q968" s="303"/>
      <c r="R968" s="303"/>
      <c r="S968" s="303"/>
      <c r="T968" s="303"/>
      <c r="U968" s="303"/>
      <c r="V968" s="303"/>
      <c r="W968" s="303"/>
      <c r="X968" s="303"/>
      <c r="Y968" s="303"/>
      <c r="Z968" s="303"/>
    </row>
    <row r="969" spans="1:26" x14ac:dyDescent="0.2">
      <c r="A969" s="303"/>
      <c r="B969" s="303"/>
      <c r="C969" s="303"/>
      <c r="D969" s="303"/>
      <c r="E969" s="303"/>
      <c r="F969" s="303"/>
      <c r="G969" s="303"/>
      <c r="H969" s="303"/>
      <c r="I969" s="303"/>
      <c r="J969" s="303"/>
      <c r="K969" s="303"/>
      <c r="L969" s="303"/>
      <c r="M969" s="303"/>
      <c r="N969" s="303"/>
      <c r="O969" s="303"/>
      <c r="P969" s="303"/>
      <c r="Q969" s="303"/>
      <c r="R969" s="303"/>
      <c r="S969" s="303"/>
      <c r="T969" s="303"/>
      <c r="U969" s="303"/>
      <c r="V969" s="303"/>
      <c r="W969" s="303"/>
      <c r="X969" s="303"/>
      <c r="Y969" s="303"/>
      <c r="Z969" s="303"/>
    </row>
    <row r="970" spans="1:26" x14ac:dyDescent="0.2">
      <c r="A970" s="303"/>
      <c r="B970" s="303"/>
      <c r="C970" s="303"/>
      <c r="D970" s="303"/>
      <c r="E970" s="303"/>
      <c r="F970" s="303"/>
      <c r="G970" s="303"/>
      <c r="H970" s="303"/>
      <c r="I970" s="303"/>
      <c r="J970" s="303"/>
      <c r="K970" s="303"/>
      <c r="L970" s="303"/>
      <c r="M970" s="303"/>
      <c r="N970" s="303"/>
      <c r="O970" s="303"/>
      <c r="P970" s="303"/>
      <c r="Q970" s="303"/>
      <c r="R970" s="303"/>
      <c r="S970" s="303"/>
      <c r="T970" s="303"/>
      <c r="U970" s="303"/>
      <c r="V970" s="303"/>
      <c r="W970" s="303"/>
      <c r="X970" s="303"/>
      <c r="Y970" s="303"/>
      <c r="Z970" s="303"/>
    </row>
    <row r="971" spans="1:26" x14ac:dyDescent="0.2">
      <c r="A971" s="303"/>
      <c r="B971" s="303"/>
      <c r="C971" s="303"/>
      <c r="D971" s="303"/>
      <c r="E971" s="303"/>
      <c r="F971" s="303"/>
      <c r="G971" s="303"/>
      <c r="H971" s="303"/>
      <c r="I971" s="303"/>
      <c r="J971" s="303"/>
      <c r="K971" s="303"/>
      <c r="L971" s="303"/>
      <c r="M971" s="303"/>
      <c r="N971" s="303"/>
      <c r="O971" s="303"/>
      <c r="P971" s="303"/>
      <c r="Q971" s="303"/>
      <c r="R971" s="303"/>
      <c r="S971" s="303"/>
      <c r="T971" s="303"/>
      <c r="U971" s="303"/>
      <c r="V971" s="303"/>
      <c r="W971" s="303"/>
      <c r="X971" s="303"/>
      <c r="Y971" s="303"/>
      <c r="Z971" s="303"/>
    </row>
    <row r="972" spans="1:26" x14ac:dyDescent="0.2">
      <c r="A972" s="303"/>
      <c r="B972" s="303"/>
      <c r="C972" s="303"/>
      <c r="D972" s="303"/>
      <c r="E972" s="303"/>
      <c r="F972" s="303"/>
      <c r="G972" s="303"/>
      <c r="H972" s="303"/>
      <c r="I972" s="303"/>
      <c r="J972" s="303"/>
      <c r="K972" s="303"/>
      <c r="L972" s="303"/>
      <c r="M972" s="303"/>
      <c r="N972" s="303"/>
      <c r="O972" s="303"/>
      <c r="P972" s="303"/>
      <c r="Q972" s="303"/>
      <c r="R972" s="303"/>
      <c r="S972" s="303"/>
      <c r="T972" s="303"/>
      <c r="U972" s="303"/>
      <c r="V972" s="303"/>
      <c r="W972" s="303"/>
      <c r="X972" s="303"/>
      <c r="Y972" s="303"/>
      <c r="Z972" s="303"/>
    </row>
    <row r="973" spans="1:26" x14ac:dyDescent="0.2">
      <c r="A973" s="303"/>
      <c r="B973" s="303"/>
      <c r="C973" s="303"/>
      <c r="D973" s="303"/>
      <c r="E973" s="303"/>
      <c r="F973" s="303"/>
      <c r="G973" s="303"/>
      <c r="H973" s="303"/>
      <c r="I973" s="303"/>
      <c r="J973" s="303"/>
      <c r="K973" s="303"/>
      <c r="L973" s="303"/>
      <c r="M973" s="303"/>
      <c r="N973" s="303"/>
      <c r="O973" s="303"/>
      <c r="P973" s="303"/>
      <c r="Q973" s="303"/>
      <c r="R973" s="303"/>
      <c r="S973" s="303"/>
      <c r="T973" s="303"/>
      <c r="U973" s="303"/>
      <c r="V973" s="303"/>
      <c r="W973" s="303"/>
      <c r="X973" s="303"/>
      <c r="Y973" s="303"/>
      <c r="Z973" s="303"/>
    </row>
    <row r="974" spans="1:26" x14ac:dyDescent="0.2">
      <c r="A974" s="303"/>
      <c r="B974" s="303"/>
      <c r="C974" s="303"/>
      <c r="D974" s="303"/>
      <c r="E974" s="303"/>
      <c r="F974" s="303"/>
      <c r="G974" s="303"/>
      <c r="H974" s="303"/>
      <c r="I974" s="303"/>
      <c r="J974" s="303"/>
      <c r="K974" s="303"/>
      <c r="L974" s="303"/>
      <c r="M974" s="303"/>
      <c r="N974" s="303"/>
      <c r="O974" s="303"/>
      <c r="P974" s="303"/>
      <c r="Q974" s="303"/>
      <c r="R974" s="303"/>
      <c r="S974" s="303"/>
      <c r="T974" s="303"/>
      <c r="U974" s="303"/>
      <c r="V974" s="303"/>
      <c r="W974" s="303"/>
      <c r="X974" s="303"/>
      <c r="Y974" s="303"/>
      <c r="Z974" s="303"/>
    </row>
    <row r="975" spans="1:26" x14ac:dyDescent="0.2">
      <c r="A975" s="303"/>
      <c r="B975" s="303"/>
      <c r="C975" s="303"/>
      <c r="D975" s="303"/>
      <c r="E975" s="303"/>
      <c r="F975" s="303"/>
      <c r="G975" s="303"/>
      <c r="H975" s="303"/>
      <c r="I975" s="303"/>
      <c r="J975" s="303"/>
      <c r="K975" s="303"/>
      <c r="L975" s="303"/>
      <c r="M975" s="303"/>
      <c r="N975" s="303"/>
      <c r="O975" s="303"/>
      <c r="P975" s="303"/>
      <c r="Q975" s="303"/>
      <c r="R975" s="303"/>
      <c r="S975" s="303"/>
      <c r="T975" s="303"/>
      <c r="U975" s="303"/>
      <c r="V975" s="303"/>
      <c r="W975" s="303"/>
      <c r="X975" s="303"/>
      <c r="Y975" s="303"/>
      <c r="Z975" s="303"/>
    </row>
    <row r="976" spans="1:26" x14ac:dyDescent="0.2">
      <c r="A976" s="303"/>
      <c r="B976" s="303"/>
      <c r="C976" s="303"/>
      <c r="D976" s="303"/>
      <c r="E976" s="303"/>
      <c r="F976" s="303"/>
      <c r="G976" s="303"/>
      <c r="H976" s="303"/>
      <c r="I976" s="303"/>
      <c r="J976" s="303"/>
      <c r="K976" s="303"/>
      <c r="L976" s="303"/>
      <c r="M976" s="303"/>
      <c r="N976" s="303"/>
      <c r="O976" s="303"/>
      <c r="P976" s="303"/>
      <c r="Q976" s="303"/>
      <c r="R976" s="303"/>
      <c r="S976" s="303"/>
      <c r="T976" s="303"/>
      <c r="U976" s="303"/>
      <c r="V976" s="303"/>
      <c r="W976" s="303"/>
      <c r="X976" s="303"/>
      <c r="Y976" s="303"/>
      <c r="Z976" s="303"/>
    </row>
    <row r="977" spans="1:26" x14ac:dyDescent="0.2">
      <c r="A977" s="303"/>
      <c r="B977" s="303"/>
      <c r="C977" s="303"/>
      <c r="D977" s="303"/>
      <c r="E977" s="303"/>
      <c r="F977" s="303"/>
      <c r="G977" s="303"/>
      <c r="H977" s="303"/>
      <c r="I977" s="303"/>
      <c r="J977" s="303"/>
      <c r="K977" s="303"/>
      <c r="L977" s="303"/>
      <c r="M977" s="303"/>
      <c r="N977" s="303"/>
      <c r="O977" s="303"/>
      <c r="P977" s="303"/>
      <c r="Q977" s="303"/>
      <c r="R977" s="303"/>
      <c r="S977" s="303"/>
      <c r="T977" s="303"/>
      <c r="U977" s="303"/>
      <c r="V977" s="303"/>
      <c r="W977" s="303"/>
      <c r="X977" s="303"/>
      <c r="Y977" s="303"/>
      <c r="Z977" s="303"/>
    </row>
    <row r="978" spans="1:26" x14ac:dyDescent="0.2">
      <c r="A978" s="303"/>
      <c r="B978" s="303"/>
      <c r="C978" s="303"/>
      <c r="D978" s="303"/>
      <c r="E978" s="303"/>
      <c r="F978" s="303"/>
      <c r="G978" s="303"/>
      <c r="H978" s="303"/>
      <c r="I978" s="303"/>
      <c r="J978" s="303"/>
      <c r="K978" s="303"/>
      <c r="L978" s="303"/>
      <c r="M978" s="303"/>
      <c r="N978" s="303"/>
      <c r="O978" s="303"/>
      <c r="P978" s="303"/>
      <c r="Q978" s="303"/>
      <c r="R978" s="303"/>
      <c r="S978" s="303"/>
      <c r="T978" s="303"/>
      <c r="U978" s="303"/>
      <c r="V978" s="303"/>
      <c r="W978" s="303"/>
      <c r="X978" s="303"/>
      <c r="Y978" s="303"/>
      <c r="Z978" s="303"/>
    </row>
    <row r="979" spans="1:26" x14ac:dyDescent="0.2">
      <c r="A979" s="303"/>
      <c r="B979" s="303"/>
      <c r="C979" s="303"/>
      <c r="D979" s="303"/>
      <c r="E979" s="303"/>
      <c r="F979" s="303"/>
      <c r="G979" s="303"/>
      <c r="H979" s="303"/>
      <c r="I979" s="303"/>
      <c r="J979" s="303"/>
      <c r="K979" s="303"/>
      <c r="L979" s="303"/>
      <c r="M979" s="303"/>
      <c r="N979" s="303"/>
      <c r="O979" s="303"/>
      <c r="P979" s="303"/>
      <c r="Q979" s="303"/>
      <c r="R979" s="303"/>
      <c r="S979" s="303"/>
      <c r="T979" s="303"/>
      <c r="U979" s="303"/>
      <c r="V979" s="303"/>
      <c r="W979" s="303"/>
      <c r="X979" s="303"/>
      <c r="Y979" s="303"/>
      <c r="Z979" s="303"/>
    </row>
    <row r="980" spans="1:26" x14ac:dyDescent="0.2">
      <c r="A980" s="303"/>
      <c r="B980" s="303"/>
      <c r="C980" s="303"/>
      <c r="D980" s="303"/>
      <c r="E980" s="303"/>
      <c r="F980" s="303"/>
      <c r="G980" s="303"/>
      <c r="H980" s="303"/>
      <c r="I980" s="303"/>
      <c r="J980" s="303"/>
      <c r="K980" s="303"/>
      <c r="L980" s="303"/>
      <c r="M980" s="303"/>
      <c r="N980" s="303"/>
      <c r="O980" s="303"/>
      <c r="P980" s="303"/>
      <c r="Q980" s="303"/>
      <c r="R980" s="303"/>
      <c r="S980" s="303"/>
      <c r="T980" s="303"/>
      <c r="U980" s="303"/>
      <c r="V980" s="303"/>
      <c r="W980" s="303"/>
      <c r="X980" s="303"/>
      <c r="Y980" s="303"/>
      <c r="Z980" s="303"/>
    </row>
    <row r="981" spans="1:26" x14ac:dyDescent="0.2">
      <c r="A981" s="303"/>
      <c r="B981" s="303"/>
      <c r="C981" s="303"/>
      <c r="D981" s="303"/>
      <c r="E981" s="303"/>
      <c r="F981" s="303"/>
      <c r="G981" s="303"/>
      <c r="H981" s="303"/>
      <c r="I981" s="303"/>
      <c r="J981" s="303"/>
      <c r="K981" s="303"/>
      <c r="L981" s="303"/>
      <c r="M981" s="303"/>
      <c r="N981" s="303"/>
      <c r="O981" s="303"/>
      <c r="P981" s="303"/>
      <c r="Q981" s="303"/>
      <c r="R981" s="303"/>
      <c r="S981" s="303"/>
      <c r="T981" s="303"/>
      <c r="U981" s="303"/>
      <c r="V981" s="303"/>
      <c r="W981" s="303"/>
      <c r="X981" s="303"/>
      <c r="Y981" s="303"/>
      <c r="Z981" s="303"/>
    </row>
    <row r="982" spans="1:26" x14ac:dyDescent="0.2">
      <c r="A982" s="303"/>
      <c r="B982" s="303"/>
      <c r="C982" s="303"/>
      <c r="D982" s="303"/>
      <c r="E982" s="303"/>
      <c r="F982" s="303"/>
      <c r="G982" s="303"/>
      <c r="H982" s="303"/>
      <c r="I982" s="303"/>
      <c r="J982" s="303"/>
      <c r="K982" s="303"/>
      <c r="L982" s="303"/>
      <c r="M982" s="303"/>
      <c r="N982" s="303"/>
      <c r="O982" s="303"/>
      <c r="P982" s="303"/>
      <c r="Q982" s="303"/>
      <c r="R982" s="303"/>
      <c r="S982" s="303"/>
      <c r="T982" s="303"/>
      <c r="U982" s="303"/>
      <c r="V982" s="303"/>
      <c r="W982" s="303"/>
      <c r="X982" s="303"/>
      <c r="Y982" s="303"/>
      <c r="Z982" s="303"/>
    </row>
    <row r="983" spans="1:26" x14ac:dyDescent="0.2">
      <c r="A983" s="303"/>
      <c r="B983" s="303"/>
      <c r="C983" s="303"/>
      <c r="D983" s="303"/>
      <c r="E983" s="303"/>
      <c r="F983" s="303"/>
      <c r="G983" s="303"/>
      <c r="H983" s="303"/>
      <c r="I983" s="303"/>
      <c r="J983" s="303"/>
      <c r="K983" s="303"/>
      <c r="L983" s="303"/>
      <c r="M983" s="303"/>
      <c r="N983" s="303"/>
      <c r="O983" s="303"/>
      <c r="P983" s="303"/>
      <c r="Q983" s="303"/>
      <c r="R983" s="303"/>
      <c r="S983" s="303"/>
      <c r="T983" s="303"/>
      <c r="U983" s="303"/>
      <c r="V983" s="303"/>
      <c r="W983" s="303"/>
      <c r="X983" s="303"/>
      <c r="Y983" s="303"/>
      <c r="Z983" s="303"/>
    </row>
    <row r="984" spans="1:26" x14ac:dyDescent="0.2">
      <c r="A984" s="303"/>
      <c r="B984" s="303"/>
      <c r="C984" s="303"/>
      <c r="D984" s="303"/>
      <c r="E984" s="303"/>
      <c r="F984" s="303"/>
      <c r="G984" s="303"/>
      <c r="H984" s="303"/>
      <c r="I984" s="303"/>
      <c r="J984" s="303"/>
      <c r="K984" s="303"/>
      <c r="L984" s="303"/>
      <c r="M984" s="303"/>
      <c r="N984" s="303"/>
      <c r="O984" s="303"/>
      <c r="P984" s="303"/>
      <c r="Q984" s="303"/>
      <c r="R984" s="303"/>
      <c r="S984" s="303"/>
      <c r="T984" s="303"/>
      <c r="U984" s="303"/>
      <c r="V984" s="303"/>
      <c r="W984" s="303"/>
      <c r="X984" s="303"/>
      <c r="Y984" s="303"/>
      <c r="Z984" s="303"/>
    </row>
    <row r="985" spans="1:26" x14ac:dyDescent="0.2">
      <c r="A985" s="303"/>
      <c r="B985" s="303"/>
      <c r="C985" s="303"/>
      <c r="D985" s="303"/>
      <c r="E985" s="303"/>
      <c r="F985" s="303"/>
      <c r="G985" s="303"/>
      <c r="H985" s="303"/>
      <c r="I985" s="303"/>
      <c r="J985" s="303"/>
      <c r="K985" s="303"/>
      <c r="L985" s="303"/>
      <c r="M985" s="303"/>
      <c r="N985" s="303"/>
      <c r="O985" s="303"/>
      <c r="P985" s="303"/>
      <c r="Q985" s="303"/>
      <c r="R985" s="303"/>
      <c r="S985" s="303"/>
      <c r="T985" s="303"/>
      <c r="U985" s="303"/>
      <c r="V985" s="303"/>
      <c r="W985" s="303"/>
      <c r="X985" s="303"/>
      <c r="Y985" s="303"/>
      <c r="Z985" s="303"/>
    </row>
    <row r="986" spans="1:26" x14ac:dyDescent="0.2">
      <c r="A986" s="303"/>
      <c r="B986" s="303"/>
      <c r="C986" s="303"/>
      <c r="D986" s="303"/>
      <c r="E986" s="303"/>
      <c r="F986" s="303"/>
      <c r="G986" s="303"/>
      <c r="H986" s="303"/>
      <c r="I986" s="303"/>
      <c r="J986" s="303"/>
      <c r="K986" s="303"/>
      <c r="L986" s="303"/>
      <c r="M986" s="303"/>
      <c r="N986" s="303"/>
      <c r="O986" s="303"/>
      <c r="P986" s="303"/>
      <c r="Q986" s="303"/>
      <c r="R986" s="303"/>
      <c r="S986" s="303"/>
      <c r="T986" s="303"/>
      <c r="U986" s="303"/>
      <c r="V986" s="303"/>
      <c r="W986" s="303"/>
      <c r="X986" s="303"/>
      <c r="Y986" s="303"/>
      <c r="Z986" s="303"/>
    </row>
    <row r="987" spans="1:26" x14ac:dyDescent="0.2">
      <c r="A987" s="303"/>
      <c r="B987" s="303"/>
      <c r="C987" s="303"/>
      <c r="D987" s="303"/>
      <c r="E987" s="303"/>
      <c r="F987" s="303"/>
      <c r="G987" s="303"/>
      <c r="H987" s="303"/>
      <c r="I987" s="303"/>
      <c r="J987" s="303"/>
      <c r="K987" s="303"/>
      <c r="L987" s="303"/>
      <c r="M987" s="303"/>
      <c r="N987" s="303"/>
      <c r="O987" s="303"/>
      <c r="P987" s="303"/>
      <c r="Q987" s="303"/>
      <c r="R987" s="303"/>
      <c r="S987" s="303"/>
      <c r="T987" s="303"/>
      <c r="U987" s="303"/>
      <c r="V987" s="303"/>
      <c r="W987" s="303"/>
      <c r="X987" s="303"/>
      <c r="Y987" s="303"/>
      <c r="Z987" s="303"/>
    </row>
    <row r="988" spans="1:26" x14ac:dyDescent="0.2">
      <c r="A988" s="303"/>
      <c r="B988" s="303"/>
      <c r="C988" s="303"/>
      <c r="D988" s="303"/>
      <c r="E988" s="303"/>
      <c r="F988" s="303"/>
      <c r="G988" s="303"/>
      <c r="H988" s="303"/>
      <c r="I988" s="303"/>
      <c r="J988" s="303"/>
      <c r="K988" s="303"/>
      <c r="L988" s="303"/>
      <c r="M988" s="303"/>
      <c r="N988" s="303"/>
      <c r="O988" s="303"/>
      <c r="P988" s="303"/>
      <c r="Q988" s="303"/>
      <c r="R988" s="303"/>
      <c r="S988" s="303"/>
      <c r="T988" s="303"/>
      <c r="U988" s="303"/>
      <c r="V988" s="303"/>
      <c r="W988" s="303"/>
      <c r="X988" s="303"/>
      <c r="Y988" s="303"/>
      <c r="Z988" s="303"/>
    </row>
    <row r="989" spans="1:26" x14ac:dyDescent="0.2">
      <c r="A989" s="303"/>
      <c r="B989" s="303"/>
      <c r="C989" s="303"/>
      <c r="D989" s="303"/>
      <c r="E989" s="303"/>
      <c r="F989" s="303"/>
      <c r="G989" s="303"/>
      <c r="H989" s="303"/>
      <c r="I989" s="303"/>
      <c r="J989" s="303"/>
      <c r="K989" s="303"/>
      <c r="L989" s="303"/>
      <c r="M989" s="303"/>
      <c r="N989" s="303"/>
      <c r="O989" s="303"/>
      <c r="P989" s="303"/>
      <c r="Q989" s="303"/>
      <c r="R989" s="303"/>
      <c r="S989" s="303"/>
      <c r="T989" s="303"/>
      <c r="U989" s="303"/>
      <c r="V989" s="303"/>
      <c r="W989" s="303"/>
      <c r="X989" s="303"/>
      <c r="Y989" s="303"/>
      <c r="Z989" s="303"/>
    </row>
    <row r="990" spans="1:26" x14ac:dyDescent="0.2">
      <c r="A990" s="303"/>
      <c r="B990" s="303"/>
      <c r="C990" s="303"/>
      <c r="D990" s="303"/>
      <c r="E990" s="303"/>
      <c r="F990" s="303"/>
      <c r="G990" s="303"/>
      <c r="H990" s="303"/>
      <c r="I990" s="303"/>
      <c r="J990" s="303"/>
      <c r="K990" s="303"/>
      <c r="L990" s="303"/>
      <c r="M990" s="303"/>
      <c r="N990" s="303"/>
      <c r="O990" s="303"/>
      <c r="P990" s="303"/>
      <c r="Q990" s="303"/>
      <c r="R990" s="303"/>
      <c r="S990" s="303"/>
      <c r="T990" s="303"/>
      <c r="U990" s="303"/>
      <c r="V990" s="303"/>
      <c r="W990" s="303"/>
      <c r="X990" s="303"/>
      <c r="Y990" s="303"/>
      <c r="Z990" s="303"/>
    </row>
    <row r="991" spans="1:26" x14ac:dyDescent="0.2">
      <c r="A991" s="303"/>
      <c r="B991" s="303"/>
      <c r="C991" s="303"/>
      <c r="D991" s="303"/>
      <c r="E991" s="303"/>
      <c r="F991" s="303"/>
      <c r="G991" s="303"/>
      <c r="H991" s="303"/>
      <c r="I991" s="303"/>
      <c r="J991" s="303"/>
      <c r="K991" s="303"/>
      <c r="L991" s="303"/>
      <c r="M991" s="303"/>
      <c r="N991" s="303"/>
      <c r="O991" s="303"/>
      <c r="P991" s="303"/>
      <c r="Q991" s="303"/>
      <c r="R991" s="303"/>
      <c r="S991" s="303"/>
      <c r="T991" s="303"/>
      <c r="U991" s="303"/>
      <c r="V991" s="303"/>
      <c r="W991" s="303"/>
      <c r="X991" s="303"/>
      <c r="Y991" s="303"/>
      <c r="Z991" s="303"/>
    </row>
    <row r="992" spans="1:26" x14ac:dyDescent="0.2">
      <c r="A992" s="303"/>
      <c r="B992" s="303"/>
      <c r="C992" s="303"/>
      <c r="D992" s="303"/>
      <c r="E992" s="303"/>
      <c r="F992" s="303"/>
      <c r="G992" s="303"/>
      <c r="H992" s="303"/>
      <c r="I992" s="303"/>
      <c r="J992" s="303"/>
      <c r="K992" s="303"/>
      <c r="L992" s="303"/>
      <c r="M992" s="303"/>
      <c r="N992" s="303"/>
      <c r="O992" s="303"/>
      <c r="P992" s="303"/>
      <c r="Q992" s="303"/>
      <c r="R992" s="303"/>
      <c r="S992" s="303"/>
      <c r="T992" s="303"/>
      <c r="U992" s="303"/>
      <c r="V992" s="303"/>
      <c r="W992" s="303"/>
      <c r="X992" s="303"/>
      <c r="Y992" s="303"/>
      <c r="Z992" s="303"/>
    </row>
    <row r="993" spans="1:26" x14ac:dyDescent="0.2">
      <c r="A993" s="303"/>
      <c r="B993" s="303"/>
      <c r="C993" s="303"/>
      <c r="D993" s="303"/>
      <c r="E993" s="303"/>
      <c r="F993" s="303"/>
      <c r="G993" s="303"/>
      <c r="H993" s="303"/>
      <c r="I993" s="303"/>
      <c r="J993" s="303"/>
      <c r="K993" s="303"/>
      <c r="L993" s="303"/>
      <c r="M993" s="303"/>
      <c r="N993" s="303"/>
      <c r="O993" s="303"/>
      <c r="P993" s="303"/>
      <c r="Q993" s="303"/>
      <c r="R993" s="303"/>
      <c r="S993" s="303"/>
      <c r="T993" s="303"/>
      <c r="U993" s="303"/>
      <c r="V993" s="303"/>
      <c r="W993" s="303"/>
      <c r="X993" s="303"/>
      <c r="Y993" s="303"/>
      <c r="Z993" s="303"/>
    </row>
    <row r="994" spans="1:26" x14ac:dyDescent="0.2">
      <c r="A994" s="303"/>
      <c r="B994" s="303"/>
      <c r="C994" s="303"/>
      <c r="D994" s="303"/>
      <c r="E994" s="303"/>
      <c r="F994" s="303"/>
      <c r="G994" s="303"/>
      <c r="H994" s="303"/>
      <c r="I994" s="303"/>
      <c r="J994" s="303"/>
      <c r="K994" s="303"/>
      <c r="L994" s="303"/>
      <c r="M994" s="303"/>
      <c r="N994" s="303"/>
      <c r="O994" s="303"/>
      <c r="P994" s="303"/>
      <c r="Q994" s="303"/>
      <c r="R994" s="303"/>
      <c r="S994" s="303"/>
      <c r="T994" s="303"/>
      <c r="U994" s="303"/>
      <c r="V994" s="303"/>
      <c r="W994" s="303"/>
      <c r="X994" s="303"/>
      <c r="Y994" s="303"/>
      <c r="Z994" s="303"/>
    </row>
    <row r="995" spans="1:26" x14ac:dyDescent="0.2">
      <c r="A995" s="303"/>
      <c r="B995" s="303"/>
      <c r="C995" s="303"/>
      <c r="D995" s="303"/>
      <c r="E995" s="303"/>
      <c r="F995" s="303"/>
      <c r="G995" s="303"/>
      <c r="H995" s="303"/>
      <c r="I995" s="303"/>
      <c r="J995" s="303"/>
      <c r="K995" s="303"/>
      <c r="L995" s="303"/>
      <c r="M995" s="303"/>
      <c r="N995" s="303"/>
      <c r="O995" s="303"/>
      <c r="P995" s="303"/>
      <c r="Q995" s="303"/>
      <c r="R995" s="303"/>
      <c r="S995" s="303"/>
      <c r="T995" s="303"/>
      <c r="U995" s="303"/>
      <c r="V995" s="303"/>
      <c r="W995" s="303"/>
      <c r="X995" s="303"/>
      <c r="Y995" s="303"/>
      <c r="Z995" s="303"/>
    </row>
    <row r="996" spans="1:26" x14ac:dyDescent="0.2">
      <c r="A996" s="303"/>
      <c r="B996" s="303"/>
      <c r="C996" s="303"/>
      <c r="D996" s="303"/>
      <c r="E996" s="303"/>
      <c r="F996" s="303"/>
      <c r="G996" s="303"/>
      <c r="H996" s="303"/>
      <c r="I996" s="303"/>
      <c r="J996" s="303"/>
      <c r="K996" s="303"/>
      <c r="L996" s="303"/>
      <c r="M996" s="303"/>
      <c r="N996" s="303"/>
      <c r="O996" s="303"/>
      <c r="P996" s="303"/>
      <c r="Q996" s="303"/>
      <c r="R996" s="303"/>
      <c r="S996" s="303"/>
      <c r="T996" s="303"/>
      <c r="U996" s="303"/>
      <c r="V996" s="303"/>
      <c r="W996" s="303"/>
      <c r="X996" s="303"/>
      <c r="Y996" s="303"/>
      <c r="Z996" s="303"/>
    </row>
    <row r="997" spans="1:26" x14ac:dyDescent="0.2">
      <c r="A997" s="303"/>
      <c r="B997" s="303"/>
      <c r="C997" s="303"/>
      <c r="D997" s="303"/>
      <c r="E997" s="303"/>
      <c r="F997" s="303"/>
      <c r="G997" s="303"/>
      <c r="H997" s="303"/>
      <c r="I997" s="303"/>
      <c r="J997" s="303"/>
      <c r="K997" s="303"/>
      <c r="L997" s="303"/>
      <c r="M997" s="303"/>
      <c r="N997" s="303"/>
      <c r="O997" s="303"/>
      <c r="P997" s="303"/>
      <c r="Q997" s="303"/>
      <c r="R997" s="303"/>
      <c r="S997" s="303"/>
      <c r="T997" s="303"/>
      <c r="U997" s="303"/>
      <c r="V997" s="303"/>
      <c r="W997" s="303"/>
      <c r="X997" s="303"/>
      <c r="Y997" s="303"/>
      <c r="Z997" s="303"/>
    </row>
    <row r="998" spans="1:26" x14ac:dyDescent="0.2">
      <c r="A998" s="303"/>
      <c r="B998" s="303"/>
      <c r="C998" s="303"/>
      <c r="D998" s="303"/>
      <c r="E998" s="303"/>
      <c r="F998" s="303"/>
      <c r="G998" s="303"/>
      <c r="H998" s="303"/>
      <c r="I998" s="303"/>
      <c r="J998" s="303"/>
      <c r="K998" s="303"/>
      <c r="L998" s="303"/>
      <c r="M998" s="303"/>
      <c r="N998" s="303"/>
      <c r="O998" s="303"/>
      <c r="P998" s="303"/>
      <c r="Q998" s="303"/>
      <c r="R998" s="303"/>
      <c r="S998" s="303"/>
      <c r="T998" s="303"/>
      <c r="U998" s="303"/>
      <c r="V998" s="303"/>
      <c r="W998" s="303"/>
      <c r="X998" s="303"/>
      <c r="Y998" s="303"/>
      <c r="Z998" s="303"/>
    </row>
    <row r="999" spans="1:26" x14ac:dyDescent="0.2">
      <c r="A999" s="303"/>
      <c r="B999" s="303"/>
      <c r="C999" s="303"/>
      <c r="D999" s="303"/>
      <c r="E999" s="303"/>
      <c r="F999" s="303"/>
      <c r="G999" s="303"/>
      <c r="H999" s="303"/>
      <c r="I999" s="303"/>
      <c r="J999" s="303"/>
      <c r="K999" s="303"/>
      <c r="L999" s="303"/>
      <c r="M999" s="303"/>
      <c r="N999" s="303"/>
      <c r="O999" s="303"/>
      <c r="P999" s="303"/>
      <c r="Q999" s="303"/>
      <c r="R999" s="303"/>
      <c r="S999" s="303"/>
      <c r="T999" s="303"/>
      <c r="U999" s="303"/>
      <c r="V999" s="303"/>
      <c r="W999" s="303"/>
      <c r="X999" s="303"/>
      <c r="Y999" s="303"/>
      <c r="Z999" s="303"/>
    </row>
    <row r="1000" spans="1:26" x14ac:dyDescent="0.2">
      <c r="A1000" s="303"/>
      <c r="B1000" s="303"/>
      <c r="C1000" s="303"/>
      <c r="D1000" s="303"/>
      <c r="E1000" s="303"/>
      <c r="F1000" s="303"/>
      <c r="G1000" s="303"/>
      <c r="H1000" s="303"/>
      <c r="I1000" s="303"/>
      <c r="J1000" s="303"/>
      <c r="K1000" s="303"/>
      <c r="L1000" s="303"/>
      <c r="M1000" s="303"/>
      <c r="N1000" s="303"/>
      <c r="O1000" s="303"/>
      <c r="P1000" s="303"/>
      <c r="Q1000" s="303"/>
      <c r="R1000" s="303"/>
      <c r="S1000" s="303"/>
      <c r="T1000" s="303"/>
      <c r="U1000" s="303"/>
      <c r="V1000" s="303"/>
      <c r="W1000" s="303"/>
      <c r="X1000" s="303"/>
      <c r="Y1000" s="303"/>
      <c r="Z1000" s="303"/>
    </row>
    <row r="1001" spans="1:26" x14ac:dyDescent="0.2">
      <c r="A1001" s="303"/>
      <c r="B1001" s="303"/>
      <c r="C1001" s="303"/>
      <c r="D1001" s="303"/>
      <c r="E1001" s="303"/>
      <c r="F1001" s="303"/>
      <c r="G1001" s="303"/>
      <c r="H1001" s="303"/>
      <c r="I1001" s="303"/>
      <c r="J1001" s="303"/>
      <c r="K1001" s="303"/>
      <c r="L1001" s="303"/>
      <c r="M1001" s="303"/>
      <c r="N1001" s="303"/>
      <c r="O1001" s="303"/>
      <c r="P1001" s="303"/>
      <c r="Q1001" s="303"/>
      <c r="R1001" s="303"/>
      <c r="S1001" s="303"/>
      <c r="T1001" s="303"/>
      <c r="U1001" s="303"/>
      <c r="V1001" s="303"/>
      <c r="W1001" s="303"/>
      <c r="X1001" s="303"/>
      <c r="Y1001" s="303"/>
      <c r="Z1001" s="303"/>
    </row>
  </sheetData>
  <mergeCells count="4">
    <mergeCell ref="J1:M1"/>
    <mergeCell ref="N1:Q1"/>
    <mergeCell ref="A13:B13"/>
    <mergeCell ref="A14:B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V300"/>
  <sheetViews>
    <sheetView workbookViewId="0">
      <pane ySplit="3" topLeftCell="A4" activePane="bottomLeft" state="frozen"/>
      <selection pane="bottomLeft" activeCell="D32" sqref="D32"/>
    </sheetView>
  </sheetViews>
  <sheetFormatPr defaultColWidth="12.5703125" defaultRowHeight="15.75" customHeight="1" x14ac:dyDescent="0.2"/>
  <cols>
    <col min="1" max="1" width="17.85546875" customWidth="1"/>
    <col min="2" max="2" width="8.140625" customWidth="1"/>
    <col min="3" max="3" width="8.42578125" customWidth="1"/>
    <col min="4" max="4" width="10.140625" customWidth="1"/>
    <col min="5" max="5" width="6.85546875" customWidth="1"/>
    <col min="6" max="7" width="8.5703125" customWidth="1"/>
    <col min="8" max="8" width="11.42578125" customWidth="1"/>
    <col min="9" max="9" width="10.28515625" customWidth="1"/>
    <col min="10" max="10" width="7.85546875" customWidth="1"/>
    <col min="11" max="11" width="8" customWidth="1"/>
    <col min="12" max="12" width="10.140625" customWidth="1"/>
    <col min="13" max="13" width="6.85546875" customWidth="1"/>
    <col min="14" max="15" width="8.5703125" customWidth="1"/>
    <col min="16" max="16" width="10.28515625" customWidth="1"/>
    <col min="17" max="17" width="7.85546875" customWidth="1"/>
    <col min="18" max="18" width="8" customWidth="1"/>
    <col min="19" max="19" width="10.140625" customWidth="1"/>
    <col min="20" max="20" width="7.28515625" bestFit="1" customWidth="1"/>
    <col min="21" max="22" width="8.5703125" customWidth="1"/>
  </cols>
  <sheetData>
    <row r="1" spans="1:22" x14ac:dyDescent="0.2">
      <c r="A1" s="294"/>
      <c r="B1" s="586" t="s">
        <v>370</v>
      </c>
      <c r="C1" s="565"/>
      <c r="D1" s="565"/>
      <c r="E1" s="565"/>
      <c r="F1" s="565"/>
      <c r="G1" s="565"/>
      <c r="H1" s="566"/>
      <c r="I1" s="585" t="s">
        <v>371</v>
      </c>
      <c r="J1" s="565"/>
      <c r="K1" s="565"/>
      <c r="L1" s="565"/>
      <c r="M1" s="565"/>
      <c r="N1" s="565"/>
      <c r="O1" s="565"/>
      <c r="P1" s="585" t="s">
        <v>372</v>
      </c>
      <c r="Q1" s="565"/>
      <c r="R1" s="565"/>
      <c r="S1" s="565"/>
      <c r="T1" s="565"/>
      <c r="U1" s="565"/>
      <c r="V1" s="566"/>
    </row>
    <row r="2" spans="1:22" x14ac:dyDescent="0.2">
      <c r="A2" s="202" t="s">
        <v>373</v>
      </c>
      <c r="B2" s="633" t="s">
        <v>374</v>
      </c>
      <c r="C2" s="558"/>
      <c r="D2" s="633" t="s">
        <v>375</v>
      </c>
      <c r="E2" s="558"/>
      <c r="F2" s="633" t="s">
        <v>376</v>
      </c>
      <c r="G2" s="558"/>
      <c r="H2" s="634" t="s">
        <v>370</v>
      </c>
      <c r="I2" s="635" t="s">
        <v>138</v>
      </c>
      <c r="J2" s="632" t="s">
        <v>374</v>
      </c>
      <c r="K2" s="558"/>
      <c r="L2" s="632" t="s">
        <v>375</v>
      </c>
      <c r="M2" s="558"/>
      <c r="N2" s="632" t="s">
        <v>376</v>
      </c>
      <c r="O2" s="558"/>
      <c r="P2" s="635" t="s">
        <v>138</v>
      </c>
      <c r="Q2" s="632" t="s">
        <v>374</v>
      </c>
      <c r="R2" s="558"/>
      <c r="S2" s="632" t="s">
        <v>375</v>
      </c>
      <c r="T2" s="558"/>
      <c r="U2" s="632" t="s">
        <v>376</v>
      </c>
      <c r="V2" s="559"/>
    </row>
    <row r="3" spans="1:22" x14ac:dyDescent="0.2">
      <c r="A3" s="202" t="s">
        <v>377</v>
      </c>
      <c r="B3" s="469" t="s">
        <v>378</v>
      </c>
      <c r="C3" s="469" t="s">
        <v>379</v>
      </c>
      <c r="D3" s="469" t="s">
        <v>380</v>
      </c>
      <c r="E3" s="469" t="s">
        <v>381</v>
      </c>
      <c r="F3" s="469" t="s">
        <v>382</v>
      </c>
      <c r="G3" s="469" t="s">
        <v>376</v>
      </c>
      <c r="H3" s="559"/>
      <c r="I3" s="597"/>
      <c r="J3" s="470" t="str">
        <f>$B$3</f>
        <v>Patience</v>
      </c>
      <c r="K3" s="470" t="str">
        <f>$C$3</f>
        <v>Empathy</v>
      </c>
      <c r="L3" s="470" t="str">
        <f>$D$3</f>
        <v>Cunning</v>
      </c>
      <c r="M3" s="470" t="str">
        <f>$E$3</f>
        <v>Logic</v>
      </c>
      <c r="N3" s="470" t="str">
        <f>$F$3</f>
        <v>Kindness</v>
      </c>
      <c r="O3" s="470" t="str">
        <f>$G$3</f>
        <v>Charisma</v>
      </c>
      <c r="P3" s="597"/>
      <c r="Q3" s="470" t="str">
        <f>$B$3</f>
        <v>Patience</v>
      </c>
      <c r="R3" s="470" t="str">
        <f>$C$3</f>
        <v>Empathy</v>
      </c>
      <c r="S3" s="470" t="str">
        <f>$D$3</f>
        <v>Cunning</v>
      </c>
      <c r="T3" s="470" t="str">
        <f>$E$3</f>
        <v>Logic</v>
      </c>
      <c r="U3" s="470" t="str">
        <f>$F$3</f>
        <v>Kindness</v>
      </c>
      <c r="V3" s="471" t="str">
        <f>$G$3</f>
        <v>Charisma</v>
      </c>
    </row>
    <row r="4" spans="1:22" x14ac:dyDescent="0.2">
      <c r="A4" s="202" t="str">
        <f>'Character Sheet - P1'!C5</f>
        <v>Will</v>
      </c>
      <c r="B4" s="347">
        <f t="shared" ref="B4:G4" si="0">SUMIF($P:$P,$A4,Q:Q)</f>
        <v>0.15</v>
      </c>
      <c r="C4" s="347">
        <f t="shared" si="0"/>
        <v>0.15</v>
      </c>
      <c r="D4" s="347">
        <f t="shared" si="0"/>
        <v>0.19</v>
      </c>
      <c r="E4" s="347">
        <f t="shared" si="0"/>
        <v>0.16</v>
      </c>
      <c r="F4" s="347">
        <f t="shared" si="0"/>
        <v>0.16</v>
      </c>
      <c r="G4" s="347">
        <f t="shared" si="0"/>
        <v>0.19</v>
      </c>
      <c r="H4" s="472">
        <f t="shared" ref="H4:H6" si="1">SUM(B4:G4)</f>
        <v>1</v>
      </c>
      <c r="I4" s="473"/>
      <c r="J4" s="474"/>
      <c r="K4" s="475"/>
      <c r="L4" s="475"/>
      <c r="M4" s="475"/>
      <c r="N4" s="474"/>
      <c r="O4" s="474"/>
      <c r="P4" s="241" t="s">
        <v>52</v>
      </c>
      <c r="Q4" s="374">
        <v>0.16</v>
      </c>
      <c r="R4" s="476">
        <v>0.16</v>
      </c>
      <c r="S4" s="476">
        <v>0.16</v>
      </c>
      <c r="T4" s="476">
        <v>0.16</v>
      </c>
      <c r="U4" s="374">
        <v>0.16</v>
      </c>
      <c r="V4" s="477">
        <v>0.16</v>
      </c>
    </row>
    <row r="5" spans="1:22" x14ac:dyDescent="0.2">
      <c r="A5" s="202" t="str">
        <f>'Character Sheet - P2'!C5</f>
        <v>Carter</v>
      </c>
      <c r="B5" s="347">
        <f t="shared" ref="B5:G5" si="2">SUMIF($P:$P,$A5,Q:Q)</f>
        <v>0.15</v>
      </c>
      <c r="C5" s="347">
        <f t="shared" si="2"/>
        <v>0.19</v>
      </c>
      <c r="D5" s="347">
        <f t="shared" si="2"/>
        <v>0.15</v>
      </c>
      <c r="E5" s="347">
        <f t="shared" si="2"/>
        <v>0.19</v>
      </c>
      <c r="F5" s="347">
        <f t="shared" si="2"/>
        <v>0.16</v>
      </c>
      <c r="G5" s="347">
        <f t="shared" si="2"/>
        <v>0.16</v>
      </c>
      <c r="H5" s="472">
        <f t="shared" si="1"/>
        <v>1</v>
      </c>
      <c r="I5" s="478"/>
      <c r="J5" s="479"/>
      <c r="K5" s="480"/>
      <c r="L5" s="480"/>
      <c r="M5" s="480"/>
      <c r="N5" s="479"/>
      <c r="O5" s="479"/>
      <c r="P5" s="481" t="s">
        <v>105</v>
      </c>
      <c r="Q5" s="347">
        <v>0.16</v>
      </c>
      <c r="R5" s="482">
        <v>0.16</v>
      </c>
      <c r="S5" s="482">
        <v>0.16</v>
      </c>
      <c r="T5" s="482">
        <v>0.16</v>
      </c>
      <c r="U5" s="347">
        <v>0.16</v>
      </c>
      <c r="V5" s="472">
        <v>0.16</v>
      </c>
    </row>
    <row r="6" spans="1:22" x14ac:dyDescent="0.2">
      <c r="A6" s="202" t="str">
        <f>'Character Sheet - P3'!C5</f>
        <v>Joe</v>
      </c>
      <c r="B6" s="347">
        <f t="shared" ref="B6:G6" si="3">SUMIF($P:$P,$A6,Q:Q)</f>
        <v>0.15</v>
      </c>
      <c r="C6" s="347">
        <f t="shared" si="3"/>
        <v>0.15</v>
      </c>
      <c r="D6" s="347">
        <f t="shared" si="3"/>
        <v>0.19</v>
      </c>
      <c r="E6" s="347">
        <f t="shared" si="3"/>
        <v>0.16</v>
      </c>
      <c r="F6" s="347">
        <f t="shared" si="3"/>
        <v>0.16</v>
      </c>
      <c r="G6" s="347">
        <f t="shared" si="3"/>
        <v>0.19</v>
      </c>
      <c r="H6" s="472">
        <f t="shared" si="1"/>
        <v>1</v>
      </c>
      <c r="I6" s="483"/>
      <c r="J6" s="484"/>
      <c r="K6" s="485"/>
      <c r="L6" s="485"/>
      <c r="M6" s="485"/>
      <c r="N6" s="484"/>
      <c r="O6" s="484"/>
      <c r="P6" s="486" t="s">
        <v>104</v>
      </c>
      <c r="Q6" s="355">
        <v>0.16</v>
      </c>
      <c r="R6" s="487">
        <v>0.16</v>
      </c>
      <c r="S6" s="487">
        <v>0.16</v>
      </c>
      <c r="T6" s="487">
        <v>0.16</v>
      </c>
      <c r="U6" s="355">
        <v>0.16</v>
      </c>
      <c r="V6" s="488">
        <v>0.16</v>
      </c>
    </row>
    <row r="7" spans="1:22" x14ac:dyDescent="0.2">
      <c r="A7" s="202"/>
      <c r="B7" s="489"/>
      <c r="C7" s="303"/>
      <c r="D7" s="303"/>
      <c r="E7" s="303"/>
      <c r="F7" s="303"/>
      <c r="G7" s="303"/>
      <c r="H7" s="399"/>
      <c r="I7" s="490" t="s">
        <v>52</v>
      </c>
      <c r="J7" s="491"/>
      <c r="K7" s="492"/>
      <c r="L7" s="492">
        <v>0.03</v>
      </c>
      <c r="M7" s="492"/>
      <c r="N7" s="491"/>
      <c r="O7" s="491">
        <v>0.03</v>
      </c>
      <c r="P7" s="481" t="str">
        <f t="shared" ref="P7:P261" si="4">I7</f>
        <v>Will</v>
      </c>
      <c r="Q7" s="491">
        <v>-0.01</v>
      </c>
      <c r="R7" s="492">
        <v>-0.01</v>
      </c>
      <c r="S7" s="492">
        <v>0.03</v>
      </c>
      <c r="T7" s="492">
        <v>0</v>
      </c>
      <c r="U7" s="491">
        <v>0</v>
      </c>
      <c r="V7" s="493">
        <v>0.03</v>
      </c>
    </row>
    <row r="8" spans="1:22" x14ac:dyDescent="0.2">
      <c r="A8" s="202"/>
      <c r="B8" s="489"/>
      <c r="C8" s="303"/>
      <c r="D8" s="303"/>
      <c r="E8" s="303"/>
      <c r="F8" s="303"/>
      <c r="G8" s="303"/>
      <c r="H8" s="399"/>
      <c r="I8" s="490" t="s">
        <v>105</v>
      </c>
      <c r="J8" s="491"/>
      <c r="K8" s="491"/>
      <c r="L8" s="491">
        <v>0.03</v>
      </c>
      <c r="M8" s="491"/>
      <c r="N8" s="491"/>
      <c r="O8" s="491">
        <v>0.03</v>
      </c>
      <c r="P8" s="243" t="str">
        <f t="shared" si="4"/>
        <v>Joe</v>
      </c>
      <c r="Q8" s="491">
        <v>-0.01</v>
      </c>
      <c r="R8" s="491">
        <v>-0.01</v>
      </c>
      <c r="S8" s="491">
        <v>0.03</v>
      </c>
      <c r="T8" s="491">
        <v>0</v>
      </c>
      <c r="U8" s="491">
        <v>0</v>
      </c>
      <c r="V8" s="493">
        <v>0.03</v>
      </c>
    </row>
    <row r="9" spans="1:22" x14ac:dyDescent="0.2">
      <c r="A9" s="202"/>
      <c r="B9" s="489"/>
      <c r="C9" s="303"/>
      <c r="D9" s="303"/>
      <c r="E9" s="303"/>
      <c r="F9" s="303"/>
      <c r="G9" s="303"/>
      <c r="H9" s="399"/>
      <c r="I9" s="490" t="s">
        <v>104</v>
      </c>
      <c r="J9" s="491"/>
      <c r="K9" s="491">
        <v>0.03</v>
      </c>
      <c r="L9" s="491"/>
      <c r="M9" s="491">
        <v>0.03</v>
      </c>
      <c r="N9" s="491"/>
      <c r="O9" s="491"/>
      <c r="P9" s="243" t="str">
        <f t="shared" si="4"/>
        <v>Carter</v>
      </c>
      <c r="Q9" s="491">
        <v>-0.01</v>
      </c>
      <c r="R9" s="491">
        <v>0.03</v>
      </c>
      <c r="S9" s="491">
        <v>-0.01</v>
      </c>
      <c r="T9" s="491">
        <v>0.03</v>
      </c>
      <c r="U9" s="491">
        <v>0</v>
      </c>
      <c r="V9" s="493">
        <v>0</v>
      </c>
    </row>
    <row r="10" spans="1:22" x14ac:dyDescent="0.2">
      <c r="A10" s="202"/>
      <c r="B10" s="489"/>
      <c r="C10" s="303"/>
      <c r="D10" s="303"/>
      <c r="E10" s="303"/>
      <c r="F10" s="303"/>
      <c r="G10" s="303"/>
      <c r="H10" s="399"/>
      <c r="I10" s="494"/>
      <c r="J10" s="491"/>
      <c r="K10" s="491"/>
      <c r="L10" s="491"/>
      <c r="M10" s="491"/>
      <c r="N10" s="491"/>
      <c r="O10" s="491"/>
      <c r="P10" s="481">
        <f t="shared" si="4"/>
        <v>0</v>
      </c>
      <c r="Q10" s="491"/>
      <c r="R10" s="491"/>
      <c r="S10" s="491"/>
      <c r="T10" s="491"/>
      <c r="U10" s="491"/>
      <c r="V10" s="493"/>
    </row>
    <row r="11" spans="1:22" x14ac:dyDescent="0.2">
      <c r="A11" s="495" t="s">
        <v>383</v>
      </c>
      <c r="B11" s="496">
        <v>0.35</v>
      </c>
      <c r="C11" s="497" t="s">
        <v>384</v>
      </c>
      <c r="D11" s="303"/>
      <c r="E11" s="303"/>
      <c r="F11" s="303"/>
      <c r="G11" s="303"/>
      <c r="H11" s="399"/>
      <c r="I11" s="494"/>
      <c r="J11" s="491"/>
      <c r="K11" s="491"/>
      <c r="L11" s="491"/>
      <c r="M11" s="491"/>
      <c r="N11" s="491"/>
      <c r="O11" s="491"/>
      <c r="P11" s="481">
        <f t="shared" si="4"/>
        <v>0</v>
      </c>
      <c r="Q11" s="491"/>
      <c r="R11" s="491"/>
      <c r="S11" s="491"/>
      <c r="T11" s="491"/>
      <c r="U11" s="491"/>
      <c r="V11" s="493"/>
    </row>
    <row r="12" spans="1:22" x14ac:dyDescent="0.2">
      <c r="A12" s="495" t="s">
        <v>385</v>
      </c>
      <c r="B12" s="496">
        <v>0.05</v>
      </c>
      <c r="C12" s="303"/>
      <c r="D12" s="303"/>
      <c r="E12" s="303"/>
      <c r="F12" s="303"/>
      <c r="G12" s="303"/>
      <c r="H12" s="399"/>
      <c r="I12" s="494"/>
      <c r="J12" s="491"/>
      <c r="K12" s="491"/>
      <c r="L12" s="491"/>
      <c r="M12" s="491"/>
      <c r="N12" s="491"/>
      <c r="O12" s="491"/>
      <c r="P12" s="481">
        <f t="shared" si="4"/>
        <v>0</v>
      </c>
      <c r="Q12" s="491"/>
      <c r="R12" s="491"/>
      <c r="S12" s="491"/>
      <c r="T12" s="491"/>
      <c r="U12" s="491"/>
      <c r="V12" s="493"/>
    </row>
    <row r="13" spans="1:22" x14ac:dyDescent="0.2">
      <c r="A13" s="498" t="s">
        <v>372</v>
      </c>
      <c r="B13" s="347">
        <v>0.06</v>
      </c>
      <c r="C13" s="497" t="s">
        <v>386</v>
      </c>
      <c r="D13" s="303"/>
      <c r="E13" s="303"/>
      <c r="F13" s="303"/>
      <c r="G13" s="303"/>
      <c r="H13" s="399"/>
      <c r="I13" s="494"/>
      <c r="J13" s="491"/>
      <c r="K13" s="491"/>
      <c r="L13" s="491"/>
      <c r="M13" s="491"/>
      <c r="N13" s="491"/>
      <c r="O13" s="491"/>
      <c r="P13" s="481">
        <f t="shared" si="4"/>
        <v>0</v>
      </c>
      <c r="Q13" s="491"/>
      <c r="R13" s="491"/>
      <c r="S13" s="491"/>
      <c r="T13" s="491"/>
      <c r="U13" s="491"/>
      <c r="V13" s="493"/>
    </row>
    <row r="14" spans="1:22" x14ac:dyDescent="0.2">
      <c r="A14" s="202"/>
      <c r="C14" s="497"/>
      <c r="D14" s="303"/>
      <c r="E14" s="303"/>
      <c r="F14" s="303"/>
      <c r="G14" s="303"/>
      <c r="H14" s="399"/>
      <c r="I14" s="494"/>
      <c r="J14" s="491"/>
      <c r="K14" s="491"/>
      <c r="L14" s="491"/>
      <c r="M14" s="491"/>
      <c r="N14" s="491"/>
      <c r="O14" s="491"/>
      <c r="P14" s="481">
        <f t="shared" si="4"/>
        <v>0</v>
      </c>
      <c r="Q14" s="491"/>
      <c r="R14" s="491"/>
      <c r="S14" s="491"/>
      <c r="T14" s="491"/>
      <c r="U14" s="491"/>
      <c r="V14" s="493"/>
    </row>
    <row r="15" spans="1:22" x14ac:dyDescent="0.2">
      <c r="A15" s="499" t="s">
        <v>387</v>
      </c>
      <c r="C15" s="303"/>
      <c r="D15" s="303"/>
      <c r="E15" s="303"/>
      <c r="F15" s="303"/>
      <c r="G15" s="303"/>
      <c r="H15" s="399"/>
      <c r="I15" s="494"/>
      <c r="J15" s="491"/>
      <c r="K15" s="491"/>
      <c r="L15" s="491"/>
      <c r="M15" s="491"/>
      <c r="N15" s="491"/>
      <c r="O15" s="491"/>
      <c r="P15" s="481">
        <f t="shared" si="4"/>
        <v>0</v>
      </c>
      <c r="Q15" s="491"/>
      <c r="R15" s="491"/>
      <c r="S15" s="491"/>
      <c r="T15" s="491"/>
      <c r="U15" s="491"/>
      <c r="V15" s="493"/>
    </row>
    <row r="16" spans="1:22" x14ac:dyDescent="0.2">
      <c r="A16" s="499" t="s">
        <v>388</v>
      </c>
      <c r="C16" s="303"/>
      <c r="D16" s="303"/>
      <c r="E16" s="303"/>
      <c r="F16" s="303"/>
      <c r="G16" s="303"/>
      <c r="H16" s="399"/>
      <c r="I16" s="494"/>
      <c r="J16" s="491"/>
      <c r="K16" s="491"/>
      <c r="L16" s="491"/>
      <c r="M16" s="491"/>
      <c r="N16" s="491"/>
      <c r="O16" s="491"/>
      <c r="P16" s="481">
        <f t="shared" si="4"/>
        <v>0</v>
      </c>
      <c r="Q16" s="491"/>
      <c r="R16" s="491"/>
      <c r="S16" s="491"/>
      <c r="T16" s="491"/>
      <c r="U16" s="491"/>
      <c r="V16" s="493"/>
    </row>
    <row r="17" spans="1:22" x14ac:dyDescent="0.2">
      <c r="A17" s="499" t="s">
        <v>389</v>
      </c>
      <c r="C17" s="303"/>
      <c r="D17" s="303"/>
      <c r="E17" s="303"/>
      <c r="F17" s="303"/>
      <c r="G17" s="303"/>
      <c r="H17" s="399"/>
      <c r="I17" s="494"/>
      <c r="J17" s="491"/>
      <c r="K17" s="491"/>
      <c r="L17" s="491"/>
      <c r="M17" s="491"/>
      <c r="N17" s="491"/>
      <c r="O17" s="491"/>
      <c r="P17" s="481">
        <f t="shared" si="4"/>
        <v>0</v>
      </c>
      <c r="Q17" s="491"/>
      <c r="R17" s="491"/>
      <c r="S17" s="491"/>
      <c r="T17" s="491"/>
      <c r="U17" s="491"/>
      <c r="V17" s="493"/>
    </row>
    <row r="18" spans="1:22" x14ac:dyDescent="0.2">
      <c r="A18" s="202"/>
      <c r="B18" s="443"/>
      <c r="C18" s="303"/>
      <c r="D18" s="303"/>
      <c r="E18" s="303"/>
      <c r="F18" s="303"/>
      <c r="G18" s="303"/>
      <c r="H18" s="399"/>
      <c r="I18" s="494"/>
      <c r="J18" s="491"/>
      <c r="K18" s="491"/>
      <c r="L18" s="491"/>
      <c r="M18" s="491"/>
      <c r="N18" s="491"/>
      <c r="O18" s="491"/>
      <c r="P18" s="481">
        <f t="shared" si="4"/>
        <v>0</v>
      </c>
      <c r="Q18" s="491"/>
      <c r="R18" s="491"/>
      <c r="S18" s="491"/>
      <c r="T18" s="491"/>
      <c r="U18" s="491"/>
      <c r="V18" s="493"/>
    </row>
    <row r="19" spans="1:22" x14ac:dyDescent="0.2">
      <c r="A19" s="202"/>
      <c r="B19" s="443"/>
      <c r="C19" s="303"/>
      <c r="D19" s="303"/>
      <c r="E19" s="303"/>
      <c r="F19" s="303"/>
      <c r="G19" s="303"/>
      <c r="H19" s="399"/>
      <c r="I19" s="494"/>
      <c r="J19" s="491"/>
      <c r="K19" s="491"/>
      <c r="L19" s="491"/>
      <c r="M19" s="491"/>
      <c r="N19" s="491"/>
      <c r="O19" s="491"/>
      <c r="P19" s="481">
        <f t="shared" si="4"/>
        <v>0</v>
      </c>
      <c r="Q19" s="491"/>
      <c r="R19" s="491"/>
      <c r="S19" s="491"/>
      <c r="T19" s="491"/>
      <c r="U19" s="491"/>
      <c r="V19" s="493"/>
    </row>
    <row r="20" spans="1:22" x14ac:dyDescent="0.2">
      <c r="A20" s="202"/>
      <c r="B20" s="443"/>
      <c r="C20" s="303"/>
      <c r="D20" s="303"/>
      <c r="E20" s="303"/>
      <c r="F20" s="303"/>
      <c r="G20" s="303"/>
      <c r="H20" s="399"/>
      <c r="I20" s="494"/>
      <c r="J20" s="491"/>
      <c r="K20" s="491"/>
      <c r="L20" s="491"/>
      <c r="M20" s="491"/>
      <c r="N20" s="491"/>
      <c r="O20" s="491"/>
      <c r="P20" s="481">
        <f t="shared" si="4"/>
        <v>0</v>
      </c>
      <c r="Q20" s="491"/>
      <c r="R20" s="491"/>
      <c r="S20" s="491"/>
      <c r="T20" s="491"/>
      <c r="U20" s="491"/>
      <c r="V20" s="493"/>
    </row>
    <row r="21" spans="1:22" x14ac:dyDescent="0.2">
      <c r="A21" s="202"/>
      <c r="B21" s="443"/>
      <c r="C21" s="303"/>
      <c r="D21" s="303"/>
      <c r="E21" s="303"/>
      <c r="F21" s="303"/>
      <c r="G21" s="303"/>
      <c r="H21" s="399"/>
      <c r="I21" s="494"/>
      <c r="J21" s="491"/>
      <c r="K21" s="491"/>
      <c r="L21" s="491"/>
      <c r="M21" s="491"/>
      <c r="N21" s="491"/>
      <c r="O21" s="491"/>
      <c r="P21" s="481">
        <f t="shared" si="4"/>
        <v>0</v>
      </c>
      <c r="Q21" s="491"/>
      <c r="R21" s="491"/>
      <c r="S21" s="491"/>
      <c r="T21" s="491"/>
      <c r="U21" s="491"/>
      <c r="V21" s="493"/>
    </row>
    <row r="22" spans="1:22" x14ac:dyDescent="0.2">
      <c r="A22" s="202"/>
      <c r="B22" s="303"/>
      <c r="C22" s="303"/>
      <c r="D22" s="303"/>
      <c r="E22" s="303"/>
      <c r="F22" s="303"/>
      <c r="G22" s="303"/>
      <c r="H22" s="399"/>
      <c r="I22" s="494"/>
      <c r="J22" s="491"/>
      <c r="K22" s="491"/>
      <c r="L22" s="491"/>
      <c r="M22" s="491"/>
      <c r="N22" s="491"/>
      <c r="O22" s="491"/>
      <c r="P22" s="481">
        <f t="shared" si="4"/>
        <v>0</v>
      </c>
      <c r="Q22" s="491"/>
      <c r="R22" s="491"/>
      <c r="S22" s="491"/>
      <c r="T22" s="491"/>
      <c r="U22" s="491"/>
      <c r="V22" s="493"/>
    </row>
    <row r="23" spans="1:22" x14ac:dyDescent="0.2">
      <c r="A23" s="202"/>
      <c r="B23" s="303"/>
      <c r="C23" s="303"/>
      <c r="D23" s="303"/>
      <c r="E23" s="303"/>
      <c r="F23" s="303"/>
      <c r="G23" s="303"/>
      <c r="H23" s="399"/>
      <c r="I23" s="494"/>
      <c r="J23" s="491"/>
      <c r="K23" s="491"/>
      <c r="L23" s="491"/>
      <c r="M23" s="491"/>
      <c r="N23" s="491"/>
      <c r="O23" s="491"/>
      <c r="P23" s="481">
        <f t="shared" si="4"/>
        <v>0</v>
      </c>
      <c r="Q23" s="491"/>
      <c r="R23" s="491"/>
      <c r="S23" s="491"/>
      <c r="T23" s="491"/>
      <c r="U23" s="491"/>
      <c r="V23" s="493"/>
    </row>
    <row r="24" spans="1:22" x14ac:dyDescent="0.2">
      <c r="A24" s="202"/>
      <c r="B24" s="303"/>
      <c r="C24" s="303"/>
      <c r="D24" s="303"/>
      <c r="E24" s="303"/>
      <c r="F24" s="303"/>
      <c r="G24" s="303"/>
      <c r="H24" s="399"/>
      <c r="I24" s="494"/>
      <c r="J24" s="491"/>
      <c r="K24" s="491"/>
      <c r="L24" s="491"/>
      <c r="M24" s="491"/>
      <c r="N24" s="491"/>
      <c r="O24" s="491"/>
      <c r="P24" s="481">
        <f t="shared" si="4"/>
        <v>0</v>
      </c>
      <c r="Q24" s="491"/>
      <c r="R24" s="491"/>
      <c r="S24" s="491"/>
      <c r="T24" s="491"/>
      <c r="U24" s="491"/>
      <c r="V24" s="493"/>
    </row>
    <row r="25" spans="1:22" x14ac:dyDescent="0.2">
      <c r="A25" s="202"/>
      <c r="B25" s="303"/>
      <c r="C25" s="303"/>
      <c r="D25" s="303"/>
      <c r="E25" s="303"/>
      <c r="F25" s="303"/>
      <c r="G25" s="303"/>
      <c r="H25" s="399"/>
      <c r="I25" s="494"/>
      <c r="J25" s="491"/>
      <c r="K25" s="491"/>
      <c r="L25" s="491"/>
      <c r="M25" s="491"/>
      <c r="N25" s="491"/>
      <c r="O25" s="491"/>
      <c r="P25" s="481">
        <f t="shared" si="4"/>
        <v>0</v>
      </c>
      <c r="Q25" s="491"/>
      <c r="R25" s="491"/>
      <c r="S25" s="491"/>
      <c r="T25" s="491"/>
      <c r="U25" s="491"/>
      <c r="V25" s="493"/>
    </row>
    <row r="26" spans="1:22" x14ac:dyDescent="0.2">
      <c r="A26" s="202"/>
      <c r="B26" s="303"/>
      <c r="C26" s="303"/>
      <c r="D26" s="303"/>
      <c r="E26" s="303"/>
      <c r="F26" s="303"/>
      <c r="G26" s="303"/>
      <c r="H26" s="399"/>
      <c r="I26" s="494"/>
      <c r="J26" s="491"/>
      <c r="K26" s="491"/>
      <c r="L26" s="491"/>
      <c r="M26" s="491"/>
      <c r="N26" s="491"/>
      <c r="O26" s="491"/>
      <c r="P26" s="481">
        <f t="shared" si="4"/>
        <v>0</v>
      </c>
      <c r="Q26" s="491"/>
      <c r="R26" s="491"/>
      <c r="S26" s="491"/>
      <c r="T26" s="491"/>
      <c r="U26" s="491"/>
      <c r="V26" s="493"/>
    </row>
    <row r="27" spans="1:22" x14ac:dyDescent="0.2">
      <c r="A27" s="202"/>
      <c r="B27" s="303"/>
      <c r="C27" s="303"/>
      <c r="D27" s="303"/>
      <c r="E27" s="303"/>
      <c r="F27" s="303"/>
      <c r="G27" s="303"/>
      <c r="H27" s="399"/>
      <c r="I27" s="494"/>
      <c r="J27" s="491"/>
      <c r="K27" s="491"/>
      <c r="L27" s="491"/>
      <c r="M27" s="491"/>
      <c r="N27" s="491"/>
      <c r="O27" s="491"/>
      <c r="P27" s="481">
        <f t="shared" si="4"/>
        <v>0</v>
      </c>
      <c r="Q27" s="491"/>
      <c r="R27" s="491"/>
      <c r="S27" s="491"/>
      <c r="T27" s="491"/>
      <c r="U27" s="491"/>
      <c r="V27" s="493"/>
    </row>
    <row r="28" spans="1:22" x14ac:dyDescent="0.2">
      <c r="A28" s="202"/>
      <c r="B28" s="303"/>
      <c r="C28" s="303"/>
      <c r="D28" s="303"/>
      <c r="E28" s="303"/>
      <c r="F28" s="303"/>
      <c r="G28" s="303"/>
      <c r="H28" s="399"/>
      <c r="I28" s="494"/>
      <c r="J28" s="491"/>
      <c r="K28" s="491"/>
      <c r="L28" s="491"/>
      <c r="M28" s="491"/>
      <c r="N28" s="491"/>
      <c r="O28" s="491"/>
      <c r="P28" s="481">
        <f t="shared" si="4"/>
        <v>0</v>
      </c>
      <c r="Q28" s="491"/>
      <c r="R28" s="491"/>
      <c r="S28" s="491"/>
      <c r="T28" s="491"/>
      <c r="U28" s="491"/>
      <c r="V28" s="493"/>
    </row>
    <row r="29" spans="1:22" x14ac:dyDescent="0.2">
      <c r="A29" s="202"/>
      <c r="B29" s="303"/>
      <c r="C29" s="303"/>
      <c r="D29" s="303"/>
      <c r="E29" s="303"/>
      <c r="F29" s="303"/>
      <c r="G29" s="303"/>
      <c r="H29" s="399"/>
      <c r="I29" s="494"/>
      <c r="J29" s="491"/>
      <c r="K29" s="491"/>
      <c r="L29" s="491"/>
      <c r="M29" s="491"/>
      <c r="N29" s="491"/>
      <c r="O29" s="491"/>
      <c r="P29" s="481">
        <f t="shared" si="4"/>
        <v>0</v>
      </c>
      <c r="Q29" s="491"/>
      <c r="R29" s="491"/>
      <c r="S29" s="491"/>
      <c r="T29" s="491"/>
      <c r="U29" s="491"/>
      <c r="V29" s="493"/>
    </row>
    <row r="30" spans="1:22" x14ac:dyDescent="0.2">
      <c r="A30" s="202"/>
      <c r="B30" s="303"/>
      <c r="C30" s="303"/>
      <c r="D30" s="303"/>
      <c r="E30" s="303"/>
      <c r="F30" s="303"/>
      <c r="G30" s="303"/>
      <c r="H30" s="399"/>
      <c r="I30" s="494"/>
      <c r="J30" s="491"/>
      <c r="K30" s="491"/>
      <c r="L30" s="491"/>
      <c r="M30" s="491"/>
      <c r="N30" s="491"/>
      <c r="O30" s="491"/>
      <c r="P30" s="481">
        <f t="shared" si="4"/>
        <v>0</v>
      </c>
      <c r="Q30" s="491"/>
      <c r="R30" s="491"/>
      <c r="S30" s="491"/>
      <c r="T30" s="491"/>
      <c r="U30" s="491"/>
      <c r="V30" s="493"/>
    </row>
    <row r="31" spans="1:22" x14ac:dyDescent="0.2">
      <c r="A31" s="202"/>
      <c r="B31" s="303"/>
      <c r="C31" s="303"/>
      <c r="D31" s="303"/>
      <c r="E31" s="303"/>
      <c r="F31" s="303"/>
      <c r="G31" s="303"/>
      <c r="H31" s="399"/>
      <c r="I31" s="494"/>
      <c r="J31" s="491"/>
      <c r="K31" s="491"/>
      <c r="L31" s="491"/>
      <c r="M31" s="491"/>
      <c r="N31" s="491"/>
      <c r="O31" s="491"/>
      <c r="P31" s="481">
        <f t="shared" si="4"/>
        <v>0</v>
      </c>
      <c r="Q31" s="491"/>
      <c r="R31" s="491"/>
      <c r="S31" s="491"/>
      <c r="T31" s="491"/>
      <c r="U31" s="491"/>
      <c r="V31" s="493"/>
    </row>
    <row r="32" spans="1:22" x14ac:dyDescent="0.2">
      <c r="A32" s="202"/>
      <c r="B32" s="303"/>
      <c r="C32" s="303"/>
      <c r="D32" s="303"/>
      <c r="E32" s="303"/>
      <c r="F32" s="303"/>
      <c r="G32" s="303"/>
      <c r="H32" s="399"/>
      <c r="I32" s="494"/>
      <c r="J32" s="491"/>
      <c r="K32" s="491"/>
      <c r="L32" s="491"/>
      <c r="M32" s="491"/>
      <c r="N32" s="491"/>
      <c r="O32" s="491"/>
      <c r="P32" s="481">
        <f t="shared" si="4"/>
        <v>0</v>
      </c>
      <c r="Q32" s="491"/>
      <c r="R32" s="491"/>
      <c r="S32" s="491"/>
      <c r="T32" s="491"/>
      <c r="U32" s="491"/>
      <c r="V32" s="493"/>
    </row>
    <row r="33" spans="1:22" x14ac:dyDescent="0.2">
      <c r="A33" s="202"/>
      <c r="B33" s="303"/>
      <c r="C33" s="303"/>
      <c r="D33" s="303"/>
      <c r="E33" s="303"/>
      <c r="F33" s="303"/>
      <c r="G33" s="303"/>
      <c r="H33" s="399"/>
      <c r="I33" s="494"/>
      <c r="J33" s="491"/>
      <c r="K33" s="491"/>
      <c r="L33" s="491"/>
      <c r="M33" s="491"/>
      <c r="N33" s="491"/>
      <c r="O33" s="491"/>
      <c r="P33" s="481">
        <f t="shared" si="4"/>
        <v>0</v>
      </c>
      <c r="Q33" s="491"/>
      <c r="R33" s="491"/>
      <c r="S33" s="491"/>
      <c r="T33" s="491"/>
      <c r="U33" s="491"/>
      <c r="V33" s="493"/>
    </row>
    <row r="34" spans="1:22" x14ac:dyDescent="0.2">
      <c r="A34" s="202"/>
      <c r="B34" s="303"/>
      <c r="C34" s="303"/>
      <c r="D34" s="303"/>
      <c r="E34" s="303"/>
      <c r="F34" s="303"/>
      <c r="G34" s="303"/>
      <c r="H34" s="399"/>
      <c r="I34" s="494"/>
      <c r="J34" s="491"/>
      <c r="K34" s="491"/>
      <c r="L34" s="491"/>
      <c r="M34" s="491"/>
      <c r="N34" s="491"/>
      <c r="O34" s="491"/>
      <c r="P34" s="481">
        <f t="shared" si="4"/>
        <v>0</v>
      </c>
      <c r="Q34" s="491"/>
      <c r="R34" s="491"/>
      <c r="S34" s="491"/>
      <c r="T34" s="491"/>
      <c r="U34" s="491"/>
      <c r="V34" s="493"/>
    </row>
    <row r="35" spans="1:22" x14ac:dyDescent="0.2">
      <c r="A35" s="202"/>
      <c r="B35" s="303"/>
      <c r="C35" s="303"/>
      <c r="D35" s="303"/>
      <c r="E35" s="303"/>
      <c r="F35" s="303"/>
      <c r="G35" s="303"/>
      <c r="H35" s="399"/>
      <c r="I35" s="494"/>
      <c r="J35" s="491"/>
      <c r="K35" s="491"/>
      <c r="L35" s="491"/>
      <c r="M35" s="491"/>
      <c r="N35" s="491"/>
      <c r="O35" s="491"/>
      <c r="P35" s="481">
        <f t="shared" si="4"/>
        <v>0</v>
      </c>
      <c r="Q35" s="491"/>
      <c r="R35" s="491"/>
      <c r="S35" s="491"/>
      <c r="T35" s="491"/>
      <c r="U35" s="491"/>
      <c r="V35" s="493"/>
    </row>
    <row r="36" spans="1:22" x14ac:dyDescent="0.2">
      <c r="A36" s="202"/>
      <c r="B36" s="303"/>
      <c r="C36" s="303"/>
      <c r="D36" s="303"/>
      <c r="E36" s="303"/>
      <c r="F36" s="303"/>
      <c r="G36" s="303"/>
      <c r="H36" s="399"/>
      <c r="I36" s="494"/>
      <c r="J36" s="491"/>
      <c r="K36" s="491"/>
      <c r="L36" s="491"/>
      <c r="M36" s="491"/>
      <c r="N36" s="491"/>
      <c r="O36" s="491"/>
      <c r="P36" s="481">
        <f t="shared" si="4"/>
        <v>0</v>
      </c>
      <c r="Q36" s="491"/>
      <c r="R36" s="491"/>
      <c r="S36" s="491"/>
      <c r="T36" s="491"/>
      <c r="U36" s="491"/>
      <c r="V36" s="493"/>
    </row>
    <row r="37" spans="1:22" x14ac:dyDescent="0.2">
      <c r="A37" s="202"/>
      <c r="B37" s="303"/>
      <c r="C37" s="303"/>
      <c r="D37" s="303"/>
      <c r="E37" s="303"/>
      <c r="F37" s="303"/>
      <c r="G37" s="303"/>
      <c r="H37" s="399"/>
      <c r="I37" s="494"/>
      <c r="J37" s="491"/>
      <c r="K37" s="491"/>
      <c r="L37" s="491"/>
      <c r="M37" s="491"/>
      <c r="N37" s="491"/>
      <c r="O37" s="491"/>
      <c r="P37" s="481">
        <f t="shared" si="4"/>
        <v>0</v>
      </c>
      <c r="Q37" s="491"/>
      <c r="R37" s="491"/>
      <c r="S37" s="491"/>
      <c r="T37" s="491"/>
      <c r="U37" s="491"/>
      <c r="V37" s="493"/>
    </row>
    <row r="38" spans="1:22" x14ac:dyDescent="0.2">
      <c r="A38" s="202"/>
      <c r="B38" s="303"/>
      <c r="C38" s="303"/>
      <c r="D38" s="303"/>
      <c r="E38" s="303"/>
      <c r="F38" s="303"/>
      <c r="G38" s="303"/>
      <c r="H38" s="399"/>
      <c r="I38" s="494"/>
      <c r="J38" s="491"/>
      <c r="K38" s="491"/>
      <c r="L38" s="491"/>
      <c r="M38" s="491"/>
      <c r="N38" s="491"/>
      <c r="O38" s="491"/>
      <c r="P38" s="481">
        <f t="shared" si="4"/>
        <v>0</v>
      </c>
      <c r="Q38" s="491"/>
      <c r="R38" s="491"/>
      <c r="S38" s="491"/>
      <c r="T38" s="491"/>
      <c r="U38" s="491"/>
      <c r="V38" s="493"/>
    </row>
    <row r="39" spans="1:22" x14ac:dyDescent="0.2">
      <c r="A39" s="202"/>
      <c r="B39" s="303"/>
      <c r="C39" s="303"/>
      <c r="D39" s="303"/>
      <c r="E39" s="303"/>
      <c r="F39" s="303"/>
      <c r="G39" s="303"/>
      <c r="H39" s="399"/>
      <c r="I39" s="494"/>
      <c r="J39" s="491"/>
      <c r="K39" s="491"/>
      <c r="L39" s="491"/>
      <c r="M39" s="491"/>
      <c r="N39" s="491"/>
      <c r="O39" s="491"/>
      <c r="P39" s="481">
        <f t="shared" si="4"/>
        <v>0</v>
      </c>
      <c r="Q39" s="491"/>
      <c r="R39" s="491"/>
      <c r="S39" s="491"/>
      <c r="T39" s="491"/>
      <c r="U39" s="491"/>
      <c r="V39" s="493"/>
    </row>
    <row r="40" spans="1:22" x14ac:dyDescent="0.2">
      <c r="A40" s="202"/>
      <c r="B40" s="303"/>
      <c r="C40" s="303"/>
      <c r="D40" s="303"/>
      <c r="E40" s="303"/>
      <c r="F40" s="303"/>
      <c r="G40" s="303"/>
      <c r="H40" s="399"/>
      <c r="I40" s="494"/>
      <c r="J40" s="491"/>
      <c r="K40" s="491"/>
      <c r="L40" s="491"/>
      <c r="M40" s="491"/>
      <c r="N40" s="491"/>
      <c r="O40" s="491"/>
      <c r="P40" s="481">
        <f t="shared" si="4"/>
        <v>0</v>
      </c>
      <c r="Q40" s="491"/>
      <c r="R40" s="491"/>
      <c r="S40" s="491"/>
      <c r="T40" s="491"/>
      <c r="U40" s="491"/>
      <c r="V40" s="493"/>
    </row>
    <row r="41" spans="1:22" x14ac:dyDescent="0.2">
      <c r="A41" s="202"/>
      <c r="B41" s="303"/>
      <c r="C41" s="303"/>
      <c r="D41" s="303"/>
      <c r="E41" s="303"/>
      <c r="F41" s="303"/>
      <c r="G41" s="303"/>
      <c r="H41" s="399"/>
      <c r="I41" s="494"/>
      <c r="J41" s="491"/>
      <c r="K41" s="491"/>
      <c r="L41" s="491"/>
      <c r="M41" s="491"/>
      <c r="N41" s="491"/>
      <c r="O41" s="491"/>
      <c r="P41" s="481">
        <f t="shared" si="4"/>
        <v>0</v>
      </c>
      <c r="Q41" s="491"/>
      <c r="R41" s="491"/>
      <c r="S41" s="491"/>
      <c r="T41" s="491"/>
      <c r="U41" s="491"/>
      <c r="V41" s="493"/>
    </row>
    <row r="42" spans="1:22" x14ac:dyDescent="0.2">
      <c r="A42" s="202"/>
      <c r="B42" s="303"/>
      <c r="C42" s="303"/>
      <c r="D42" s="303"/>
      <c r="E42" s="303"/>
      <c r="F42" s="303"/>
      <c r="G42" s="303"/>
      <c r="H42" s="399"/>
      <c r="I42" s="494"/>
      <c r="J42" s="491"/>
      <c r="K42" s="491"/>
      <c r="L42" s="491"/>
      <c r="M42" s="491"/>
      <c r="N42" s="491"/>
      <c r="O42" s="491"/>
      <c r="P42" s="481">
        <f t="shared" si="4"/>
        <v>0</v>
      </c>
      <c r="Q42" s="491"/>
      <c r="R42" s="491"/>
      <c r="S42" s="491"/>
      <c r="T42" s="491"/>
      <c r="U42" s="491"/>
      <c r="V42" s="493"/>
    </row>
    <row r="43" spans="1:22" x14ac:dyDescent="0.2">
      <c r="A43" s="202"/>
      <c r="B43" s="303"/>
      <c r="C43" s="303"/>
      <c r="D43" s="303"/>
      <c r="E43" s="303"/>
      <c r="F43" s="303"/>
      <c r="G43" s="303"/>
      <c r="H43" s="399"/>
      <c r="I43" s="494"/>
      <c r="J43" s="491"/>
      <c r="K43" s="491"/>
      <c r="L43" s="491"/>
      <c r="M43" s="491"/>
      <c r="N43" s="491"/>
      <c r="O43" s="491"/>
      <c r="P43" s="481">
        <f t="shared" si="4"/>
        <v>0</v>
      </c>
      <c r="Q43" s="491"/>
      <c r="R43" s="491"/>
      <c r="S43" s="491"/>
      <c r="T43" s="491"/>
      <c r="U43" s="491"/>
      <c r="V43" s="493"/>
    </row>
    <row r="44" spans="1:22" x14ac:dyDescent="0.2">
      <c r="A44" s="202"/>
      <c r="B44" s="303"/>
      <c r="C44" s="303"/>
      <c r="D44" s="303"/>
      <c r="E44" s="303"/>
      <c r="F44" s="303"/>
      <c r="G44" s="303"/>
      <c r="H44" s="399"/>
      <c r="I44" s="494"/>
      <c r="J44" s="491"/>
      <c r="K44" s="491"/>
      <c r="L44" s="491"/>
      <c r="M44" s="491"/>
      <c r="N44" s="491"/>
      <c r="O44" s="491"/>
      <c r="P44" s="481">
        <f t="shared" si="4"/>
        <v>0</v>
      </c>
      <c r="Q44" s="491"/>
      <c r="R44" s="491"/>
      <c r="S44" s="491"/>
      <c r="T44" s="491"/>
      <c r="U44" s="491"/>
      <c r="V44" s="493"/>
    </row>
    <row r="45" spans="1:22" x14ac:dyDescent="0.2">
      <c r="A45" s="202"/>
      <c r="B45" s="303"/>
      <c r="C45" s="303"/>
      <c r="D45" s="303"/>
      <c r="E45" s="303"/>
      <c r="F45" s="303"/>
      <c r="G45" s="303"/>
      <c r="H45" s="399"/>
      <c r="I45" s="494"/>
      <c r="J45" s="491"/>
      <c r="K45" s="491"/>
      <c r="L45" s="491"/>
      <c r="M45" s="491"/>
      <c r="N45" s="491"/>
      <c r="O45" s="491"/>
      <c r="P45" s="481">
        <f t="shared" si="4"/>
        <v>0</v>
      </c>
      <c r="Q45" s="491"/>
      <c r="R45" s="491"/>
      <c r="S45" s="491"/>
      <c r="T45" s="491"/>
      <c r="U45" s="491"/>
      <c r="V45" s="493"/>
    </row>
    <row r="46" spans="1:22" x14ac:dyDescent="0.2">
      <c r="A46" s="202"/>
      <c r="B46" s="303"/>
      <c r="C46" s="303"/>
      <c r="D46" s="303"/>
      <c r="E46" s="303"/>
      <c r="F46" s="303"/>
      <c r="G46" s="303"/>
      <c r="H46" s="399"/>
      <c r="I46" s="494"/>
      <c r="J46" s="491"/>
      <c r="K46" s="491"/>
      <c r="L46" s="491"/>
      <c r="M46" s="491"/>
      <c r="N46" s="491"/>
      <c r="O46" s="491"/>
      <c r="P46" s="481">
        <f t="shared" si="4"/>
        <v>0</v>
      </c>
      <c r="Q46" s="491"/>
      <c r="R46" s="491"/>
      <c r="S46" s="491"/>
      <c r="T46" s="491"/>
      <c r="U46" s="491"/>
      <c r="V46" s="493"/>
    </row>
    <row r="47" spans="1:22" x14ac:dyDescent="0.2">
      <c r="A47" s="202"/>
      <c r="B47" s="303"/>
      <c r="C47" s="303"/>
      <c r="D47" s="303"/>
      <c r="E47" s="303"/>
      <c r="F47" s="303"/>
      <c r="G47" s="303"/>
      <c r="H47" s="399"/>
      <c r="I47" s="494"/>
      <c r="J47" s="491"/>
      <c r="K47" s="491"/>
      <c r="L47" s="491"/>
      <c r="M47" s="491"/>
      <c r="N47" s="491"/>
      <c r="O47" s="491"/>
      <c r="P47" s="481">
        <f t="shared" si="4"/>
        <v>0</v>
      </c>
      <c r="Q47" s="491"/>
      <c r="R47" s="491"/>
      <c r="S47" s="491"/>
      <c r="T47" s="491"/>
      <c r="U47" s="491"/>
      <c r="V47" s="493"/>
    </row>
    <row r="48" spans="1:22" x14ac:dyDescent="0.2">
      <c r="A48" s="202"/>
      <c r="B48" s="303"/>
      <c r="C48" s="303"/>
      <c r="D48" s="303"/>
      <c r="E48" s="303"/>
      <c r="F48" s="303"/>
      <c r="G48" s="303"/>
      <c r="H48" s="399"/>
      <c r="I48" s="494"/>
      <c r="J48" s="491"/>
      <c r="K48" s="491"/>
      <c r="L48" s="491"/>
      <c r="M48" s="491"/>
      <c r="N48" s="491"/>
      <c r="O48" s="491"/>
      <c r="P48" s="481">
        <f t="shared" si="4"/>
        <v>0</v>
      </c>
      <c r="Q48" s="491"/>
      <c r="R48" s="491"/>
      <c r="S48" s="491"/>
      <c r="T48" s="491"/>
      <c r="U48" s="491"/>
      <c r="V48" s="493"/>
    </row>
    <row r="49" spans="1:22" x14ac:dyDescent="0.2">
      <c r="A49" s="202"/>
      <c r="B49" s="303"/>
      <c r="C49" s="303"/>
      <c r="D49" s="303"/>
      <c r="E49" s="303"/>
      <c r="F49" s="303"/>
      <c r="G49" s="303"/>
      <c r="H49" s="399"/>
      <c r="I49" s="494"/>
      <c r="J49" s="491"/>
      <c r="K49" s="491"/>
      <c r="L49" s="491"/>
      <c r="M49" s="491"/>
      <c r="N49" s="491"/>
      <c r="O49" s="491"/>
      <c r="P49" s="481">
        <f t="shared" si="4"/>
        <v>0</v>
      </c>
      <c r="Q49" s="491"/>
      <c r="R49" s="491"/>
      <c r="S49" s="491"/>
      <c r="T49" s="491"/>
      <c r="U49" s="491"/>
      <c r="V49" s="493"/>
    </row>
    <row r="50" spans="1:22" x14ac:dyDescent="0.2">
      <c r="A50" s="202"/>
      <c r="B50" s="303"/>
      <c r="C50" s="303"/>
      <c r="D50" s="303"/>
      <c r="E50" s="303"/>
      <c r="F50" s="303"/>
      <c r="G50" s="303"/>
      <c r="H50" s="399"/>
      <c r="I50" s="494"/>
      <c r="J50" s="491"/>
      <c r="K50" s="491"/>
      <c r="L50" s="491"/>
      <c r="M50" s="491"/>
      <c r="N50" s="491"/>
      <c r="O50" s="491"/>
      <c r="P50" s="481">
        <f t="shared" si="4"/>
        <v>0</v>
      </c>
      <c r="Q50" s="491"/>
      <c r="R50" s="491"/>
      <c r="S50" s="491"/>
      <c r="T50" s="491"/>
      <c r="U50" s="491"/>
      <c r="V50" s="493"/>
    </row>
    <row r="51" spans="1:22" x14ac:dyDescent="0.2">
      <c r="A51" s="202"/>
      <c r="B51" s="303"/>
      <c r="C51" s="303"/>
      <c r="D51" s="303"/>
      <c r="E51" s="303"/>
      <c r="F51" s="303"/>
      <c r="G51" s="303"/>
      <c r="H51" s="399"/>
      <c r="I51" s="494"/>
      <c r="J51" s="491"/>
      <c r="K51" s="491"/>
      <c r="L51" s="491"/>
      <c r="M51" s="491"/>
      <c r="N51" s="491"/>
      <c r="O51" s="491"/>
      <c r="P51" s="481">
        <f t="shared" si="4"/>
        <v>0</v>
      </c>
      <c r="Q51" s="491"/>
      <c r="R51" s="491"/>
      <c r="S51" s="491"/>
      <c r="T51" s="491"/>
      <c r="U51" s="491"/>
      <c r="V51" s="493"/>
    </row>
    <row r="52" spans="1:22" x14ac:dyDescent="0.2">
      <c r="A52" s="202"/>
      <c r="B52" s="303"/>
      <c r="C52" s="303"/>
      <c r="D52" s="303"/>
      <c r="E52" s="303"/>
      <c r="F52" s="303"/>
      <c r="G52" s="303"/>
      <c r="H52" s="399"/>
      <c r="I52" s="494"/>
      <c r="J52" s="491"/>
      <c r="K52" s="491"/>
      <c r="L52" s="491"/>
      <c r="M52" s="491"/>
      <c r="N52" s="491"/>
      <c r="O52" s="491"/>
      <c r="P52" s="481">
        <f t="shared" si="4"/>
        <v>0</v>
      </c>
      <c r="Q52" s="491"/>
      <c r="R52" s="491"/>
      <c r="S52" s="491"/>
      <c r="T52" s="491"/>
      <c r="U52" s="491"/>
      <c r="V52" s="493"/>
    </row>
    <row r="53" spans="1:22" x14ac:dyDescent="0.2">
      <c r="A53" s="202"/>
      <c r="B53" s="303"/>
      <c r="C53" s="303"/>
      <c r="D53" s="303"/>
      <c r="E53" s="303"/>
      <c r="F53" s="303"/>
      <c r="G53" s="303"/>
      <c r="H53" s="399"/>
      <c r="I53" s="494"/>
      <c r="J53" s="491"/>
      <c r="K53" s="491"/>
      <c r="L53" s="491"/>
      <c r="M53" s="491"/>
      <c r="N53" s="491"/>
      <c r="O53" s="491"/>
      <c r="P53" s="481">
        <f t="shared" si="4"/>
        <v>0</v>
      </c>
      <c r="Q53" s="491"/>
      <c r="R53" s="491"/>
      <c r="S53" s="491"/>
      <c r="T53" s="491"/>
      <c r="U53" s="491"/>
      <c r="V53" s="493"/>
    </row>
    <row r="54" spans="1:22" x14ac:dyDescent="0.2">
      <c r="A54" s="202"/>
      <c r="B54" s="303"/>
      <c r="C54" s="303"/>
      <c r="D54" s="303"/>
      <c r="E54" s="303"/>
      <c r="F54" s="303"/>
      <c r="G54" s="303"/>
      <c r="H54" s="399"/>
      <c r="I54" s="494"/>
      <c r="J54" s="491"/>
      <c r="K54" s="491"/>
      <c r="L54" s="491"/>
      <c r="M54" s="491"/>
      <c r="N54" s="491"/>
      <c r="O54" s="491"/>
      <c r="P54" s="481">
        <f t="shared" si="4"/>
        <v>0</v>
      </c>
      <c r="Q54" s="491"/>
      <c r="R54" s="491"/>
      <c r="S54" s="491"/>
      <c r="T54" s="491"/>
      <c r="U54" s="491"/>
      <c r="V54" s="493"/>
    </row>
    <row r="55" spans="1:22" x14ac:dyDescent="0.2">
      <c r="A55" s="202"/>
      <c r="B55" s="303"/>
      <c r="C55" s="303"/>
      <c r="D55" s="303"/>
      <c r="E55" s="303"/>
      <c r="F55" s="303"/>
      <c r="G55" s="303"/>
      <c r="H55" s="399"/>
      <c r="I55" s="494"/>
      <c r="J55" s="491"/>
      <c r="K55" s="491"/>
      <c r="L55" s="491"/>
      <c r="M55" s="491"/>
      <c r="N55" s="491"/>
      <c r="O55" s="491"/>
      <c r="P55" s="481">
        <f t="shared" si="4"/>
        <v>0</v>
      </c>
      <c r="Q55" s="491"/>
      <c r="R55" s="491"/>
      <c r="S55" s="491"/>
      <c r="T55" s="491"/>
      <c r="U55" s="491"/>
      <c r="V55" s="493"/>
    </row>
    <row r="56" spans="1:22" x14ac:dyDescent="0.2">
      <c r="A56" s="202"/>
      <c r="B56" s="303"/>
      <c r="C56" s="303"/>
      <c r="D56" s="303"/>
      <c r="E56" s="303"/>
      <c r="F56" s="303"/>
      <c r="G56" s="303"/>
      <c r="H56" s="399"/>
      <c r="I56" s="494"/>
      <c r="J56" s="491"/>
      <c r="K56" s="491"/>
      <c r="L56" s="491"/>
      <c r="M56" s="491"/>
      <c r="N56" s="491"/>
      <c r="O56" s="491"/>
      <c r="P56" s="481">
        <f t="shared" si="4"/>
        <v>0</v>
      </c>
      <c r="Q56" s="491"/>
      <c r="R56" s="491"/>
      <c r="S56" s="491"/>
      <c r="T56" s="491"/>
      <c r="U56" s="491"/>
      <c r="V56" s="493"/>
    </row>
    <row r="57" spans="1:22" x14ac:dyDescent="0.2">
      <c r="A57" s="202"/>
      <c r="B57" s="303"/>
      <c r="C57" s="303"/>
      <c r="D57" s="303"/>
      <c r="E57" s="303"/>
      <c r="F57" s="303"/>
      <c r="G57" s="303"/>
      <c r="H57" s="399"/>
      <c r="I57" s="494"/>
      <c r="J57" s="491"/>
      <c r="K57" s="491"/>
      <c r="L57" s="491"/>
      <c r="M57" s="491"/>
      <c r="N57" s="491"/>
      <c r="O57" s="491"/>
      <c r="P57" s="481">
        <f t="shared" si="4"/>
        <v>0</v>
      </c>
      <c r="Q57" s="491"/>
      <c r="R57" s="491"/>
      <c r="S57" s="491"/>
      <c r="T57" s="491"/>
      <c r="U57" s="491"/>
      <c r="V57" s="493"/>
    </row>
    <row r="58" spans="1:22" x14ac:dyDescent="0.2">
      <c r="A58" s="202"/>
      <c r="B58" s="303"/>
      <c r="C58" s="303"/>
      <c r="D58" s="303"/>
      <c r="E58" s="303"/>
      <c r="F58" s="303"/>
      <c r="G58" s="303"/>
      <c r="H58" s="399"/>
      <c r="I58" s="494"/>
      <c r="J58" s="491"/>
      <c r="K58" s="491"/>
      <c r="L58" s="491"/>
      <c r="M58" s="491"/>
      <c r="N58" s="491"/>
      <c r="O58" s="491"/>
      <c r="P58" s="481">
        <f t="shared" si="4"/>
        <v>0</v>
      </c>
      <c r="Q58" s="491"/>
      <c r="R58" s="491"/>
      <c r="S58" s="491"/>
      <c r="T58" s="491"/>
      <c r="U58" s="491"/>
      <c r="V58" s="493"/>
    </row>
    <row r="59" spans="1:22" x14ac:dyDescent="0.2">
      <c r="A59" s="202"/>
      <c r="B59" s="303"/>
      <c r="C59" s="303"/>
      <c r="D59" s="303"/>
      <c r="E59" s="303"/>
      <c r="F59" s="303"/>
      <c r="G59" s="303"/>
      <c r="H59" s="399"/>
      <c r="I59" s="494"/>
      <c r="J59" s="491"/>
      <c r="K59" s="491"/>
      <c r="L59" s="491"/>
      <c r="M59" s="491"/>
      <c r="N59" s="491"/>
      <c r="O59" s="491"/>
      <c r="P59" s="481">
        <f t="shared" si="4"/>
        <v>0</v>
      </c>
      <c r="Q59" s="491"/>
      <c r="R59" s="491"/>
      <c r="S59" s="491"/>
      <c r="T59" s="491"/>
      <c r="U59" s="491"/>
      <c r="V59" s="493"/>
    </row>
    <row r="60" spans="1:22" x14ac:dyDescent="0.2">
      <c r="A60" s="202"/>
      <c r="B60" s="303"/>
      <c r="C60" s="303"/>
      <c r="D60" s="303"/>
      <c r="E60" s="303"/>
      <c r="F60" s="303"/>
      <c r="G60" s="303"/>
      <c r="H60" s="399"/>
      <c r="I60" s="494"/>
      <c r="J60" s="491"/>
      <c r="K60" s="491"/>
      <c r="L60" s="491"/>
      <c r="M60" s="491"/>
      <c r="N60" s="491"/>
      <c r="O60" s="491"/>
      <c r="P60" s="481">
        <f t="shared" si="4"/>
        <v>0</v>
      </c>
      <c r="Q60" s="491"/>
      <c r="R60" s="491"/>
      <c r="S60" s="491"/>
      <c r="T60" s="491"/>
      <c r="U60" s="491"/>
      <c r="V60" s="493"/>
    </row>
    <row r="61" spans="1:22" x14ac:dyDescent="0.2">
      <c r="A61" s="202"/>
      <c r="B61" s="303"/>
      <c r="C61" s="303"/>
      <c r="D61" s="303"/>
      <c r="E61" s="303"/>
      <c r="F61" s="303"/>
      <c r="G61" s="303"/>
      <c r="H61" s="399"/>
      <c r="I61" s="494"/>
      <c r="J61" s="491"/>
      <c r="K61" s="491"/>
      <c r="L61" s="491"/>
      <c r="M61" s="491"/>
      <c r="N61" s="491"/>
      <c r="O61" s="491"/>
      <c r="P61" s="481">
        <f t="shared" si="4"/>
        <v>0</v>
      </c>
      <c r="Q61" s="491"/>
      <c r="R61" s="491"/>
      <c r="S61" s="491"/>
      <c r="T61" s="491"/>
      <c r="U61" s="491"/>
      <c r="V61" s="493"/>
    </row>
    <row r="62" spans="1:22" x14ac:dyDescent="0.2">
      <c r="A62" s="202"/>
      <c r="B62" s="303"/>
      <c r="C62" s="303"/>
      <c r="D62" s="303"/>
      <c r="E62" s="303"/>
      <c r="F62" s="303"/>
      <c r="G62" s="303"/>
      <c r="H62" s="399"/>
      <c r="I62" s="494"/>
      <c r="J62" s="491"/>
      <c r="K62" s="491"/>
      <c r="L62" s="491"/>
      <c r="M62" s="491"/>
      <c r="N62" s="491"/>
      <c r="O62" s="491"/>
      <c r="P62" s="481">
        <f t="shared" si="4"/>
        <v>0</v>
      </c>
      <c r="Q62" s="491"/>
      <c r="R62" s="491"/>
      <c r="S62" s="491"/>
      <c r="T62" s="491"/>
      <c r="U62" s="491"/>
      <c r="V62" s="493"/>
    </row>
    <row r="63" spans="1:22" x14ac:dyDescent="0.2">
      <c r="A63" s="202"/>
      <c r="B63" s="303"/>
      <c r="C63" s="303"/>
      <c r="D63" s="303"/>
      <c r="E63" s="303"/>
      <c r="F63" s="303"/>
      <c r="G63" s="303"/>
      <c r="H63" s="399"/>
      <c r="I63" s="494"/>
      <c r="J63" s="491"/>
      <c r="K63" s="491"/>
      <c r="L63" s="491"/>
      <c r="M63" s="491"/>
      <c r="N63" s="491"/>
      <c r="O63" s="491"/>
      <c r="P63" s="481">
        <f t="shared" si="4"/>
        <v>0</v>
      </c>
      <c r="Q63" s="491"/>
      <c r="R63" s="491"/>
      <c r="S63" s="491"/>
      <c r="T63" s="491"/>
      <c r="U63" s="491"/>
      <c r="V63" s="493"/>
    </row>
    <row r="64" spans="1:22" x14ac:dyDescent="0.2">
      <c r="A64" s="202"/>
      <c r="B64" s="303"/>
      <c r="C64" s="303"/>
      <c r="D64" s="303"/>
      <c r="E64" s="303"/>
      <c r="F64" s="303"/>
      <c r="G64" s="303"/>
      <c r="H64" s="399"/>
      <c r="I64" s="494"/>
      <c r="J64" s="491"/>
      <c r="K64" s="491"/>
      <c r="L64" s="491"/>
      <c r="M64" s="491"/>
      <c r="N64" s="491"/>
      <c r="O64" s="491"/>
      <c r="P64" s="481">
        <f t="shared" si="4"/>
        <v>0</v>
      </c>
      <c r="Q64" s="491"/>
      <c r="R64" s="491"/>
      <c r="S64" s="491"/>
      <c r="T64" s="491"/>
      <c r="U64" s="491"/>
      <c r="V64" s="493"/>
    </row>
    <row r="65" spans="1:22" x14ac:dyDescent="0.2">
      <c r="A65" s="202"/>
      <c r="B65" s="303"/>
      <c r="C65" s="303"/>
      <c r="D65" s="303"/>
      <c r="E65" s="303"/>
      <c r="F65" s="303"/>
      <c r="G65" s="303"/>
      <c r="H65" s="399"/>
      <c r="I65" s="494"/>
      <c r="J65" s="491"/>
      <c r="K65" s="491"/>
      <c r="L65" s="491"/>
      <c r="M65" s="491"/>
      <c r="N65" s="491"/>
      <c r="O65" s="491"/>
      <c r="P65" s="481">
        <f t="shared" si="4"/>
        <v>0</v>
      </c>
      <c r="Q65" s="491"/>
      <c r="R65" s="491"/>
      <c r="S65" s="491"/>
      <c r="T65" s="491"/>
      <c r="U65" s="491"/>
      <c r="V65" s="493"/>
    </row>
    <row r="66" spans="1:22" x14ac:dyDescent="0.2">
      <c r="A66" s="202"/>
      <c r="B66" s="303"/>
      <c r="C66" s="303"/>
      <c r="D66" s="303"/>
      <c r="E66" s="303"/>
      <c r="F66" s="303"/>
      <c r="G66" s="303"/>
      <c r="H66" s="399"/>
      <c r="I66" s="494"/>
      <c r="J66" s="491"/>
      <c r="K66" s="491"/>
      <c r="L66" s="491"/>
      <c r="M66" s="491"/>
      <c r="N66" s="491"/>
      <c r="O66" s="491"/>
      <c r="P66" s="481">
        <f t="shared" si="4"/>
        <v>0</v>
      </c>
      <c r="Q66" s="491"/>
      <c r="R66" s="491"/>
      <c r="S66" s="491"/>
      <c r="T66" s="491"/>
      <c r="U66" s="491"/>
      <c r="V66" s="493"/>
    </row>
    <row r="67" spans="1:22" x14ac:dyDescent="0.2">
      <c r="A67" s="202"/>
      <c r="B67" s="303"/>
      <c r="C67" s="303"/>
      <c r="D67" s="303"/>
      <c r="E67" s="303"/>
      <c r="F67" s="303"/>
      <c r="G67" s="303"/>
      <c r="H67" s="399"/>
      <c r="I67" s="494"/>
      <c r="J67" s="491"/>
      <c r="K67" s="491"/>
      <c r="L67" s="491"/>
      <c r="M67" s="491"/>
      <c r="N67" s="491"/>
      <c r="O67" s="491"/>
      <c r="P67" s="481">
        <f t="shared" si="4"/>
        <v>0</v>
      </c>
      <c r="Q67" s="491"/>
      <c r="R67" s="491"/>
      <c r="S67" s="491"/>
      <c r="T67" s="491"/>
      <c r="U67" s="491"/>
      <c r="V67" s="493"/>
    </row>
    <row r="68" spans="1:22" x14ac:dyDescent="0.2">
      <c r="A68" s="202"/>
      <c r="B68" s="303"/>
      <c r="C68" s="303"/>
      <c r="D68" s="303"/>
      <c r="E68" s="303"/>
      <c r="F68" s="303"/>
      <c r="G68" s="303"/>
      <c r="H68" s="399"/>
      <c r="I68" s="494"/>
      <c r="J68" s="491"/>
      <c r="K68" s="491"/>
      <c r="L68" s="491"/>
      <c r="M68" s="491"/>
      <c r="N68" s="491"/>
      <c r="O68" s="491"/>
      <c r="P68" s="481">
        <f t="shared" si="4"/>
        <v>0</v>
      </c>
      <c r="Q68" s="491"/>
      <c r="R68" s="491"/>
      <c r="S68" s="491"/>
      <c r="T68" s="491"/>
      <c r="U68" s="491"/>
      <c r="V68" s="493"/>
    </row>
    <row r="69" spans="1:22" x14ac:dyDescent="0.2">
      <c r="A69" s="202"/>
      <c r="B69" s="303"/>
      <c r="C69" s="303"/>
      <c r="D69" s="303"/>
      <c r="E69" s="303"/>
      <c r="F69" s="303"/>
      <c r="G69" s="303"/>
      <c r="H69" s="399"/>
      <c r="I69" s="494"/>
      <c r="J69" s="491"/>
      <c r="K69" s="491"/>
      <c r="L69" s="491"/>
      <c r="M69" s="491"/>
      <c r="N69" s="491"/>
      <c r="O69" s="491"/>
      <c r="P69" s="481">
        <f t="shared" si="4"/>
        <v>0</v>
      </c>
      <c r="Q69" s="491"/>
      <c r="R69" s="491"/>
      <c r="S69" s="491"/>
      <c r="T69" s="491"/>
      <c r="U69" s="491"/>
      <c r="V69" s="493"/>
    </row>
    <row r="70" spans="1:22" x14ac:dyDescent="0.2">
      <c r="A70" s="202"/>
      <c r="B70" s="303"/>
      <c r="C70" s="303"/>
      <c r="D70" s="303"/>
      <c r="E70" s="303"/>
      <c r="F70" s="303"/>
      <c r="G70" s="303"/>
      <c r="H70" s="399"/>
      <c r="I70" s="494"/>
      <c r="J70" s="491"/>
      <c r="K70" s="491"/>
      <c r="L70" s="491"/>
      <c r="M70" s="491"/>
      <c r="N70" s="491"/>
      <c r="O70" s="491"/>
      <c r="P70" s="481">
        <f t="shared" si="4"/>
        <v>0</v>
      </c>
      <c r="Q70" s="491"/>
      <c r="R70" s="491"/>
      <c r="S70" s="491"/>
      <c r="T70" s="491"/>
      <c r="U70" s="491"/>
      <c r="V70" s="493"/>
    </row>
    <row r="71" spans="1:22" x14ac:dyDescent="0.2">
      <c r="A71" s="202"/>
      <c r="B71" s="303"/>
      <c r="C71" s="303"/>
      <c r="D71" s="303"/>
      <c r="E71" s="303"/>
      <c r="F71" s="303"/>
      <c r="G71" s="303"/>
      <c r="H71" s="399"/>
      <c r="I71" s="494"/>
      <c r="J71" s="491"/>
      <c r="K71" s="491"/>
      <c r="L71" s="491"/>
      <c r="M71" s="491"/>
      <c r="N71" s="491"/>
      <c r="O71" s="491"/>
      <c r="P71" s="481">
        <f t="shared" si="4"/>
        <v>0</v>
      </c>
      <c r="Q71" s="491"/>
      <c r="R71" s="491"/>
      <c r="S71" s="491"/>
      <c r="T71" s="491"/>
      <c r="U71" s="491"/>
      <c r="V71" s="493"/>
    </row>
    <row r="72" spans="1:22" x14ac:dyDescent="0.2">
      <c r="A72" s="202"/>
      <c r="B72" s="303"/>
      <c r="C72" s="303"/>
      <c r="D72" s="303"/>
      <c r="E72" s="303"/>
      <c r="F72" s="303"/>
      <c r="G72" s="303"/>
      <c r="H72" s="399"/>
      <c r="I72" s="494"/>
      <c r="J72" s="491"/>
      <c r="K72" s="491"/>
      <c r="L72" s="491"/>
      <c r="M72" s="491"/>
      <c r="N72" s="491"/>
      <c r="O72" s="491"/>
      <c r="P72" s="481">
        <f t="shared" si="4"/>
        <v>0</v>
      </c>
      <c r="Q72" s="491"/>
      <c r="R72" s="491"/>
      <c r="S72" s="491"/>
      <c r="T72" s="491"/>
      <c r="U72" s="491"/>
      <c r="V72" s="493"/>
    </row>
    <row r="73" spans="1:22" x14ac:dyDescent="0.2">
      <c r="A73" s="202"/>
      <c r="B73" s="303"/>
      <c r="C73" s="303"/>
      <c r="D73" s="303"/>
      <c r="E73" s="303"/>
      <c r="F73" s="303"/>
      <c r="G73" s="303"/>
      <c r="H73" s="399"/>
      <c r="I73" s="494"/>
      <c r="J73" s="491"/>
      <c r="K73" s="491"/>
      <c r="L73" s="491"/>
      <c r="M73" s="491"/>
      <c r="N73" s="491"/>
      <c r="O73" s="491"/>
      <c r="P73" s="481">
        <f t="shared" si="4"/>
        <v>0</v>
      </c>
      <c r="Q73" s="491"/>
      <c r="R73" s="491"/>
      <c r="S73" s="491"/>
      <c r="T73" s="491"/>
      <c r="U73" s="491"/>
      <c r="V73" s="493"/>
    </row>
    <row r="74" spans="1:22" x14ac:dyDescent="0.2">
      <c r="A74" s="202"/>
      <c r="B74" s="303"/>
      <c r="C74" s="303"/>
      <c r="D74" s="303"/>
      <c r="E74" s="303"/>
      <c r="F74" s="303"/>
      <c r="G74" s="303"/>
      <c r="H74" s="399"/>
      <c r="I74" s="494"/>
      <c r="J74" s="491"/>
      <c r="K74" s="491"/>
      <c r="L74" s="491"/>
      <c r="M74" s="491"/>
      <c r="N74" s="491"/>
      <c r="O74" s="491"/>
      <c r="P74" s="481">
        <f t="shared" si="4"/>
        <v>0</v>
      </c>
      <c r="Q74" s="491"/>
      <c r="R74" s="491"/>
      <c r="S74" s="491"/>
      <c r="T74" s="491"/>
      <c r="U74" s="491"/>
      <c r="V74" s="493"/>
    </row>
    <row r="75" spans="1:22" x14ac:dyDescent="0.2">
      <c r="A75" s="202"/>
      <c r="B75" s="303"/>
      <c r="C75" s="303"/>
      <c r="D75" s="303"/>
      <c r="E75" s="303"/>
      <c r="F75" s="303"/>
      <c r="G75" s="303"/>
      <c r="H75" s="399"/>
      <c r="I75" s="494"/>
      <c r="J75" s="491"/>
      <c r="K75" s="491"/>
      <c r="L75" s="491"/>
      <c r="M75" s="491"/>
      <c r="N75" s="491"/>
      <c r="O75" s="491"/>
      <c r="P75" s="481">
        <f t="shared" si="4"/>
        <v>0</v>
      </c>
      <c r="Q75" s="491"/>
      <c r="R75" s="491"/>
      <c r="S75" s="491"/>
      <c r="T75" s="491"/>
      <c r="U75" s="491"/>
      <c r="V75" s="493"/>
    </row>
    <row r="76" spans="1:22" x14ac:dyDescent="0.2">
      <c r="A76" s="202"/>
      <c r="B76" s="303"/>
      <c r="C76" s="303"/>
      <c r="D76" s="303"/>
      <c r="E76" s="303"/>
      <c r="F76" s="303"/>
      <c r="G76" s="303"/>
      <c r="H76" s="399"/>
      <c r="I76" s="494"/>
      <c r="J76" s="491"/>
      <c r="K76" s="491"/>
      <c r="L76" s="491"/>
      <c r="M76" s="491"/>
      <c r="N76" s="491"/>
      <c r="O76" s="491"/>
      <c r="P76" s="481">
        <f t="shared" si="4"/>
        <v>0</v>
      </c>
      <c r="Q76" s="491"/>
      <c r="R76" s="491"/>
      <c r="S76" s="491"/>
      <c r="T76" s="491"/>
      <c r="U76" s="491"/>
      <c r="V76" s="493"/>
    </row>
    <row r="77" spans="1:22" x14ac:dyDescent="0.2">
      <c r="A77" s="202"/>
      <c r="B77" s="303"/>
      <c r="C77" s="303"/>
      <c r="D77" s="303"/>
      <c r="E77" s="303"/>
      <c r="F77" s="303"/>
      <c r="G77" s="303"/>
      <c r="H77" s="399"/>
      <c r="I77" s="494"/>
      <c r="J77" s="491"/>
      <c r="K77" s="491"/>
      <c r="L77" s="491"/>
      <c r="M77" s="491"/>
      <c r="N77" s="491"/>
      <c r="O77" s="491"/>
      <c r="P77" s="481">
        <f t="shared" si="4"/>
        <v>0</v>
      </c>
      <c r="Q77" s="491"/>
      <c r="R77" s="491"/>
      <c r="S77" s="491"/>
      <c r="T77" s="491"/>
      <c r="U77" s="491"/>
      <c r="V77" s="493"/>
    </row>
    <row r="78" spans="1:22" x14ac:dyDescent="0.2">
      <c r="A78" s="202"/>
      <c r="B78" s="303"/>
      <c r="C78" s="303"/>
      <c r="D78" s="303"/>
      <c r="E78" s="303"/>
      <c r="F78" s="303"/>
      <c r="G78" s="303"/>
      <c r="H78" s="399"/>
      <c r="I78" s="494"/>
      <c r="J78" s="491"/>
      <c r="K78" s="491"/>
      <c r="L78" s="491"/>
      <c r="M78" s="491"/>
      <c r="N78" s="491"/>
      <c r="O78" s="491"/>
      <c r="P78" s="481">
        <f t="shared" si="4"/>
        <v>0</v>
      </c>
      <c r="Q78" s="491"/>
      <c r="R78" s="491"/>
      <c r="S78" s="491"/>
      <c r="T78" s="491"/>
      <c r="U78" s="491"/>
      <c r="V78" s="493"/>
    </row>
    <row r="79" spans="1:22" x14ac:dyDescent="0.2">
      <c r="A79" s="202"/>
      <c r="B79" s="303"/>
      <c r="C79" s="303"/>
      <c r="D79" s="303"/>
      <c r="E79" s="303"/>
      <c r="F79" s="303"/>
      <c r="G79" s="303"/>
      <c r="H79" s="399"/>
      <c r="I79" s="494"/>
      <c r="J79" s="491"/>
      <c r="K79" s="491"/>
      <c r="L79" s="491"/>
      <c r="M79" s="491"/>
      <c r="N79" s="491"/>
      <c r="O79" s="491"/>
      <c r="P79" s="481">
        <f t="shared" si="4"/>
        <v>0</v>
      </c>
      <c r="Q79" s="491"/>
      <c r="R79" s="491"/>
      <c r="S79" s="491"/>
      <c r="T79" s="491"/>
      <c r="U79" s="491"/>
      <c r="V79" s="493"/>
    </row>
    <row r="80" spans="1:22" x14ac:dyDescent="0.2">
      <c r="A80" s="202"/>
      <c r="B80" s="303"/>
      <c r="C80" s="303"/>
      <c r="D80" s="303"/>
      <c r="E80" s="303"/>
      <c r="F80" s="303"/>
      <c r="G80" s="303"/>
      <c r="H80" s="399"/>
      <c r="I80" s="494"/>
      <c r="J80" s="491"/>
      <c r="K80" s="491"/>
      <c r="L80" s="491"/>
      <c r="M80" s="491"/>
      <c r="N80" s="491"/>
      <c r="O80" s="491"/>
      <c r="P80" s="481">
        <f t="shared" si="4"/>
        <v>0</v>
      </c>
      <c r="Q80" s="491"/>
      <c r="R80" s="491"/>
      <c r="S80" s="491"/>
      <c r="T80" s="491"/>
      <c r="U80" s="491"/>
      <c r="V80" s="493"/>
    </row>
    <row r="81" spans="1:22" x14ac:dyDescent="0.2">
      <c r="A81" s="202"/>
      <c r="B81" s="303"/>
      <c r="C81" s="303"/>
      <c r="D81" s="303"/>
      <c r="E81" s="303"/>
      <c r="F81" s="303"/>
      <c r="G81" s="303"/>
      <c r="H81" s="399"/>
      <c r="I81" s="494"/>
      <c r="J81" s="491"/>
      <c r="K81" s="491"/>
      <c r="L81" s="491"/>
      <c r="M81" s="491"/>
      <c r="N81" s="491"/>
      <c r="O81" s="491"/>
      <c r="P81" s="481">
        <f t="shared" si="4"/>
        <v>0</v>
      </c>
      <c r="Q81" s="491"/>
      <c r="R81" s="491"/>
      <c r="S81" s="491"/>
      <c r="T81" s="491"/>
      <c r="U81" s="491"/>
      <c r="V81" s="493"/>
    </row>
    <row r="82" spans="1:22" x14ac:dyDescent="0.2">
      <c r="A82" s="202"/>
      <c r="B82" s="303"/>
      <c r="C82" s="303"/>
      <c r="D82" s="303"/>
      <c r="E82" s="303"/>
      <c r="F82" s="303"/>
      <c r="G82" s="303"/>
      <c r="H82" s="399"/>
      <c r="I82" s="494"/>
      <c r="J82" s="491"/>
      <c r="K82" s="491"/>
      <c r="L82" s="491"/>
      <c r="M82" s="491"/>
      <c r="N82" s="491"/>
      <c r="O82" s="491"/>
      <c r="P82" s="481">
        <f t="shared" si="4"/>
        <v>0</v>
      </c>
      <c r="Q82" s="491"/>
      <c r="R82" s="491"/>
      <c r="S82" s="491"/>
      <c r="T82" s="491"/>
      <c r="U82" s="491"/>
      <c r="V82" s="493"/>
    </row>
    <row r="83" spans="1:22" x14ac:dyDescent="0.2">
      <c r="A83" s="202"/>
      <c r="B83" s="303"/>
      <c r="C83" s="303"/>
      <c r="D83" s="303"/>
      <c r="E83" s="303"/>
      <c r="F83" s="303"/>
      <c r="G83" s="303"/>
      <c r="H83" s="399"/>
      <c r="I83" s="494"/>
      <c r="J83" s="491"/>
      <c r="K83" s="491"/>
      <c r="L83" s="491"/>
      <c r="M83" s="491"/>
      <c r="N83" s="491"/>
      <c r="O83" s="491"/>
      <c r="P83" s="481">
        <f t="shared" si="4"/>
        <v>0</v>
      </c>
      <c r="Q83" s="491"/>
      <c r="R83" s="491"/>
      <c r="S83" s="491"/>
      <c r="T83" s="491"/>
      <c r="U83" s="491"/>
      <c r="V83" s="493"/>
    </row>
    <row r="84" spans="1:22" x14ac:dyDescent="0.2">
      <c r="A84" s="202"/>
      <c r="B84" s="303"/>
      <c r="C84" s="303"/>
      <c r="D84" s="303"/>
      <c r="E84" s="303"/>
      <c r="F84" s="303"/>
      <c r="G84" s="303"/>
      <c r="H84" s="399"/>
      <c r="I84" s="494"/>
      <c r="J84" s="491"/>
      <c r="K84" s="491"/>
      <c r="L84" s="491"/>
      <c r="M84" s="491"/>
      <c r="N84" s="491"/>
      <c r="O84" s="491"/>
      <c r="P84" s="481">
        <f t="shared" si="4"/>
        <v>0</v>
      </c>
      <c r="Q84" s="491"/>
      <c r="R84" s="491"/>
      <c r="S84" s="491"/>
      <c r="T84" s="491"/>
      <c r="U84" s="491"/>
      <c r="V84" s="493"/>
    </row>
    <row r="85" spans="1:22" x14ac:dyDescent="0.2">
      <c r="A85" s="202"/>
      <c r="B85" s="303"/>
      <c r="C85" s="303"/>
      <c r="D85" s="303"/>
      <c r="E85" s="303"/>
      <c r="F85" s="303"/>
      <c r="G85" s="303"/>
      <c r="H85" s="399"/>
      <c r="I85" s="494"/>
      <c r="J85" s="491"/>
      <c r="K85" s="491"/>
      <c r="L85" s="491"/>
      <c r="M85" s="491"/>
      <c r="N85" s="491"/>
      <c r="O85" s="491"/>
      <c r="P85" s="481">
        <f t="shared" si="4"/>
        <v>0</v>
      </c>
      <c r="Q85" s="491"/>
      <c r="R85" s="491"/>
      <c r="S85" s="491"/>
      <c r="T85" s="491"/>
      <c r="U85" s="491"/>
      <c r="V85" s="493"/>
    </row>
    <row r="86" spans="1:22" x14ac:dyDescent="0.2">
      <c r="A86" s="202"/>
      <c r="B86" s="303"/>
      <c r="C86" s="303"/>
      <c r="D86" s="303"/>
      <c r="E86" s="303"/>
      <c r="F86" s="303"/>
      <c r="G86" s="303"/>
      <c r="H86" s="399"/>
      <c r="I86" s="494"/>
      <c r="J86" s="491"/>
      <c r="K86" s="491"/>
      <c r="L86" s="491"/>
      <c r="M86" s="491"/>
      <c r="N86" s="491"/>
      <c r="O86" s="491"/>
      <c r="P86" s="481">
        <f t="shared" si="4"/>
        <v>0</v>
      </c>
      <c r="Q86" s="491"/>
      <c r="R86" s="491"/>
      <c r="S86" s="491"/>
      <c r="T86" s="491"/>
      <c r="U86" s="491"/>
      <c r="V86" s="493"/>
    </row>
    <row r="87" spans="1:22" x14ac:dyDescent="0.2">
      <c r="A87" s="202"/>
      <c r="B87" s="303"/>
      <c r="C87" s="303"/>
      <c r="D87" s="303"/>
      <c r="E87" s="303"/>
      <c r="F87" s="303"/>
      <c r="G87" s="303"/>
      <c r="H87" s="399"/>
      <c r="I87" s="494"/>
      <c r="J87" s="491"/>
      <c r="K87" s="491"/>
      <c r="L87" s="491"/>
      <c r="M87" s="491"/>
      <c r="N87" s="491"/>
      <c r="O87" s="491"/>
      <c r="P87" s="481">
        <f t="shared" si="4"/>
        <v>0</v>
      </c>
      <c r="Q87" s="491"/>
      <c r="R87" s="491"/>
      <c r="S87" s="491"/>
      <c r="T87" s="491"/>
      <c r="U87" s="491"/>
      <c r="V87" s="493"/>
    </row>
    <row r="88" spans="1:22" x14ac:dyDescent="0.2">
      <c r="A88" s="202"/>
      <c r="B88" s="303"/>
      <c r="C88" s="303"/>
      <c r="D88" s="303"/>
      <c r="E88" s="303"/>
      <c r="F88" s="303"/>
      <c r="G88" s="303"/>
      <c r="H88" s="399"/>
      <c r="I88" s="494"/>
      <c r="J88" s="491"/>
      <c r="K88" s="491"/>
      <c r="L88" s="491"/>
      <c r="M88" s="491"/>
      <c r="N88" s="491"/>
      <c r="O88" s="491"/>
      <c r="P88" s="481">
        <f t="shared" si="4"/>
        <v>0</v>
      </c>
      <c r="Q88" s="491"/>
      <c r="R88" s="491"/>
      <c r="S88" s="491"/>
      <c r="T88" s="491"/>
      <c r="U88" s="491"/>
      <c r="V88" s="493"/>
    </row>
    <row r="89" spans="1:22" x14ac:dyDescent="0.2">
      <c r="A89" s="202"/>
      <c r="B89" s="303"/>
      <c r="C89" s="303"/>
      <c r="D89" s="303"/>
      <c r="E89" s="303"/>
      <c r="F89" s="303"/>
      <c r="G89" s="303"/>
      <c r="H89" s="399"/>
      <c r="I89" s="494"/>
      <c r="J89" s="491"/>
      <c r="K89" s="491"/>
      <c r="L89" s="491"/>
      <c r="M89" s="491"/>
      <c r="N89" s="491"/>
      <c r="O89" s="491"/>
      <c r="P89" s="481">
        <f t="shared" si="4"/>
        <v>0</v>
      </c>
      <c r="Q89" s="491"/>
      <c r="R89" s="491"/>
      <c r="S89" s="491"/>
      <c r="T89" s="491"/>
      <c r="U89" s="491"/>
      <c r="V89" s="493"/>
    </row>
    <row r="90" spans="1:22" x14ac:dyDescent="0.2">
      <c r="A90" s="202"/>
      <c r="B90" s="303"/>
      <c r="C90" s="303"/>
      <c r="D90" s="303"/>
      <c r="E90" s="303"/>
      <c r="F90" s="303"/>
      <c r="G90" s="303"/>
      <c r="H90" s="399"/>
      <c r="I90" s="494"/>
      <c r="J90" s="491"/>
      <c r="K90" s="491"/>
      <c r="L90" s="491"/>
      <c r="M90" s="491"/>
      <c r="N90" s="491"/>
      <c r="O90" s="491"/>
      <c r="P90" s="481">
        <f t="shared" si="4"/>
        <v>0</v>
      </c>
      <c r="Q90" s="491"/>
      <c r="R90" s="491"/>
      <c r="S90" s="491"/>
      <c r="T90" s="491"/>
      <c r="U90" s="491"/>
      <c r="V90" s="493"/>
    </row>
    <row r="91" spans="1:22" x14ac:dyDescent="0.2">
      <c r="A91" s="202"/>
      <c r="B91" s="303"/>
      <c r="C91" s="303"/>
      <c r="D91" s="303"/>
      <c r="E91" s="303"/>
      <c r="F91" s="303"/>
      <c r="G91" s="303"/>
      <c r="H91" s="399"/>
      <c r="I91" s="494"/>
      <c r="J91" s="491"/>
      <c r="K91" s="491"/>
      <c r="L91" s="491"/>
      <c r="M91" s="491"/>
      <c r="N91" s="491"/>
      <c r="O91" s="491"/>
      <c r="P91" s="481">
        <f t="shared" si="4"/>
        <v>0</v>
      </c>
      <c r="Q91" s="491"/>
      <c r="R91" s="491"/>
      <c r="S91" s="491"/>
      <c r="T91" s="491"/>
      <c r="U91" s="491"/>
      <c r="V91" s="493"/>
    </row>
    <row r="92" spans="1:22" x14ac:dyDescent="0.2">
      <c r="A92" s="202"/>
      <c r="B92" s="303"/>
      <c r="C92" s="303"/>
      <c r="D92" s="303"/>
      <c r="E92" s="303"/>
      <c r="F92" s="303"/>
      <c r="G92" s="303"/>
      <c r="H92" s="399"/>
      <c r="I92" s="494"/>
      <c r="J92" s="491"/>
      <c r="K92" s="491"/>
      <c r="L92" s="491"/>
      <c r="M92" s="491"/>
      <c r="N92" s="491"/>
      <c r="O92" s="491"/>
      <c r="P92" s="481">
        <f t="shared" si="4"/>
        <v>0</v>
      </c>
      <c r="Q92" s="491"/>
      <c r="R92" s="491"/>
      <c r="S92" s="491"/>
      <c r="T92" s="491"/>
      <c r="U92" s="491"/>
      <c r="V92" s="493"/>
    </row>
    <row r="93" spans="1:22" x14ac:dyDescent="0.2">
      <c r="A93" s="202"/>
      <c r="B93" s="303"/>
      <c r="C93" s="303"/>
      <c r="D93" s="303"/>
      <c r="E93" s="303"/>
      <c r="F93" s="303"/>
      <c r="G93" s="303"/>
      <c r="H93" s="399"/>
      <c r="I93" s="494"/>
      <c r="J93" s="491"/>
      <c r="K93" s="491"/>
      <c r="L93" s="491"/>
      <c r="M93" s="491"/>
      <c r="N93" s="491"/>
      <c r="O93" s="491"/>
      <c r="P93" s="481">
        <f t="shared" si="4"/>
        <v>0</v>
      </c>
      <c r="Q93" s="491"/>
      <c r="R93" s="491"/>
      <c r="S93" s="491"/>
      <c r="T93" s="491"/>
      <c r="U93" s="491"/>
      <c r="V93" s="493"/>
    </row>
    <row r="94" spans="1:22" x14ac:dyDescent="0.2">
      <c r="A94" s="202"/>
      <c r="B94" s="303"/>
      <c r="C94" s="303"/>
      <c r="D94" s="303"/>
      <c r="E94" s="303"/>
      <c r="F94" s="303"/>
      <c r="G94" s="303"/>
      <c r="H94" s="399"/>
      <c r="I94" s="494"/>
      <c r="J94" s="491"/>
      <c r="K94" s="491"/>
      <c r="L94" s="491"/>
      <c r="M94" s="491"/>
      <c r="N94" s="491"/>
      <c r="O94" s="491"/>
      <c r="P94" s="481">
        <f t="shared" si="4"/>
        <v>0</v>
      </c>
      <c r="Q94" s="491"/>
      <c r="R94" s="491"/>
      <c r="S94" s="491"/>
      <c r="T94" s="491"/>
      <c r="U94" s="491"/>
      <c r="V94" s="493"/>
    </row>
    <row r="95" spans="1:22" x14ac:dyDescent="0.2">
      <c r="A95" s="202"/>
      <c r="B95" s="303"/>
      <c r="C95" s="303"/>
      <c r="D95" s="303"/>
      <c r="E95" s="303"/>
      <c r="F95" s="303"/>
      <c r="G95" s="303"/>
      <c r="H95" s="399"/>
      <c r="I95" s="494"/>
      <c r="J95" s="491"/>
      <c r="K95" s="491"/>
      <c r="L95" s="491"/>
      <c r="M95" s="491"/>
      <c r="N95" s="491"/>
      <c r="O95" s="491"/>
      <c r="P95" s="481">
        <f t="shared" si="4"/>
        <v>0</v>
      </c>
      <c r="Q95" s="491"/>
      <c r="R95" s="491"/>
      <c r="S95" s="491"/>
      <c r="T95" s="491"/>
      <c r="U95" s="491"/>
      <c r="V95" s="493"/>
    </row>
    <row r="96" spans="1:22" x14ac:dyDescent="0.2">
      <c r="A96" s="202"/>
      <c r="B96" s="303"/>
      <c r="C96" s="303"/>
      <c r="D96" s="303"/>
      <c r="E96" s="303"/>
      <c r="F96" s="303"/>
      <c r="G96" s="303"/>
      <c r="H96" s="399"/>
      <c r="I96" s="494"/>
      <c r="J96" s="491"/>
      <c r="K96" s="491"/>
      <c r="L96" s="491"/>
      <c r="M96" s="491"/>
      <c r="N96" s="491"/>
      <c r="O96" s="491"/>
      <c r="P96" s="481">
        <f t="shared" si="4"/>
        <v>0</v>
      </c>
      <c r="Q96" s="491"/>
      <c r="R96" s="491"/>
      <c r="S96" s="491"/>
      <c r="T96" s="491"/>
      <c r="U96" s="491"/>
      <c r="V96" s="493"/>
    </row>
    <row r="97" spans="1:22" x14ac:dyDescent="0.2">
      <c r="A97" s="202"/>
      <c r="B97" s="303"/>
      <c r="C97" s="303"/>
      <c r="D97" s="303"/>
      <c r="E97" s="303"/>
      <c r="F97" s="303"/>
      <c r="G97" s="303"/>
      <c r="H97" s="399"/>
      <c r="I97" s="494"/>
      <c r="J97" s="491"/>
      <c r="K97" s="491"/>
      <c r="L97" s="491"/>
      <c r="M97" s="491"/>
      <c r="N97" s="491"/>
      <c r="O97" s="491"/>
      <c r="P97" s="481">
        <f t="shared" si="4"/>
        <v>0</v>
      </c>
      <c r="Q97" s="491"/>
      <c r="R97" s="491"/>
      <c r="S97" s="491"/>
      <c r="T97" s="491"/>
      <c r="U97" s="491"/>
      <c r="V97" s="493"/>
    </row>
    <row r="98" spans="1:22" x14ac:dyDescent="0.2">
      <c r="A98" s="202"/>
      <c r="B98" s="303"/>
      <c r="C98" s="303"/>
      <c r="D98" s="303"/>
      <c r="E98" s="303"/>
      <c r="F98" s="303"/>
      <c r="G98" s="303"/>
      <c r="H98" s="399"/>
      <c r="I98" s="494"/>
      <c r="J98" s="491"/>
      <c r="K98" s="491"/>
      <c r="L98" s="491"/>
      <c r="M98" s="491"/>
      <c r="N98" s="491"/>
      <c r="O98" s="491"/>
      <c r="P98" s="481">
        <f t="shared" si="4"/>
        <v>0</v>
      </c>
      <c r="Q98" s="491"/>
      <c r="R98" s="491"/>
      <c r="S98" s="491"/>
      <c r="T98" s="491"/>
      <c r="U98" s="491"/>
      <c r="V98" s="493"/>
    </row>
    <row r="99" spans="1:22" x14ac:dyDescent="0.2">
      <c r="A99" s="202"/>
      <c r="B99" s="303"/>
      <c r="C99" s="303"/>
      <c r="D99" s="303"/>
      <c r="E99" s="303"/>
      <c r="F99" s="303"/>
      <c r="G99" s="303"/>
      <c r="H99" s="399"/>
      <c r="I99" s="494"/>
      <c r="J99" s="491"/>
      <c r="K99" s="491"/>
      <c r="L99" s="491"/>
      <c r="M99" s="491"/>
      <c r="N99" s="491"/>
      <c r="O99" s="491"/>
      <c r="P99" s="481">
        <f t="shared" si="4"/>
        <v>0</v>
      </c>
      <c r="Q99" s="491"/>
      <c r="R99" s="491"/>
      <c r="S99" s="491"/>
      <c r="T99" s="491"/>
      <c r="U99" s="491"/>
      <c r="V99" s="493"/>
    </row>
    <row r="100" spans="1:22" x14ac:dyDescent="0.2">
      <c r="A100" s="202"/>
      <c r="B100" s="303"/>
      <c r="C100" s="303"/>
      <c r="D100" s="303"/>
      <c r="E100" s="303"/>
      <c r="F100" s="303"/>
      <c r="G100" s="303"/>
      <c r="H100" s="399"/>
      <c r="I100" s="494"/>
      <c r="J100" s="491"/>
      <c r="K100" s="491"/>
      <c r="L100" s="491"/>
      <c r="M100" s="491"/>
      <c r="N100" s="491"/>
      <c r="O100" s="491"/>
      <c r="P100" s="481">
        <f t="shared" si="4"/>
        <v>0</v>
      </c>
      <c r="Q100" s="491"/>
      <c r="R100" s="491"/>
      <c r="S100" s="491"/>
      <c r="T100" s="491"/>
      <c r="U100" s="491"/>
      <c r="V100" s="493"/>
    </row>
    <row r="101" spans="1:22" x14ac:dyDescent="0.2">
      <c r="A101" s="202"/>
      <c r="B101" s="303"/>
      <c r="C101" s="303"/>
      <c r="D101" s="303"/>
      <c r="E101" s="303"/>
      <c r="F101" s="303"/>
      <c r="G101" s="303"/>
      <c r="H101" s="399"/>
      <c r="I101" s="494"/>
      <c r="J101" s="491"/>
      <c r="K101" s="491"/>
      <c r="L101" s="491"/>
      <c r="M101" s="491"/>
      <c r="N101" s="491"/>
      <c r="O101" s="491"/>
      <c r="P101" s="481">
        <f t="shared" si="4"/>
        <v>0</v>
      </c>
      <c r="Q101" s="491"/>
      <c r="R101" s="491"/>
      <c r="S101" s="491"/>
      <c r="T101" s="491"/>
      <c r="U101" s="491"/>
      <c r="V101" s="493"/>
    </row>
    <row r="102" spans="1:22" x14ac:dyDescent="0.2">
      <c r="A102" s="202"/>
      <c r="B102" s="303"/>
      <c r="C102" s="303"/>
      <c r="D102" s="303"/>
      <c r="E102" s="303"/>
      <c r="F102" s="303"/>
      <c r="G102" s="303"/>
      <c r="H102" s="399"/>
      <c r="I102" s="494"/>
      <c r="J102" s="491"/>
      <c r="K102" s="491"/>
      <c r="L102" s="491"/>
      <c r="M102" s="491"/>
      <c r="N102" s="491"/>
      <c r="O102" s="491"/>
      <c r="P102" s="481">
        <f t="shared" si="4"/>
        <v>0</v>
      </c>
      <c r="Q102" s="491"/>
      <c r="R102" s="491"/>
      <c r="S102" s="491"/>
      <c r="T102" s="491"/>
      <c r="U102" s="491"/>
      <c r="V102" s="493"/>
    </row>
    <row r="103" spans="1:22" x14ac:dyDescent="0.2">
      <c r="A103" s="202"/>
      <c r="B103" s="303"/>
      <c r="C103" s="303"/>
      <c r="D103" s="303"/>
      <c r="E103" s="303"/>
      <c r="F103" s="303"/>
      <c r="G103" s="303"/>
      <c r="H103" s="399"/>
      <c r="I103" s="494"/>
      <c r="J103" s="491"/>
      <c r="K103" s="491"/>
      <c r="L103" s="491"/>
      <c r="M103" s="491"/>
      <c r="N103" s="491"/>
      <c r="O103" s="491"/>
      <c r="P103" s="481">
        <f t="shared" si="4"/>
        <v>0</v>
      </c>
      <c r="Q103" s="491"/>
      <c r="R103" s="491"/>
      <c r="S103" s="491"/>
      <c r="T103" s="491"/>
      <c r="U103" s="491"/>
      <c r="V103" s="493"/>
    </row>
    <row r="104" spans="1:22" x14ac:dyDescent="0.2">
      <c r="A104" s="202"/>
      <c r="B104" s="303"/>
      <c r="C104" s="303"/>
      <c r="D104" s="303"/>
      <c r="E104" s="303"/>
      <c r="F104" s="303"/>
      <c r="G104" s="303"/>
      <c r="H104" s="399"/>
      <c r="I104" s="494"/>
      <c r="J104" s="491"/>
      <c r="K104" s="491"/>
      <c r="L104" s="491"/>
      <c r="M104" s="491"/>
      <c r="N104" s="491"/>
      <c r="O104" s="491"/>
      <c r="P104" s="481">
        <f t="shared" si="4"/>
        <v>0</v>
      </c>
      <c r="Q104" s="491"/>
      <c r="R104" s="491"/>
      <c r="S104" s="491"/>
      <c r="T104" s="491"/>
      <c r="U104" s="491"/>
      <c r="V104" s="493"/>
    </row>
    <row r="105" spans="1:22" x14ac:dyDescent="0.2">
      <c r="A105" s="202"/>
      <c r="B105" s="303"/>
      <c r="C105" s="303"/>
      <c r="D105" s="303"/>
      <c r="E105" s="303"/>
      <c r="F105" s="303"/>
      <c r="G105" s="303"/>
      <c r="H105" s="399"/>
      <c r="I105" s="494"/>
      <c r="J105" s="491"/>
      <c r="K105" s="491"/>
      <c r="L105" s="491"/>
      <c r="M105" s="491"/>
      <c r="N105" s="491"/>
      <c r="O105" s="491"/>
      <c r="P105" s="481">
        <f t="shared" si="4"/>
        <v>0</v>
      </c>
      <c r="Q105" s="491"/>
      <c r="R105" s="491"/>
      <c r="S105" s="491"/>
      <c r="T105" s="491"/>
      <c r="U105" s="491"/>
      <c r="V105" s="493"/>
    </row>
    <row r="106" spans="1:22" x14ac:dyDescent="0.2">
      <c r="A106" s="202"/>
      <c r="B106" s="303"/>
      <c r="C106" s="303"/>
      <c r="D106" s="303"/>
      <c r="E106" s="303"/>
      <c r="F106" s="303"/>
      <c r="G106" s="303"/>
      <c r="H106" s="399"/>
      <c r="I106" s="494"/>
      <c r="J106" s="491"/>
      <c r="K106" s="491"/>
      <c r="L106" s="491"/>
      <c r="M106" s="491"/>
      <c r="N106" s="491"/>
      <c r="O106" s="491"/>
      <c r="P106" s="481">
        <f t="shared" si="4"/>
        <v>0</v>
      </c>
      <c r="Q106" s="491"/>
      <c r="R106" s="491"/>
      <c r="S106" s="491"/>
      <c r="T106" s="491"/>
      <c r="U106" s="491"/>
      <c r="V106" s="493"/>
    </row>
    <row r="107" spans="1:22" x14ac:dyDescent="0.2">
      <c r="A107" s="202"/>
      <c r="B107" s="303"/>
      <c r="C107" s="303"/>
      <c r="D107" s="303"/>
      <c r="E107" s="303"/>
      <c r="F107" s="303"/>
      <c r="G107" s="303"/>
      <c r="H107" s="399"/>
      <c r="I107" s="494"/>
      <c r="J107" s="491"/>
      <c r="K107" s="491"/>
      <c r="L107" s="491"/>
      <c r="M107" s="491"/>
      <c r="N107" s="491"/>
      <c r="O107" s="491"/>
      <c r="P107" s="481">
        <f t="shared" si="4"/>
        <v>0</v>
      </c>
      <c r="Q107" s="491"/>
      <c r="R107" s="491"/>
      <c r="S107" s="491"/>
      <c r="T107" s="491"/>
      <c r="U107" s="491"/>
      <c r="V107" s="493"/>
    </row>
    <row r="108" spans="1:22" x14ac:dyDescent="0.2">
      <c r="A108" s="202"/>
      <c r="B108" s="303"/>
      <c r="C108" s="303"/>
      <c r="D108" s="303"/>
      <c r="E108" s="303"/>
      <c r="F108" s="303"/>
      <c r="G108" s="303"/>
      <c r="H108" s="399"/>
      <c r="I108" s="494"/>
      <c r="J108" s="491"/>
      <c r="K108" s="491"/>
      <c r="L108" s="491"/>
      <c r="M108" s="491"/>
      <c r="N108" s="491"/>
      <c r="O108" s="491"/>
      <c r="P108" s="481">
        <f t="shared" si="4"/>
        <v>0</v>
      </c>
      <c r="Q108" s="491"/>
      <c r="R108" s="491"/>
      <c r="S108" s="491"/>
      <c r="T108" s="491"/>
      <c r="U108" s="491"/>
      <c r="V108" s="493"/>
    </row>
    <row r="109" spans="1:22" x14ac:dyDescent="0.2">
      <c r="A109" s="202"/>
      <c r="B109" s="303"/>
      <c r="C109" s="303"/>
      <c r="D109" s="303"/>
      <c r="E109" s="303"/>
      <c r="F109" s="303"/>
      <c r="G109" s="303"/>
      <c r="H109" s="399"/>
      <c r="I109" s="494"/>
      <c r="J109" s="491"/>
      <c r="K109" s="491"/>
      <c r="L109" s="491"/>
      <c r="M109" s="491"/>
      <c r="N109" s="491"/>
      <c r="O109" s="491"/>
      <c r="P109" s="481">
        <f t="shared" si="4"/>
        <v>0</v>
      </c>
      <c r="Q109" s="491"/>
      <c r="R109" s="491"/>
      <c r="S109" s="491"/>
      <c r="T109" s="491"/>
      <c r="U109" s="491"/>
      <c r="V109" s="493"/>
    </row>
    <row r="110" spans="1:22" x14ac:dyDescent="0.2">
      <c r="A110" s="202"/>
      <c r="B110" s="303"/>
      <c r="C110" s="303"/>
      <c r="D110" s="303"/>
      <c r="E110" s="303"/>
      <c r="F110" s="303"/>
      <c r="G110" s="303"/>
      <c r="H110" s="399"/>
      <c r="I110" s="494"/>
      <c r="J110" s="491"/>
      <c r="K110" s="491"/>
      <c r="L110" s="491"/>
      <c r="M110" s="491"/>
      <c r="N110" s="491"/>
      <c r="O110" s="491"/>
      <c r="P110" s="481">
        <f t="shared" si="4"/>
        <v>0</v>
      </c>
      <c r="Q110" s="491"/>
      <c r="R110" s="491"/>
      <c r="S110" s="491"/>
      <c r="T110" s="491"/>
      <c r="U110" s="491"/>
      <c r="V110" s="493"/>
    </row>
    <row r="111" spans="1:22" x14ac:dyDescent="0.2">
      <c r="A111" s="202"/>
      <c r="B111" s="303"/>
      <c r="C111" s="303"/>
      <c r="D111" s="303"/>
      <c r="E111" s="303"/>
      <c r="F111" s="303"/>
      <c r="G111" s="303"/>
      <c r="H111" s="399"/>
      <c r="I111" s="494"/>
      <c r="J111" s="491"/>
      <c r="K111" s="491"/>
      <c r="L111" s="491"/>
      <c r="M111" s="491"/>
      <c r="N111" s="491"/>
      <c r="O111" s="491"/>
      <c r="P111" s="481">
        <f t="shared" si="4"/>
        <v>0</v>
      </c>
      <c r="Q111" s="491"/>
      <c r="R111" s="491"/>
      <c r="S111" s="491"/>
      <c r="T111" s="491"/>
      <c r="U111" s="491"/>
      <c r="V111" s="493"/>
    </row>
    <row r="112" spans="1:22" x14ac:dyDescent="0.2">
      <c r="A112" s="202"/>
      <c r="B112" s="303"/>
      <c r="C112" s="303"/>
      <c r="D112" s="303"/>
      <c r="E112" s="303"/>
      <c r="F112" s="303"/>
      <c r="G112" s="303"/>
      <c r="H112" s="399"/>
      <c r="I112" s="494"/>
      <c r="J112" s="491"/>
      <c r="K112" s="491"/>
      <c r="L112" s="491"/>
      <c r="M112" s="491"/>
      <c r="N112" s="491"/>
      <c r="O112" s="491"/>
      <c r="P112" s="481">
        <f t="shared" si="4"/>
        <v>0</v>
      </c>
      <c r="Q112" s="491"/>
      <c r="R112" s="491"/>
      <c r="S112" s="491"/>
      <c r="T112" s="491"/>
      <c r="U112" s="491"/>
      <c r="V112" s="493"/>
    </row>
    <row r="113" spans="1:22" x14ac:dyDescent="0.2">
      <c r="A113" s="202"/>
      <c r="B113" s="303"/>
      <c r="C113" s="303"/>
      <c r="D113" s="303"/>
      <c r="E113" s="303"/>
      <c r="F113" s="303"/>
      <c r="G113" s="303"/>
      <c r="H113" s="399"/>
      <c r="I113" s="494"/>
      <c r="J113" s="491"/>
      <c r="K113" s="491"/>
      <c r="L113" s="491"/>
      <c r="M113" s="491"/>
      <c r="N113" s="491"/>
      <c r="O113" s="491"/>
      <c r="P113" s="481">
        <f t="shared" si="4"/>
        <v>0</v>
      </c>
      <c r="Q113" s="491"/>
      <c r="R113" s="491"/>
      <c r="S113" s="491"/>
      <c r="T113" s="491"/>
      <c r="U113" s="491"/>
      <c r="V113" s="493"/>
    </row>
    <row r="114" spans="1:22" x14ac:dyDescent="0.2">
      <c r="A114" s="202"/>
      <c r="B114" s="303"/>
      <c r="C114" s="303"/>
      <c r="D114" s="303"/>
      <c r="E114" s="303"/>
      <c r="F114" s="303"/>
      <c r="G114" s="303"/>
      <c r="H114" s="399"/>
      <c r="I114" s="494"/>
      <c r="J114" s="491"/>
      <c r="K114" s="491"/>
      <c r="L114" s="491"/>
      <c r="M114" s="491"/>
      <c r="N114" s="491"/>
      <c r="O114" s="491"/>
      <c r="P114" s="481">
        <f t="shared" si="4"/>
        <v>0</v>
      </c>
      <c r="Q114" s="491"/>
      <c r="R114" s="491"/>
      <c r="S114" s="491"/>
      <c r="T114" s="491"/>
      <c r="U114" s="491"/>
      <c r="V114" s="493"/>
    </row>
    <row r="115" spans="1:22" x14ac:dyDescent="0.2">
      <c r="A115" s="202"/>
      <c r="B115" s="303"/>
      <c r="C115" s="303"/>
      <c r="D115" s="303"/>
      <c r="E115" s="303"/>
      <c r="F115" s="303"/>
      <c r="G115" s="303"/>
      <c r="H115" s="399"/>
      <c r="I115" s="494"/>
      <c r="J115" s="491"/>
      <c r="K115" s="491"/>
      <c r="L115" s="491"/>
      <c r="M115" s="491"/>
      <c r="N115" s="491"/>
      <c r="O115" s="491"/>
      <c r="P115" s="481">
        <f t="shared" si="4"/>
        <v>0</v>
      </c>
      <c r="Q115" s="491"/>
      <c r="R115" s="491"/>
      <c r="S115" s="491"/>
      <c r="T115" s="491"/>
      <c r="U115" s="491"/>
      <c r="V115" s="493"/>
    </row>
    <row r="116" spans="1:22" x14ac:dyDescent="0.2">
      <c r="A116" s="202"/>
      <c r="B116" s="303"/>
      <c r="C116" s="303"/>
      <c r="D116" s="303"/>
      <c r="E116" s="303"/>
      <c r="F116" s="303"/>
      <c r="G116" s="303"/>
      <c r="H116" s="399"/>
      <c r="I116" s="494"/>
      <c r="J116" s="491"/>
      <c r="K116" s="491"/>
      <c r="L116" s="491"/>
      <c r="M116" s="491"/>
      <c r="N116" s="491"/>
      <c r="O116" s="491"/>
      <c r="P116" s="481">
        <f t="shared" si="4"/>
        <v>0</v>
      </c>
      <c r="Q116" s="491"/>
      <c r="R116" s="491"/>
      <c r="S116" s="491"/>
      <c r="T116" s="491"/>
      <c r="U116" s="491"/>
      <c r="V116" s="493"/>
    </row>
    <row r="117" spans="1:22" x14ac:dyDescent="0.2">
      <c r="A117" s="202"/>
      <c r="B117" s="303"/>
      <c r="C117" s="303"/>
      <c r="D117" s="303"/>
      <c r="E117" s="303"/>
      <c r="F117" s="303"/>
      <c r="G117" s="303"/>
      <c r="H117" s="399"/>
      <c r="I117" s="494"/>
      <c r="J117" s="491"/>
      <c r="K117" s="491"/>
      <c r="L117" s="491"/>
      <c r="M117" s="491"/>
      <c r="N117" s="491"/>
      <c r="O117" s="491"/>
      <c r="P117" s="481">
        <f t="shared" si="4"/>
        <v>0</v>
      </c>
      <c r="Q117" s="491"/>
      <c r="R117" s="491"/>
      <c r="S117" s="491"/>
      <c r="T117" s="491"/>
      <c r="U117" s="491"/>
      <c r="V117" s="493"/>
    </row>
    <row r="118" spans="1:22" x14ac:dyDescent="0.2">
      <c r="A118" s="202"/>
      <c r="B118" s="303"/>
      <c r="C118" s="303"/>
      <c r="D118" s="303"/>
      <c r="E118" s="303"/>
      <c r="F118" s="303"/>
      <c r="G118" s="303"/>
      <c r="H118" s="399"/>
      <c r="I118" s="494"/>
      <c r="J118" s="491"/>
      <c r="K118" s="491"/>
      <c r="L118" s="491"/>
      <c r="M118" s="491"/>
      <c r="N118" s="491"/>
      <c r="O118" s="491"/>
      <c r="P118" s="481">
        <f t="shared" si="4"/>
        <v>0</v>
      </c>
      <c r="Q118" s="491"/>
      <c r="R118" s="491"/>
      <c r="S118" s="491"/>
      <c r="T118" s="491"/>
      <c r="U118" s="491"/>
      <c r="V118" s="493"/>
    </row>
    <row r="119" spans="1:22" x14ac:dyDescent="0.2">
      <c r="A119" s="202"/>
      <c r="B119" s="303"/>
      <c r="C119" s="303"/>
      <c r="D119" s="303"/>
      <c r="E119" s="303"/>
      <c r="F119" s="303"/>
      <c r="G119" s="303"/>
      <c r="H119" s="399"/>
      <c r="I119" s="494"/>
      <c r="J119" s="491"/>
      <c r="K119" s="491"/>
      <c r="L119" s="491"/>
      <c r="M119" s="491"/>
      <c r="N119" s="491"/>
      <c r="O119" s="491"/>
      <c r="P119" s="481">
        <f t="shared" si="4"/>
        <v>0</v>
      </c>
      <c r="Q119" s="491"/>
      <c r="R119" s="491"/>
      <c r="S119" s="491"/>
      <c r="T119" s="491"/>
      <c r="U119" s="491"/>
      <c r="V119" s="493"/>
    </row>
    <row r="120" spans="1:22" x14ac:dyDescent="0.2">
      <c r="A120" s="202"/>
      <c r="B120" s="303"/>
      <c r="C120" s="303"/>
      <c r="D120" s="303"/>
      <c r="E120" s="303"/>
      <c r="F120" s="303"/>
      <c r="G120" s="303"/>
      <c r="H120" s="399"/>
      <c r="I120" s="494"/>
      <c r="J120" s="491"/>
      <c r="K120" s="491"/>
      <c r="L120" s="491"/>
      <c r="M120" s="491"/>
      <c r="N120" s="491"/>
      <c r="O120" s="491"/>
      <c r="P120" s="481">
        <f t="shared" si="4"/>
        <v>0</v>
      </c>
      <c r="Q120" s="491"/>
      <c r="R120" s="491"/>
      <c r="S120" s="491"/>
      <c r="T120" s="491"/>
      <c r="U120" s="491"/>
      <c r="V120" s="493"/>
    </row>
    <row r="121" spans="1:22" x14ac:dyDescent="0.2">
      <c r="A121" s="202"/>
      <c r="B121" s="303"/>
      <c r="C121" s="303"/>
      <c r="D121" s="303"/>
      <c r="E121" s="303"/>
      <c r="F121" s="303"/>
      <c r="G121" s="303"/>
      <c r="H121" s="399"/>
      <c r="I121" s="494"/>
      <c r="J121" s="491"/>
      <c r="K121" s="491"/>
      <c r="L121" s="491"/>
      <c r="M121" s="491"/>
      <c r="N121" s="491"/>
      <c r="O121" s="491"/>
      <c r="P121" s="481">
        <f t="shared" si="4"/>
        <v>0</v>
      </c>
      <c r="Q121" s="491"/>
      <c r="R121" s="491"/>
      <c r="S121" s="491"/>
      <c r="T121" s="491"/>
      <c r="U121" s="491"/>
      <c r="V121" s="493"/>
    </row>
    <row r="122" spans="1:22" x14ac:dyDescent="0.2">
      <c r="A122" s="202"/>
      <c r="B122" s="303"/>
      <c r="C122" s="303"/>
      <c r="D122" s="303"/>
      <c r="E122" s="303"/>
      <c r="F122" s="303"/>
      <c r="G122" s="303"/>
      <c r="H122" s="399"/>
      <c r="I122" s="494"/>
      <c r="J122" s="491"/>
      <c r="K122" s="491"/>
      <c r="L122" s="491"/>
      <c r="M122" s="491"/>
      <c r="N122" s="491"/>
      <c r="O122" s="491"/>
      <c r="P122" s="481">
        <f t="shared" si="4"/>
        <v>0</v>
      </c>
      <c r="Q122" s="491"/>
      <c r="R122" s="491"/>
      <c r="S122" s="491"/>
      <c r="T122" s="491"/>
      <c r="U122" s="491"/>
      <c r="V122" s="493"/>
    </row>
    <row r="123" spans="1:22" x14ac:dyDescent="0.2">
      <c r="A123" s="202"/>
      <c r="B123" s="303"/>
      <c r="C123" s="303"/>
      <c r="D123" s="303"/>
      <c r="E123" s="303"/>
      <c r="F123" s="303"/>
      <c r="G123" s="303"/>
      <c r="H123" s="399"/>
      <c r="I123" s="494"/>
      <c r="J123" s="491"/>
      <c r="K123" s="491"/>
      <c r="L123" s="491"/>
      <c r="M123" s="491"/>
      <c r="N123" s="491"/>
      <c r="O123" s="491"/>
      <c r="P123" s="481">
        <f t="shared" si="4"/>
        <v>0</v>
      </c>
      <c r="Q123" s="491"/>
      <c r="R123" s="491"/>
      <c r="S123" s="491"/>
      <c r="T123" s="491"/>
      <c r="U123" s="491"/>
      <c r="V123" s="493"/>
    </row>
    <row r="124" spans="1:22" x14ac:dyDescent="0.2">
      <c r="A124" s="202"/>
      <c r="B124" s="303"/>
      <c r="C124" s="303"/>
      <c r="D124" s="303"/>
      <c r="E124" s="303"/>
      <c r="F124" s="303"/>
      <c r="G124" s="303"/>
      <c r="H124" s="399"/>
      <c r="I124" s="494"/>
      <c r="J124" s="491"/>
      <c r="K124" s="491"/>
      <c r="L124" s="491"/>
      <c r="M124" s="491"/>
      <c r="N124" s="491"/>
      <c r="O124" s="491"/>
      <c r="P124" s="481">
        <f t="shared" si="4"/>
        <v>0</v>
      </c>
      <c r="Q124" s="491"/>
      <c r="R124" s="491"/>
      <c r="S124" s="491"/>
      <c r="T124" s="491"/>
      <c r="U124" s="491"/>
      <c r="V124" s="493"/>
    </row>
    <row r="125" spans="1:22" x14ac:dyDescent="0.2">
      <c r="A125" s="202"/>
      <c r="B125" s="303"/>
      <c r="C125" s="303"/>
      <c r="D125" s="303"/>
      <c r="E125" s="303"/>
      <c r="F125" s="303"/>
      <c r="G125" s="303"/>
      <c r="H125" s="399"/>
      <c r="I125" s="494"/>
      <c r="J125" s="491"/>
      <c r="K125" s="491"/>
      <c r="L125" s="491"/>
      <c r="M125" s="491"/>
      <c r="N125" s="491"/>
      <c r="O125" s="491"/>
      <c r="P125" s="481">
        <f t="shared" si="4"/>
        <v>0</v>
      </c>
      <c r="Q125" s="491"/>
      <c r="R125" s="491"/>
      <c r="S125" s="491"/>
      <c r="T125" s="491"/>
      <c r="U125" s="491"/>
      <c r="V125" s="493"/>
    </row>
    <row r="126" spans="1:22" x14ac:dyDescent="0.2">
      <c r="A126" s="202"/>
      <c r="B126" s="303"/>
      <c r="C126" s="303"/>
      <c r="D126" s="303"/>
      <c r="E126" s="303"/>
      <c r="F126" s="303"/>
      <c r="G126" s="303"/>
      <c r="H126" s="399"/>
      <c r="I126" s="494"/>
      <c r="J126" s="491"/>
      <c r="K126" s="491"/>
      <c r="L126" s="491"/>
      <c r="M126" s="491"/>
      <c r="N126" s="491"/>
      <c r="O126" s="491"/>
      <c r="P126" s="481">
        <f t="shared" si="4"/>
        <v>0</v>
      </c>
      <c r="Q126" s="491"/>
      <c r="R126" s="491"/>
      <c r="S126" s="491"/>
      <c r="T126" s="491"/>
      <c r="U126" s="491"/>
      <c r="V126" s="493"/>
    </row>
    <row r="127" spans="1:22" x14ac:dyDescent="0.2">
      <c r="A127" s="202"/>
      <c r="B127" s="303"/>
      <c r="C127" s="303"/>
      <c r="D127" s="303"/>
      <c r="E127" s="303"/>
      <c r="F127" s="303"/>
      <c r="G127" s="303"/>
      <c r="H127" s="399"/>
      <c r="I127" s="494"/>
      <c r="J127" s="491"/>
      <c r="K127" s="491"/>
      <c r="L127" s="491"/>
      <c r="M127" s="491"/>
      <c r="N127" s="491"/>
      <c r="O127" s="491"/>
      <c r="P127" s="481">
        <f t="shared" si="4"/>
        <v>0</v>
      </c>
      <c r="Q127" s="491"/>
      <c r="R127" s="491"/>
      <c r="S127" s="491"/>
      <c r="T127" s="491"/>
      <c r="U127" s="491"/>
      <c r="V127" s="493"/>
    </row>
    <row r="128" spans="1:22" x14ac:dyDescent="0.2">
      <c r="A128" s="202"/>
      <c r="B128" s="303"/>
      <c r="C128" s="303"/>
      <c r="D128" s="303"/>
      <c r="E128" s="303"/>
      <c r="F128" s="303"/>
      <c r="G128" s="303"/>
      <c r="H128" s="399"/>
      <c r="I128" s="494"/>
      <c r="J128" s="491"/>
      <c r="K128" s="491"/>
      <c r="L128" s="491"/>
      <c r="M128" s="491"/>
      <c r="N128" s="491"/>
      <c r="O128" s="491"/>
      <c r="P128" s="481">
        <f t="shared" si="4"/>
        <v>0</v>
      </c>
      <c r="Q128" s="491"/>
      <c r="R128" s="491"/>
      <c r="S128" s="491"/>
      <c r="T128" s="491"/>
      <c r="U128" s="491"/>
      <c r="V128" s="493"/>
    </row>
    <row r="129" spans="1:22" x14ac:dyDescent="0.2">
      <c r="A129" s="202"/>
      <c r="B129" s="303"/>
      <c r="C129" s="303"/>
      <c r="D129" s="303"/>
      <c r="E129" s="303"/>
      <c r="F129" s="303"/>
      <c r="G129" s="303"/>
      <c r="H129" s="399"/>
      <c r="I129" s="494"/>
      <c r="J129" s="491"/>
      <c r="K129" s="491"/>
      <c r="L129" s="491"/>
      <c r="M129" s="491"/>
      <c r="N129" s="491"/>
      <c r="O129" s="491"/>
      <c r="P129" s="481">
        <f t="shared" si="4"/>
        <v>0</v>
      </c>
      <c r="Q129" s="491"/>
      <c r="R129" s="491"/>
      <c r="S129" s="491"/>
      <c r="T129" s="491"/>
      <c r="U129" s="491"/>
      <c r="V129" s="493"/>
    </row>
    <row r="130" spans="1:22" x14ac:dyDescent="0.2">
      <c r="A130" s="202"/>
      <c r="B130" s="303"/>
      <c r="C130" s="303"/>
      <c r="D130" s="303"/>
      <c r="E130" s="303"/>
      <c r="F130" s="303"/>
      <c r="G130" s="303"/>
      <c r="H130" s="399"/>
      <c r="I130" s="494"/>
      <c r="J130" s="491"/>
      <c r="K130" s="491"/>
      <c r="L130" s="491"/>
      <c r="M130" s="491"/>
      <c r="N130" s="491"/>
      <c r="O130" s="491"/>
      <c r="P130" s="481">
        <f t="shared" si="4"/>
        <v>0</v>
      </c>
      <c r="Q130" s="491"/>
      <c r="R130" s="491"/>
      <c r="S130" s="491"/>
      <c r="T130" s="491"/>
      <c r="U130" s="491"/>
      <c r="V130" s="493"/>
    </row>
    <row r="131" spans="1:22" x14ac:dyDescent="0.2">
      <c r="A131" s="202"/>
      <c r="B131" s="303"/>
      <c r="C131" s="303"/>
      <c r="D131" s="303"/>
      <c r="E131" s="303"/>
      <c r="F131" s="303"/>
      <c r="G131" s="303"/>
      <c r="H131" s="399"/>
      <c r="I131" s="494"/>
      <c r="J131" s="491"/>
      <c r="K131" s="491"/>
      <c r="L131" s="491"/>
      <c r="M131" s="491"/>
      <c r="N131" s="491"/>
      <c r="O131" s="491"/>
      <c r="P131" s="481">
        <f t="shared" si="4"/>
        <v>0</v>
      </c>
      <c r="Q131" s="491"/>
      <c r="R131" s="491"/>
      <c r="S131" s="491"/>
      <c r="T131" s="491"/>
      <c r="U131" s="491"/>
      <c r="V131" s="493"/>
    </row>
    <row r="132" spans="1:22" x14ac:dyDescent="0.2">
      <c r="A132" s="202"/>
      <c r="B132" s="303"/>
      <c r="C132" s="303"/>
      <c r="D132" s="303"/>
      <c r="E132" s="303"/>
      <c r="F132" s="303"/>
      <c r="G132" s="303"/>
      <c r="H132" s="399"/>
      <c r="I132" s="494"/>
      <c r="J132" s="491"/>
      <c r="K132" s="491"/>
      <c r="L132" s="491"/>
      <c r="M132" s="491"/>
      <c r="N132" s="491"/>
      <c r="O132" s="491"/>
      <c r="P132" s="481">
        <f t="shared" si="4"/>
        <v>0</v>
      </c>
      <c r="Q132" s="491"/>
      <c r="R132" s="491"/>
      <c r="S132" s="491"/>
      <c r="T132" s="491"/>
      <c r="U132" s="491"/>
      <c r="V132" s="493"/>
    </row>
    <row r="133" spans="1:22" x14ac:dyDescent="0.2">
      <c r="A133" s="202"/>
      <c r="B133" s="303"/>
      <c r="C133" s="303"/>
      <c r="D133" s="303"/>
      <c r="E133" s="303"/>
      <c r="F133" s="303"/>
      <c r="G133" s="303"/>
      <c r="H133" s="399"/>
      <c r="I133" s="494"/>
      <c r="J133" s="491"/>
      <c r="K133" s="491"/>
      <c r="L133" s="491"/>
      <c r="M133" s="491"/>
      <c r="N133" s="491"/>
      <c r="O133" s="491"/>
      <c r="P133" s="481">
        <f t="shared" si="4"/>
        <v>0</v>
      </c>
      <c r="Q133" s="491"/>
      <c r="R133" s="491"/>
      <c r="S133" s="491"/>
      <c r="T133" s="491"/>
      <c r="U133" s="491"/>
      <c r="V133" s="493"/>
    </row>
    <row r="134" spans="1:22" x14ac:dyDescent="0.2">
      <c r="A134" s="202"/>
      <c r="B134" s="303"/>
      <c r="C134" s="303"/>
      <c r="D134" s="303"/>
      <c r="E134" s="303"/>
      <c r="F134" s="303"/>
      <c r="G134" s="303"/>
      <c r="H134" s="399"/>
      <c r="I134" s="494"/>
      <c r="J134" s="491"/>
      <c r="K134" s="491"/>
      <c r="L134" s="491"/>
      <c r="M134" s="491"/>
      <c r="N134" s="491"/>
      <c r="O134" s="491"/>
      <c r="P134" s="481">
        <f t="shared" si="4"/>
        <v>0</v>
      </c>
      <c r="Q134" s="491"/>
      <c r="R134" s="491"/>
      <c r="S134" s="491"/>
      <c r="T134" s="491"/>
      <c r="U134" s="491"/>
      <c r="V134" s="493"/>
    </row>
    <row r="135" spans="1:22" x14ac:dyDescent="0.2">
      <c r="A135" s="202"/>
      <c r="B135" s="303"/>
      <c r="C135" s="303"/>
      <c r="D135" s="303"/>
      <c r="E135" s="303"/>
      <c r="F135" s="303"/>
      <c r="G135" s="303"/>
      <c r="H135" s="399"/>
      <c r="I135" s="494"/>
      <c r="J135" s="491"/>
      <c r="K135" s="491"/>
      <c r="L135" s="491"/>
      <c r="M135" s="491"/>
      <c r="N135" s="491"/>
      <c r="O135" s="491"/>
      <c r="P135" s="481">
        <f t="shared" si="4"/>
        <v>0</v>
      </c>
      <c r="Q135" s="491"/>
      <c r="R135" s="491"/>
      <c r="S135" s="491"/>
      <c r="T135" s="491"/>
      <c r="U135" s="491"/>
      <c r="V135" s="493"/>
    </row>
    <row r="136" spans="1:22" x14ac:dyDescent="0.2">
      <c r="A136" s="202"/>
      <c r="B136" s="303"/>
      <c r="C136" s="303"/>
      <c r="D136" s="303"/>
      <c r="E136" s="303"/>
      <c r="F136" s="303"/>
      <c r="G136" s="303"/>
      <c r="H136" s="399"/>
      <c r="I136" s="494"/>
      <c r="J136" s="491"/>
      <c r="K136" s="491"/>
      <c r="L136" s="491"/>
      <c r="M136" s="491"/>
      <c r="N136" s="491"/>
      <c r="O136" s="491"/>
      <c r="P136" s="481">
        <f t="shared" si="4"/>
        <v>0</v>
      </c>
      <c r="Q136" s="491"/>
      <c r="R136" s="491"/>
      <c r="S136" s="491"/>
      <c r="T136" s="491"/>
      <c r="U136" s="491"/>
      <c r="V136" s="493"/>
    </row>
    <row r="137" spans="1:22" x14ac:dyDescent="0.2">
      <c r="A137" s="202"/>
      <c r="B137" s="303"/>
      <c r="C137" s="303"/>
      <c r="D137" s="303"/>
      <c r="E137" s="303"/>
      <c r="F137" s="303"/>
      <c r="G137" s="303"/>
      <c r="H137" s="399"/>
      <c r="I137" s="494"/>
      <c r="J137" s="491"/>
      <c r="K137" s="491"/>
      <c r="L137" s="491"/>
      <c r="M137" s="491"/>
      <c r="N137" s="491"/>
      <c r="O137" s="491"/>
      <c r="P137" s="481">
        <f t="shared" si="4"/>
        <v>0</v>
      </c>
      <c r="Q137" s="491"/>
      <c r="R137" s="491"/>
      <c r="S137" s="491"/>
      <c r="T137" s="491"/>
      <c r="U137" s="491"/>
      <c r="V137" s="493"/>
    </row>
    <row r="138" spans="1:22" x14ac:dyDescent="0.2">
      <c r="A138" s="202"/>
      <c r="B138" s="303"/>
      <c r="C138" s="303"/>
      <c r="D138" s="303"/>
      <c r="E138" s="303"/>
      <c r="F138" s="303"/>
      <c r="G138" s="303"/>
      <c r="H138" s="399"/>
      <c r="I138" s="494"/>
      <c r="J138" s="491"/>
      <c r="K138" s="491"/>
      <c r="L138" s="491"/>
      <c r="M138" s="491"/>
      <c r="N138" s="491"/>
      <c r="O138" s="491"/>
      <c r="P138" s="481">
        <f t="shared" si="4"/>
        <v>0</v>
      </c>
      <c r="Q138" s="491"/>
      <c r="R138" s="491"/>
      <c r="S138" s="491"/>
      <c r="T138" s="491"/>
      <c r="U138" s="491"/>
      <c r="V138" s="493"/>
    </row>
    <row r="139" spans="1:22" x14ac:dyDescent="0.2">
      <c r="A139" s="202"/>
      <c r="B139" s="303"/>
      <c r="C139" s="303"/>
      <c r="D139" s="303"/>
      <c r="E139" s="303"/>
      <c r="F139" s="303"/>
      <c r="G139" s="303"/>
      <c r="H139" s="399"/>
      <c r="I139" s="494"/>
      <c r="J139" s="491"/>
      <c r="K139" s="491"/>
      <c r="L139" s="491"/>
      <c r="M139" s="491"/>
      <c r="N139" s="491"/>
      <c r="O139" s="491"/>
      <c r="P139" s="481">
        <f t="shared" si="4"/>
        <v>0</v>
      </c>
      <c r="Q139" s="491"/>
      <c r="R139" s="491"/>
      <c r="S139" s="491"/>
      <c r="T139" s="491"/>
      <c r="U139" s="491"/>
      <c r="V139" s="493"/>
    </row>
    <row r="140" spans="1:22" x14ac:dyDescent="0.2">
      <c r="A140" s="202"/>
      <c r="B140" s="303"/>
      <c r="C140" s="303"/>
      <c r="D140" s="303"/>
      <c r="E140" s="303"/>
      <c r="F140" s="303"/>
      <c r="G140" s="303"/>
      <c r="H140" s="399"/>
      <c r="I140" s="494"/>
      <c r="J140" s="491"/>
      <c r="K140" s="491"/>
      <c r="L140" s="491"/>
      <c r="M140" s="491"/>
      <c r="N140" s="491"/>
      <c r="O140" s="491"/>
      <c r="P140" s="481">
        <f t="shared" si="4"/>
        <v>0</v>
      </c>
      <c r="Q140" s="491"/>
      <c r="R140" s="491"/>
      <c r="S140" s="491"/>
      <c r="T140" s="491"/>
      <c r="U140" s="491"/>
      <c r="V140" s="493"/>
    </row>
    <row r="141" spans="1:22" x14ac:dyDescent="0.2">
      <c r="A141" s="202"/>
      <c r="B141" s="303"/>
      <c r="C141" s="303"/>
      <c r="D141" s="303"/>
      <c r="E141" s="303"/>
      <c r="F141" s="303"/>
      <c r="G141" s="303"/>
      <c r="H141" s="399"/>
      <c r="I141" s="494"/>
      <c r="J141" s="491"/>
      <c r="K141" s="491"/>
      <c r="L141" s="491"/>
      <c r="M141" s="491"/>
      <c r="N141" s="491"/>
      <c r="O141" s="491"/>
      <c r="P141" s="481">
        <f t="shared" si="4"/>
        <v>0</v>
      </c>
      <c r="Q141" s="491"/>
      <c r="R141" s="491"/>
      <c r="S141" s="491"/>
      <c r="T141" s="491"/>
      <c r="U141" s="491"/>
      <c r="V141" s="493"/>
    </row>
    <row r="142" spans="1:22" x14ac:dyDescent="0.2">
      <c r="A142" s="202"/>
      <c r="B142" s="303"/>
      <c r="C142" s="303"/>
      <c r="D142" s="303"/>
      <c r="E142" s="303"/>
      <c r="F142" s="303"/>
      <c r="G142" s="303"/>
      <c r="H142" s="399"/>
      <c r="I142" s="494"/>
      <c r="J142" s="491"/>
      <c r="K142" s="491"/>
      <c r="L142" s="491"/>
      <c r="M142" s="491"/>
      <c r="N142" s="491"/>
      <c r="O142" s="491"/>
      <c r="P142" s="481">
        <f t="shared" si="4"/>
        <v>0</v>
      </c>
      <c r="Q142" s="491"/>
      <c r="R142" s="491"/>
      <c r="S142" s="491"/>
      <c r="T142" s="491"/>
      <c r="U142" s="491"/>
      <c r="V142" s="493"/>
    </row>
    <row r="143" spans="1:22" x14ac:dyDescent="0.2">
      <c r="A143" s="202"/>
      <c r="B143" s="303"/>
      <c r="C143" s="303"/>
      <c r="D143" s="303"/>
      <c r="E143" s="303"/>
      <c r="F143" s="303"/>
      <c r="G143" s="303"/>
      <c r="H143" s="399"/>
      <c r="I143" s="494"/>
      <c r="J143" s="491"/>
      <c r="K143" s="491"/>
      <c r="L143" s="491"/>
      <c r="M143" s="491"/>
      <c r="N143" s="491"/>
      <c r="O143" s="491"/>
      <c r="P143" s="481">
        <f t="shared" si="4"/>
        <v>0</v>
      </c>
      <c r="Q143" s="491"/>
      <c r="R143" s="491"/>
      <c r="S143" s="491"/>
      <c r="T143" s="491"/>
      <c r="U143" s="491"/>
      <c r="V143" s="493"/>
    </row>
    <row r="144" spans="1:22" x14ac:dyDescent="0.2">
      <c r="A144" s="202"/>
      <c r="B144" s="303"/>
      <c r="C144" s="303"/>
      <c r="D144" s="303"/>
      <c r="E144" s="303"/>
      <c r="F144" s="303"/>
      <c r="G144" s="303"/>
      <c r="H144" s="399"/>
      <c r="I144" s="494"/>
      <c r="J144" s="491"/>
      <c r="K144" s="491"/>
      <c r="L144" s="491"/>
      <c r="M144" s="491"/>
      <c r="N144" s="491"/>
      <c r="O144" s="491"/>
      <c r="P144" s="481">
        <f t="shared" si="4"/>
        <v>0</v>
      </c>
      <c r="Q144" s="491"/>
      <c r="R144" s="491"/>
      <c r="S144" s="491"/>
      <c r="T144" s="491"/>
      <c r="U144" s="491"/>
      <c r="V144" s="493"/>
    </row>
    <row r="145" spans="1:22" x14ac:dyDescent="0.2">
      <c r="A145" s="202"/>
      <c r="B145" s="303"/>
      <c r="C145" s="303"/>
      <c r="D145" s="303"/>
      <c r="E145" s="303"/>
      <c r="F145" s="303"/>
      <c r="G145" s="303"/>
      <c r="H145" s="399"/>
      <c r="I145" s="494"/>
      <c r="J145" s="491"/>
      <c r="K145" s="491"/>
      <c r="L145" s="491"/>
      <c r="M145" s="491"/>
      <c r="N145" s="491"/>
      <c r="O145" s="491"/>
      <c r="P145" s="481">
        <f t="shared" si="4"/>
        <v>0</v>
      </c>
      <c r="Q145" s="491"/>
      <c r="R145" s="491"/>
      <c r="S145" s="491"/>
      <c r="T145" s="491"/>
      <c r="U145" s="491"/>
      <c r="V145" s="493"/>
    </row>
    <row r="146" spans="1:22" x14ac:dyDescent="0.2">
      <c r="A146" s="202"/>
      <c r="B146" s="303"/>
      <c r="C146" s="303"/>
      <c r="D146" s="303"/>
      <c r="E146" s="303"/>
      <c r="F146" s="303"/>
      <c r="G146" s="303"/>
      <c r="H146" s="399"/>
      <c r="I146" s="494"/>
      <c r="J146" s="491"/>
      <c r="K146" s="491"/>
      <c r="L146" s="491"/>
      <c r="M146" s="491"/>
      <c r="N146" s="491"/>
      <c r="O146" s="491"/>
      <c r="P146" s="481">
        <f t="shared" si="4"/>
        <v>0</v>
      </c>
      <c r="Q146" s="491"/>
      <c r="R146" s="491"/>
      <c r="S146" s="491"/>
      <c r="T146" s="491"/>
      <c r="U146" s="491"/>
      <c r="V146" s="493"/>
    </row>
    <row r="147" spans="1:22" x14ac:dyDescent="0.2">
      <c r="A147" s="202"/>
      <c r="B147" s="303"/>
      <c r="C147" s="303"/>
      <c r="D147" s="303"/>
      <c r="E147" s="303"/>
      <c r="F147" s="303"/>
      <c r="G147" s="303"/>
      <c r="H147" s="399"/>
      <c r="I147" s="494"/>
      <c r="J147" s="491"/>
      <c r="K147" s="491"/>
      <c r="L147" s="491"/>
      <c r="M147" s="491"/>
      <c r="N147" s="491"/>
      <c r="O147" s="491"/>
      <c r="P147" s="481">
        <f t="shared" si="4"/>
        <v>0</v>
      </c>
      <c r="Q147" s="491"/>
      <c r="R147" s="491"/>
      <c r="S147" s="491"/>
      <c r="T147" s="491"/>
      <c r="U147" s="491"/>
      <c r="V147" s="493"/>
    </row>
    <row r="148" spans="1:22" x14ac:dyDescent="0.2">
      <c r="A148" s="202"/>
      <c r="B148" s="303"/>
      <c r="C148" s="303"/>
      <c r="D148" s="303"/>
      <c r="E148" s="303"/>
      <c r="F148" s="303"/>
      <c r="G148" s="303"/>
      <c r="H148" s="399"/>
      <c r="I148" s="494"/>
      <c r="J148" s="491"/>
      <c r="K148" s="491"/>
      <c r="L148" s="491"/>
      <c r="M148" s="491"/>
      <c r="N148" s="491"/>
      <c r="O148" s="491"/>
      <c r="P148" s="481">
        <f t="shared" si="4"/>
        <v>0</v>
      </c>
      <c r="Q148" s="491"/>
      <c r="R148" s="491"/>
      <c r="S148" s="491"/>
      <c r="T148" s="491"/>
      <c r="U148" s="491"/>
      <c r="V148" s="493"/>
    </row>
    <row r="149" spans="1:22" x14ac:dyDescent="0.2">
      <c r="A149" s="202"/>
      <c r="B149" s="303"/>
      <c r="C149" s="303"/>
      <c r="D149" s="303"/>
      <c r="E149" s="303"/>
      <c r="F149" s="303"/>
      <c r="G149" s="303"/>
      <c r="H149" s="399"/>
      <c r="I149" s="494"/>
      <c r="J149" s="491"/>
      <c r="K149" s="491"/>
      <c r="L149" s="491"/>
      <c r="M149" s="491"/>
      <c r="N149" s="491"/>
      <c r="O149" s="491"/>
      <c r="P149" s="481">
        <f t="shared" si="4"/>
        <v>0</v>
      </c>
      <c r="Q149" s="491"/>
      <c r="R149" s="491"/>
      <c r="S149" s="491"/>
      <c r="T149" s="491"/>
      <c r="U149" s="491"/>
      <c r="V149" s="493"/>
    </row>
    <row r="150" spans="1:22" x14ac:dyDescent="0.2">
      <c r="A150" s="202"/>
      <c r="B150" s="303"/>
      <c r="C150" s="303"/>
      <c r="D150" s="303"/>
      <c r="E150" s="303"/>
      <c r="F150" s="303"/>
      <c r="G150" s="303"/>
      <c r="H150" s="399"/>
      <c r="I150" s="494"/>
      <c r="J150" s="491"/>
      <c r="K150" s="491"/>
      <c r="L150" s="491"/>
      <c r="M150" s="491"/>
      <c r="N150" s="491"/>
      <c r="O150" s="491"/>
      <c r="P150" s="481">
        <f t="shared" si="4"/>
        <v>0</v>
      </c>
      <c r="Q150" s="491"/>
      <c r="R150" s="491"/>
      <c r="S150" s="491"/>
      <c r="T150" s="491"/>
      <c r="U150" s="491"/>
      <c r="V150" s="493"/>
    </row>
    <row r="151" spans="1:22" x14ac:dyDescent="0.2">
      <c r="A151" s="202"/>
      <c r="B151" s="303"/>
      <c r="C151" s="303"/>
      <c r="D151" s="303"/>
      <c r="E151" s="303"/>
      <c r="F151" s="303"/>
      <c r="G151" s="303"/>
      <c r="H151" s="399"/>
      <c r="I151" s="494"/>
      <c r="J151" s="491"/>
      <c r="K151" s="491"/>
      <c r="L151" s="491"/>
      <c r="M151" s="491"/>
      <c r="N151" s="491"/>
      <c r="O151" s="491"/>
      <c r="P151" s="481">
        <f t="shared" si="4"/>
        <v>0</v>
      </c>
      <c r="Q151" s="491"/>
      <c r="R151" s="491"/>
      <c r="S151" s="491"/>
      <c r="T151" s="491"/>
      <c r="U151" s="491"/>
      <c r="V151" s="493"/>
    </row>
    <row r="152" spans="1:22" x14ac:dyDescent="0.2">
      <c r="A152" s="202"/>
      <c r="B152" s="303"/>
      <c r="C152" s="303"/>
      <c r="D152" s="303"/>
      <c r="E152" s="303"/>
      <c r="F152" s="303"/>
      <c r="G152" s="303"/>
      <c r="H152" s="399"/>
      <c r="I152" s="494"/>
      <c r="J152" s="491"/>
      <c r="K152" s="491"/>
      <c r="L152" s="491"/>
      <c r="M152" s="491"/>
      <c r="N152" s="491"/>
      <c r="O152" s="491"/>
      <c r="P152" s="481">
        <f t="shared" si="4"/>
        <v>0</v>
      </c>
      <c r="Q152" s="491"/>
      <c r="R152" s="491"/>
      <c r="S152" s="491"/>
      <c r="T152" s="491"/>
      <c r="U152" s="491"/>
      <c r="V152" s="493"/>
    </row>
    <row r="153" spans="1:22" x14ac:dyDescent="0.2">
      <c r="A153" s="202"/>
      <c r="B153" s="303"/>
      <c r="C153" s="303"/>
      <c r="D153" s="303"/>
      <c r="E153" s="303"/>
      <c r="F153" s="303"/>
      <c r="G153" s="303"/>
      <c r="H153" s="399"/>
      <c r="I153" s="494"/>
      <c r="J153" s="491"/>
      <c r="K153" s="491"/>
      <c r="L153" s="491"/>
      <c r="M153" s="491"/>
      <c r="N153" s="491"/>
      <c r="O153" s="491"/>
      <c r="P153" s="481">
        <f t="shared" si="4"/>
        <v>0</v>
      </c>
      <c r="Q153" s="491"/>
      <c r="R153" s="491"/>
      <c r="S153" s="491"/>
      <c r="T153" s="491"/>
      <c r="U153" s="491"/>
      <c r="V153" s="493"/>
    </row>
    <row r="154" spans="1:22" x14ac:dyDescent="0.2">
      <c r="A154" s="202"/>
      <c r="B154" s="303"/>
      <c r="C154" s="303"/>
      <c r="D154" s="303"/>
      <c r="E154" s="303"/>
      <c r="F154" s="303"/>
      <c r="G154" s="303"/>
      <c r="H154" s="399"/>
      <c r="I154" s="494"/>
      <c r="J154" s="491"/>
      <c r="K154" s="491"/>
      <c r="L154" s="491"/>
      <c r="M154" s="491"/>
      <c r="N154" s="491"/>
      <c r="O154" s="491"/>
      <c r="P154" s="481">
        <f t="shared" si="4"/>
        <v>0</v>
      </c>
      <c r="Q154" s="491"/>
      <c r="R154" s="491"/>
      <c r="S154" s="491"/>
      <c r="T154" s="491"/>
      <c r="U154" s="491"/>
      <c r="V154" s="493"/>
    </row>
    <row r="155" spans="1:22" x14ac:dyDescent="0.2">
      <c r="A155" s="202"/>
      <c r="B155" s="303"/>
      <c r="C155" s="303"/>
      <c r="D155" s="303"/>
      <c r="E155" s="303"/>
      <c r="F155" s="303"/>
      <c r="G155" s="303"/>
      <c r="H155" s="399"/>
      <c r="I155" s="494"/>
      <c r="J155" s="491"/>
      <c r="K155" s="491"/>
      <c r="L155" s="491"/>
      <c r="M155" s="491"/>
      <c r="N155" s="491"/>
      <c r="O155" s="491"/>
      <c r="P155" s="481">
        <f t="shared" si="4"/>
        <v>0</v>
      </c>
      <c r="Q155" s="491"/>
      <c r="R155" s="491"/>
      <c r="S155" s="491"/>
      <c r="T155" s="491"/>
      <c r="U155" s="491"/>
      <c r="V155" s="493"/>
    </row>
    <row r="156" spans="1:22" x14ac:dyDescent="0.2">
      <c r="A156" s="202"/>
      <c r="B156" s="303"/>
      <c r="C156" s="303"/>
      <c r="D156" s="303"/>
      <c r="E156" s="303"/>
      <c r="F156" s="303"/>
      <c r="G156" s="303"/>
      <c r="H156" s="399"/>
      <c r="I156" s="494"/>
      <c r="J156" s="491"/>
      <c r="K156" s="491"/>
      <c r="L156" s="491"/>
      <c r="M156" s="491"/>
      <c r="N156" s="491"/>
      <c r="O156" s="491"/>
      <c r="P156" s="481">
        <f t="shared" si="4"/>
        <v>0</v>
      </c>
      <c r="Q156" s="491"/>
      <c r="R156" s="491"/>
      <c r="S156" s="491"/>
      <c r="T156" s="491"/>
      <c r="U156" s="491"/>
      <c r="V156" s="493"/>
    </row>
    <row r="157" spans="1:22" x14ac:dyDescent="0.2">
      <c r="A157" s="202"/>
      <c r="B157" s="303"/>
      <c r="C157" s="303"/>
      <c r="D157" s="303"/>
      <c r="E157" s="303"/>
      <c r="F157" s="303"/>
      <c r="G157" s="303"/>
      <c r="H157" s="399"/>
      <c r="I157" s="494"/>
      <c r="J157" s="491"/>
      <c r="K157" s="491"/>
      <c r="L157" s="491"/>
      <c r="M157" s="491"/>
      <c r="N157" s="491"/>
      <c r="O157" s="491"/>
      <c r="P157" s="481">
        <f t="shared" si="4"/>
        <v>0</v>
      </c>
      <c r="Q157" s="491"/>
      <c r="R157" s="491"/>
      <c r="S157" s="491"/>
      <c r="T157" s="491"/>
      <c r="U157" s="491"/>
      <c r="V157" s="493"/>
    </row>
    <row r="158" spans="1:22" x14ac:dyDescent="0.2">
      <c r="A158" s="202"/>
      <c r="B158" s="303"/>
      <c r="C158" s="303"/>
      <c r="D158" s="303"/>
      <c r="E158" s="303"/>
      <c r="F158" s="303"/>
      <c r="G158" s="303"/>
      <c r="H158" s="399"/>
      <c r="I158" s="494"/>
      <c r="J158" s="491"/>
      <c r="K158" s="491"/>
      <c r="L158" s="491"/>
      <c r="M158" s="491"/>
      <c r="N158" s="491"/>
      <c r="O158" s="491"/>
      <c r="P158" s="481">
        <f t="shared" si="4"/>
        <v>0</v>
      </c>
      <c r="Q158" s="491"/>
      <c r="R158" s="491"/>
      <c r="S158" s="491"/>
      <c r="T158" s="491"/>
      <c r="U158" s="491"/>
      <c r="V158" s="493"/>
    </row>
    <row r="159" spans="1:22" x14ac:dyDescent="0.2">
      <c r="A159" s="202"/>
      <c r="B159" s="303"/>
      <c r="C159" s="303"/>
      <c r="D159" s="303"/>
      <c r="E159" s="303"/>
      <c r="F159" s="303"/>
      <c r="G159" s="303"/>
      <c r="H159" s="399"/>
      <c r="I159" s="494"/>
      <c r="J159" s="491"/>
      <c r="K159" s="491"/>
      <c r="L159" s="491"/>
      <c r="M159" s="491"/>
      <c r="N159" s="491"/>
      <c r="O159" s="491"/>
      <c r="P159" s="481">
        <f t="shared" si="4"/>
        <v>0</v>
      </c>
      <c r="Q159" s="491"/>
      <c r="R159" s="491"/>
      <c r="S159" s="491"/>
      <c r="T159" s="491"/>
      <c r="U159" s="491"/>
      <c r="V159" s="493"/>
    </row>
    <row r="160" spans="1:22" x14ac:dyDescent="0.2">
      <c r="A160" s="202"/>
      <c r="B160" s="303"/>
      <c r="C160" s="303"/>
      <c r="D160" s="303"/>
      <c r="E160" s="303"/>
      <c r="F160" s="303"/>
      <c r="G160" s="303"/>
      <c r="H160" s="399"/>
      <c r="I160" s="494"/>
      <c r="J160" s="491"/>
      <c r="K160" s="491"/>
      <c r="L160" s="491"/>
      <c r="M160" s="491"/>
      <c r="N160" s="491"/>
      <c r="O160" s="491"/>
      <c r="P160" s="481">
        <f t="shared" si="4"/>
        <v>0</v>
      </c>
      <c r="Q160" s="491"/>
      <c r="R160" s="491"/>
      <c r="S160" s="491"/>
      <c r="T160" s="491"/>
      <c r="U160" s="491"/>
      <c r="V160" s="493"/>
    </row>
    <row r="161" spans="1:22" x14ac:dyDescent="0.2">
      <c r="A161" s="202"/>
      <c r="B161" s="303"/>
      <c r="C161" s="303"/>
      <c r="D161" s="303"/>
      <c r="E161" s="303"/>
      <c r="F161" s="303"/>
      <c r="G161" s="303"/>
      <c r="H161" s="399"/>
      <c r="I161" s="494"/>
      <c r="J161" s="491"/>
      <c r="K161" s="491"/>
      <c r="L161" s="491"/>
      <c r="M161" s="491"/>
      <c r="N161" s="491"/>
      <c r="O161" s="491"/>
      <c r="P161" s="481">
        <f t="shared" si="4"/>
        <v>0</v>
      </c>
      <c r="Q161" s="491"/>
      <c r="R161" s="491"/>
      <c r="S161" s="491"/>
      <c r="T161" s="491"/>
      <c r="U161" s="491"/>
      <c r="V161" s="493"/>
    </row>
    <row r="162" spans="1:22" x14ac:dyDescent="0.2">
      <c r="A162" s="202"/>
      <c r="B162" s="303"/>
      <c r="C162" s="303"/>
      <c r="D162" s="303"/>
      <c r="E162" s="303"/>
      <c r="F162" s="303"/>
      <c r="G162" s="303"/>
      <c r="H162" s="399"/>
      <c r="I162" s="494"/>
      <c r="J162" s="491"/>
      <c r="K162" s="491"/>
      <c r="L162" s="491"/>
      <c r="M162" s="491"/>
      <c r="N162" s="491"/>
      <c r="O162" s="491"/>
      <c r="P162" s="481">
        <f t="shared" si="4"/>
        <v>0</v>
      </c>
      <c r="Q162" s="491"/>
      <c r="R162" s="491"/>
      <c r="S162" s="491"/>
      <c r="T162" s="491"/>
      <c r="U162" s="491"/>
      <c r="V162" s="493"/>
    </row>
    <row r="163" spans="1:22" x14ac:dyDescent="0.2">
      <c r="A163" s="202"/>
      <c r="B163" s="303"/>
      <c r="C163" s="303"/>
      <c r="D163" s="303"/>
      <c r="E163" s="303"/>
      <c r="F163" s="303"/>
      <c r="G163" s="303"/>
      <c r="H163" s="399"/>
      <c r="I163" s="494"/>
      <c r="J163" s="491"/>
      <c r="K163" s="491"/>
      <c r="L163" s="491"/>
      <c r="M163" s="491"/>
      <c r="N163" s="491"/>
      <c r="O163" s="491"/>
      <c r="P163" s="481">
        <f t="shared" si="4"/>
        <v>0</v>
      </c>
      <c r="Q163" s="491"/>
      <c r="R163" s="491"/>
      <c r="S163" s="491"/>
      <c r="T163" s="491"/>
      <c r="U163" s="491"/>
      <c r="V163" s="493"/>
    </row>
    <row r="164" spans="1:22" x14ac:dyDescent="0.2">
      <c r="A164" s="202"/>
      <c r="B164" s="303"/>
      <c r="C164" s="303"/>
      <c r="D164" s="303"/>
      <c r="E164" s="303"/>
      <c r="F164" s="303"/>
      <c r="G164" s="303"/>
      <c r="H164" s="399"/>
      <c r="I164" s="494"/>
      <c r="J164" s="491"/>
      <c r="K164" s="491"/>
      <c r="L164" s="491"/>
      <c r="M164" s="491"/>
      <c r="N164" s="491"/>
      <c r="O164" s="491"/>
      <c r="P164" s="481">
        <f t="shared" si="4"/>
        <v>0</v>
      </c>
      <c r="Q164" s="491"/>
      <c r="R164" s="491"/>
      <c r="S164" s="491"/>
      <c r="T164" s="491"/>
      <c r="U164" s="491"/>
      <c r="V164" s="493"/>
    </row>
    <row r="165" spans="1:22" x14ac:dyDescent="0.2">
      <c r="A165" s="202"/>
      <c r="B165" s="303"/>
      <c r="C165" s="303"/>
      <c r="D165" s="303"/>
      <c r="E165" s="303"/>
      <c r="F165" s="303"/>
      <c r="G165" s="303"/>
      <c r="H165" s="399"/>
      <c r="I165" s="494"/>
      <c r="J165" s="491"/>
      <c r="K165" s="491"/>
      <c r="L165" s="491"/>
      <c r="M165" s="491"/>
      <c r="N165" s="491"/>
      <c r="O165" s="491"/>
      <c r="P165" s="481">
        <f t="shared" si="4"/>
        <v>0</v>
      </c>
      <c r="Q165" s="491"/>
      <c r="R165" s="491"/>
      <c r="S165" s="491"/>
      <c r="T165" s="491"/>
      <c r="U165" s="491"/>
      <c r="V165" s="493"/>
    </row>
    <row r="166" spans="1:22" x14ac:dyDescent="0.2">
      <c r="A166" s="202"/>
      <c r="B166" s="303"/>
      <c r="C166" s="303"/>
      <c r="D166" s="303"/>
      <c r="E166" s="303"/>
      <c r="F166" s="303"/>
      <c r="G166" s="303"/>
      <c r="H166" s="399"/>
      <c r="I166" s="494"/>
      <c r="J166" s="491"/>
      <c r="K166" s="491"/>
      <c r="L166" s="491"/>
      <c r="M166" s="491"/>
      <c r="N166" s="491"/>
      <c r="O166" s="491"/>
      <c r="P166" s="481">
        <f t="shared" si="4"/>
        <v>0</v>
      </c>
      <c r="Q166" s="491"/>
      <c r="R166" s="491"/>
      <c r="S166" s="491"/>
      <c r="T166" s="491"/>
      <c r="U166" s="491"/>
      <c r="V166" s="493"/>
    </row>
    <row r="167" spans="1:22" x14ac:dyDescent="0.2">
      <c r="A167" s="202"/>
      <c r="B167" s="303"/>
      <c r="C167" s="303"/>
      <c r="D167" s="303"/>
      <c r="E167" s="303"/>
      <c r="F167" s="303"/>
      <c r="G167" s="303"/>
      <c r="H167" s="399"/>
      <c r="I167" s="494"/>
      <c r="J167" s="491"/>
      <c r="K167" s="491"/>
      <c r="L167" s="491"/>
      <c r="M167" s="491"/>
      <c r="N167" s="491"/>
      <c r="O167" s="491"/>
      <c r="P167" s="481">
        <f t="shared" si="4"/>
        <v>0</v>
      </c>
      <c r="Q167" s="491"/>
      <c r="R167" s="491"/>
      <c r="S167" s="491"/>
      <c r="T167" s="491"/>
      <c r="U167" s="491"/>
      <c r="V167" s="493"/>
    </row>
    <row r="168" spans="1:22" x14ac:dyDescent="0.2">
      <c r="A168" s="202"/>
      <c r="B168" s="303"/>
      <c r="C168" s="303"/>
      <c r="D168" s="303"/>
      <c r="E168" s="303"/>
      <c r="F168" s="303"/>
      <c r="G168" s="303"/>
      <c r="H168" s="399"/>
      <c r="I168" s="494"/>
      <c r="J168" s="491"/>
      <c r="K168" s="491"/>
      <c r="L168" s="491"/>
      <c r="M168" s="491"/>
      <c r="N168" s="491"/>
      <c r="O168" s="491"/>
      <c r="P168" s="481">
        <f t="shared" si="4"/>
        <v>0</v>
      </c>
      <c r="Q168" s="491"/>
      <c r="R168" s="491"/>
      <c r="S168" s="491"/>
      <c r="T168" s="491"/>
      <c r="U168" s="491"/>
      <c r="V168" s="493"/>
    </row>
    <row r="169" spans="1:22" x14ac:dyDescent="0.2">
      <c r="A169" s="202"/>
      <c r="B169" s="303"/>
      <c r="C169" s="303"/>
      <c r="D169" s="303"/>
      <c r="E169" s="303"/>
      <c r="F169" s="303"/>
      <c r="G169" s="303"/>
      <c r="H169" s="399"/>
      <c r="I169" s="494"/>
      <c r="J169" s="491"/>
      <c r="K169" s="491"/>
      <c r="L169" s="491"/>
      <c r="M169" s="491"/>
      <c r="N169" s="491"/>
      <c r="O169" s="491"/>
      <c r="P169" s="481">
        <f t="shared" si="4"/>
        <v>0</v>
      </c>
      <c r="Q169" s="491"/>
      <c r="R169" s="491"/>
      <c r="S169" s="491"/>
      <c r="T169" s="491"/>
      <c r="U169" s="491"/>
      <c r="V169" s="493"/>
    </row>
    <row r="170" spans="1:22" x14ac:dyDescent="0.2">
      <c r="A170" s="202"/>
      <c r="B170" s="303"/>
      <c r="C170" s="303"/>
      <c r="D170" s="303"/>
      <c r="E170" s="303"/>
      <c r="F170" s="303"/>
      <c r="G170" s="303"/>
      <c r="H170" s="399"/>
      <c r="I170" s="494"/>
      <c r="J170" s="491"/>
      <c r="K170" s="491"/>
      <c r="L170" s="491"/>
      <c r="M170" s="491"/>
      <c r="N170" s="491"/>
      <c r="O170" s="491"/>
      <c r="P170" s="481">
        <f t="shared" si="4"/>
        <v>0</v>
      </c>
      <c r="Q170" s="491"/>
      <c r="R170" s="491"/>
      <c r="S170" s="491"/>
      <c r="T170" s="491"/>
      <c r="U170" s="491"/>
      <c r="V170" s="493"/>
    </row>
    <row r="171" spans="1:22" x14ac:dyDescent="0.2">
      <c r="A171" s="202"/>
      <c r="B171" s="303"/>
      <c r="C171" s="303"/>
      <c r="D171" s="303"/>
      <c r="E171" s="303"/>
      <c r="F171" s="303"/>
      <c r="G171" s="303"/>
      <c r="H171" s="399"/>
      <c r="I171" s="494"/>
      <c r="J171" s="491"/>
      <c r="K171" s="491"/>
      <c r="L171" s="491"/>
      <c r="M171" s="491"/>
      <c r="N171" s="491"/>
      <c r="O171" s="491"/>
      <c r="P171" s="481">
        <f t="shared" si="4"/>
        <v>0</v>
      </c>
      <c r="Q171" s="491"/>
      <c r="R171" s="491"/>
      <c r="S171" s="491"/>
      <c r="T171" s="491"/>
      <c r="U171" s="491"/>
      <c r="V171" s="493"/>
    </row>
    <row r="172" spans="1:22" x14ac:dyDescent="0.2">
      <c r="A172" s="202"/>
      <c r="B172" s="303"/>
      <c r="C172" s="303"/>
      <c r="D172" s="303"/>
      <c r="E172" s="303"/>
      <c r="F172" s="303"/>
      <c r="G172" s="303"/>
      <c r="H172" s="399"/>
      <c r="I172" s="494"/>
      <c r="J172" s="491"/>
      <c r="K172" s="491"/>
      <c r="L172" s="491"/>
      <c r="M172" s="491"/>
      <c r="N172" s="491"/>
      <c r="O172" s="491"/>
      <c r="P172" s="481">
        <f t="shared" si="4"/>
        <v>0</v>
      </c>
      <c r="Q172" s="491"/>
      <c r="R172" s="491"/>
      <c r="S172" s="491"/>
      <c r="T172" s="491"/>
      <c r="U172" s="491"/>
      <c r="V172" s="493"/>
    </row>
    <row r="173" spans="1:22" x14ac:dyDescent="0.2">
      <c r="A173" s="202"/>
      <c r="B173" s="303"/>
      <c r="C173" s="303"/>
      <c r="D173" s="303"/>
      <c r="E173" s="303"/>
      <c r="F173" s="303"/>
      <c r="G173" s="303"/>
      <c r="H173" s="399"/>
      <c r="I173" s="494"/>
      <c r="J173" s="491"/>
      <c r="K173" s="491"/>
      <c r="L173" s="491"/>
      <c r="M173" s="491"/>
      <c r="N173" s="491"/>
      <c r="O173" s="491"/>
      <c r="P173" s="481">
        <f t="shared" si="4"/>
        <v>0</v>
      </c>
      <c r="Q173" s="491"/>
      <c r="R173" s="491"/>
      <c r="S173" s="491"/>
      <c r="T173" s="491"/>
      <c r="U173" s="491"/>
      <c r="V173" s="493"/>
    </row>
    <row r="174" spans="1:22" x14ac:dyDescent="0.2">
      <c r="A174" s="202"/>
      <c r="B174" s="303"/>
      <c r="C174" s="303"/>
      <c r="D174" s="303"/>
      <c r="E174" s="303"/>
      <c r="F174" s="303"/>
      <c r="G174" s="303"/>
      <c r="H174" s="399"/>
      <c r="I174" s="494"/>
      <c r="J174" s="491"/>
      <c r="K174" s="491"/>
      <c r="L174" s="491"/>
      <c r="M174" s="491"/>
      <c r="N174" s="491"/>
      <c r="O174" s="491"/>
      <c r="P174" s="481">
        <f t="shared" si="4"/>
        <v>0</v>
      </c>
      <c r="Q174" s="491"/>
      <c r="R174" s="491"/>
      <c r="S174" s="491"/>
      <c r="T174" s="491"/>
      <c r="U174" s="491"/>
      <c r="V174" s="493"/>
    </row>
    <row r="175" spans="1:22" x14ac:dyDescent="0.2">
      <c r="A175" s="202"/>
      <c r="B175" s="303"/>
      <c r="C175" s="303"/>
      <c r="D175" s="303"/>
      <c r="E175" s="303"/>
      <c r="F175" s="303"/>
      <c r="G175" s="303"/>
      <c r="H175" s="399"/>
      <c r="I175" s="494"/>
      <c r="J175" s="491"/>
      <c r="K175" s="491"/>
      <c r="L175" s="491"/>
      <c r="M175" s="491"/>
      <c r="N175" s="491"/>
      <c r="O175" s="491"/>
      <c r="P175" s="481">
        <f t="shared" si="4"/>
        <v>0</v>
      </c>
      <c r="Q175" s="491"/>
      <c r="R175" s="491"/>
      <c r="S175" s="491"/>
      <c r="T175" s="491"/>
      <c r="U175" s="491"/>
      <c r="V175" s="493"/>
    </row>
    <row r="176" spans="1:22" x14ac:dyDescent="0.2">
      <c r="A176" s="202"/>
      <c r="B176" s="303"/>
      <c r="C176" s="303"/>
      <c r="D176" s="303"/>
      <c r="E176" s="303"/>
      <c r="F176" s="303"/>
      <c r="G176" s="303"/>
      <c r="H176" s="399"/>
      <c r="I176" s="494"/>
      <c r="J176" s="491"/>
      <c r="K176" s="491"/>
      <c r="L176" s="491"/>
      <c r="M176" s="491"/>
      <c r="N176" s="491"/>
      <c r="O176" s="491"/>
      <c r="P176" s="481">
        <f t="shared" si="4"/>
        <v>0</v>
      </c>
      <c r="Q176" s="491"/>
      <c r="R176" s="491"/>
      <c r="S176" s="491"/>
      <c r="T176" s="491"/>
      <c r="U176" s="491"/>
      <c r="V176" s="493"/>
    </row>
    <row r="177" spans="1:22" x14ac:dyDescent="0.2">
      <c r="A177" s="202"/>
      <c r="B177" s="303"/>
      <c r="C177" s="303"/>
      <c r="D177" s="303"/>
      <c r="E177" s="303"/>
      <c r="F177" s="303"/>
      <c r="G177" s="303"/>
      <c r="H177" s="399"/>
      <c r="I177" s="494"/>
      <c r="J177" s="491"/>
      <c r="K177" s="491"/>
      <c r="L177" s="491"/>
      <c r="M177" s="491"/>
      <c r="N177" s="491"/>
      <c r="O177" s="491"/>
      <c r="P177" s="481">
        <f t="shared" si="4"/>
        <v>0</v>
      </c>
      <c r="Q177" s="491"/>
      <c r="R177" s="491"/>
      <c r="S177" s="491"/>
      <c r="T177" s="491"/>
      <c r="U177" s="491"/>
      <c r="V177" s="493"/>
    </row>
    <row r="178" spans="1:22" x14ac:dyDescent="0.2">
      <c r="A178" s="202"/>
      <c r="B178" s="303"/>
      <c r="C178" s="303"/>
      <c r="D178" s="303"/>
      <c r="E178" s="303"/>
      <c r="F178" s="303"/>
      <c r="G178" s="303"/>
      <c r="H178" s="399"/>
      <c r="I178" s="494"/>
      <c r="J178" s="491"/>
      <c r="K178" s="491"/>
      <c r="L178" s="491"/>
      <c r="M178" s="491"/>
      <c r="N178" s="491"/>
      <c r="O178" s="491"/>
      <c r="P178" s="481">
        <f t="shared" si="4"/>
        <v>0</v>
      </c>
      <c r="Q178" s="491"/>
      <c r="R178" s="491"/>
      <c r="S178" s="491"/>
      <c r="T178" s="491"/>
      <c r="U178" s="491"/>
      <c r="V178" s="493"/>
    </row>
    <row r="179" spans="1:22" x14ac:dyDescent="0.2">
      <c r="A179" s="202"/>
      <c r="B179" s="303"/>
      <c r="C179" s="303"/>
      <c r="D179" s="303"/>
      <c r="E179" s="303"/>
      <c r="F179" s="303"/>
      <c r="G179" s="303"/>
      <c r="H179" s="399"/>
      <c r="I179" s="494"/>
      <c r="J179" s="491"/>
      <c r="K179" s="491"/>
      <c r="L179" s="491"/>
      <c r="M179" s="491"/>
      <c r="N179" s="491"/>
      <c r="O179" s="491"/>
      <c r="P179" s="481">
        <f t="shared" si="4"/>
        <v>0</v>
      </c>
      <c r="Q179" s="491"/>
      <c r="R179" s="491"/>
      <c r="S179" s="491"/>
      <c r="T179" s="491"/>
      <c r="U179" s="491"/>
      <c r="V179" s="493"/>
    </row>
    <row r="180" spans="1:22" x14ac:dyDescent="0.2">
      <c r="A180" s="202"/>
      <c r="B180" s="303"/>
      <c r="C180" s="303"/>
      <c r="D180" s="303"/>
      <c r="E180" s="303"/>
      <c r="F180" s="303"/>
      <c r="G180" s="303"/>
      <c r="H180" s="399"/>
      <c r="I180" s="494"/>
      <c r="J180" s="491"/>
      <c r="K180" s="491"/>
      <c r="L180" s="491"/>
      <c r="M180" s="491"/>
      <c r="N180" s="491"/>
      <c r="O180" s="491"/>
      <c r="P180" s="481">
        <f t="shared" si="4"/>
        <v>0</v>
      </c>
      <c r="Q180" s="491"/>
      <c r="R180" s="491"/>
      <c r="S180" s="491"/>
      <c r="T180" s="491"/>
      <c r="U180" s="491"/>
      <c r="V180" s="493"/>
    </row>
    <row r="181" spans="1:22" x14ac:dyDescent="0.2">
      <c r="A181" s="202"/>
      <c r="B181" s="303"/>
      <c r="C181" s="303"/>
      <c r="D181" s="303"/>
      <c r="E181" s="303"/>
      <c r="F181" s="303"/>
      <c r="G181" s="303"/>
      <c r="H181" s="399"/>
      <c r="I181" s="494"/>
      <c r="J181" s="491"/>
      <c r="K181" s="491"/>
      <c r="L181" s="491"/>
      <c r="M181" s="491"/>
      <c r="N181" s="491"/>
      <c r="O181" s="491"/>
      <c r="P181" s="481">
        <f t="shared" si="4"/>
        <v>0</v>
      </c>
      <c r="Q181" s="491"/>
      <c r="R181" s="491"/>
      <c r="S181" s="491"/>
      <c r="T181" s="491"/>
      <c r="U181" s="491"/>
      <c r="V181" s="493"/>
    </row>
    <row r="182" spans="1:22" x14ac:dyDescent="0.2">
      <c r="A182" s="202"/>
      <c r="B182" s="303"/>
      <c r="C182" s="303"/>
      <c r="D182" s="303"/>
      <c r="E182" s="303"/>
      <c r="F182" s="303"/>
      <c r="G182" s="303"/>
      <c r="H182" s="399"/>
      <c r="I182" s="494"/>
      <c r="J182" s="491"/>
      <c r="K182" s="491"/>
      <c r="L182" s="491"/>
      <c r="M182" s="491"/>
      <c r="N182" s="491"/>
      <c r="O182" s="491"/>
      <c r="P182" s="481">
        <f t="shared" si="4"/>
        <v>0</v>
      </c>
      <c r="Q182" s="491"/>
      <c r="R182" s="491"/>
      <c r="S182" s="491"/>
      <c r="T182" s="491"/>
      <c r="U182" s="491"/>
      <c r="V182" s="493"/>
    </row>
    <row r="183" spans="1:22" x14ac:dyDescent="0.2">
      <c r="A183" s="202"/>
      <c r="B183" s="303"/>
      <c r="C183" s="303"/>
      <c r="D183" s="303"/>
      <c r="E183" s="303"/>
      <c r="F183" s="303"/>
      <c r="G183" s="303"/>
      <c r="H183" s="399"/>
      <c r="I183" s="494"/>
      <c r="J183" s="491"/>
      <c r="K183" s="491"/>
      <c r="L183" s="491"/>
      <c r="M183" s="491"/>
      <c r="N183" s="491"/>
      <c r="O183" s="491"/>
      <c r="P183" s="481">
        <f t="shared" si="4"/>
        <v>0</v>
      </c>
      <c r="Q183" s="491"/>
      <c r="R183" s="491"/>
      <c r="S183" s="491"/>
      <c r="T183" s="491"/>
      <c r="U183" s="491"/>
      <c r="V183" s="493"/>
    </row>
    <row r="184" spans="1:22" x14ac:dyDescent="0.2">
      <c r="A184" s="202"/>
      <c r="B184" s="303"/>
      <c r="C184" s="303"/>
      <c r="D184" s="303"/>
      <c r="E184" s="303"/>
      <c r="F184" s="303"/>
      <c r="G184" s="303"/>
      <c r="H184" s="399"/>
      <c r="I184" s="494"/>
      <c r="J184" s="491"/>
      <c r="K184" s="491"/>
      <c r="L184" s="491"/>
      <c r="M184" s="491"/>
      <c r="N184" s="491"/>
      <c r="O184" s="491"/>
      <c r="P184" s="481">
        <f t="shared" si="4"/>
        <v>0</v>
      </c>
      <c r="Q184" s="491"/>
      <c r="R184" s="491"/>
      <c r="S184" s="491"/>
      <c r="T184" s="491"/>
      <c r="U184" s="491"/>
      <c r="V184" s="493"/>
    </row>
    <row r="185" spans="1:22" x14ac:dyDescent="0.2">
      <c r="A185" s="202"/>
      <c r="B185" s="303"/>
      <c r="C185" s="303"/>
      <c r="D185" s="303"/>
      <c r="E185" s="303"/>
      <c r="F185" s="303"/>
      <c r="G185" s="303"/>
      <c r="H185" s="399"/>
      <c r="I185" s="494"/>
      <c r="J185" s="491"/>
      <c r="K185" s="491"/>
      <c r="L185" s="491"/>
      <c r="M185" s="491"/>
      <c r="N185" s="491"/>
      <c r="O185" s="491"/>
      <c r="P185" s="481">
        <f t="shared" si="4"/>
        <v>0</v>
      </c>
      <c r="Q185" s="491"/>
      <c r="R185" s="491"/>
      <c r="S185" s="491"/>
      <c r="T185" s="491"/>
      <c r="U185" s="491"/>
      <c r="V185" s="493"/>
    </row>
    <row r="186" spans="1:22" x14ac:dyDescent="0.2">
      <c r="A186" s="202"/>
      <c r="B186" s="303"/>
      <c r="C186" s="303"/>
      <c r="D186" s="303"/>
      <c r="E186" s="303"/>
      <c r="F186" s="303"/>
      <c r="G186" s="303"/>
      <c r="H186" s="399"/>
      <c r="I186" s="494"/>
      <c r="J186" s="491"/>
      <c r="K186" s="491"/>
      <c r="L186" s="491"/>
      <c r="M186" s="491"/>
      <c r="N186" s="491"/>
      <c r="O186" s="491"/>
      <c r="P186" s="481">
        <f t="shared" si="4"/>
        <v>0</v>
      </c>
      <c r="Q186" s="491"/>
      <c r="R186" s="491"/>
      <c r="S186" s="491"/>
      <c r="T186" s="491"/>
      <c r="U186" s="491"/>
      <c r="V186" s="493"/>
    </row>
    <row r="187" spans="1:22" x14ac:dyDescent="0.2">
      <c r="A187" s="202"/>
      <c r="B187" s="303"/>
      <c r="C187" s="303"/>
      <c r="D187" s="303"/>
      <c r="E187" s="303"/>
      <c r="F187" s="303"/>
      <c r="G187" s="303"/>
      <c r="H187" s="399"/>
      <c r="I187" s="494"/>
      <c r="J187" s="491"/>
      <c r="K187" s="491"/>
      <c r="L187" s="491"/>
      <c r="M187" s="491"/>
      <c r="N187" s="491"/>
      <c r="O187" s="491"/>
      <c r="P187" s="481">
        <f t="shared" si="4"/>
        <v>0</v>
      </c>
      <c r="Q187" s="491"/>
      <c r="R187" s="491"/>
      <c r="S187" s="491"/>
      <c r="T187" s="491"/>
      <c r="U187" s="491"/>
      <c r="V187" s="493"/>
    </row>
    <row r="188" spans="1:22" x14ac:dyDescent="0.2">
      <c r="A188" s="202"/>
      <c r="B188" s="303"/>
      <c r="C188" s="303"/>
      <c r="D188" s="303"/>
      <c r="E188" s="303"/>
      <c r="F188" s="303"/>
      <c r="G188" s="303"/>
      <c r="H188" s="399"/>
      <c r="I188" s="494"/>
      <c r="J188" s="491"/>
      <c r="K188" s="491"/>
      <c r="L188" s="491"/>
      <c r="M188" s="491"/>
      <c r="N188" s="491"/>
      <c r="O188" s="491"/>
      <c r="P188" s="481">
        <f t="shared" si="4"/>
        <v>0</v>
      </c>
      <c r="Q188" s="491"/>
      <c r="R188" s="491"/>
      <c r="S188" s="491"/>
      <c r="T188" s="491"/>
      <c r="U188" s="491"/>
      <c r="V188" s="493"/>
    </row>
    <row r="189" spans="1:22" x14ac:dyDescent="0.2">
      <c r="A189" s="202"/>
      <c r="B189" s="303"/>
      <c r="C189" s="303"/>
      <c r="D189" s="303"/>
      <c r="E189" s="303"/>
      <c r="F189" s="303"/>
      <c r="G189" s="303"/>
      <c r="H189" s="399"/>
      <c r="I189" s="494"/>
      <c r="J189" s="491"/>
      <c r="K189" s="491"/>
      <c r="L189" s="491"/>
      <c r="M189" s="491"/>
      <c r="N189" s="491"/>
      <c r="O189" s="491"/>
      <c r="P189" s="481">
        <f t="shared" si="4"/>
        <v>0</v>
      </c>
      <c r="Q189" s="491"/>
      <c r="R189" s="491"/>
      <c r="S189" s="491"/>
      <c r="T189" s="491"/>
      <c r="U189" s="491"/>
      <c r="V189" s="493"/>
    </row>
    <row r="190" spans="1:22" x14ac:dyDescent="0.2">
      <c r="A190" s="202"/>
      <c r="B190" s="303"/>
      <c r="C190" s="303"/>
      <c r="D190" s="303"/>
      <c r="E190" s="303"/>
      <c r="F190" s="303"/>
      <c r="G190" s="303"/>
      <c r="H190" s="399"/>
      <c r="I190" s="494"/>
      <c r="J190" s="491"/>
      <c r="K190" s="491"/>
      <c r="L190" s="491"/>
      <c r="M190" s="491"/>
      <c r="N190" s="491"/>
      <c r="O190" s="491"/>
      <c r="P190" s="481">
        <f t="shared" si="4"/>
        <v>0</v>
      </c>
      <c r="Q190" s="491"/>
      <c r="R190" s="491"/>
      <c r="S190" s="491"/>
      <c r="T190" s="491"/>
      <c r="U190" s="491"/>
      <c r="V190" s="493"/>
    </row>
    <row r="191" spans="1:22" x14ac:dyDescent="0.2">
      <c r="A191" s="202"/>
      <c r="B191" s="303"/>
      <c r="C191" s="303"/>
      <c r="D191" s="303"/>
      <c r="E191" s="303"/>
      <c r="F191" s="303"/>
      <c r="G191" s="303"/>
      <c r="H191" s="399"/>
      <c r="I191" s="494"/>
      <c r="J191" s="491"/>
      <c r="K191" s="491"/>
      <c r="L191" s="491"/>
      <c r="M191" s="491"/>
      <c r="N191" s="491"/>
      <c r="O191" s="491"/>
      <c r="P191" s="481">
        <f t="shared" si="4"/>
        <v>0</v>
      </c>
      <c r="Q191" s="491"/>
      <c r="R191" s="491"/>
      <c r="S191" s="491"/>
      <c r="T191" s="491"/>
      <c r="U191" s="491"/>
      <c r="V191" s="493"/>
    </row>
    <row r="192" spans="1:22" x14ac:dyDescent="0.2">
      <c r="A192" s="202"/>
      <c r="B192" s="303"/>
      <c r="C192" s="303"/>
      <c r="D192" s="303"/>
      <c r="E192" s="303"/>
      <c r="F192" s="303"/>
      <c r="G192" s="303"/>
      <c r="H192" s="399"/>
      <c r="I192" s="494"/>
      <c r="J192" s="491"/>
      <c r="K192" s="491"/>
      <c r="L192" s="491"/>
      <c r="M192" s="491"/>
      <c r="N192" s="491"/>
      <c r="O192" s="491"/>
      <c r="P192" s="481">
        <f t="shared" si="4"/>
        <v>0</v>
      </c>
      <c r="Q192" s="491"/>
      <c r="R192" s="491"/>
      <c r="S192" s="491"/>
      <c r="T192" s="491"/>
      <c r="U192" s="491"/>
      <c r="V192" s="493"/>
    </row>
    <row r="193" spans="1:22" x14ac:dyDescent="0.2">
      <c r="A193" s="202"/>
      <c r="B193" s="303"/>
      <c r="C193" s="303"/>
      <c r="D193" s="303"/>
      <c r="E193" s="303"/>
      <c r="F193" s="303"/>
      <c r="G193" s="303"/>
      <c r="H193" s="399"/>
      <c r="I193" s="494"/>
      <c r="J193" s="491"/>
      <c r="K193" s="491"/>
      <c r="L193" s="491"/>
      <c r="M193" s="491"/>
      <c r="N193" s="491"/>
      <c r="O193" s="491"/>
      <c r="P193" s="481">
        <f t="shared" si="4"/>
        <v>0</v>
      </c>
      <c r="Q193" s="491"/>
      <c r="R193" s="491"/>
      <c r="S193" s="491"/>
      <c r="T193" s="491"/>
      <c r="U193" s="491"/>
      <c r="V193" s="493"/>
    </row>
    <row r="194" spans="1:22" x14ac:dyDescent="0.2">
      <c r="A194" s="202"/>
      <c r="B194" s="303"/>
      <c r="C194" s="303"/>
      <c r="D194" s="303"/>
      <c r="E194" s="303"/>
      <c r="F194" s="303"/>
      <c r="G194" s="303"/>
      <c r="H194" s="399"/>
      <c r="I194" s="494"/>
      <c r="J194" s="491"/>
      <c r="K194" s="491"/>
      <c r="L194" s="491"/>
      <c r="M194" s="491"/>
      <c r="N194" s="491"/>
      <c r="O194" s="491"/>
      <c r="P194" s="481">
        <f t="shared" si="4"/>
        <v>0</v>
      </c>
      <c r="Q194" s="491"/>
      <c r="R194" s="491"/>
      <c r="S194" s="491"/>
      <c r="T194" s="491"/>
      <c r="U194" s="491"/>
      <c r="V194" s="493"/>
    </row>
    <row r="195" spans="1:22" x14ac:dyDescent="0.2">
      <c r="A195" s="202"/>
      <c r="B195" s="303"/>
      <c r="C195" s="303"/>
      <c r="D195" s="303"/>
      <c r="E195" s="303"/>
      <c r="F195" s="303"/>
      <c r="G195" s="303"/>
      <c r="H195" s="399"/>
      <c r="I195" s="494"/>
      <c r="J195" s="491"/>
      <c r="K195" s="491"/>
      <c r="L195" s="491"/>
      <c r="M195" s="491"/>
      <c r="N195" s="491"/>
      <c r="O195" s="491"/>
      <c r="P195" s="481">
        <f t="shared" si="4"/>
        <v>0</v>
      </c>
      <c r="Q195" s="491"/>
      <c r="R195" s="491"/>
      <c r="S195" s="491"/>
      <c r="T195" s="491"/>
      <c r="U195" s="491"/>
      <c r="V195" s="493"/>
    </row>
    <row r="196" spans="1:22" x14ac:dyDescent="0.2">
      <c r="A196" s="202"/>
      <c r="B196" s="303"/>
      <c r="C196" s="303"/>
      <c r="D196" s="303"/>
      <c r="E196" s="303"/>
      <c r="F196" s="303"/>
      <c r="G196" s="303"/>
      <c r="H196" s="399"/>
      <c r="I196" s="494"/>
      <c r="J196" s="491"/>
      <c r="K196" s="491"/>
      <c r="L196" s="491"/>
      <c r="M196" s="491"/>
      <c r="N196" s="491"/>
      <c r="O196" s="491"/>
      <c r="P196" s="481">
        <f t="shared" si="4"/>
        <v>0</v>
      </c>
      <c r="Q196" s="491"/>
      <c r="R196" s="491"/>
      <c r="S196" s="491"/>
      <c r="T196" s="491"/>
      <c r="U196" s="491"/>
      <c r="V196" s="493"/>
    </row>
    <row r="197" spans="1:22" x14ac:dyDescent="0.2">
      <c r="A197" s="202"/>
      <c r="B197" s="303"/>
      <c r="C197" s="303"/>
      <c r="D197" s="303"/>
      <c r="E197" s="303"/>
      <c r="F197" s="303"/>
      <c r="G197" s="303"/>
      <c r="H197" s="399"/>
      <c r="I197" s="494"/>
      <c r="J197" s="491"/>
      <c r="K197" s="491"/>
      <c r="L197" s="491"/>
      <c r="M197" s="491"/>
      <c r="N197" s="491"/>
      <c r="O197" s="491"/>
      <c r="P197" s="481">
        <f t="shared" si="4"/>
        <v>0</v>
      </c>
      <c r="Q197" s="491"/>
      <c r="R197" s="491"/>
      <c r="S197" s="491"/>
      <c r="T197" s="491"/>
      <c r="U197" s="491"/>
      <c r="V197" s="493"/>
    </row>
    <row r="198" spans="1:22" x14ac:dyDescent="0.2">
      <c r="A198" s="202"/>
      <c r="B198" s="303"/>
      <c r="C198" s="303"/>
      <c r="D198" s="303"/>
      <c r="E198" s="303"/>
      <c r="F198" s="303"/>
      <c r="G198" s="303"/>
      <c r="H198" s="399"/>
      <c r="I198" s="494"/>
      <c r="J198" s="491"/>
      <c r="K198" s="491"/>
      <c r="L198" s="491"/>
      <c r="M198" s="491"/>
      <c r="N198" s="491"/>
      <c r="O198" s="491"/>
      <c r="P198" s="481">
        <f t="shared" si="4"/>
        <v>0</v>
      </c>
      <c r="Q198" s="491"/>
      <c r="R198" s="491"/>
      <c r="S198" s="491"/>
      <c r="T198" s="491"/>
      <c r="U198" s="491"/>
      <c r="V198" s="493"/>
    </row>
    <row r="199" spans="1:22" x14ac:dyDescent="0.2">
      <c r="A199" s="202"/>
      <c r="B199" s="303"/>
      <c r="C199" s="303"/>
      <c r="D199" s="303"/>
      <c r="E199" s="303"/>
      <c r="F199" s="303"/>
      <c r="G199" s="303"/>
      <c r="H199" s="399"/>
      <c r="I199" s="494"/>
      <c r="J199" s="491"/>
      <c r="K199" s="491"/>
      <c r="L199" s="491"/>
      <c r="M199" s="491"/>
      <c r="N199" s="491"/>
      <c r="O199" s="491"/>
      <c r="P199" s="481">
        <f t="shared" si="4"/>
        <v>0</v>
      </c>
      <c r="Q199" s="491"/>
      <c r="R199" s="491"/>
      <c r="S199" s="491"/>
      <c r="T199" s="491"/>
      <c r="U199" s="491"/>
      <c r="V199" s="493"/>
    </row>
    <row r="200" spans="1:22" x14ac:dyDescent="0.2">
      <c r="A200" s="202"/>
      <c r="B200" s="303"/>
      <c r="C200" s="303"/>
      <c r="D200" s="303"/>
      <c r="E200" s="303"/>
      <c r="F200" s="303"/>
      <c r="G200" s="303"/>
      <c r="H200" s="399"/>
      <c r="I200" s="494"/>
      <c r="J200" s="491"/>
      <c r="K200" s="491"/>
      <c r="L200" s="491"/>
      <c r="M200" s="491"/>
      <c r="N200" s="491"/>
      <c r="O200" s="491"/>
      <c r="P200" s="481">
        <f t="shared" si="4"/>
        <v>0</v>
      </c>
      <c r="Q200" s="491"/>
      <c r="R200" s="491"/>
      <c r="S200" s="491"/>
      <c r="T200" s="491"/>
      <c r="U200" s="491"/>
      <c r="V200" s="493"/>
    </row>
    <row r="201" spans="1:22" x14ac:dyDescent="0.2">
      <c r="A201" s="202"/>
      <c r="B201" s="303"/>
      <c r="C201" s="303"/>
      <c r="D201" s="303"/>
      <c r="E201" s="303"/>
      <c r="F201" s="303"/>
      <c r="G201" s="303"/>
      <c r="H201" s="399"/>
      <c r="I201" s="494"/>
      <c r="J201" s="491"/>
      <c r="K201" s="491"/>
      <c r="L201" s="491"/>
      <c r="M201" s="491"/>
      <c r="N201" s="491"/>
      <c r="O201" s="491"/>
      <c r="P201" s="481">
        <f t="shared" si="4"/>
        <v>0</v>
      </c>
      <c r="Q201" s="491"/>
      <c r="R201" s="491"/>
      <c r="S201" s="491"/>
      <c r="T201" s="491"/>
      <c r="U201" s="491"/>
      <c r="V201" s="493"/>
    </row>
    <row r="202" spans="1:22" x14ac:dyDescent="0.2">
      <c r="A202" s="202"/>
      <c r="B202" s="303"/>
      <c r="C202" s="303"/>
      <c r="D202" s="303"/>
      <c r="E202" s="303"/>
      <c r="F202" s="303"/>
      <c r="G202" s="303"/>
      <c r="H202" s="399"/>
      <c r="I202" s="494"/>
      <c r="J202" s="491"/>
      <c r="K202" s="491"/>
      <c r="L202" s="491"/>
      <c r="M202" s="491"/>
      <c r="N202" s="491"/>
      <c r="O202" s="491"/>
      <c r="P202" s="481">
        <f t="shared" si="4"/>
        <v>0</v>
      </c>
      <c r="Q202" s="491"/>
      <c r="R202" s="491"/>
      <c r="S202" s="491"/>
      <c r="T202" s="491"/>
      <c r="U202" s="491"/>
      <c r="V202" s="493"/>
    </row>
    <row r="203" spans="1:22" x14ac:dyDescent="0.2">
      <c r="A203" s="202"/>
      <c r="B203" s="303"/>
      <c r="C203" s="303"/>
      <c r="D203" s="303"/>
      <c r="E203" s="303"/>
      <c r="F203" s="303"/>
      <c r="G203" s="303"/>
      <c r="H203" s="399"/>
      <c r="I203" s="494"/>
      <c r="J203" s="491"/>
      <c r="K203" s="491"/>
      <c r="L203" s="491"/>
      <c r="M203" s="491"/>
      <c r="N203" s="491"/>
      <c r="O203" s="491"/>
      <c r="P203" s="481">
        <f t="shared" si="4"/>
        <v>0</v>
      </c>
      <c r="Q203" s="491"/>
      <c r="R203" s="491"/>
      <c r="S203" s="491"/>
      <c r="T203" s="491"/>
      <c r="U203" s="491"/>
      <c r="V203" s="493"/>
    </row>
    <row r="204" spans="1:22" x14ac:dyDescent="0.2">
      <c r="A204" s="202"/>
      <c r="B204" s="303"/>
      <c r="C204" s="303"/>
      <c r="D204" s="303"/>
      <c r="E204" s="303"/>
      <c r="F204" s="303"/>
      <c r="G204" s="303"/>
      <c r="H204" s="399"/>
      <c r="I204" s="494"/>
      <c r="J204" s="491"/>
      <c r="K204" s="491"/>
      <c r="L204" s="491"/>
      <c r="M204" s="491"/>
      <c r="N204" s="491"/>
      <c r="O204" s="491"/>
      <c r="P204" s="481">
        <f t="shared" si="4"/>
        <v>0</v>
      </c>
      <c r="Q204" s="491"/>
      <c r="R204" s="491"/>
      <c r="S204" s="491"/>
      <c r="T204" s="491"/>
      <c r="U204" s="491"/>
      <c r="V204" s="493"/>
    </row>
    <row r="205" spans="1:22" x14ac:dyDescent="0.2">
      <c r="A205" s="202"/>
      <c r="B205" s="303"/>
      <c r="C205" s="303"/>
      <c r="D205" s="303"/>
      <c r="E205" s="303"/>
      <c r="F205" s="303"/>
      <c r="G205" s="303"/>
      <c r="H205" s="399"/>
      <c r="I205" s="494"/>
      <c r="J205" s="491"/>
      <c r="K205" s="491"/>
      <c r="L205" s="491"/>
      <c r="M205" s="491"/>
      <c r="N205" s="491"/>
      <c r="O205" s="491"/>
      <c r="P205" s="481">
        <f t="shared" si="4"/>
        <v>0</v>
      </c>
      <c r="Q205" s="491"/>
      <c r="R205" s="491"/>
      <c r="S205" s="491"/>
      <c r="T205" s="491"/>
      <c r="U205" s="491"/>
      <c r="V205" s="493"/>
    </row>
    <row r="206" spans="1:22" x14ac:dyDescent="0.2">
      <c r="A206" s="202"/>
      <c r="B206" s="303"/>
      <c r="C206" s="303"/>
      <c r="D206" s="303"/>
      <c r="E206" s="303"/>
      <c r="F206" s="303"/>
      <c r="G206" s="303"/>
      <c r="H206" s="399"/>
      <c r="I206" s="494"/>
      <c r="J206" s="491"/>
      <c r="K206" s="491"/>
      <c r="L206" s="491"/>
      <c r="M206" s="491"/>
      <c r="N206" s="491"/>
      <c r="O206" s="491"/>
      <c r="P206" s="481">
        <f t="shared" si="4"/>
        <v>0</v>
      </c>
      <c r="Q206" s="491"/>
      <c r="R206" s="491"/>
      <c r="S206" s="491"/>
      <c r="T206" s="491"/>
      <c r="U206" s="491"/>
      <c r="V206" s="493"/>
    </row>
    <row r="207" spans="1:22" x14ac:dyDescent="0.2">
      <c r="A207" s="202"/>
      <c r="B207" s="303"/>
      <c r="C207" s="303"/>
      <c r="D207" s="303"/>
      <c r="E207" s="303"/>
      <c r="F207" s="303"/>
      <c r="G207" s="303"/>
      <c r="H207" s="399"/>
      <c r="I207" s="494"/>
      <c r="J207" s="491"/>
      <c r="K207" s="491"/>
      <c r="L207" s="491"/>
      <c r="M207" s="491"/>
      <c r="N207" s="491"/>
      <c r="O207" s="491"/>
      <c r="P207" s="481">
        <f t="shared" si="4"/>
        <v>0</v>
      </c>
      <c r="Q207" s="491"/>
      <c r="R207" s="491"/>
      <c r="S207" s="491"/>
      <c r="T207" s="491"/>
      <c r="U207" s="491"/>
      <c r="V207" s="493"/>
    </row>
    <row r="208" spans="1:22" x14ac:dyDescent="0.2">
      <c r="A208" s="202"/>
      <c r="B208" s="303"/>
      <c r="C208" s="303"/>
      <c r="D208" s="303"/>
      <c r="E208" s="303"/>
      <c r="F208" s="303"/>
      <c r="G208" s="303"/>
      <c r="H208" s="399"/>
      <c r="I208" s="494"/>
      <c r="J208" s="491"/>
      <c r="K208" s="491"/>
      <c r="L208" s="491"/>
      <c r="M208" s="491"/>
      <c r="N208" s="491"/>
      <c r="O208" s="491"/>
      <c r="P208" s="481">
        <f t="shared" si="4"/>
        <v>0</v>
      </c>
      <c r="Q208" s="491"/>
      <c r="R208" s="491"/>
      <c r="S208" s="491"/>
      <c r="T208" s="491"/>
      <c r="U208" s="491"/>
      <c r="V208" s="493"/>
    </row>
    <row r="209" spans="1:22" x14ac:dyDescent="0.2">
      <c r="A209" s="202"/>
      <c r="B209" s="303"/>
      <c r="C209" s="303"/>
      <c r="D209" s="303"/>
      <c r="E209" s="303"/>
      <c r="F209" s="303"/>
      <c r="G209" s="303"/>
      <c r="H209" s="399"/>
      <c r="I209" s="494"/>
      <c r="J209" s="491"/>
      <c r="K209" s="491"/>
      <c r="L209" s="491"/>
      <c r="M209" s="491"/>
      <c r="N209" s="491"/>
      <c r="O209" s="491"/>
      <c r="P209" s="481">
        <f t="shared" si="4"/>
        <v>0</v>
      </c>
      <c r="Q209" s="491"/>
      <c r="R209" s="491"/>
      <c r="S209" s="491"/>
      <c r="T209" s="491"/>
      <c r="U209" s="491"/>
      <c r="V209" s="493"/>
    </row>
    <row r="210" spans="1:22" x14ac:dyDescent="0.2">
      <c r="A210" s="202"/>
      <c r="B210" s="303"/>
      <c r="C210" s="303"/>
      <c r="D210" s="303"/>
      <c r="E210" s="303"/>
      <c r="F210" s="303"/>
      <c r="G210" s="303"/>
      <c r="H210" s="399"/>
      <c r="I210" s="494"/>
      <c r="J210" s="491"/>
      <c r="K210" s="491"/>
      <c r="L210" s="491"/>
      <c r="M210" s="491"/>
      <c r="N210" s="491"/>
      <c r="O210" s="491"/>
      <c r="P210" s="481">
        <f t="shared" si="4"/>
        <v>0</v>
      </c>
      <c r="Q210" s="491"/>
      <c r="R210" s="491"/>
      <c r="S210" s="491"/>
      <c r="T210" s="491"/>
      <c r="U210" s="491"/>
      <c r="V210" s="493"/>
    </row>
    <row r="211" spans="1:22" x14ac:dyDescent="0.2">
      <c r="A211" s="202"/>
      <c r="B211" s="303"/>
      <c r="C211" s="303"/>
      <c r="D211" s="303"/>
      <c r="E211" s="303"/>
      <c r="F211" s="303"/>
      <c r="G211" s="303"/>
      <c r="H211" s="399"/>
      <c r="I211" s="494"/>
      <c r="J211" s="491"/>
      <c r="K211" s="491"/>
      <c r="L211" s="491"/>
      <c r="M211" s="491"/>
      <c r="N211" s="491"/>
      <c r="O211" s="491"/>
      <c r="P211" s="481">
        <f t="shared" si="4"/>
        <v>0</v>
      </c>
      <c r="Q211" s="491"/>
      <c r="R211" s="491"/>
      <c r="S211" s="491"/>
      <c r="T211" s="491"/>
      <c r="U211" s="491"/>
      <c r="V211" s="493"/>
    </row>
    <row r="212" spans="1:22" x14ac:dyDescent="0.2">
      <c r="A212" s="202"/>
      <c r="B212" s="303"/>
      <c r="C212" s="303"/>
      <c r="D212" s="303"/>
      <c r="E212" s="303"/>
      <c r="F212" s="303"/>
      <c r="G212" s="303"/>
      <c r="H212" s="399"/>
      <c r="I212" s="494"/>
      <c r="J212" s="491"/>
      <c r="K212" s="491"/>
      <c r="L212" s="491"/>
      <c r="M212" s="491"/>
      <c r="N212" s="491"/>
      <c r="O212" s="491"/>
      <c r="P212" s="481">
        <f t="shared" si="4"/>
        <v>0</v>
      </c>
      <c r="Q212" s="491"/>
      <c r="R212" s="491"/>
      <c r="S212" s="491"/>
      <c r="T212" s="491"/>
      <c r="U212" s="491"/>
      <c r="V212" s="493"/>
    </row>
    <row r="213" spans="1:22" x14ac:dyDescent="0.2">
      <c r="A213" s="202"/>
      <c r="B213" s="303"/>
      <c r="C213" s="303"/>
      <c r="D213" s="303"/>
      <c r="E213" s="303"/>
      <c r="F213" s="303"/>
      <c r="G213" s="303"/>
      <c r="H213" s="399"/>
      <c r="I213" s="494"/>
      <c r="J213" s="491"/>
      <c r="K213" s="491"/>
      <c r="L213" s="491"/>
      <c r="M213" s="491"/>
      <c r="N213" s="491"/>
      <c r="O213" s="491"/>
      <c r="P213" s="481">
        <f t="shared" si="4"/>
        <v>0</v>
      </c>
      <c r="Q213" s="491"/>
      <c r="R213" s="491"/>
      <c r="S213" s="491"/>
      <c r="T213" s="491"/>
      <c r="U213" s="491"/>
      <c r="V213" s="493"/>
    </row>
    <row r="214" spans="1:22" x14ac:dyDescent="0.2">
      <c r="A214" s="202"/>
      <c r="B214" s="303"/>
      <c r="C214" s="303"/>
      <c r="D214" s="303"/>
      <c r="E214" s="303"/>
      <c r="F214" s="303"/>
      <c r="G214" s="303"/>
      <c r="H214" s="399"/>
      <c r="I214" s="494"/>
      <c r="J214" s="491"/>
      <c r="K214" s="491"/>
      <c r="L214" s="491"/>
      <c r="M214" s="491"/>
      <c r="N214" s="491"/>
      <c r="O214" s="491"/>
      <c r="P214" s="481">
        <f t="shared" si="4"/>
        <v>0</v>
      </c>
      <c r="Q214" s="491"/>
      <c r="R214" s="491"/>
      <c r="S214" s="491"/>
      <c r="T214" s="491"/>
      <c r="U214" s="491"/>
      <c r="V214" s="493"/>
    </row>
    <row r="215" spans="1:22" x14ac:dyDescent="0.2">
      <c r="A215" s="202"/>
      <c r="B215" s="303"/>
      <c r="C215" s="303"/>
      <c r="D215" s="303"/>
      <c r="E215" s="303"/>
      <c r="F215" s="303"/>
      <c r="G215" s="303"/>
      <c r="H215" s="399"/>
      <c r="I215" s="494"/>
      <c r="J215" s="491"/>
      <c r="K215" s="491"/>
      <c r="L215" s="491"/>
      <c r="M215" s="491"/>
      <c r="N215" s="491"/>
      <c r="O215" s="491"/>
      <c r="P215" s="481">
        <f t="shared" si="4"/>
        <v>0</v>
      </c>
      <c r="Q215" s="491"/>
      <c r="R215" s="491"/>
      <c r="S215" s="491"/>
      <c r="T215" s="491"/>
      <c r="U215" s="491"/>
      <c r="V215" s="493"/>
    </row>
    <row r="216" spans="1:22" x14ac:dyDescent="0.2">
      <c r="A216" s="202"/>
      <c r="B216" s="303"/>
      <c r="C216" s="303"/>
      <c r="D216" s="303"/>
      <c r="E216" s="303"/>
      <c r="F216" s="303"/>
      <c r="G216" s="303"/>
      <c r="H216" s="399"/>
      <c r="I216" s="494"/>
      <c r="J216" s="491"/>
      <c r="K216" s="491"/>
      <c r="L216" s="491"/>
      <c r="M216" s="491"/>
      <c r="N216" s="491"/>
      <c r="O216" s="491"/>
      <c r="P216" s="481">
        <f t="shared" si="4"/>
        <v>0</v>
      </c>
      <c r="Q216" s="491"/>
      <c r="R216" s="491"/>
      <c r="S216" s="491"/>
      <c r="T216" s="491"/>
      <c r="U216" s="491"/>
      <c r="V216" s="493"/>
    </row>
    <row r="217" spans="1:22" x14ac:dyDescent="0.2">
      <c r="A217" s="202"/>
      <c r="B217" s="303"/>
      <c r="C217" s="303"/>
      <c r="D217" s="303"/>
      <c r="E217" s="303"/>
      <c r="F217" s="303"/>
      <c r="G217" s="303"/>
      <c r="H217" s="399"/>
      <c r="I217" s="494"/>
      <c r="J217" s="491"/>
      <c r="K217" s="491"/>
      <c r="L217" s="491"/>
      <c r="M217" s="491"/>
      <c r="N217" s="491"/>
      <c r="O217" s="491"/>
      <c r="P217" s="481">
        <f t="shared" si="4"/>
        <v>0</v>
      </c>
      <c r="Q217" s="491"/>
      <c r="R217" s="491"/>
      <c r="S217" s="491"/>
      <c r="T217" s="491"/>
      <c r="U217" s="491"/>
      <c r="V217" s="493"/>
    </row>
    <row r="218" spans="1:22" x14ac:dyDescent="0.2">
      <c r="A218" s="202"/>
      <c r="B218" s="303"/>
      <c r="C218" s="303"/>
      <c r="D218" s="303"/>
      <c r="E218" s="303"/>
      <c r="F218" s="303"/>
      <c r="G218" s="303"/>
      <c r="H218" s="399"/>
      <c r="I218" s="494"/>
      <c r="J218" s="491"/>
      <c r="K218" s="491"/>
      <c r="L218" s="491"/>
      <c r="M218" s="491"/>
      <c r="N218" s="491"/>
      <c r="O218" s="491"/>
      <c r="P218" s="481">
        <f t="shared" si="4"/>
        <v>0</v>
      </c>
      <c r="Q218" s="491"/>
      <c r="R218" s="491"/>
      <c r="S218" s="491"/>
      <c r="T218" s="491"/>
      <c r="U218" s="491"/>
      <c r="V218" s="493"/>
    </row>
    <row r="219" spans="1:22" x14ac:dyDescent="0.2">
      <c r="A219" s="202"/>
      <c r="B219" s="303"/>
      <c r="C219" s="303"/>
      <c r="D219" s="303"/>
      <c r="E219" s="303"/>
      <c r="F219" s="303"/>
      <c r="G219" s="303"/>
      <c r="H219" s="399"/>
      <c r="I219" s="494"/>
      <c r="J219" s="491"/>
      <c r="K219" s="491"/>
      <c r="L219" s="491"/>
      <c r="M219" s="491"/>
      <c r="N219" s="491"/>
      <c r="O219" s="491"/>
      <c r="P219" s="481">
        <f t="shared" si="4"/>
        <v>0</v>
      </c>
      <c r="Q219" s="491"/>
      <c r="R219" s="491"/>
      <c r="S219" s="491"/>
      <c r="T219" s="491"/>
      <c r="U219" s="491"/>
      <c r="V219" s="493"/>
    </row>
    <row r="220" spans="1:22" x14ac:dyDescent="0.2">
      <c r="A220" s="202"/>
      <c r="B220" s="303"/>
      <c r="C220" s="303"/>
      <c r="D220" s="303"/>
      <c r="E220" s="303"/>
      <c r="F220" s="303"/>
      <c r="G220" s="303"/>
      <c r="H220" s="399"/>
      <c r="I220" s="494"/>
      <c r="J220" s="491"/>
      <c r="K220" s="491"/>
      <c r="L220" s="491"/>
      <c r="M220" s="491"/>
      <c r="N220" s="491"/>
      <c r="O220" s="491"/>
      <c r="P220" s="481">
        <f t="shared" si="4"/>
        <v>0</v>
      </c>
      <c r="Q220" s="491"/>
      <c r="R220" s="491"/>
      <c r="S220" s="491"/>
      <c r="T220" s="491"/>
      <c r="U220" s="491"/>
      <c r="V220" s="493"/>
    </row>
    <row r="221" spans="1:22" x14ac:dyDescent="0.2">
      <c r="A221" s="202"/>
      <c r="B221" s="303"/>
      <c r="C221" s="303"/>
      <c r="D221" s="303"/>
      <c r="E221" s="303"/>
      <c r="F221" s="303"/>
      <c r="G221" s="303"/>
      <c r="H221" s="399"/>
      <c r="I221" s="494"/>
      <c r="J221" s="491"/>
      <c r="K221" s="491"/>
      <c r="L221" s="491"/>
      <c r="M221" s="491"/>
      <c r="N221" s="491"/>
      <c r="O221" s="491"/>
      <c r="P221" s="481">
        <f t="shared" si="4"/>
        <v>0</v>
      </c>
      <c r="Q221" s="491"/>
      <c r="R221" s="491"/>
      <c r="S221" s="491"/>
      <c r="T221" s="491"/>
      <c r="U221" s="491"/>
      <c r="V221" s="493"/>
    </row>
    <row r="222" spans="1:22" x14ac:dyDescent="0.2">
      <c r="A222" s="202"/>
      <c r="B222" s="303"/>
      <c r="C222" s="303"/>
      <c r="D222" s="303"/>
      <c r="E222" s="303"/>
      <c r="F222" s="303"/>
      <c r="G222" s="303"/>
      <c r="H222" s="399"/>
      <c r="I222" s="494"/>
      <c r="J222" s="491"/>
      <c r="K222" s="491"/>
      <c r="L222" s="491"/>
      <c r="M222" s="491"/>
      <c r="N222" s="491"/>
      <c r="O222" s="491"/>
      <c r="P222" s="481">
        <f t="shared" si="4"/>
        <v>0</v>
      </c>
      <c r="Q222" s="491"/>
      <c r="R222" s="491"/>
      <c r="S222" s="491"/>
      <c r="T222" s="491"/>
      <c r="U222" s="491"/>
      <c r="V222" s="493"/>
    </row>
    <row r="223" spans="1:22" x14ac:dyDescent="0.2">
      <c r="A223" s="202"/>
      <c r="B223" s="303"/>
      <c r="C223" s="303"/>
      <c r="D223" s="303"/>
      <c r="E223" s="303"/>
      <c r="F223" s="303"/>
      <c r="G223" s="303"/>
      <c r="H223" s="399"/>
      <c r="I223" s="494"/>
      <c r="J223" s="491"/>
      <c r="K223" s="491"/>
      <c r="L223" s="491"/>
      <c r="M223" s="491"/>
      <c r="N223" s="491"/>
      <c r="O223" s="491"/>
      <c r="P223" s="481">
        <f t="shared" si="4"/>
        <v>0</v>
      </c>
      <c r="Q223" s="491"/>
      <c r="R223" s="491"/>
      <c r="S223" s="491"/>
      <c r="T223" s="491"/>
      <c r="U223" s="491"/>
      <c r="V223" s="493"/>
    </row>
    <row r="224" spans="1:22" x14ac:dyDescent="0.2">
      <c r="A224" s="202"/>
      <c r="B224" s="303"/>
      <c r="C224" s="303"/>
      <c r="D224" s="303"/>
      <c r="E224" s="303"/>
      <c r="F224" s="303"/>
      <c r="G224" s="303"/>
      <c r="H224" s="399"/>
      <c r="I224" s="494"/>
      <c r="J224" s="491"/>
      <c r="K224" s="491"/>
      <c r="L224" s="491"/>
      <c r="M224" s="491"/>
      <c r="N224" s="491"/>
      <c r="O224" s="491"/>
      <c r="P224" s="481">
        <f t="shared" si="4"/>
        <v>0</v>
      </c>
      <c r="Q224" s="491"/>
      <c r="R224" s="491"/>
      <c r="S224" s="491"/>
      <c r="T224" s="491"/>
      <c r="U224" s="491"/>
      <c r="V224" s="493"/>
    </row>
    <row r="225" spans="1:22" x14ac:dyDescent="0.2">
      <c r="A225" s="202"/>
      <c r="B225" s="303"/>
      <c r="C225" s="303"/>
      <c r="D225" s="303"/>
      <c r="E225" s="303"/>
      <c r="F225" s="303"/>
      <c r="G225" s="303"/>
      <c r="H225" s="399"/>
      <c r="I225" s="494"/>
      <c r="J225" s="491"/>
      <c r="K225" s="491"/>
      <c r="L225" s="491"/>
      <c r="M225" s="491"/>
      <c r="N225" s="491"/>
      <c r="O225" s="491"/>
      <c r="P225" s="481">
        <f t="shared" si="4"/>
        <v>0</v>
      </c>
      <c r="Q225" s="491"/>
      <c r="R225" s="491"/>
      <c r="S225" s="491"/>
      <c r="T225" s="491"/>
      <c r="U225" s="491"/>
      <c r="V225" s="493"/>
    </row>
    <row r="226" spans="1:22" x14ac:dyDescent="0.2">
      <c r="A226" s="202"/>
      <c r="B226" s="303"/>
      <c r="C226" s="303"/>
      <c r="D226" s="303"/>
      <c r="E226" s="303"/>
      <c r="F226" s="303"/>
      <c r="G226" s="303"/>
      <c r="H226" s="399"/>
      <c r="I226" s="494"/>
      <c r="J226" s="491"/>
      <c r="K226" s="491"/>
      <c r="L226" s="491"/>
      <c r="M226" s="491"/>
      <c r="N226" s="491"/>
      <c r="O226" s="491"/>
      <c r="P226" s="481">
        <f t="shared" si="4"/>
        <v>0</v>
      </c>
      <c r="Q226" s="491"/>
      <c r="R226" s="491"/>
      <c r="S226" s="491"/>
      <c r="T226" s="491"/>
      <c r="U226" s="491"/>
      <c r="V226" s="493"/>
    </row>
    <row r="227" spans="1:22" x14ac:dyDescent="0.2">
      <c r="A227" s="202"/>
      <c r="B227" s="303"/>
      <c r="C227" s="303"/>
      <c r="D227" s="303"/>
      <c r="E227" s="303"/>
      <c r="F227" s="303"/>
      <c r="G227" s="303"/>
      <c r="H227" s="399"/>
      <c r="I227" s="494"/>
      <c r="J227" s="491"/>
      <c r="K227" s="491"/>
      <c r="L227" s="491"/>
      <c r="M227" s="491"/>
      <c r="N227" s="491"/>
      <c r="O227" s="491"/>
      <c r="P227" s="481">
        <f t="shared" si="4"/>
        <v>0</v>
      </c>
      <c r="Q227" s="491"/>
      <c r="R227" s="491"/>
      <c r="S227" s="491"/>
      <c r="T227" s="491"/>
      <c r="U227" s="491"/>
      <c r="V227" s="493"/>
    </row>
    <row r="228" spans="1:22" x14ac:dyDescent="0.2">
      <c r="A228" s="202"/>
      <c r="B228" s="303"/>
      <c r="C228" s="303"/>
      <c r="D228" s="303"/>
      <c r="E228" s="303"/>
      <c r="F228" s="303"/>
      <c r="G228" s="303"/>
      <c r="H228" s="399"/>
      <c r="I228" s="494"/>
      <c r="J228" s="491"/>
      <c r="K228" s="491"/>
      <c r="L228" s="491"/>
      <c r="M228" s="491"/>
      <c r="N228" s="491"/>
      <c r="O228" s="491"/>
      <c r="P228" s="481">
        <f t="shared" si="4"/>
        <v>0</v>
      </c>
      <c r="Q228" s="491"/>
      <c r="R228" s="491"/>
      <c r="S228" s="491"/>
      <c r="T228" s="491"/>
      <c r="U228" s="491"/>
      <c r="V228" s="493"/>
    </row>
    <row r="229" spans="1:22" x14ac:dyDescent="0.2">
      <c r="A229" s="202"/>
      <c r="B229" s="303"/>
      <c r="C229" s="303"/>
      <c r="D229" s="303"/>
      <c r="E229" s="303"/>
      <c r="F229" s="303"/>
      <c r="G229" s="303"/>
      <c r="H229" s="399"/>
      <c r="I229" s="494"/>
      <c r="J229" s="491"/>
      <c r="K229" s="491"/>
      <c r="L229" s="491"/>
      <c r="M229" s="491"/>
      <c r="N229" s="491"/>
      <c r="O229" s="491"/>
      <c r="P229" s="481">
        <f t="shared" si="4"/>
        <v>0</v>
      </c>
      <c r="Q229" s="491"/>
      <c r="R229" s="491"/>
      <c r="S229" s="491"/>
      <c r="T229" s="491"/>
      <c r="U229" s="491"/>
      <c r="V229" s="493"/>
    </row>
    <row r="230" spans="1:22" x14ac:dyDescent="0.2">
      <c r="A230" s="202"/>
      <c r="B230" s="303"/>
      <c r="C230" s="303"/>
      <c r="D230" s="303"/>
      <c r="E230" s="303"/>
      <c r="F230" s="303"/>
      <c r="G230" s="303"/>
      <c r="H230" s="399"/>
      <c r="I230" s="494"/>
      <c r="J230" s="491"/>
      <c r="K230" s="491"/>
      <c r="L230" s="491"/>
      <c r="M230" s="491"/>
      <c r="N230" s="491"/>
      <c r="O230" s="491"/>
      <c r="P230" s="481">
        <f t="shared" si="4"/>
        <v>0</v>
      </c>
      <c r="Q230" s="491"/>
      <c r="R230" s="491"/>
      <c r="S230" s="491"/>
      <c r="T230" s="491"/>
      <c r="U230" s="491"/>
      <c r="V230" s="493"/>
    </row>
    <row r="231" spans="1:22" x14ac:dyDescent="0.2">
      <c r="A231" s="202"/>
      <c r="B231" s="303"/>
      <c r="C231" s="303"/>
      <c r="D231" s="303"/>
      <c r="E231" s="303"/>
      <c r="F231" s="303"/>
      <c r="G231" s="303"/>
      <c r="H231" s="399"/>
      <c r="I231" s="494"/>
      <c r="J231" s="491"/>
      <c r="K231" s="491"/>
      <c r="L231" s="491"/>
      <c r="M231" s="491"/>
      <c r="N231" s="491"/>
      <c r="O231" s="491"/>
      <c r="P231" s="481">
        <f t="shared" si="4"/>
        <v>0</v>
      </c>
      <c r="Q231" s="491"/>
      <c r="R231" s="491"/>
      <c r="S231" s="491"/>
      <c r="T231" s="491"/>
      <c r="U231" s="491"/>
      <c r="V231" s="493"/>
    </row>
    <row r="232" spans="1:22" x14ac:dyDescent="0.2">
      <c r="A232" s="202"/>
      <c r="B232" s="303"/>
      <c r="C232" s="303"/>
      <c r="D232" s="303"/>
      <c r="E232" s="303"/>
      <c r="F232" s="303"/>
      <c r="G232" s="303"/>
      <c r="H232" s="399"/>
      <c r="I232" s="494"/>
      <c r="J232" s="491"/>
      <c r="K232" s="491"/>
      <c r="L232" s="491"/>
      <c r="M232" s="491"/>
      <c r="N232" s="491"/>
      <c r="O232" s="491"/>
      <c r="P232" s="481">
        <f t="shared" si="4"/>
        <v>0</v>
      </c>
      <c r="Q232" s="491"/>
      <c r="R232" s="491"/>
      <c r="S232" s="491"/>
      <c r="T232" s="491"/>
      <c r="U232" s="491"/>
      <c r="V232" s="493"/>
    </row>
    <row r="233" spans="1:22" x14ac:dyDescent="0.2">
      <c r="A233" s="202"/>
      <c r="B233" s="303"/>
      <c r="C233" s="303"/>
      <c r="D233" s="303"/>
      <c r="E233" s="303"/>
      <c r="F233" s="303"/>
      <c r="G233" s="303"/>
      <c r="H233" s="399"/>
      <c r="I233" s="494"/>
      <c r="J233" s="491"/>
      <c r="K233" s="491"/>
      <c r="L233" s="491"/>
      <c r="M233" s="491"/>
      <c r="N233" s="491"/>
      <c r="O233" s="491"/>
      <c r="P233" s="481">
        <f t="shared" si="4"/>
        <v>0</v>
      </c>
      <c r="Q233" s="491"/>
      <c r="R233" s="491"/>
      <c r="S233" s="491"/>
      <c r="T233" s="491"/>
      <c r="U233" s="491"/>
      <c r="V233" s="493"/>
    </row>
    <row r="234" spans="1:22" x14ac:dyDescent="0.2">
      <c r="A234" s="202"/>
      <c r="B234" s="303"/>
      <c r="C234" s="303"/>
      <c r="D234" s="303"/>
      <c r="E234" s="303"/>
      <c r="F234" s="303"/>
      <c r="G234" s="303"/>
      <c r="H234" s="399"/>
      <c r="I234" s="494"/>
      <c r="J234" s="491"/>
      <c r="K234" s="491"/>
      <c r="L234" s="491"/>
      <c r="M234" s="491"/>
      <c r="N234" s="491"/>
      <c r="O234" s="491"/>
      <c r="P234" s="481">
        <f t="shared" si="4"/>
        <v>0</v>
      </c>
      <c r="Q234" s="491"/>
      <c r="R234" s="491"/>
      <c r="S234" s="491"/>
      <c r="T234" s="491"/>
      <c r="U234" s="491"/>
      <c r="V234" s="493"/>
    </row>
    <row r="235" spans="1:22" x14ac:dyDescent="0.2">
      <c r="A235" s="202"/>
      <c r="B235" s="303"/>
      <c r="C235" s="303"/>
      <c r="D235" s="303"/>
      <c r="E235" s="303"/>
      <c r="F235" s="303"/>
      <c r="G235" s="303"/>
      <c r="H235" s="399"/>
      <c r="I235" s="494"/>
      <c r="J235" s="491"/>
      <c r="K235" s="491"/>
      <c r="L235" s="491"/>
      <c r="M235" s="491"/>
      <c r="N235" s="491"/>
      <c r="O235" s="491"/>
      <c r="P235" s="481">
        <f t="shared" si="4"/>
        <v>0</v>
      </c>
      <c r="Q235" s="491"/>
      <c r="R235" s="491"/>
      <c r="S235" s="491"/>
      <c r="T235" s="491"/>
      <c r="U235" s="491"/>
      <c r="V235" s="493"/>
    </row>
    <row r="236" spans="1:22" x14ac:dyDescent="0.2">
      <c r="A236" s="202"/>
      <c r="B236" s="303"/>
      <c r="C236" s="303"/>
      <c r="D236" s="303"/>
      <c r="E236" s="303"/>
      <c r="F236" s="303"/>
      <c r="G236" s="303"/>
      <c r="H236" s="399"/>
      <c r="I236" s="494"/>
      <c r="J236" s="491"/>
      <c r="K236" s="491"/>
      <c r="L236" s="491"/>
      <c r="M236" s="491"/>
      <c r="N236" s="491"/>
      <c r="O236" s="491"/>
      <c r="P236" s="481">
        <f t="shared" si="4"/>
        <v>0</v>
      </c>
      <c r="Q236" s="491"/>
      <c r="R236" s="491"/>
      <c r="S236" s="491"/>
      <c r="T236" s="491"/>
      <c r="U236" s="491"/>
      <c r="V236" s="493"/>
    </row>
    <row r="237" spans="1:22" x14ac:dyDescent="0.2">
      <c r="A237" s="202"/>
      <c r="B237" s="303"/>
      <c r="C237" s="303"/>
      <c r="D237" s="303"/>
      <c r="E237" s="303"/>
      <c r="F237" s="303"/>
      <c r="G237" s="303"/>
      <c r="H237" s="399"/>
      <c r="I237" s="494"/>
      <c r="J237" s="491"/>
      <c r="K237" s="491"/>
      <c r="L237" s="491"/>
      <c r="M237" s="491"/>
      <c r="N237" s="491"/>
      <c r="O237" s="491"/>
      <c r="P237" s="481">
        <f t="shared" si="4"/>
        <v>0</v>
      </c>
      <c r="Q237" s="491"/>
      <c r="R237" s="491"/>
      <c r="S237" s="491"/>
      <c r="T237" s="491"/>
      <c r="U237" s="491"/>
      <c r="V237" s="493"/>
    </row>
    <row r="238" spans="1:22" x14ac:dyDescent="0.2">
      <c r="A238" s="202"/>
      <c r="B238" s="303"/>
      <c r="C238" s="303"/>
      <c r="D238" s="303"/>
      <c r="E238" s="303"/>
      <c r="F238" s="303"/>
      <c r="G238" s="303"/>
      <c r="H238" s="399"/>
      <c r="I238" s="494"/>
      <c r="J238" s="491"/>
      <c r="K238" s="491"/>
      <c r="L238" s="491"/>
      <c r="M238" s="491"/>
      <c r="N238" s="491"/>
      <c r="O238" s="491"/>
      <c r="P238" s="481">
        <f t="shared" si="4"/>
        <v>0</v>
      </c>
      <c r="Q238" s="491"/>
      <c r="R238" s="491"/>
      <c r="S238" s="491"/>
      <c r="T238" s="491"/>
      <c r="U238" s="491"/>
      <c r="V238" s="493"/>
    </row>
    <row r="239" spans="1:22" x14ac:dyDescent="0.2">
      <c r="A239" s="202"/>
      <c r="B239" s="303"/>
      <c r="C239" s="303"/>
      <c r="D239" s="303"/>
      <c r="E239" s="303"/>
      <c r="F239" s="303"/>
      <c r="G239" s="303"/>
      <c r="H239" s="399"/>
      <c r="I239" s="494"/>
      <c r="J239" s="491"/>
      <c r="K239" s="491"/>
      <c r="L239" s="491"/>
      <c r="M239" s="491"/>
      <c r="N239" s="491"/>
      <c r="O239" s="491"/>
      <c r="P239" s="481">
        <f t="shared" si="4"/>
        <v>0</v>
      </c>
      <c r="Q239" s="491"/>
      <c r="R239" s="491"/>
      <c r="S239" s="491"/>
      <c r="T239" s="491"/>
      <c r="U239" s="491"/>
      <c r="V239" s="493"/>
    </row>
    <row r="240" spans="1:22" x14ac:dyDescent="0.2">
      <c r="A240" s="202"/>
      <c r="B240" s="303"/>
      <c r="C240" s="303"/>
      <c r="D240" s="303"/>
      <c r="E240" s="303"/>
      <c r="F240" s="303"/>
      <c r="G240" s="303"/>
      <c r="H240" s="399"/>
      <c r="I240" s="494"/>
      <c r="J240" s="491"/>
      <c r="K240" s="491"/>
      <c r="L240" s="491"/>
      <c r="M240" s="491"/>
      <c r="N240" s="491"/>
      <c r="O240" s="491"/>
      <c r="P240" s="481">
        <f t="shared" si="4"/>
        <v>0</v>
      </c>
      <c r="Q240" s="491"/>
      <c r="R240" s="491"/>
      <c r="S240" s="491"/>
      <c r="T240" s="491"/>
      <c r="U240" s="491"/>
      <c r="V240" s="493"/>
    </row>
    <row r="241" spans="1:22" x14ac:dyDescent="0.2">
      <c r="A241" s="202"/>
      <c r="B241" s="303"/>
      <c r="C241" s="303"/>
      <c r="D241" s="303"/>
      <c r="E241" s="303"/>
      <c r="F241" s="303"/>
      <c r="G241" s="303"/>
      <c r="H241" s="399"/>
      <c r="I241" s="494"/>
      <c r="J241" s="491"/>
      <c r="K241" s="491"/>
      <c r="L241" s="491"/>
      <c r="M241" s="491"/>
      <c r="N241" s="491"/>
      <c r="O241" s="491"/>
      <c r="P241" s="481">
        <f t="shared" si="4"/>
        <v>0</v>
      </c>
      <c r="Q241" s="491"/>
      <c r="R241" s="491"/>
      <c r="S241" s="491"/>
      <c r="T241" s="491"/>
      <c r="U241" s="491"/>
      <c r="V241" s="493"/>
    </row>
    <row r="242" spans="1:22" x14ac:dyDescent="0.2">
      <c r="A242" s="202"/>
      <c r="B242" s="303"/>
      <c r="C242" s="303"/>
      <c r="D242" s="303"/>
      <c r="E242" s="303"/>
      <c r="F242" s="303"/>
      <c r="G242" s="303"/>
      <c r="H242" s="399"/>
      <c r="I242" s="494"/>
      <c r="J242" s="491"/>
      <c r="K242" s="491"/>
      <c r="L242" s="491"/>
      <c r="M242" s="491"/>
      <c r="N242" s="491"/>
      <c r="O242" s="491"/>
      <c r="P242" s="481">
        <f t="shared" si="4"/>
        <v>0</v>
      </c>
      <c r="Q242" s="491"/>
      <c r="R242" s="491"/>
      <c r="S242" s="491"/>
      <c r="T242" s="491"/>
      <c r="U242" s="491"/>
      <c r="V242" s="493"/>
    </row>
    <row r="243" spans="1:22" x14ac:dyDescent="0.2">
      <c r="A243" s="202"/>
      <c r="B243" s="303"/>
      <c r="C243" s="303"/>
      <c r="D243" s="303"/>
      <c r="E243" s="303"/>
      <c r="F243" s="303"/>
      <c r="G243" s="303"/>
      <c r="H243" s="399"/>
      <c r="I243" s="494"/>
      <c r="J243" s="491"/>
      <c r="K243" s="491"/>
      <c r="L243" s="491"/>
      <c r="M243" s="491"/>
      <c r="N243" s="491"/>
      <c r="O243" s="491"/>
      <c r="P243" s="481">
        <f t="shared" si="4"/>
        <v>0</v>
      </c>
      <c r="Q243" s="491"/>
      <c r="R243" s="491"/>
      <c r="S243" s="491"/>
      <c r="T243" s="491"/>
      <c r="U243" s="491"/>
      <c r="V243" s="493"/>
    </row>
    <row r="244" spans="1:22" x14ac:dyDescent="0.2">
      <c r="A244" s="202"/>
      <c r="B244" s="303"/>
      <c r="C244" s="303"/>
      <c r="D244" s="303"/>
      <c r="E244" s="303"/>
      <c r="F244" s="303"/>
      <c r="G244" s="303"/>
      <c r="H244" s="399"/>
      <c r="I244" s="494"/>
      <c r="J244" s="491"/>
      <c r="K244" s="491"/>
      <c r="L244" s="491"/>
      <c r="M244" s="491"/>
      <c r="N244" s="491"/>
      <c r="O244" s="491"/>
      <c r="P244" s="481">
        <f t="shared" si="4"/>
        <v>0</v>
      </c>
      <c r="Q244" s="491"/>
      <c r="R244" s="491"/>
      <c r="S244" s="491"/>
      <c r="T244" s="491"/>
      <c r="U244" s="491"/>
      <c r="V244" s="493"/>
    </row>
    <row r="245" spans="1:22" x14ac:dyDescent="0.2">
      <c r="A245" s="202"/>
      <c r="B245" s="303"/>
      <c r="C245" s="303"/>
      <c r="D245" s="303"/>
      <c r="E245" s="303"/>
      <c r="F245" s="303"/>
      <c r="G245" s="303"/>
      <c r="H245" s="399"/>
      <c r="I245" s="494"/>
      <c r="J245" s="491"/>
      <c r="K245" s="491"/>
      <c r="L245" s="491"/>
      <c r="M245" s="491"/>
      <c r="N245" s="491"/>
      <c r="O245" s="491"/>
      <c r="P245" s="481">
        <f t="shared" si="4"/>
        <v>0</v>
      </c>
      <c r="Q245" s="491"/>
      <c r="R245" s="491"/>
      <c r="S245" s="491"/>
      <c r="T245" s="491"/>
      <c r="U245" s="491"/>
      <c r="V245" s="493"/>
    </row>
    <row r="246" spans="1:22" x14ac:dyDescent="0.2">
      <c r="A246" s="202"/>
      <c r="B246" s="303"/>
      <c r="C246" s="303"/>
      <c r="D246" s="303"/>
      <c r="E246" s="303"/>
      <c r="F246" s="303"/>
      <c r="G246" s="303"/>
      <c r="H246" s="399"/>
      <c r="I246" s="494"/>
      <c r="J246" s="491"/>
      <c r="K246" s="491"/>
      <c r="L246" s="491"/>
      <c r="M246" s="491"/>
      <c r="N246" s="491"/>
      <c r="O246" s="491"/>
      <c r="P246" s="481">
        <f t="shared" si="4"/>
        <v>0</v>
      </c>
      <c r="Q246" s="491"/>
      <c r="R246" s="491"/>
      <c r="S246" s="491"/>
      <c r="T246" s="491"/>
      <c r="U246" s="491"/>
      <c r="V246" s="493"/>
    </row>
    <row r="247" spans="1:22" x14ac:dyDescent="0.2">
      <c r="A247" s="202"/>
      <c r="B247" s="303"/>
      <c r="C247" s="303"/>
      <c r="D247" s="303"/>
      <c r="E247" s="303"/>
      <c r="F247" s="303"/>
      <c r="G247" s="303"/>
      <c r="H247" s="399"/>
      <c r="I247" s="494"/>
      <c r="J247" s="491"/>
      <c r="K247" s="491"/>
      <c r="L247" s="491"/>
      <c r="M247" s="491"/>
      <c r="N247" s="491"/>
      <c r="O247" s="491"/>
      <c r="P247" s="481">
        <f t="shared" si="4"/>
        <v>0</v>
      </c>
      <c r="Q247" s="491"/>
      <c r="R247" s="491"/>
      <c r="S247" s="491"/>
      <c r="T247" s="491"/>
      <c r="U247" s="491"/>
      <c r="V247" s="493"/>
    </row>
    <row r="248" spans="1:22" x14ac:dyDescent="0.2">
      <c r="A248" s="202"/>
      <c r="B248" s="303"/>
      <c r="C248" s="303"/>
      <c r="D248" s="303"/>
      <c r="E248" s="303"/>
      <c r="F248" s="303"/>
      <c r="G248" s="303"/>
      <c r="H248" s="399"/>
      <c r="I248" s="494"/>
      <c r="J248" s="491"/>
      <c r="K248" s="491"/>
      <c r="L248" s="491"/>
      <c r="M248" s="491"/>
      <c r="N248" s="491"/>
      <c r="O248" s="491"/>
      <c r="P248" s="481">
        <f t="shared" si="4"/>
        <v>0</v>
      </c>
      <c r="Q248" s="491"/>
      <c r="R248" s="491"/>
      <c r="S248" s="491"/>
      <c r="T248" s="491"/>
      <c r="U248" s="491"/>
      <c r="V248" s="493"/>
    </row>
    <row r="249" spans="1:22" x14ac:dyDescent="0.2">
      <c r="A249" s="202"/>
      <c r="B249" s="303"/>
      <c r="C249" s="303"/>
      <c r="D249" s="303"/>
      <c r="E249" s="303"/>
      <c r="F249" s="303"/>
      <c r="G249" s="303"/>
      <c r="H249" s="399"/>
      <c r="I249" s="494"/>
      <c r="J249" s="491"/>
      <c r="K249" s="491"/>
      <c r="L249" s="491"/>
      <c r="M249" s="491"/>
      <c r="N249" s="491"/>
      <c r="O249" s="491"/>
      <c r="P249" s="481">
        <f t="shared" si="4"/>
        <v>0</v>
      </c>
      <c r="Q249" s="491"/>
      <c r="R249" s="491"/>
      <c r="S249" s="491"/>
      <c r="T249" s="491"/>
      <c r="U249" s="491"/>
      <c r="V249" s="493"/>
    </row>
    <row r="250" spans="1:22" x14ac:dyDescent="0.2">
      <c r="A250" s="202"/>
      <c r="B250" s="303"/>
      <c r="C250" s="303"/>
      <c r="D250" s="303"/>
      <c r="E250" s="303"/>
      <c r="F250" s="303"/>
      <c r="G250" s="303"/>
      <c r="H250" s="399"/>
      <c r="I250" s="494"/>
      <c r="J250" s="491"/>
      <c r="K250" s="491"/>
      <c r="L250" s="491"/>
      <c r="M250" s="491"/>
      <c r="N250" s="491"/>
      <c r="O250" s="491"/>
      <c r="P250" s="481">
        <f t="shared" si="4"/>
        <v>0</v>
      </c>
      <c r="Q250" s="491"/>
      <c r="R250" s="491"/>
      <c r="S250" s="491"/>
      <c r="T250" s="491"/>
      <c r="U250" s="491"/>
      <c r="V250" s="493"/>
    </row>
    <row r="251" spans="1:22" x14ac:dyDescent="0.2">
      <c r="A251" s="202"/>
      <c r="B251" s="303"/>
      <c r="C251" s="303"/>
      <c r="D251" s="303"/>
      <c r="E251" s="303"/>
      <c r="F251" s="303"/>
      <c r="G251" s="303"/>
      <c r="H251" s="399"/>
      <c r="I251" s="494"/>
      <c r="J251" s="491"/>
      <c r="K251" s="491"/>
      <c r="L251" s="491"/>
      <c r="M251" s="491"/>
      <c r="N251" s="491"/>
      <c r="O251" s="491"/>
      <c r="P251" s="481">
        <f t="shared" si="4"/>
        <v>0</v>
      </c>
      <c r="Q251" s="491"/>
      <c r="R251" s="491"/>
      <c r="S251" s="491"/>
      <c r="T251" s="491"/>
      <c r="U251" s="491"/>
      <c r="V251" s="493"/>
    </row>
    <row r="252" spans="1:22" x14ac:dyDescent="0.2">
      <c r="A252" s="202"/>
      <c r="B252" s="303"/>
      <c r="C252" s="303"/>
      <c r="D252" s="303"/>
      <c r="E252" s="303"/>
      <c r="F252" s="303"/>
      <c r="G252" s="303"/>
      <c r="H252" s="399"/>
      <c r="I252" s="494"/>
      <c r="J252" s="491"/>
      <c r="K252" s="491"/>
      <c r="L252" s="491"/>
      <c r="M252" s="491"/>
      <c r="N252" s="491"/>
      <c r="O252" s="491"/>
      <c r="P252" s="481">
        <f t="shared" si="4"/>
        <v>0</v>
      </c>
      <c r="Q252" s="491"/>
      <c r="R252" s="491"/>
      <c r="S252" s="491"/>
      <c r="T252" s="491"/>
      <c r="U252" s="491"/>
      <c r="V252" s="493"/>
    </row>
    <row r="253" spans="1:22" x14ac:dyDescent="0.2">
      <c r="A253" s="202"/>
      <c r="B253" s="303"/>
      <c r="C253" s="303"/>
      <c r="D253" s="303"/>
      <c r="E253" s="303"/>
      <c r="F253" s="303"/>
      <c r="G253" s="303"/>
      <c r="H253" s="399"/>
      <c r="I253" s="494"/>
      <c r="J253" s="491"/>
      <c r="K253" s="491"/>
      <c r="L253" s="491"/>
      <c r="M253" s="491"/>
      <c r="N253" s="491"/>
      <c r="O253" s="491"/>
      <c r="P253" s="481">
        <f t="shared" si="4"/>
        <v>0</v>
      </c>
      <c r="Q253" s="491"/>
      <c r="R253" s="491"/>
      <c r="S253" s="491"/>
      <c r="T253" s="491"/>
      <c r="U253" s="491"/>
      <c r="V253" s="493"/>
    </row>
    <row r="254" spans="1:22" x14ac:dyDescent="0.2">
      <c r="A254" s="202"/>
      <c r="B254" s="303"/>
      <c r="C254" s="303"/>
      <c r="D254" s="303"/>
      <c r="E254" s="303"/>
      <c r="F254" s="303"/>
      <c r="G254" s="303"/>
      <c r="H254" s="399"/>
      <c r="I254" s="494"/>
      <c r="J254" s="491"/>
      <c r="K254" s="491"/>
      <c r="L254" s="491"/>
      <c r="M254" s="491"/>
      <c r="N254" s="491"/>
      <c r="O254" s="491"/>
      <c r="P254" s="481">
        <f t="shared" si="4"/>
        <v>0</v>
      </c>
      <c r="Q254" s="491"/>
      <c r="R254" s="491"/>
      <c r="S254" s="491"/>
      <c r="T254" s="491"/>
      <c r="U254" s="491"/>
      <c r="V254" s="493"/>
    </row>
    <row r="255" spans="1:22" x14ac:dyDescent="0.2">
      <c r="A255" s="202"/>
      <c r="B255" s="303"/>
      <c r="C255" s="303"/>
      <c r="D255" s="303"/>
      <c r="E255" s="303"/>
      <c r="F255" s="303"/>
      <c r="G255" s="303"/>
      <c r="H255" s="399"/>
      <c r="I255" s="494"/>
      <c r="J255" s="491"/>
      <c r="K255" s="491"/>
      <c r="L255" s="491"/>
      <c r="M255" s="491"/>
      <c r="N255" s="491"/>
      <c r="O255" s="491"/>
      <c r="P255" s="481">
        <f t="shared" si="4"/>
        <v>0</v>
      </c>
      <c r="Q255" s="491"/>
      <c r="R255" s="491"/>
      <c r="S255" s="491"/>
      <c r="T255" s="491"/>
      <c r="U255" s="491"/>
      <c r="V255" s="493"/>
    </row>
    <row r="256" spans="1:22" x14ac:dyDescent="0.2">
      <c r="A256" s="202"/>
      <c r="B256" s="303"/>
      <c r="C256" s="303"/>
      <c r="D256" s="303"/>
      <c r="E256" s="303"/>
      <c r="F256" s="303"/>
      <c r="G256" s="303"/>
      <c r="H256" s="399"/>
      <c r="I256" s="494"/>
      <c r="J256" s="491"/>
      <c r="K256" s="491"/>
      <c r="L256" s="491"/>
      <c r="M256" s="491"/>
      <c r="N256" s="491"/>
      <c r="O256" s="491"/>
      <c r="P256" s="481">
        <f t="shared" si="4"/>
        <v>0</v>
      </c>
      <c r="Q256" s="491"/>
      <c r="R256" s="491"/>
      <c r="S256" s="491"/>
      <c r="T256" s="491"/>
      <c r="U256" s="491"/>
      <c r="V256" s="493"/>
    </row>
    <row r="257" spans="1:22" x14ac:dyDescent="0.2">
      <c r="A257" s="202"/>
      <c r="B257" s="303"/>
      <c r="C257" s="303"/>
      <c r="D257" s="303"/>
      <c r="E257" s="303"/>
      <c r="F257" s="303"/>
      <c r="G257" s="303"/>
      <c r="H257" s="399"/>
      <c r="I257" s="494"/>
      <c r="J257" s="491"/>
      <c r="K257" s="491"/>
      <c r="L257" s="491"/>
      <c r="M257" s="491"/>
      <c r="N257" s="491"/>
      <c r="O257" s="491"/>
      <c r="P257" s="481">
        <f t="shared" si="4"/>
        <v>0</v>
      </c>
      <c r="Q257" s="491"/>
      <c r="R257" s="491"/>
      <c r="S257" s="491"/>
      <c r="T257" s="491"/>
      <c r="U257" s="491"/>
      <c r="V257" s="493"/>
    </row>
    <row r="258" spans="1:22" x14ac:dyDescent="0.2">
      <c r="A258" s="202"/>
      <c r="B258" s="303"/>
      <c r="C258" s="303"/>
      <c r="D258" s="303"/>
      <c r="E258" s="303"/>
      <c r="F258" s="303"/>
      <c r="G258" s="303"/>
      <c r="H258" s="399"/>
      <c r="I258" s="494"/>
      <c r="J258" s="491"/>
      <c r="K258" s="491"/>
      <c r="L258" s="491"/>
      <c r="M258" s="491"/>
      <c r="N258" s="491"/>
      <c r="O258" s="491"/>
      <c r="P258" s="481">
        <f t="shared" si="4"/>
        <v>0</v>
      </c>
      <c r="Q258" s="491"/>
      <c r="R258" s="491"/>
      <c r="S258" s="491"/>
      <c r="T258" s="491"/>
      <c r="U258" s="491"/>
      <c r="V258" s="493"/>
    </row>
    <row r="259" spans="1:22" x14ac:dyDescent="0.2">
      <c r="A259" s="202"/>
      <c r="B259" s="303"/>
      <c r="C259" s="303"/>
      <c r="D259" s="303"/>
      <c r="E259" s="303"/>
      <c r="F259" s="303"/>
      <c r="G259" s="303"/>
      <c r="H259" s="399"/>
      <c r="I259" s="494"/>
      <c r="J259" s="491"/>
      <c r="K259" s="491"/>
      <c r="L259" s="491"/>
      <c r="M259" s="491"/>
      <c r="N259" s="491"/>
      <c r="O259" s="491"/>
      <c r="P259" s="481">
        <f t="shared" si="4"/>
        <v>0</v>
      </c>
      <c r="Q259" s="491"/>
      <c r="R259" s="491"/>
      <c r="S259" s="491"/>
      <c r="T259" s="491"/>
      <c r="U259" s="491"/>
      <c r="V259" s="493"/>
    </row>
    <row r="260" spans="1:22" x14ac:dyDescent="0.2">
      <c r="A260" s="202"/>
      <c r="B260" s="303"/>
      <c r="C260" s="303"/>
      <c r="D260" s="303"/>
      <c r="E260" s="303"/>
      <c r="F260" s="303"/>
      <c r="G260" s="303"/>
      <c r="H260" s="399"/>
      <c r="I260" s="494"/>
      <c r="J260" s="491"/>
      <c r="K260" s="491"/>
      <c r="L260" s="491"/>
      <c r="M260" s="491"/>
      <c r="N260" s="491"/>
      <c r="O260" s="491"/>
      <c r="P260" s="481">
        <f t="shared" si="4"/>
        <v>0</v>
      </c>
      <c r="Q260" s="491"/>
      <c r="R260" s="491"/>
      <c r="S260" s="491"/>
      <c r="T260" s="491"/>
      <c r="U260" s="491"/>
      <c r="V260" s="493"/>
    </row>
    <row r="261" spans="1:22" x14ac:dyDescent="0.2">
      <c r="A261" s="202"/>
      <c r="B261" s="303"/>
      <c r="C261" s="303"/>
      <c r="D261" s="303"/>
      <c r="E261" s="303"/>
      <c r="F261" s="303"/>
      <c r="G261" s="303"/>
      <c r="H261" s="399"/>
      <c r="I261" s="494"/>
      <c r="J261" s="491"/>
      <c r="K261" s="491"/>
      <c r="L261" s="491"/>
      <c r="M261" s="491"/>
      <c r="N261" s="491"/>
      <c r="O261" s="491"/>
      <c r="P261" s="481">
        <f t="shared" si="4"/>
        <v>0</v>
      </c>
      <c r="Q261" s="491"/>
      <c r="R261" s="491"/>
      <c r="S261" s="491"/>
      <c r="T261" s="491"/>
      <c r="U261" s="491"/>
      <c r="V261" s="493"/>
    </row>
    <row r="262" spans="1:22" x14ac:dyDescent="0.2">
      <c r="A262" s="202"/>
      <c r="B262" s="303"/>
      <c r="C262" s="303"/>
      <c r="D262" s="303"/>
      <c r="E262" s="303"/>
      <c r="F262" s="303"/>
      <c r="G262" s="303"/>
      <c r="H262" s="399"/>
      <c r="I262" s="494"/>
      <c r="J262" s="491"/>
      <c r="K262" s="491"/>
      <c r="L262" s="491"/>
      <c r="M262" s="491"/>
      <c r="N262" s="491"/>
      <c r="O262" s="491"/>
      <c r="P262" s="481">
        <f t="shared" ref="P262:P300" si="5">I262</f>
        <v>0</v>
      </c>
      <c r="Q262" s="491"/>
      <c r="R262" s="491"/>
      <c r="S262" s="491"/>
      <c r="T262" s="491"/>
      <c r="U262" s="491"/>
      <c r="V262" s="493"/>
    </row>
    <row r="263" spans="1:22" x14ac:dyDescent="0.2">
      <c r="A263" s="202"/>
      <c r="B263" s="303"/>
      <c r="C263" s="303"/>
      <c r="D263" s="303"/>
      <c r="E263" s="303"/>
      <c r="F263" s="303"/>
      <c r="G263" s="303"/>
      <c r="H263" s="399"/>
      <c r="I263" s="494"/>
      <c r="J263" s="491"/>
      <c r="K263" s="491"/>
      <c r="L263" s="491"/>
      <c r="M263" s="491"/>
      <c r="N263" s="491"/>
      <c r="O263" s="491"/>
      <c r="P263" s="481">
        <f t="shared" si="5"/>
        <v>0</v>
      </c>
      <c r="Q263" s="491"/>
      <c r="R263" s="491"/>
      <c r="S263" s="491"/>
      <c r="T263" s="491"/>
      <c r="U263" s="491"/>
      <c r="V263" s="493"/>
    </row>
    <row r="264" spans="1:22" x14ac:dyDescent="0.2">
      <c r="A264" s="202"/>
      <c r="B264" s="303"/>
      <c r="C264" s="303"/>
      <c r="D264" s="303"/>
      <c r="E264" s="303"/>
      <c r="F264" s="303"/>
      <c r="G264" s="303"/>
      <c r="H264" s="399"/>
      <c r="I264" s="494"/>
      <c r="J264" s="491"/>
      <c r="K264" s="491"/>
      <c r="L264" s="491"/>
      <c r="M264" s="491"/>
      <c r="N264" s="491"/>
      <c r="O264" s="491"/>
      <c r="P264" s="481">
        <f t="shared" si="5"/>
        <v>0</v>
      </c>
      <c r="Q264" s="491"/>
      <c r="R264" s="491"/>
      <c r="S264" s="491"/>
      <c r="T264" s="491"/>
      <c r="U264" s="491"/>
      <c r="V264" s="493"/>
    </row>
    <row r="265" spans="1:22" x14ac:dyDescent="0.2">
      <c r="A265" s="202"/>
      <c r="B265" s="303"/>
      <c r="C265" s="303"/>
      <c r="D265" s="303"/>
      <c r="E265" s="303"/>
      <c r="F265" s="303"/>
      <c r="G265" s="303"/>
      <c r="H265" s="399"/>
      <c r="I265" s="494"/>
      <c r="J265" s="491"/>
      <c r="K265" s="491"/>
      <c r="L265" s="491"/>
      <c r="M265" s="491"/>
      <c r="N265" s="491"/>
      <c r="O265" s="491"/>
      <c r="P265" s="481">
        <f t="shared" si="5"/>
        <v>0</v>
      </c>
      <c r="Q265" s="491"/>
      <c r="R265" s="491"/>
      <c r="S265" s="491"/>
      <c r="T265" s="491"/>
      <c r="U265" s="491"/>
      <c r="V265" s="493"/>
    </row>
    <row r="266" spans="1:22" x14ac:dyDescent="0.2">
      <c r="A266" s="202"/>
      <c r="B266" s="303"/>
      <c r="C266" s="303"/>
      <c r="D266" s="303"/>
      <c r="E266" s="303"/>
      <c r="F266" s="303"/>
      <c r="G266" s="303"/>
      <c r="H266" s="399"/>
      <c r="I266" s="494"/>
      <c r="J266" s="491"/>
      <c r="K266" s="491"/>
      <c r="L266" s="491"/>
      <c r="M266" s="491"/>
      <c r="N266" s="491"/>
      <c r="O266" s="491"/>
      <c r="P266" s="481">
        <f t="shared" si="5"/>
        <v>0</v>
      </c>
      <c r="Q266" s="491"/>
      <c r="R266" s="491"/>
      <c r="S266" s="491"/>
      <c r="T266" s="491"/>
      <c r="U266" s="491"/>
      <c r="V266" s="493"/>
    </row>
    <row r="267" spans="1:22" x14ac:dyDescent="0.2">
      <c r="A267" s="202"/>
      <c r="B267" s="303"/>
      <c r="C267" s="303"/>
      <c r="D267" s="303"/>
      <c r="E267" s="303"/>
      <c r="F267" s="303"/>
      <c r="G267" s="303"/>
      <c r="H267" s="399"/>
      <c r="I267" s="494"/>
      <c r="J267" s="491"/>
      <c r="K267" s="491"/>
      <c r="L267" s="491"/>
      <c r="M267" s="491"/>
      <c r="N267" s="491"/>
      <c r="O267" s="491"/>
      <c r="P267" s="481">
        <f t="shared" si="5"/>
        <v>0</v>
      </c>
      <c r="Q267" s="491"/>
      <c r="R267" s="491"/>
      <c r="S267" s="491"/>
      <c r="T267" s="491"/>
      <c r="U267" s="491"/>
      <c r="V267" s="493"/>
    </row>
    <row r="268" spans="1:22" x14ac:dyDescent="0.2">
      <c r="A268" s="202"/>
      <c r="B268" s="303"/>
      <c r="C268" s="303"/>
      <c r="D268" s="303"/>
      <c r="E268" s="303"/>
      <c r="F268" s="303"/>
      <c r="G268" s="303"/>
      <c r="H268" s="399"/>
      <c r="I268" s="494"/>
      <c r="J268" s="491"/>
      <c r="K268" s="491"/>
      <c r="L268" s="491"/>
      <c r="M268" s="491"/>
      <c r="N268" s="491"/>
      <c r="O268" s="491"/>
      <c r="P268" s="481">
        <f t="shared" si="5"/>
        <v>0</v>
      </c>
      <c r="Q268" s="491"/>
      <c r="R268" s="491"/>
      <c r="S268" s="491"/>
      <c r="T268" s="491"/>
      <c r="U268" s="491"/>
      <c r="V268" s="493"/>
    </row>
    <row r="269" spans="1:22" x14ac:dyDescent="0.2">
      <c r="A269" s="202"/>
      <c r="B269" s="303"/>
      <c r="C269" s="303"/>
      <c r="D269" s="303"/>
      <c r="E269" s="303"/>
      <c r="F269" s="303"/>
      <c r="G269" s="303"/>
      <c r="H269" s="399"/>
      <c r="I269" s="494"/>
      <c r="J269" s="491"/>
      <c r="K269" s="491"/>
      <c r="L269" s="491"/>
      <c r="M269" s="491"/>
      <c r="N269" s="491"/>
      <c r="O269" s="491"/>
      <c r="P269" s="481">
        <f t="shared" si="5"/>
        <v>0</v>
      </c>
      <c r="Q269" s="491"/>
      <c r="R269" s="491"/>
      <c r="S269" s="491"/>
      <c r="T269" s="491"/>
      <c r="U269" s="491"/>
      <c r="V269" s="493"/>
    </row>
    <row r="270" spans="1:22" x14ac:dyDescent="0.2">
      <c r="A270" s="202"/>
      <c r="B270" s="303"/>
      <c r="C270" s="303"/>
      <c r="D270" s="303"/>
      <c r="E270" s="303"/>
      <c r="F270" s="303"/>
      <c r="G270" s="303"/>
      <c r="H270" s="399"/>
      <c r="I270" s="494"/>
      <c r="J270" s="491"/>
      <c r="K270" s="491"/>
      <c r="L270" s="491"/>
      <c r="M270" s="491"/>
      <c r="N270" s="491"/>
      <c r="O270" s="491"/>
      <c r="P270" s="481">
        <f t="shared" si="5"/>
        <v>0</v>
      </c>
      <c r="Q270" s="491"/>
      <c r="R270" s="491"/>
      <c r="S270" s="491"/>
      <c r="T270" s="491"/>
      <c r="U270" s="491"/>
      <c r="V270" s="493"/>
    </row>
    <row r="271" spans="1:22" x14ac:dyDescent="0.2">
      <c r="A271" s="202"/>
      <c r="B271" s="303"/>
      <c r="C271" s="303"/>
      <c r="D271" s="303"/>
      <c r="E271" s="303"/>
      <c r="F271" s="303"/>
      <c r="G271" s="303"/>
      <c r="H271" s="399"/>
      <c r="I271" s="494"/>
      <c r="J271" s="491"/>
      <c r="K271" s="491"/>
      <c r="L271" s="491"/>
      <c r="M271" s="491"/>
      <c r="N271" s="491"/>
      <c r="O271" s="491"/>
      <c r="P271" s="481">
        <f t="shared" si="5"/>
        <v>0</v>
      </c>
      <c r="Q271" s="491"/>
      <c r="R271" s="491"/>
      <c r="S271" s="491"/>
      <c r="T271" s="491"/>
      <c r="U271" s="491"/>
      <c r="V271" s="493"/>
    </row>
    <row r="272" spans="1:22" x14ac:dyDescent="0.2">
      <c r="A272" s="202"/>
      <c r="B272" s="303"/>
      <c r="C272" s="303"/>
      <c r="D272" s="303"/>
      <c r="E272" s="303"/>
      <c r="F272" s="303"/>
      <c r="G272" s="303"/>
      <c r="H272" s="399"/>
      <c r="I272" s="494"/>
      <c r="J272" s="491"/>
      <c r="K272" s="491"/>
      <c r="L272" s="491"/>
      <c r="M272" s="491"/>
      <c r="N272" s="491"/>
      <c r="O272" s="491"/>
      <c r="P272" s="481">
        <f t="shared" si="5"/>
        <v>0</v>
      </c>
      <c r="Q272" s="491"/>
      <c r="R272" s="491"/>
      <c r="S272" s="491"/>
      <c r="T272" s="491"/>
      <c r="U272" s="491"/>
      <c r="V272" s="493"/>
    </row>
    <row r="273" spans="1:22" x14ac:dyDescent="0.2">
      <c r="A273" s="202"/>
      <c r="B273" s="303"/>
      <c r="C273" s="303"/>
      <c r="D273" s="303"/>
      <c r="E273" s="303"/>
      <c r="F273" s="303"/>
      <c r="G273" s="303"/>
      <c r="H273" s="399"/>
      <c r="I273" s="494"/>
      <c r="J273" s="491"/>
      <c r="K273" s="491"/>
      <c r="L273" s="491"/>
      <c r="M273" s="491"/>
      <c r="N273" s="491"/>
      <c r="O273" s="491"/>
      <c r="P273" s="481">
        <f t="shared" si="5"/>
        <v>0</v>
      </c>
      <c r="Q273" s="491"/>
      <c r="R273" s="491"/>
      <c r="S273" s="491"/>
      <c r="T273" s="491"/>
      <c r="U273" s="491"/>
      <c r="V273" s="493"/>
    </row>
    <row r="274" spans="1:22" x14ac:dyDescent="0.2">
      <c r="A274" s="202"/>
      <c r="B274" s="303"/>
      <c r="C274" s="303"/>
      <c r="D274" s="303"/>
      <c r="E274" s="303"/>
      <c r="F274" s="303"/>
      <c r="G274" s="303"/>
      <c r="H274" s="399"/>
      <c r="I274" s="494"/>
      <c r="J274" s="491"/>
      <c r="K274" s="491"/>
      <c r="L274" s="491"/>
      <c r="M274" s="491"/>
      <c r="N274" s="491"/>
      <c r="O274" s="491"/>
      <c r="P274" s="481">
        <f t="shared" si="5"/>
        <v>0</v>
      </c>
      <c r="Q274" s="491"/>
      <c r="R274" s="491"/>
      <c r="S274" s="491"/>
      <c r="T274" s="491"/>
      <c r="U274" s="491"/>
      <c r="V274" s="493"/>
    </row>
    <row r="275" spans="1:22" x14ac:dyDescent="0.2">
      <c r="A275" s="202"/>
      <c r="B275" s="303"/>
      <c r="C275" s="303"/>
      <c r="D275" s="303"/>
      <c r="E275" s="303"/>
      <c r="F275" s="303"/>
      <c r="G275" s="303"/>
      <c r="H275" s="399"/>
      <c r="I275" s="494"/>
      <c r="J275" s="491"/>
      <c r="K275" s="491"/>
      <c r="L275" s="491"/>
      <c r="M275" s="491"/>
      <c r="N275" s="491"/>
      <c r="O275" s="491"/>
      <c r="P275" s="481">
        <f t="shared" si="5"/>
        <v>0</v>
      </c>
      <c r="Q275" s="491"/>
      <c r="R275" s="491"/>
      <c r="S275" s="491"/>
      <c r="T275" s="491"/>
      <c r="U275" s="491"/>
      <c r="V275" s="493"/>
    </row>
    <row r="276" spans="1:22" x14ac:dyDescent="0.2">
      <c r="A276" s="202"/>
      <c r="B276" s="303"/>
      <c r="C276" s="303"/>
      <c r="D276" s="303"/>
      <c r="E276" s="303"/>
      <c r="F276" s="303"/>
      <c r="G276" s="303"/>
      <c r="H276" s="399"/>
      <c r="I276" s="494"/>
      <c r="J276" s="491"/>
      <c r="K276" s="491"/>
      <c r="L276" s="491"/>
      <c r="M276" s="491"/>
      <c r="N276" s="491"/>
      <c r="O276" s="491"/>
      <c r="P276" s="481">
        <f t="shared" si="5"/>
        <v>0</v>
      </c>
      <c r="Q276" s="491"/>
      <c r="R276" s="491"/>
      <c r="S276" s="491"/>
      <c r="T276" s="491"/>
      <c r="U276" s="491"/>
      <c r="V276" s="493"/>
    </row>
    <row r="277" spans="1:22" x14ac:dyDescent="0.2">
      <c r="A277" s="202"/>
      <c r="B277" s="303"/>
      <c r="C277" s="303"/>
      <c r="D277" s="303"/>
      <c r="E277" s="303"/>
      <c r="F277" s="303"/>
      <c r="G277" s="303"/>
      <c r="H277" s="399"/>
      <c r="I277" s="494"/>
      <c r="J277" s="491"/>
      <c r="K277" s="491"/>
      <c r="L277" s="491"/>
      <c r="M277" s="491"/>
      <c r="N277" s="491"/>
      <c r="O277" s="491"/>
      <c r="P277" s="481">
        <f t="shared" si="5"/>
        <v>0</v>
      </c>
      <c r="Q277" s="491"/>
      <c r="R277" s="491"/>
      <c r="S277" s="491"/>
      <c r="T277" s="491"/>
      <c r="U277" s="491"/>
      <c r="V277" s="493"/>
    </row>
    <row r="278" spans="1:22" x14ac:dyDescent="0.2">
      <c r="A278" s="202"/>
      <c r="B278" s="303"/>
      <c r="C278" s="303"/>
      <c r="D278" s="303"/>
      <c r="E278" s="303"/>
      <c r="F278" s="303"/>
      <c r="G278" s="303"/>
      <c r="H278" s="399"/>
      <c r="I278" s="494"/>
      <c r="J278" s="491"/>
      <c r="K278" s="491"/>
      <c r="L278" s="491"/>
      <c r="M278" s="491"/>
      <c r="N278" s="491"/>
      <c r="O278" s="491"/>
      <c r="P278" s="481">
        <f t="shared" si="5"/>
        <v>0</v>
      </c>
      <c r="Q278" s="491"/>
      <c r="R278" s="491"/>
      <c r="S278" s="491"/>
      <c r="T278" s="491"/>
      <c r="U278" s="491"/>
      <c r="V278" s="493"/>
    </row>
    <row r="279" spans="1:22" x14ac:dyDescent="0.2">
      <c r="A279" s="202"/>
      <c r="B279" s="303"/>
      <c r="C279" s="303"/>
      <c r="D279" s="303"/>
      <c r="E279" s="303"/>
      <c r="F279" s="303"/>
      <c r="G279" s="303"/>
      <c r="H279" s="399"/>
      <c r="I279" s="494"/>
      <c r="J279" s="491"/>
      <c r="K279" s="491"/>
      <c r="L279" s="491"/>
      <c r="M279" s="491"/>
      <c r="N279" s="491"/>
      <c r="O279" s="491"/>
      <c r="P279" s="481">
        <f t="shared" si="5"/>
        <v>0</v>
      </c>
      <c r="Q279" s="491"/>
      <c r="R279" s="491"/>
      <c r="S279" s="491"/>
      <c r="T279" s="491"/>
      <c r="U279" s="491"/>
      <c r="V279" s="493"/>
    </row>
    <row r="280" spans="1:22" x14ac:dyDescent="0.2">
      <c r="A280" s="202"/>
      <c r="B280" s="303"/>
      <c r="C280" s="303"/>
      <c r="D280" s="303"/>
      <c r="E280" s="303"/>
      <c r="F280" s="303"/>
      <c r="G280" s="303"/>
      <c r="H280" s="399"/>
      <c r="I280" s="494"/>
      <c r="J280" s="491"/>
      <c r="K280" s="491"/>
      <c r="L280" s="491"/>
      <c r="M280" s="491"/>
      <c r="N280" s="491"/>
      <c r="O280" s="491"/>
      <c r="P280" s="481">
        <f t="shared" si="5"/>
        <v>0</v>
      </c>
      <c r="Q280" s="491"/>
      <c r="R280" s="491"/>
      <c r="S280" s="491"/>
      <c r="T280" s="491"/>
      <c r="U280" s="491"/>
      <c r="V280" s="493"/>
    </row>
    <row r="281" spans="1:22" x14ac:dyDescent="0.2">
      <c r="A281" s="202"/>
      <c r="B281" s="303"/>
      <c r="C281" s="303"/>
      <c r="D281" s="303"/>
      <c r="E281" s="303"/>
      <c r="F281" s="303"/>
      <c r="G281" s="303"/>
      <c r="H281" s="399"/>
      <c r="I281" s="494"/>
      <c r="J281" s="491"/>
      <c r="K281" s="491"/>
      <c r="L281" s="491"/>
      <c r="M281" s="491"/>
      <c r="N281" s="491"/>
      <c r="O281" s="491"/>
      <c r="P281" s="481">
        <f t="shared" si="5"/>
        <v>0</v>
      </c>
      <c r="Q281" s="491"/>
      <c r="R281" s="491"/>
      <c r="S281" s="491"/>
      <c r="T281" s="491"/>
      <c r="U281" s="491"/>
      <c r="V281" s="493"/>
    </row>
    <row r="282" spans="1:22" x14ac:dyDescent="0.2">
      <c r="A282" s="202"/>
      <c r="B282" s="303"/>
      <c r="C282" s="303"/>
      <c r="D282" s="303"/>
      <c r="E282" s="303"/>
      <c r="F282" s="303"/>
      <c r="G282" s="303"/>
      <c r="H282" s="399"/>
      <c r="I282" s="494"/>
      <c r="J282" s="491"/>
      <c r="K282" s="491"/>
      <c r="L282" s="491"/>
      <c r="M282" s="491"/>
      <c r="N282" s="491"/>
      <c r="O282" s="491"/>
      <c r="P282" s="481">
        <f t="shared" si="5"/>
        <v>0</v>
      </c>
      <c r="Q282" s="491"/>
      <c r="R282" s="491"/>
      <c r="S282" s="491"/>
      <c r="T282" s="491"/>
      <c r="U282" s="491"/>
      <c r="V282" s="493"/>
    </row>
    <row r="283" spans="1:22" x14ac:dyDescent="0.2">
      <c r="A283" s="202"/>
      <c r="B283" s="303"/>
      <c r="C283" s="303"/>
      <c r="D283" s="303"/>
      <c r="E283" s="303"/>
      <c r="F283" s="303"/>
      <c r="G283" s="303"/>
      <c r="H283" s="399"/>
      <c r="I283" s="494"/>
      <c r="J283" s="491"/>
      <c r="K283" s="491"/>
      <c r="L283" s="491"/>
      <c r="M283" s="491"/>
      <c r="N283" s="491"/>
      <c r="O283" s="491"/>
      <c r="P283" s="481">
        <f t="shared" si="5"/>
        <v>0</v>
      </c>
      <c r="Q283" s="491"/>
      <c r="R283" s="491"/>
      <c r="S283" s="491"/>
      <c r="T283" s="491"/>
      <c r="U283" s="491"/>
      <c r="V283" s="493"/>
    </row>
    <row r="284" spans="1:22" x14ac:dyDescent="0.2">
      <c r="A284" s="202"/>
      <c r="B284" s="303"/>
      <c r="C284" s="303"/>
      <c r="D284" s="303"/>
      <c r="E284" s="303"/>
      <c r="F284" s="303"/>
      <c r="G284" s="303"/>
      <c r="H284" s="399"/>
      <c r="I284" s="494"/>
      <c r="J284" s="491"/>
      <c r="K284" s="491"/>
      <c r="L284" s="491"/>
      <c r="M284" s="491"/>
      <c r="N284" s="491"/>
      <c r="O284" s="491"/>
      <c r="P284" s="481">
        <f t="shared" si="5"/>
        <v>0</v>
      </c>
      <c r="Q284" s="491"/>
      <c r="R284" s="491"/>
      <c r="S284" s="491"/>
      <c r="T284" s="491"/>
      <c r="U284" s="491"/>
      <c r="V284" s="493"/>
    </row>
    <row r="285" spans="1:22" x14ac:dyDescent="0.2">
      <c r="A285" s="202"/>
      <c r="B285" s="303"/>
      <c r="C285" s="303"/>
      <c r="D285" s="303"/>
      <c r="E285" s="303"/>
      <c r="F285" s="303"/>
      <c r="G285" s="303"/>
      <c r="H285" s="399"/>
      <c r="I285" s="494"/>
      <c r="J285" s="491"/>
      <c r="K285" s="491"/>
      <c r="L285" s="491"/>
      <c r="M285" s="491"/>
      <c r="N285" s="491"/>
      <c r="O285" s="491"/>
      <c r="P285" s="481">
        <f t="shared" si="5"/>
        <v>0</v>
      </c>
      <c r="Q285" s="491"/>
      <c r="R285" s="491"/>
      <c r="S285" s="491"/>
      <c r="T285" s="491"/>
      <c r="U285" s="491"/>
      <c r="V285" s="493"/>
    </row>
    <row r="286" spans="1:22" x14ac:dyDescent="0.2">
      <c r="A286" s="202"/>
      <c r="B286" s="303"/>
      <c r="C286" s="303"/>
      <c r="D286" s="303"/>
      <c r="E286" s="303"/>
      <c r="F286" s="303"/>
      <c r="G286" s="303"/>
      <c r="H286" s="399"/>
      <c r="I286" s="494"/>
      <c r="J286" s="491"/>
      <c r="K286" s="491"/>
      <c r="L286" s="491"/>
      <c r="M286" s="491"/>
      <c r="N286" s="491"/>
      <c r="O286" s="491"/>
      <c r="P286" s="481">
        <f t="shared" si="5"/>
        <v>0</v>
      </c>
      <c r="Q286" s="491"/>
      <c r="R286" s="491"/>
      <c r="S286" s="491"/>
      <c r="T286" s="491"/>
      <c r="U286" s="491"/>
      <c r="V286" s="493"/>
    </row>
    <row r="287" spans="1:22" x14ac:dyDescent="0.2">
      <c r="A287" s="202"/>
      <c r="B287" s="303"/>
      <c r="C287" s="303"/>
      <c r="D287" s="303"/>
      <c r="E287" s="303"/>
      <c r="F287" s="303"/>
      <c r="G287" s="303"/>
      <c r="H287" s="399"/>
      <c r="I287" s="494"/>
      <c r="J287" s="491"/>
      <c r="K287" s="491"/>
      <c r="L287" s="491"/>
      <c r="M287" s="491"/>
      <c r="N287" s="491"/>
      <c r="O287" s="491"/>
      <c r="P287" s="481">
        <f t="shared" si="5"/>
        <v>0</v>
      </c>
      <c r="Q287" s="491"/>
      <c r="R287" s="491"/>
      <c r="S287" s="491"/>
      <c r="T287" s="491"/>
      <c r="U287" s="491"/>
      <c r="V287" s="493"/>
    </row>
    <row r="288" spans="1:22" x14ac:dyDescent="0.2">
      <c r="A288" s="202"/>
      <c r="B288" s="303"/>
      <c r="C288" s="303"/>
      <c r="D288" s="303"/>
      <c r="E288" s="303"/>
      <c r="F288" s="303"/>
      <c r="G288" s="303"/>
      <c r="H288" s="399"/>
      <c r="I288" s="494"/>
      <c r="J288" s="491"/>
      <c r="K288" s="491"/>
      <c r="L288" s="491"/>
      <c r="M288" s="491"/>
      <c r="N288" s="491"/>
      <c r="O288" s="491"/>
      <c r="P288" s="481">
        <f t="shared" si="5"/>
        <v>0</v>
      </c>
      <c r="Q288" s="491"/>
      <c r="R288" s="491"/>
      <c r="S288" s="491"/>
      <c r="T288" s="491"/>
      <c r="U288" s="491"/>
      <c r="V288" s="493"/>
    </row>
    <row r="289" spans="1:22" x14ac:dyDescent="0.2">
      <c r="A289" s="202"/>
      <c r="B289" s="303"/>
      <c r="C289" s="303"/>
      <c r="D289" s="303"/>
      <c r="E289" s="303"/>
      <c r="F289" s="303"/>
      <c r="G289" s="303"/>
      <c r="H289" s="399"/>
      <c r="I289" s="494"/>
      <c r="J289" s="491"/>
      <c r="K289" s="491"/>
      <c r="L289" s="491"/>
      <c r="M289" s="491"/>
      <c r="N289" s="491"/>
      <c r="O289" s="491"/>
      <c r="P289" s="481">
        <f t="shared" si="5"/>
        <v>0</v>
      </c>
      <c r="Q289" s="491"/>
      <c r="R289" s="491"/>
      <c r="S289" s="491"/>
      <c r="T289" s="491"/>
      <c r="U289" s="491"/>
      <c r="V289" s="493"/>
    </row>
    <row r="290" spans="1:22" x14ac:dyDescent="0.2">
      <c r="A290" s="202"/>
      <c r="B290" s="303"/>
      <c r="C290" s="303"/>
      <c r="D290" s="303"/>
      <c r="E290" s="303"/>
      <c r="F290" s="303"/>
      <c r="G290" s="303"/>
      <c r="H290" s="399"/>
      <c r="I290" s="494"/>
      <c r="J290" s="491"/>
      <c r="K290" s="491"/>
      <c r="L290" s="491"/>
      <c r="M290" s="491"/>
      <c r="N290" s="491"/>
      <c r="O290" s="491"/>
      <c r="P290" s="481">
        <f t="shared" si="5"/>
        <v>0</v>
      </c>
      <c r="Q290" s="491"/>
      <c r="R290" s="491"/>
      <c r="S290" s="491"/>
      <c r="T290" s="491"/>
      <c r="U290" s="491"/>
      <c r="V290" s="493"/>
    </row>
    <row r="291" spans="1:22" x14ac:dyDescent="0.2">
      <c r="A291" s="202"/>
      <c r="B291" s="303"/>
      <c r="C291" s="303"/>
      <c r="D291" s="303"/>
      <c r="E291" s="303"/>
      <c r="F291" s="303"/>
      <c r="G291" s="303"/>
      <c r="H291" s="399"/>
      <c r="I291" s="494"/>
      <c r="J291" s="491"/>
      <c r="K291" s="491"/>
      <c r="L291" s="491"/>
      <c r="M291" s="491"/>
      <c r="N291" s="491"/>
      <c r="O291" s="491"/>
      <c r="P291" s="481">
        <f t="shared" si="5"/>
        <v>0</v>
      </c>
      <c r="Q291" s="491"/>
      <c r="R291" s="491"/>
      <c r="S291" s="491"/>
      <c r="T291" s="491"/>
      <c r="U291" s="491"/>
      <c r="V291" s="493"/>
    </row>
    <row r="292" spans="1:22" x14ac:dyDescent="0.2">
      <c r="A292" s="202"/>
      <c r="B292" s="303"/>
      <c r="C292" s="303"/>
      <c r="D292" s="303"/>
      <c r="E292" s="303"/>
      <c r="F292" s="303"/>
      <c r="G292" s="303"/>
      <c r="H292" s="399"/>
      <c r="I292" s="494"/>
      <c r="J292" s="491"/>
      <c r="K292" s="491"/>
      <c r="L292" s="491"/>
      <c r="M292" s="491"/>
      <c r="N292" s="491"/>
      <c r="O292" s="491"/>
      <c r="P292" s="481">
        <f t="shared" si="5"/>
        <v>0</v>
      </c>
      <c r="Q292" s="491"/>
      <c r="R292" s="491"/>
      <c r="S292" s="491"/>
      <c r="T292" s="491"/>
      <c r="U292" s="491"/>
      <c r="V292" s="493"/>
    </row>
    <row r="293" spans="1:22" x14ac:dyDescent="0.2">
      <c r="A293" s="202"/>
      <c r="B293" s="303"/>
      <c r="C293" s="303"/>
      <c r="D293" s="303"/>
      <c r="E293" s="303"/>
      <c r="F293" s="303"/>
      <c r="G293" s="303"/>
      <c r="H293" s="399"/>
      <c r="I293" s="494"/>
      <c r="J293" s="491"/>
      <c r="K293" s="491"/>
      <c r="L293" s="491"/>
      <c r="M293" s="491"/>
      <c r="N293" s="491"/>
      <c r="O293" s="491"/>
      <c r="P293" s="481">
        <f t="shared" si="5"/>
        <v>0</v>
      </c>
      <c r="Q293" s="491"/>
      <c r="R293" s="491"/>
      <c r="S293" s="491"/>
      <c r="T293" s="491"/>
      <c r="U293" s="491"/>
      <c r="V293" s="493"/>
    </row>
    <row r="294" spans="1:22" x14ac:dyDescent="0.2">
      <c r="A294" s="202"/>
      <c r="B294" s="303"/>
      <c r="C294" s="303"/>
      <c r="D294" s="303"/>
      <c r="E294" s="303"/>
      <c r="F294" s="303"/>
      <c r="G294" s="303"/>
      <c r="H294" s="399"/>
      <c r="I294" s="494"/>
      <c r="J294" s="491"/>
      <c r="K294" s="491"/>
      <c r="L294" s="491"/>
      <c r="M294" s="491"/>
      <c r="N294" s="491"/>
      <c r="O294" s="491"/>
      <c r="P294" s="481">
        <f t="shared" si="5"/>
        <v>0</v>
      </c>
      <c r="Q294" s="491"/>
      <c r="R294" s="491"/>
      <c r="S294" s="491"/>
      <c r="T294" s="491"/>
      <c r="U294" s="491"/>
      <c r="V294" s="493"/>
    </row>
    <row r="295" spans="1:22" x14ac:dyDescent="0.2">
      <c r="A295" s="202"/>
      <c r="B295" s="303"/>
      <c r="C295" s="303"/>
      <c r="D295" s="303"/>
      <c r="E295" s="303"/>
      <c r="F295" s="303"/>
      <c r="G295" s="303"/>
      <c r="H295" s="399"/>
      <c r="I295" s="494"/>
      <c r="J295" s="491"/>
      <c r="K295" s="491"/>
      <c r="L295" s="491"/>
      <c r="M295" s="491"/>
      <c r="N295" s="491"/>
      <c r="O295" s="491"/>
      <c r="P295" s="481">
        <f t="shared" si="5"/>
        <v>0</v>
      </c>
      <c r="Q295" s="491"/>
      <c r="R295" s="491"/>
      <c r="S295" s="491"/>
      <c r="T295" s="491"/>
      <c r="U295" s="491"/>
      <c r="V295" s="493"/>
    </row>
    <row r="296" spans="1:22" x14ac:dyDescent="0.2">
      <c r="A296" s="202"/>
      <c r="B296" s="303"/>
      <c r="C296" s="303"/>
      <c r="D296" s="303"/>
      <c r="E296" s="303"/>
      <c r="F296" s="303"/>
      <c r="G296" s="303"/>
      <c r="H296" s="399"/>
      <c r="I296" s="494"/>
      <c r="J296" s="491"/>
      <c r="K296" s="491"/>
      <c r="L296" s="491"/>
      <c r="M296" s="491"/>
      <c r="N296" s="491"/>
      <c r="O296" s="491"/>
      <c r="P296" s="481">
        <f t="shared" si="5"/>
        <v>0</v>
      </c>
      <c r="Q296" s="491"/>
      <c r="R296" s="491"/>
      <c r="S296" s="491"/>
      <c r="T296" s="491"/>
      <c r="U296" s="491"/>
      <c r="V296" s="493"/>
    </row>
    <row r="297" spans="1:22" x14ac:dyDescent="0.2">
      <c r="A297" s="202"/>
      <c r="B297" s="303"/>
      <c r="C297" s="303"/>
      <c r="D297" s="303"/>
      <c r="E297" s="303"/>
      <c r="F297" s="303"/>
      <c r="G297" s="303"/>
      <c r="H297" s="399"/>
      <c r="I297" s="494"/>
      <c r="J297" s="491"/>
      <c r="K297" s="491"/>
      <c r="L297" s="491"/>
      <c r="M297" s="491"/>
      <c r="N297" s="491"/>
      <c r="O297" s="491"/>
      <c r="P297" s="481">
        <f t="shared" si="5"/>
        <v>0</v>
      </c>
      <c r="Q297" s="491"/>
      <c r="R297" s="491"/>
      <c r="S297" s="491"/>
      <c r="T297" s="491"/>
      <c r="U297" s="491"/>
      <c r="V297" s="493"/>
    </row>
    <row r="298" spans="1:22" x14ac:dyDescent="0.2">
      <c r="A298" s="202"/>
      <c r="B298" s="303"/>
      <c r="C298" s="303"/>
      <c r="D298" s="303"/>
      <c r="E298" s="303"/>
      <c r="F298" s="303"/>
      <c r="G298" s="303"/>
      <c r="H298" s="399"/>
      <c r="I298" s="494"/>
      <c r="J298" s="491"/>
      <c r="K298" s="491"/>
      <c r="L298" s="491"/>
      <c r="M298" s="491"/>
      <c r="N298" s="491"/>
      <c r="O298" s="491"/>
      <c r="P298" s="481">
        <f t="shared" si="5"/>
        <v>0</v>
      </c>
      <c r="Q298" s="491"/>
      <c r="R298" s="491"/>
      <c r="S298" s="491"/>
      <c r="T298" s="491"/>
      <c r="U298" s="491"/>
      <c r="V298" s="493"/>
    </row>
    <row r="299" spans="1:22" x14ac:dyDescent="0.2">
      <c r="A299" s="202"/>
      <c r="B299" s="303"/>
      <c r="C299" s="303"/>
      <c r="D299" s="303"/>
      <c r="E299" s="303"/>
      <c r="F299" s="303"/>
      <c r="G299" s="303"/>
      <c r="H299" s="399"/>
      <c r="I299" s="494"/>
      <c r="J299" s="491"/>
      <c r="K299" s="491"/>
      <c r="L299" s="491"/>
      <c r="M299" s="491"/>
      <c r="N299" s="491"/>
      <c r="O299" s="491"/>
      <c r="P299" s="481">
        <f t="shared" si="5"/>
        <v>0</v>
      </c>
      <c r="Q299" s="491"/>
      <c r="R299" s="491"/>
      <c r="S299" s="491"/>
      <c r="T299" s="491"/>
      <c r="U299" s="491"/>
      <c r="V299" s="493"/>
    </row>
    <row r="300" spans="1:22" x14ac:dyDescent="0.2">
      <c r="A300" s="436"/>
      <c r="B300" s="242"/>
      <c r="C300" s="242"/>
      <c r="D300" s="242"/>
      <c r="E300" s="242"/>
      <c r="F300" s="242"/>
      <c r="G300" s="242"/>
      <c r="H300" s="437"/>
      <c r="I300" s="500"/>
      <c r="J300" s="501"/>
      <c r="K300" s="501"/>
      <c r="L300" s="501"/>
      <c r="M300" s="501"/>
      <c r="N300" s="501"/>
      <c r="O300" s="501"/>
      <c r="P300" s="486">
        <f t="shared" si="5"/>
        <v>0</v>
      </c>
      <c r="Q300" s="501"/>
      <c r="R300" s="501"/>
      <c r="S300" s="501"/>
      <c r="T300" s="501"/>
      <c r="U300" s="501"/>
      <c r="V300" s="502"/>
    </row>
  </sheetData>
  <mergeCells count="15">
    <mergeCell ref="Q2:R2"/>
    <mergeCell ref="S2:T2"/>
    <mergeCell ref="U2:V2"/>
    <mergeCell ref="B1:H1"/>
    <mergeCell ref="I1:O1"/>
    <mergeCell ref="P1:V1"/>
    <mergeCell ref="B2:C2"/>
    <mergeCell ref="D2:E2"/>
    <mergeCell ref="F2:G2"/>
    <mergeCell ref="H2:H3"/>
    <mergeCell ref="I2:I3"/>
    <mergeCell ref="J2:K2"/>
    <mergeCell ref="L2:M2"/>
    <mergeCell ref="N2:O2"/>
    <mergeCell ref="P2:P3"/>
  </mergeCells>
  <conditionalFormatting sqref="B4:G6">
    <cfRule type="cellIs" dxfId="6" priority="1" operator="equal">
      <formula>0.35</formula>
    </cfRule>
    <cfRule type="cellIs" dxfId="5" priority="2" operator="equal">
      <formula>0.05</formula>
    </cfRule>
    <cfRule type="cellIs" dxfId="4" priority="3" operator="between">
      <formula>0.06</formula>
      <formula>0.34</formula>
    </cfRule>
    <cfRule type="cellIs" dxfId="3" priority="4" operator="greaterThan">
      <formula>0.35</formula>
    </cfRule>
    <cfRule type="cellIs" dxfId="2" priority="5" operator="lessThan">
      <formula>0.05</formula>
    </cfRule>
  </conditionalFormatting>
  <conditionalFormatting sqref="H4:H6">
    <cfRule type="cellIs" dxfId="1" priority="6" operator="notEqual">
      <formula>1</formula>
    </cfRule>
    <cfRule type="cellIs" dxfId="0" priority="7" operator="equal">
      <formula>1</formula>
    </cfRule>
  </conditionalFormatting>
  <dataValidations count="1">
    <dataValidation type="list" allowBlank="1" sqref="I7:I300" xr:uid="{00000000-0002-0000-0900-000000000000}">
      <formula1>$A$4:$A$6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R1000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4.28515625" customWidth="1"/>
    <col min="2" max="2" width="9.42578125" customWidth="1"/>
    <col min="3" max="5" width="7.5703125" customWidth="1"/>
    <col min="6" max="6" width="9.42578125" customWidth="1"/>
    <col min="7" max="7" width="9" customWidth="1"/>
    <col min="9" max="9" width="14.7109375" customWidth="1"/>
    <col min="10" max="10" width="14.140625" customWidth="1"/>
    <col min="11" max="11" width="9.42578125" customWidth="1"/>
    <col min="12" max="14" width="7.5703125" customWidth="1"/>
    <col min="15" max="15" width="9.28515625" customWidth="1"/>
  </cols>
  <sheetData>
    <row r="1" spans="1:18" x14ac:dyDescent="0.2">
      <c r="A1" s="164"/>
      <c r="B1" s="196"/>
      <c r="C1" s="196"/>
      <c r="D1" s="196"/>
      <c r="E1" s="196"/>
      <c r="F1" s="197"/>
      <c r="G1" s="323"/>
      <c r="H1" s="503" t="s">
        <v>390</v>
      </c>
      <c r="I1" s="616" t="s">
        <v>391</v>
      </c>
      <c r="J1" s="311" t="s">
        <v>58</v>
      </c>
      <c r="K1" s="311" t="s">
        <v>392</v>
      </c>
      <c r="L1" s="311" t="s">
        <v>393</v>
      </c>
      <c r="M1" s="311" t="s">
        <v>394</v>
      </c>
      <c r="N1" s="311" t="s">
        <v>395</v>
      </c>
      <c r="O1" s="312" t="s">
        <v>316</v>
      </c>
      <c r="Q1" s="154" t="s">
        <v>396</v>
      </c>
    </row>
    <row r="2" spans="1:18" x14ac:dyDescent="0.2">
      <c r="A2" s="274" t="s">
        <v>58</v>
      </c>
      <c r="B2" s="275" t="s">
        <v>392</v>
      </c>
      <c r="C2" s="275" t="s">
        <v>393</v>
      </c>
      <c r="D2" s="275" t="s">
        <v>394</v>
      </c>
      <c r="E2" s="275" t="s">
        <v>395</v>
      </c>
      <c r="F2" s="292" t="s">
        <v>316</v>
      </c>
      <c r="G2" s="323" t="s">
        <v>186</v>
      </c>
      <c r="H2" s="504">
        <f>SUM(G:G)+Q2</f>
        <v>0</v>
      </c>
      <c r="I2" s="598"/>
      <c r="J2" s="239" t="str">
        <f>Input!I14</f>
        <v>Triple J</v>
      </c>
      <c r="K2" s="279">
        <f>(VLOOKUP(Input!C6,Math!$AB$59:$AC$68,2,FALSE)*10+VLOOKUP(Input!B6,Math!$AB$71:$AC$80,2,FALSE))/10</f>
        <v>1</v>
      </c>
      <c r="L2" s="505" t="str">
        <f>Input!A6</f>
        <v>Jake</v>
      </c>
      <c r="M2" s="506" t="str">
        <f>Input!A7</f>
        <v>Jim</v>
      </c>
      <c r="N2" s="506" t="str">
        <f>Input!A8</f>
        <v>Jordan</v>
      </c>
      <c r="O2" s="281">
        <f>Math!A57</f>
        <v>1</v>
      </c>
      <c r="Q2" s="162">
        <v>0</v>
      </c>
      <c r="R2" s="159">
        <v>8900</v>
      </c>
    </row>
    <row r="3" spans="1:18" x14ac:dyDescent="0.2">
      <c r="A3" s="286"/>
      <c r="B3" s="285"/>
      <c r="C3" s="285"/>
      <c r="D3" s="285"/>
      <c r="E3" s="285"/>
      <c r="F3" s="284"/>
      <c r="G3" s="323" t="str">
        <f>IF(B3="","",VLOOKUP(IF((B3-F3)*10&lt;-10,-10,IF((B3-F3)*10&gt;10,10,(B3-F3)*10)),'Rank Progression'!$K$2:$L$22,2,FALSE))</f>
        <v/>
      </c>
      <c r="I3" s="323"/>
      <c r="J3" s="323"/>
      <c r="K3" s="323"/>
      <c r="L3" s="323"/>
      <c r="M3" s="323"/>
      <c r="N3" s="323"/>
      <c r="O3" s="323"/>
    </row>
    <row r="4" spans="1:18" x14ac:dyDescent="0.2">
      <c r="A4" s="286"/>
      <c r="B4" s="285"/>
      <c r="C4" s="285"/>
      <c r="D4" s="285"/>
      <c r="E4" s="285"/>
      <c r="F4" s="284"/>
      <c r="G4" s="323" t="str">
        <f>IF(B4="","",VLOOKUP(IF((B4-F4)*10&lt;-10,-10,IF((B4-F4)*10&gt;10,10,(B4-F4)*10)),'Rank Progression'!$K$2:$L$22,2,FALSE))</f>
        <v/>
      </c>
      <c r="I4" s="323"/>
      <c r="J4" s="323"/>
      <c r="K4" s="323"/>
      <c r="L4" s="323"/>
      <c r="M4" s="323"/>
      <c r="N4" s="323"/>
      <c r="O4" s="323"/>
    </row>
    <row r="5" spans="1:18" x14ac:dyDescent="0.2">
      <c r="A5" s="286"/>
      <c r="B5" s="285"/>
      <c r="C5" s="285"/>
      <c r="D5" s="285"/>
      <c r="E5" s="285"/>
      <c r="F5" s="284"/>
      <c r="G5" s="323" t="str">
        <f>IF(B5="","",VLOOKUP(IF((B5-F5)*10&lt;-10,-10,IF((B5-F5)*10&gt;10,10,(B5-F5)*10)),'Rank Progression'!$K$2:$L$22,2,FALSE))</f>
        <v/>
      </c>
      <c r="I5" s="323"/>
      <c r="J5" s="323"/>
      <c r="K5" s="323"/>
      <c r="L5" s="323"/>
      <c r="M5" s="323"/>
      <c r="N5" s="323"/>
      <c r="O5" s="323"/>
    </row>
    <row r="6" spans="1:18" x14ac:dyDescent="0.2">
      <c r="A6" s="286"/>
      <c r="B6" s="285"/>
      <c r="C6" s="285"/>
      <c r="D6" s="285"/>
      <c r="E6" s="285"/>
      <c r="F6" s="284"/>
      <c r="G6" s="323" t="str">
        <f>IF(B6="","",VLOOKUP(IF((B6-F6)*10&lt;-10,-10,IF((B6-F6)*10&gt;10,10,(B6-F6)*10)),'Rank Progression'!$K$2:$L$22,2,FALSE))</f>
        <v/>
      </c>
      <c r="I6" s="323"/>
      <c r="J6" s="323"/>
      <c r="K6" s="323"/>
      <c r="L6" s="323"/>
      <c r="M6" s="323"/>
      <c r="N6" s="323"/>
      <c r="O6" s="323"/>
    </row>
    <row r="7" spans="1:18" x14ac:dyDescent="0.2">
      <c r="A7" s="286"/>
      <c r="B7" s="285"/>
      <c r="C7" s="285"/>
      <c r="D7" s="285"/>
      <c r="E7" s="285"/>
      <c r="F7" s="284"/>
      <c r="G7" s="323" t="str">
        <f>IF(B7="","",VLOOKUP(IF((B7-F7)*10&lt;-10,-10,IF((B7-F7)*10&gt;10,10,(B7-F7)*10)),'Rank Progression'!$K$2:$L$22,2,FALSE))</f>
        <v/>
      </c>
      <c r="I7" s="323"/>
      <c r="J7" s="323"/>
      <c r="K7" s="323"/>
      <c r="L7" s="323"/>
      <c r="M7" s="323"/>
      <c r="N7" s="323"/>
      <c r="O7" s="323"/>
    </row>
    <row r="8" spans="1:18" x14ac:dyDescent="0.2">
      <c r="A8" s="286"/>
      <c r="B8" s="285"/>
      <c r="C8" s="285"/>
      <c r="D8" s="285"/>
      <c r="E8" s="285"/>
      <c r="F8" s="284"/>
      <c r="G8" s="323" t="str">
        <f>IF(B8="","",VLOOKUP(IF((B8-F8)*10&lt;-10,-10,IF((B8-F8)*10&gt;10,10,(B8-F8)*10)),'Rank Progression'!$K$2:$L$22,2,FALSE))</f>
        <v/>
      </c>
      <c r="I8" s="323"/>
      <c r="J8" s="323"/>
      <c r="K8" s="323"/>
      <c r="L8" s="323"/>
      <c r="M8" s="323"/>
      <c r="N8" s="323"/>
      <c r="O8" s="323"/>
    </row>
    <row r="9" spans="1:18" x14ac:dyDescent="0.2">
      <c r="A9" s="286"/>
      <c r="B9" s="285"/>
      <c r="C9" s="285"/>
      <c r="D9" s="285"/>
      <c r="E9" s="285"/>
      <c r="F9" s="284"/>
      <c r="G9" s="323" t="str">
        <f>IF(B9="","",VLOOKUP(IF((B9-F9)*10&lt;-10,-10,IF((B9-F9)*10&gt;10,10,(B9-F9)*10)),'Rank Progression'!$K$2:$L$22,2,FALSE))</f>
        <v/>
      </c>
      <c r="I9" s="323"/>
      <c r="J9" s="323"/>
      <c r="K9" s="323"/>
      <c r="L9" s="323"/>
      <c r="M9" s="323"/>
      <c r="N9" s="323"/>
      <c r="O9" s="323"/>
    </row>
    <row r="10" spans="1:18" x14ac:dyDescent="0.2">
      <c r="A10" s="286"/>
      <c r="B10" s="285"/>
      <c r="C10" s="285"/>
      <c r="D10" s="285"/>
      <c r="E10" s="285"/>
      <c r="F10" s="284"/>
      <c r="G10" s="323" t="str">
        <f>IF(B10="","",VLOOKUP(IF((B10-F10)*10&lt;-10,-10,IF((B10-F10)*10&gt;10,10,(B10-F10)*10)),'Rank Progression'!$K$2:$L$22,2,FALSE))</f>
        <v/>
      </c>
      <c r="I10" s="323"/>
      <c r="J10" s="323"/>
      <c r="K10" s="323"/>
      <c r="L10" s="323"/>
      <c r="M10" s="323"/>
      <c r="N10" s="323"/>
      <c r="O10" s="323"/>
    </row>
    <row r="11" spans="1:18" x14ac:dyDescent="0.2">
      <c r="A11" s="286"/>
      <c r="B11" s="285"/>
      <c r="C11" s="285"/>
      <c r="D11" s="285"/>
      <c r="E11" s="285"/>
      <c r="F11" s="284"/>
      <c r="G11" s="323" t="str">
        <f>IF(B11="","",VLOOKUP(IF((B11-F11)*10&lt;-10,-10,IF((B11-F11)*10&gt;10,10,(B11-F11)*10)),'Rank Progression'!$K$2:$L$22,2,FALSE))</f>
        <v/>
      </c>
      <c r="I11" s="323"/>
      <c r="J11" s="323"/>
      <c r="K11" s="323"/>
      <c r="L11" s="323"/>
      <c r="M11" s="323"/>
      <c r="N11" s="323"/>
      <c r="O11" s="323"/>
    </row>
    <row r="12" spans="1:18" x14ac:dyDescent="0.2">
      <c r="A12" s="286"/>
      <c r="B12" s="285"/>
      <c r="C12" s="285"/>
      <c r="D12" s="285"/>
      <c r="E12" s="285"/>
      <c r="F12" s="284"/>
      <c r="G12" s="323" t="str">
        <f>IF(B12="","",VLOOKUP(IF((B12-F12)*10&lt;-10,-10,IF((B12-F12)*10&gt;10,10,(B12-F12)*10)),'Rank Progression'!$K$2:$L$22,2,FALSE))</f>
        <v/>
      </c>
      <c r="I12" s="323"/>
      <c r="J12" s="323"/>
      <c r="K12" s="323"/>
      <c r="L12" s="323"/>
      <c r="M12" s="323"/>
      <c r="N12" s="323"/>
      <c r="O12" s="323"/>
    </row>
    <row r="13" spans="1:18" x14ac:dyDescent="0.2">
      <c r="A13" s="286"/>
      <c r="B13" s="285"/>
      <c r="C13" s="285"/>
      <c r="D13" s="285"/>
      <c r="E13" s="285"/>
      <c r="F13" s="284"/>
      <c r="G13" s="323" t="str">
        <f>IF(B13="","",VLOOKUP(IF((B13-F13)*10&lt;-10,-10,IF((B13-F13)*10&gt;10,10,(B13-F13)*10)),'Rank Progression'!$K$2:$L$22,2,FALSE))</f>
        <v/>
      </c>
      <c r="I13" s="323"/>
      <c r="J13" s="323"/>
      <c r="K13" s="323"/>
      <c r="L13" s="323"/>
      <c r="M13" s="323"/>
      <c r="N13" s="323"/>
      <c r="O13" s="323"/>
    </row>
    <row r="14" spans="1:18" x14ac:dyDescent="0.2">
      <c r="A14" s="286"/>
      <c r="B14" s="285"/>
      <c r="C14" s="285"/>
      <c r="D14" s="285"/>
      <c r="E14" s="285"/>
      <c r="F14" s="284"/>
      <c r="G14" s="323" t="str">
        <f>IF(B14="","",VLOOKUP(IF((B14-F14)*10&lt;-10,-10,IF((B14-F14)*10&gt;10,10,(B14-F14)*10)),'Rank Progression'!$K$2:$L$22,2,FALSE))</f>
        <v/>
      </c>
      <c r="I14" s="323"/>
      <c r="J14" s="323"/>
      <c r="K14" s="323"/>
      <c r="L14" s="323"/>
      <c r="M14" s="323"/>
      <c r="N14" s="323"/>
      <c r="O14" s="323"/>
    </row>
    <row r="15" spans="1:18" x14ac:dyDescent="0.2">
      <c r="A15" s="286"/>
      <c r="B15" s="285"/>
      <c r="C15" s="285"/>
      <c r="D15" s="285"/>
      <c r="E15" s="285"/>
      <c r="F15" s="284"/>
      <c r="G15" s="323" t="str">
        <f>IF(B15="","",VLOOKUP(IF((B15-F15)*10&lt;-10,-10,IF((B15-F15)*10&gt;10,10,(B15-F15)*10)),'Rank Progression'!$K$2:$L$22,2,FALSE))</f>
        <v/>
      </c>
      <c r="I15" s="323"/>
      <c r="J15" s="323"/>
      <c r="K15" s="323"/>
      <c r="L15" s="323"/>
      <c r="M15" s="323"/>
      <c r="N15" s="323"/>
      <c r="O15" s="323"/>
    </row>
    <row r="16" spans="1:18" x14ac:dyDescent="0.2">
      <c r="A16" s="286"/>
      <c r="B16" s="285"/>
      <c r="C16" s="285"/>
      <c r="D16" s="285"/>
      <c r="E16" s="285"/>
      <c r="F16" s="284"/>
      <c r="G16" s="323" t="str">
        <f>IF(B16="","",VLOOKUP(IF((B16-F16)*10&lt;-10,-10,IF((B16-F16)*10&gt;10,10,(B16-F16)*10)),'Rank Progression'!$K$2:$L$22,2,FALSE))</f>
        <v/>
      </c>
      <c r="I16" s="323"/>
      <c r="J16" s="323"/>
      <c r="K16" s="323"/>
      <c r="L16" s="323"/>
      <c r="M16" s="323"/>
      <c r="N16" s="323"/>
      <c r="O16" s="323"/>
    </row>
    <row r="17" spans="1:15" x14ac:dyDescent="0.2">
      <c r="A17" s="286"/>
      <c r="B17" s="285"/>
      <c r="C17" s="285"/>
      <c r="D17" s="285"/>
      <c r="E17" s="285"/>
      <c r="F17" s="284"/>
      <c r="G17" s="323" t="str">
        <f>IF(B17="","",VLOOKUP(IF((B17-F17)*10&lt;-10,-10,IF((B17-F17)*10&gt;10,10,(B17-F17)*10)),'Rank Progression'!$K$2:$L$22,2,FALSE))</f>
        <v/>
      </c>
      <c r="I17" s="323"/>
      <c r="J17" s="323"/>
      <c r="K17" s="323"/>
      <c r="L17" s="323"/>
      <c r="M17" s="323"/>
      <c r="N17" s="323"/>
      <c r="O17" s="323"/>
    </row>
    <row r="18" spans="1:15" x14ac:dyDescent="0.2">
      <c r="A18" s="286"/>
      <c r="B18" s="285"/>
      <c r="C18" s="285"/>
      <c r="D18" s="285"/>
      <c r="E18" s="285"/>
      <c r="F18" s="284"/>
      <c r="G18" s="323" t="str">
        <f>IF(B18="","",VLOOKUP(IF((B18-F18)*10&lt;-10,-10,IF((B18-F18)*10&gt;10,10,(B18-F18)*10)),'Rank Progression'!$K$2:$L$22,2,FALSE))</f>
        <v/>
      </c>
      <c r="I18" s="323"/>
      <c r="J18" s="323"/>
      <c r="K18" s="323"/>
      <c r="L18" s="323"/>
      <c r="M18" s="323"/>
      <c r="N18" s="323"/>
      <c r="O18" s="323"/>
    </row>
    <row r="19" spans="1:15" x14ac:dyDescent="0.2">
      <c r="A19" s="286"/>
      <c r="B19" s="285"/>
      <c r="C19" s="285"/>
      <c r="D19" s="285"/>
      <c r="E19" s="285"/>
      <c r="F19" s="284"/>
      <c r="G19" s="323" t="str">
        <f>IF(B19="","",VLOOKUP(IF((B19-F19)*10&lt;-10,-10,IF((B19-F19)*10&gt;10,10,(B19-F19)*10)),'Rank Progression'!$K$2:$L$22,2,FALSE))</f>
        <v/>
      </c>
      <c r="I19" s="323"/>
      <c r="J19" s="323"/>
      <c r="K19" s="323"/>
      <c r="L19" s="323"/>
      <c r="M19" s="323"/>
      <c r="N19" s="323"/>
      <c r="O19" s="323"/>
    </row>
    <row r="20" spans="1:15" x14ac:dyDescent="0.2">
      <c r="A20" s="286"/>
      <c r="B20" s="285"/>
      <c r="C20" s="285"/>
      <c r="D20" s="285"/>
      <c r="E20" s="285"/>
      <c r="F20" s="284"/>
      <c r="G20" s="323" t="str">
        <f>IF(B20="","",VLOOKUP(IF((B20-F20)*10&lt;-10,-10,IF((B20-F20)*10&gt;10,10,(B20-F20)*10)),'Rank Progression'!$K$2:$L$22,2,FALSE))</f>
        <v/>
      </c>
      <c r="I20" s="323"/>
      <c r="J20" s="323"/>
      <c r="K20" s="323"/>
      <c r="L20" s="323"/>
      <c r="M20" s="323"/>
      <c r="N20" s="323"/>
      <c r="O20" s="323"/>
    </row>
    <row r="21" spans="1:15" x14ac:dyDescent="0.2">
      <c r="A21" s="286"/>
      <c r="B21" s="285"/>
      <c r="C21" s="285"/>
      <c r="D21" s="285"/>
      <c r="E21" s="285"/>
      <c r="F21" s="284"/>
      <c r="G21" s="323" t="str">
        <f>IF(B21="","",VLOOKUP(IF((B21-F21)*10&lt;-10,-10,IF((B21-F21)*10&gt;10,10,(B21-F21)*10)),'Rank Progression'!$K$2:$L$22,2,FALSE))</f>
        <v/>
      </c>
      <c r="I21" s="323"/>
      <c r="J21" s="323"/>
      <c r="K21" s="323"/>
      <c r="L21" s="323"/>
      <c r="M21" s="323"/>
      <c r="N21" s="323"/>
      <c r="O21" s="323"/>
    </row>
    <row r="22" spans="1:15" x14ac:dyDescent="0.2">
      <c r="A22" s="286"/>
      <c r="B22" s="285"/>
      <c r="C22" s="285"/>
      <c r="D22" s="285"/>
      <c r="E22" s="285"/>
      <c r="F22" s="284"/>
      <c r="G22" s="323" t="str">
        <f>IF(B22="","",VLOOKUP(IF((B22-F22)*10&lt;-10,-10,IF((B22-F22)*10&gt;10,10,(B22-F22)*10)),'Rank Progression'!$K$2:$L$22,2,FALSE))</f>
        <v/>
      </c>
      <c r="I22" s="323"/>
      <c r="J22" s="323"/>
      <c r="K22" s="323"/>
      <c r="L22" s="323"/>
      <c r="M22" s="323"/>
      <c r="N22" s="323"/>
      <c r="O22" s="323"/>
    </row>
    <row r="23" spans="1:15" x14ac:dyDescent="0.2">
      <c r="A23" s="286"/>
      <c r="B23" s="285"/>
      <c r="C23" s="285"/>
      <c r="D23" s="285"/>
      <c r="E23" s="285"/>
      <c r="F23" s="284"/>
      <c r="G23" s="323" t="str">
        <f>IF(B23="","",VLOOKUP(IF((B23-F23)*10&lt;-10,-10,IF((B23-F23)*10&gt;10,10,(B23-F23)*10)),'Rank Progression'!$K$2:$L$22,2,FALSE))</f>
        <v/>
      </c>
      <c r="I23" s="323"/>
      <c r="J23" s="323"/>
      <c r="K23" s="323"/>
      <c r="L23" s="323"/>
      <c r="M23" s="323"/>
      <c r="N23" s="323"/>
      <c r="O23" s="323"/>
    </row>
    <row r="24" spans="1:15" x14ac:dyDescent="0.2">
      <c r="A24" s="286"/>
      <c r="B24" s="285"/>
      <c r="C24" s="285"/>
      <c r="D24" s="285"/>
      <c r="E24" s="285"/>
      <c r="F24" s="284"/>
      <c r="G24" s="323" t="str">
        <f>IF(B24="","",VLOOKUP(IF((B24-F24)*10&lt;-10,-10,IF((B24-F24)*10&gt;10,10,(B24-F24)*10)),'Rank Progression'!$K$2:$L$22,2,FALSE))</f>
        <v/>
      </c>
      <c r="I24" s="323"/>
      <c r="J24" s="323"/>
      <c r="K24" s="323"/>
      <c r="L24" s="323"/>
      <c r="M24" s="323"/>
      <c r="N24" s="323"/>
      <c r="O24" s="323"/>
    </row>
    <row r="25" spans="1:15" x14ac:dyDescent="0.2">
      <c r="A25" s="286"/>
      <c r="B25" s="285"/>
      <c r="C25" s="285"/>
      <c r="D25" s="285"/>
      <c r="E25" s="285"/>
      <c r="F25" s="284"/>
      <c r="G25" s="323" t="str">
        <f>IF(B25="","",VLOOKUP(IF((B25-F25)*10&lt;-10,-10,IF((B25-F25)*10&gt;10,10,(B25-F25)*10)),'Rank Progression'!$K$2:$L$22,2,FALSE))</f>
        <v/>
      </c>
      <c r="I25" s="323"/>
      <c r="J25" s="323"/>
      <c r="K25" s="323"/>
      <c r="L25" s="323"/>
      <c r="M25" s="323"/>
      <c r="N25" s="323"/>
      <c r="O25" s="323"/>
    </row>
    <row r="26" spans="1:15" x14ac:dyDescent="0.2">
      <c r="A26" s="286"/>
      <c r="B26" s="285"/>
      <c r="C26" s="285"/>
      <c r="D26" s="285"/>
      <c r="E26" s="285"/>
      <c r="F26" s="284"/>
      <c r="G26" s="323" t="str">
        <f>IF(B26="","",VLOOKUP(IF((B26-F26)*10&lt;-10,-10,IF((B26-F26)*10&gt;10,10,(B26-F26)*10)),'Rank Progression'!$K$2:$L$22,2,FALSE))</f>
        <v/>
      </c>
      <c r="I26" s="323"/>
      <c r="J26" s="323"/>
      <c r="K26" s="323"/>
      <c r="L26" s="323"/>
      <c r="M26" s="323"/>
      <c r="N26" s="323"/>
      <c r="O26" s="323"/>
    </row>
    <row r="27" spans="1:15" x14ac:dyDescent="0.2">
      <c r="A27" s="286"/>
      <c r="B27" s="285"/>
      <c r="C27" s="285"/>
      <c r="D27" s="285"/>
      <c r="E27" s="285"/>
      <c r="F27" s="284"/>
      <c r="G27" s="323" t="str">
        <f>IF(B27="","",VLOOKUP(IF((B27-F27)*10&lt;-10,-10,IF((B27-F27)*10&gt;10,10,(B27-F27)*10)),'Rank Progression'!$K$2:$L$22,2,FALSE))</f>
        <v/>
      </c>
      <c r="I27" s="323"/>
      <c r="J27" s="323"/>
      <c r="K27" s="323"/>
      <c r="L27" s="323"/>
      <c r="M27" s="323"/>
      <c r="N27" s="323"/>
      <c r="O27" s="323"/>
    </row>
    <row r="28" spans="1:15" x14ac:dyDescent="0.2">
      <c r="A28" s="286"/>
      <c r="B28" s="285"/>
      <c r="C28" s="285"/>
      <c r="D28" s="285"/>
      <c r="E28" s="285"/>
      <c r="F28" s="284"/>
      <c r="G28" s="323" t="str">
        <f>IF(B28="","",VLOOKUP(IF((B28-F28)*10&lt;-10,-10,IF((B28-F28)*10&gt;10,10,(B28-F28)*10)),'Rank Progression'!$K$2:$L$22,2,FALSE))</f>
        <v/>
      </c>
      <c r="I28" s="323"/>
      <c r="J28" s="323"/>
      <c r="K28" s="323"/>
      <c r="L28" s="323"/>
      <c r="M28" s="323"/>
      <c r="N28" s="323"/>
      <c r="O28" s="323"/>
    </row>
    <row r="29" spans="1:15" x14ac:dyDescent="0.2">
      <c r="A29" s="286"/>
      <c r="B29" s="285"/>
      <c r="C29" s="285"/>
      <c r="D29" s="285"/>
      <c r="E29" s="285"/>
      <c r="F29" s="284"/>
      <c r="G29" s="323" t="str">
        <f>IF(B29="","",VLOOKUP(IF((B29-F29)*10&lt;-10,-10,IF((B29-F29)*10&gt;10,10,(B29-F29)*10)),'Rank Progression'!$K$2:$L$22,2,FALSE))</f>
        <v/>
      </c>
      <c r="I29" s="323"/>
      <c r="J29" s="323"/>
      <c r="K29" s="323"/>
      <c r="L29" s="323"/>
      <c r="M29" s="323"/>
      <c r="N29" s="323"/>
      <c r="O29" s="323"/>
    </row>
    <row r="30" spans="1:15" x14ac:dyDescent="0.2">
      <c r="A30" s="286"/>
      <c r="B30" s="285"/>
      <c r="C30" s="285"/>
      <c r="D30" s="285"/>
      <c r="E30" s="285"/>
      <c r="F30" s="284"/>
      <c r="G30" s="323" t="str">
        <f>IF(B30="","",VLOOKUP(IF((B30-F30)*10&lt;-10,-10,IF((B30-F30)*10&gt;10,10,(B30-F30)*10)),'Rank Progression'!$K$2:$L$22,2,FALSE))</f>
        <v/>
      </c>
      <c r="I30" s="323"/>
      <c r="J30" s="323"/>
      <c r="K30" s="323"/>
      <c r="L30" s="323"/>
      <c r="M30" s="323"/>
      <c r="N30" s="323"/>
      <c r="O30" s="323"/>
    </row>
    <row r="31" spans="1:15" x14ac:dyDescent="0.2">
      <c r="A31" s="286"/>
      <c r="B31" s="285"/>
      <c r="C31" s="285"/>
      <c r="D31" s="285"/>
      <c r="E31" s="285"/>
      <c r="F31" s="284"/>
      <c r="G31" s="323" t="str">
        <f>IF(B31="","",VLOOKUP(IF((B31-F31)*10&lt;-10,-10,IF((B31-F31)*10&gt;10,10,(B31-F31)*10)),'Rank Progression'!$K$2:$L$22,2,FALSE))</f>
        <v/>
      </c>
      <c r="I31" s="323"/>
      <c r="J31" s="323"/>
      <c r="K31" s="323"/>
      <c r="L31" s="323"/>
      <c r="M31" s="323"/>
      <c r="N31" s="323"/>
      <c r="O31" s="323"/>
    </row>
    <row r="32" spans="1:15" x14ac:dyDescent="0.2">
      <c r="A32" s="286"/>
      <c r="B32" s="285"/>
      <c r="C32" s="285"/>
      <c r="D32" s="285"/>
      <c r="E32" s="285"/>
      <c r="F32" s="284"/>
      <c r="G32" s="323" t="str">
        <f>IF(B32="","",VLOOKUP(IF((B32-F32)*10&lt;-10,-10,IF((B32-F32)*10&gt;10,10,(B32-F32)*10)),'Rank Progression'!$K$2:$L$22,2,FALSE))</f>
        <v/>
      </c>
      <c r="I32" s="323"/>
      <c r="J32" s="323"/>
      <c r="K32" s="323"/>
      <c r="L32" s="323"/>
      <c r="M32" s="323"/>
      <c r="N32" s="323"/>
      <c r="O32" s="323"/>
    </row>
    <row r="33" spans="1:15" x14ac:dyDescent="0.2">
      <c r="A33" s="286"/>
      <c r="B33" s="285"/>
      <c r="C33" s="285"/>
      <c r="D33" s="285"/>
      <c r="E33" s="285"/>
      <c r="F33" s="284"/>
      <c r="G33" s="323" t="str">
        <f>IF(B33="","",VLOOKUP(IF((B33-F33)*10&lt;-10,-10,IF((B33-F33)*10&gt;10,10,(B33-F33)*10)),'Rank Progression'!$K$2:$L$22,2,FALSE))</f>
        <v/>
      </c>
      <c r="I33" s="323"/>
      <c r="J33" s="323"/>
      <c r="K33" s="323"/>
      <c r="L33" s="323"/>
      <c r="M33" s="323"/>
      <c r="N33" s="323"/>
      <c r="O33" s="323"/>
    </row>
    <row r="34" spans="1:15" x14ac:dyDescent="0.2">
      <c r="A34" s="286"/>
      <c r="B34" s="285"/>
      <c r="C34" s="285"/>
      <c r="D34" s="285"/>
      <c r="E34" s="285"/>
      <c r="F34" s="284"/>
      <c r="G34" s="323" t="str">
        <f>IF(B34="","",VLOOKUP(IF((B34-F34)*10&lt;-10,-10,IF((B34-F34)*10&gt;10,10,(B34-F34)*10)),'Rank Progression'!$K$2:$L$22,2,FALSE))</f>
        <v/>
      </c>
      <c r="I34" s="323"/>
      <c r="J34" s="323"/>
      <c r="K34" s="323"/>
      <c r="L34" s="323"/>
      <c r="M34" s="323"/>
      <c r="N34" s="323"/>
      <c r="O34" s="323"/>
    </row>
    <row r="35" spans="1:15" x14ac:dyDescent="0.2">
      <c r="A35" s="286"/>
      <c r="B35" s="285"/>
      <c r="C35" s="285"/>
      <c r="D35" s="285"/>
      <c r="E35" s="285"/>
      <c r="F35" s="284"/>
      <c r="G35" s="323" t="str">
        <f>IF(B35="","",VLOOKUP(IF((B35-F35)*10&lt;-10,-10,IF((B35-F35)*10&gt;10,10,(B35-F35)*10)),'Rank Progression'!$K$2:$L$22,2,FALSE))</f>
        <v/>
      </c>
      <c r="I35" s="323"/>
      <c r="J35" s="323"/>
      <c r="K35" s="323"/>
      <c r="L35" s="323"/>
      <c r="M35" s="323"/>
      <c r="N35" s="323"/>
      <c r="O35" s="323"/>
    </row>
    <row r="36" spans="1:15" x14ac:dyDescent="0.2">
      <c r="A36" s="286"/>
      <c r="B36" s="285"/>
      <c r="C36" s="285"/>
      <c r="D36" s="285"/>
      <c r="E36" s="285"/>
      <c r="F36" s="284"/>
      <c r="G36" s="323" t="str">
        <f>IF(B36="","",VLOOKUP(IF((B36-F36)*10&lt;-10,-10,IF((B36-F36)*10&gt;10,10,(B36-F36)*10)),'Rank Progression'!$K$2:$L$22,2,FALSE))</f>
        <v/>
      </c>
      <c r="I36" s="323"/>
      <c r="J36" s="323"/>
      <c r="K36" s="323"/>
      <c r="L36" s="323"/>
      <c r="M36" s="323"/>
      <c r="N36" s="323"/>
      <c r="O36" s="323"/>
    </row>
    <row r="37" spans="1:15" x14ac:dyDescent="0.2">
      <c r="A37" s="286"/>
      <c r="B37" s="285"/>
      <c r="C37" s="285"/>
      <c r="D37" s="285"/>
      <c r="E37" s="285"/>
      <c r="F37" s="284"/>
      <c r="G37" s="323" t="str">
        <f>IF(B37="","",VLOOKUP(IF((B37-F37)*10&lt;-10,-10,IF((B37-F37)*10&gt;10,10,(B37-F37)*10)),'Rank Progression'!$K$2:$L$22,2,FALSE))</f>
        <v/>
      </c>
      <c r="I37" s="323"/>
      <c r="J37" s="323"/>
      <c r="K37" s="323"/>
      <c r="L37" s="323"/>
      <c r="M37" s="323"/>
      <c r="N37" s="323"/>
      <c r="O37" s="323"/>
    </row>
    <row r="38" spans="1:15" x14ac:dyDescent="0.2">
      <c r="A38" s="286"/>
      <c r="B38" s="285"/>
      <c r="C38" s="285"/>
      <c r="D38" s="285"/>
      <c r="E38" s="285"/>
      <c r="F38" s="284"/>
      <c r="G38" s="323" t="str">
        <f>IF(B38="","",VLOOKUP(IF((B38-F38)*10&lt;-10,-10,IF((B38-F38)*10&gt;10,10,(B38-F38)*10)),'Rank Progression'!$K$2:$L$22,2,FALSE))</f>
        <v/>
      </c>
      <c r="I38" s="323"/>
      <c r="J38" s="323"/>
      <c r="K38" s="323"/>
      <c r="L38" s="323"/>
      <c r="M38" s="323"/>
      <c r="N38" s="323"/>
      <c r="O38" s="323"/>
    </row>
    <row r="39" spans="1:15" x14ac:dyDescent="0.2">
      <c r="A39" s="286"/>
      <c r="B39" s="285"/>
      <c r="C39" s="285"/>
      <c r="D39" s="285"/>
      <c r="E39" s="285"/>
      <c r="F39" s="284"/>
      <c r="G39" s="323" t="str">
        <f>IF(B39="","",VLOOKUP(IF((B39-F39)*10&lt;-10,-10,IF((B39-F39)*10&gt;10,10,(B39-F39)*10)),'Rank Progression'!$K$2:$L$22,2,FALSE))</f>
        <v/>
      </c>
      <c r="I39" s="323"/>
      <c r="J39" s="323"/>
      <c r="K39" s="323"/>
      <c r="L39" s="323"/>
      <c r="M39" s="323"/>
      <c r="N39" s="323"/>
      <c r="O39" s="323"/>
    </row>
    <row r="40" spans="1:15" x14ac:dyDescent="0.2">
      <c r="A40" s="286"/>
      <c r="B40" s="285"/>
      <c r="C40" s="285"/>
      <c r="D40" s="285"/>
      <c r="E40" s="285"/>
      <c r="F40" s="284"/>
      <c r="G40" s="323" t="str">
        <f>IF(B40="","",VLOOKUP(IF((B40-F40)*10&lt;-10,-10,IF((B40-F40)*10&gt;10,10,(B40-F40)*10)),'Rank Progression'!$K$2:$L$22,2,FALSE))</f>
        <v/>
      </c>
      <c r="I40" s="323"/>
      <c r="J40" s="323"/>
      <c r="K40" s="323"/>
      <c r="L40" s="323"/>
      <c r="M40" s="323"/>
      <c r="N40" s="323"/>
      <c r="O40" s="323"/>
    </row>
    <row r="41" spans="1:15" x14ac:dyDescent="0.2">
      <c r="A41" s="286"/>
      <c r="B41" s="285"/>
      <c r="C41" s="285"/>
      <c r="D41" s="285"/>
      <c r="E41" s="285"/>
      <c r="F41" s="284"/>
      <c r="G41" s="323" t="str">
        <f>IF(B41="","",VLOOKUP(IF((B41-F41)*10&lt;-10,-10,IF((B41-F41)*10&gt;10,10,(B41-F41)*10)),'Rank Progression'!$K$2:$L$22,2,FALSE))</f>
        <v/>
      </c>
      <c r="I41" s="323"/>
      <c r="J41" s="323"/>
      <c r="K41" s="323"/>
      <c r="L41" s="323"/>
      <c r="M41" s="323"/>
      <c r="N41" s="323"/>
      <c r="O41" s="323"/>
    </row>
    <row r="42" spans="1:15" x14ac:dyDescent="0.2">
      <c r="A42" s="286"/>
      <c r="B42" s="285"/>
      <c r="C42" s="285"/>
      <c r="D42" s="285"/>
      <c r="E42" s="285"/>
      <c r="F42" s="284"/>
      <c r="G42" s="323" t="str">
        <f>IF(B42="","",VLOOKUP(IF((B42-F42)*10&lt;-10,-10,IF((B42-F42)*10&gt;10,10,(B42-F42)*10)),'Rank Progression'!$K$2:$L$22,2,FALSE))</f>
        <v/>
      </c>
      <c r="I42" s="323"/>
      <c r="J42" s="323"/>
      <c r="K42" s="323"/>
      <c r="L42" s="323"/>
      <c r="M42" s="323"/>
      <c r="N42" s="323"/>
      <c r="O42" s="323"/>
    </row>
    <row r="43" spans="1:15" x14ac:dyDescent="0.2">
      <c r="A43" s="286"/>
      <c r="B43" s="285"/>
      <c r="C43" s="285"/>
      <c r="D43" s="285"/>
      <c r="E43" s="285"/>
      <c r="F43" s="284"/>
      <c r="G43" s="323" t="str">
        <f>IF(B43="","",VLOOKUP(IF((B43-F43)*10&lt;-10,-10,IF((B43-F43)*10&gt;10,10,(B43-F43)*10)),'Rank Progression'!$K$2:$L$22,2,FALSE))</f>
        <v/>
      </c>
      <c r="I43" s="323"/>
      <c r="J43" s="323"/>
      <c r="K43" s="323"/>
      <c r="L43" s="323"/>
      <c r="M43" s="323"/>
      <c r="N43" s="323"/>
      <c r="O43" s="323"/>
    </row>
    <row r="44" spans="1:15" x14ac:dyDescent="0.2">
      <c r="A44" s="286"/>
      <c r="B44" s="285"/>
      <c r="C44" s="285"/>
      <c r="D44" s="285"/>
      <c r="E44" s="285"/>
      <c r="F44" s="284"/>
      <c r="G44" s="323" t="str">
        <f>IF(B44="","",VLOOKUP(IF((B44-F44)*10&lt;-10,-10,IF((B44-F44)*10&gt;10,10,(B44-F44)*10)),'Rank Progression'!$K$2:$L$22,2,FALSE))</f>
        <v/>
      </c>
      <c r="I44" s="323"/>
      <c r="J44" s="323"/>
      <c r="K44" s="323"/>
      <c r="L44" s="323"/>
      <c r="M44" s="323"/>
      <c r="N44" s="323"/>
      <c r="O44" s="323"/>
    </row>
    <row r="45" spans="1:15" x14ac:dyDescent="0.2">
      <c r="A45" s="286"/>
      <c r="B45" s="285"/>
      <c r="C45" s="285"/>
      <c r="D45" s="285"/>
      <c r="E45" s="285"/>
      <c r="F45" s="284"/>
      <c r="G45" s="323" t="str">
        <f>IF(B45="","",VLOOKUP(IF((B45-F45)*10&lt;-10,-10,IF((B45-F45)*10&gt;10,10,(B45-F45)*10)),'Rank Progression'!$K$2:$L$22,2,FALSE))</f>
        <v/>
      </c>
      <c r="I45" s="323"/>
      <c r="J45" s="323"/>
      <c r="K45" s="323"/>
      <c r="L45" s="323"/>
      <c r="M45" s="323"/>
      <c r="N45" s="323"/>
      <c r="O45" s="323"/>
    </row>
    <row r="46" spans="1:15" x14ac:dyDescent="0.2">
      <c r="A46" s="286"/>
      <c r="B46" s="285"/>
      <c r="C46" s="285"/>
      <c r="D46" s="285"/>
      <c r="E46" s="285"/>
      <c r="F46" s="284"/>
      <c r="G46" s="323" t="str">
        <f>IF(B46="","",VLOOKUP(IF((B46-F46)*10&lt;-10,-10,IF((B46-F46)*10&gt;10,10,(B46-F46)*10)),'Rank Progression'!$K$2:$L$22,2,FALSE))</f>
        <v/>
      </c>
      <c r="I46" s="323"/>
      <c r="J46" s="323"/>
      <c r="K46" s="323"/>
      <c r="L46" s="323"/>
      <c r="M46" s="323"/>
      <c r="N46" s="323"/>
      <c r="O46" s="323"/>
    </row>
    <row r="47" spans="1:15" x14ac:dyDescent="0.2">
      <c r="A47" s="286"/>
      <c r="B47" s="285"/>
      <c r="C47" s="285"/>
      <c r="D47" s="285"/>
      <c r="E47" s="285"/>
      <c r="F47" s="284"/>
      <c r="G47" s="323" t="str">
        <f>IF(B47="","",VLOOKUP(IF((B47-F47)*10&lt;-10,-10,IF((B47-F47)*10&gt;10,10,(B47-F47)*10)),'Rank Progression'!$K$2:$L$22,2,FALSE))</f>
        <v/>
      </c>
      <c r="I47" s="323"/>
      <c r="J47" s="323"/>
      <c r="K47" s="323"/>
      <c r="L47" s="323"/>
      <c r="M47" s="323"/>
      <c r="N47" s="323"/>
      <c r="O47" s="323"/>
    </row>
    <row r="48" spans="1:15" x14ac:dyDescent="0.2">
      <c r="A48" s="286"/>
      <c r="B48" s="285"/>
      <c r="C48" s="285"/>
      <c r="D48" s="285"/>
      <c r="E48" s="285"/>
      <c r="F48" s="284"/>
      <c r="G48" s="323" t="str">
        <f>IF(B48="","",VLOOKUP(IF((B48-F48)*10&lt;-10,-10,IF((B48-F48)*10&gt;10,10,(B48-F48)*10)),'Rank Progression'!$K$2:$L$22,2,FALSE))</f>
        <v/>
      </c>
      <c r="I48" s="323"/>
      <c r="J48" s="323"/>
      <c r="K48" s="323"/>
      <c r="L48" s="323"/>
      <c r="M48" s="323"/>
      <c r="N48" s="323"/>
      <c r="O48" s="323"/>
    </row>
    <row r="49" spans="1:15" x14ac:dyDescent="0.2">
      <c r="A49" s="286"/>
      <c r="B49" s="285"/>
      <c r="C49" s="285"/>
      <c r="D49" s="285"/>
      <c r="E49" s="285"/>
      <c r="F49" s="284"/>
      <c r="G49" s="323" t="str">
        <f>IF(B49="","",VLOOKUP(IF((B49-F49)*10&lt;-10,-10,IF((B49-F49)*10&gt;10,10,(B49-F49)*10)),'Rank Progression'!$K$2:$L$22,2,FALSE))</f>
        <v/>
      </c>
      <c r="I49" s="323"/>
      <c r="J49" s="323"/>
      <c r="K49" s="323"/>
      <c r="L49" s="323"/>
      <c r="M49" s="323"/>
      <c r="N49" s="323"/>
      <c r="O49" s="323"/>
    </row>
    <row r="50" spans="1:15" x14ac:dyDescent="0.2">
      <c r="A50" s="286"/>
      <c r="B50" s="285"/>
      <c r="C50" s="285"/>
      <c r="D50" s="285"/>
      <c r="E50" s="285"/>
      <c r="F50" s="284"/>
      <c r="G50" s="323" t="str">
        <f>IF(B50="","",VLOOKUP(IF((B50-F50)*10&lt;-10,-10,IF((B50-F50)*10&gt;10,10,(B50-F50)*10)),'Rank Progression'!$K$2:$L$22,2,FALSE))</f>
        <v/>
      </c>
      <c r="I50" s="323"/>
      <c r="J50" s="323"/>
      <c r="K50" s="323"/>
      <c r="L50" s="323"/>
      <c r="M50" s="323"/>
      <c r="N50" s="323"/>
      <c r="O50" s="323"/>
    </row>
    <row r="51" spans="1:15" x14ac:dyDescent="0.2">
      <c r="A51" s="286"/>
      <c r="B51" s="285"/>
      <c r="C51" s="285"/>
      <c r="D51" s="285"/>
      <c r="E51" s="285"/>
      <c r="F51" s="284"/>
      <c r="G51" s="323" t="str">
        <f>IF(B51="","",VLOOKUP(IF((B51-F51)*10&lt;-10,-10,IF((B51-F51)*10&gt;10,10,(B51-F51)*10)),'Rank Progression'!$K$2:$L$22,2,FALSE))</f>
        <v/>
      </c>
      <c r="I51" s="323"/>
      <c r="J51" s="323"/>
      <c r="K51" s="323"/>
      <c r="L51" s="323"/>
      <c r="M51" s="323"/>
      <c r="N51" s="323"/>
      <c r="O51" s="323"/>
    </row>
    <row r="52" spans="1:15" x14ac:dyDescent="0.2">
      <c r="A52" s="286"/>
      <c r="B52" s="285"/>
      <c r="C52" s="285"/>
      <c r="D52" s="285"/>
      <c r="E52" s="285"/>
      <c r="F52" s="284"/>
      <c r="G52" s="323" t="str">
        <f>IF(B52="","",VLOOKUP(IF((B52-F52)*10&lt;-10,-10,IF((B52-F52)*10&gt;10,10,(B52-F52)*10)),'Rank Progression'!$K$2:$L$22,2,FALSE))</f>
        <v/>
      </c>
      <c r="I52" s="323"/>
      <c r="J52" s="323"/>
      <c r="K52" s="323"/>
      <c r="L52" s="323"/>
      <c r="M52" s="323"/>
      <c r="N52" s="323"/>
      <c r="O52" s="323"/>
    </row>
    <row r="53" spans="1:15" x14ac:dyDescent="0.2">
      <c r="A53" s="286"/>
      <c r="B53" s="285"/>
      <c r="C53" s="285"/>
      <c r="D53" s="285"/>
      <c r="E53" s="285"/>
      <c r="F53" s="284"/>
      <c r="G53" s="323" t="str">
        <f>IF(B53="","",VLOOKUP(IF((B53-F53)*10&lt;-10,-10,IF((B53-F53)*10&gt;10,10,(B53-F53)*10)),'Rank Progression'!$K$2:$L$22,2,FALSE))</f>
        <v/>
      </c>
      <c r="I53" s="323"/>
      <c r="J53" s="323"/>
      <c r="K53" s="323"/>
      <c r="L53" s="323"/>
      <c r="M53" s="323"/>
      <c r="N53" s="323"/>
      <c r="O53" s="323"/>
    </row>
    <row r="54" spans="1:15" x14ac:dyDescent="0.2">
      <c r="A54" s="286"/>
      <c r="B54" s="285"/>
      <c r="C54" s="285"/>
      <c r="D54" s="285"/>
      <c r="E54" s="285"/>
      <c r="F54" s="284"/>
      <c r="G54" s="323" t="str">
        <f>IF(B54="","",VLOOKUP(IF((B54-F54)*10&lt;-10,-10,IF((B54-F54)*10&gt;10,10,(B54-F54)*10)),'Rank Progression'!$K$2:$L$22,2,FALSE))</f>
        <v/>
      </c>
      <c r="I54" s="323"/>
      <c r="J54" s="323"/>
      <c r="K54" s="323"/>
      <c r="L54" s="323"/>
      <c r="M54" s="323"/>
      <c r="N54" s="323"/>
      <c r="O54" s="323"/>
    </row>
    <row r="55" spans="1:15" x14ac:dyDescent="0.2">
      <c r="A55" s="286"/>
      <c r="B55" s="285"/>
      <c r="C55" s="285"/>
      <c r="D55" s="285"/>
      <c r="E55" s="285"/>
      <c r="F55" s="284"/>
      <c r="G55" s="323" t="str">
        <f>IF(B55="","",VLOOKUP(IF((B55-F55)*10&lt;-10,-10,IF((B55-F55)*10&gt;10,10,(B55-F55)*10)),'Rank Progression'!$K$2:$L$22,2,FALSE))</f>
        <v/>
      </c>
      <c r="I55" s="323"/>
      <c r="J55" s="323"/>
      <c r="K55" s="323"/>
      <c r="L55" s="323"/>
      <c r="M55" s="323"/>
      <c r="N55" s="323"/>
      <c r="O55" s="323"/>
    </row>
    <row r="56" spans="1:15" x14ac:dyDescent="0.2">
      <c r="A56" s="286"/>
      <c r="B56" s="285"/>
      <c r="C56" s="285"/>
      <c r="D56" s="285"/>
      <c r="E56" s="285"/>
      <c r="F56" s="284"/>
      <c r="G56" s="323" t="str">
        <f>IF(B56="","",VLOOKUP(IF((B56-F56)*10&lt;-10,-10,IF((B56-F56)*10&gt;10,10,(B56-F56)*10)),'Rank Progression'!$K$2:$L$22,2,FALSE))</f>
        <v/>
      </c>
      <c r="I56" s="323"/>
      <c r="J56" s="323"/>
      <c r="K56" s="323"/>
      <c r="L56" s="323"/>
      <c r="M56" s="323"/>
      <c r="N56" s="323"/>
      <c r="O56" s="323"/>
    </row>
    <row r="57" spans="1:15" x14ac:dyDescent="0.2">
      <c r="A57" s="286"/>
      <c r="B57" s="285"/>
      <c r="C57" s="285"/>
      <c r="D57" s="285"/>
      <c r="E57" s="285"/>
      <c r="F57" s="284"/>
      <c r="G57" s="323" t="str">
        <f>IF(B57="","",VLOOKUP(IF((B57-F57)*10&lt;-10,-10,IF((B57-F57)*10&gt;10,10,(B57-F57)*10)),'Rank Progression'!$K$2:$L$22,2,FALSE))</f>
        <v/>
      </c>
      <c r="I57" s="323"/>
      <c r="J57" s="323"/>
      <c r="K57" s="323"/>
      <c r="L57" s="323"/>
      <c r="M57" s="323"/>
      <c r="N57" s="323"/>
      <c r="O57" s="323"/>
    </row>
    <row r="58" spans="1:15" x14ac:dyDescent="0.2">
      <c r="A58" s="286"/>
      <c r="B58" s="285"/>
      <c r="C58" s="285"/>
      <c r="D58" s="285"/>
      <c r="E58" s="285"/>
      <c r="F58" s="284"/>
      <c r="G58" s="323" t="str">
        <f>IF(B58="","",VLOOKUP(IF((B58-F58)*10&lt;-10,-10,IF((B58-F58)*10&gt;10,10,(B58-F58)*10)),'Rank Progression'!$K$2:$L$22,2,FALSE))</f>
        <v/>
      </c>
      <c r="I58" s="323"/>
      <c r="J58" s="323"/>
      <c r="K58" s="323"/>
      <c r="L58" s="323"/>
      <c r="M58" s="323"/>
      <c r="N58" s="323"/>
      <c r="O58" s="323"/>
    </row>
    <row r="59" spans="1:15" x14ac:dyDescent="0.2">
      <c r="A59" s="286"/>
      <c r="B59" s="285"/>
      <c r="C59" s="285"/>
      <c r="D59" s="285"/>
      <c r="E59" s="285"/>
      <c r="F59" s="284"/>
      <c r="G59" s="323" t="str">
        <f>IF(B59="","",VLOOKUP(IF((B59-F59)*10&lt;-10,-10,IF((B59-F59)*10&gt;10,10,(B59-F59)*10)),'Rank Progression'!$K$2:$L$22,2,FALSE))</f>
        <v/>
      </c>
      <c r="I59" s="323"/>
      <c r="J59" s="323"/>
      <c r="K59" s="323"/>
      <c r="L59" s="323"/>
      <c r="M59" s="323"/>
      <c r="N59" s="323"/>
      <c r="O59" s="323"/>
    </row>
    <row r="60" spans="1:15" x14ac:dyDescent="0.2">
      <c r="A60" s="286"/>
      <c r="B60" s="285"/>
      <c r="C60" s="285"/>
      <c r="D60" s="285"/>
      <c r="E60" s="285"/>
      <c r="F60" s="284"/>
      <c r="G60" s="323" t="str">
        <f>IF(B60="","",VLOOKUP(IF((B60-F60)*10&lt;-10,-10,IF((B60-F60)*10&gt;10,10,(B60-F60)*10)),'Rank Progression'!$K$2:$L$22,2,FALSE))</f>
        <v/>
      </c>
      <c r="I60" s="323"/>
      <c r="J60" s="323"/>
      <c r="K60" s="323"/>
      <c r="L60" s="323"/>
      <c r="M60" s="323"/>
      <c r="N60" s="323"/>
      <c r="O60" s="323"/>
    </row>
    <row r="61" spans="1:15" x14ac:dyDescent="0.2">
      <c r="A61" s="286"/>
      <c r="B61" s="285"/>
      <c r="C61" s="285"/>
      <c r="D61" s="285"/>
      <c r="E61" s="285"/>
      <c r="F61" s="284"/>
      <c r="G61" s="323" t="str">
        <f>IF(B61="","",VLOOKUP(IF((B61-F61)*10&lt;-10,-10,IF((B61-F61)*10&gt;10,10,(B61-F61)*10)),'Rank Progression'!$K$2:$L$22,2,FALSE))</f>
        <v/>
      </c>
      <c r="I61" s="323"/>
      <c r="J61" s="323"/>
      <c r="K61" s="323"/>
      <c r="L61" s="323"/>
      <c r="M61" s="323"/>
      <c r="N61" s="323"/>
      <c r="O61" s="323"/>
    </row>
    <row r="62" spans="1:15" x14ac:dyDescent="0.2">
      <c r="A62" s="286"/>
      <c r="B62" s="285"/>
      <c r="C62" s="285"/>
      <c r="D62" s="285"/>
      <c r="E62" s="285"/>
      <c r="F62" s="284"/>
      <c r="G62" s="323" t="str">
        <f>IF(B62="","",VLOOKUP(IF((B62-F62)*10&lt;-10,-10,IF((B62-F62)*10&gt;10,10,(B62-F62)*10)),'Rank Progression'!$K$2:$L$22,2,FALSE))</f>
        <v/>
      </c>
      <c r="I62" s="323"/>
      <c r="J62" s="323"/>
      <c r="K62" s="323"/>
      <c r="L62" s="323"/>
      <c r="M62" s="323"/>
      <c r="N62" s="323"/>
      <c r="O62" s="323"/>
    </row>
    <row r="63" spans="1:15" x14ac:dyDescent="0.2">
      <c r="A63" s="286"/>
      <c r="B63" s="285"/>
      <c r="C63" s="285"/>
      <c r="D63" s="285"/>
      <c r="E63" s="285"/>
      <c r="F63" s="284"/>
      <c r="G63" s="323" t="str">
        <f>IF(B63="","",VLOOKUP(IF((B63-F63)*10&lt;-10,-10,IF((B63-F63)*10&gt;10,10,(B63-F63)*10)),'Rank Progression'!$K$2:$L$22,2,FALSE))</f>
        <v/>
      </c>
      <c r="I63" s="323"/>
      <c r="J63" s="323"/>
      <c r="K63" s="323"/>
      <c r="L63" s="323"/>
      <c r="M63" s="323"/>
      <c r="N63" s="323"/>
      <c r="O63" s="323"/>
    </row>
    <row r="64" spans="1:15" x14ac:dyDescent="0.2">
      <c r="A64" s="286"/>
      <c r="B64" s="285"/>
      <c r="C64" s="285"/>
      <c r="D64" s="285"/>
      <c r="E64" s="285"/>
      <c r="F64" s="284"/>
      <c r="G64" s="323" t="str">
        <f>IF(B64="","",VLOOKUP(IF((B64-F64)*10&lt;-10,-10,IF((B64-F64)*10&gt;10,10,(B64-F64)*10)),'Rank Progression'!$K$2:$L$22,2,FALSE))</f>
        <v/>
      </c>
      <c r="I64" s="323"/>
      <c r="J64" s="323"/>
      <c r="K64" s="323"/>
      <c r="L64" s="323"/>
      <c r="M64" s="323"/>
      <c r="N64" s="323"/>
      <c r="O64" s="323"/>
    </row>
    <row r="65" spans="1:15" x14ac:dyDescent="0.2">
      <c r="A65" s="286"/>
      <c r="B65" s="285"/>
      <c r="C65" s="285"/>
      <c r="D65" s="285"/>
      <c r="E65" s="285"/>
      <c r="F65" s="284"/>
      <c r="G65" s="323" t="str">
        <f>IF(B65="","",VLOOKUP(IF((B65-F65)*10&lt;-10,-10,IF((B65-F65)*10&gt;10,10,(B65-F65)*10)),'Rank Progression'!$K$2:$L$22,2,FALSE))</f>
        <v/>
      </c>
      <c r="I65" s="323"/>
      <c r="J65" s="323"/>
      <c r="K65" s="323"/>
      <c r="L65" s="323"/>
      <c r="M65" s="323"/>
      <c r="N65" s="323"/>
      <c r="O65" s="323"/>
    </row>
    <row r="66" spans="1:15" x14ac:dyDescent="0.2">
      <c r="A66" s="286"/>
      <c r="B66" s="285"/>
      <c r="C66" s="285"/>
      <c r="D66" s="285"/>
      <c r="E66" s="285"/>
      <c r="F66" s="284"/>
      <c r="G66" s="323" t="str">
        <f>IF(B66="","",VLOOKUP(IF((B66-F66)*10&lt;-10,-10,IF((B66-F66)*10&gt;10,10,(B66-F66)*10)),'Rank Progression'!$K$2:$L$22,2,FALSE))</f>
        <v/>
      </c>
      <c r="I66" s="323"/>
      <c r="J66" s="323"/>
      <c r="K66" s="323"/>
      <c r="L66" s="323"/>
      <c r="M66" s="323"/>
      <c r="N66" s="323"/>
      <c r="O66" s="323"/>
    </row>
    <row r="67" spans="1:15" x14ac:dyDescent="0.2">
      <c r="A67" s="286"/>
      <c r="B67" s="285"/>
      <c r="C67" s="285"/>
      <c r="D67" s="285"/>
      <c r="E67" s="285"/>
      <c r="F67" s="284"/>
      <c r="G67" s="323" t="str">
        <f>IF(B67="","",VLOOKUP(IF((B67-F67)*10&lt;-10,-10,IF((B67-F67)*10&gt;10,10,(B67-F67)*10)),'Rank Progression'!$K$2:$L$22,2,FALSE))</f>
        <v/>
      </c>
      <c r="I67" s="323"/>
      <c r="J67" s="323"/>
      <c r="K67" s="323"/>
      <c r="L67" s="323"/>
      <c r="M67" s="323"/>
      <c r="N67" s="323"/>
      <c r="O67" s="323"/>
    </row>
    <row r="68" spans="1:15" x14ac:dyDescent="0.2">
      <c r="A68" s="286"/>
      <c r="B68" s="285"/>
      <c r="C68" s="285"/>
      <c r="D68" s="285"/>
      <c r="E68" s="285"/>
      <c r="F68" s="284"/>
      <c r="G68" s="323" t="str">
        <f>IF(B68="","",VLOOKUP(IF((B68-F68)*10&lt;-10,-10,IF((B68-F68)*10&gt;10,10,(B68-F68)*10)),'Rank Progression'!$K$2:$L$22,2,FALSE))</f>
        <v/>
      </c>
      <c r="I68" s="323"/>
      <c r="J68" s="323"/>
      <c r="K68" s="323"/>
      <c r="L68" s="323"/>
      <c r="M68" s="323"/>
      <c r="N68" s="323"/>
      <c r="O68" s="323"/>
    </row>
    <row r="69" spans="1:15" x14ac:dyDescent="0.2">
      <c r="A69" s="286"/>
      <c r="B69" s="285"/>
      <c r="C69" s="285"/>
      <c r="D69" s="285"/>
      <c r="E69" s="285"/>
      <c r="F69" s="284"/>
      <c r="G69" s="323" t="str">
        <f>IF(B69="","",VLOOKUP(IF((B69-F69)*10&lt;-10,-10,IF((B69-F69)*10&gt;10,10,(B69-F69)*10)),'Rank Progression'!$K$2:$L$22,2,FALSE))</f>
        <v/>
      </c>
      <c r="I69" s="323"/>
      <c r="J69" s="323"/>
      <c r="K69" s="323"/>
      <c r="L69" s="323"/>
      <c r="M69" s="323"/>
      <c r="N69" s="323"/>
      <c r="O69" s="323"/>
    </row>
    <row r="70" spans="1:15" x14ac:dyDescent="0.2">
      <c r="A70" s="286"/>
      <c r="B70" s="285"/>
      <c r="C70" s="285"/>
      <c r="D70" s="285"/>
      <c r="E70" s="285"/>
      <c r="F70" s="284"/>
      <c r="G70" s="323" t="str">
        <f>IF(B70="","",VLOOKUP(IF((B70-F70)*10&lt;-10,-10,IF((B70-F70)*10&gt;10,10,(B70-F70)*10)),'Rank Progression'!$K$2:$L$22,2,FALSE))</f>
        <v/>
      </c>
      <c r="I70" s="323"/>
      <c r="J70" s="323"/>
      <c r="K70" s="323"/>
      <c r="L70" s="323"/>
      <c r="M70" s="323"/>
      <c r="N70" s="323"/>
      <c r="O70" s="323"/>
    </row>
    <row r="71" spans="1:15" x14ac:dyDescent="0.2">
      <c r="A71" s="286"/>
      <c r="B71" s="285"/>
      <c r="C71" s="285"/>
      <c r="D71" s="285"/>
      <c r="E71" s="285"/>
      <c r="F71" s="284"/>
      <c r="G71" s="323" t="str">
        <f>IF(B71="","",VLOOKUP(IF((B71-F71)*10&lt;-10,-10,IF((B71-F71)*10&gt;10,10,(B71-F71)*10)),'Rank Progression'!$K$2:$L$22,2,FALSE))</f>
        <v/>
      </c>
      <c r="I71" s="323"/>
      <c r="J71" s="323"/>
      <c r="K71" s="323"/>
      <c r="L71" s="323"/>
      <c r="M71" s="323"/>
      <c r="N71" s="323"/>
      <c r="O71" s="323"/>
    </row>
    <row r="72" spans="1:15" x14ac:dyDescent="0.2">
      <c r="A72" s="286"/>
      <c r="B72" s="285"/>
      <c r="C72" s="285"/>
      <c r="D72" s="285"/>
      <c r="E72" s="285"/>
      <c r="F72" s="284"/>
      <c r="G72" s="323" t="str">
        <f>IF(B72="","",VLOOKUP(IF((B72-F72)*10&lt;-10,-10,IF((B72-F72)*10&gt;10,10,(B72-F72)*10)),'Rank Progression'!$K$2:$L$22,2,FALSE))</f>
        <v/>
      </c>
      <c r="I72" s="323"/>
      <c r="J72" s="323"/>
      <c r="K72" s="323"/>
      <c r="L72" s="323"/>
      <c r="M72" s="323"/>
      <c r="N72" s="323"/>
      <c r="O72" s="323"/>
    </row>
    <row r="73" spans="1:15" x14ac:dyDescent="0.2">
      <c r="A73" s="286"/>
      <c r="B73" s="285"/>
      <c r="C73" s="285"/>
      <c r="D73" s="285"/>
      <c r="E73" s="285"/>
      <c r="F73" s="284"/>
      <c r="G73" s="323" t="str">
        <f>IF(B73="","",VLOOKUP(IF((B73-F73)*10&lt;-10,-10,IF((B73-F73)*10&gt;10,10,(B73-F73)*10)),'Rank Progression'!$K$2:$L$22,2,FALSE))</f>
        <v/>
      </c>
      <c r="I73" s="323"/>
      <c r="J73" s="323"/>
      <c r="K73" s="323"/>
      <c r="L73" s="323"/>
      <c r="M73" s="323"/>
      <c r="N73" s="323"/>
      <c r="O73" s="323"/>
    </row>
    <row r="74" spans="1:15" x14ac:dyDescent="0.2">
      <c r="A74" s="286"/>
      <c r="B74" s="285"/>
      <c r="C74" s="285"/>
      <c r="D74" s="285"/>
      <c r="E74" s="285"/>
      <c r="F74" s="284"/>
      <c r="G74" s="323" t="str">
        <f>IF(B74="","",VLOOKUP(IF((B74-F74)*10&lt;-10,-10,IF((B74-F74)*10&gt;10,10,(B74-F74)*10)),'Rank Progression'!$K$2:$L$22,2,FALSE))</f>
        <v/>
      </c>
      <c r="I74" s="323"/>
      <c r="J74" s="323"/>
      <c r="K74" s="323"/>
      <c r="L74" s="323"/>
      <c r="M74" s="323"/>
      <c r="N74" s="323"/>
      <c r="O74" s="323"/>
    </row>
    <row r="75" spans="1:15" x14ac:dyDescent="0.2">
      <c r="A75" s="286"/>
      <c r="B75" s="285"/>
      <c r="C75" s="285"/>
      <c r="D75" s="285"/>
      <c r="E75" s="285"/>
      <c r="F75" s="284"/>
      <c r="G75" s="323" t="str">
        <f>IF(B75="","",VLOOKUP(IF((B75-F75)*10&lt;-10,-10,IF((B75-F75)*10&gt;10,10,(B75-F75)*10)),'Rank Progression'!$K$2:$L$22,2,FALSE))</f>
        <v/>
      </c>
      <c r="I75" s="323"/>
      <c r="J75" s="323"/>
      <c r="K75" s="323"/>
      <c r="L75" s="323"/>
      <c r="M75" s="323"/>
      <c r="N75" s="323"/>
      <c r="O75" s="323"/>
    </row>
    <row r="76" spans="1:15" x14ac:dyDescent="0.2">
      <c r="A76" s="286"/>
      <c r="B76" s="285"/>
      <c r="C76" s="285"/>
      <c r="D76" s="285"/>
      <c r="E76" s="285"/>
      <c r="F76" s="284"/>
      <c r="G76" s="323" t="str">
        <f>IF(B76="","",VLOOKUP(IF((B76-F76)*10&lt;-10,-10,IF((B76-F76)*10&gt;10,10,(B76-F76)*10)),'Rank Progression'!$K$2:$L$22,2,FALSE))</f>
        <v/>
      </c>
      <c r="I76" s="323"/>
      <c r="J76" s="323"/>
      <c r="K76" s="323"/>
      <c r="L76" s="323"/>
      <c r="M76" s="323"/>
      <c r="N76" s="323"/>
      <c r="O76" s="323"/>
    </row>
    <row r="77" spans="1:15" x14ac:dyDescent="0.2">
      <c r="A77" s="286"/>
      <c r="B77" s="285"/>
      <c r="C77" s="285"/>
      <c r="D77" s="285"/>
      <c r="E77" s="285"/>
      <c r="F77" s="284"/>
      <c r="G77" s="323" t="str">
        <f>IF(B77="","",VLOOKUP(IF((B77-F77)*10&lt;-10,-10,IF((B77-F77)*10&gt;10,10,(B77-F77)*10)),'Rank Progression'!$K$2:$L$22,2,FALSE))</f>
        <v/>
      </c>
      <c r="I77" s="323"/>
      <c r="J77" s="323"/>
      <c r="K77" s="323"/>
      <c r="L77" s="323"/>
      <c r="M77" s="323"/>
      <c r="N77" s="323"/>
      <c r="O77" s="323"/>
    </row>
    <row r="78" spans="1:15" x14ac:dyDescent="0.2">
      <c r="A78" s="286"/>
      <c r="B78" s="285"/>
      <c r="C78" s="285"/>
      <c r="D78" s="285"/>
      <c r="E78" s="285"/>
      <c r="F78" s="284"/>
      <c r="G78" s="323" t="str">
        <f>IF(B78="","",VLOOKUP(IF((B78-F78)*10&lt;-10,-10,IF((B78-F78)*10&gt;10,10,(B78-F78)*10)),'Rank Progression'!$K$2:$L$22,2,FALSE))</f>
        <v/>
      </c>
      <c r="I78" s="323"/>
      <c r="J78" s="323"/>
      <c r="K78" s="323"/>
      <c r="L78" s="323"/>
      <c r="M78" s="323"/>
      <c r="N78" s="323"/>
      <c r="O78" s="323"/>
    </row>
    <row r="79" spans="1:15" x14ac:dyDescent="0.2">
      <c r="A79" s="286"/>
      <c r="B79" s="285"/>
      <c r="C79" s="285"/>
      <c r="D79" s="285"/>
      <c r="E79" s="285"/>
      <c r="F79" s="284"/>
      <c r="G79" s="323" t="str">
        <f>IF(B79="","",VLOOKUP(IF((B79-F79)*10&lt;-10,-10,IF((B79-F79)*10&gt;10,10,(B79-F79)*10)),'Rank Progression'!$K$2:$L$22,2,FALSE))</f>
        <v/>
      </c>
      <c r="I79" s="323"/>
      <c r="J79" s="323"/>
      <c r="K79" s="323"/>
      <c r="L79" s="323"/>
      <c r="M79" s="323"/>
      <c r="N79" s="323"/>
      <c r="O79" s="323"/>
    </row>
    <row r="80" spans="1:15" x14ac:dyDescent="0.2">
      <c r="A80" s="286"/>
      <c r="B80" s="285"/>
      <c r="C80" s="285"/>
      <c r="D80" s="285"/>
      <c r="E80" s="285"/>
      <c r="F80" s="284"/>
      <c r="G80" s="323" t="str">
        <f>IF(B80="","",VLOOKUP(IF((B80-F80)*10&lt;-10,-10,IF((B80-F80)*10&gt;10,10,(B80-F80)*10)),'Rank Progression'!$K$2:$L$22,2,FALSE))</f>
        <v/>
      </c>
      <c r="I80" s="323"/>
      <c r="J80" s="323"/>
      <c r="K80" s="323"/>
      <c r="L80" s="323"/>
      <c r="M80" s="323"/>
      <c r="N80" s="323"/>
      <c r="O80" s="323"/>
    </row>
    <row r="81" spans="1:15" x14ac:dyDescent="0.2">
      <c r="A81" s="286"/>
      <c r="B81" s="285"/>
      <c r="C81" s="285"/>
      <c r="D81" s="285"/>
      <c r="E81" s="285"/>
      <c r="F81" s="284"/>
      <c r="G81" s="323" t="str">
        <f>IF(B81="","",VLOOKUP(IF((B81-F81)*10&lt;-10,-10,IF((B81-F81)*10&gt;10,10,(B81-F81)*10)),'Rank Progression'!$K$2:$L$22,2,FALSE))</f>
        <v/>
      </c>
      <c r="I81" s="323"/>
      <c r="J81" s="323"/>
      <c r="K81" s="323"/>
      <c r="L81" s="323"/>
      <c r="M81" s="323"/>
      <c r="N81" s="323"/>
      <c r="O81" s="323"/>
    </row>
    <row r="82" spans="1:15" x14ac:dyDescent="0.2">
      <c r="A82" s="286"/>
      <c r="B82" s="285"/>
      <c r="C82" s="285"/>
      <c r="D82" s="285"/>
      <c r="E82" s="285"/>
      <c r="F82" s="284"/>
      <c r="G82" s="323" t="str">
        <f>IF(B82="","",VLOOKUP(IF((B82-F82)*10&lt;-10,-10,IF((B82-F82)*10&gt;10,10,(B82-F82)*10)),'Rank Progression'!$K$2:$L$22,2,FALSE))</f>
        <v/>
      </c>
      <c r="I82" s="323"/>
      <c r="J82" s="323"/>
      <c r="K82" s="323"/>
      <c r="L82" s="323"/>
      <c r="M82" s="323"/>
      <c r="N82" s="323"/>
      <c r="O82" s="323"/>
    </row>
    <row r="83" spans="1:15" x14ac:dyDescent="0.2">
      <c r="A83" s="286"/>
      <c r="B83" s="285"/>
      <c r="C83" s="285"/>
      <c r="D83" s="285"/>
      <c r="E83" s="285"/>
      <c r="F83" s="284"/>
      <c r="G83" s="323" t="str">
        <f>IF(B83="","",VLOOKUP(IF((B83-F83)*10&lt;-10,-10,IF((B83-F83)*10&gt;10,10,(B83-F83)*10)),'Rank Progression'!$K$2:$L$22,2,FALSE))</f>
        <v/>
      </c>
      <c r="I83" s="323"/>
      <c r="J83" s="323"/>
      <c r="K83" s="323"/>
      <c r="L83" s="323"/>
      <c r="M83" s="323"/>
      <c r="N83" s="323"/>
      <c r="O83" s="323"/>
    </row>
    <row r="84" spans="1:15" x14ac:dyDescent="0.2">
      <c r="A84" s="286"/>
      <c r="B84" s="285"/>
      <c r="C84" s="285"/>
      <c r="D84" s="285"/>
      <c r="E84" s="285"/>
      <c r="F84" s="284"/>
      <c r="G84" s="323" t="str">
        <f>IF(B84="","",VLOOKUP(IF((B84-F84)*10&lt;-10,-10,IF((B84-F84)*10&gt;10,10,(B84-F84)*10)),'Rank Progression'!$K$2:$L$22,2,FALSE))</f>
        <v/>
      </c>
      <c r="I84" s="323"/>
      <c r="J84" s="323"/>
      <c r="K84" s="323"/>
      <c r="L84" s="323"/>
      <c r="M84" s="323"/>
      <c r="N84" s="323"/>
      <c r="O84" s="323"/>
    </row>
    <row r="85" spans="1:15" x14ac:dyDescent="0.2">
      <c r="A85" s="286"/>
      <c r="B85" s="285"/>
      <c r="C85" s="285"/>
      <c r="D85" s="285"/>
      <c r="E85" s="285"/>
      <c r="F85" s="284"/>
      <c r="G85" s="323" t="str">
        <f>IF(B85="","",VLOOKUP(IF((B85-F85)*10&lt;-10,-10,IF((B85-F85)*10&gt;10,10,(B85-F85)*10)),'Rank Progression'!$K$2:$L$22,2,FALSE))</f>
        <v/>
      </c>
      <c r="I85" s="323"/>
      <c r="J85" s="323"/>
      <c r="K85" s="323"/>
      <c r="L85" s="323"/>
      <c r="M85" s="323"/>
      <c r="N85" s="323"/>
      <c r="O85" s="323"/>
    </row>
    <row r="86" spans="1:15" x14ac:dyDescent="0.2">
      <c r="A86" s="286"/>
      <c r="B86" s="285"/>
      <c r="C86" s="285"/>
      <c r="D86" s="285"/>
      <c r="E86" s="285"/>
      <c r="F86" s="284"/>
      <c r="G86" s="323" t="str">
        <f>IF(B86="","",VLOOKUP(IF((B86-F86)*10&lt;-10,-10,IF((B86-F86)*10&gt;10,10,(B86-F86)*10)),'Rank Progression'!$K$2:$L$22,2,FALSE))</f>
        <v/>
      </c>
      <c r="I86" s="323"/>
      <c r="J86" s="323"/>
      <c r="K86" s="323"/>
      <c r="L86" s="323"/>
      <c r="M86" s="323"/>
      <c r="N86" s="323"/>
      <c r="O86" s="323"/>
    </row>
    <row r="87" spans="1:15" x14ac:dyDescent="0.2">
      <c r="A87" s="286"/>
      <c r="B87" s="285"/>
      <c r="C87" s="285"/>
      <c r="D87" s="285"/>
      <c r="E87" s="285"/>
      <c r="F87" s="284"/>
      <c r="G87" s="323" t="str">
        <f>IF(B87="","",VLOOKUP(IF((B87-F87)*10&lt;-10,-10,IF((B87-F87)*10&gt;10,10,(B87-F87)*10)),'Rank Progression'!$K$2:$L$22,2,FALSE))</f>
        <v/>
      </c>
      <c r="I87" s="323"/>
      <c r="J87" s="323"/>
      <c r="K87" s="323"/>
      <c r="L87" s="323"/>
      <c r="M87" s="323"/>
      <c r="N87" s="323"/>
      <c r="O87" s="323"/>
    </row>
    <row r="88" spans="1:15" x14ac:dyDescent="0.2">
      <c r="A88" s="286"/>
      <c r="B88" s="285"/>
      <c r="C88" s="285"/>
      <c r="D88" s="285"/>
      <c r="E88" s="285"/>
      <c r="F88" s="284"/>
      <c r="G88" s="323" t="str">
        <f>IF(B88="","",VLOOKUP(IF((B88-F88)*10&lt;-10,-10,IF((B88-F88)*10&gt;10,10,(B88-F88)*10)),'Rank Progression'!$K$2:$L$22,2,FALSE))</f>
        <v/>
      </c>
      <c r="I88" s="323"/>
      <c r="J88" s="323"/>
      <c r="K88" s="323"/>
      <c r="L88" s="323"/>
      <c r="M88" s="323"/>
      <c r="N88" s="323"/>
      <c r="O88" s="323"/>
    </row>
    <row r="89" spans="1:15" x14ac:dyDescent="0.2">
      <c r="A89" s="286"/>
      <c r="B89" s="285"/>
      <c r="C89" s="285"/>
      <c r="D89" s="285"/>
      <c r="E89" s="285"/>
      <c r="F89" s="284"/>
      <c r="G89" s="323" t="str">
        <f>IF(B89="","",VLOOKUP(IF((B89-F89)*10&lt;-10,-10,IF((B89-F89)*10&gt;10,10,(B89-F89)*10)),'Rank Progression'!$K$2:$L$22,2,FALSE))</f>
        <v/>
      </c>
      <c r="I89" s="323"/>
      <c r="J89" s="323"/>
      <c r="K89" s="323"/>
      <c r="L89" s="323"/>
      <c r="M89" s="323"/>
      <c r="N89" s="323"/>
      <c r="O89" s="323"/>
    </row>
    <row r="90" spans="1:15" x14ac:dyDescent="0.2">
      <c r="A90" s="286"/>
      <c r="B90" s="285"/>
      <c r="C90" s="285"/>
      <c r="D90" s="285"/>
      <c r="E90" s="285"/>
      <c r="F90" s="284"/>
      <c r="G90" s="323" t="str">
        <f>IF(B90="","",VLOOKUP(IF((B90-F90)*10&lt;-10,-10,IF((B90-F90)*10&gt;10,10,(B90-F90)*10)),'Rank Progression'!$K$2:$L$22,2,FALSE))</f>
        <v/>
      </c>
      <c r="I90" s="323"/>
      <c r="J90" s="323"/>
      <c r="K90" s="323"/>
      <c r="L90" s="323"/>
      <c r="M90" s="323"/>
      <c r="N90" s="323"/>
      <c r="O90" s="323"/>
    </row>
    <row r="91" spans="1:15" x14ac:dyDescent="0.2">
      <c r="A91" s="286"/>
      <c r="B91" s="285"/>
      <c r="C91" s="285"/>
      <c r="D91" s="285"/>
      <c r="E91" s="285"/>
      <c r="F91" s="284"/>
      <c r="G91" s="323" t="str">
        <f>IF(B91="","",VLOOKUP(IF((B91-F91)*10&lt;-10,-10,IF((B91-F91)*10&gt;10,10,(B91-F91)*10)),'Rank Progression'!$K$2:$L$22,2,FALSE))</f>
        <v/>
      </c>
      <c r="I91" s="323"/>
      <c r="J91" s="323"/>
      <c r="K91" s="323"/>
      <c r="L91" s="323"/>
      <c r="M91" s="323"/>
      <c r="N91" s="323"/>
      <c r="O91" s="323"/>
    </row>
    <row r="92" spans="1:15" x14ac:dyDescent="0.2">
      <c r="A92" s="286"/>
      <c r="B92" s="285"/>
      <c r="C92" s="285"/>
      <c r="D92" s="285"/>
      <c r="E92" s="285"/>
      <c r="F92" s="284"/>
      <c r="G92" s="323" t="str">
        <f>IF(B92="","",VLOOKUP(IF((B92-F92)*10&lt;-10,-10,IF((B92-F92)*10&gt;10,10,(B92-F92)*10)),'Rank Progression'!$K$2:$L$22,2,FALSE))</f>
        <v/>
      </c>
      <c r="I92" s="323"/>
      <c r="J92" s="323"/>
      <c r="K92" s="323"/>
      <c r="L92" s="323"/>
      <c r="M92" s="323"/>
      <c r="N92" s="323"/>
      <c r="O92" s="323"/>
    </row>
    <row r="93" spans="1:15" x14ac:dyDescent="0.2">
      <c r="A93" s="286"/>
      <c r="B93" s="285"/>
      <c r="C93" s="285"/>
      <c r="D93" s="285"/>
      <c r="E93" s="285"/>
      <c r="F93" s="284"/>
      <c r="G93" s="323" t="str">
        <f>IF(B93="","",VLOOKUP(IF((B93-F93)*10&lt;-10,-10,IF((B93-F93)*10&gt;10,10,(B93-F93)*10)),'Rank Progression'!$K$2:$L$22,2,FALSE))</f>
        <v/>
      </c>
      <c r="I93" s="323"/>
      <c r="J93" s="323"/>
      <c r="K93" s="323"/>
      <c r="L93" s="323"/>
      <c r="M93" s="323"/>
      <c r="N93" s="323"/>
      <c r="O93" s="323"/>
    </row>
    <row r="94" spans="1:15" x14ac:dyDescent="0.2">
      <c r="A94" s="286"/>
      <c r="B94" s="285"/>
      <c r="C94" s="285"/>
      <c r="D94" s="285"/>
      <c r="E94" s="285"/>
      <c r="F94" s="284"/>
      <c r="G94" s="323" t="str">
        <f>IF(B94="","",VLOOKUP(IF((B94-F94)*10&lt;-10,-10,IF((B94-F94)*10&gt;10,10,(B94-F94)*10)),'Rank Progression'!$K$2:$L$22,2,FALSE))</f>
        <v/>
      </c>
      <c r="I94" s="323"/>
      <c r="J94" s="323"/>
      <c r="K94" s="323"/>
      <c r="L94" s="323"/>
      <c r="M94" s="323"/>
      <c r="N94" s="323"/>
      <c r="O94" s="323"/>
    </row>
    <row r="95" spans="1:15" x14ac:dyDescent="0.2">
      <c r="A95" s="286"/>
      <c r="B95" s="285"/>
      <c r="C95" s="285"/>
      <c r="D95" s="285"/>
      <c r="E95" s="285"/>
      <c r="F95" s="284"/>
      <c r="G95" s="323" t="str">
        <f>IF(B95="","",VLOOKUP(IF((B95-F95)*10&lt;-10,-10,IF((B95-F95)*10&gt;10,10,(B95-F95)*10)),'Rank Progression'!$K$2:$L$22,2,FALSE))</f>
        <v/>
      </c>
      <c r="I95" s="323"/>
      <c r="J95" s="323"/>
      <c r="K95" s="323"/>
      <c r="L95" s="323"/>
      <c r="M95" s="323"/>
      <c r="N95" s="323"/>
      <c r="O95" s="323"/>
    </row>
    <row r="96" spans="1:15" x14ac:dyDescent="0.2">
      <c r="A96" s="286"/>
      <c r="B96" s="285"/>
      <c r="C96" s="285"/>
      <c r="D96" s="285"/>
      <c r="E96" s="285"/>
      <c r="F96" s="284"/>
      <c r="G96" s="323" t="str">
        <f>IF(B96="","",VLOOKUP(IF((B96-F96)*10&lt;-10,-10,IF((B96-F96)*10&gt;10,10,(B96-F96)*10)),'Rank Progression'!$K$2:$L$22,2,FALSE))</f>
        <v/>
      </c>
      <c r="I96" s="323"/>
      <c r="J96" s="323"/>
      <c r="K96" s="323"/>
      <c r="L96" s="323"/>
      <c r="M96" s="323"/>
      <c r="N96" s="323"/>
      <c r="O96" s="323"/>
    </row>
    <row r="97" spans="1:15" x14ac:dyDescent="0.2">
      <c r="A97" s="286"/>
      <c r="B97" s="285"/>
      <c r="C97" s="285"/>
      <c r="D97" s="285"/>
      <c r="E97" s="285"/>
      <c r="F97" s="284"/>
      <c r="G97" s="323" t="str">
        <f>IF(B97="","",VLOOKUP(IF((B97-F97)*10&lt;-10,-10,IF((B97-F97)*10&gt;10,10,(B97-F97)*10)),'Rank Progression'!$K$2:$L$22,2,FALSE))</f>
        <v/>
      </c>
      <c r="I97" s="323"/>
      <c r="J97" s="323"/>
      <c r="K97" s="323"/>
      <c r="L97" s="323"/>
      <c r="M97" s="323"/>
      <c r="N97" s="323"/>
      <c r="O97" s="323"/>
    </row>
    <row r="98" spans="1:15" x14ac:dyDescent="0.2">
      <c r="A98" s="286"/>
      <c r="B98" s="285"/>
      <c r="C98" s="285"/>
      <c r="D98" s="285"/>
      <c r="E98" s="285"/>
      <c r="F98" s="284"/>
      <c r="G98" s="323" t="str">
        <f>IF(B98="","",VLOOKUP(IF((B98-F98)*10&lt;-10,-10,IF((B98-F98)*10&gt;10,10,(B98-F98)*10)),'Rank Progression'!$K$2:$L$22,2,FALSE))</f>
        <v/>
      </c>
      <c r="I98" s="323"/>
      <c r="J98" s="323"/>
      <c r="K98" s="323"/>
      <c r="L98" s="323"/>
      <c r="M98" s="323"/>
      <c r="N98" s="323"/>
      <c r="O98" s="323"/>
    </row>
    <row r="99" spans="1:15" x14ac:dyDescent="0.2">
      <c r="A99" s="286"/>
      <c r="B99" s="285"/>
      <c r="C99" s="285"/>
      <c r="D99" s="285"/>
      <c r="E99" s="285"/>
      <c r="F99" s="284"/>
      <c r="G99" s="323" t="str">
        <f>IF(B99="","",VLOOKUP(IF((B99-F99)*10&lt;-10,-10,IF((B99-F99)*10&gt;10,10,(B99-F99)*10)),'Rank Progression'!$K$2:$L$22,2,FALSE))</f>
        <v/>
      </c>
      <c r="I99" s="323"/>
      <c r="J99" s="323"/>
      <c r="K99" s="323"/>
      <c r="L99" s="323"/>
      <c r="M99" s="323"/>
      <c r="N99" s="323"/>
      <c r="O99" s="323"/>
    </row>
    <row r="100" spans="1:15" x14ac:dyDescent="0.2">
      <c r="A100" s="286"/>
      <c r="B100" s="285"/>
      <c r="C100" s="285"/>
      <c r="D100" s="285"/>
      <c r="E100" s="285"/>
      <c r="F100" s="284"/>
      <c r="G100" s="323" t="str">
        <f>IF(B100="","",VLOOKUP(IF((B100-F100)*10&lt;-10,-10,IF((B100-F100)*10&gt;10,10,(B100-F100)*10)),'Rank Progression'!$K$2:$L$22,2,FALSE))</f>
        <v/>
      </c>
      <c r="I100" s="323"/>
      <c r="J100" s="323"/>
      <c r="K100" s="323"/>
      <c r="L100" s="323"/>
      <c r="M100" s="323"/>
      <c r="N100" s="323"/>
      <c r="O100" s="323"/>
    </row>
    <row r="101" spans="1:15" x14ac:dyDescent="0.2">
      <c r="A101" s="286"/>
      <c r="B101" s="285"/>
      <c r="C101" s="285"/>
      <c r="D101" s="285"/>
      <c r="E101" s="285"/>
      <c r="F101" s="284"/>
      <c r="G101" s="323" t="str">
        <f>IF(B101="","",VLOOKUP(IF((B101-F101)*10&lt;-10,-10,IF((B101-F101)*10&gt;10,10,(B101-F101)*10)),'Rank Progression'!$K$2:$L$22,2,FALSE))</f>
        <v/>
      </c>
      <c r="I101" s="323"/>
      <c r="J101" s="323"/>
      <c r="K101" s="323"/>
      <c r="L101" s="323"/>
      <c r="M101" s="323"/>
      <c r="N101" s="323"/>
      <c r="O101" s="323"/>
    </row>
    <row r="102" spans="1:15" x14ac:dyDescent="0.2">
      <c r="A102" s="286"/>
      <c r="B102" s="285"/>
      <c r="C102" s="285"/>
      <c r="D102" s="285"/>
      <c r="E102" s="285"/>
      <c r="F102" s="284"/>
      <c r="G102" s="323" t="str">
        <f>IF(B102="","",VLOOKUP(IF((B102-F102)*10&lt;-10,-10,IF((B102-F102)*10&gt;10,10,(B102-F102)*10)),'Rank Progression'!$K$2:$L$22,2,FALSE))</f>
        <v/>
      </c>
      <c r="I102" s="323"/>
      <c r="J102" s="323"/>
      <c r="K102" s="323"/>
      <c r="L102" s="323"/>
      <c r="M102" s="323"/>
      <c r="N102" s="323"/>
      <c r="O102" s="323"/>
    </row>
    <row r="103" spans="1:15" x14ac:dyDescent="0.2">
      <c r="A103" s="286"/>
      <c r="B103" s="285"/>
      <c r="C103" s="285"/>
      <c r="D103" s="285"/>
      <c r="E103" s="285"/>
      <c r="F103" s="284"/>
      <c r="G103" s="323" t="str">
        <f>IF(B103="","",VLOOKUP(IF((B103-F103)*10&lt;-10,-10,IF((B103-F103)*10&gt;10,10,(B103-F103)*10)),'Rank Progression'!$K$2:$L$22,2,FALSE))</f>
        <v/>
      </c>
      <c r="I103" s="323"/>
      <c r="J103" s="323"/>
      <c r="K103" s="323"/>
      <c r="L103" s="323"/>
      <c r="M103" s="323"/>
      <c r="N103" s="323"/>
      <c r="O103" s="323"/>
    </row>
    <row r="104" spans="1:15" x14ac:dyDescent="0.2">
      <c r="A104" s="286"/>
      <c r="B104" s="285"/>
      <c r="C104" s="285"/>
      <c r="D104" s="285"/>
      <c r="E104" s="285"/>
      <c r="F104" s="284"/>
      <c r="G104" s="323" t="str">
        <f>IF(B104="","",VLOOKUP(IF((B104-F104)*10&lt;-10,-10,IF((B104-F104)*10&gt;10,10,(B104-F104)*10)),'Rank Progression'!$K$2:$L$22,2,FALSE))</f>
        <v/>
      </c>
      <c r="I104" s="323"/>
      <c r="J104" s="323"/>
      <c r="K104" s="323"/>
      <c r="L104" s="323"/>
      <c r="M104" s="323"/>
      <c r="N104" s="323"/>
      <c r="O104" s="323"/>
    </row>
    <row r="105" spans="1:15" x14ac:dyDescent="0.2">
      <c r="A105" s="286"/>
      <c r="B105" s="285"/>
      <c r="C105" s="285"/>
      <c r="D105" s="285"/>
      <c r="E105" s="285"/>
      <c r="F105" s="284"/>
      <c r="G105" s="323" t="str">
        <f>IF(B105="","",VLOOKUP(IF((B105-F105)*10&lt;-10,-10,IF((B105-F105)*10&gt;10,10,(B105-F105)*10)),'Rank Progression'!$K$2:$L$22,2,FALSE))</f>
        <v/>
      </c>
      <c r="I105" s="323"/>
      <c r="J105" s="323"/>
      <c r="K105" s="323"/>
      <c r="L105" s="323"/>
      <c r="M105" s="323"/>
      <c r="N105" s="323"/>
      <c r="O105" s="323"/>
    </row>
    <row r="106" spans="1:15" x14ac:dyDescent="0.2">
      <c r="A106" s="286"/>
      <c r="B106" s="285"/>
      <c r="C106" s="285"/>
      <c r="D106" s="285"/>
      <c r="E106" s="285"/>
      <c r="F106" s="284"/>
      <c r="G106" s="323" t="str">
        <f>IF(B106="","",VLOOKUP(IF((B106-F106)*10&lt;-10,-10,IF((B106-F106)*10&gt;10,10,(B106-F106)*10)),'Rank Progression'!$K$2:$L$22,2,FALSE))</f>
        <v/>
      </c>
      <c r="I106" s="323"/>
      <c r="J106" s="323"/>
      <c r="K106" s="323"/>
      <c r="L106" s="323"/>
      <c r="M106" s="323"/>
      <c r="N106" s="323"/>
      <c r="O106" s="323"/>
    </row>
    <row r="107" spans="1:15" x14ac:dyDescent="0.2">
      <c r="A107" s="286"/>
      <c r="B107" s="285"/>
      <c r="C107" s="285"/>
      <c r="D107" s="285"/>
      <c r="E107" s="285"/>
      <c r="F107" s="284"/>
      <c r="G107" s="323" t="str">
        <f>IF(B107="","",VLOOKUP(IF((B107-F107)*10&lt;-10,-10,IF((B107-F107)*10&gt;10,10,(B107-F107)*10)),'Rank Progression'!$K$2:$L$22,2,FALSE))</f>
        <v/>
      </c>
      <c r="I107" s="323"/>
      <c r="J107" s="323"/>
      <c r="K107" s="323"/>
      <c r="L107" s="323"/>
      <c r="M107" s="323"/>
      <c r="N107" s="323"/>
      <c r="O107" s="323"/>
    </row>
    <row r="108" spans="1:15" x14ac:dyDescent="0.2">
      <c r="A108" s="286"/>
      <c r="B108" s="285"/>
      <c r="C108" s="285"/>
      <c r="D108" s="285"/>
      <c r="E108" s="285"/>
      <c r="F108" s="284"/>
      <c r="G108" s="323" t="str">
        <f>IF(B108="","",VLOOKUP(IF((B108-F108)*10&lt;-10,-10,IF((B108-F108)*10&gt;10,10,(B108-F108)*10)),'Rank Progression'!$K$2:$L$22,2,FALSE))</f>
        <v/>
      </c>
      <c r="I108" s="323"/>
      <c r="J108" s="323"/>
      <c r="K108" s="323"/>
      <c r="L108" s="323"/>
      <c r="M108" s="323"/>
      <c r="N108" s="323"/>
      <c r="O108" s="323"/>
    </row>
    <row r="109" spans="1:15" x14ac:dyDescent="0.2">
      <c r="A109" s="286"/>
      <c r="B109" s="285"/>
      <c r="C109" s="285"/>
      <c r="D109" s="285"/>
      <c r="E109" s="285"/>
      <c r="F109" s="284"/>
      <c r="G109" s="323" t="str">
        <f>IF(B109="","",VLOOKUP(IF((B109-F109)*10&lt;-10,-10,IF((B109-F109)*10&gt;10,10,(B109-F109)*10)),'Rank Progression'!$K$2:$L$22,2,FALSE))</f>
        <v/>
      </c>
      <c r="I109" s="323"/>
      <c r="J109" s="323"/>
      <c r="K109" s="323"/>
      <c r="L109" s="323"/>
      <c r="M109" s="323"/>
      <c r="N109" s="323"/>
      <c r="O109" s="323"/>
    </row>
    <row r="110" spans="1:15" x14ac:dyDescent="0.2">
      <c r="A110" s="286"/>
      <c r="B110" s="285"/>
      <c r="C110" s="285"/>
      <c r="D110" s="285"/>
      <c r="E110" s="285"/>
      <c r="F110" s="284"/>
      <c r="G110" s="323" t="str">
        <f>IF(B110="","",VLOOKUP(IF((B110-F110)*10&lt;-10,-10,IF((B110-F110)*10&gt;10,10,(B110-F110)*10)),'Rank Progression'!$K$2:$L$22,2,FALSE))</f>
        <v/>
      </c>
      <c r="I110" s="323"/>
      <c r="J110" s="323"/>
      <c r="K110" s="323"/>
      <c r="L110" s="323"/>
      <c r="M110" s="323"/>
      <c r="N110" s="323"/>
      <c r="O110" s="323"/>
    </row>
    <row r="111" spans="1:15" x14ac:dyDescent="0.2">
      <c r="A111" s="286"/>
      <c r="B111" s="285"/>
      <c r="C111" s="285"/>
      <c r="D111" s="285"/>
      <c r="E111" s="285"/>
      <c r="F111" s="284"/>
      <c r="G111" s="323" t="str">
        <f>IF(B111="","",VLOOKUP(IF((B111-F111)*10&lt;-10,-10,IF((B111-F111)*10&gt;10,10,(B111-F111)*10)),'Rank Progression'!$K$2:$L$22,2,FALSE))</f>
        <v/>
      </c>
      <c r="I111" s="323"/>
      <c r="J111" s="323"/>
      <c r="K111" s="323"/>
      <c r="L111" s="323"/>
      <c r="M111" s="323"/>
      <c r="N111" s="323"/>
      <c r="O111" s="323"/>
    </row>
    <row r="112" spans="1:15" x14ac:dyDescent="0.2">
      <c r="A112" s="286"/>
      <c r="B112" s="285"/>
      <c r="C112" s="285"/>
      <c r="D112" s="285"/>
      <c r="E112" s="285"/>
      <c r="F112" s="284"/>
      <c r="G112" s="323" t="str">
        <f>IF(B112="","",VLOOKUP(IF((B112-F112)*10&lt;-10,-10,IF((B112-F112)*10&gt;10,10,(B112-F112)*10)),'Rank Progression'!$K$2:$L$22,2,FALSE))</f>
        <v/>
      </c>
      <c r="I112" s="323"/>
      <c r="J112" s="323"/>
      <c r="K112" s="323"/>
      <c r="L112" s="323"/>
      <c r="M112" s="323"/>
      <c r="N112" s="323"/>
      <c r="O112" s="323"/>
    </row>
    <row r="113" spans="1:15" x14ac:dyDescent="0.2">
      <c r="A113" s="286"/>
      <c r="B113" s="285"/>
      <c r="C113" s="285"/>
      <c r="D113" s="285"/>
      <c r="E113" s="285"/>
      <c r="F113" s="284"/>
      <c r="G113" s="323" t="str">
        <f>IF(B113="","",VLOOKUP(IF((B113-F113)*10&lt;-10,-10,IF((B113-F113)*10&gt;10,10,(B113-F113)*10)),'Rank Progression'!$K$2:$L$22,2,FALSE))</f>
        <v/>
      </c>
      <c r="I113" s="323"/>
      <c r="J113" s="323"/>
      <c r="K113" s="323"/>
      <c r="L113" s="323"/>
      <c r="M113" s="323"/>
      <c r="N113" s="323"/>
      <c r="O113" s="323"/>
    </row>
    <row r="114" spans="1:15" x14ac:dyDescent="0.2">
      <c r="A114" s="286"/>
      <c r="B114" s="285"/>
      <c r="C114" s="285"/>
      <c r="D114" s="285"/>
      <c r="E114" s="285"/>
      <c r="F114" s="284"/>
      <c r="G114" s="323" t="str">
        <f>IF(B114="","",VLOOKUP(IF((B114-F114)*10&lt;-10,-10,IF((B114-F114)*10&gt;10,10,(B114-F114)*10)),'Rank Progression'!$K$2:$L$22,2,FALSE))</f>
        <v/>
      </c>
      <c r="I114" s="323"/>
      <c r="J114" s="323"/>
      <c r="K114" s="323"/>
      <c r="L114" s="323"/>
      <c r="M114" s="323"/>
      <c r="N114" s="323"/>
      <c r="O114" s="323"/>
    </row>
    <row r="115" spans="1:15" x14ac:dyDescent="0.2">
      <c r="A115" s="286"/>
      <c r="B115" s="285"/>
      <c r="C115" s="285"/>
      <c r="D115" s="285"/>
      <c r="E115" s="285"/>
      <c r="F115" s="284"/>
      <c r="G115" s="323" t="str">
        <f>IF(B115="","",VLOOKUP(IF((B115-F115)*10&lt;-10,-10,IF((B115-F115)*10&gt;10,10,(B115-F115)*10)),'Rank Progression'!$K$2:$L$22,2,FALSE))</f>
        <v/>
      </c>
      <c r="I115" s="323"/>
      <c r="J115" s="323"/>
      <c r="K115" s="323"/>
      <c r="L115" s="323"/>
      <c r="M115" s="323"/>
      <c r="N115" s="323"/>
      <c r="O115" s="323"/>
    </row>
    <row r="116" spans="1:15" x14ac:dyDescent="0.2">
      <c r="A116" s="286"/>
      <c r="B116" s="285"/>
      <c r="C116" s="285"/>
      <c r="D116" s="285"/>
      <c r="E116" s="285"/>
      <c r="F116" s="284"/>
      <c r="G116" s="323" t="str">
        <f>IF(B116="","",VLOOKUP(IF((B116-F116)*10&lt;-10,-10,IF((B116-F116)*10&gt;10,10,(B116-F116)*10)),'Rank Progression'!$K$2:$L$22,2,FALSE))</f>
        <v/>
      </c>
      <c r="I116" s="323"/>
      <c r="J116" s="323"/>
      <c r="K116" s="323"/>
      <c r="L116" s="323"/>
      <c r="M116" s="323"/>
      <c r="N116" s="323"/>
      <c r="O116" s="323"/>
    </row>
    <row r="117" spans="1:15" x14ac:dyDescent="0.2">
      <c r="A117" s="286"/>
      <c r="B117" s="285"/>
      <c r="C117" s="285"/>
      <c r="D117" s="285"/>
      <c r="E117" s="285"/>
      <c r="F117" s="284"/>
      <c r="G117" s="323" t="str">
        <f>IF(B117="","",VLOOKUP(IF((B117-F117)*10&lt;-10,-10,IF((B117-F117)*10&gt;10,10,(B117-F117)*10)),'Rank Progression'!$K$2:$L$22,2,FALSE))</f>
        <v/>
      </c>
      <c r="I117" s="323"/>
      <c r="J117" s="323"/>
      <c r="K117" s="323"/>
      <c r="L117" s="323"/>
      <c r="M117" s="323"/>
      <c r="N117" s="323"/>
      <c r="O117" s="323"/>
    </row>
    <row r="118" spans="1:15" x14ac:dyDescent="0.2">
      <c r="A118" s="286"/>
      <c r="B118" s="285"/>
      <c r="C118" s="285"/>
      <c r="D118" s="285"/>
      <c r="E118" s="285"/>
      <c r="F118" s="284"/>
      <c r="G118" s="323" t="str">
        <f>IF(B118="","",VLOOKUP(IF((B118-F118)*10&lt;-10,-10,IF((B118-F118)*10&gt;10,10,(B118-F118)*10)),'Rank Progression'!$K$2:$L$22,2,FALSE))</f>
        <v/>
      </c>
      <c r="I118" s="323"/>
      <c r="J118" s="323"/>
      <c r="K118" s="323"/>
      <c r="L118" s="323"/>
      <c r="M118" s="323"/>
      <c r="N118" s="323"/>
      <c r="O118" s="323"/>
    </row>
    <row r="119" spans="1:15" x14ac:dyDescent="0.2">
      <c r="A119" s="286"/>
      <c r="B119" s="285"/>
      <c r="C119" s="285"/>
      <c r="D119" s="285"/>
      <c r="E119" s="285"/>
      <c r="F119" s="284"/>
      <c r="G119" s="323" t="str">
        <f>IF(B119="","",VLOOKUP(IF((B119-F119)*10&lt;-10,-10,IF((B119-F119)*10&gt;10,10,(B119-F119)*10)),'Rank Progression'!$K$2:$L$22,2,FALSE))</f>
        <v/>
      </c>
      <c r="I119" s="323"/>
      <c r="J119" s="323"/>
      <c r="K119" s="323"/>
      <c r="L119" s="323"/>
      <c r="M119" s="323"/>
      <c r="N119" s="323"/>
      <c r="O119" s="323"/>
    </row>
    <row r="120" spans="1:15" x14ac:dyDescent="0.2">
      <c r="A120" s="286"/>
      <c r="B120" s="285"/>
      <c r="C120" s="285"/>
      <c r="D120" s="285"/>
      <c r="E120" s="285"/>
      <c r="F120" s="284"/>
      <c r="G120" s="323" t="str">
        <f>IF(B120="","",VLOOKUP(IF((B120-F120)*10&lt;-10,-10,IF((B120-F120)*10&gt;10,10,(B120-F120)*10)),'Rank Progression'!$K$2:$L$22,2,FALSE))</f>
        <v/>
      </c>
      <c r="I120" s="323"/>
      <c r="J120" s="323"/>
      <c r="K120" s="323"/>
      <c r="L120" s="323"/>
      <c r="M120" s="323"/>
      <c r="N120" s="323"/>
      <c r="O120" s="323"/>
    </row>
    <row r="121" spans="1:15" x14ac:dyDescent="0.2">
      <c r="A121" s="286"/>
      <c r="B121" s="285"/>
      <c r="C121" s="285"/>
      <c r="D121" s="285"/>
      <c r="E121" s="285"/>
      <c r="F121" s="284"/>
      <c r="G121" s="323" t="str">
        <f>IF(B121="","",VLOOKUP(IF((B121-F121)*10&lt;-10,-10,IF((B121-F121)*10&gt;10,10,(B121-F121)*10)),'Rank Progression'!$K$2:$L$22,2,FALSE))</f>
        <v/>
      </c>
      <c r="I121" s="323"/>
      <c r="J121" s="323"/>
      <c r="K121" s="323"/>
      <c r="L121" s="323"/>
      <c r="M121" s="323"/>
      <c r="N121" s="323"/>
      <c r="O121" s="323"/>
    </row>
    <row r="122" spans="1:15" x14ac:dyDescent="0.2">
      <c r="A122" s="286"/>
      <c r="B122" s="285"/>
      <c r="C122" s="285"/>
      <c r="D122" s="285"/>
      <c r="E122" s="285"/>
      <c r="F122" s="284"/>
      <c r="G122" s="323" t="str">
        <f>IF(B122="","",VLOOKUP(IF((B122-F122)*10&lt;-10,-10,IF((B122-F122)*10&gt;10,10,(B122-F122)*10)),'Rank Progression'!$K$2:$L$22,2,FALSE))</f>
        <v/>
      </c>
      <c r="I122" s="323"/>
      <c r="J122" s="323"/>
      <c r="K122" s="323"/>
      <c r="L122" s="323"/>
      <c r="M122" s="323"/>
      <c r="N122" s="323"/>
      <c r="O122" s="323"/>
    </row>
    <row r="123" spans="1:15" x14ac:dyDescent="0.2">
      <c r="A123" s="286"/>
      <c r="B123" s="285"/>
      <c r="C123" s="285"/>
      <c r="D123" s="285"/>
      <c r="E123" s="285"/>
      <c r="F123" s="284"/>
      <c r="G123" s="323" t="str">
        <f>IF(B123="","",VLOOKUP(IF((B123-F123)*10&lt;-10,-10,IF((B123-F123)*10&gt;10,10,(B123-F123)*10)),'Rank Progression'!$K$2:$L$22,2,FALSE))</f>
        <v/>
      </c>
      <c r="I123" s="323"/>
      <c r="J123" s="323"/>
      <c r="K123" s="323"/>
      <c r="L123" s="323"/>
      <c r="M123" s="323"/>
      <c r="N123" s="323"/>
      <c r="O123" s="323"/>
    </row>
    <row r="124" spans="1:15" x14ac:dyDescent="0.2">
      <c r="A124" s="286"/>
      <c r="B124" s="285"/>
      <c r="C124" s="285"/>
      <c r="D124" s="285"/>
      <c r="E124" s="285"/>
      <c r="F124" s="284"/>
      <c r="G124" s="323" t="str">
        <f>IF(B124="","",VLOOKUP(IF((B124-F124)*10&lt;-10,-10,IF((B124-F124)*10&gt;10,10,(B124-F124)*10)),'Rank Progression'!$K$2:$L$22,2,FALSE))</f>
        <v/>
      </c>
      <c r="I124" s="323"/>
      <c r="J124" s="323"/>
      <c r="K124" s="323"/>
      <c r="L124" s="323"/>
      <c r="M124" s="323"/>
      <c r="N124" s="323"/>
      <c r="O124" s="323"/>
    </row>
    <row r="125" spans="1:15" x14ac:dyDescent="0.2">
      <c r="A125" s="286"/>
      <c r="B125" s="285"/>
      <c r="C125" s="285"/>
      <c r="D125" s="285"/>
      <c r="E125" s="285"/>
      <c r="F125" s="284"/>
      <c r="G125" s="323" t="str">
        <f>IF(B125="","",VLOOKUP(IF((B125-F125)*10&lt;-10,-10,IF((B125-F125)*10&gt;10,10,(B125-F125)*10)),'Rank Progression'!$K$2:$L$22,2,FALSE))</f>
        <v/>
      </c>
      <c r="I125" s="323"/>
      <c r="J125" s="323"/>
      <c r="K125" s="323"/>
      <c r="L125" s="323"/>
      <c r="M125" s="323"/>
      <c r="N125" s="323"/>
      <c r="O125" s="323"/>
    </row>
    <row r="126" spans="1:15" x14ac:dyDescent="0.2">
      <c r="A126" s="286"/>
      <c r="B126" s="285"/>
      <c r="C126" s="285"/>
      <c r="D126" s="285"/>
      <c r="E126" s="285"/>
      <c r="F126" s="284"/>
      <c r="G126" s="323" t="str">
        <f>IF(B126="","",VLOOKUP(IF((B126-F126)*10&lt;-10,-10,IF((B126-F126)*10&gt;10,10,(B126-F126)*10)),'Rank Progression'!$K$2:$L$22,2,FALSE))</f>
        <v/>
      </c>
      <c r="I126" s="323"/>
      <c r="J126" s="323"/>
      <c r="K126" s="323"/>
      <c r="L126" s="323"/>
      <c r="M126" s="323"/>
      <c r="N126" s="323"/>
      <c r="O126" s="323"/>
    </row>
    <row r="127" spans="1:15" x14ac:dyDescent="0.2">
      <c r="A127" s="286"/>
      <c r="B127" s="285"/>
      <c r="C127" s="285"/>
      <c r="D127" s="285"/>
      <c r="E127" s="285"/>
      <c r="F127" s="284"/>
      <c r="G127" s="323" t="str">
        <f>IF(B127="","",VLOOKUP(IF((B127-F127)*10&lt;-10,-10,IF((B127-F127)*10&gt;10,10,(B127-F127)*10)),'Rank Progression'!$K$2:$L$22,2,FALSE))</f>
        <v/>
      </c>
      <c r="I127" s="323"/>
      <c r="J127" s="323"/>
      <c r="K127" s="323"/>
      <c r="L127" s="323"/>
      <c r="M127" s="323"/>
      <c r="N127" s="323"/>
      <c r="O127" s="323"/>
    </row>
    <row r="128" spans="1:15" x14ac:dyDescent="0.2">
      <c r="A128" s="286"/>
      <c r="B128" s="285"/>
      <c r="C128" s="285"/>
      <c r="D128" s="285"/>
      <c r="E128" s="285"/>
      <c r="F128" s="284"/>
      <c r="G128" s="323" t="str">
        <f>IF(B128="","",VLOOKUP(IF((B128-F128)*10&lt;-10,-10,IF((B128-F128)*10&gt;10,10,(B128-F128)*10)),'Rank Progression'!$K$2:$L$22,2,FALSE))</f>
        <v/>
      </c>
      <c r="I128" s="323"/>
      <c r="J128" s="323"/>
      <c r="K128" s="323"/>
      <c r="L128" s="323"/>
      <c r="M128" s="323"/>
      <c r="N128" s="323"/>
      <c r="O128" s="323"/>
    </row>
    <row r="129" spans="1:15" x14ac:dyDescent="0.2">
      <c r="A129" s="286"/>
      <c r="B129" s="285"/>
      <c r="C129" s="285"/>
      <c r="D129" s="285"/>
      <c r="E129" s="285"/>
      <c r="F129" s="284"/>
      <c r="G129" s="323" t="str">
        <f>IF(B129="","",VLOOKUP(IF((B129-F129)*10&lt;-10,-10,IF((B129-F129)*10&gt;10,10,(B129-F129)*10)),'Rank Progression'!$K$2:$L$22,2,FALSE))</f>
        <v/>
      </c>
      <c r="I129" s="323"/>
      <c r="J129" s="323"/>
      <c r="K129" s="323"/>
      <c r="L129" s="323"/>
      <c r="M129" s="323"/>
      <c r="N129" s="323"/>
      <c r="O129" s="323"/>
    </row>
    <row r="130" spans="1:15" x14ac:dyDescent="0.2">
      <c r="A130" s="286"/>
      <c r="B130" s="285"/>
      <c r="C130" s="285"/>
      <c r="D130" s="285"/>
      <c r="E130" s="285"/>
      <c r="F130" s="284"/>
      <c r="G130" s="323" t="str">
        <f>IF(B130="","",VLOOKUP(IF((B130-F130)*10&lt;-10,-10,IF((B130-F130)*10&gt;10,10,(B130-F130)*10)),'Rank Progression'!$K$2:$L$22,2,FALSE))</f>
        <v/>
      </c>
      <c r="I130" s="323"/>
      <c r="J130" s="323"/>
      <c r="K130" s="323"/>
      <c r="L130" s="323"/>
      <c r="M130" s="323"/>
      <c r="N130" s="323"/>
      <c r="O130" s="323"/>
    </row>
    <row r="131" spans="1:15" x14ac:dyDescent="0.2">
      <c r="A131" s="286"/>
      <c r="B131" s="285"/>
      <c r="C131" s="285"/>
      <c r="D131" s="285"/>
      <c r="E131" s="285"/>
      <c r="F131" s="284"/>
      <c r="G131" s="323" t="str">
        <f>IF(B131="","",VLOOKUP(IF((B131-F131)*10&lt;-10,-10,IF((B131-F131)*10&gt;10,10,(B131-F131)*10)),'Rank Progression'!$K$2:$L$22,2,FALSE))</f>
        <v/>
      </c>
      <c r="I131" s="323"/>
      <c r="J131" s="323"/>
      <c r="K131" s="323"/>
      <c r="L131" s="323"/>
      <c r="M131" s="323"/>
      <c r="N131" s="323"/>
      <c r="O131" s="323"/>
    </row>
    <row r="132" spans="1:15" x14ac:dyDescent="0.2">
      <c r="A132" s="286"/>
      <c r="B132" s="285"/>
      <c r="C132" s="285"/>
      <c r="D132" s="285"/>
      <c r="E132" s="285"/>
      <c r="F132" s="284"/>
      <c r="G132" s="323" t="str">
        <f>IF(B132="","",VLOOKUP(IF((B132-F132)*10&lt;-10,-10,IF((B132-F132)*10&gt;10,10,(B132-F132)*10)),'Rank Progression'!$K$2:$L$22,2,FALSE))</f>
        <v/>
      </c>
      <c r="I132" s="323"/>
      <c r="J132" s="323"/>
      <c r="K132" s="323"/>
      <c r="L132" s="323"/>
      <c r="M132" s="323"/>
      <c r="N132" s="323"/>
      <c r="O132" s="323"/>
    </row>
    <row r="133" spans="1:15" x14ac:dyDescent="0.2">
      <c r="A133" s="286"/>
      <c r="B133" s="285"/>
      <c r="C133" s="285"/>
      <c r="D133" s="285"/>
      <c r="E133" s="285"/>
      <c r="F133" s="284"/>
      <c r="G133" s="323" t="str">
        <f>IF(B133="","",VLOOKUP(IF((B133-F133)*10&lt;-10,-10,IF((B133-F133)*10&gt;10,10,(B133-F133)*10)),'Rank Progression'!$K$2:$L$22,2,FALSE))</f>
        <v/>
      </c>
      <c r="I133" s="323"/>
      <c r="J133" s="323"/>
      <c r="K133" s="323"/>
      <c r="L133" s="323"/>
      <c r="M133" s="323"/>
      <c r="N133" s="323"/>
      <c r="O133" s="323"/>
    </row>
    <row r="134" spans="1:15" x14ac:dyDescent="0.2">
      <c r="A134" s="286"/>
      <c r="B134" s="285"/>
      <c r="C134" s="285"/>
      <c r="D134" s="285"/>
      <c r="E134" s="285"/>
      <c r="F134" s="284"/>
      <c r="G134" s="323" t="str">
        <f>IF(B134="","",VLOOKUP(IF((B134-F134)*10&lt;-10,-10,IF((B134-F134)*10&gt;10,10,(B134-F134)*10)),'Rank Progression'!$K$2:$L$22,2,FALSE))</f>
        <v/>
      </c>
      <c r="I134" s="323"/>
      <c r="J134" s="323"/>
      <c r="K134" s="323"/>
      <c r="L134" s="323"/>
      <c r="M134" s="323"/>
      <c r="N134" s="323"/>
      <c r="O134" s="323"/>
    </row>
    <row r="135" spans="1:15" x14ac:dyDescent="0.2">
      <c r="A135" s="286"/>
      <c r="B135" s="285"/>
      <c r="C135" s="285"/>
      <c r="D135" s="285"/>
      <c r="E135" s="285"/>
      <c r="F135" s="284"/>
      <c r="G135" s="323" t="str">
        <f>IF(B135="","",VLOOKUP(IF((B135-F135)*10&lt;-10,-10,IF((B135-F135)*10&gt;10,10,(B135-F135)*10)),'Rank Progression'!$K$2:$L$22,2,FALSE))</f>
        <v/>
      </c>
      <c r="I135" s="323"/>
      <c r="J135" s="323"/>
      <c r="K135" s="323"/>
      <c r="L135" s="323"/>
      <c r="M135" s="323"/>
      <c r="N135" s="323"/>
      <c r="O135" s="323"/>
    </row>
    <row r="136" spans="1:15" x14ac:dyDescent="0.2">
      <c r="A136" s="286"/>
      <c r="B136" s="285"/>
      <c r="C136" s="285"/>
      <c r="D136" s="285"/>
      <c r="E136" s="285"/>
      <c r="F136" s="284"/>
      <c r="G136" s="323" t="str">
        <f>IF(B136="","",VLOOKUP(IF((B136-F136)*10&lt;-10,-10,IF((B136-F136)*10&gt;10,10,(B136-F136)*10)),'Rank Progression'!$K$2:$L$22,2,FALSE))</f>
        <v/>
      </c>
      <c r="I136" s="323"/>
      <c r="J136" s="323"/>
      <c r="K136" s="323"/>
      <c r="L136" s="323"/>
      <c r="M136" s="323"/>
      <c r="N136" s="323"/>
      <c r="O136" s="323"/>
    </row>
    <row r="137" spans="1:15" x14ac:dyDescent="0.2">
      <c r="A137" s="286"/>
      <c r="B137" s="285"/>
      <c r="C137" s="285"/>
      <c r="D137" s="285"/>
      <c r="E137" s="285"/>
      <c r="F137" s="284"/>
      <c r="G137" s="323" t="str">
        <f>IF(B137="","",VLOOKUP(IF((B137-F137)*10&lt;-10,-10,IF((B137-F137)*10&gt;10,10,(B137-F137)*10)),'Rank Progression'!$K$2:$L$22,2,FALSE))</f>
        <v/>
      </c>
      <c r="I137" s="323"/>
      <c r="J137" s="323"/>
      <c r="K137" s="323"/>
      <c r="L137" s="323"/>
      <c r="M137" s="323"/>
      <c r="N137" s="323"/>
      <c r="O137" s="323"/>
    </row>
    <row r="138" spans="1:15" x14ac:dyDescent="0.2">
      <c r="A138" s="286"/>
      <c r="B138" s="285"/>
      <c r="C138" s="285"/>
      <c r="D138" s="285"/>
      <c r="E138" s="285"/>
      <c r="F138" s="284"/>
      <c r="G138" s="323" t="str">
        <f>IF(B138="","",VLOOKUP(IF((B138-F138)*10&lt;-10,-10,IF((B138-F138)*10&gt;10,10,(B138-F138)*10)),'Rank Progression'!$K$2:$L$22,2,FALSE))</f>
        <v/>
      </c>
      <c r="I138" s="323"/>
      <c r="J138" s="323"/>
      <c r="K138" s="323"/>
      <c r="L138" s="323"/>
      <c r="M138" s="323"/>
      <c r="N138" s="323"/>
      <c r="O138" s="323"/>
    </row>
    <row r="139" spans="1:15" x14ac:dyDescent="0.2">
      <c r="A139" s="286"/>
      <c r="B139" s="285"/>
      <c r="C139" s="285"/>
      <c r="D139" s="285"/>
      <c r="E139" s="285"/>
      <c r="F139" s="284"/>
      <c r="G139" s="323" t="str">
        <f>IF(B139="","",VLOOKUP(IF((B139-F139)*10&lt;-10,-10,IF((B139-F139)*10&gt;10,10,(B139-F139)*10)),'Rank Progression'!$K$2:$L$22,2,FALSE))</f>
        <v/>
      </c>
      <c r="I139" s="323"/>
      <c r="J139" s="323"/>
      <c r="K139" s="323"/>
      <c r="L139" s="323"/>
      <c r="M139" s="323"/>
      <c r="N139" s="323"/>
      <c r="O139" s="323"/>
    </row>
    <row r="140" spans="1:15" x14ac:dyDescent="0.2">
      <c r="A140" s="286"/>
      <c r="B140" s="285"/>
      <c r="C140" s="285"/>
      <c r="D140" s="285"/>
      <c r="E140" s="285"/>
      <c r="F140" s="284"/>
      <c r="G140" s="323" t="str">
        <f>IF(B140="","",VLOOKUP(IF((B140-F140)*10&lt;-10,-10,IF((B140-F140)*10&gt;10,10,(B140-F140)*10)),'Rank Progression'!$K$2:$L$22,2,FALSE))</f>
        <v/>
      </c>
      <c r="I140" s="323"/>
      <c r="J140" s="323"/>
      <c r="K140" s="323"/>
      <c r="L140" s="323"/>
      <c r="M140" s="323"/>
      <c r="N140" s="323"/>
      <c r="O140" s="323"/>
    </row>
    <row r="141" spans="1:15" x14ac:dyDescent="0.2">
      <c r="A141" s="286"/>
      <c r="B141" s="285"/>
      <c r="C141" s="285"/>
      <c r="D141" s="285"/>
      <c r="E141" s="285"/>
      <c r="F141" s="284"/>
      <c r="G141" s="323" t="str">
        <f>IF(B141="","",VLOOKUP(IF((B141-F141)*10&lt;-10,-10,IF((B141-F141)*10&gt;10,10,(B141-F141)*10)),'Rank Progression'!$K$2:$L$22,2,FALSE))</f>
        <v/>
      </c>
      <c r="I141" s="323"/>
      <c r="J141" s="323"/>
      <c r="K141" s="323"/>
      <c r="L141" s="323"/>
      <c r="M141" s="323"/>
      <c r="N141" s="323"/>
      <c r="O141" s="323"/>
    </row>
    <row r="142" spans="1:15" x14ac:dyDescent="0.2">
      <c r="A142" s="286"/>
      <c r="B142" s="285"/>
      <c r="C142" s="285"/>
      <c r="D142" s="285"/>
      <c r="E142" s="285"/>
      <c r="F142" s="284"/>
      <c r="G142" s="323" t="str">
        <f>IF(B142="","",VLOOKUP(IF((B142-F142)*10&lt;-10,-10,IF((B142-F142)*10&gt;10,10,(B142-F142)*10)),'Rank Progression'!$K$2:$L$22,2,FALSE))</f>
        <v/>
      </c>
      <c r="I142" s="323"/>
      <c r="J142" s="323"/>
      <c r="K142" s="323"/>
      <c r="L142" s="323"/>
      <c r="M142" s="323"/>
      <c r="N142" s="323"/>
      <c r="O142" s="323"/>
    </row>
    <row r="143" spans="1:15" x14ac:dyDescent="0.2">
      <c r="A143" s="286"/>
      <c r="B143" s="285"/>
      <c r="C143" s="285"/>
      <c r="D143" s="285"/>
      <c r="E143" s="285"/>
      <c r="F143" s="284"/>
      <c r="G143" s="323" t="str">
        <f>IF(B143="","",VLOOKUP(IF((B143-F143)*10&lt;-10,-10,IF((B143-F143)*10&gt;10,10,(B143-F143)*10)),'Rank Progression'!$K$2:$L$22,2,FALSE))</f>
        <v/>
      </c>
      <c r="I143" s="323"/>
      <c r="J143" s="323"/>
      <c r="K143" s="323"/>
      <c r="L143" s="323"/>
      <c r="M143" s="323"/>
      <c r="N143" s="323"/>
      <c r="O143" s="323"/>
    </row>
    <row r="144" spans="1:15" x14ac:dyDescent="0.2">
      <c r="A144" s="286"/>
      <c r="B144" s="285"/>
      <c r="C144" s="285"/>
      <c r="D144" s="285"/>
      <c r="E144" s="285"/>
      <c r="F144" s="284"/>
      <c r="G144" s="323" t="str">
        <f>IF(B144="","",VLOOKUP(IF((B144-F144)*10&lt;-10,-10,IF((B144-F144)*10&gt;10,10,(B144-F144)*10)),'Rank Progression'!$K$2:$L$22,2,FALSE))</f>
        <v/>
      </c>
      <c r="I144" s="323"/>
      <c r="J144" s="323"/>
      <c r="K144" s="323"/>
      <c r="L144" s="323"/>
      <c r="M144" s="323"/>
      <c r="N144" s="323"/>
      <c r="O144" s="323"/>
    </row>
    <row r="145" spans="1:15" x14ac:dyDescent="0.2">
      <c r="A145" s="286"/>
      <c r="B145" s="285"/>
      <c r="C145" s="285"/>
      <c r="D145" s="285"/>
      <c r="E145" s="285"/>
      <c r="F145" s="284"/>
      <c r="G145" s="323" t="str">
        <f>IF(B145="","",VLOOKUP(IF((B145-F145)*10&lt;-10,-10,IF((B145-F145)*10&gt;10,10,(B145-F145)*10)),'Rank Progression'!$K$2:$L$22,2,FALSE))</f>
        <v/>
      </c>
      <c r="I145" s="323"/>
      <c r="J145" s="323"/>
      <c r="K145" s="323"/>
      <c r="L145" s="323"/>
      <c r="M145" s="323"/>
      <c r="N145" s="323"/>
      <c r="O145" s="323"/>
    </row>
    <row r="146" spans="1:15" x14ac:dyDescent="0.2">
      <c r="A146" s="286"/>
      <c r="B146" s="285"/>
      <c r="C146" s="285"/>
      <c r="D146" s="285"/>
      <c r="E146" s="285"/>
      <c r="F146" s="284"/>
      <c r="G146" s="323" t="str">
        <f>IF(B146="","",VLOOKUP(IF((B146-F146)*10&lt;-10,-10,IF((B146-F146)*10&gt;10,10,(B146-F146)*10)),'Rank Progression'!$K$2:$L$22,2,FALSE))</f>
        <v/>
      </c>
      <c r="I146" s="323"/>
      <c r="J146" s="323"/>
      <c r="K146" s="323"/>
      <c r="L146" s="323"/>
      <c r="M146" s="323"/>
      <c r="N146" s="323"/>
      <c r="O146" s="323"/>
    </row>
    <row r="147" spans="1:15" x14ac:dyDescent="0.2">
      <c r="A147" s="286"/>
      <c r="B147" s="285"/>
      <c r="C147" s="285"/>
      <c r="D147" s="285"/>
      <c r="E147" s="285"/>
      <c r="F147" s="284"/>
      <c r="G147" s="323" t="str">
        <f>IF(B147="","",VLOOKUP(IF((B147-F147)*10&lt;-10,-10,IF((B147-F147)*10&gt;10,10,(B147-F147)*10)),'Rank Progression'!$K$2:$L$22,2,FALSE))</f>
        <v/>
      </c>
      <c r="I147" s="323"/>
      <c r="J147" s="323"/>
      <c r="K147" s="323"/>
      <c r="L147" s="323"/>
      <c r="M147" s="323"/>
      <c r="N147" s="323"/>
      <c r="O147" s="323"/>
    </row>
    <row r="148" spans="1:15" x14ac:dyDescent="0.2">
      <c r="A148" s="286"/>
      <c r="B148" s="285"/>
      <c r="C148" s="285"/>
      <c r="D148" s="285"/>
      <c r="E148" s="285"/>
      <c r="F148" s="284"/>
      <c r="G148" s="323" t="str">
        <f>IF(B148="","",VLOOKUP(IF((B148-F148)*10&lt;-10,-10,IF((B148-F148)*10&gt;10,10,(B148-F148)*10)),'Rank Progression'!$K$2:$L$22,2,FALSE))</f>
        <v/>
      </c>
      <c r="I148" s="323"/>
      <c r="J148" s="323"/>
      <c r="K148" s="323"/>
      <c r="L148" s="323"/>
      <c r="M148" s="323"/>
      <c r="N148" s="323"/>
      <c r="O148" s="323"/>
    </row>
    <row r="149" spans="1:15" x14ac:dyDescent="0.2">
      <c r="A149" s="286"/>
      <c r="B149" s="285"/>
      <c r="C149" s="285"/>
      <c r="D149" s="285"/>
      <c r="E149" s="285"/>
      <c r="F149" s="284"/>
      <c r="G149" s="323" t="str">
        <f>IF(B149="","",VLOOKUP(IF((B149-F149)*10&lt;-10,-10,IF((B149-F149)*10&gt;10,10,(B149-F149)*10)),'Rank Progression'!$K$2:$L$22,2,FALSE))</f>
        <v/>
      </c>
      <c r="I149" s="323"/>
      <c r="J149" s="323"/>
      <c r="K149" s="323"/>
      <c r="L149" s="323"/>
      <c r="M149" s="323"/>
      <c r="N149" s="323"/>
      <c r="O149" s="323"/>
    </row>
    <row r="150" spans="1:15" x14ac:dyDescent="0.2">
      <c r="A150" s="286"/>
      <c r="B150" s="285"/>
      <c r="C150" s="285"/>
      <c r="D150" s="285"/>
      <c r="E150" s="285"/>
      <c r="F150" s="284"/>
      <c r="G150" s="323" t="str">
        <f>IF(B150="","",VLOOKUP(IF((B150-F150)*10&lt;-10,-10,IF((B150-F150)*10&gt;10,10,(B150-F150)*10)),'Rank Progression'!$K$2:$L$22,2,FALSE))</f>
        <v/>
      </c>
      <c r="I150" s="323"/>
      <c r="J150" s="323"/>
      <c r="K150" s="323"/>
      <c r="L150" s="323"/>
      <c r="M150" s="323"/>
      <c r="N150" s="323"/>
      <c r="O150" s="323"/>
    </row>
    <row r="151" spans="1:15" x14ac:dyDescent="0.2">
      <c r="A151" s="286"/>
      <c r="B151" s="285"/>
      <c r="C151" s="285"/>
      <c r="D151" s="285"/>
      <c r="E151" s="285"/>
      <c r="F151" s="284"/>
      <c r="G151" s="323" t="str">
        <f>IF(B151="","",VLOOKUP(IF((B151-F151)*10&lt;-10,-10,IF((B151-F151)*10&gt;10,10,(B151-F151)*10)),'Rank Progression'!$K$2:$L$22,2,FALSE))</f>
        <v/>
      </c>
      <c r="I151" s="323"/>
      <c r="J151" s="323"/>
      <c r="K151" s="323"/>
      <c r="L151" s="323"/>
      <c r="M151" s="323"/>
      <c r="N151" s="323"/>
      <c r="O151" s="323"/>
    </row>
    <row r="152" spans="1:15" x14ac:dyDescent="0.2">
      <c r="A152" s="286"/>
      <c r="B152" s="285"/>
      <c r="C152" s="285"/>
      <c r="D152" s="285"/>
      <c r="E152" s="285"/>
      <c r="F152" s="284"/>
      <c r="G152" s="323" t="str">
        <f>IF(B152="","",VLOOKUP(IF((B152-F152)*10&lt;-10,-10,IF((B152-F152)*10&gt;10,10,(B152-F152)*10)),'Rank Progression'!$K$2:$L$22,2,FALSE))</f>
        <v/>
      </c>
      <c r="I152" s="323"/>
      <c r="J152" s="323"/>
      <c r="K152" s="323"/>
      <c r="L152" s="323"/>
      <c r="M152" s="323"/>
      <c r="N152" s="323"/>
      <c r="O152" s="323"/>
    </row>
    <row r="153" spans="1:15" x14ac:dyDescent="0.2">
      <c r="A153" s="286"/>
      <c r="B153" s="285"/>
      <c r="C153" s="285"/>
      <c r="D153" s="285"/>
      <c r="E153" s="285"/>
      <c r="F153" s="284"/>
      <c r="G153" s="323" t="str">
        <f>IF(B153="","",VLOOKUP(IF((B153-F153)*10&lt;-10,-10,IF((B153-F153)*10&gt;10,10,(B153-F153)*10)),'Rank Progression'!$K$2:$L$22,2,FALSE))</f>
        <v/>
      </c>
      <c r="I153" s="323"/>
      <c r="J153" s="323"/>
      <c r="K153" s="323"/>
      <c r="L153" s="323"/>
      <c r="M153" s="323"/>
      <c r="N153" s="323"/>
      <c r="O153" s="323"/>
    </row>
    <row r="154" spans="1:15" x14ac:dyDescent="0.2">
      <c r="A154" s="286"/>
      <c r="B154" s="285"/>
      <c r="C154" s="285"/>
      <c r="D154" s="285"/>
      <c r="E154" s="285"/>
      <c r="F154" s="284"/>
      <c r="G154" s="323" t="str">
        <f>IF(B154="","",VLOOKUP(IF((B154-F154)*10&lt;-10,-10,IF((B154-F154)*10&gt;10,10,(B154-F154)*10)),'Rank Progression'!$K$2:$L$22,2,FALSE))</f>
        <v/>
      </c>
      <c r="I154" s="323"/>
      <c r="J154" s="323"/>
      <c r="K154" s="323"/>
      <c r="L154" s="323"/>
      <c r="M154" s="323"/>
      <c r="N154" s="323"/>
      <c r="O154" s="323"/>
    </row>
    <row r="155" spans="1:15" x14ac:dyDescent="0.2">
      <c r="A155" s="286"/>
      <c r="B155" s="285"/>
      <c r="C155" s="285"/>
      <c r="D155" s="285"/>
      <c r="E155" s="285"/>
      <c r="F155" s="284"/>
      <c r="G155" s="323" t="str">
        <f>IF(B155="","",VLOOKUP(IF((B155-F155)*10&lt;-10,-10,IF((B155-F155)*10&gt;10,10,(B155-F155)*10)),'Rank Progression'!$K$2:$L$22,2,FALSE))</f>
        <v/>
      </c>
      <c r="I155" s="323"/>
      <c r="J155" s="323"/>
      <c r="K155" s="323"/>
      <c r="L155" s="323"/>
      <c r="M155" s="323"/>
      <c r="N155" s="323"/>
      <c r="O155" s="323"/>
    </row>
    <row r="156" spans="1:15" x14ac:dyDescent="0.2">
      <c r="A156" s="286"/>
      <c r="B156" s="285"/>
      <c r="C156" s="285"/>
      <c r="D156" s="285"/>
      <c r="E156" s="285"/>
      <c r="F156" s="284"/>
      <c r="G156" s="323" t="str">
        <f>IF(B156="","",VLOOKUP(IF((B156-F156)*10&lt;-10,-10,IF((B156-F156)*10&gt;10,10,(B156-F156)*10)),'Rank Progression'!$K$2:$L$22,2,FALSE))</f>
        <v/>
      </c>
      <c r="I156" s="323"/>
      <c r="J156" s="323"/>
      <c r="K156" s="323"/>
      <c r="L156" s="323"/>
      <c r="M156" s="323"/>
      <c r="N156" s="323"/>
      <c r="O156" s="323"/>
    </row>
    <row r="157" spans="1:15" x14ac:dyDescent="0.2">
      <c r="A157" s="286"/>
      <c r="B157" s="285"/>
      <c r="C157" s="285"/>
      <c r="D157" s="285"/>
      <c r="E157" s="285"/>
      <c r="F157" s="284"/>
      <c r="G157" s="323" t="str">
        <f>IF(B157="","",VLOOKUP(IF((B157-F157)*10&lt;-10,-10,IF((B157-F157)*10&gt;10,10,(B157-F157)*10)),'Rank Progression'!$K$2:$L$22,2,FALSE))</f>
        <v/>
      </c>
      <c r="I157" s="323"/>
      <c r="J157" s="323"/>
      <c r="K157" s="323"/>
      <c r="L157" s="323"/>
      <c r="M157" s="323"/>
      <c r="N157" s="323"/>
      <c r="O157" s="323"/>
    </row>
    <row r="158" spans="1:15" x14ac:dyDescent="0.2">
      <c r="A158" s="286"/>
      <c r="B158" s="285"/>
      <c r="C158" s="285"/>
      <c r="D158" s="285"/>
      <c r="E158" s="285"/>
      <c r="F158" s="284"/>
      <c r="G158" s="323" t="str">
        <f>IF(B158="","",VLOOKUP(IF((B158-F158)*10&lt;-10,-10,IF((B158-F158)*10&gt;10,10,(B158-F158)*10)),'Rank Progression'!$K$2:$L$22,2,FALSE))</f>
        <v/>
      </c>
      <c r="I158" s="323"/>
      <c r="J158" s="323"/>
      <c r="K158" s="323"/>
      <c r="L158" s="323"/>
      <c r="M158" s="323"/>
      <c r="N158" s="323"/>
      <c r="O158" s="323"/>
    </row>
    <row r="159" spans="1:15" x14ac:dyDescent="0.2">
      <c r="A159" s="286"/>
      <c r="B159" s="285"/>
      <c r="C159" s="285"/>
      <c r="D159" s="285"/>
      <c r="E159" s="285"/>
      <c r="F159" s="284"/>
      <c r="G159" s="323" t="str">
        <f>IF(B159="","",VLOOKUP(IF((B159-F159)*10&lt;-10,-10,IF((B159-F159)*10&gt;10,10,(B159-F159)*10)),'Rank Progression'!$K$2:$L$22,2,FALSE))</f>
        <v/>
      </c>
      <c r="I159" s="323"/>
      <c r="J159" s="323"/>
      <c r="K159" s="323"/>
      <c r="L159" s="323"/>
      <c r="M159" s="323"/>
      <c r="N159" s="323"/>
      <c r="O159" s="323"/>
    </row>
    <row r="160" spans="1:15" x14ac:dyDescent="0.2">
      <c r="A160" s="286"/>
      <c r="B160" s="285"/>
      <c r="C160" s="285"/>
      <c r="D160" s="285"/>
      <c r="E160" s="285"/>
      <c r="F160" s="284"/>
      <c r="G160" s="323" t="str">
        <f>IF(B160="","",VLOOKUP(IF((B160-F160)*10&lt;-10,-10,IF((B160-F160)*10&gt;10,10,(B160-F160)*10)),'Rank Progression'!$K$2:$L$22,2,FALSE))</f>
        <v/>
      </c>
      <c r="I160" s="323"/>
      <c r="J160" s="323"/>
      <c r="K160" s="323"/>
      <c r="L160" s="323"/>
      <c r="M160" s="323"/>
      <c r="N160" s="323"/>
      <c r="O160" s="323"/>
    </row>
    <row r="161" spans="1:15" x14ac:dyDescent="0.2">
      <c r="A161" s="286"/>
      <c r="B161" s="285"/>
      <c r="C161" s="285"/>
      <c r="D161" s="285"/>
      <c r="E161" s="285"/>
      <c r="F161" s="284"/>
      <c r="G161" s="323" t="str">
        <f>IF(B161="","",VLOOKUP(IF((B161-F161)*10&lt;-10,-10,IF((B161-F161)*10&gt;10,10,(B161-F161)*10)),'Rank Progression'!$K$2:$L$22,2,FALSE))</f>
        <v/>
      </c>
      <c r="I161" s="323"/>
      <c r="J161" s="323"/>
      <c r="K161" s="323"/>
      <c r="L161" s="323"/>
      <c r="M161" s="323"/>
      <c r="N161" s="323"/>
      <c r="O161" s="323"/>
    </row>
    <row r="162" spans="1:15" x14ac:dyDescent="0.2">
      <c r="A162" s="286"/>
      <c r="B162" s="285"/>
      <c r="C162" s="285"/>
      <c r="D162" s="285"/>
      <c r="E162" s="285"/>
      <c r="F162" s="284"/>
      <c r="G162" s="323" t="str">
        <f>IF(B162="","",VLOOKUP(IF((B162-F162)*10&lt;-10,-10,IF((B162-F162)*10&gt;10,10,(B162-F162)*10)),'Rank Progression'!$K$2:$L$22,2,FALSE))</f>
        <v/>
      </c>
      <c r="I162" s="323"/>
      <c r="J162" s="323"/>
      <c r="K162" s="323"/>
      <c r="L162" s="323"/>
      <c r="M162" s="323"/>
      <c r="N162" s="323"/>
      <c r="O162" s="323"/>
    </row>
    <row r="163" spans="1:15" x14ac:dyDescent="0.2">
      <c r="A163" s="286"/>
      <c r="B163" s="285"/>
      <c r="C163" s="285"/>
      <c r="D163" s="285"/>
      <c r="E163" s="285"/>
      <c r="F163" s="284"/>
      <c r="G163" s="323" t="str">
        <f>IF(B163="","",VLOOKUP(IF((B163-F163)*10&lt;-10,-10,IF((B163-F163)*10&gt;10,10,(B163-F163)*10)),'Rank Progression'!$K$2:$L$22,2,FALSE))</f>
        <v/>
      </c>
      <c r="I163" s="323"/>
      <c r="J163" s="323"/>
      <c r="K163" s="323"/>
      <c r="L163" s="323"/>
      <c r="M163" s="323"/>
      <c r="N163" s="323"/>
      <c r="O163" s="323"/>
    </row>
    <row r="164" spans="1:15" x14ac:dyDescent="0.2">
      <c r="A164" s="286"/>
      <c r="B164" s="285"/>
      <c r="C164" s="285"/>
      <c r="D164" s="285"/>
      <c r="E164" s="285"/>
      <c r="F164" s="284"/>
      <c r="G164" s="323" t="str">
        <f>IF(B164="","",VLOOKUP(IF((B164-F164)*10&lt;-10,-10,IF((B164-F164)*10&gt;10,10,(B164-F164)*10)),'Rank Progression'!$K$2:$L$22,2,FALSE))</f>
        <v/>
      </c>
      <c r="I164" s="323"/>
      <c r="J164" s="323"/>
      <c r="K164" s="323"/>
      <c r="L164" s="323"/>
      <c r="M164" s="323"/>
      <c r="N164" s="323"/>
      <c r="O164" s="323"/>
    </row>
    <row r="165" spans="1:15" x14ac:dyDescent="0.2">
      <c r="A165" s="286"/>
      <c r="B165" s="285"/>
      <c r="C165" s="285"/>
      <c r="D165" s="285"/>
      <c r="E165" s="285"/>
      <c r="F165" s="284"/>
      <c r="G165" s="323" t="str">
        <f>IF(B165="","",VLOOKUP(IF((B165-F165)*10&lt;-10,-10,IF((B165-F165)*10&gt;10,10,(B165-F165)*10)),'Rank Progression'!$K$2:$L$22,2,FALSE))</f>
        <v/>
      </c>
      <c r="I165" s="323"/>
      <c r="J165" s="323"/>
      <c r="K165" s="323"/>
      <c r="L165" s="323"/>
      <c r="M165" s="323"/>
      <c r="N165" s="323"/>
      <c r="O165" s="323"/>
    </row>
    <row r="166" spans="1:15" x14ac:dyDescent="0.2">
      <c r="A166" s="286"/>
      <c r="B166" s="285"/>
      <c r="C166" s="285"/>
      <c r="D166" s="285"/>
      <c r="E166" s="285"/>
      <c r="F166" s="284"/>
      <c r="G166" s="323" t="str">
        <f>IF(B166="","",VLOOKUP(IF((B166-F166)*10&lt;-10,-10,IF((B166-F166)*10&gt;10,10,(B166-F166)*10)),'Rank Progression'!$K$2:$L$22,2,FALSE))</f>
        <v/>
      </c>
      <c r="I166" s="323"/>
      <c r="J166" s="323"/>
      <c r="K166" s="323"/>
      <c r="L166" s="323"/>
      <c r="M166" s="323"/>
      <c r="N166" s="323"/>
      <c r="O166" s="323"/>
    </row>
    <row r="167" spans="1:15" x14ac:dyDescent="0.2">
      <c r="A167" s="286"/>
      <c r="B167" s="285"/>
      <c r="C167" s="285"/>
      <c r="D167" s="285"/>
      <c r="E167" s="285"/>
      <c r="F167" s="284"/>
      <c r="G167" s="323" t="str">
        <f>IF(B167="","",VLOOKUP(IF((B167-F167)*10&lt;-10,-10,IF((B167-F167)*10&gt;10,10,(B167-F167)*10)),'Rank Progression'!$K$2:$L$22,2,FALSE))</f>
        <v/>
      </c>
      <c r="I167" s="323"/>
      <c r="J167" s="323"/>
      <c r="K167" s="323"/>
      <c r="L167" s="323"/>
      <c r="M167" s="323"/>
      <c r="N167" s="323"/>
      <c r="O167" s="323"/>
    </row>
    <row r="168" spans="1:15" x14ac:dyDescent="0.2">
      <c r="A168" s="286"/>
      <c r="B168" s="285"/>
      <c r="C168" s="285"/>
      <c r="D168" s="285"/>
      <c r="E168" s="285"/>
      <c r="F168" s="284"/>
      <c r="G168" s="323" t="str">
        <f>IF(B168="","",VLOOKUP(IF((B168-F168)*10&lt;-10,-10,IF((B168-F168)*10&gt;10,10,(B168-F168)*10)),'Rank Progression'!$K$2:$L$22,2,FALSE))</f>
        <v/>
      </c>
      <c r="I168" s="323"/>
      <c r="J168" s="323"/>
      <c r="K168" s="323"/>
      <c r="L168" s="323"/>
      <c r="M168" s="323"/>
      <c r="N168" s="323"/>
      <c r="O168" s="323"/>
    </row>
    <row r="169" spans="1:15" x14ac:dyDescent="0.2">
      <c r="A169" s="286"/>
      <c r="B169" s="285"/>
      <c r="C169" s="285"/>
      <c r="D169" s="285"/>
      <c r="E169" s="285"/>
      <c r="F169" s="284"/>
      <c r="G169" s="323" t="str">
        <f>IF(B169="","",VLOOKUP(IF((B169-F169)*10&lt;-10,-10,IF((B169-F169)*10&gt;10,10,(B169-F169)*10)),'Rank Progression'!$K$2:$L$22,2,FALSE))</f>
        <v/>
      </c>
      <c r="I169" s="323"/>
      <c r="J169" s="323"/>
      <c r="K169" s="323"/>
      <c r="L169" s="323"/>
      <c r="M169" s="323"/>
      <c r="N169" s="323"/>
      <c r="O169" s="323"/>
    </row>
    <row r="170" spans="1:15" x14ac:dyDescent="0.2">
      <c r="A170" s="286"/>
      <c r="B170" s="285"/>
      <c r="C170" s="285"/>
      <c r="D170" s="285"/>
      <c r="E170" s="285"/>
      <c r="F170" s="284"/>
      <c r="G170" s="323" t="str">
        <f>IF(B170="","",VLOOKUP(IF((B170-F170)*10&lt;-10,-10,IF((B170-F170)*10&gt;10,10,(B170-F170)*10)),'Rank Progression'!$K$2:$L$22,2,FALSE))</f>
        <v/>
      </c>
      <c r="I170" s="323"/>
      <c r="J170" s="323"/>
      <c r="K170" s="323"/>
      <c r="L170" s="323"/>
      <c r="M170" s="323"/>
      <c r="N170" s="323"/>
      <c r="O170" s="323"/>
    </row>
    <row r="171" spans="1:15" x14ac:dyDescent="0.2">
      <c r="A171" s="286"/>
      <c r="B171" s="285"/>
      <c r="C171" s="285"/>
      <c r="D171" s="285"/>
      <c r="E171" s="285"/>
      <c r="F171" s="284"/>
      <c r="G171" s="323" t="str">
        <f>IF(B171="","",VLOOKUP(IF((B171-F171)*10&lt;-10,-10,IF((B171-F171)*10&gt;10,10,(B171-F171)*10)),'Rank Progression'!$K$2:$L$22,2,FALSE))</f>
        <v/>
      </c>
      <c r="I171" s="323"/>
      <c r="J171" s="323"/>
      <c r="K171" s="323"/>
      <c r="L171" s="323"/>
      <c r="M171" s="323"/>
      <c r="N171" s="323"/>
      <c r="O171" s="323"/>
    </row>
    <row r="172" spans="1:15" x14ac:dyDescent="0.2">
      <c r="A172" s="286"/>
      <c r="B172" s="285"/>
      <c r="C172" s="285"/>
      <c r="D172" s="285"/>
      <c r="E172" s="285"/>
      <c r="F172" s="284"/>
      <c r="G172" s="323" t="str">
        <f>IF(B172="","",VLOOKUP(IF((B172-F172)*10&lt;-10,-10,IF((B172-F172)*10&gt;10,10,(B172-F172)*10)),'Rank Progression'!$K$2:$L$22,2,FALSE))</f>
        <v/>
      </c>
      <c r="I172" s="323"/>
      <c r="J172" s="323"/>
      <c r="K172" s="323"/>
      <c r="L172" s="323"/>
      <c r="M172" s="323"/>
      <c r="N172" s="323"/>
      <c r="O172" s="323"/>
    </row>
    <row r="173" spans="1:15" x14ac:dyDescent="0.2">
      <c r="A173" s="286"/>
      <c r="B173" s="285"/>
      <c r="C173" s="285"/>
      <c r="D173" s="285"/>
      <c r="E173" s="285"/>
      <c r="F173" s="284"/>
      <c r="G173" s="323" t="str">
        <f>IF(B173="","",VLOOKUP(IF((B173-F173)*10&lt;-10,-10,IF((B173-F173)*10&gt;10,10,(B173-F173)*10)),'Rank Progression'!$K$2:$L$22,2,FALSE))</f>
        <v/>
      </c>
      <c r="I173" s="323"/>
      <c r="J173" s="323"/>
      <c r="K173" s="323"/>
      <c r="L173" s="323"/>
      <c r="M173" s="323"/>
      <c r="N173" s="323"/>
      <c r="O173" s="323"/>
    </row>
    <row r="174" spans="1:15" x14ac:dyDescent="0.2">
      <c r="A174" s="286"/>
      <c r="B174" s="285"/>
      <c r="C174" s="285"/>
      <c r="D174" s="285"/>
      <c r="E174" s="285"/>
      <c r="F174" s="284"/>
      <c r="G174" s="323" t="str">
        <f>IF(B174="","",VLOOKUP(IF((B174-F174)*10&lt;-10,-10,IF((B174-F174)*10&gt;10,10,(B174-F174)*10)),'Rank Progression'!$K$2:$L$22,2,FALSE))</f>
        <v/>
      </c>
      <c r="I174" s="323"/>
      <c r="J174" s="323"/>
      <c r="K174" s="323"/>
      <c r="L174" s="323"/>
      <c r="M174" s="323"/>
      <c r="N174" s="323"/>
      <c r="O174" s="323"/>
    </row>
    <row r="175" spans="1:15" x14ac:dyDescent="0.2">
      <c r="A175" s="286"/>
      <c r="B175" s="285"/>
      <c r="C175" s="285"/>
      <c r="D175" s="285"/>
      <c r="E175" s="285"/>
      <c r="F175" s="284"/>
      <c r="G175" s="323" t="str">
        <f>IF(B175="","",VLOOKUP(IF((B175-F175)*10&lt;-10,-10,IF((B175-F175)*10&gt;10,10,(B175-F175)*10)),'Rank Progression'!$K$2:$L$22,2,FALSE))</f>
        <v/>
      </c>
      <c r="I175" s="323"/>
      <c r="J175" s="323"/>
      <c r="K175" s="323"/>
      <c r="L175" s="323"/>
      <c r="M175" s="323"/>
      <c r="N175" s="323"/>
      <c r="O175" s="323"/>
    </row>
    <row r="176" spans="1:15" x14ac:dyDescent="0.2">
      <c r="A176" s="286"/>
      <c r="B176" s="285"/>
      <c r="C176" s="285"/>
      <c r="D176" s="285"/>
      <c r="E176" s="285"/>
      <c r="F176" s="284"/>
      <c r="G176" s="323" t="str">
        <f>IF(B176="","",VLOOKUP(IF((B176-F176)*10&lt;-10,-10,IF((B176-F176)*10&gt;10,10,(B176-F176)*10)),'Rank Progression'!$K$2:$L$22,2,FALSE))</f>
        <v/>
      </c>
      <c r="I176" s="323"/>
      <c r="J176" s="323"/>
      <c r="K176" s="323"/>
      <c r="L176" s="323"/>
      <c r="M176" s="323"/>
      <c r="N176" s="323"/>
      <c r="O176" s="323"/>
    </row>
    <row r="177" spans="1:15" x14ac:dyDescent="0.2">
      <c r="A177" s="286"/>
      <c r="B177" s="285"/>
      <c r="C177" s="285"/>
      <c r="D177" s="285"/>
      <c r="E177" s="285"/>
      <c r="F177" s="284"/>
      <c r="G177" s="323" t="str">
        <f>IF(B177="","",VLOOKUP(IF((B177-F177)*10&lt;-10,-10,IF((B177-F177)*10&gt;10,10,(B177-F177)*10)),'Rank Progression'!$K$2:$L$22,2,FALSE))</f>
        <v/>
      </c>
      <c r="I177" s="323"/>
      <c r="J177" s="323"/>
      <c r="K177" s="323"/>
      <c r="L177" s="323"/>
      <c r="M177" s="323"/>
      <c r="N177" s="323"/>
      <c r="O177" s="323"/>
    </row>
    <row r="178" spans="1:15" x14ac:dyDescent="0.2">
      <c r="A178" s="286"/>
      <c r="B178" s="285"/>
      <c r="C178" s="285"/>
      <c r="D178" s="285"/>
      <c r="E178" s="285"/>
      <c r="F178" s="284"/>
      <c r="G178" s="323" t="str">
        <f>IF(B178="","",VLOOKUP(IF((B178-F178)*10&lt;-10,-10,IF((B178-F178)*10&gt;10,10,(B178-F178)*10)),'Rank Progression'!$K$2:$L$22,2,FALSE))</f>
        <v/>
      </c>
      <c r="I178" s="323"/>
      <c r="J178" s="323"/>
      <c r="K178" s="323"/>
      <c r="L178" s="323"/>
      <c r="M178" s="323"/>
      <c r="N178" s="323"/>
      <c r="O178" s="323"/>
    </row>
    <row r="179" spans="1:15" x14ac:dyDescent="0.2">
      <c r="A179" s="286"/>
      <c r="B179" s="285"/>
      <c r="C179" s="285"/>
      <c r="D179" s="285"/>
      <c r="E179" s="285"/>
      <c r="F179" s="284"/>
      <c r="G179" s="323" t="str">
        <f>IF(B179="","",VLOOKUP(IF((B179-F179)*10&lt;-10,-10,IF((B179-F179)*10&gt;10,10,(B179-F179)*10)),'Rank Progression'!$K$2:$L$22,2,FALSE))</f>
        <v/>
      </c>
      <c r="I179" s="323"/>
      <c r="J179" s="323"/>
      <c r="K179" s="323"/>
      <c r="L179" s="323"/>
      <c r="M179" s="323"/>
      <c r="N179" s="323"/>
      <c r="O179" s="323"/>
    </row>
    <row r="180" spans="1:15" x14ac:dyDescent="0.2">
      <c r="A180" s="286"/>
      <c r="B180" s="285"/>
      <c r="C180" s="285"/>
      <c r="D180" s="285"/>
      <c r="E180" s="285"/>
      <c r="F180" s="284"/>
      <c r="G180" s="323" t="str">
        <f>IF(B180="","",VLOOKUP(IF((B180-F180)*10&lt;-10,-10,IF((B180-F180)*10&gt;10,10,(B180-F180)*10)),'Rank Progression'!$K$2:$L$22,2,FALSE))</f>
        <v/>
      </c>
      <c r="I180" s="323"/>
      <c r="J180" s="323"/>
      <c r="K180" s="323"/>
      <c r="L180" s="323"/>
      <c r="M180" s="323"/>
      <c r="N180" s="323"/>
      <c r="O180" s="323"/>
    </row>
    <row r="181" spans="1:15" x14ac:dyDescent="0.2">
      <c r="A181" s="286"/>
      <c r="B181" s="285"/>
      <c r="C181" s="285"/>
      <c r="D181" s="285"/>
      <c r="E181" s="285"/>
      <c r="F181" s="284"/>
      <c r="G181" s="323" t="str">
        <f>IF(B181="","",VLOOKUP(IF((B181-F181)*10&lt;-10,-10,IF((B181-F181)*10&gt;10,10,(B181-F181)*10)),'Rank Progression'!$K$2:$L$22,2,FALSE))</f>
        <v/>
      </c>
      <c r="I181" s="323"/>
      <c r="J181" s="323"/>
      <c r="K181" s="323"/>
      <c r="L181" s="323"/>
      <c r="M181" s="323"/>
      <c r="N181" s="323"/>
      <c r="O181" s="323"/>
    </row>
    <row r="182" spans="1:15" x14ac:dyDescent="0.2">
      <c r="A182" s="286"/>
      <c r="B182" s="285"/>
      <c r="C182" s="285"/>
      <c r="D182" s="285"/>
      <c r="E182" s="285"/>
      <c r="F182" s="284"/>
      <c r="G182" s="323" t="str">
        <f>IF(B182="","",VLOOKUP(IF((B182-F182)*10&lt;-10,-10,IF((B182-F182)*10&gt;10,10,(B182-F182)*10)),'Rank Progression'!$K$2:$L$22,2,FALSE))</f>
        <v/>
      </c>
      <c r="I182" s="323"/>
      <c r="J182" s="323"/>
      <c r="K182" s="323"/>
      <c r="L182" s="323"/>
      <c r="M182" s="323"/>
      <c r="N182" s="323"/>
      <c r="O182" s="323"/>
    </row>
    <row r="183" spans="1:15" x14ac:dyDescent="0.2">
      <c r="A183" s="286"/>
      <c r="B183" s="285"/>
      <c r="C183" s="285"/>
      <c r="D183" s="285"/>
      <c r="E183" s="285"/>
      <c r="F183" s="284"/>
      <c r="G183" s="323" t="str">
        <f>IF(B183="","",VLOOKUP(IF((B183-F183)*10&lt;-10,-10,IF((B183-F183)*10&gt;10,10,(B183-F183)*10)),'Rank Progression'!$K$2:$L$22,2,FALSE))</f>
        <v/>
      </c>
      <c r="I183" s="323"/>
      <c r="J183" s="323"/>
      <c r="K183" s="323"/>
      <c r="L183" s="323"/>
      <c r="M183" s="323"/>
      <c r="N183" s="323"/>
      <c r="O183" s="323"/>
    </row>
    <row r="184" spans="1:15" x14ac:dyDescent="0.2">
      <c r="A184" s="286"/>
      <c r="B184" s="285"/>
      <c r="C184" s="285"/>
      <c r="D184" s="285"/>
      <c r="E184" s="285"/>
      <c r="F184" s="284"/>
      <c r="G184" s="323" t="str">
        <f>IF(B184="","",VLOOKUP(IF((B184-F184)*10&lt;-10,-10,IF((B184-F184)*10&gt;10,10,(B184-F184)*10)),'Rank Progression'!$K$2:$L$22,2,FALSE))</f>
        <v/>
      </c>
      <c r="I184" s="323"/>
      <c r="J184" s="323"/>
      <c r="K184" s="323"/>
      <c r="L184" s="323"/>
      <c r="M184" s="323"/>
      <c r="N184" s="323"/>
      <c r="O184" s="323"/>
    </row>
    <row r="185" spans="1:15" x14ac:dyDescent="0.2">
      <c r="A185" s="286"/>
      <c r="B185" s="285"/>
      <c r="C185" s="285"/>
      <c r="D185" s="285"/>
      <c r="E185" s="285"/>
      <c r="F185" s="284"/>
      <c r="G185" s="323" t="str">
        <f>IF(B185="","",VLOOKUP(IF((B185-F185)*10&lt;-10,-10,IF((B185-F185)*10&gt;10,10,(B185-F185)*10)),'Rank Progression'!$K$2:$L$22,2,FALSE))</f>
        <v/>
      </c>
      <c r="I185" s="323"/>
      <c r="J185" s="323"/>
      <c r="K185" s="323"/>
      <c r="L185" s="323"/>
      <c r="M185" s="323"/>
      <c r="N185" s="323"/>
      <c r="O185" s="323"/>
    </row>
    <row r="186" spans="1:15" x14ac:dyDescent="0.2">
      <c r="A186" s="286"/>
      <c r="B186" s="285"/>
      <c r="C186" s="285"/>
      <c r="D186" s="285"/>
      <c r="E186" s="285"/>
      <c r="F186" s="284"/>
      <c r="G186" s="323" t="str">
        <f>IF(B186="","",VLOOKUP(IF((B186-F186)*10&lt;-10,-10,IF((B186-F186)*10&gt;10,10,(B186-F186)*10)),'Rank Progression'!$K$2:$L$22,2,FALSE))</f>
        <v/>
      </c>
      <c r="I186" s="323"/>
      <c r="J186" s="323"/>
      <c r="K186" s="323"/>
      <c r="L186" s="323"/>
      <c r="M186" s="323"/>
      <c r="N186" s="323"/>
      <c r="O186" s="323"/>
    </row>
    <row r="187" spans="1:15" x14ac:dyDescent="0.2">
      <c r="A187" s="286"/>
      <c r="B187" s="285"/>
      <c r="C187" s="285"/>
      <c r="D187" s="285"/>
      <c r="E187" s="285"/>
      <c r="F187" s="284"/>
      <c r="G187" s="323" t="str">
        <f>IF(B187="","",VLOOKUP(IF((B187-F187)*10&lt;-10,-10,IF((B187-F187)*10&gt;10,10,(B187-F187)*10)),'Rank Progression'!$K$2:$L$22,2,FALSE))</f>
        <v/>
      </c>
      <c r="I187" s="323"/>
      <c r="J187" s="323"/>
      <c r="K187" s="323"/>
      <c r="L187" s="323"/>
      <c r="M187" s="323"/>
      <c r="N187" s="323"/>
      <c r="O187" s="323"/>
    </row>
    <row r="188" spans="1:15" x14ac:dyDescent="0.2">
      <c r="A188" s="286"/>
      <c r="B188" s="285"/>
      <c r="C188" s="285"/>
      <c r="D188" s="285"/>
      <c r="E188" s="285"/>
      <c r="F188" s="284"/>
      <c r="G188" s="323" t="str">
        <f>IF(B188="","",VLOOKUP(IF((B188-F188)*10&lt;-10,-10,IF((B188-F188)*10&gt;10,10,(B188-F188)*10)),'Rank Progression'!$K$2:$L$22,2,FALSE))</f>
        <v/>
      </c>
      <c r="I188" s="323"/>
      <c r="J188" s="323"/>
      <c r="K188" s="323"/>
      <c r="L188" s="323"/>
      <c r="M188" s="323"/>
      <c r="N188" s="323"/>
      <c r="O188" s="323"/>
    </row>
    <row r="189" spans="1:15" x14ac:dyDescent="0.2">
      <c r="A189" s="286"/>
      <c r="B189" s="285"/>
      <c r="C189" s="285"/>
      <c r="D189" s="285"/>
      <c r="E189" s="285"/>
      <c r="F189" s="284"/>
      <c r="G189" s="323" t="str">
        <f>IF(B189="","",VLOOKUP(IF((B189-F189)*10&lt;-10,-10,IF((B189-F189)*10&gt;10,10,(B189-F189)*10)),'Rank Progression'!$K$2:$L$22,2,FALSE))</f>
        <v/>
      </c>
      <c r="I189" s="323"/>
      <c r="J189" s="323"/>
      <c r="K189" s="323"/>
      <c r="L189" s="323"/>
      <c r="M189" s="323"/>
      <c r="N189" s="323"/>
      <c r="O189" s="323"/>
    </row>
    <row r="190" spans="1:15" x14ac:dyDescent="0.2">
      <c r="A190" s="286"/>
      <c r="B190" s="285"/>
      <c r="C190" s="285"/>
      <c r="D190" s="285"/>
      <c r="E190" s="285"/>
      <c r="F190" s="284"/>
      <c r="G190" s="323" t="str">
        <f>IF(B190="","",VLOOKUP(IF((B190-F190)*10&lt;-10,-10,IF((B190-F190)*10&gt;10,10,(B190-F190)*10)),'Rank Progression'!$K$2:$L$22,2,FALSE))</f>
        <v/>
      </c>
      <c r="I190" s="323"/>
      <c r="J190" s="323"/>
      <c r="K190" s="323"/>
      <c r="L190" s="323"/>
      <c r="M190" s="323"/>
      <c r="N190" s="323"/>
      <c r="O190" s="323"/>
    </row>
    <row r="191" spans="1:15" x14ac:dyDescent="0.2">
      <c r="A191" s="286"/>
      <c r="B191" s="285"/>
      <c r="C191" s="285"/>
      <c r="D191" s="285"/>
      <c r="E191" s="285"/>
      <c r="F191" s="284"/>
      <c r="G191" s="323" t="str">
        <f>IF(B191="","",VLOOKUP(IF((B191-F191)*10&lt;-10,-10,IF((B191-F191)*10&gt;10,10,(B191-F191)*10)),'Rank Progression'!$K$2:$L$22,2,FALSE))</f>
        <v/>
      </c>
      <c r="I191" s="323"/>
      <c r="J191" s="323"/>
      <c r="K191" s="323"/>
      <c r="L191" s="323"/>
      <c r="M191" s="323"/>
      <c r="N191" s="323"/>
      <c r="O191" s="323"/>
    </row>
    <row r="192" spans="1:15" x14ac:dyDescent="0.2">
      <c r="A192" s="286"/>
      <c r="B192" s="285"/>
      <c r="C192" s="285"/>
      <c r="D192" s="285"/>
      <c r="E192" s="285"/>
      <c r="F192" s="284"/>
      <c r="G192" s="323" t="str">
        <f>IF(B192="","",VLOOKUP(IF((B192-F192)*10&lt;-10,-10,IF((B192-F192)*10&gt;10,10,(B192-F192)*10)),'Rank Progression'!$K$2:$L$22,2,FALSE))</f>
        <v/>
      </c>
      <c r="I192" s="323"/>
      <c r="J192" s="323"/>
      <c r="K192" s="323"/>
      <c r="L192" s="323"/>
      <c r="M192" s="323"/>
      <c r="N192" s="323"/>
      <c r="O192" s="323"/>
    </row>
    <row r="193" spans="1:15" x14ac:dyDescent="0.2">
      <c r="A193" s="286"/>
      <c r="B193" s="285"/>
      <c r="C193" s="285"/>
      <c r="D193" s="285"/>
      <c r="E193" s="285"/>
      <c r="F193" s="284"/>
      <c r="G193" s="323" t="str">
        <f>IF(B193="","",VLOOKUP(IF((B193-F193)*10&lt;-10,-10,IF((B193-F193)*10&gt;10,10,(B193-F193)*10)),'Rank Progression'!$K$2:$L$22,2,FALSE))</f>
        <v/>
      </c>
      <c r="I193" s="323"/>
      <c r="J193" s="323"/>
      <c r="K193" s="323"/>
      <c r="L193" s="323"/>
      <c r="M193" s="323"/>
      <c r="N193" s="323"/>
      <c r="O193" s="323"/>
    </row>
    <row r="194" spans="1:15" x14ac:dyDescent="0.2">
      <c r="A194" s="286"/>
      <c r="B194" s="285"/>
      <c r="C194" s="285"/>
      <c r="D194" s="285"/>
      <c r="E194" s="285"/>
      <c r="F194" s="284"/>
      <c r="G194" s="323" t="str">
        <f>IF(B194="","",VLOOKUP(IF((B194-F194)*10&lt;-10,-10,IF((B194-F194)*10&gt;10,10,(B194-F194)*10)),'Rank Progression'!$K$2:$L$22,2,FALSE))</f>
        <v/>
      </c>
      <c r="I194" s="323"/>
      <c r="J194" s="323"/>
      <c r="K194" s="323"/>
      <c r="L194" s="323"/>
      <c r="M194" s="323"/>
      <c r="N194" s="323"/>
      <c r="O194" s="323"/>
    </row>
    <row r="195" spans="1:15" x14ac:dyDescent="0.2">
      <c r="A195" s="286"/>
      <c r="B195" s="285"/>
      <c r="C195" s="285"/>
      <c r="D195" s="285"/>
      <c r="E195" s="285"/>
      <c r="F195" s="284"/>
      <c r="G195" s="323" t="str">
        <f>IF(B195="","",VLOOKUP(IF((B195-F195)*10&lt;-10,-10,IF((B195-F195)*10&gt;10,10,(B195-F195)*10)),'Rank Progression'!$K$2:$L$22,2,FALSE))</f>
        <v/>
      </c>
      <c r="I195" s="323"/>
      <c r="J195" s="323"/>
      <c r="K195" s="323"/>
      <c r="L195" s="323"/>
      <c r="M195" s="323"/>
      <c r="N195" s="323"/>
      <c r="O195" s="323"/>
    </row>
    <row r="196" spans="1:15" x14ac:dyDescent="0.2">
      <c r="A196" s="286"/>
      <c r="B196" s="285"/>
      <c r="C196" s="285"/>
      <c r="D196" s="285"/>
      <c r="E196" s="285"/>
      <c r="F196" s="284"/>
      <c r="G196" s="323" t="str">
        <f>IF(B196="","",VLOOKUP(IF((B196-F196)*10&lt;-10,-10,IF((B196-F196)*10&gt;10,10,(B196-F196)*10)),'Rank Progression'!$K$2:$L$22,2,FALSE))</f>
        <v/>
      </c>
      <c r="I196" s="323"/>
      <c r="J196" s="323"/>
      <c r="K196" s="323"/>
      <c r="L196" s="323"/>
      <c r="M196" s="323"/>
      <c r="N196" s="323"/>
      <c r="O196" s="323"/>
    </row>
    <row r="197" spans="1:15" x14ac:dyDescent="0.2">
      <c r="A197" s="286"/>
      <c r="B197" s="285"/>
      <c r="C197" s="285"/>
      <c r="D197" s="285"/>
      <c r="E197" s="285"/>
      <c r="F197" s="284"/>
      <c r="G197" s="323" t="str">
        <f>IF(B197="","",VLOOKUP(IF((B197-F197)*10&lt;-10,-10,IF((B197-F197)*10&gt;10,10,(B197-F197)*10)),'Rank Progression'!$K$2:$L$22,2,FALSE))</f>
        <v/>
      </c>
      <c r="I197" s="323"/>
      <c r="J197" s="323"/>
      <c r="K197" s="323"/>
      <c r="L197" s="323"/>
      <c r="M197" s="323"/>
      <c r="N197" s="323"/>
      <c r="O197" s="323"/>
    </row>
    <row r="198" spans="1:15" x14ac:dyDescent="0.2">
      <c r="A198" s="286"/>
      <c r="B198" s="285"/>
      <c r="C198" s="285"/>
      <c r="D198" s="285"/>
      <c r="E198" s="285"/>
      <c r="F198" s="284"/>
      <c r="G198" s="323" t="str">
        <f>IF(B198="","",VLOOKUP(IF((B198-F198)*10&lt;-10,-10,IF((B198-F198)*10&gt;10,10,(B198-F198)*10)),'Rank Progression'!$K$2:$L$22,2,FALSE))</f>
        <v/>
      </c>
      <c r="I198" s="323"/>
      <c r="J198" s="323"/>
      <c r="K198" s="323"/>
      <c r="L198" s="323"/>
      <c r="M198" s="323"/>
      <c r="N198" s="323"/>
      <c r="O198" s="323"/>
    </row>
    <row r="199" spans="1:15" x14ac:dyDescent="0.2">
      <c r="A199" s="286"/>
      <c r="B199" s="285"/>
      <c r="C199" s="285"/>
      <c r="D199" s="285"/>
      <c r="E199" s="285"/>
      <c r="F199" s="284"/>
      <c r="G199" s="323" t="str">
        <f>IF(B199="","",VLOOKUP(IF((B199-F199)*10&lt;-10,-10,IF((B199-F199)*10&gt;10,10,(B199-F199)*10)),'Rank Progression'!$K$2:$L$22,2,FALSE))</f>
        <v/>
      </c>
      <c r="I199" s="323"/>
      <c r="J199" s="323"/>
      <c r="K199" s="323"/>
      <c r="L199" s="323"/>
      <c r="M199" s="323"/>
      <c r="N199" s="323"/>
      <c r="O199" s="323"/>
    </row>
    <row r="200" spans="1:15" x14ac:dyDescent="0.2">
      <c r="A200" s="286"/>
      <c r="B200" s="285"/>
      <c r="C200" s="285"/>
      <c r="D200" s="285"/>
      <c r="E200" s="285"/>
      <c r="F200" s="284"/>
      <c r="G200" s="323" t="str">
        <f>IF(B200="","",VLOOKUP(IF((B200-F200)*10&lt;-10,-10,IF((B200-F200)*10&gt;10,10,(B200-F200)*10)),'Rank Progression'!$K$2:$L$22,2,FALSE))</f>
        <v/>
      </c>
      <c r="I200" s="323"/>
      <c r="J200" s="323"/>
      <c r="K200" s="323"/>
      <c r="L200" s="323"/>
      <c r="M200" s="323"/>
      <c r="N200" s="323"/>
      <c r="O200" s="323"/>
    </row>
    <row r="201" spans="1:15" x14ac:dyDescent="0.2">
      <c r="A201" s="286"/>
      <c r="B201" s="285"/>
      <c r="C201" s="285"/>
      <c r="D201" s="285"/>
      <c r="E201" s="285"/>
      <c r="F201" s="284"/>
      <c r="G201" s="323" t="str">
        <f>IF(B201="","",VLOOKUP(IF((B201-F201)*10&lt;-10,-10,IF((B201-F201)*10&gt;10,10,(B201-F201)*10)),'Rank Progression'!$K$2:$L$22,2,FALSE))</f>
        <v/>
      </c>
      <c r="I201" s="323"/>
      <c r="J201" s="323"/>
      <c r="K201" s="323"/>
      <c r="L201" s="323"/>
      <c r="M201" s="323"/>
      <c r="N201" s="323"/>
      <c r="O201" s="323"/>
    </row>
    <row r="202" spans="1:15" x14ac:dyDescent="0.2">
      <c r="A202" s="286"/>
      <c r="B202" s="285"/>
      <c r="C202" s="285"/>
      <c r="D202" s="285"/>
      <c r="E202" s="285"/>
      <c r="F202" s="284"/>
      <c r="G202" s="323" t="str">
        <f>IF(B202="","",VLOOKUP(IF((B202-F202)*10&lt;-10,-10,IF((B202-F202)*10&gt;10,10,(B202-F202)*10)),'Rank Progression'!$K$2:$L$22,2,FALSE))</f>
        <v/>
      </c>
      <c r="I202" s="323"/>
      <c r="J202" s="323"/>
      <c r="K202" s="323"/>
      <c r="L202" s="323"/>
      <c r="M202" s="323"/>
      <c r="N202" s="323"/>
      <c r="O202" s="323"/>
    </row>
    <row r="203" spans="1:15" x14ac:dyDescent="0.2">
      <c r="A203" s="286"/>
      <c r="B203" s="285"/>
      <c r="C203" s="285"/>
      <c r="D203" s="285"/>
      <c r="E203" s="285"/>
      <c r="F203" s="284"/>
      <c r="G203" s="323" t="str">
        <f>IF(B203="","",VLOOKUP(IF((B203-F203)*10&lt;-10,-10,IF((B203-F203)*10&gt;10,10,(B203-F203)*10)),'Rank Progression'!$K$2:$L$22,2,FALSE))</f>
        <v/>
      </c>
      <c r="I203" s="323"/>
      <c r="J203" s="323"/>
      <c r="K203" s="323"/>
      <c r="L203" s="323"/>
      <c r="M203" s="323"/>
      <c r="N203" s="323"/>
      <c r="O203" s="323"/>
    </row>
    <row r="204" spans="1:15" x14ac:dyDescent="0.2">
      <c r="A204" s="286"/>
      <c r="B204" s="285"/>
      <c r="C204" s="285"/>
      <c r="D204" s="285"/>
      <c r="E204" s="285"/>
      <c r="F204" s="284"/>
      <c r="G204" s="323" t="str">
        <f>IF(B204="","",VLOOKUP(IF((B204-F204)*10&lt;-10,-10,IF((B204-F204)*10&gt;10,10,(B204-F204)*10)),'Rank Progression'!$K$2:$L$22,2,FALSE))</f>
        <v/>
      </c>
      <c r="I204" s="323"/>
      <c r="J204" s="323"/>
      <c r="K204" s="323"/>
      <c r="L204" s="323"/>
      <c r="M204" s="323"/>
      <c r="N204" s="323"/>
      <c r="O204" s="323"/>
    </row>
    <row r="205" spans="1:15" x14ac:dyDescent="0.2">
      <c r="A205" s="286"/>
      <c r="B205" s="285"/>
      <c r="C205" s="285"/>
      <c r="D205" s="285"/>
      <c r="E205" s="285"/>
      <c r="F205" s="284"/>
      <c r="G205" s="323" t="str">
        <f>IF(B205="","",VLOOKUP(IF((B205-F205)*10&lt;-10,-10,IF((B205-F205)*10&gt;10,10,(B205-F205)*10)),'Rank Progression'!$K$2:$L$22,2,FALSE))</f>
        <v/>
      </c>
      <c r="I205" s="323"/>
      <c r="J205" s="323"/>
      <c r="K205" s="323"/>
      <c r="L205" s="323"/>
      <c r="M205" s="323"/>
      <c r="N205" s="323"/>
      <c r="O205" s="323"/>
    </row>
    <row r="206" spans="1:15" x14ac:dyDescent="0.2">
      <c r="A206" s="286"/>
      <c r="B206" s="285"/>
      <c r="C206" s="285"/>
      <c r="D206" s="285"/>
      <c r="E206" s="285"/>
      <c r="F206" s="284"/>
      <c r="G206" s="323" t="str">
        <f>IF(B206="","",VLOOKUP(IF((B206-F206)*10&lt;-10,-10,IF((B206-F206)*10&gt;10,10,(B206-F206)*10)),'Rank Progression'!$K$2:$L$22,2,FALSE))</f>
        <v/>
      </c>
      <c r="I206" s="323"/>
      <c r="J206" s="323"/>
      <c r="K206" s="323"/>
      <c r="L206" s="323"/>
      <c r="M206" s="323"/>
      <c r="N206" s="323"/>
      <c r="O206" s="323"/>
    </row>
    <row r="207" spans="1:15" x14ac:dyDescent="0.2">
      <c r="A207" s="286"/>
      <c r="B207" s="285"/>
      <c r="C207" s="285"/>
      <c r="D207" s="285"/>
      <c r="E207" s="285"/>
      <c r="F207" s="284"/>
      <c r="G207" s="323" t="str">
        <f>IF(B207="","",VLOOKUP(IF((B207-F207)*10&lt;-10,-10,IF((B207-F207)*10&gt;10,10,(B207-F207)*10)),'Rank Progression'!$K$2:$L$22,2,FALSE))</f>
        <v/>
      </c>
      <c r="I207" s="323"/>
      <c r="J207" s="323"/>
      <c r="K207" s="323"/>
      <c r="L207" s="323"/>
      <c r="M207" s="323"/>
      <c r="N207" s="323"/>
      <c r="O207" s="323"/>
    </row>
    <row r="208" spans="1:15" x14ac:dyDescent="0.2">
      <c r="A208" s="286"/>
      <c r="B208" s="285"/>
      <c r="C208" s="285"/>
      <c r="D208" s="285"/>
      <c r="E208" s="285"/>
      <c r="F208" s="284"/>
      <c r="G208" s="323" t="str">
        <f>IF(B208="","",VLOOKUP(IF((B208-F208)*10&lt;-10,-10,IF((B208-F208)*10&gt;10,10,(B208-F208)*10)),'Rank Progression'!$K$2:$L$22,2,FALSE))</f>
        <v/>
      </c>
      <c r="I208" s="323"/>
      <c r="J208" s="323"/>
      <c r="K208" s="323"/>
      <c r="L208" s="323"/>
      <c r="M208" s="323"/>
      <c r="N208" s="323"/>
      <c r="O208" s="323"/>
    </row>
    <row r="209" spans="1:15" x14ac:dyDescent="0.2">
      <c r="A209" s="286"/>
      <c r="B209" s="285"/>
      <c r="C209" s="285"/>
      <c r="D209" s="285"/>
      <c r="E209" s="285"/>
      <c r="F209" s="284"/>
      <c r="G209" s="323" t="str">
        <f>IF(B209="","",VLOOKUP(IF((B209-F209)*10&lt;-10,-10,IF((B209-F209)*10&gt;10,10,(B209-F209)*10)),'Rank Progression'!$K$2:$L$22,2,FALSE))</f>
        <v/>
      </c>
      <c r="I209" s="323"/>
      <c r="J209" s="323"/>
      <c r="K209" s="323"/>
      <c r="L209" s="323"/>
      <c r="M209" s="323"/>
      <c r="N209" s="323"/>
      <c r="O209" s="323"/>
    </row>
    <row r="210" spans="1:15" x14ac:dyDescent="0.2">
      <c r="A210" s="286"/>
      <c r="B210" s="285"/>
      <c r="C210" s="285"/>
      <c r="D210" s="285"/>
      <c r="E210" s="285"/>
      <c r="F210" s="284"/>
      <c r="G210" s="323" t="str">
        <f>IF(B210="","",VLOOKUP(IF((B210-F210)*10&lt;-10,-10,IF((B210-F210)*10&gt;10,10,(B210-F210)*10)),'Rank Progression'!$K$2:$L$22,2,FALSE))</f>
        <v/>
      </c>
      <c r="I210" s="323"/>
      <c r="J210" s="323"/>
      <c r="K210" s="323"/>
      <c r="L210" s="323"/>
      <c r="M210" s="323"/>
      <c r="N210" s="323"/>
      <c r="O210" s="323"/>
    </row>
    <row r="211" spans="1:15" x14ac:dyDescent="0.2">
      <c r="A211" s="286"/>
      <c r="B211" s="285"/>
      <c r="C211" s="285"/>
      <c r="D211" s="285"/>
      <c r="E211" s="285"/>
      <c r="F211" s="284"/>
      <c r="G211" s="323" t="str">
        <f>IF(B211="","",VLOOKUP(IF((B211-F211)*10&lt;-10,-10,IF((B211-F211)*10&gt;10,10,(B211-F211)*10)),'Rank Progression'!$K$2:$L$22,2,FALSE))</f>
        <v/>
      </c>
      <c r="I211" s="323"/>
      <c r="J211" s="323"/>
      <c r="K211" s="323"/>
      <c r="L211" s="323"/>
      <c r="M211" s="323"/>
      <c r="N211" s="323"/>
      <c r="O211" s="323"/>
    </row>
    <row r="212" spans="1:15" x14ac:dyDescent="0.2">
      <c r="A212" s="286"/>
      <c r="B212" s="285"/>
      <c r="C212" s="285"/>
      <c r="D212" s="285"/>
      <c r="E212" s="285"/>
      <c r="F212" s="284"/>
      <c r="G212" s="323" t="str">
        <f>IF(B212="","",VLOOKUP(IF((B212-F212)*10&lt;-10,-10,IF((B212-F212)*10&gt;10,10,(B212-F212)*10)),'Rank Progression'!$K$2:$L$22,2,FALSE))</f>
        <v/>
      </c>
      <c r="I212" s="323"/>
      <c r="J212" s="323"/>
      <c r="K212" s="323"/>
      <c r="L212" s="323"/>
      <c r="M212" s="323"/>
      <c r="N212" s="323"/>
      <c r="O212" s="323"/>
    </row>
    <row r="213" spans="1:15" x14ac:dyDescent="0.2">
      <c r="A213" s="286"/>
      <c r="B213" s="285"/>
      <c r="C213" s="285"/>
      <c r="D213" s="285"/>
      <c r="E213" s="285"/>
      <c r="F213" s="284"/>
      <c r="G213" s="323" t="str">
        <f>IF(B213="","",VLOOKUP(IF((B213-F213)*10&lt;-10,-10,IF((B213-F213)*10&gt;10,10,(B213-F213)*10)),'Rank Progression'!$K$2:$L$22,2,FALSE))</f>
        <v/>
      </c>
      <c r="I213" s="323"/>
      <c r="J213" s="323"/>
      <c r="K213" s="323"/>
      <c r="L213" s="323"/>
      <c r="M213" s="323"/>
      <c r="N213" s="323"/>
      <c r="O213" s="323"/>
    </row>
    <row r="214" spans="1:15" x14ac:dyDescent="0.2">
      <c r="A214" s="286"/>
      <c r="B214" s="285"/>
      <c r="C214" s="285"/>
      <c r="D214" s="285"/>
      <c r="E214" s="285"/>
      <c r="F214" s="284"/>
      <c r="G214" s="323" t="str">
        <f>IF(B214="","",VLOOKUP(IF((B214-F214)*10&lt;-10,-10,IF((B214-F214)*10&gt;10,10,(B214-F214)*10)),'Rank Progression'!$K$2:$L$22,2,FALSE))</f>
        <v/>
      </c>
      <c r="I214" s="323"/>
      <c r="J214" s="323"/>
      <c r="K214" s="323"/>
      <c r="L214" s="323"/>
      <c r="M214" s="323"/>
      <c r="N214" s="323"/>
      <c r="O214" s="323"/>
    </row>
    <row r="215" spans="1:15" x14ac:dyDescent="0.2">
      <c r="A215" s="286"/>
      <c r="B215" s="285"/>
      <c r="C215" s="285"/>
      <c r="D215" s="285"/>
      <c r="E215" s="285"/>
      <c r="F215" s="284"/>
      <c r="G215" s="323" t="str">
        <f>IF(B215="","",VLOOKUP(IF((B215-F215)*10&lt;-10,-10,IF((B215-F215)*10&gt;10,10,(B215-F215)*10)),'Rank Progression'!$K$2:$L$22,2,FALSE))</f>
        <v/>
      </c>
      <c r="I215" s="323"/>
      <c r="J215" s="323"/>
      <c r="K215" s="323"/>
      <c r="L215" s="323"/>
      <c r="M215" s="323"/>
      <c r="N215" s="323"/>
      <c r="O215" s="323"/>
    </row>
    <row r="216" spans="1:15" x14ac:dyDescent="0.2">
      <c r="A216" s="286"/>
      <c r="B216" s="285"/>
      <c r="C216" s="285"/>
      <c r="D216" s="285"/>
      <c r="E216" s="285"/>
      <c r="F216" s="284"/>
      <c r="G216" s="323" t="str">
        <f>IF(B216="","",VLOOKUP(IF((B216-F216)*10&lt;-10,-10,IF((B216-F216)*10&gt;10,10,(B216-F216)*10)),'Rank Progression'!$K$2:$L$22,2,FALSE))</f>
        <v/>
      </c>
      <c r="I216" s="323"/>
      <c r="J216" s="323"/>
      <c r="K216" s="323"/>
      <c r="L216" s="323"/>
      <c r="M216" s="323"/>
      <c r="N216" s="323"/>
      <c r="O216" s="323"/>
    </row>
    <row r="217" spans="1:15" x14ac:dyDescent="0.2">
      <c r="A217" s="286"/>
      <c r="B217" s="285"/>
      <c r="C217" s="285"/>
      <c r="D217" s="285"/>
      <c r="E217" s="285"/>
      <c r="F217" s="284"/>
      <c r="G217" s="323" t="str">
        <f>IF(B217="","",VLOOKUP(IF((B217-F217)*10&lt;-10,-10,IF((B217-F217)*10&gt;10,10,(B217-F217)*10)),'Rank Progression'!$K$2:$L$22,2,FALSE))</f>
        <v/>
      </c>
      <c r="I217" s="323"/>
      <c r="J217" s="323"/>
      <c r="K217" s="323"/>
      <c r="L217" s="323"/>
      <c r="M217" s="323"/>
      <c r="N217" s="323"/>
      <c r="O217" s="323"/>
    </row>
    <row r="218" spans="1:15" x14ac:dyDescent="0.2">
      <c r="A218" s="286"/>
      <c r="B218" s="285"/>
      <c r="C218" s="285"/>
      <c r="D218" s="285"/>
      <c r="E218" s="285"/>
      <c r="F218" s="284"/>
      <c r="G218" s="323" t="str">
        <f>IF(B218="","",VLOOKUP(IF((B218-F218)*10&lt;-10,-10,IF((B218-F218)*10&gt;10,10,(B218-F218)*10)),'Rank Progression'!$K$2:$L$22,2,FALSE))</f>
        <v/>
      </c>
      <c r="I218" s="323"/>
      <c r="J218" s="323"/>
      <c r="K218" s="323"/>
      <c r="L218" s="323"/>
      <c r="M218" s="323"/>
      <c r="N218" s="323"/>
      <c r="O218" s="323"/>
    </row>
    <row r="219" spans="1:15" x14ac:dyDescent="0.2">
      <c r="A219" s="286"/>
      <c r="B219" s="285"/>
      <c r="C219" s="285"/>
      <c r="D219" s="285"/>
      <c r="E219" s="285"/>
      <c r="F219" s="284"/>
      <c r="G219" s="323" t="str">
        <f>IF(B219="","",VLOOKUP(IF((B219-F219)*10&lt;-10,-10,IF((B219-F219)*10&gt;10,10,(B219-F219)*10)),'Rank Progression'!$K$2:$L$22,2,FALSE))</f>
        <v/>
      </c>
      <c r="I219" s="323"/>
      <c r="J219" s="323"/>
      <c r="K219" s="323"/>
      <c r="L219" s="323"/>
      <c r="M219" s="323"/>
      <c r="N219" s="323"/>
      <c r="O219" s="323"/>
    </row>
    <row r="220" spans="1:15" x14ac:dyDescent="0.2">
      <c r="A220" s="286"/>
      <c r="B220" s="285"/>
      <c r="C220" s="285"/>
      <c r="D220" s="285"/>
      <c r="E220" s="285"/>
      <c r="F220" s="284"/>
      <c r="G220" s="323" t="str">
        <f>IF(B220="","",VLOOKUP(IF((B220-F220)*10&lt;-10,-10,IF((B220-F220)*10&gt;10,10,(B220-F220)*10)),'Rank Progression'!$K$2:$L$22,2,FALSE))</f>
        <v/>
      </c>
      <c r="I220" s="323"/>
      <c r="J220" s="323"/>
      <c r="K220" s="323"/>
      <c r="L220" s="323"/>
      <c r="M220" s="323"/>
      <c r="N220" s="323"/>
      <c r="O220" s="323"/>
    </row>
    <row r="221" spans="1:15" x14ac:dyDescent="0.2">
      <c r="A221" s="286"/>
      <c r="B221" s="285"/>
      <c r="C221" s="285"/>
      <c r="D221" s="285"/>
      <c r="E221" s="285"/>
      <c r="F221" s="284"/>
      <c r="G221" s="323" t="str">
        <f>IF(B221="","",VLOOKUP(IF((B221-F221)*10&lt;-10,-10,IF((B221-F221)*10&gt;10,10,(B221-F221)*10)),'Rank Progression'!$K$2:$L$22,2,FALSE))</f>
        <v/>
      </c>
      <c r="I221" s="323"/>
      <c r="J221" s="323"/>
      <c r="K221" s="323"/>
      <c r="L221" s="323"/>
      <c r="M221" s="323"/>
      <c r="N221" s="323"/>
      <c r="O221" s="323"/>
    </row>
    <row r="222" spans="1:15" x14ac:dyDescent="0.2">
      <c r="A222" s="286"/>
      <c r="B222" s="285"/>
      <c r="C222" s="285"/>
      <c r="D222" s="285"/>
      <c r="E222" s="285"/>
      <c r="F222" s="284"/>
      <c r="G222" s="323" t="str">
        <f>IF(B222="","",VLOOKUP(IF((B222-F222)*10&lt;-10,-10,IF((B222-F222)*10&gt;10,10,(B222-F222)*10)),'Rank Progression'!$K$2:$L$22,2,FALSE))</f>
        <v/>
      </c>
      <c r="I222" s="323"/>
      <c r="J222" s="323"/>
      <c r="K222" s="323"/>
      <c r="L222" s="323"/>
      <c r="M222" s="323"/>
      <c r="N222" s="323"/>
      <c r="O222" s="323"/>
    </row>
    <row r="223" spans="1:15" x14ac:dyDescent="0.2">
      <c r="A223" s="286"/>
      <c r="B223" s="285"/>
      <c r="C223" s="285"/>
      <c r="D223" s="285"/>
      <c r="E223" s="285"/>
      <c r="F223" s="284"/>
      <c r="G223" s="323" t="str">
        <f>IF(B223="","",VLOOKUP(IF((B223-F223)*10&lt;-10,-10,IF((B223-F223)*10&gt;10,10,(B223-F223)*10)),'Rank Progression'!$K$2:$L$22,2,FALSE))</f>
        <v/>
      </c>
      <c r="I223" s="323"/>
      <c r="J223" s="323"/>
      <c r="K223" s="323"/>
      <c r="L223" s="323"/>
      <c r="M223" s="323"/>
      <c r="N223" s="323"/>
      <c r="O223" s="323"/>
    </row>
    <row r="224" spans="1:15" x14ac:dyDescent="0.2">
      <c r="A224" s="286"/>
      <c r="B224" s="285"/>
      <c r="C224" s="285"/>
      <c r="D224" s="285"/>
      <c r="E224" s="285"/>
      <c r="F224" s="284"/>
      <c r="G224" s="323" t="str">
        <f>IF(B224="","",VLOOKUP(IF((B224-F224)*10&lt;-10,-10,IF((B224-F224)*10&gt;10,10,(B224-F224)*10)),'Rank Progression'!$K$2:$L$22,2,FALSE))</f>
        <v/>
      </c>
      <c r="I224" s="323"/>
      <c r="J224" s="323"/>
      <c r="K224" s="323"/>
      <c r="L224" s="323"/>
      <c r="M224" s="323"/>
      <c r="N224" s="323"/>
      <c r="O224" s="323"/>
    </row>
    <row r="225" spans="1:15" x14ac:dyDescent="0.2">
      <c r="A225" s="286"/>
      <c r="B225" s="285"/>
      <c r="C225" s="285"/>
      <c r="D225" s="285"/>
      <c r="E225" s="285"/>
      <c r="F225" s="284"/>
      <c r="G225" s="323" t="str">
        <f>IF(B225="","",VLOOKUP(IF((B225-F225)*10&lt;-10,-10,IF((B225-F225)*10&gt;10,10,(B225-F225)*10)),'Rank Progression'!$K$2:$L$22,2,FALSE))</f>
        <v/>
      </c>
      <c r="I225" s="323"/>
      <c r="J225" s="323"/>
      <c r="K225" s="323"/>
      <c r="L225" s="323"/>
      <c r="M225" s="323"/>
      <c r="N225" s="323"/>
      <c r="O225" s="323"/>
    </row>
    <row r="226" spans="1:15" x14ac:dyDescent="0.2">
      <c r="A226" s="286"/>
      <c r="B226" s="285"/>
      <c r="C226" s="285"/>
      <c r="D226" s="285"/>
      <c r="E226" s="285"/>
      <c r="F226" s="284"/>
      <c r="G226" s="323" t="str">
        <f>IF(B226="","",VLOOKUP(IF((B226-F226)*10&lt;-10,-10,IF((B226-F226)*10&gt;10,10,(B226-F226)*10)),'Rank Progression'!$K$2:$L$22,2,FALSE))</f>
        <v/>
      </c>
      <c r="I226" s="323"/>
      <c r="J226" s="323"/>
      <c r="K226" s="323"/>
      <c r="L226" s="323"/>
      <c r="M226" s="323"/>
      <c r="N226" s="323"/>
      <c r="O226" s="323"/>
    </row>
    <row r="227" spans="1:15" x14ac:dyDescent="0.2">
      <c r="A227" s="286"/>
      <c r="B227" s="285"/>
      <c r="C227" s="285"/>
      <c r="D227" s="285"/>
      <c r="E227" s="285"/>
      <c r="F227" s="284"/>
      <c r="G227" s="323" t="str">
        <f>IF(B227="","",VLOOKUP(IF((B227-F227)*10&lt;-10,-10,IF((B227-F227)*10&gt;10,10,(B227-F227)*10)),'Rank Progression'!$K$2:$L$22,2,FALSE))</f>
        <v/>
      </c>
      <c r="I227" s="323"/>
      <c r="J227" s="323"/>
      <c r="K227" s="323"/>
      <c r="L227" s="323"/>
      <c r="M227" s="323"/>
      <c r="N227" s="323"/>
      <c r="O227" s="323"/>
    </row>
    <row r="228" spans="1:15" x14ac:dyDescent="0.2">
      <c r="A228" s="286"/>
      <c r="B228" s="285"/>
      <c r="C228" s="285"/>
      <c r="D228" s="285"/>
      <c r="E228" s="285"/>
      <c r="F228" s="284"/>
      <c r="G228" s="323" t="str">
        <f>IF(B228="","",VLOOKUP(IF((B228-F228)*10&lt;-10,-10,IF((B228-F228)*10&gt;10,10,(B228-F228)*10)),'Rank Progression'!$K$2:$L$22,2,FALSE))</f>
        <v/>
      </c>
      <c r="I228" s="323"/>
      <c r="J228" s="323"/>
      <c r="K228" s="323"/>
      <c r="L228" s="323"/>
      <c r="M228" s="323"/>
      <c r="N228" s="323"/>
      <c r="O228" s="323"/>
    </row>
    <row r="229" spans="1:15" x14ac:dyDescent="0.2">
      <c r="A229" s="286"/>
      <c r="B229" s="285"/>
      <c r="C229" s="285"/>
      <c r="D229" s="285"/>
      <c r="E229" s="285"/>
      <c r="F229" s="284"/>
      <c r="G229" s="323" t="str">
        <f>IF(B229="","",VLOOKUP(IF((B229-F229)*10&lt;-10,-10,IF((B229-F229)*10&gt;10,10,(B229-F229)*10)),'Rank Progression'!$K$2:$L$22,2,FALSE))</f>
        <v/>
      </c>
      <c r="I229" s="323"/>
      <c r="J229" s="323"/>
      <c r="K229" s="323"/>
      <c r="L229" s="323"/>
      <c r="M229" s="323"/>
      <c r="N229" s="323"/>
      <c r="O229" s="323"/>
    </row>
    <row r="230" spans="1:15" x14ac:dyDescent="0.2">
      <c r="A230" s="286"/>
      <c r="B230" s="285"/>
      <c r="C230" s="285"/>
      <c r="D230" s="285"/>
      <c r="E230" s="285"/>
      <c r="F230" s="284"/>
      <c r="G230" s="323" t="str">
        <f>IF(B230="","",VLOOKUP(IF((B230-F230)*10&lt;-10,-10,IF((B230-F230)*10&gt;10,10,(B230-F230)*10)),'Rank Progression'!$K$2:$L$22,2,FALSE))</f>
        <v/>
      </c>
      <c r="I230" s="323"/>
      <c r="J230" s="323"/>
      <c r="K230" s="323"/>
      <c r="L230" s="323"/>
      <c r="M230" s="323"/>
      <c r="N230" s="323"/>
      <c r="O230" s="323"/>
    </row>
    <row r="231" spans="1:15" x14ac:dyDescent="0.2">
      <c r="A231" s="286"/>
      <c r="B231" s="285"/>
      <c r="C231" s="285"/>
      <c r="D231" s="285"/>
      <c r="E231" s="285"/>
      <c r="F231" s="284"/>
      <c r="G231" s="323" t="str">
        <f>IF(B231="","",VLOOKUP(IF((B231-F231)*10&lt;-10,-10,IF((B231-F231)*10&gt;10,10,(B231-F231)*10)),'Rank Progression'!$K$2:$L$22,2,FALSE))</f>
        <v/>
      </c>
      <c r="I231" s="323"/>
      <c r="J231" s="323"/>
      <c r="K231" s="323"/>
      <c r="L231" s="323"/>
      <c r="M231" s="323"/>
      <c r="N231" s="323"/>
      <c r="O231" s="323"/>
    </row>
    <row r="232" spans="1:15" x14ac:dyDescent="0.2">
      <c r="A232" s="286"/>
      <c r="B232" s="285"/>
      <c r="C232" s="285"/>
      <c r="D232" s="285"/>
      <c r="E232" s="285"/>
      <c r="F232" s="284"/>
      <c r="G232" s="323" t="str">
        <f>IF(B232="","",VLOOKUP(IF((B232-F232)*10&lt;-10,-10,IF((B232-F232)*10&gt;10,10,(B232-F232)*10)),'Rank Progression'!$K$2:$L$22,2,FALSE))</f>
        <v/>
      </c>
      <c r="I232" s="323"/>
      <c r="J232" s="323"/>
      <c r="K232" s="323"/>
      <c r="L232" s="323"/>
      <c r="M232" s="323"/>
      <c r="N232" s="323"/>
      <c r="O232" s="323"/>
    </row>
    <row r="233" spans="1:15" x14ac:dyDescent="0.2">
      <c r="A233" s="286"/>
      <c r="B233" s="285"/>
      <c r="C233" s="285"/>
      <c r="D233" s="285"/>
      <c r="E233" s="285"/>
      <c r="F233" s="284"/>
      <c r="G233" s="323" t="str">
        <f>IF(B233="","",VLOOKUP(IF((B233-F233)*10&lt;-10,-10,IF((B233-F233)*10&gt;10,10,(B233-F233)*10)),'Rank Progression'!$K$2:$L$22,2,FALSE))</f>
        <v/>
      </c>
      <c r="I233" s="323"/>
      <c r="J233" s="323"/>
      <c r="K233" s="323"/>
      <c r="L233" s="323"/>
      <c r="M233" s="323"/>
      <c r="N233" s="323"/>
      <c r="O233" s="323"/>
    </row>
    <row r="234" spans="1:15" x14ac:dyDescent="0.2">
      <c r="A234" s="286"/>
      <c r="B234" s="285"/>
      <c r="C234" s="285"/>
      <c r="D234" s="285"/>
      <c r="E234" s="285"/>
      <c r="F234" s="284"/>
      <c r="G234" s="323" t="str">
        <f>IF(B234="","",VLOOKUP(IF((B234-F234)*10&lt;-10,-10,IF((B234-F234)*10&gt;10,10,(B234-F234)*10)),'Rank Progression'!$K$2:$L$22,2,FALSE))</f>
        <v/>
      </c>
      <c r="I234" s="323"/>
      <c r="J234" s="323"/>
      <c r="K234" s="323"/>
      <c r="L234" s="323"/>
      <c r="M234" s="323"/>
      <c r="N234" s="323"/>
      <c r="O234" s="323"/>
    </row>
    <row r="235" spans="1:15" x14ac:dyDescent="0.2">
      <c r="A235" s="286"/>
      <c r="B235" s="285"/>
      <c r="C235" s="285"/>
      <c r="D235" s="285"/>
      <c r="E235" s="285"/>
      <c r="F235" s="284"/>
      <c r="G235" s="323" t="str">
        <f>IF(B235="","",VLOOKUP(IF((B235-F235)*10&lt;-10,-10,IF((B235-F235)*10&gt;10,10,(B235-F235)*10)),'Rank Progression'!$K$2:$L$22,2,FALSE))</f>
        <v/>
      </c>
      <c r="I235" s="323"/>
      <c r="J235" s="323"/>
      <c r="K235" s="323"/>
      <c r="L235" s="323"/>
      <c r="M235" s="323"/>
      <c r="N235" s="323"/>
      <c r="O235" s="323"/>
    </row>
    <row r="236" spans="1:15" x14ac:dyDescent="0.2">
      <c r="A236" s="286"/>
      <c r="B236" s="285"/>
      <c r="C236" s="285"/>
      <c r="D236" s="285"/>
      <c r="E236" s="285"/>
      <c r="F236" s="284"/>
      <c r="G236" s="323" t="str">
        <f>IF(B236="","",VLOOKUP(IF((B236-F236)*10&lt;-10,-10,IF((B236-F236)*10&gt;10,10,(B236-F236)*10)),'Rank Progression'!$K$2:$L$22,2,FALSE))</f>
        <v/>
      </c>
      <c r="I236" s="323"/>
      <c r="J236" s="323"/>
      <c r="K236" s="323"/>
      <c r="L236" s="323"/>
      <c r="M236" s="323"/>
      <c r="N236" s="323"/>
      <c r="O236" s="323"/>
    </row>
    <row r="237" spans="1:15" x14ac:dyDescent="0.2">
      <c r="A237" s="286"/>
      <c r="B237" s="285"/>
      <c r="C237" s="285"/>
      <c r="D237" s="285"/>
      <c r="E237" s="285"/>
      <c r="F237" s="284"/>
      <c r="G237" s="323" t="str">
        <f>IF(B237="","",VLOOKUP(IF((B237-F237)*10&lt;-10,-10,IF((B237-F237)*10&gt;10,10,(B237-F237)*10)),'Rank Progression'!$K$2:$L$22,2,FALSE))</f>
        <v/>
      </c>
      <c r="I237" s="323"/>
      <c r="J237" s="323"/>
      <c r="K237" s="323"/>
      <c r="L237" s="323"/>
      <c r="M237" s="323"/>
      <c r="N237" s="323"/>
      <c r="O237" s="323"/>
    </row>
    <row r="238" spans="1:15" x14ac:dyDescent="0.2">
      <c r="A238" s="286"/>
      <c r="B238" s="285"/>
      <c r="C238" s="285"/>
      <c r="D238" s="285"/>
      <c r="E238" s="285"/>
      <c r="F238" s="284"/>
      <c r="G238" s="323" t="str">
        <f>IF(B238="","",VLOOKUP(IF((B238-F238)*10&lt;-10,-10,IF((B238-F238)*10&gt;10,10,(B238-F238)*10)),'Rank Progression'!$K$2:$L$22,2,FALSE))</f>
        <v/>
      </c>
      <c r="I238" s="323"/>
      <c r="J238" s="323"/>
      <c r="K238" s="323"/>
      <c r="L238" s="323"/>
      <c r="M238" s="323"/>
      <c r="N238" s="323"/>
      <c r="O238" s="323"/>
    </row>
    <row r="239" spans="1:15" x14ac:dyDescent="0.2">
      <c r="A239" s="286"/>
      <c r="B239" s="285"/>
      <c r="C239" s="285"/>
      <c r="D239" s="285"/>
      <c r="E239" s="285"/>
      <c r="F239" s="284"/>
      <c r="G239" s="323" t="str">
        <f>IF(B239="","",VLOOKUP(IF((B239-F239)*10&lt;-10,-10,IF((B239-F239)*10&gt;10,10,(B239-F239)*10)),'Rank Progression'!$K$2:$L$22,2,FALSE))</f>
        <v/>
      </c>
      <c r="I239" s="323"/>
      <c r="J239" s="323"/>
      <c r="K239" s="323"/>
      <c r="L239" s="323"/>
      <c r="M239" s="323"/>
      <c r="N239" s="323"/>
      <c r="O239" s="323"/>
    </row>
    <row r="240" spans="1:15" x14ac:dyDescent="0.2">
      <c r="A240" s="286"/>
      <c r="B240" s="285"/>
      <c r="C240" s="285"/>
      <c r="D240" s="285"/>
      <c r="E240" s="285"/>
      <c r="F240" s="284"/>
      <c r="G240" s="323" t="str">
        <f>IF(B240="","",VLOOKUP(IF((B240-F240)*10&lt;-10,-10,IF((B240-F240)*10&gt;10,10,(B240-F240)*10)),'Rank Progression'!$K$2:$L$22,2,FALSE))</f>
        <v/>
      </c>
      <c r="I240" s="323"/>
      <c r="J240" s="323"/>
      <c r="K240" s="323"/>
      <c r="L240" s="323"/>
      <c r="M240" s="323"/>
      <c r="N240" s="323"/>
      <c r="O240" s="323"/>
    </row>
    <row r="241" spans="1:15" x14ac:dyDescent="0.2">
      <c r="A241" s="286"/>
      <c r="B241" s="285"/>
      <c r="C241" s="285"/>
      <c r="D241" s="285"/>
      <c r="E241" s="285"/>
      <c r="F241" s="284"/>
      <c r="G241" s="323" t="str">
        <f>IF(B241="","",VLOOKUP(IF((B241-F241)*10&lt;-10,-10,IF((B241-F241)*10&gt;10,10,(B241-F241)*10)),'Rank Progression'!$K$2:$L$22,2,FALSE))</f>
        <v/>
      </c>
      <c r="I241" s="323"/>
      <c r="J241" s="323"/>
      <c r="K241" s="323"/>
      <c r="L241" s="323"/>
      <c r="M241" s="323"/>
      <c r="N241" s="323"/>
      <c r="O241" s="323"/>
    </row>
    <row r="242" spans="1:15" x14ac:dyDescent="0.2">
      <c r="A242" s="286"/>
      <c r="B242" s="285"/>
      <c r="C242" s="285"/>
      <c r="D242" s="285"/>
      <c r="E242" s="285"/>
      <c r="F242" s="284"/>
      <c r="G242" s="323" t="str">
        <f>IF(B242="","",VLOOKUP(IF((B242-F242)*10&lt;-10,-10,IF((B242-F242)*10&gt;10,10,(B242-F242)*10)),'Rank Progression'!$K$2:$L$22,2,FALSE))</f>
        <v/>
      </c>
      <c r="I242" s="323"/>
      <c r="J242" s="323"/>
      <c r="K242" s="323"/>
      <c r="L242" s="323"/>
      <c r="M242" s="323"/>
      <c r="N242" s="323"/>
      <c r="O242" s="323"/>
    </row>
    <row r="243" spans="1:15" x14ac:dyDescent="0.2">
      <c r="A243" s="286"/>
      <c r="B243" s="285"/>
      <c r="C243" s="285"/>
      <c r="D243" s="285"/>
      <c r="E243" s="285"/>
      <c r="F243" s="284"/>
      <c r="G243" s="323" t="str">
        <f>IF(B243="","",VLOOKUP(IF((B243-F243)*10&lt;-10,-10,IF((B243-F243)*10&gt;10,10,(B243-F243)*10)),'Rank Progression'!$K$2:$L$22,2,FALSE))</f>
        <v/>
      </c>
      <c r="I243" s="323"/>
      <c r="J243" s="323"/>
      <c r="K243" s="323"/>
      <c r="L243" s="323"/>
      <c r="M243" s="323"/>
      <c r="N243" s="323"/>
      <c r="O243" s="323"/>
    </row>
    <row r="244" spans="1:15" x14ac:dyDescent="0.2">
      <c r="A244" s="286"/>
      <c r="B244" s="285"/>
      <c r="C244" s="285"/>
      <c r="D244" s="285"/>
      <c r="E244" s="285"/>
      <c r="F244" s="284"/>
      <c r="G244" s="323" t="str">
        <f>IF(B244="","",VLOOKUP(IF((B244-F244)*10&lt;-10,-10,IF((B244-F244)*10&gt;10,10,(B244-F244)*10)),'Rank Progression'!$K$2:$L$22,2,FALSE))</f>
        <v/>
      </c>
      <c r="I244" s="323"/>
      <c r="J244" s="323"/>
      <c r="K244" s="323"/>
      <c r="L244" s="323"/>
      <c r="M244" s="323"/>
      <c r="N244" s="323"/>
      <c r="O244" s="323"/>
    </row>
    <row r="245" spans="1:15" x14ac:dyDescent="0.2">
      <c r="A245" s="286"/>
      <c r="B245" s="285"/>
      <c r="C245" s="285"/>
      <c r="D245" s="285"/>
      <c r="E245" s="285"/>
      <c r="F245" s="284"/>
      <c r="G245" s="323" t="str">
        <f>IF(B245="","",VLOOKUP(IF((B245-F245)*10&lt;-10,-10,IF((B245-F245)*10&gt;10,10,(B245-F245)*10)),'Rank Progression'!$K$2:$L$22,2,FALSE))</f>
        <v/>
      </c>
      <c r="I245" s="323"/>
      <c r="J245" s="323"/>
      <c r="K245" s="323"/>
      <c r="L245" s="323"/>
      <c r="M245" s="323"/>
      <c r="N245" s="323"/>
      <c r="O245" s="323"/>
    </row>
    <row r="246" spans="1:15" x14ac:dyDescent="0.2">
      <c r="A246" s="286"/>
      <c r="B246" s="285"/>
      <c r="C246" s="285"/>
      <c r="D246" s="285"/>
      <c r="E246" s="285"/>
      <c r="F246" s="284"/>
      <c r="G246" s="323" t="str">
        <f>IF(B246="","",VLOOKUP(IF((B246-F246)*10&lt;-10,-10,IF((B246-F246)*10&gt;10,10,(B246-F246)*10)),'Rank Progression'!$K$2:$L$22,2,FALSE))</f>
        <v/>
      </c>
      <c r="I246" s="323"/>
      <c r="J246" s="323"/>
      <c r="K246" s="323"/>
      <c r="L246" s="323"/>
      <c r="M246" s="323"/>
      <c r="N246" s="323"/>
      <c r="O246" s="323"/>
    </row>
    <row r="247" spans="1:15" x14ac:dyDescent="0.2">
      <c r="A247" s="286"/>
      <c r="B247" s="285"/>
      <c r="C247" s="285"/>
      <c r="D247" s="285"/>
      <c r="E247" s="285"/>
      <c r="F247" s="284"/>
      <c r="G247" s="323" t="str">
        <f>IF(B247="","",VLOOKUP(IF((B247-F247)*10&lt;-10,-10,IF((B247-F247)*10&gt;10,10,(B247-F247)*10)),'Rank Progression'!$K$2:$L$22,2,FALSE))</f>
        <v/>
      </c>
      <c r="I247" s="323"/>
      <c r="J247" s="323"/>
      <c r="K247" s="323"/>
      <c r="L247" s="323"/>
      <c r="M247" s="323"/>
      <c r="N247" s="323"/>
      <c r="O247" s="323"/>
    </row>
    <row r="248" spans="1:15" x14ac:dyDescent="0.2">
      <c r="A248" s="286"/>
      <c r="B248" s="285"/>
      <c r="C248" s="285"/>
      <c r="D248" s="285"/>
      <c r="E248" s="285"/>
      <c r="F248" s="284"/>
      <c r="G248" s="323" t="str">
        <f>IF(B248="","",VLOOKUP(IF((B248-F248)*10&lt;-10,-10,IF((B248-F248)*10&gt;10,10,(B248-F248)*10)),'Rank Progression'!$K$2:$L$22,2,FALSE))</f>
        <v/>
      </c>
      <c r="I248" s="323"/>
      <c r="J248" s="323"/>
      <c r="K248" s="323"/>
      <c r="L248" s="323"/>
      <c r="M248" s="323"/>
      <c r="N248" s="323"/>
      <c r="O248" s="323"/>
    </row>
    <row r="249" spans="1:15" x14ac:dyDescent="0.2">
      <c r="A249" s="286"/>
      <c r="B249" s="285"/>
      <c r="C249" s="285"/>
      <c r="D249" s="285"/>
      <c r="E249" s="285"/>
      <c r="F249" s="284"/>
      <c r="G249" s="323" t="str">
        <f>IF(B249="","",VLOOKUP(IF((B249-F249)*10&lt;-10,-10,IF((B249-F249)*10&gt;10,10,(B249-F249)*10)),'Rank Progression'!$K$2:$L$22,2,FALSE))</f>
        <v/>
      </c>
      <c r="I249" s="323"/>
      <c r="J249" s="323"/>
      <c r="K249" s="323"/>
      <c r="L249" s="323"/>
      <c r="M249" s="323"/>
      <c r="N249" s="323"/>
      <c r="O249" s="323"/>
    </row>
    <row r="250" spans="1:15" x14ac:dyDescent="0.2">
      <c r="A250" s="286"/>
      <c r="B250" s="285"/>
      <c r="C250" s="285"/>
      <c r="D250" s="285"/>
      <c r="E250" s="285"/>
      <c r="F250" s="284"/>
      <c r="G250" s="323" t="str">
        <f>IF(B250="","",VLOOKUP(IF((B250-F250)*10&lt;-10,-10,IF((B250-F250)*10&gt;10,10,(B250-F250)*10)),'Rank Progression'!$K$2:$L$22,2,FALSE))</f>
        <v/>
      </c>
      <c r="I250" s="323"/>
      <c r="J250" s="323"/>
      <c r="K250" s="323"/>
      <c r="L250" s="323"/>
      <c r="M250" s="323"/>
      <c r="N250" s="323"/>
      <c r="O250" s="323"/>
    </row>
    <row r="251" spans="1:15" x14ac:dyDescent="0.2">
      <c r="A251" s="286"/>
      <c r="B251" s="285"/>
      <c r="C251" s="285"/>
      <c r="D251" s="285"/>
      <c r="E251" s="285"/>
      <c r="F251" s="284"/>
      <c r="G251" s="323" t="str">
        <f>IF(B251="","",VLOOKUP(IF((B251-F251)*10&lt;-10,-10,IF((B251-F251)*10&gt;10,10,(B251-F251)*10)),'Rank Progression'!$K$2:$L$22,2,FALSE))</f>
        <v/>
      </c>
      <c r="I251" s="323"/>
      <c r="J251" s="323"/>
      <c r="K251" s="323"/>
      <c r="L251" s="323"/>
      <c r="M251" s="323"/>
      <c r="N251" s="323"/>
      <c r="O251" s="323"/>
    </row>
    <row r="252" spans="1:15" x14ac:dyDescent="0.2">
      <c r="A252" s="286"/>
      <c r="B252" s="285"/>
      <c r="C252" s="285"/>
      <c r="D252" s="285"/>
      <c r="E252" s="285"/>
      <c r="F252" s="284"/>
      <c r="G252" s="323" t="str">
        <f>IF(B252="","",VLOOKUP(IF((B252-F252)*10&lt;-10,-10,IF((B252-F252)*10&gt;10,10,(B252-F252)*10)),'Rank Progression'!$K$2:$L$22,2,FALSE))</f>
        <v/>
      </c>
      <c r="I252" s="323"/>
      <c r="J252" s="323"/>
      <c r="K252" s="323"/>
      <c r="L252" s="323"/>
      <c r="M252" s="323"/>
      <c r="N252" s="323"/>
      <c r="O252" s="323"/>
    </row>
    <row r="253" spans="1:15" x14ac:dyDescent="0.2">
      <c r="A253" s="286"/>
      <c r="B253" s="285"/>
      <c r="C253" s="285"/>
      <c r="D253" s="285"/>
      <c r="E253" s="285"/>
      <c r="F253" s="284"/>
      <c r="G253" s="323" t="str">
        <f>IF(B253="","",VLOOKUP(IF((B253-F253)*10&lt;-10,-10,IF((B253-F253)*10&gt;10,10,(B253-F253)*10)),'Rank Progression'!$K$2:$L$22,2,FALSE))</f>
        <v/>
      </c>
      <c r="I253" s="323"/>
      <c r="J253" s="323"/>
      <c r="K253" s="323"/>
      <c r="L253" s="323"/>
      <c r="M253" s="323"/>
      <c r="N253" s="323"/>
      <c r="O253" s="323"/>
    </row>
    <row r="254" spans="1:15" x14ac:dyDescent="0.2">
      <c r="A254" s="286"/>
      <c r="B254" s="285"/>
      <c r="C254" s="285"/>
      <c r="D254" s="285"/>
      <c r="E254" s="285"/>
      <c r="F254" s="284"/>
      <c r="G254" s="323" t="str">
        <f>IF(B254="","",VLOOKUP(IF((B254-F254)*10&lt;-10,-10,IF((B254-F254)*10&gt;10,10,(B254-F254)*10)),'Rank Progression'!$K$2:$L$22,2,FALSE))</f>
        <v/>
      </c>
      <c r="I254" s="323"/>
      <c r="J254" s="323"/>
      <c r="K254" s="323"/>
      <c r="L254" s="323"/>
      <c r="M254" s="323"/>
      <c r="N254" s="323"/>
      <c r="O254" s="323"/>
    </row>
    <row r="255" spans="1:15" x14ac:dyDescent="0.2">
      <c r="A255" s="286"/>
      <c r="B255" s="285"/>
      <c r="C255" s="285"/>
      <c r="D255" s="285"/>
      <c r="E255" s="285"/>
      <c r="F255" s="284"/>
      <c r="G255" s="323" t="str">
        <f>IF(B255="","",VLOOKUP(IF((B255-F255)*10&lt;-10,-10,IF((B255-F255)*10&gt;10,10,(B255-F255)*10)),'Rank Progression'!$K$2:$L$22,2,FALSE))</f>
        <v/>
      </c>
      <c r="I255" s="323"/>
      <c r="J255" s="323"/>
      <c r="K255" s="323"/>
      <c r="L255" s="323"/>
      <c r="M255" s="323"/>
      <c r="N255" s="323"/>
      <c r="O255" s="323"/>
    </row>
    <row r="256" spans="1:15" x14ac:dyDescent="0.2">
      <c r="A256" s="286"/>
      <c r="B256" s="285"/>
      <c r="C256" s="285"/>
      <c r="D256" s="285"/>
      <c r="E256" s="285"/>
      <c r="F256" s="284"/>
      <c r="G256" s="323" t="str">
        <f>IF(B256="","",VLOOKUP(IF((B256-F256)*10&lt;-10,-10,IF((B256-F256)*10&gt;10,10,(B256-F256)*10)),'Rank Progression'!$K$2:$L$22,2,FALSE))</f>
        <v/>
      </c>
      <c r="I256" s="323"/>
      <c r="J256" s="323"/>
      <c r="K256" s="323"/>
      <c r="L256" s="323"/>
      <c r="M256" s="323"/>
      <c r="N256" s="323"/>
      <c r="O256" s="323"/>
    </row>
    <row r="257" spans="1:15" x14ac:dyDescent="0.2">
      <c r="A257" s="286"/>
      <c r="B257" s="285"/>
      <c r="C257" s="285"/>
      <c r="D257" s="285"/>
      <c r="E257" s="285"/>
      <c r="F257" s="284"/>
      <c r="G257" s="323" t="str">
        <f>IF(B257="","",VLOOKUP(IF((B257-F257)*10&lt;-10,-10,IF((B257-F257)*10&gt;10,10,(B257-F257)*10)),'Rank Progression'!$K$2:$L$22,2,FALSE))</f>
        <v/>
      </c>
      <c r="I257" s="323"/>
      <c r="J257" s="323"/>
      <c r="K257" s="323"/>
      <c r="L257" s="323"/>
      <c r="M257" s="323"/>
      <c r="N257" s="323"/>
      <c r="O257" s="323"/>
    </row>
    <row r="258" spans="1:15" x14ac:dyDescent="0.2">
      <c r="A258" s="286"/>
      <c r="B258" s="285"/>
      <c r="C258" s="285"/>
      <c r="D258" s="285"/>
      <c r="E258" s="285"/>
      <c r="F258" s="284"/>
      <c r="G258" s="323" t="str">
        <f>IF(B258="","",VLOOKUP(IF((B258-F258)*10&lt;-10,-10,IF((B258-F258)*10&gt;10,10,(B258-F258)*10)),'Rank Progression'!$K$2:$L$22,2,FALSE))</f>
        <v/>
      </c>
      <c r="I258" s="323"/>
      <c r="J258" s="323"/>
      <c r="K258" s="323"/>
      <c r="L258" s="323"/>
      <c r="M258" s="323"/>
      <c r="N258" s="323"/>
      <c r="O258" s="323"/>
    </row>
    <row r="259" spans="1:15" x14ac:dyDescent="0.2">
      <c r="A259" s="286"/>
      <c r="B259" s="285"/>
      <c r="C259" s="285"/>
      <c r="D259" s="285"/>
      <c r="E259" s="285"/>
      <c r="F259" s="284"/>
      <c r="G259" s="323" t="str">
        <f>IF(B259="","",VLOOKUP(IF((B259-F259)*10&lt;-10,-10,IF((B259-F259)*10&gt;10,10,(B259-F259)*10)),'Rank Progression'!$K$2:$L$22,2,FALSE))</f>
        <v/>
      </c>
      <c r="I259" s="323"/>
      <c r="J259" s="323"/>
      <c r="K259" s="323"/>
      <c r="L259" s="323"/>
      <c r="M259" s="323"/>
      <c r="N259" s="323"/>
      <c r="O259" s="323"/>
    </row>
    <row r="260" spans="1:15" x14ac:dyDescent="0.2">
      <c r="A260" s="286"/>
      <c r="B260" s="285"/>
      <c r="C260" s="285"/>
      <c r="D260" s="285"/>
      <c r="E260" s="285"/>
      <c r="F260" s="284"/>
      <c r="G260" s="323" t="str">
        <f>IF(B260="","",VLOOKUP(IF((B260-F260)*10&lt;-10,-10,IF((B260-F260)*10&gt;10,10,(B260-F260)*10)),'Rank Progression'!$K$2:$L$22,2,FALSE))</f>
        <v/>
      </c>
      <c r="I260" s="323"/>
      <c r="J260" s="323"/>
      <c r="K260" s="323"/>
      <c r="L260" s="323"/>
      <c r="M260" s="323"/>
      <c r="N260" s="323"/>
      <c r="O260" s="323"/>
    </row>
    <row r="261" spans="1:15" x14ac:dyDescent="0.2">
      <c r="A261" s="286"/>
      <c r="B261" s="285"/>
      <c r="C261" s="285"/>
      <c r="D261" s="285"/>
      <c r="E261" s="285"/>
      <c r="F261" s="284"/>
      <c r="G261" s="323" t="str">
        <f>IF(B261="","",VLOOKUP(IF((B261-F261)*10&lt;-10,-10,IF((B261-F261)*10&gt;10,10,(B261-F261)*10)),'Rank Progression'!$K$2:$L$22,2,FALSE))</f>
        <v/>
      </c>
      <c r="I261" s="323"/>
      <c r="J261" s="323"/>
      <c r="K261" s="323"/>
      <c r="L261" s="323"/>
      <c r="M261" s="323"/>
      <c r="N261" s="323"/>
      <c r="O261" s="323"/>
    </row>
    <row r="262" spans="1:15" x14ac:dyDescent="0.2">
      <c r="A262" s="286"/>
      <c r="B262" s="285"/>
      <c r="C262" s="285"/>
      <c r="D262" s="285"/>
      <c r="E262" s="285"/>
      <c r="F262" s="284"/>
      <c r="G262" s="323" t="str">
        <f>IF(B262="","",VLOOKUP(IF((B262-F262)*10&lt;-10,-10,IF((B262-F262)*10&gt;10,10,(B262-F262)*10)),'Rank Progression'!$K$2:$L$22,2,FALSE))</f>
        <v/>
      </c>
      <c r="I262" s="323"/>
      <c r="J262" s="323"/>
      <c r="K262" s="323"/>
      <c r="L262" s="323"/>
      <c r="M262" s="323"/>
      <c r="N262" s="323"/>
      <c r="O262" s="323"/>
    </row>
    <row r="263" spans="1:15" x14ac:dyDescent="0.2">
      <c r="A263" s="286"/>
      <c r="B263" s="285"/>
      <c r="C263" s="285"/>
      <c r="D263" s="285"/>
      <c r="E263" s="285"/>
      <c r="F263" s="284"/>
      <c r="G263" s="323" t="str">
        <f>IF(B263="","",VLOOKUP(IF((B263-F263)*10&lt;-10,-10,IF((B263-F263)*10&gt;10,10,(B263-F263)*10)),'Rank Progression'!$K$2:$L$22,2,FALSE))</f>
        <v/>
      </c>
      <c r="I263" s="323"/>
      <c r="J263" s="323"/>
      <c r="K263" s="323"/>
      <c r="L263" s="323"/>
      <c r="M263" s="323"/>
      <c r="N263" s="323"/>
      <c r="O263" s="323"/>
    </row>
    <row r="264" spans="1:15" x14ac:dyDescent="0.2">
      <c r="A264" s="286"/>
      <c r="B264" s="285"/>
      <c r="C264" s="285"/>
      <c r="D264" s="285"/>
      <c r="E264" s="285"/>
      <c r="F264" s="284"/>
      <c r="G264" s="323" t="str">
        <f>IF(B264="","",VLOOKUP(IF((B264-F264)*10&lt;-10,-10,IF((B264-F264)*10&gt;10,10,(B264-F264)*10)),'Rank Progression'!$K$2:$L$22,2,FALSE))</f>
        <v/>
      </c>
      <c r="I264" s="323"/>
      <c r="J264" s="323"/>
      <c r="K264" s="323"/>
      <c r="L264" s="323"/>
      <c r="M264" s="323"/>
      <c r="N264" s="323"/>
      <c r="O264" s="323"/>
    </row>
    <row r="265" spans="1:15" x14ac:dyDescent="0.2">
      <c r="A265" s="286"/>
      <c r="B265" s="285"/>
      <c r="C265" s="285"/>
      <c r="D265" s="285"/>
      <c r="E265" s="285"/>
      <c r="F265" s="284"/>
      <c r="G265" s="323" t="str">
        <f>IF(B265="","",VLOOKUP(IF((B265-F265)*10&lt;-10,-10,IF((B265-F265)*10&gt;10,10,(B265-F265)*10)),'Rank Progression'!$K$2:$L$22,2,FALSE))</f>
        <v/>
      </c>
      <c r="I265" s="323"/>
      <c r="J265" s="323"/>
      <c r="K265" s="323"/>
      <c r="L265" s="323"/>
      <c r="M265" s="323"/>
      <c r="N265" s="323"/>
      <c r="O265" s="323"/>
    </row>
    <row r="266" spans="1:15" x14ac:dyDescent="0.2">
      <c r="A266" s="286"/>
      <c r="B266" s="285"/>
      <c r="C266" s="285"/>
      <c r="D266" s="285"/>
      <c r="E266" s="285"/>
      <c r="F266" s="284"/>
      <c r="G266" s="323" t="str">
        <f>IF(B266="","",VLOOKUP(IF((B266-F266)*10&lt;-10,-10,IF((B266-F266)*10&gt;10,10,(B266-F266)*10)),'Rank Progression'!$K$2:$L$22,2,FALSE))</f>
        <v/>
      </c>
      <c r="I266" s="323"/>
      <c r="J266" s="323"/>
      <c r="K266" s="323"/>
      <c r="L266" s="323"/>
      <c r="M266" s="323"/>
      <c r="N266" s="323"/>
      <c r="O266" s="323"/>
    </row>
    <row r="267" spans="1:15" x14ac:dyDescent="0.2">
      <c r="A267" s="286"/>
      <c r="B267" s="285"/>
      <c r="C267" s="285"/>
      <c r="D267" s="285"/>
      <c r="E267" s="285"/>
      <c r="F267" s="284"/>
      <c r="G267" s="323" t="str">
        <f>IF(B267="","",VLOOKUP(IF((B267-F267)*10&lt;-10,-10,IF((B267-F267)*10&gt;10,10,(B267-F267)*10)),'Rank Progression'!$K$2:$L$22,2,FALSE))</f>
        <v/>
      </c>
      <c r="I267" s="323"/>
      <c r="J267" s="323"/>
      <c r="K267" s="323"/>
      <c r="L267" s="323"/>
      <c r="M267" s="323"/>
      <c r="N267" s="323"/>
      <c r="O267" s="323"/>
    </row>
    <row r="268" spans="1:15" x14ac:dyDescent="0.2">
      <c r="A268" s="286"/>
      <c r="B268" s="285"/>
      <c r="C268" s="285"/>
      <c r="D268" s="285"/>
      <c r="E268" s="285"/>
      <c r="F268" s="284"/>
      <c r="G268" s="323" t="str">
        <f>IF(B268="","",VLOOKUP(IF((B268-F268)*10&lt;-10,-10,IF((B268-F268)*10&gt;10,10,(B268-F268)*10)),'Rank Progression'!$K$2:$L$22,2,FALSE))</f>
        <v/>
      </c>
      <c r="I268" s="323"/>
      <c r="J268" s="323"/>
      <c r="K268" s="323"/>
      <c r="L268" s="323"/>
      <c r="M268" s="323"/>
      <c r="N268" s="323"/>
      <c r="O268" s="323"/>
    </row>
    <row r="269" spans="1:15" x14ac:dyDescent="0.2">
      <c r="A269" s="286"/>
      <c r="B269" s="285"/>
      <c r="C269" s="285"/>
      <c r="D269" s="285"/>
      <c r="E269" s="285"/>
      <c r="F269" s="284"/>
      <c r="G269" s="323" t="str">
        <f>IF(B269="","",VLOOKUP(IF((B269-F269)*10&lt;-10,-10,IF((B269-F269)*10&gt;10,10,(B269-F269)*10)),'Rank Progression'!$K$2:$L$22,2,FALSE))</f>
        <v/>
      </c>
      <c r="I269" s="323"/>
      <c r="J269" s="323"/>
      <c r="K269" s="323"/>
      <c r="L269" s="323"/>
      <c r="M269" s="323"/>
      <c r="N269" s="323"/>
      <c r="O269" s="323"/>
    </row>
    <row r="270" spans="1:15" x14ac:dyDescent="0.2">
      <c r="A270" s="286"/>
      <c r="B270" s="285"/>
      <c r="C270" s="285"/>
      <c r="D270" s="285"/>
      <c r="E270" s="285"/>
      <c r="F270" s="284"/>
      <c r="G270" s="323" t="str">
        <f>IF(B270="","",VLOOKUP(IF((B270-F270)*10&lt;-10,-10,IF((B270-F270)*10&gt;10,10,(B270-F270)*10)),'Rank Progression'!$K$2:$L$22,2,FALSE))</f>
        <v/>
      </c>
      <c r="I270" s="323"/>
      <c r="J270" s="323"/>
      <c r="K270" s="323"/>
      <c r="L270" s="323"/>
      <c r="M270" s="323"/>
      <c r="N270" s="323"/>
      <c r="O270" s="323"/>
    </row>
    <row r="271" spans="1:15" x14ac:dyDescent="0.2">
      <c r="A271" s="286"/>
      <c r="B271" s="285"/>
      <c r="C271" s="285"/>
      <c r="D271" s="285"/>
      <c r="E271" s="285"/>
      <c r="F271" s="284"/>
      <c r="G271" s="323" t="str">
        <f>IF(B271="","",VLOOKUP(IF((B271-F271)*10&lt;-10,-10,IF((B271-F271)*10&gt;10,10,(B271-F271)*10)),'Rank Progression'!$K$2:$L$22,2,FALSE))</f>
        <v/>
      </c>
      <c r="I271" s="323"/>
      <c r="J271" s="323"/>
      <c r="K271" s="323"/>
      <c r="L271" s="323"/>
      <c r="M271" s="323"/>
      <c r="N271" s="323"/>
      <c r="O271" s="323"/>
    </row>
    <row r="272" spans="1:15" x14ac:dyDescent="0.2">
      <c r="A272" s="286"/>
      <c r="B272" s="285"/>
      <c r="C272" s="285"/>
      <c r="D272" s="285"/>
      <c r="E272" s="285"/>
      <c r="F272" s="284"/>
      <c r="G272" s="323" t="str">
        <f>IF(B272="","",VLOOKUP(IF((B272-F272)*10&lt;-10,-10,IF((B272-F272)*10&gt;10,10,(B272-F272)*10)),'Rank Progression'!$K$2:$L$22,2,FALSE))</f>
        <v/>
      </c>
      <c r="I272" s="323"/>
      <c r="J272" s="323"/>
      <c r="K272" s="323"/>
      <c r="L272" s="323"/>
      <c r="M272" s="323"/>
      <c r="N272" s="323"/>
      <c r="O272" s="323"/>
    </row>
    <row r="273" spans="1:15" x14ac:dyDescent="0.2">
      <c r="A273" s="286"/>
      <c r="B273" s="285"/>
      <c r="C273" s="285"/>
      <c r="D273" s="285"/>
      <c r="E273" s="285"/>
      <c r="F273" s="284"/>
      <c r="G273" s="323" t="str">
        <f>IF(B273="","",VLOOKUP(IF((B273-F273)*10&lt;-10,-10,IF((B273-F273)*10&gt;10,10,(B273-F273)*10)),'Rank Progression'!$K$2:$L$22,2,FALSE))</f>
        <v/>
      </c>
      <c r="I273" s="323"/>
      <c r="J273" s="323"/>
      <c r="K273" s="323"/>
      <c r="L273" s="323"/>
      <c r="M273" s="323"/>
      <c r="N273" s="323"/>
      <c r="O273" s="323"/>
    </row>
    <row r="274" spans="1:15" x14ac:dyDescent="0.2">
      <c r="A274" s="286"/>
      <c r="B274" s="285"/>
      <c r="C274" s="285"/>
      <c r="D274" s="285"/>
      <c r="E274" s="285"/>
      <c r="F274" s="284"/>
      <c r="G274" s="323" t="str">
        <f>IF(B274="","",VLOOKUP(IF((B274-F274)*10&lt;-10,-10,IF((B274-F274)*10&gt;10,10,(B274-F274)*10)),'Rank Progression'!$K$2:$L$22,2,FALSE))</f>
        <v/>
      </c>
      <c r="I274" s="323"/>
      <c r="J274" s="323"/>
      <c r="K274" s="323"/>
      <c r="L274" s="323"/>
      <c r="M274" s="323"/>
      <c r="N274" s="323"/>
      <c r="O274" s="323"/>
    </row>
    <row r="275" spans="1:15" x14ac:dyDescent="0.2">
      <c r="A275" s="286"/>
      <c r="B275" s="285"/>
      <c r="C275" s="285"/>
      <c r="D275" s="285"/>
      <c r="E275" s="285"/>
      <c r="F275" s="284"/>
      <c r="G275" s="323" t="str">
        <f>IF(B275="","",VLOOKUP(IF((B275-F275)*10&lt;-10,-10,IF((B275-F275)*10&gt;10,10,(B275-F275)*10)),'Rank Progression'!$K$2:$L$22,2,FALSE))</f>
        <v/>
      </c>
      <c r="I275" s="323"/>
      <c r="J275" s="323"/>
      <c r="K275" s="323"/>
      <c r="L275" s="323"/>
      <c r="M275" s="323"/>
      <c r="N275" s="323"/>
      <c r="O275" s="323"/>
    </row>
    <row r="276" spans="1:15" x14ac:dyDescent="0.2">
      <c r="A276" s="286"/>
      <c r="B276" s="285"/>
      <c r="C276" s="285"/>
      <c r="D276" s="285"/>
      <c r="E276" s="285"/>
      <c r="F276" s="284"/>
      <c r="G276" s="323" t="str">
        <f>IF(B276="","",VLOOKUP(IF((B276-F276)*10&lt;-10,-10,IF((B276-F276)*10&gt;10,10,(B276-F276)*10)),'Rank Progression'!$K$2:$L$22,2,FALSE))</f>
        <v/>
      </c>
      <c r="I276" s="323"/>
      <c r="J276" s="323"/>
      <c r="K276" s="323"/>
      <c r="L276" s="323"/>
      <c r="M276" s="323"/>
      <c r="N276" s="323"/>
      <c r="O276" s="323"/>
    </row>
    <row r="277" spans="1:15" x14ac:dyDescent="0.2">
      <c r="A277" s="286"/>
      <c r="B277" s="285"/>
      <c r="C277" s="285"/>
      <c r="D277" s="285"/>
      <c r="E277" s="285"/>
      <c r="F277" s="284"/>
      <c r="G277" s="323" t="str">
        <f>IF(B277="","",VLOOKUP(IF((B277-F277)*10&lt;-10,-10,IF((B277-F277)*10&gt;10,10,(B277-F277)*10)),'Rank Progression'!$K$2:$L$22,2,FALSE))</f>
        <v/>
      </c>
      <c r="I277" s="323"/>
      <c r="J277" s="323"/>
      <c r="K277" s="323"/>
      <c r="L277" s="323"/>
      <c r="M277" s="323"/>
      <c r="N277" s="323"/>
      <c r="O277" s="323"/>
    </row>
    <row r="278" spans="1:15" x14ac:dyDescent="0.2">
      <c r="A278" s="286"/>
      <c r="B278" s="285"/>
      <c r="C278" s="285"/>
      <c r="D278" s="285"/>
      <c r="E278" s="285"/>
      <c r="F278" s="284"/>
      <c r="G278" s="323" t="str">
        <f>IF(B278="","",VLOOKUP(IF((B278-F278)*10&lt;-10,-10,IF((B278-F278)*10&gt;10,10,(B278-F278)*10)),'Rank Progression'!$K$2:$L$22,2,FALSE))</f>
        <v/>
      </c>
      <c r="I278" s="323"/>
      <c r="J278" s="323"/>
      <c r="K278" s="323"/>
      <c r="L278" s="323"/>
      <c r="M278" s="323"/>
      <c r="N278" s="323"/>
      <c r="O278" s="323"/>
    </row>
    <row r="279" spans="1:15" x14ac:dyDescent="0.2">
      <c r="A279" s="286"/>
      <c r="B279" s="285"/>
      <c r="C279" s="285"/>
      <c r="D279" s="285"/>
      <c r="E279" s="285"/>
      <c r="F279" s="284"/>
      <c r="G279" s="323" t="str">
        <f>IF(B279="","",VLOOKUP(IF((B279-F279)*10&lt;-10,-10,IF((B279-F279)*10&gt;10,10,(B279-F279)*10)),'Rank Progression'!$K$2:$L$22,2,FALSE))</f>
        <v/>
      </c>
      <c r="I279" s="323"/>
      <c r="J279" s="323"/>
      <c r="K279" s="323"/>
      <c r="L279" s="323"/>
      <c r="M279" s="323"/>
      <c r="N279" s="323"/>
      <c r="O279" s="323"/>
    </row>
    <row r="280" spans="1:15" x14ac:dyDescent="0.2">
      <c r="A280" s="286"/>
      <c r="B280" s="285"/>
      <c r="C280" s="285"/>
      <c r="D280" s="285"/>
      <c r="E280" s="285"/>
      <c r="F280" s="284"/>
      <c r="G280" s="323" t="str">
        <f>IF(B280="","",VLOOKUP(IF((B280-F280)*10&lt;-10,-10,IF((B280-F280)*10&gt;10,10,(B280-F280)*10)),'Rank Progression'!$K$2:$L$22,2,FALSE))</f>
        <v/>
      </c>
      <c r="I280" s="323"/>
      <c r="J280" s="323"/>
      <c r="K280" s="323"/>
      <c r="L280" s="323"/>
      <c r="M280" s="323"/>
      <c r="N280" s="323"/>
      <c r="O280" s="323"/>
    </row>
    <row r="281" spans="1:15" x14ac:dyDescent="0.2">
      <c r="A281" s="286"/>
      <c r="B281" s="285"/>
      <c r="C281" s="285"/>
      <c r="D281" s="285"/>
      <c r="E281" s="285"/>
      <c r="F281" s="284"/>
      <c r="G281" s="323" t="str">
        <f>IF(B281="","",VLOOKUP(IF((B281-F281)*10&lt;-10,-10,IF((B281-F281)*10&gt;10,10,(B281-F281)*10)),'Rank Progression'!$K$2:$L$22,2,FALSE))</f>
        <v/>
      </c>
      <c r="I281" s="323"/>
      <c r="J281" s="323"/>
      <c r="K281" s="323"/>
      <c r="L281" s="323"/>
      <c r="M281" s="323"/>
      <c r="N281" s="323"/>
      <c r="O281" s="323"/>
    </row>
    <row r="282" spans="1:15" x14ac:dyDescent="0.2">
      <c r="A282" s="286"/>
      <c r="B282" s="285"/>
      <c r="C282" s="285"/>
      <c r="D282" s="285"/>
      <c r="E282" s="285"/>
      <c r="F282" s="284"/>
      <c r="G282" s="323" t="str">
        <f>IF(B282="","",VLOOKUP(IF((B282-F282)*10&lt;-10,-10,IF((B282-F282)*10&gt;10,10,(B282-F282)*10)),'Rank Progression'!$K$2:$L$22,2,FALSE))</f>
        <v/>
      </c>
      <c r="I282" s="323"/>
      <c r="J282" s="323"/>
      <c r="K282" s="323"/>
      <c r="L282" s="323"/>
      <c r="M282" s="323"/>
      <c r="N282" s="323"/>
      <c r="O282" s="323"/>
    </row>
    <row r="283" spans="1:15" x14ac:dyDescent="0.2">
      <c r="A283" s="286"/>
      <c r="B283" s="285"/>
      <c r="C283" s="285"/>
      <c r="D283" s="285"/>
      <c r="E283" s="285"/>
      <c r="F283" s="284"/>
      <c r="G283" s="323" t="str">
        <f>IF(B283="","",VLOOKUP(IF((B283-F283)*10&lt;-10,-10,IF((B283-F283)*10&gt;10,10,(B283-F283)*10)),'Rank Progression'!$K$2:$L$22,2,FALSE))</f>
        <v/>
      </c>
      <c r="I283" s="323"/>
      <c r="J283" s="323"/>
      <c r="K283" s="323"/>
      <c r="L283" s="323"/>
      <c r="M283" s="323"/>
      <c r="N283" s="323"/>
      <c r="O283" s="323"/>
    </row>
    <row r="284" spans="1:15" x14ac:dyDescent="0.2">
      <c r="A284" s="286"/>
      <c r="B284" s="285"/>
      <c r="C284" s="285"/>
      <c r="D284" s="285"/>
      <c r="E284" s="285"/>
      <c r="F284" s="284"/>
      <c r="G284" s="323" t="str">
        <f>IF(B284="","",VLOOKUP(IF((B284-F284)*10&lt;-10,-10,IF((B284-F284)*10&gt;10,10,(B284-F284)*10)),'Rank Progression'!$K$2:$L$22,2,FALSE))</f>
        <v/>
      </c>
      <c r="I284" s="323"/>
      <c r="J284" s="323"/>
      <c r="K284" s="323"/>
      <c r="L284" s="323"/>
      <c r="M284" s="323"/>
      <c r="N284" s="323"/>
      <c r="O284" s="323"/>
    </row>
    <row r="285" spans="1:15" x14ac:dyDescent="0.2">
      <c r="A285" s="286"/>
      <c r="B285" s="285"/>
      <c r="C285" s="285"/>
      <c r="D285" s="285"/>
      <c r="E285" s="285"/>
      <c r="F285" s="284"/>
      <c r="G285" s="323" t="str">
        <f>IF(B285="","",VLOOKUP(IF((B285-F285)*10&lt;-10,-10,IF((B285-F285)*10&gt;10,10,(B285-F285)*10)),'Rank Progression'!$K$2:$L$22,2,FALSE))</f>
        <v/>
      </c>
      <c r="I285" s="323"/>
      <c r="J285" s="323"/>
      <c r="K285" s="323"/>
      <c r="L285" s="323"/>
      <c r="M285" s="323"/>
      <c r="N285" s="323"/>
      <c r="O285" s="323"/>
    </row>
    <row r="286" spans="1:15" x14ac:dyDescent="0.2">
      <c r="A286" s="286"/>
      <c r="B286" s="285"/>
      <c r="C286" s="285"/>
      <c r="D286" s="285"/>
      <c r="E286" s="285"/>
      <c r="F286" s="284"/>
      <c r="G286" s="323" t="str">
        <f>IF(B286="","",VLOOKUP(IF((B286-F286)*10&lt;-10,-10,IF((B286-F286)*10&gt;10,10,(B286-F286)*10)),'Rank Progression'!$K$2:$L$22,2,FALSE))</f>
        <v/>
      </c>
      <c r="I286" s="323"/>
      <c r="J286" s="323"/>
      <c r="K286" s="323"/>
      <c r="L286" s="323"/>
      <c r="M286" s="323"/>
      <c r="N286" s="323"/>
      <c r="O286" s="323"/>
    </row>
    <row r="287" spans="1:15" x14ac:dyDescent="0.2">
      <c r="A287" s="286"/>
      <c r="B287" s="285"/>
      <c r="C287" s="285"/>
      <c r="D287" s="285"/>
      <c r="E287" s="285"/>
      <c r="F287" s="284"/>
      <c r="G287" s="323" t="str">
        <f>IF(B287="","",VLOOKUP(IF((B287-F287)*10&lt;-10,-10,IF((B287-F287)*10&gt;10,10,(B287-F287)*10)),'Rank Progression'!$K$2:$L$22,2,FALSE))</f>
        <v/>
      </c>
      <c r="I287" s="323"/>
      <c r="J287" s="323"/>
      <c r="K287" s="323"/>
      <c r="L287" s="323"/>
      <c r="M287" s="323"/>
      <c r="N287" s="323"/>
      <c r="O287" s="323"/>
    </row>
    <row r="288" spans="1:15" x14ac:dyDescent="0.2">
      <c r="A288" s="286"/>
      <c r="B288" s="285"/>
      <c r="C288" s="285"/>
      <c r="D288" s="285"/>
      <c r="E288" s="285"/>
      <c r="F288" s="284"/>
      <c r="G288" s="323" t="str">
        <f>IF(B288="","",VLOOKUP(IF((B288-F288)*10&lt;-10,-10,IF((B288-F288)*10&gt;10,10,(B288-F288)*10)),'Rank Progression'!$K$2:$L$22,2,FALSE))</f>
        <v/>
      </c>
      <c r="I288" s="323"/>
      <c r="J288" s="323"/>
      <c r="K288" s="323"/>
      <c r="L288" s="323"/>
      <c r="M288" s="323"/>
      <c r="N288" s="323"/>
      <c r="O288" s="323"/>
    </row>
    <row r="289" spans="1:15" x14ac:dyDescent="0.2">
      <c r="A289" s="286"/>
      <c r="B289" s="285"/>
      <c r="C289" s="285"/>
      <c r="D289" s="285"/>
      <c r="E289" s="285"/>
      <c r="F289" s="284"/>
      <c r="G289" s="323" t="str">
        <f>IF(B289="","",VLOOKUP(IF((B289-F289)*10&lt;-10,-10,IF((B289-F289)*10&gt;10,10,(B289-F289)*10)),'Rank Progression'!$K$2:$L$22,2,FALSE))</f>
        <v/>
      </c>
      <c r="I289" s="323"/>
      <c r="J289" s="323"/>
      <c r="K289" s="323"/>
      <c r="L289" s="323"/>
      <c r="M289" s="323"/>
      <c r="N289" s="323"/>
      <c r="O289" s="323"/>
    </row>
    <row r="290" spans="1:15" x14ac:dyDescent="0.2">
      <c r="A290" s="286"/>
      <c r="B290" s="285"/>
      <c r="C290" s="285"/>
      <c r="D290" s="285"/>
      <c r="E290" s="285"/>
      <c r="F290" s="284"/>
      <c r="G290" s="323" t="str">
        <f>IF(B290="","",VLOOKUP(IF((B290-F290)*10&lt;-10,-10,IF((B290-F290)*10&gt;10,10,(B290-F290)*10)),'Rank Progression'!$K$2:$L$22,2,FALSE))</f>
        <v/>
      </c>
      <c r="I290" s="323"/>
      <c r="J290" s="323"/>
      <c r="K290" s="323"/>
      <c r="L290" s="323"/>
      <c r="M290" s="323"/>
      <c r="N290" s="323"/>
      <c r="O290" s="323"/>
    </row>
    <row r="291" spans="1:15" x14ac:dyDescent="0.2">
      <c r="A291" s="286"/>
      <c r="B291" s="285"/>
      <c r="C291" s="285"/>
      <c r="D291" s="285"/>
      <c r="E291" s="285"/>
      <c r="F291" s="284"/>
      <c r="G291" s="323" t="str">
        <f>IF(B291="","",VLOOKUP(IF((B291-F291)*10&lt;-10,-10,IF((B291-F291)*10&gt;10,10,(B291-F291)*10)),'Rank Progression'!$K$2:$L$22,2,FALSE))</f>
        <v/>
      </c>
      <c r="I291" s="323"/>
      <c r="J291" s="323"/>
      <c r="K291" s="323"/>
      <c r="L291" s="323"/>
      <c r="M291" s="323"/>
      <c r="N291" s="323"/>
      <c r="O291" s="323"/>
    </row>
    <row r="292" spans="1:15" x14ac:dyDescent="0.2">
      <c r="A292" s="286"/>
      <c r="B292" s="285"/>
      <c r="C292" s="285"/>
      <c r="D292" s="285"/>
      <c r="E292" s="285"/>
      <c r="F292" s="284"/>
      <c r="G292" s="323" t="str">
        <f>IF(B292="","",VLOOKUP(IF((B292-F292)*10&lt;-10,-10,IF((B292-F292)*10&gt;10,10,(B292-F292)*10)),'Rank Progression'!$K$2:$L$22,2,FALSE))</f>
        <v/>
      </c>
      <c r="I292" s="323"/>
      <c r="J292" s="323"/>
      <c r="K292" s="323"/>
      <c r="L292" s="323"/>
      <c r="M292" s="323"/>
      <c r="N292" s="323"/>
      <c r="O292" s="323"/>
    </row>
    <row r="293" spans="1:15" x14ac:dyDescent="0.2">
      <c r="A293" s="286"/>
      <c r="B293" s="285"/>
      <c r="C293" s="285"/>
      <c r="D293" s="285"/>
      <c r="E293" s="285"/>
      <c r="F293" s="284"/>
      <c r="G293" s="323" t="str">
        <f>IF(B293="","",VLOOKUP(IF((B293-F293)*10&lt;-10,-10,IF((B293-F293)*10&gt;10,10,(B293-F293)*10)),'Rank Progression'!$K$2:$L$22,2,FALSE))</f>
        <v/>
      </c>
      <c r="I293" s="323"/>
      <c r="J293" s="323"/>
      <c r="K293" s="323"/>
      <c r="L293" s="323"/>
      <c r="M293" s="323"/>
      <c r="N293" s="323"/>
      <c r="O293" s="323"/>
    </row>
    <row r="294" spans="1:15" x14ac:dyDescent="0.2">
      <c r="A294" s="286"/>
      <c r="B294" s="285"/>
      <c r="C294" s="285"/>
      <c r="D294" s="285"/>
      <c r="E294" s="285"/>
      <c r="F294" s="284"/>
      <c r="G294" s="323" t="str">
        <f>IF(B294="","",VLOOKUP(IF((B294-F294)*10&lt;-10,-10,IF((B294-F294)*10&gt;10,10,(B294-F294)*10)),'Rank Progression'!$K$2:$L$22,2,FALSE))</f>
        <v/>
      </c>
      <c r="I294" s="323"/>
      <c r="J294" s="323"/>
      <c r="K294" s="323"/>
      <c r="L294" s="323"/>
      <c r="M294" s="323"/>
      <c r="N294" s="323"/>
      <c r="O294" s="323"/>
    </row>
    <row r="295" spans="1:15" x14ac:dyDescent="0.2">
      <c r="A295" s="286"/>
      <c r="B295" s="285"/>
      <c r="C295" s="285"/>
      <c r="D295" s="285"/>
      <c r="E295" s="285"/>
      <c r="F295" s="284"/>
      <c r="G295" s="323" t="str">
        <f>IF(B295="","",VLOOKUP(IF((B295-F295)*10&lt;-10,-10,IF((B295-F295)*10&gt;10,10,(B295-F295)*10)),'Rank Progression'!$K$2:$L$22,2,FALSE))</f>
        <v/>
      </c>
      <c r="I295" s="323"/>
      <c r="J295" s="323"/>
      <c r="K295" s="323"/>
      <c r="L295" s="323"/>
      <c r="M295" s="323"/>
      <c r="N295" s="323"/>
      <c r="O295" s="323"/>
    </row>
    <row r="296" spans="1:15" x14ac:dyDescent="0.2">
      <c r="A296" s="286"/>
      <c r="B296" s="285"/>
      <c r="C296" s="285"/>
      <c r="D296" s="285"/>
      <c r="E296" s="285"/>
      <c r="F296" s="284"/>
      <c r="G296" s="323" t="str">
        <f>IF(B296="","",VLOOKUP(IF((B296-F296)*10&lt;-10,-10,IF((B296-F296)*10&gt;10,10,(B296-F296)*10)),'Rank Progression'!$K$2:$L$22,2,FALSE))</f>
        <v/>
      </c>
      <c r="I296" s="323"/>
      <c r="J296" s="323"/>
      <c r="K296" s="323"/>
      <c r="L296" s="323"/>
      <c r="M296" s="323"/>
      <c r="N296" s="323"/>
      <c r="O296" s="323"/>
    </row>
    <row r="297" spans="1:15" x14ac:dyDescent="0.2">
      <c r="A297" s="286"/>
      <c r="B297" s="285"/>
      <c r="C297" s="285"/>
      <c r="D297" s="285"/>
      <c r="E297" s="285"/>
      <c r="F297" s="284"/>
      <c r="G297" s="323" t="str">
        <f>IF(B297="","",VLOOKUP(IF((B297-F297)*10&lt;-10,-10,IF((B297-F297)*10&gt;10,10,(B297-F297)*10)),'Rank Progression'!$K$2:$L$22,2,FALSE))</f>
        <v/>
      </c>
      <c r="I297" s="323"/>
      <c r="J297" s="323"/>
      <c r="K297" s="323"/>
      <c r="L297" s="323"/>
      <c r="M297" s="323"/>
      <c r="N297" s="323"/>
      <c r="O297" s="323"/>
    </row>
    <row r="298" spans="1:15" x14ac:dyDescent="0.2">
      <c r="A298" s="286"/>
      <c r="B298" s="285"/>
      <c r="C298" s="285"/>
      <c r="D298" s="285"/>
      <c r="E298" s="285"/>
      <c r="F298" s="284"/>
      <c r="G298" s="323" t="str">
        <f>IF(B298="","",VLOOKUP(IF((B298-F298)*10&lt;-10,-10,IF((B298-F298)*10&gt;10,10,(B298-F298)*10)),'Rank Progression'!$K$2:$L$22,2,FALSE))</f>
        <v/>
      </c>
      <c r="I298" s="323"/>
      <c r="J298" s="323"/>
      <c r="K298" s="323"/>
      <c r="L298" s="323"/>
      <c r="M298" s="323"/>
      <c r="N298" s="323"/>
      <c r="O298" s="323"/>
    </row>
    <row r="299" spans="1:15" x14ac:dyDescent="0.2">
      <c r="A299" s="286"/>
      <c r="B299" s="285"/>
      <c r="C299" s="285"/>
      <c r="D299" s="285"/>
      <c r="E299" s="285"/>
      <c r="F299" s="284"/>
      <c r="G299" s="323" t="str">
        <f>IF(B299="","",VLOOKUP(IF((B299-F299)*10&lt;-10,-10,IF((B299-F299)*10&gt;10,10,(B299-F299)*10)),'Rank Progression'!$K$2:$L$22,2,FALSE))</f>
        <v/>
      </c>
      <c r="I299" s="323"/>
      <c r="J299" s="323"/>
      <c r="K299" s="323"/>
      <c r="L299" s="323"/>
      <c r="M299" s="323"/>
      <c r="N299" s="323"/>
      <c r="O299" s="323"/>
    </row>
    <row r="300" spans="1:15" x14ac:dyDescent="0.2">
      <c r="A300" s="286"/>
      <c r="B300" s="285"/>
      <c r="C300" s="285"/>
      <c r="D300" s="285"/>
      <c r="E300" s="285"/>
      <c r="F300" s="284"/>
      <c r="G300" s="323" t="str">
        <f>IF(B300="","",VLOOKUP(IF((B300-F300)*10&lt;-10,-10,IF((B300-F300)*10&gt;10,10,(B300-F300)*10)),'Rank Progression'!$K$2:$L$22,2,FALSE))</f>
        <v/>
      </c>
      <c r="I300" s="323"/>
      <c r="J300" s="323"/>
      <c r="K300" s="323"/>
      <c r="L300" s="323"/>
      <c r="M300" s="323"/>
      <c r="N300" s="323"/>
      <c r="O300" s="323"/>
    </row>
    <row r="301" spans="1:15" x14ac:dyDescent="0.2">
      <c r="A301" s="286"/>
      <c r="B301" s="285"/>
      <c r="C301" s="285"/>
      <c r="D301" s="285"/>
      <c r="E301" s="285"/>
      <c r="F301" s="284"/>
      <c r="G301" s="323" t="str">
        <f>IF(B301="","",VLOOKUP(IF((B301-F301)*10&lt;-10,-10,IF((B301-F301)*10&gt;10,10,(B301-F301)*10)),'Rank Progression'!$K$2:$L$22,2,FALSE))</f>
        <v/>
      </c>
      <c r="I301" s="323"/>
      <c r="J301" s="323"/>
      <c r="K301" s="323"/>
      <c r="L301" s="323"/>
      <c r="M301" s="323"/>
      <c r="N301" s="323"/>
      <c r="O301" s="323"/>
    </row>
    <row r="302" spans="1:15" x14ac:dyDescent="0.2">
      <c r="A302" s="286"/>
      <c r="B302" s="285"/>
      <c r="C302" s="285"/>
      <c r="D302" s="285"/>
      <c r="E302" s="285"/>
      <c r="F302" s="284"/>
      <c r="G302" s="323" t="str">
        <f>IF(B302="","",VLOOKUP(IF((B302-F302)*10&lt;-10,-10,IF((B302-F302)*10&gt;10,10,(B302-F302)*10)),'Rank Progression'!$K$2:$L$22,2,FALSE))</f>
        <v/>
      </c>
      <c r="I302" s="323"/>
      <c r="J302" s="323"/>
      <c r="K302" s="323"/>
      <c r="L302" s="323"/>
      <c r="M302" s="323"/>
      <c r="N302" s="323"/>
      <c r="O302" s="323"/>
    </row>
    <row r="303" spans="1:15" x14ac:dyDescent="0.2">
      <c r="A303" s="286"/>
      <c r="B303" s="285"/>
      <c r="C303" s="285"/>
      <c r="D303" s="285"/>
      <c r="E303" s="285"/>
      <c r="F303" s="284"/>
      <c r="G303" s="323" t="str">
        <f>IF(B303="","",VLOOKUP(IF((B303-F303)*10&lt;-10,-10,IF((B303-F303)*10&gt;10,10,(B303-F303)*10)),'Rank Progression'!$K$2:$L$22,2,FALSE))</f>
        <v/>
      </c>
      <c r="I303" s="323"/>
      <c r="J303" s="323"/>
      <c r="K303" s="323"/>
      <c r="L303" s="323"/>
      <c r="M303" s="323"/>
      <c r="N303" s="323"/>
      <c r="O303" s="323"/>
    </row>
    <row r="304" spans="1:15" x14ac:dyDescent="0.2">
      <c r="A304" s="286"/>
      <c r="B304" s="285"/>
      <c r="C304" s="285"/>
      <c r="D304" s="285"/>
      <c r="E304" s="285"/>
      <c r="F304" s="284"/>
      <c r="G304" s="323" t="str">
        <f>IF(B304="","",VLOOKUP(IF((B304-F304)*10&lt;-10,-10,IF((B304-F304)*10&gt;10,10,(B304-F304)*10)),'Rank Progression'!$K$2:$L$22,2,FALSE))</f>
        <v/>
      </c>
      <c r="I304" s="323"/>
      <c r="J304" s="323"/>
      <c r="K304" s="323"/>
      <c r="L304" s="323"/>
      <c r="M304" s="323"/>
      <c r="N304" s="323"/>
      <c r="O304" s="323"/>
    </row>
    <row r="305" spans="1:15" x14ac:dyDescent="0.2">
      <c r="A305" s="286"/>
      <c r="B305" s="285"/>
      <c r="C305" s="285"/>
      <c r="D305" s="285"/>
      <c r="E305" s="285"/>
      <c r="F305" s="284"/>
      <c r="G305" s="323" t="str">
        <f>IF(B305="","",VLOOKUP(IF((B305-F305)*10&lt;-10,-10,IF((B305-F305)*10&gt;10,10,(B305-F305)*10)),'Rank Progression'!$K$2:$L$22,2,FALSE))</f>
        <v/>
      </c>
      <c r="I305" s="323"/>
      <c r="J305" s="323"/>
      <c r="K305" s="323"/>
      <c r="L305" s="323"/>
      <c r="M305" s="323"/>
      <c r="N305" s="323"/>
      <c r="O305" s="323"/>
    </row>
    <row r="306" spans="1:15" x14ac:dyDescent="0.2">
      <c r="A306" s="286"/>
      <c r="B306" s="285"/>
      <c r="C306" s="285"/>
      <c r="D306" s="285"/>
      <c r="E306" s="285"/>
      <c r="F306" s="284"/>
      <c r="G306" s="323" t="str">
        <f>IF(B306="","",VLOOKUP(IF((B306-F306)*10&lt;-10,-10,IF((B306-F306)*10&gt;10,10,(B306-F306)*10)),'Rank Progression'!$K$2:$L$22,2,FALSE))</f>
        <v/>
      </c>
      <c r="I306" s="323"/>
      <c r="J306" s="323"/>
      <c r="K306" s="323"/>
      <c r="L306" s="323"/>
      <c r="M306" s="323"/>
      <c r="N306" s="323"/>
      <c r="O306" s="323"/>
    </row>
    <row r="307" spans="1:15" x14ac:dyDescent="0.2">
      <c r="A307" s="286"/>
      <c r="B307" s="285"/>
      <c r="C307" s="285"/>
      <c r="D307" s="285"/>
      <c r="E307" s="285"/>
      <c r="F307" s="284"/>
      <c r="G307" s="323" t="str">
        <f>IF(B307="","",VLOOKUP(IF((B307-F307)*10&lt;-10,-10,IF((B307-F307)*10&gt;10,10,(B307-F307)*10)),'Rank Progression'!$K$2:$L$22,2,FALSE))</f>
        <v/>
      </c>
      <c r="I307" s="323"/>
      <c r="J307" s="323"/>
      <c r="K307" s="323"/>
      <c r="L307" s="323"/>
      <c r="M307" s="323"/>
      <c r="N307" s="323"/>
      <c r="O307" s="323"/>
    </row>
    <row r="308" spans="1:15" x14ac:dyDescent="0.2">
      <c r="A308" s="286"/>
      <c r="B308" s="285"/>
      <c r="C308" s="285"/>
      <c r="D308" s="285"/>
      <c r="E308" s="285"/>
      <c r="F308" s="284"/>
      <c r="G308" s="323" t="str">
        <f>IF(B308="","",VLOOKUP(IF((B308-F308)*10&lt;-10,-10,IF((B308-F308)*10&gt;10,10,(B308-F308)*10)),'Rank Progression'!$K$2:$L$22,2,FALSE))</f>
        <v/>
      </c>
      <c r="I308" s="323"/>
      <c r="J308" s="323"/>
      <c r="K308" s="323"/>
      <c r="L308" s="323"/>
      <c r="M308" s="323"/>
      <c r="N308" s="323"/>
      <c r="O308" s="323"/>
    </row>
    <row r="309" spans="1:15" x14ac:dyDescent="0.2">
      <c r="A309" s="286"/>
      <c r="B309" s="285"/>
      <c r="C309" s="285"/>
      <c r="D309" s="285"/>
      <c r="E309" s="285"/>
      <c r="F309" s="284"/>
      <c r="G309" s="323" t="str">
        <f>IF(B309="","",VLOOKUP(IF((B309-F309)*10&lt;-10,-10,IF((B309-F309)*10&gt;10,10,(B309-F309)*10)),'Rank Progression'!$K$2:$L$22,2,FALSE))</f>
        <v/>
      </c>
      <c r="I309" s="323"/>
      <c r="J309" s="323"/>
      <c r="K309" s="323"/>
      <c r="L309" s="323"/>
      <c r="M309" s="323"/>
      <c r="N309" s="323"/>
      <c r="O309" s="323"/>
    </row>
    <row r="310" spans="1:15" x14ac:dyDescent="0.2">
      <c r="A310" s="286"/>
      <c r="B310" s="285"/>
      <c r="C310" s="285"/>
      <c r="D310" s="285"/>
      <c r="E310" s="285"/>
      <c r="F310" s="284"/>
      <c r="G310" s="323" t="str">
        <f>IF(B310="","",VLOOKUP(IF((B310-F310)*10&lt;-10,-10,IF((B310-F310)*10&gt;10,10,(B310-F310)*10)),'Rank Progression'!$K$2:$L$22,2,FALSE))</f>
        <v/>
      </c>
      <c r="I310" s="323"/>
      <c r="J310" s="323"/>
      <c r="K310" s="323"/>
      <c r="L310" s="323"/>
      <c r="M310" s="323"/>
      <c r="N310" s="323"/>
      <c r="O310" s="323"/>
    </row>
    <row r="311" spans="1:15" x14ac:dyDescent="0.2">
      <c r="A311" s="286"/>
      <c r="B311" s="285"/>
      <c r="C311" s="285"/>
      <c r="D311" s="285"/>
      <c r="E311" s="285"/>
      <c r="F311" s="284"/>
      <c r="G311" s="323" t="str">
        <f>IF(B311="","",VLOOKUP(IF((B311-F311)*10&lt;-10,-10,IF((B311-F311)*10&gt;10,10,(B311-F311)*10)),'Rank Progression'!$K$2:$L$22,2,FALSE))</f>
        <v/>
      </c>
      <c r="I311" s="323"/>
      <c r="J311" s="323"/>
      <c r="K311" s="323"/>
      <c r="L311" s="323"/>
      <c r="M311" s="323"/>
      <c r="N311" s="323"/>
      <c r="O311" s="323"/>
    </row>
    <row r="312" spans="1:15" x14ac:dyDescent="0.2">
      <c r="A312" s="286"/>
      <c r="B312" s="285"/>
      <c r="C312" s="285"/>
      <c r="D312" s="285"/>
      <c r="E312" s="285"/>
      <c r="F312" s="284"/>
      <c r="G312" s="323" t="str">
        <f>IF(B312="","",VLOOKUP(IF((B312-F312)*10&lt;-10,-10,IF((B312-F312)*10&gt;10,10,(B312-F312)*10)),'Rank Progression'!$K$2:$L$22,2,FALSE))</f>
        <v/>
      </c>
      <c r="I312" s="323"/>
      <c r="J312" s="323"/>
      <c r="K312" s="323"/>
      <c r="L312" s="323"/>
      <c r="M312" s="323"/>
      <c r="N312" s="323"/>
      <c r="O312" s="323"/>
    </row>
    <row r="313" spans="1:15" x14ac:dyDescent="0.2">
      <c r="A313" s="286"/>
      <c r="B313" s="285"/>
      <c r="C313" s="285"/>
      <c r="D313" s="285"/>
      <c r="E313" s="285"/>
      <c r="F313" s="284"/>
      <c r="G313" s="323" t="str">
        <f>IF(B313="","",VLOOKUP(IF((B313-F313)*10&lt;-10,-10,IF((B313-F313)*10&gt;10,10,(B313-F313)*10)),'Rank Progression'!$K$2:$L$22,2,FALSE))</f>
        <v/>
      </c>
      <c r="I313" s="323"/>
      <c r="J313" s="323"/>
      <c r="K313" s="323"/>
      <c r="L313" s="323"/>
      <c r="M313" s="323"/>
      <c r="N313" s="323"/>
      <c r="O313" s="323"/>
    </row>
    <row r="314" spans="1:15" x14ac:dyDescent="0.2">
      <c r="A314" s="286"/>
      <c r="B314" s="285"/>
      <c r="C314" s="285"/>
      <c r="D314" s="285"/>
      <c r="E314" s="285"/>
      <c r="F314" s="284"/>
      <c r="G314" s="323" t="str">
        <f>IF(B314="","",VLOOKUP(IF((B314-F314)*10&lt;-10,-10,IF((B314-F314)*10&gt;10,10,(B314-F314)*10)),'Rank Progression'!$K$2:$L$22,2,FALSE))</f>
        <v/>
      </c>
      <c r="I314" s="323"/>
      <c r="J314" s="323"/>
      <c r="K314" s="323"/>
      <c r="L314" s="323"/>
      <c r="M314" s="323"/>
      <c r="N314" s="323"/>
      <c r="O314" s="323"/>
    </row>
    <row r="315" spans="1:15" x14ac:dyDescent="0.2">
      <c r="A315" s="286"/>
      <c r="B315" s="285"/>
      <c r="C315" s="285"/>
      <c r="D315" s="285"/>
      <c r="E315" s="285"/>
      <c r="F315" s="284"/>
      <c r="G315" s="323" t="str">
        <f>IF(B315="","",VLOOKUP(IF((B315-F315)*10&lt;-10,-10,IF((B315-F315)*10&gt;10,10,(B315-F315)*10)),'Rank Progression'!$K$2:$L$22,2,FALSE))</f>
        <v/>
      </c>
      <c r="I315" s="323"/>
      <c r="J315" s="323"/>
      <c r="K315" s="323"/>
      <c r="L315" s="323"/>
      <c r="M315" s="323"/>
      <c r="N315" s="323"/>
      <c r="O315" s="323"/>
    </row>
    <row r="316" spans="1:15" x14ac:dyDescent="0.2">
      <c r="A316" s="286"/>
      <c r="B316" s="285"/>
      <c r="C316" s="285"/>
      <c r="D316" s="285"/>
      <c r="E316" s="285"/>
      <c r="F316" s="284"/>
      <c r="G316" s="323" t="str">
        <f>IF(B316="","",VLOOKUP(IF((B316-F316)*10&lt;-10,-10,IF((B316-F316)*10&gt;10,10,(B316-F316)*10)),'Rank Progression'!$K$2:$L$22,2,FALSE))</f>
        <v/>
      </c>
      <c r="I316" s="323"/>
      <c r="J316" s="323"/>
      <c r="K316" s="323"/>
      <c r="L316" s="323"/>
      <c r="M316" s="323"/>
      <c r="N316" s="323"/>
      <c r="O316" s="323"/>
    </row>
    <row r="317" spans="1:15" x14ac:dyDescent="0.2">
      <c r="A317" s="286"/>
      <c r="B317" s="285"/>
      <c r="C317" s="285"/>
      <c r="D317" s="285"/>
      <c r="E317" s="285"/>
      <c r="F317" s="284"/>
      <c r="G317" s="323" t="str">
        <f>IF(B317="","",VLOOKUP(IF((B317-F317)*10&lt;-10,-10,IF((B317-F317)*10&gt;10,10,(B317-F317)*10)),'Rank Progression'!$K$2:$L$22,2,FALSE))</f>
        <v/>
      </c>
      <c r="I317" s="323"/>
      <c r="J317" s="323"/>
      <c r="K317" s="323"/>
      <c r="L317" s="323"/>
      <c r="M317" s="323"/>
      <c r="N317" s="323"/>
      <c r="O317" s="323"/>
    </row>
    <row r="318" spans="1:15" x14ac:dyDescent="0.2">
      <c r="A318" s="286"/>
      <c r="B318" s="285"/>
      <c r="C318" s="285"/>
      <c r="D318" s="285"/>
      <c r="E318" s="285"/>
      <c r="F318" s="284"/>
      <c r="G318" s="323" t="str">
        <f>IF(B318="","",VLOOKUP(IF((B318-F318)*10&lt;-10,-10,IF((B318-F318)*10&gt;10,10,(B318-F318)*10)),'Rank Progression'!$K$2:$L$22,2,FALSE))</f>
        <v/>
      </c>
      <c r="I318" s="323"/>
      <c r="J318" s="323"/>
      <c r="K318" s="323"/>
      <c r="L318" s="323"/>
      <c r="M318" s="323"/>
      <c r="N318" s="323"/>
      <c r="O318" s="323"/>
    </row>
    <row r="319" spans="1:15" x14ac:dyDescent="0.2">
      <c r="A319" s="286"/>
      <c r="B319" s="285"/>
      <c r="C319" s="285"/>
      <c r="D319" s="285"/>
      <c r="E319" s="285"/>
      <c r="F319" s="284"/>
      <c r="G319" s="323" t="str">
        <f>IF(B319="","",VLOOKUP(IF((B319-F319)*10&lt;-10,-10,IF((B319-F319)*10&gt;10,10,(B319-F319)*10)),'Rank Progression'!$K$2:$L$22,2,FALSE))</f>
        <v/>
      </c>
      <c r="I319" s="323"/>
      <c r="J319" s="323"/>
      <c r="K319" s="323"/>
      <c r="L319" s="323"/>
      <c r="M319" s="323"/>
      <c r="N319" s="323"/>
      <c r="O319" s="323"/>
    </row>
    <row r="320" spans="1:15" x14ac:dyDescent="0.2">
      <c r="A320" s="286"/>
      <c r="B320" s="285"/>
      <c r="C320" s="285"/>
      <c r="D320" s="285"/>
      <c r="E320" s="285"/>
      <c r="F320" s="284"/>
      <c r="G320" s="323" t="str">
        <f>IF(B320="","",VLOOKUP(IF((B320-F320)*10&lt;-10,-10,IF((B320-F320)*10&gt;10,10,(B320-F320)*10)),'Rank Progression'!$K$2:$L$22,2,FALSE))</f>
        <v/>
      </c>
      <c r="I320" s="323"/>
      <c r="J320" s="323"/>
      <c r="K320" s="323"/>
      <c r="L320" s="323"/>
      <c r="M320" s="323"/>
      <c r="N320" s="323"/>
      <c r="O320" s="323"/>
    </row>
    <row r="321" spans="1:15" x14ac:dyDescent="0.2">
      <c r="A321" s="286"/>
      <c r="B321" s="285"/>
      <c r="C321" s="285"/>
      <c r="D321" s="285"/>
      <c r="E321" s="285"/>
      <c r="F321" s="284"/>
      <c r="G321" s="323" t="str">
        <f>IF(B321="","",VLOOKUP(IF((B321-F321)*10&lt;-10,-10,IF((B321-F321)*10&gt;10,10,(B321-F321)*10)),'Rank Progression'!$K$2:$L$22,2,FALSE))</f>
        <v/>
      </c>
      <c r="I321" s="323"/>
      <c r="J321" s="323"/>
      <c r="K321" s="323"/>
      <c r="L321" s="323"/>
      <c r="M321" s="323"/>
      <c r="N321" s="323"/>
      <c r="O321" s="323"/>
    </row>
    <row r="322" spans="1:15" x14ac:dyDescent="0.2">
      <c r="A322" s="286"/>
      <c r="B322" s="285"/>
      <c r="C322" s="285"/>
      <c r="D322" s="285"/>
      <c r="E322" s="285"/>
      <c r="F322" s="284"/>
      <c r="G322" s="323" t="str">
        <f>IF(B322="","",VLOOKUP(IF((B322-F322)*10&lt;-10,-10,IF((B322-F322)*10&gt;10,10,(B322-F322)*10)),'Rank Progression'!$K$2:$L$22,2,FALSE))</f>
        <v/>
      </c>
      <c r="I322" s="323"/>
      <c r="J322" s="323"/>
      <c r="K322" s="323"/>
      <c r="L322" s="323"/>
      <c r="M322" s="323"/>
      <c r="N322" s="323"/>
      <c r="O322" s="323"/>
    </row>
    <row r="323" spans="1:15" x14ac:dyDescent="0.2">
      <c r="A323" s="286"/>
      <c r="B323" s="285"/>
      <c r="C323" s="285"/>
      <c r="D323" s="285"/>
      <c r="E323" s="285"/>
      <c r="F323" s="284"/>
      <c r="G323" s="323" t="str">
        <f>IF(B323="","",VLOOKUP(IF((B323-F323)*10&lt;-10,-10,IF((B323-F323)*10&gt;10,10,(B323-F323)*10)),'Rank Progression'!$K$2:$L$22,2,FALSE))</f>
        <v/>
      </c>
      <c r="I323" s="323"/>
      <c r="J323" s="323"/>
      <c r="K323" s="323"/>
      <c r="L323" s="323"/>
      <c r="M323" s="323"/>
      <c r="N323" s="323"/>
      <c r="O323" s="323"/>
    </row>
    <row r="324" spans="1:15" x14ac:dyDescent="0.2">
      <c r="A324" s="286"/>
      <c r="B324" s="285"/>
      <c r="C324" s="285"/>
      <c r="D324" s="285"/>
      <c r="E324" s="285"/>
      <c r="F324" s="284"/>
      <c r="G324" s="323" t="str">
        <f>IF(B324="","",VLOOKUP(IF((B324-F324)*10&lt;-10,-10,IF((B324-F324)*10&gt;10,10,(B324-F324)*10)),'Rank Progression'!$K$2:$L$22,2,FALSE))</f>
        <v/>
      </c>
      <c r="I324" s="323"/>
      <c r="J324" s="323"/>
      <c r="K324" s="323"/>
      <c r="L324" s="323"/>
      <c r="M324" s="323"/>
      <c r="N324" s="323"/>
      <c r="O324" s="323"/>
    </row>
    <row r="325" spans="1:15" x14ac:dyDescent="0.2">
      <c r="A325" s="286"/>
      <c r="B325" s="285"/>
      <c r="C325" s="285"/>
      <c r="D325" s="285"/>
      <c r="E325" s="285"/>
      <c r="F325" s="284"/>
      <c r="G325" s="323" t="str">
        <f>IF(B325="","",VLOOKUP(IF((B325-F325)*10&lt;-10,-10,IF((B325-F325)*10&gt;10,10,(B325-F325)*10)),'Rank Progression'!$K$2:$L$22,2,FALSE))</f>
        <v/>
      </c>
      <c r="I325" s="323"/>
      <c r="J325" s="323"/>
      <c r="K325" s="323"/>
      <c r="L325" s="323"/>
      <c r="M325" s="323"/>
      <c r="N325" s="323"/>
      <c r="O325" s="323"/>
    </row>
    <row r="326" spans="1:15" x14ac:dyDescent="0.2">
      <c r="A326" s="286"/>
      <c r="B326" s="285"/>
      <c r="C326" s="285"/>
      <c r="D326" s="285"/>
      <c r="E326" s="285"/>
      <c r="F326" s="284"/>
      <c r="G326" s="323" t="str">
        <f>IF(B326="","",VLOOKUP(IF((B326-F326)*10&lt;-10,-10,IF((B326-F326)*10&gt;10,10,(B326-F326)*10)),'Rank Progression'!$K$2:$L$22,2,FALSE))</f>
        <v/>
      </c>
      <c r="I326" s="323"/>
      <c r="J326" s="323"/>
      <c r="K326" s="323"/>
      <c r="L326" s="323"/>
      <c r="M326" s="323"/>
      <c r="N326" s="323"/>
      <c r="O326" s="323"/>
    </row>
    <row r="327" spans="1:15" x14ac:dyDescent="0.2">
      <c r="A327" s="286"/>
      <c r="B327" s="285"/>
      <c r="C327" s="285"/>
      <c r="D327" s="285"/>
      <c r="E327" s="285"/>
      <c r="F327" s="284"/>
      <c r="G327" s="323" t="str">
        <f>IF(B327="","",VLOOKUP(IF((B327-F327)*10&lt;-10,-10,IF((B327-F327)*10&gt;10,10,(B327-F327)*10)),'Rank Progression'!$K$2:$L$22,2,FALSE))</f>
        <v/>
      </c>
      <c r="I327" s="323"/>
      <c r="J327" s="323"/>
      <c r="K327" s="323"/>
      <c r="L327" s="323"/>
      <c r="M327" s="323"/>
      <c r="N327" s="323"/>
      <c r="O327" s="323"/>
    </row>
    <row r="328" spans="1:15" x14ac:dyDescent="0.2">
      <c r="A328" s="286"/>
      <c r="B328" s="285"/>
      <c r="C328" s="285"/>
      <c r="D328" s="285"/>
      <c r="E328" s="285"/>
      <c r="F328" s="284"/>
      <c r="G328" s="323" t="str">
        <f>IF(B328="","",VLOOKUP(IF((B328-F328)*10&lt;-10,-10,IF((B328-F328)*10&gt;10,10,(B328-F328)*10)),'Rank Progression'!$K$2:$L$22,2,FALSE))</f>
        <v/>
      </c>
      <c r="I328" s="323"/>
      <c r="J328" s="323"/>
      <c r="K328" s="323"/>
      <c r="L328" s="323"/>
      <c r="M328" s="323"/>
      <c r="N328" s="323"/>
      <c r="O328" s="323"/>
    </row>
    <row r="329" spans="1:15" x14ac:dyDescent="0.2">
      <c r="A329" s="286"/>
      <c r="B329" s="285"/>
      <c r="C329" s="285"/>
      <c r="D329" s="285"/>
      <c r="E329" s="285"/>
      <c r="F329" s="284"/>
      <c r="G329" s="323" t="str">
        <f>IF(B329="","",VLOOKUP(IF((B329-F329)*10&lt;-10,-10,IF((B329-F329)*10&gt;10,10,(B329-F329)*10)),'Rank Progression'!$K$2:$L$22,2,FALSE))</f>
        <v/>
      </c>
      <c r="I329" s="323"/>
      <c r="J329" s="323"/>
      <c r="K329" s="323"/>
      <c r="L329" s="323"/>
      <c r="M329" s="323"/>
      <c r="N329" s="323"/>
      <c r="O329" s="323"/>
    </row>
    <row r="330" spans="1:15" x14ac:dyDescent="0.2">
      <c r="A330" s="286"/>
      <c r="B330" s="285"/>
      <c r="C330" s="285"/>
      <c r="D330" s="285"/>
      <c r="E330" s="285"/>
      <c r="F330" s="284"/>
      <c r="G330" s="323" t="str">
        <f>IF(B330="","",VLOOKUP(IF((B330-F330)*10&lt;-10,-10,IF((B330-F330)*10&gt;10,10,(B330-F330)*10)),'Rank Progression'!$K$2:$L$22,2,FALSE))</f>
        <v/>
      </c>
      <c r="I330" s="323"/>
      <c r="J330" s="323"/>
      <c r="K330" s="323"/>
      <c r="L330" s="323"/>
      <c r="M330" s="323"/>
      <c r="N330" s="323"/>
      <c r="O330" s="323"/>
    </row>
    <row r="331" spans="1:15" x14ac:dyDescent="0.2">
      <c r="A331" s="286"/>
      <c r="B331" s="285"/>
      <c r="C331" s="285"/>
      <c r="D331" s="285"/>
      <c r="E331" s="285"/>
      <c r="F331" s="284"/>
      <c r="G331" s="323" t="str">
        <f>IF(B331="","",VLOOKUP(IF((B331-F331)*10&lt;-10,-10,IF((B331-F331)*10&gt;10,10,(B331-F331)*10)),'Rank Progression'!$K$2:$L$22,2,FALSE))</f>
        <v/>
      </c>
      <c r="I331" s="323"/>
      <c r="J331" s="323"/>
      <c r="K331" s="323"/>
      <c r="L331" s="323"/>
      <c r="M331" s="323"/>
      <c r="N331" s="323"/>
      <c r="O331" s="323"/>
    </row>
    <row r="332" spans="1:15" x14ac:dyDescent="0.2">
      <c r="A332" s="286"/>
      <c r="B332" s="285"/>
      <c r="C332" s="285"/>
      <c r="D332" s="285"/>
      <c r="E332" s="285"/>
      <c r="F332" s="284"/>
      <c r="G332" s="323" t="str">
        <f>IF(B332="","",VLOOKUP(IF((B332-F332)*10&lt;-10,-10,IF((B332-F332)*10&gt;10,10,(B332-F332)*10)),'Rank Progression'!$K$2:$L$22,2,FALSE))</f>
        <v/>
      </c>
      <c r="I332" s="323"/>
      <c r="J332" s="323"/>
      <c r="K332" s="323"/>
      <c r="L332" s="323"/>
      <c r="M332" s="323"/>
      <c r="N332" s="323"/>
      <c r="O332" s="323"/>
    </row>
    <row r="333" spans="1:15" x14ac:dyDescent="0.2">
      <c r="A333" s="286"/>
      <c r="B333" s="285"/>
      <c r="C333" s="285"/>
      <c r="D333" s="285"/>
      <c r="E333" s="285"/>
      <c r="F333" s="284"/>
      <c r="G333" s="323" t="str">
        <f>IF(B333="","",VLOOKUP(IF((B333-F333)*10&lt;-10,-10,IF((B333-F333)*10&gt;10,10,(B333-F333)*10)),'Rank Progression'!$K$2:$L$22,2,FALSE))</f>
        <v/>
      </c>
      <c r="I333" s="323"/>
      <c r="J333" s="323"/>
      <c r="K333" s="323"/>
      <c r="L333" s="323"/>
      <c r="M333" s="323"/>
      <c r="N333" s="323"/>
      <c r="O333" s="323"/>
    </row>
    <row r="334" spans="1:15" x14ac:dyDescent="0.2">
      <c r="A334" s="286"/>
      <c r="B334" s="285"/>
      <c r="C334" s="285"/>
      <c r="D334" s="285"/>
      <c r="E334" s="285"/>
      <c r="F334" s="284"/>
      <c r="G334" s="323" t="str">
        <f>IF(B334="","",VLOOKUP(IF((B334-F334)*10&lt;-10,-10,IF((B334-F334)*10&gt;10,10,(B334-F334)*10)),'Rank Progression'!$K$2:$L$22,2,FALSE))</f>
        <v/>
      </c>
      <c r="I334" s="323"/>
      <c r="J334" s="323"/>
      <c r="K334" s="323"/>
      <c r="L334" s="323"/>
      <c r="M334" s="323"/>
      <c r="N334" s="323"/>
      <c r="O334" s="323"/>
    </row>
    <row r="335" spans="1:15" x14ac:dyDescent="0.2">
      <c r="A335" s="286"/>
      <c r="B335" s="285"/>
      <c r="C335" s="285"/>
      <c r="D335" s="285"/>
      <c r="E335" s="285"/>
      <c r="F335" s="284"/>
      <c r="G335" s="323" t="str">
        <f>IF(B335="","",VLOOKUP(IF((B335-F335)*10&lt;-10,-10,IF((B335-F335)*10&gt;10,10,(B335-F335)*10)),'Rank Progression'!$K$2:$L$22,2,FALSE))</f>
        <v/>
      </c>
      <c r="I335" s="323"/>
      <c r="J335" s="323"/>
      <c r="K335" s="323"/>
      <c r="L335" s="323"/>
      <c r="M335" s="323"/>
      <c r="N335" s="323"/>
      <c r="O335" s="323"/>
    </row>
    <row r="336" spans="1:15" x14ac:dyDescent="0.2">
      <c r="A336" s="286"/>
      <c r="B336" s="285"/>
      <c r="C336" s="285"/>
      <c r="D336" s="285"/>
      <c r="E336" s="285"/>
      <c r="F336" s="284"/>
      <c r="G336" s="323" t="str">
        <f>IF(B336="","",VLOOKUP(IF((B336-F336)*10&lt;-10,-10,IF((B336-F336)*10&gt;10,10,(B336-F336)*10)),'Rank Progression'!$K$2:$L$22,2,FALSE))</f>
        <v/>
      </c>
      <c r="I336" s="323"/>
      <c r="J336" s="323"/>
      <c r="K336" s="323"/>
      <c r="L336" s="323"/>
      <c r="M336" s="323"/>
      <c r="N336" s="323"/>
      <c r="O336" s="323"/>
    </row>
    <row r="337" spans="1:15" x14ac:dyDescent="0.2">
      <c r="A337" s="286"/>
      <c r="B337" s="285"/>
      <c r="C337" s="285"/>
      <c r="D337" s="285"/>
      <c r="E337" s="285"/>
      <c r="F337" s="284"/>
      <c r="G337" s="323" t="str">
        <f>IF(B337="","",VLOOKUP(IF((B337-F337)*10&lt;-10,-10,IF((B337-F337)*10&gt;10,10,(B337-F337)*10)),'Rank Progression'!$K$2:$L$22,2,FALSE))</f>
        <v/>
      </c>
      <c r="I337" s="323"/>
      <c r="J337" s="323"/>
      <c r="K337" s="323"/>
      <c r="L337" s="323"/>
      <c r="M337" s="323"/>
      <c r="N337" s="323"/>
      <c r="O337" s="323"/>
    </row>
    <row r="338" spans="1:15" x14ac:dyDescent="0.2">
      <c r="A338" s="286"/>
      <c r="B338" s="285"/>
      <c r="C338" s="285"/>
      <c r="D338" s="285"/>
      <c r="E338" s="285"/>
      <c r="F338" s="284"/>
      <c r="G338" s="323" t="str">
        <f>IF(B338="","",VLOOKUP(IF((B338-F338)*10&lt;-10,-10,IF((B338-F338)*10&gt;10,10,(B338-F338)*10)),'Rank Progression'!$K$2:$L$22,2,FALSE))</f>
        <v/>
      </c>
      <c r="I338" s="323"/>
      <c r="J338" s="323"/>
      <c r="K338" s="323"/>
      <c r="L338" s="323"/>
      <c r="M338" s="323"/>
      <c r="N338" s="323"/>
      <c r="O338" s="323"/>
    </row>
    <row r="339" spans="1:15" x14ac:dyDescent="0.2">
      <c r="A339" s="286"/>
      <c r="B339" s="285"/>
      <c r="C339" s="285"/>
      <c r="D339" s="285"/>
      <c r="E339" s="285"/>
      <c r="F339" s="284"/>
      <c r="G339" s="323" t="str">
        <f>IF(B339="","",VLOOKUP(IF((B339-F339)*10&lt;-10,-10,IF((B339-F339)*10&gt;10,10,(B339-F339)*10)),'Rank Progression'!$K$2:$L$22,2,FALSE))</f>
        <v/>
      </c>
      <c r="I339" s="323"/>
      <c r="J339" s="323"/>
      <c r="K339" s="323"/>
      <c r="L339" s="323"/>
      <c r="M339" s="323"/>
      <c r="N339" s="323"/>
      <c r="O339" s="323"/>
    </row>
    <row r="340" spans="1:15" x14ac:dyDescent="0.2">
      <c r="A340" s="286"/>
      <c r="B340" s="285"/>
      <c r="C340" s="285"/>
      <c r="D340" s="285"/>
      <c r="E340" s="285"/>
      <c r="F340" s="284"/>
      <c r="G340" s="323" t="str">
        <f>IF(B340="","",VLOOKUP(IF((B340-F340)*10&lt;-10,-10,IF((B340-F340)*10&gt;10,10,(B340-F340)*10)),'Rank Progression'!$K$2:$L$22,2,FALSE))</f>
        <v/>
      </c>
      <c r="I340" s="323"/>
      <c r="J340" s="323"/>
      <c r="K340" s="323"/>
      <c r="L340" s="323"/>
      <c r="M340" s="323"/>
      <c r="N340" s="323"/>
      <c r="O340" s="323"/>
    </row>
    <row r="341" spans="1:15" x14ac:dyDescent="0.2">
      <c r="A341" s="286"/>
      <c r="B341" s="285"/>
      <c r="C341" s="285"/>
      <c r="D341" s="285"/>
      <c r="E341" s="285"/>
      <c r="F341" s="284"/>
      <c r="G341" s="323" t="str">
        <f>IF(B341="","",VLOOKUP(IF((B341-F341)*10&lt;-10,-10,IF((B341-F341)*10&gt;10,10,(B341-F341)*10)),'Rank Progression'!$K$2:$L$22,2,FALSE))</f>
        <v/>
      </c>
      <c r="I341" s="323"/>
      <c r="J341" s="323"/>
      <c r="K341" s="323"/>
      <c r="L341" s="323"/>
      <c r="M341" s="323"/>
      <c r="N341" s="323"/>
      <c r="O341" s="323"/>
    </row>
    <row r="342" spans="1:15" x14ac:dyDescent="0.2">
      <c r="A342" s="286"/>
      <c r="B342" s="285"/>
      <c r="C342" s="285"/>
      <c r="D342" s="285"/>
      <c r="E342" s="285"/>
      <c r="F342" s="284"/>
      <c r="G342" s="323" t="str">
        <f>IF(B342="","",VLOOKUP(IF((B342-F342)*10&lt;-10,-10,IF((B342-F342)*10&gt;10,10,(B342-F342)*10)),'Rank Progression'!$K$2:$L$22,2,FALSE))</f>
        <v/>
      </c>
      <c r="I342" s="323"/>
      <c r="J342" s="323"/>
      <c r="K342" s="323"/>
      <c r="L342" s="323"/>
      <c r="M342" s="323"/>
      <c r="N342" s="323"/>
      <c r="O342" s="323"/>
    </row>
    <row r="343" spans="1:15" x14ac:dyDescent="0.2">
      <c r="A343" s="286"/>
      <c r="B343" s="285"/>
      <c r="C343" s="285"/>
      <c r="D343" s="285"/>
      <c r="E343" s="285"/>
      <c r="F343" s="284"/>
      <c r="G343" s="323" t="str">
        <f>IF(B343="","",VLOOKUP(IF((B343-F343)*10&lt;-10,-10,IF((B343-F343)*10&gt;10,10,(B343-F343)*10)),'Rank Progression'!$K$2:$L$22,2,FALSE))</f>
        <v/>
      </c>
      <c r="I343" s="323"/>
      <c r="J343" s="323"/>
      <c r="K343" s="323"/>
      <c r="L343" s="323"/>
      <c r="M343" s="323"/>
      <c r="N343" s="323"/>
      <c r="O343" s="323"/>
    </row>
    <row r="344" spans="1:15" x14ac:dyDescent="0.2">
      <c r="A344" s="286"/>
      <c r="B344" s="285"/>
      <c r="C344" s="285"/>
      <c r="D344" s="285"/>
      <c r="E344" s="285"/>
      <c r="F344" s="284"/>
      <c r="G344" s="323" t="str">
        <f>IF(B344="","",VLOOKUP(IF((B344-F344)*10&lt;-10,-10,IF((B344-F344)*10&gt;10,10,(B344-F344)*10)),'Rank Progression'!$K$2:$L$22,2,FALSE))</f>
        <v/>
      </c>
      <c r="I344" s="323"/>
      <c r="J344" s="323"/>
      <c r="K344" s="323"/>
      <c r="L344" s="323"/>
      <c r="M344" s="323"/>
      <c r="N344" s="323"/>
      <c r="O344" s="323"/>
    </row>
    <row r="345" spans="1:15" x14ac:dyDescent="0.2">
      <c r="A345" s="286"/>
      <c r="B345" s="285"/>
      <c r="C345" s="285"/>
      <c r="D345" s="285"/>
      <c r="E345" s="285"/>
      <c r="F345" s="284"/>
      <c r="G345" s="323" t="str">
        <f>IF(B345="","",VLOOKUP(IF((B345-F345)*10&lt;-10,-10,IF((B345-F345)*10&gt;10,10,(B345-F345)*10)),'Rank Progression'!$K$2:$L$22,2,FALSE))</f>
        <v/>
      </c>
      <c r="I345" s="323"/>
      <c r="J345" s="323"/>
      <c r="K345" s="323"/>
      <c r="L345" s="323"/>
      <c r="M345" s="323"/>
      <c r="N345" s="323"/>
      <c r="O345" s="323"/>
    </row>
    <row r="346" spans="1:15" x14ac:dyDescent="0.2">
      <c r="A346" s="286"/>
      <c r="B346" s="285"/>
      <c r="C346" s="285"/>
      <c r="D346" s="285"/>
      <c r="E346" s="285"/>
      <c r="F346" s="284"/>
      <c r="G346" s="323" t="str">
        <f>IF(B346="","",VLOOKUP(IF((B346-F346)*10&lt;-10,-10,IF((B346-F346)*10&gt;10,10,(B346-F346)*10)),'Rank Progression'!$K$2:$L$22,2,FALSE))</f>
        <v/>
      </c>
      <c r="I346" s="323"/>
      <c r="J346" s="323"/>
      <c r="K346" s="323"/>
      <c r="L346" s="323"/>
      <c r="M346" s="323"/>
      <c r="N346" s="323"/>
      <c r="O346" s="323"/>
    </row>
    <row r="347" spans="1:15" x14ac:dyDescent="0.2">
      <c r="A347" s="286"/>
      <c r="B347" s="285"/>
      <c r="C347" s="285"/>
      <c r="D347" s="285"/>
      <c r="E347" s="285"/>
      <c r="F347" s="284"/>
      <c r="G347" s="323" t="str">
        <f>IF(B347="","",VLOOKUP(IF((B347-F347)*10&lt;-10,-10,IF((B347-F347)*10&gt;10,10,(B347-F347)*10)),'Rank Progression'!$K$2:$L$22,2,FALSE))</f>
        <v/>
      </c>
      <c r="I347" s="323"/>
      <c r="J347" s="323"/>
      <c r="K347" s="323"/>
      <c r="L347" s="323"/>
      <c r="M347" s="323"/>
      <c r="N347" s="323"/>
      <c r="O347" s="323"/>
    </row>
    <row r="348" spans="1:15" x14ac:dyDescent="0.2">
      <c r="A348" s="286"/>
      <c r="B348" s="285"/>
      <c r="C348" s="285"/>
      <c r="D348" s="285"/>
      <c r="E348" s="285"/>
      <c r="F348" s="284"/>
      <c r="G348" s="323" t="str">
        <f>IF(B348="","",VLOOKUP(IF((B348-F348)*10&lt;-10,-10,IF((B348-F348)*10&gt;10,10,(B348-F348)*10)),'Rank Progression'!$K$2:$L$22,2,FALSE))</f>
        <v/>
      </c>
      <c r="I348" s="323"/>
      <c r="J348" s="323"/>
      <c r="K348" s="323"/>
      <c r="L348" s="323"/>
      <c r="M348" s="323"/>
      <c r="N348" s="323"/>
      <c r="O348" s="323"/>
    </row>
    <row r="349" spans="1:15" x14ac:dyDescent="0.2">
      <c r="A349" s="286"/>
      <c r="B349" s="285"/>
      <c r="C349" s="285"/>
      <c r="D349" s="285"/>
      <c r="E349" s="285"/>
      <c r="F349" s="284"/>
      <c r="G349" s="323" t="str">
        <f>IF(B349="","",VLOOKUP(IF((B349-F349)*10&lt;-10,-10,IF((B349-F349)*10&gt;10,10,(B349-F349)*10)),'Rank Progression'!$K$2:$L$22,2,FALSE))</f>
        <v/>
      </c>
      <c r="I349" s="323"/>
      <c r="J349" s="323"/>
      <c r="K349" s="323"/>
      <c r="L349" s="323"/>
      <c r="M349" s="323"/>
      <c r="N349" s="323"/>
      <c r="O349" s="323"/>
    </row>
    <row r="350" spans="1:15" x14ac:dyDescent="0.2">
      <c r="A350" s="286"/>
      <c r="B350" s="285"/>
      <c r="C350" s="285"/>
      <c r="D350" s="285"/>
      <c r="E350" s="285"/>
      <c r="F350" s="284"/>
      <c r="G350" s="323" t="str">
        <f>IF(B350="","",VLOOKUP(IF((B350-F350)*10&lt;-10,-10,IF((B350-F350)*10&gt;10,10,(B350-F350)*10)),'Rank Progression'!$K$2:$L$22,2,FALSE))</f>
        <v/>
      </c>
      <c r="I350" s="323"/>
      <c r="J350" s="323"/>
      <c r="K350" s="323"/>
      <c r="L350" s="323"/>
      <c r="M350" s="323"/>
      <c r="N350" s="323"/>
      <c r="O350" s="323"/>
    </row>
    <row r="351" spans="1:15" x14ac:dyDescent="0.2">
      <c r="A351" s="286"/>
      <c r="B351" s="285"/>
      <c r="C351" s="285"/>
      <c r="D351" s="285"/>
      <c r="E351" s="285"/>
      <c r="F351" s="284"/>
      <c r="G351" s="323" t="str">
        <f>IF(B351="","",VLOOKUP(IF((B351-F351)*10&lt;-10,-10,IF((B351-F351)*10&gt;10,10,(B351-F351)*10)),'Rank Progression'!$K$2:$L$22,2,FALSE))</f>
        <v/>
      </c>
      <c r="I351" s="323"/>
      <c r="J351" s="323"/>
      <c r="K351" s="323"/>
      <c r="L351" s="323"/>
      <c r="M351" s="323"/>
      <c r="N351" s="323"/>
      <c r="O351" s="323"/>
    </row>
    <row r="352" spans="1:15" x14ac:dyDescent="0.2">
      <c r="A352" s="286"/>
      <c r="B352" s="285"/>
      <c r="C352" s="285"/>
      <c r="D352" s="285"/>
      <c r="E352" s="285"/>
      <c r="F352" s="284"/>
      <c r="G352" s="323" t="str">
        <f>IF(B352="","",VLOOKUP(IF((B352-F352)*10&lt;-10,-10,IF((B352-F352)*10&gt;10,10,(B352-F352)*10)),'Rank Progression'!$K$2:$L$22,2,FALSE))</f>
        <v/>
      </c>
      <c r="I352" s="323"/>
      <c r="J352" s="323"/>
      <c r="K352" s="323"/>
      <c r="L352" s="323"/>
      <c r="M352" s="323"/>
      <c r="N352" s="323"/>
      <c r="O352" s="323"/>
    </row>
    <row r="353" spans="1:15" x14ac:dyDescent="0.2">
      <c r="A353" s="286"/>
      <c r="B353" s="285"/>
      <c r="C353" s="285"/>
      <c r="D353" s="285"/>
      <c r="E353" s="285"/>
      <c r="F353" s="284"/>
      <c r="G353" s="323" t="str">
        <f>IF(B353="","",VLOOKUP(IF((B353-F353)*10&lt;-10,-10,IF((B353-F353)*10&gt;10,10,(B353-F353)*10)),'Rank Progression'!$K$2:$L$22,2,FALSE))</f>
        <v/>
      </c>
      <c r="I353" s="323"/>
      <c r="J353" s="323"/>
      <c r="K353" s="323"/>
      <c r="L353" s="323"/>
      <c r="M353" s="323"/>
      <c r="N353" s="323"/>
      <c r="O353" s="323"/>
    </row>
    <row r="354" spans="1:15" x14ac:dyDescent="0.2">
      <c r="A354" s="286"/>
      <c r="B354" s="285"/>
      <c r="C354" s="285"/>
      <c r="D354" s="285"/>
      <c r="E354" s="285"/>
      <c r="F354" s="284"/>
      <c r="G354" s="323" t="str">
        <f>IF(B354="","",VLOOKUP(IF((B354-F354)*10&lt;-10,-10,IF((B354-F354)*10&gt;10,10,(B354-F354)*10)),'Rank Progression'!$K$2:$L$22,2,FALSE))</f>
        <v/>
      </c>
      <c r="I354" s="323"/>
      <c r="J354" s="323"/>
      <c r="K354" s="323"/>
      <c r="L354" s="323"/>
      <c r="M354" s="323"/>
      <c r="N354" s="323"/>
      <c r="O354" s="323"/>
    </row>
    <row r="355" spans="1:15" x14ac:dyDescent="0.2">
      <c r="A355" s="286"/>
      <c r="B355" s="285"/>
      <c r="C355" s="285"/>
      <c r="D355" s="285"/>
      <c r="E355" s="285"/>
      <c r="F355" s="284"/>
      <c r="G355" s="323" t="str">
        <f>IF(B355="","",VLOOKUP(IF((B355-F355)*10&lt;-10,-10,IF((B355-F355)*10&gt;10,10,(B355-F355)*10)),'Rank Progression'!$K$2:$L$22,2,FALSE))</f>
        <v/>
      </c>
      <c r="I355" s="323"/>
      <c r="J355" s="323"/>
      <c r="K355" s="323"/>
      <c r="L355" s="323"/>
      <c r="M355" s="323"/>
      <c r="N355" s="323"/>
      <c r="O355" s="323"/>
    </row>
    <row r="356" spans="1:15" x14ac:dyDescent="0.2">
      <c r="A356" s="286"/>
      <c r="B356" s="285"/>
      <c r="C356" s="285"/>
      <c r="D356" s="285"/>
      <c r="E356" s="285"/>
      <c r="F356" s="284"/>
      <c r="G356" s="323" t="str">
        <f>IF(B356="","",VLOOKUP(IF((B356-F356)*10&lt;-10,-10,IF((B356-F356)*10&gt;10,10,(B356-F356)*10)),'Rank Progression'!$K$2:$L$22,2,FALSE))</f>
        <v/>
      </c>
      <c r="I356" s="323"/>
      <c r="J356" s="323"/>
      <c r="K356" s="323"/>
      <c r="L356" s="323"/>
      <c r="M356" s="323"/>
      <c r="N356" s="323"/>
      <c r="O356" s="323"/>
    </row>
    <row r="357" spans="1:15" x14ac:dyDescent="0.2">
      <c r="A357" s="286"/>
      <c r="B357" s="285"/>
      <c r="C357" s="285"/>
      <c r="D357" s="285"/>
      <c r="E357" s="285"/>
      <c r="F357" s="284"/>
      <c r="G357" s="323" t="str">
        <f>IF(B357="","",VLOOKUP(IF((B357-F357)*10&lt;-10,-10,IF((B357-F357)*10&gt;10,10,(B357-F357)*10)),'Rank Progression'!$K$2:$L$22,2,FALSE))</f>
        <v/>
      </c>
      <c r="I357" s="323"/>
      <c r="J357" s="323"/>
      <c r="K357" s="323"/>
      <c r="L357" s="323"/>
      <c r="M357" s="323"/>
      <c r="N357" s="323"/>
      <c r="O357" s="323"/>
    </row>
    <row r="358" spans="1:15" x14ac:dyDescent="0.2">
      <c r="A358" s="286"/>
      <c r="B358" s="285"/>
      <c r="C358" s="285"/>
      <c r="D358" s="285"/>
      <c r="E358" s="285"/>
      <c r="F358" s="284"/>
      <c r="G358" s="323" t="str">
        <f>IF(B358="","",VLOOKUP(IF((B358-F358)*10&lt;-10,-10,IF((B358-F358)*10&gt;10,10,(B358-F358)*10)),'Rank Progression'!$K$2:$L$22,2,FALSE))</f>
        <v/>
      </c>
      <c r="I358" s="323"/>
      <c r="J358" s="323"/>
      <c r="K358" s="323"/>
      <c r="L358" s="323"/>
      <c r="M358" s="323"/>
      <c r="N358" s="323"/>
      <c r="O358" s="323"/>
    </row>
    <row r="359" spans="1:15" x14ac:dyDescent="0.2">
      <c r="A359" s="286"/>
      <c r="B359" s="285"/>
      <c r="C359" s="285"/>
      <c r="D359" s="285"/>
      <c r="E359" s="285"/>
      <c r="F359" s="284"/>
      <c r="G359" s="323" t="str">
        <f>IF(B359="","",VLOOKUP(IF((B359-F359)*10&lt;-10,-10,IF((B359-F359)*10&gt;10,10,(B359-F359)*10)),'Rank Progression'!$K$2:$L$22,2,FALSE))</f>
        <v/>
      </c>
      <c r="I359" s="323"/>
      <c r="J359" s="323"/>
      <c r="K359" s="323"/>
      <c r="L359" s="323"/>
      <c r="M359" s="323"/>
      <c r="N359" s="323"/>
      <c r="O359" s="323"/>
    </row>
    <row r="360" spans="1:15" x14ac:dyDescent="0.2">
      <c r="A360" s="286"/>
      <c r="B360" s="285"/>
      <c r="C360" s="285"/>
      <c r="D360" s="285"/>
      <c r="E360" s="285"/>
      <c r="F360" s="284"/>
      <c r="G360" s="323" t="str">
        <f>IF(B360="","",VLOOKUP(IF((B360-F360)*10&lt;-10,-10,IF((B360-F360)*10&gt;10,10,(B360-F360)*10)),'Rank Progression'!$K$2:$L$22,2,FALSE))</f>
        <v/>
      </c>
      <c r="I360" s="323"/>
      <c r="J360" s="323"/>
      <c r="K360" s="323"/>
      <c r="L360" s="323"/>
      <c r="M360" s="323"/>
      <c r="N360" s="323"/>
      <c r="O360" s="323"/>
    </row>
    <row r="361" spans="1:15" x14ac:dyDescent="0.2">
      <c r="A361" s="286"/>
      <c r="B361" s="285"/>
      <c r="C361" s="285"/>
      <c r="D361" s="285"/>
      <c r="E361" s="285"/>
      <c r="F361" s="284"/>
      <c r="G361" s="323" t="str">
        <f>IF(B361="","",VLOOKUP(IF((B361-F361)*10&lt;-10,-10,IF((B361-F361)*10&gt;10,10,(B361-F361)*10)),'Rank Progression'!$K$2:$L$22,2,FALSE))</f>
        <v/>
      </c>
      <c r="I361" s="323"/>
      <c r="J361" s="323"/>
      <c r="K361" s="323"/>
      <c r="L361" s="323"/>
      <c r="M361" s="323"/>
      <c r="N361" s="323"/>
      <c r="O361" s="323"/>
    </row>
    <row r="362" spans="1:15" x14ac:dyDescent="0.2">
      <c r="A362" s="286"/>
      <c r="B362" s="285"/>
      <c r="C362" s="285"/>
      <c r="D362" s="285"/>
      <c r="E362" s="285"/>
      <c r="F362" s="284"/>
      <c r="G362" s="323" t="str">
        <f>IF(B362="","",VLOOKUP(IF((B362-F362)*10&lt;-10,-10,IF((B362-F362)*10&gt;10,10,(B362-F362)*10)),'Rank Progression'!$K$2:$L$22,2,FALSE))</f>
        <v/>
      </c>
      <c r="I362" s="323"/>
      <c r="J362" s="323"/>
      <c r="K362" s="323"/>
      <c r="L362" s="323"/>
      <c r="M362" s="323"/>
      <c r="N362" s="323"/>
      <c r="O362" s="323"/>
    </row>
    <row r="363" spans="1:15" x14ac:dyDescent="0.2">
      <c r="A363" s="286"/>
      <c r="B363" s="285"/>
      <c r="C363" s="285"/>
      <c r="D363" s="285"/>
      <c r="E363" s="285"/>
      <c r="F363" s="284"/>
      <c r="G363" s="323" t="str">
        <f>IF(B363="","",VLOOKUP(IF((B363-F363)*10&lt;-10,-10,IF((B363-F363)*10&gt;10,10,(B363-F363)*10)),'Rank Progression'!$K$2:$L$22,2,FALSE))</f>
        <v/>
      </c>
      <c r="I363" s="323"/>
      <c r="J363" s="323"/>
      <c r="K363" s="323"/>
      <c r="L363" s="323"/>
      <c r="M363" s="323"/>
      <c r="N363" s="323"/>
      <c r="O363" s="323"/>
    </row>
    <row r="364" spans="1:15" x14ac:dyDescent="0.2">
      <c r="A364" s="286"/>
      <c r="B364" s="285"/>
      <c r="C364" s="285"/>
      <c r="D364" s="285"/>
      <c r="E364" s="285"/>
      <c r="F364" s="284"/>
      <c r="G364" s="323" t="str">
        <f>IF(B364="","",VLOOKUP(IF((B364-F364)*10&lt;-10,-10,IF((B364-F364)*10&gt;10,10,(B364-F364)*10)),'Rank Progression'!$K$2:$L$22,2,FALSE))</f>
        <v/>
      </c>
      <c r="I364" s="323"/>
      <c r="J364" s="323"/>
      <c r="K364" s="323"/>
      <c r="L364" s="323"/>
      <c r="M364" s="323"/>
      <c r="N364" s="323"/>
      <c r="O364" s="323"/>
    </row>
    <row r="365" spans="1:15" x14ac:dyDescent="0.2">
      <c r="A365" s="286"/>
      <c r="B365" s="285"/>
      <c r="C365" s="285"/>
      <c r="D365" s="285"/>
      <c r="E365" s="285"/>
      <c r="F365" s="284"/>
      <c r="G365" s="323" t="str">
        <f>IF(B365="","",VLOOKUP(IF((B365-F365)*10&lt;-10,-10,IF((B365-F365)*10&gt;10,10,(B365-F365)*10)),'Rank Progression'!$K$2:$L$22,2,FALSE))</f>
        <v/>
      </c>
      <c r="I365" s="323"/>
      <c r="J365" s="323"/>
      <c r="K365" s="323"/>
      <c r="L365" s="323"/>
      <c r="M365" s="323"/>
      <c r="N365" s="323"/>
      <c r="O365" s="323"/>
    </row>
    <row r="366" spans="1:15" x14ac:dyDescent="0.2">
      <c r="A366" s="286"/>
      <c r="B366" s="285"/>
      <c r="C366" s="285"/>
      <c r="D366" s="285"/>
      <c r="E366" s="285"/>
      <c r="F366" s="284"/>
      <c r="G366" s="323" t="str">
        <f>IF(B366="","",VLOOKUP(IF((B366-F366)*10&lt;-10,-10,IF((B366-F366)*10&gt;10,10,(B366-F366)*10)),'Rank Progression'!$K$2:$L$22,2,FALSE))</f>
        <v/>
      </c>
      <c r="I366" s="323"/>
      <c r="J366" s="323"/>
      <c r="K366" s="323"/>
      <c r="L366" s="323"/>
      <c r="M366" s="323"/>
      <c r="N366" s="323"/>
      <c r="O366" s="323"/>
    </row>
    <row r="367" spans="1:15" x14ac:dyDescent="0.2">
      <c r="A367" s="286"/>
      <c r="B367" s="285"/>
      <c r="C367" s="285"/>
      <c r="D367" s="285"/>
      <c r="E367" s="285"/>
      <c r="F367" s="284"/>
      <c r="G367" s="323" t="str">
        <f>IF(B367="","",VLOOKUP(IF((B367-F367)*10&lt;-10,-10,IF((B367-F367)*10&gt;10,10,(B367-F367)*10)),'Rank Progression'!$K$2:$L$22,2,FALSE))</f>
        <v/>
      </c>
      <c r="I367" s="323"/>
      <c r="J367" s="323"/>
      <c r="K367" s="323"/>
      <c r="L367" s="323"/>
      <c r="M367" s="323"/>
      <c r="N367" s="323"/>
      <c r="O367" s="323"/>
    </row>
    <row r="368" spans="1:15" x14ac:dyDescent="0.2">
      <c r="A368" s="286"/>
      <c r="B368" s="285"/>
      <c r="C368" s="285"/>
      <c r="D368" s="285"/>
      <c r="E368" s="285"/>
      <c r="F368" s="284"/>
      <c r="G368" s="323" t="str">
        <f>IF(B368="","",VLOOKUP(IF((B368-F368)*10&lt;-10,-10,IF((B368-F368)*10&gt;10,10,(B368-F368)*10)),'Rank Progression'!$K$2:$L$22,2,FALSE))</f>
        <v/>
      </c>
      <c r="I368" s="323"/>
      <c r="J368" s="323"/>
      <c r="K368" s="323"/>
      <c r="L368" s="323"/>
      <c r="M368" s="323"/>
      <c r="N368" s="323"/>
      <c r="O368" s="323"/>
    </row>
    <row r="369" spans="1:15" x14ac:dyDescent="0.2">
      <c r="A369" s="286"/>
      <c r="B369" s="285"/>
      <c r="C369" s="285"/>
      <c r="D369" s="285"/>
      <c r="E369" s="285"/>
      <c r="F369" s="284"/>
      <c r="G369" s="323" t="str">
        <f>IF(B369="","",VLOOKUP(IF((B369-F369)*10&lt;-10,-10,IF((B369-F369)*10&gt;10,10,(B369-F369)*10)),'Rank Progression'!$K$2:$L$22,2,FALSE))</f>
        <v/>
      </c>
      <c r="I369" s="323"/>
      <c r="J369" s="323"/>
      <c r="K369" s="323"/>
      <c r="L369" s="323"/>
      <c r="M369" s="323"/>
      <c r="N369" s="323"/>
      <c r="O369" s="323"/>
    </row>
    <row r="370" spans="1:15" x14ac:dyDescent="0.2">
      <c r="A370" s="286"/>
      <c r="B370" s="285"/>
      <c r="C370" s="285"/>
      <c r="D370" s="285"/>
      <c r="E370" s="285"/>
      <c r="F370" s="284"/>
      <c r="G370" s="323" t="str">
        <f>IF(B370="","",VLOOKUP(IF((B370-F370)*10&lt;-10,-10,IF((B370-F370)*10&gt;10,10,(B370-F370)*10)),'Rank Progression'!$K$2:$L$22,2,FALSE))</f>
        <v/>
      </c>
      <c r="I370" s="323"/>
      <c r="J370" s="323"/>
      <c r="K370" s="323"/>
      <c r="L370" s="323"/>
      <c r="M370" s="323"/>
      <c r="N370" s="323"/>
      <c r="O370" s="323"/>
    </row>
    <row r="371" spans="1:15" x14ac:dyDescent="0.2">
      <c r="A371" s="286"/>
      <c r="B371" s="285"/>
      <c r="C371" s="285"/>
      <c r="D371" s="285"/>
      <c r="E371" s="285"/>
      <c r="F371" s="284"/>
      <c r="G371" s="323" t="str">
        <f>IF(B371="","",VLOOKUP(IF((B371-F371)*10&lt;-10,-10,IF((B371-F371)*10&gt;10,10,(B371-F371)*10)),'Rank Progression'!$K$2:$L$22,2,FALSE))</f>
        <v/>
      </c>
      <c r="I371" s="323"/>
      <c r="J371" s="323"/>
      <c r="K371" s="323"/>
      <c r="L371" s="323"/>
      <c r="M371" s="323"/>
      <c r="N371" s="323"/>
      <c r="O371" s="323"/>
    </row>
    <row r="372" spans="1:15" x14ac:dyDescent="0.2">
      <c r="A372" s="286"/>
      <c r="B372" s="285"/>
      <c r="C372" s="285"/>
      <c r="D372" s="285"/>
      <c r="E372" s="285"/>
      <c r="F372" s="284"/>
      <c r="G372" s="323" t="str">
        <f>IF(B372="","",VLOOKUP(IF((B372-F372)*10&lt;-10,-10,IF((B372-F372)*10&gt;10,10,(B372-F372)*10)),'Rank Progression'!$K$2:$L$22,2,FALSE))</f>
        <v/>
      </c>
      <c r="I372" s="323"/>
      <c r="J372" s="323"/>
      <c r="K372" s="323"/>
      <c r="L372" s="323"/>
      <c r="M372" s="323"/>
      <c r="N372" s="323"/>
      <c r="O372" s="323"/>
    </row>
    <row r="373" spans="1:15" x14ac:dyDescent="0.2">
      <c r="A373" s="286"/>
      <c r="B373" s="285"/>
      <c r="C373" s="285"/>
      <c r="D373" s="285"/>
      <c r="E373" s="285"/>
      <c r="F373" s="284"/>
      <c r="G373" s="323" t="str">
        <f>IF(B373="","",VLOOKUP(IF((B373-F373)*10&lt;-10,-10,IF((B373-F373)*10&gt;10,10,(B373-F373)*10)),'Rank Progression'!$K$2:$L$22,2,FALSE))</f>
        <v/>
      </c>
      <c r="I373" s="323"/>
      <c r="J373" s="323"/>
      <c r="K373" s="323"/>
      <c r="L373" s="323"/>
      <c r="M373" s="323"/>
      <c r="N373" s="323"/>
      <c r="O373" s="323"/>
    </row>
    <row r="374" spans="1:15" x14ac:dyDescent="0.2">
      <c r="A374" s="286"/>
      <c r="B374" s="285"/>
      <c r="C374" s="285"/>
      <c r="D374" s="285"/>
      <c r="E374" s="285"/>
      <c r="F374" s="284"/>
      <c r="G374" s="323" t="str">
        <f>IF(B374="","",VLOOKUP(IF((B374-F374)*10&lt;-10,-10,IF((B374-F374)*10&gt;10,10,(B374-F374)*10)),'Rank Progression'!$K$2:$L$22,2,FALSE))</f>
        <v/>
      </c>
      <c r="I374" s="323"/>
      <c r="J374" s="323"/>
      <c r="K374" s="323"/>
      <c r="L374" s="323"/>
      <c r="M374" s="323"/>
      <c r="N374" s="323"/>
      <c r="O374" s="323"/>
    </row>
    <row r="375" spans="1:15" x14ac:dyDescent="0.2">
      <c r="A375" s="286"/>
      <c r="B375" s="285"/>
      <c r="C375" s="285"/>
      <c r="D375" s="285"/>
      <c r="E375" s="285"/>
      <c r="F375" s="284"/>
      <c r="G375" s="323" t="str">
        <f>IF(B375="","",VLOOKUP(IF((B375-F375)*10&lt;-10,-10,IF((B375-F375)*10&gt;10,10,(B375-F375)*10)),'Rank Progression'!$K$2:$L$22,2,FALSE))</f>
        <v/>
      </c>
      <c r="I375" s="323"/>
      <c r="J375" s="323"/>
      <c r="K375" s="323"/>
      <c r="L375" s="323"/>
      <c r="M375" s="323"/>
      <c r="N375" s="323"/>
      <c r="O375" s="323"/>
    </row>
    <row r="376" spans="1:15" x14ac:dyDescent="0.2">
      <c r="A376" s="286"/>
      <c r="B376" s="285"/>
      <c r="C376" s="285"/>
      <c r="D376" s="285"/>
      <c r="E376" s="285"/>
      <c r="F376" s="284"/>
      <c r="G376" s="323" t="str">
        <f>IF(B376="","",VLOOKUP(IF((B376-F376)*10&lt;-10,-10,IF((B376-F376)*10&gt;10,10,(B376-F376)*10)),'Rank Progression'!$K$2:$L$22,2,FALSE))</f>
        <v/>
      </c>
      <c r="I376" s="323"/>
      <c r="J376" s="323"/>
      <c r="K376" s="323"/>
      <c r="L376" s="323"/>
      <c r="M376" s="323"/>
      <c r="N376" s="323"/>
      <c r="O376" s="323"/>
    </row>
    <row r="377" spans="1:15" x14ac:dyDescent="0.2">
      <c r="A377" s="286"/>
      <c r="B377" s="285"/>
      <c r="C377" s="285"/>
      <c r="D377" s="285"/>
      <c r="E377" s="285"/>
      <c r="F377" s="284"/>
      <c r="G377" s="323" t="str">
        <f>IF(B377="","",VLOOKUP(IF((B377-F377)*10&lt;-10,-10,IF((B377-F377)*10&gt;10,10,(B377-F377)*10)),'Rank Progression'!$K$2:$L$22,2,FALSE))</f>
        <v/>
      </c>
      <c r="I377" s="323"/>
      <c r="J377" s="323"/>
      <c r="K377" s="323"/>
      <c r="L377" s="323"/>
      <c r="M377" s="323"/>
      <c r="N377" s="323"/>
      <c r="O377" s="323"/>
    </row>
    <row r="378" spans="1:15" x14ac:dyDescent="0.2">
      <c r="A378" s="286"/>
      <c r="B378" s="285"/>
      <c r="C378" s="285"/>
      <c r="D378" s="285"/>
      <c r="E378" s="285"/>
      <c r="F378" s="284"/>
      <c r="G378" s="323" t="str">
        <f>IF(B378="","",VLOOKUP(IF((B378-F378)*10&lt;-10,-10,IF((B378-F378)*10&gt;10,10,(B378-F378)*10)),'Rank Progression'!$K$2:$L$22,2,FALSE))</f>
        <v/>
      </c>
      <c r="I378" s="323"/>
      <c r="J378" s="323"/>
      <c r="K378" s="323"/>
      <c r="L378" s="323"/>
      <c r="M378" s="323"/>
      <c r="N378" s="323"/>
      <c r="O378" s="323"/>
    </row>
    <row r="379" spans="1:15" x14ac:dyDescent="0.2">
      <c r="A379" s="286"/>
      <c r="B379" s="285"/>
      <c r="C379" s="285"/>
      <c r="D379" s="285"/>
      <c r="E379" s="285"/>
      <c r="F379" s="284"/>
      <c r="G379" s="323" t="str">
        <f>IF(B379="","",VLOOKUP(IF((B379-F379)*10&lt;-10,-10,IF((B379-F379)*10&gt;10,10,(B379-F379)*10)),'Rank Progression'!$K$2:$L$22,2,FALSE))</f>
        <v/>
      </c>
      <c r="I379" s="323"/>
      <c r="J379" s="323"/>
      <c r="K379" s="323"/>
      <c r="L379" s="323"/>
      <c r="M379" s="323"/>
      <c r="N379" s="323"/>
      <c r="O379" s="323"/>
    </row>
    <row r="380" spans="1:15" x14ac:dyDescent="0.2">
      <c r="A380" s="286"/>
      <c r="B380" s="285"/>
      <c r="C380" s="285"/>
      <c r="D380" s="285"/>
      <c r="E380" s="285"/>
      <c r="F380" s="284"/>
      <c r="G380" s="323" t="str">
        <f>IF(B380="","",VLOOKUP(IF((B380-F380)*10&lt;-10,-10,IF((B380-F380)*10&gt;10,10,(B380-F380)*10)),'Rank Progression'!$K$2:$L$22,2,FALSE))</f>
        <v/>
      </c>
      <c r="I380" s="323"/>
      <c r="J380" s="323"/>
      <c r="K380" s="323"/>
      <c r="L380" s="323"/>
      <c r="M380" s="323"/>
      <c r="N380" s="323"/>
      <c r="O380" s="323"/>
    </row>
    <row r="381" spans="1:15" x14ac:dyDescent="0.2">
      <c r="A381" s="286"/>
      <c r="B381" s="285"/>
      <c r="C381" s="285"/>
      <c r="D381" s="285"/>
      <c r="E381" s="285"/>
      <c r="F381" s="284"/>
      <c r="G381" s="323" t="str">
        <f>IF(B381="","",VLOOKUP(IF((B381-F381)*10&lt;-10,-10,IF((B381-F381)*10&gt;10,10,(B381-F381)*10)),'Rank Progression'!$K$2:$L$22,2,FALSE))</f>
        <v/>
      </c>
      <c r="I381" s="323"/>
      <c r="J381" s="323"/>
      <c r="K381" s="323"/>
      <c r="L381" s="323"/>
      <c r="M381" s="323"/>
      <c r="N381" s="323"/>
      <c r="O381" s="323"/>
    </row>
    <row r="382" spans="1:15" x14ac:dyDescent="0.2">
      <c r="A382" s="286"/>
      <c r="B382" s="285"/>
      <c r="C382" s="285"/>
      <c r="D382" s="285"/>
      <c r="E382" s="285"/>
      <c r="F382" s="284"/>
      <c r="G382" s="323" t="str">
        <f>IF(B382="","",VLOOKUP(IF((B382-F382)*10&lt;-10,-10,IF((B382-F382)*10&gt;10,10,(B382-F382)*10)),'Rank Progression'!$K$2:$L$22,2,FALSE))</f>
        <v/>
      </c>
      <c r="I382" s="323"/>
      <c r="J382" s="323"/>
      <c r="K382" s="323"/>
      <c r="L382" s="323"/>
      <c r="M382" s="323"/>
      <c r="N382" s="323"/>
      <c r="O382" s="323"/>
    </row>
    <row r="383" spans="1:15" x14ac:dyDescent="0.2">
      <c r="A383" s="286"/>
      <c r="B383" s="285"/>
      <c r="C383" s="285"/>
      <c r="D383" s="285"/>
      <c r="E383" s="285"/>
      <c r="F383" s="284"/>
      <c r="G383" s="323" t="str">
        <f>IF(B383="","",VLOOKUP(IF((B383-F383)*10&lt;-10,-10,IF((B383-F383)*10&gt;10,10,(B383-F383)*10)),'Rank Progression'!$K$2:$L$22,2,FALSE))</f>
        <v/>
      </c>
      <c r="I383" s="323"/>
      <c r="J383" s="323"/>
      <c r="K383" s="323"/>
      <c r="L383" s="323"/>
      <c r="M383" s="323"/>
      <c r="N383" s="323"/>
      <c r="O383" s="323"/>
    </row>
    <row r="384" spans="1:15" x14ac:dyDescent="0.2">
      <c r="A384" s="286"/>
      <c r="B384" s="285"/>
      <c r="C384" s="285"/>
      <c r="D384" s="285"/>
      <c r="E384" s="285"/>
      <c r="F384" s="284"/>
      <c r="G384" s="323" t="str">
        <f>IF(B384="","",VLOOKUP(IF((B384-F384)*10&lt;-10,-10,IF((B384-F384)*10&gt;10,10,(B384-F384)*10)),'Rank Progression'!$K$2:$L$22,2,FALSE))</f>
        <v/>
      </c>
      <c r="I384" s="323"/>
      <c r="J384" s="323"/>
      <c r="K384" s="323"/>
      <c r="L384" s="323"/>
      <c r="M384" s="323"/>
      <c r="N384" s="323"/>
      <c r="O384" s="323"/>
    </row>
    <row r="385" spans="1:15" x14ac:dyDescent="0.2">
      <c r="A385" s="286"/>
      <c r="B385" s="285"/>
      <c r="C385" s="285"/>
      <c r="D385" s="285"/>
      <c r="E385" s="285"/>
      <c r="F385" s="284"/>
      <c r="G385" s="323" t="str">
        <f>IF(B385="","",VLOOKUP(IF((B385-F385)*10&lt;-10,-10,IF((B385-F385)*10&gt;10,10,(B385-F385)*10)),'Rank Progression'!$K$2:$L$22,2,FALSE))</f>
        <v/>
      </c>
      <c r="I385" s="323"/>
      <c r="J385" s="323"/>
      <c r="K385" s="323"/>
      <c r="L385" s="323"/>
      <c r="M385" s="323"/>
      <c r="N385" s="323"/>
      <c r="O385" s="323"/>
    </row>
    <row r="386" spans="1:15" x14ac:dyDescent="0.2">
      <c r="A386" s="286"/>
      <c r="B386" s="285"/>
      <c r="C386" s="285"/>
      <c r="D386" s="285"/>
      <c r="E386" s="285"/>
      <c r="F386" s="284"/>
      <c r="G386" s="323" t="str">
        <f>IF(B386="","",VLOOKUP(IF((B386-F386)*10&lt;-10,-10,IF((B386-F386)*10&gt;10,10,(B386-F386)*10)),'Rank Progression'!$K$2:$L$22,2,FALSE))</f>
        <v/>
      </c>
      <c r="I386" s="323"/>
      <c r="J386" s="323"/>
      <c r="K386" s="323"/>
      <c r="L386" s="323"/>
      <c r="M386" s="323"/>
      <c r="N386" s="323"/>
      <c r="O386" s="323"/>
    </row>
    <row r="387" spans="1:15" x14ac:dyDescent="0.2">
      <c r="A387" s="286"/>
      <c r="B387" s="285"/>
      <c r="C387" s="285"/>
      <c r="D387" s="285"/>
      <c r="E387" s="285"/>
      <c r="F387" s="284"/>
      <c r="G387" s="323" t="str">
        <f>IF(B387="","",VLOOKUP(IF((B387-F387)*10&lt;-10,-10,IF((B387-F387)*10&gt;10,10,(B387-F387)*10)),'Rank Progression'!$K$2:$L$22,2,FALSE))</f>
        <v/>
      </c>
      <c r="I387" s="323"/>
      <c r="J387" s="323"/>
      <c r="K387" s="323"/>
      <c r="L387" s="323"/>
      <c r="M387" s="323"/>
      <c r="N387" s="323"/>
      <c r="O387" s="323"/>
    </row>
    <row r="388" spans="1:15" x14ac:dyDescent="0.2">
      <c r="A388" s="286"/>
      <c r="B388" s="285"/>
      <c r="C388" s="285"/>
      <c r="D388" s="285"/>
      <c r="E388" s="285"/>
      <c r="F388" s="284"/>
      <c r="G388" s="323" t="str">
        <f>IF(B388="","",VLOOKUP(IF((B388-F388)*10&lt;-10,-10,IF((B388-F388)*10&gt;10,10,(B388-F388)*10)),'Rank Progression'!$K$2:$L$22,2,FALSE))</f>
        <v/>
      </c>
      <c r="I388" s="323"/>
      <c r="J388" s="323"/>
      <c r="K388" s="323"/>
      <c r="L388" s="323"/>
      <c r="M388" s="323"/>
      <c r="N388" s="323"/>
      <c r="O388" s="323"/>
    </row>
    <row r="389" spans="1:15" x14ac:dyDescent="0.2">
      <c r="A389" s="286"/>
      <c r="B389" s="285"/>
      <c r="C389" s="285"/>
      <c r="D389" s="285"/>
      <c r="E389" s="285"/>
      <c r="F389" s="284"/>
      <c r="G389" s="323" t="str">
        <f>IF(B389="","",VLOOKUP(IF((B389-F389)*10&lt;-10,-10,IF((B389-F389)*10&gt;10,10,(B389-F389)*10)),'Rank Progression'!$K$2:$L$22,2,FALSE))</f>
        <v/>
      </c>
      <c r="I389" s="323"/>
      <c r="J389" s="323"/>
      <c r="K389" s="323"/>
      <c r="L389" s="323"/>
      <c r="M389" s="323"/>
      <c r="N389" s="323"/>
      <c r="O389" s="323"/>
    </row>
    <row r="390" spans="1:15" x14ac:dyDescent="0.2">
      <c r="A390" s="286"/>
      <c r="B390" s="285"/>
      <c r="C390" s="285"/>
      <c r="D390" s="285"/>
      <c r="E390" s="285"/>
      <c r="F390" s="284"/>
      <c r="G390" s="323" t="str">
        <f>IF(B390="","",VLOOKUP(IF((B390-F390)*10&lt;-10,-10,IF((B390-F390)*10&gt;10,10,(B390-F390)*10)),'Rank Progression'!$K$2:$L$22,2,FALSE))</f>
        <v/>
      </c>
      <c r="I390" s="323"/>
      <c r="J390" s="323"/>
      <c r="K390" s="323"/>
      <c r="L390" s="323"/>
      <c r="M390" s="323"/>
      <c r="N390" s="323"/>
      <c r="O390" s="323"/>
    </row>
    <row r="391" spans="1:15" x14ac:dyDescent="0.2">
      <c r="A391" s="286"/>
      <c r="B391" s="285"/>
      <c r="C391" s="285"/>
      <c r="D391" s="285"/>
      <c r="E391" s="285"/>
      <c r="F391" s="284"/>
      <c r="G391" s="323" t="str">
        <f>IF(B391="","",VLOOKUP(IF((B391-F391)*10&lt;-10,-10,IF((B391-F391)*10&gt;10,10,(B391-F391)*10)),'Rank Progression'!$K$2:$L$22,2,FALSE))</f>
        <v/>
      </c>
      <c r="I391" s="323"/>
      <c r="J391" s="323"/>
      <c r="K391" s="323"/>
      <c r="L391" s="323"/>
      <c r="M391" s="323"/>
      <c r="N391" s="323"/>
      <c r="O391" s="323"/>
    </row>
    <row r="392" spans="1:15" x14ac:dyDescent="0.2">
      <c r="A392" s="286"/>
      <c r="B392" s="285"/>
      <c r="C392" s="285"/>
      <c r="D392" s="285"/>
      <c r="E392" s="285"/>
      <c r="F392" s="284"/>
      <c r="G392" s="323" t="str">
        <f>IF(B392="","",VLOOKUP(IF((B392-F392)*10&lt;-10,-10,IF((B392-F392)*10&gt;10,10,(B392-F392)*10)),'Rank Progression'!$K$2:$L$22,2,FALSE))</f>
        <v/>
      </c>
      <c r="I392" s="323"/>
      <c r="J392" s="323"/>
      <c r="K392" s="323"/>
      <c r="L392" s="323"/>
      <c r="M392" s="323"/>
      <c r="N392" s="323"/>
      <c r="O392" s="323"/>
    </row>
    <row r="393" spans="1:15" x14ac:dyDescent="0.2">
      <c r="A393" s="286"/>
      <c r="B393" s="285"/>
      <c r="C393" s="285"/>
      <c r="D393" s="285"/>
      <c r="E393" s="285"/>
      <c r="F393" s="284"/>
      <c r="G393" s="323" t="str">
        <f>IF(B393="","",VLOOKUP(IF((B393-F393)*10&lt;-10,-10,IF((B393-F393)*10&gt;10,10,(B393-F393)*10)),'Rank Progression'!$K$2:$L$22,2,FALSE))</f>
        <v/>
      </c>
      <c r="I393" s="323"/>
      <c r="J393" s="323"/>
      <c r="K393" s="323"/>
      <c r="L393" s="323"/>
      <c r="M393" s="323"/>
      <c r="N393" s="323"/>
      <c r="O393" s="323"/>
    </row>
    <row r="394" spans="1:15" x14ac:dyDescent="0.2">
      <c r="A394" s="286"/>
      <c r="B394" s="285"/>
      <c r="C394" s="285"/>
      <c r="D394" s="285"/>
      <c r="E394" s="285"/>
      <c r="F394" s="284"/>
      <c r="G394" s="323" t="str">
        <f>IF(B394="","",VLOOKUP(IF((B394-F394)*10&lt;-10,-10,IF((B394-F394)*10&gt;10,10,(B394-F394)*10)),'Rank Progression'!$K$2:$L$22,2,FALSE))</f>
        <v/>
      </c>
      <c r="I394" s="323"/>
      <c r="J394" s="323"/>
      <c r="K394" s="323"/>
      <c r="L394" s="323"/>
      <c r="M394" s="323"/>
      <c r="N394" s="323"/>
      <c r="O394" s="323"/>
    </row>
    <row r="395" spans="1:15" x14ac:dyDescent="0.2">
      <c r="A395" s="286"/>
      <c r="B395" s="285"/>
      <c r="C395" s="285"/>
      <c r="D395" s="285"/>
      <c r="E395" s="285"/>
      <c r="F395" s="284"/>
      <c r="G395" s="323" t="str">
        <f>IF(B395="","",VLOOKUP(IF((B395-F395)*10&lt;-10,-10,IF((B395-F395)*10&gt;10,10,(B395-F395)*10)),'Rank Progression'!$K$2:$L$22,2,FALSE))</f>
        <v/>
      </c>
      <c r="I395" s="323"/>
      <c r="J395" s="323"/>
      <c r="K395" s="323"/>
      <c r="L395" s="323"/>
      <c r="M395" s="323"/>
      <c r="N395" s="323"/>
      <c r="O395" s="323"/>
    </row>
    <row r="396" spans="1:15" x14ac:dyDescent="0.2">
      <c r="A396" s="286"/>
      <c r="B396" s="285"/>
      <c r="C396" s="285"/>
      <c r="D396" s="285"/>
      <c r="E396" s="285"/>
      <c r="F396" s="284"/>
      <c r="G396" s="323" t="str">
        <f>IF(B396="","",VLOOKUP(IF((B396-F396)*10&lt;-10,-10,IF((B396-F396)*10&gt;10,10,(B396-F396)*10)),'Rank Progression'!$K$2:$L$22,2,FALSE))</f>
        <v/>
      </c>
      <c r="I396" s="323"/>
      <c r="J396" s="323"/>
      <c r="K396" s="323"/>
      <c r="L396" s="323"/>
      <c r="M396" s="323"/>
      <c r="N396" s="323"/>
      <c r="O396" s="323"/>
    </row>
    <row r="397" spans="1:15" x14ac:dyDescent="0.2">
      <c r="A397" s="286"/>
      <c r="B397" s="285"/>
      <c r="C397" s="285"/>
      <c r="D397" s="285"/>
      <c r="E397" s="285"/>
      <c r="F397" s="284"/>
      <c r="G397" s="323" t="str">
        <f>IF(B397="","",VLOOKUP(IF((B397-F397)*10&lt;-10,-10,IF((B397-F397)*10&gt;10,10,(B397-F397)*10)),'Rank Progression'!$K$2:$L$22,2,FALSE))</f>
        <v/>
      </c>
      <c r="I397" s="323"/>
      <c r="J397" s="323"/>
      <c r="K397" s="323"/>
      <c r="L397" s="323"/>
      <c r="M397" s="323"/>
      <c r="N397" s="323"/>
      <c r="O397" s="323"/>
    </row>
    <row r="398" spans="1:15" x14ac:dyDescent="0.2">
      <c r="A398" s="286"/>
      <c r="B398" s="285"/>
      <c r="C398" s="285"/>
      <c r="D398" s="285"/>
      <c r="E398" s="285"/>
      <c r="F398" s="284"/>
      <c r="G398" s="323" t="str">
        <f>IF(B398="","",VLOOKUP(IF((B398-F398)*10&lt;-10,-10,IF((B398-F398)*10&gt;10,10,(B398-F398)*10)),'Rank Progression'!$K$2:$L$22,2,FALSE))</f>
        <v/>
      </c>
      <c r="I398" s="323"/>
      <c r="J398" s="323"/>
      <c r="K398" s="323"/>
      <c r="L398" s="323"/>
      <c r="M398" s="323"/>
      <c r="N398" s="323"/>
      <c r="O398" s="323"/>
    </row>
    <row r="399" spans="1:15" x14ac:dyDescent="0.2">
      <c r="A399" s="286"/>
      <c r="B399" s="285"/>
      <c r="C399" s="285"/>
      <c r="D399" s="285"/>
      <c r="E399" s="285"/>
      <c r="F399" s="284"/>
      <c r="G399" s="323" t="str">
        <f>IF(B399="","",VLOOKUP(IF((B399-F399)*10&lt;-10,-10,IF((B399-F399)*10&gt;10,10,(B399-F399)*10)),'Rank Progression'!$K$2:$L$22,2,FALSE))</f>
        <v/>
      </c>
      <c r="I399" s="323"/>
      <c r="J399" s="323"/>
      <c r="K399" s="323"/>
      <c r="L399" s="323"/>
      <c r="M399" s="323"/>
      <c r="N399" s="323"/>
      <c r="O399" s="323"/>
    </row>
    <row r="400" spans="1:15" x14ac:dyDescent="0.2">
      <c r="A400" s="286"/>
      <c r="B400" s="285"/>
      <c r="C400" s="285"/>
      <c r="D400" s="285"/>
      <c r="E400" s="285"/>
      <c r="F400" s="284"/>
      <c r="G400" s="323" t="str">
        <f>IF(B400="","",VLOOKUP(IF((B400-F400)*10&lt;-10,-10,IF((B400-F400)*10&gt;10,10,(B400-F400)*10)),'Rank Progression'!$K$2:$L$22,2,FALSE))</f>
        <v/>
      </c>
      <c r="I400" s="323"/>
      <c r="J400" s="323"/>
      <c r="K400" s="323"/>
      <c r="L400" s="323"/>
      <c r="M400" s="323"/>
      <c r="N400" s="323"/>
      <c r="O400" s="323"/>
    </row>
    <row r="401" spans="1:15" x14ac:dyDescent="0.2">
      <c r="A401" s="286"/>
      <c r="B401" s="285"/>
      <c r="C401" s="285"/>
      <c r="D401" s="285"/>
      <c r="E401" s="285"/>
      <c r="F401" s="284"/>
      <c r="G401" s="323" t="str">
        <f>IF(B401="","",VLOOKUP(IF((B401-F401)*10&lt;-10,-10,IF((B401-F401)*10&gt;10,10,(B401-F401)*10)),'Rank Progression'!$K$2:$L$22,2,FALSE))</f>
        <v/>
      </c>
      <c r="I401" s="323"/>
      <c r="J401" s="323"/>
      <c r="K401" s="323"/>
      <c r="L401" s="323"/>
      <c r="M401" s="323"/>
      <c r="N401" s="323"/>
      <c r="O401" s="323"/>
    </row>
    <row r="402" spans="1:15" x14ac:dyDescent="0.2">
      <c r="A402" s="286"/>
      <c r="B402" s="285"/>
      <c r="C402" s="285"/>
      <c r="D402" s="285"/>
      <c r="E402" s="285"/>
      <c r="F402" s="284"/>
      <c r="G402" s="323" t="str">
        <f>IF(B402="","",VLOOKUP(IF((B402-F402)*10&lt;-10,-10,IF((B402-F402)*10&gt;10,10,(B402-F402)*10)),'Rank Progression'!$K$2:$L$22,2,FALSE))</f>
        <v/>
      </c>
      <c r="I402" s="323"/>
      <c r="J402" s="323"/>
      <c r="K402" s="323"/>
      <c r="L402" s="323"/>
      <c r="M402" s="323"/>
      <c r="N402" s="323"/>
      <c r="O402" s="323"/>
    </row>
    <row r="403" spans="1:15" x14ac:dyDescent="0.2">
      <c r="A403" s="286"/>
      <c r="B403" s="285"/>
      <c r="C403" s="285"/>
      <c r="D403" s="285"/>
      <c r="E403" s="285"/>
      <c r="F403" s="284"/>
      <c r="G403" s="323" t="str">
        <f>IF(B403="","",VLOOKUP(IF((B403-F403)*10&lt;-10,-10,IF((B403-F403)*10&gt;10,10,(B403-F403)*10)),'Rank Progression'!$K$2:$L$22,2,FALSE))</f>
        <v/>
      </c>
      <c r="I403" s="323"/>
      <c r="J403" s="323"/>
      <c r="K403" s="323"/>
      <c r="L403" s="323"/>
      <c r="M403" s="323"/>
      <c r="N403" s="323"/>
      <c r="O403" s="323"/>
    </row>
    <row r="404" spans="1:15" x14ac:dyDescent="0.2">
      <c r="A404" s="286"/>
      <c r="B404" s="285"/>
      <c r="C404" s="285"/>
      <c r="D404" s="285"/>
      <c r="E404" s="285"/>
      <c r="F404" s="284"/>
      <c r="G404" s="323" t="str">
        <f>IF(B404="","",VLOOKUP(IF((B404-F404)*10&lt;-10,-10,IF((B404-F404)*10&gt;10,10,(B404-F404)*10)),'Rank Progression'!$K$2:$L$22,2,FALSE))</f>
        <v/>
      </c>
      <c r="I404" s="323"/>
      <c r="J404" s="323"/>
      <c r="K404" s="323"/>
      <c r="L404" s="323"/>
      <c r="M404" s="323"/>
      <c r="N404" s="323"/>
      <c r="O404" s="323"/>
    </row>
    <row r="405" spans="1:15" x14ac:dyDescent="0.2">
      <c r="A405" s="286"/>
      <c r="B405" s="285"/>
      <c r="C405" s="285"/>
      <c r="D405" s="285"/>
      <c r="E405" s="285"/>
      <c r="F405" s="284"/>
      <c r="G405" s="323" t="str">
        <f>IF(B405="","",VLOOKUP(IF((B405-F405)*10&lt;-10,-10,IF((B405-F405)*10&gt;10,10,(B405-F405)*10)),'Rank Progression'!$K$2:$L$22,2,FALSE))</f>
        <v/>
      </c>
      <c r="I405" s="323"/>
      <c r="J405" s="323"/>
      <c r="K405" s="323"/>
      <c r="L405" s="323"/>
      <c r="M405" s="323"/>
      <c r="N405" s="323"/>
      <c r="O405" s="323"/>
    </row>
    <row r="406" spans="1:15" x14ac:dyDescent="0.2">
      <c r="A406" s="286"/>
      <c r="B406" s="285"/>
      <c r="C406" s="285"/>
      <c r="D406" s="285"/>
      <c r="E406" s="285"/>
      <c r="F406" s="284"/>
      <c r="G406" s="323" t="str">
        <f>IF(B406="","",VLOOKUP(IF((B406-F406)*10&lt;-10,-10,IF((B406-F406)*10&gt;10,10,(B406-F406)*10)),'Rank Progression'!$K$2:$L$22,2,FALSE))</f>
        <v/>
      </c>
      <c r="I406" s="323"/>
      <c r="J406" s="323"/>
      <c r="K406" s="323"/>
      <c r="L406" s="323"/>
      <c r="M406" s="323"/>
      <c r="N406" s="323"/>
      <c r="O406" s="323"/>
    </row>
    <row r="407" spans="1:15" x14ac:dyDescent="0.2">
      <c r="A407" s="286"/>
      <c r="B407" s="285"/>
      <c r="C407" s="285"/>
      <c r="D407" s="285"/>
      <c r="E407" s="285"/>
      <c r="F407" s="284"/>
      <c r="G407" s="323" t="str">
        <f>IF(B407="","",VLOOKUP(IF((B407-F407)*10&lt;-10,-10,IF((B407-F407)*10&gt;10,10,(B407-F407)*10)),'Rank Progression'!$K$2:$L$22,2,FALSE))</f>
        <v/>
      </c>
      <c r="I407" s="323"/>
      <c r="J407" s="323"/>
      <c r="K407" s="323"/>
      <c r="L407" s="323"/>
      <c r="M407" s="323"/>
      <c r="N407" s="323"/>
      <c r="O407" s="323"/>
    </row>
    <row r="408" spans="1:15" x14ac:dyDescent="0.2">
      <c r="A408" s="286"/>
      <c r="B408" s="285"/>
      <c r="C408" s="285"/>
      <c r="D408" s="285"/>
      <c r="E408" s="285"/>
      <c r="F408" s="284"/>
      <c r="G408" s="323" t="str">
        <f>IF(B408="","",VLOOKUP(IF((B408-F408)*10&lt;-10,-10,IF((B408-F408)*10&gt;10,10,(B408-F408)*10)),'Rank Progression'!$K$2:$L$22,2,FALSE))</f>
        <v/>
      </c>
      <c r="I408" s="323"/>
      <c r="J408" s="323"/>
      <c r="K408" s="323"/>
      <c r="L408" s="323"/>
      <c r="M408" s="323"/>
      <c r="N408" s="323"/>
      <c r="O408" s="323"/>
    </row>
    <row r="409" spans="1:15" x14ac:dyDescent="0.2">
      <c r="A409" s="286"/>
      <c r="B409" s="285"/>
      <c r="C409" s="285"/>
      <c r="D409" s="285"/>
      <c r="E409" s="285"/>
      <c r="F409" s="284"/>
      <c r="G409" s="323" t="str">
        <f>IF(B409="","",VLOOKUP(IF((B409-F409)*10&lt;-10,-10,IF((B409-F409)*10&gt;10,10,(B409-F409)*10)),'Rank Progression'!$K$2:$L$22,2,FALSE))</f>
        <v/>
      </c>
      <c r="I409" s="323"/>
      <c r="J409" s="323"/>
      <c r="K409" s="323"/>
      <c r="L409" s="323"/>
      <c r="M409" s="323"/>
      <c r="N409" s="323"/>
      <c r="O409" s="323"/>
    </row>
    <row r="410" spans="1:15" x14ac:dyDescent="0.2">
      <c r="A410" s="286"/>
      <c r="B410" s="285"/>
      <c r="C410" s="285"/>
      <c r="D410" s="285"/>
      <c r="E410" s="285"/>
      <c r="F410" s="284"/>
      <c r="G410" s="323" t="str">
        <f>IF(B410="","",VLOOKUP(IF((B410-F410)*10&lt;-10,-10,IF((B410-F410)*10&gt;10,10,(B410-F410)*10)),'Rank Progression'!$K$2:$L$22,2,FALSE))</f>
        <v/>
      </c>
      <c r="I410" s="323"/>
      <c r="J410" s="323"/>
      <c r="K410" s="323"/>
      <c r="L410" s="323"/>
      <c r="M410" s="323"/>
      <c r="N410" s="323"/>
      <c r="O410" s="323"/>
    </row>
    <row r="411" spans="1:15" x14ac:dyDescent="0.2">
      <c r="A411" s="286"/>
      <c r="B411" s="285"/>
      <c r="C411" s="285"/>
      <c r="D411" s="285"/>
      <c r="E411" s="285"/>
      <c r="F411" s="284"/>
      <c r="G411" s="323" t="str">
        <f>IF(B411="","",VLOOKUP(IF((B411-F411)*10&lt;-10,-10,IF((B411-F411)*10&gt;10,10,(B411-F411)*10)),'Rank Progression'!$K$2:$L$22,2,FALSE))</f>
        <v/>
      </c>
      <c r="I411" s="323"/>
      <c r="J411" s="323"/>
      <c r="K411" s="323"/>
      <c r="L411" s="323"/>
      <c r="M411" s="323"/>
      <c r="N411" s="323"/>
      <c r="O411" s="323"/>
    </row>
    <row r="412" spans="1:15" x14ac:dyDescent="0.2">
      <c r="A412" s="286"/>
      <c r="B412" s="285"/>
      <c r="C412" s="285"/>
      <c r="D412" s="285"/>
      <c r="E412" s="285"/>
      <c r="F412" s="284"/>
      <c r="G412" s="323" t="str">
        <f>IF(B412="","",VLOOKUP(IF((B412-F412)*10&lt;-10,-10,IF((B412-F412)*10&gt;10,10,(B412-F412)*10)),'Rank Progression'!$K$2:$L$22,2,FALSE))</f>
        <v/>
      </c>
      <c r="I412" s="323"/>
      <c r="J412" s="323"/>
      <c r="K412" s="323"/>
      <c r="L412" s="323"/>
      <c r="M412" s="323"/>
      <c r="N412" s="323"/>
      <c r="O412" s="323"/>
    </row>
    <row r="413" spans="1:15" x14ac:dyDescent="0.2">
      <c r="A413" s="286"/>
      <c r="B413" s="285"/>
      <c r="C413" s="285"/>
      <c r="D413" s="285"/>
      <c r="E413" s="285"/>
      <c r="F413" s="284"/>
      <c r="G413" s="323" t="str">
        <f>IF(B413="","",VLOOKUP(IF((B413-F413)*10&lt;-10,-10,IF((B413-F413)*10&gt;10,10,(B413-F413)*10)),'Rank Progression'!$K$2:$L$22,2,FALSE))</f>
        <v/>
      </c>
      <c r="I413" s="323"/>
      <c r="J413" s="323"/>
      <c r="K413" s="323"/>
      <c r="L413" s="323"/>
      <c r="M413" s="323"/>
      <c r="N413" s="323"/>
      <c r="O413" s="323"/>
    </row>
    <row r="414" spans="1:15" x14ac:dyDescent="0.2">
      <c r="A414" s="286"/>
      <c r="B414" s="285"/>
      <c r="C414" s="285"/>
      <c r="D414" s="285"/>
      <c r="E414" s="285"/>
      <c r="F414" s="284"/>
      <c r="G414" s="323" t="str">
        <f>IF(B414="","",VLOOKUP(IF((B414-F414)*10&lt;-10,-10,IF((B414-F414)*10&gt;10,10,(B414-F414)*10)),'Rank Progression'!$K$2:$L$22,2,FALSE))</f>
        <v/>
      </c>
      <c r="I414" s="323"/>
      <c r="J414" s="323"/>
      <c r="K414" s="323"/>
      <c r="L414" s="323"/>
      <c r="M414" s="323"/>
      <c r="N414" s="323"/>
      <c r="O414" s="323"/>
    </row>
    <row r="415" spans="1:15" x14ac:dyDescent="0.2">
      <c r="A415" s="286"/>
      <c r="B415" s="285"/>
      <c r="C415" s="285"/>
      <c r="D415" s="285"/>
      <c r="E415" s="285"/>
      <c r="F415" s="284"/>
      <c r="G415" s="323" t="str">
        <f>IF(B415="","",VLOOKUP(IF((B415-F415)*10&lt;-10,-10,IF((B415-F415)*10&gt;10,10,(B415-F415)*10)),'Rank Progression'!$K$2:$L$22,2,FALSE))</f>
        <v/>
      </c>
      <c r="I415" s="323"/>
      <c r="J415" s="323"/>
      <c r="K415" s="323"/>
      <c r="L415" s="323"/>
      <c r="M415" s="323"/>
      <c r="N415" s="323"/>
      <c r="O415" s="323"/>
    </row>
    <row r="416" spans="1:15" x14ac:dyDescent="0.2">
      <c r="A416" s="286"/>
      <c r="B416" s="285"/>
      <c r="C416" s="285"/>
      <c r="D416" s="285"/>
      <c r="E416" s="285"/>
      <c r="F416" s="284"/>
      <c r="G416" s="323" t="str">
        <f>IF(B416="","",VLOOKUP(IF((B416-F416)*10&lt;-10,-10,IF((B416-F416)*10&gt;10,10,(B416-F416)*10)),'Rank Progression'!$K$2:$L$22,2,FALSE))</f>
        <v/>
      </c>
      <c r="I416" s="323"/>
      <c r="J416" s="323"/>
      <c r="K416" s="323"/>
      <c r="L416" s="323"/>
      <c r="M416" s="323"/>
      <c r="N416" s="323"/>
      <c r="O416" s="323"/>
    </row>
    <row r="417" spans="1:15" x14ac:dyDescent="0.2">
      <c r="A417" s="286"/>
      <c r="B417" s="285"/>
      <c r="C417" s="285"/>
      <c r="D417" s="285"/>
      <c r="E417" s="285"/>
      <c r="F417" s="284"/>
      <c r="G417" s="323" t="str">
        <f>IF(B417="","",VLOOKUP(IF((B417-F417)*10&lt;-10,-10,IF((B417-F417)*10&gt;10,10,(B417-F417)*10)),'Rank Progression'!$K$2:$L$22,2,FALSE))</f>
        <v/>
      </c>
      <c r="I417" s="323"/>
      <c r="J417" s="323"/>
      <c r="K417" s="323"/>
      <c r="L417" s="323"/>
      <c r="M417" s="323"/>
      <c r="N417" s="323"/>
      <c r="O417" s="323"/>
    </row>
    <row r="418" spans="1:15" x14ac:dyDescent="0.2">
      <c r="A418" s="286"/>
      <c r="B418" s="285"/>
      <c r="C418" s="285"/>
      <c r="D418" s="285"/>
      <c r="E418" s="285"/>
      <c r="F418" s="284"/>
      <c r="G418" s="323" t="str">
        <f>IF(B418="","",VLOOKUP(IF((B418-F418)*10&lt;-10,-10,IF((B418-F418)*10&gt;10,10,(B418-F418)*10)),'Rank Progression'!$K$2:$L$22,2,FALSE))</f>
        <v/>
      </c>
      <c r="I418" s="323"/>
      <c r="J418" s="323"/>
      <c r="K418" s="323"/>
      <c r="L418" s="323"/>
      <c r="M418" s="323"/>
      <c r="N418" s="323"/>
      <c r="O418" s="323"/>
    </row>
    <row r="419" spans="1:15" x14ac:dyDescent="0.2">
      <c r="A419" s="286"/>
      <c r="B419" s="285"/>
      <c r="C419" s="285"/>
      <c r="D419" s="285"/>
      <c r="E419" s="285"/>
      <c r="F419" s="284"/>
      <c r="G419" s="323" t="str">
        <f>IF(B419="","",VLOOKUP(IF((B419-F419)*10&lt;-10,-10,IF((B419-F419)*10&gt;10,10,(B419-F419)*10)),'Rank Progression'!$K$2:$L$22,2,FALSE))</f>
        <v/>
      </c>
      <c r="I419" s="323"/>
      <c r="J419" s="323"/>
      <c r="K419" s="323"/>
      <c r="L419" s="323"/>
      <c r="M419" s="323"/>
      <c r="N419" s="323"/>
      <c r="O419" s="323"/>
    </row>
    <row r="420" spans="1:15" x14ac:dyDescent="0.2">
      <c r="A420" s="286"/>
      <c r="B420" s="285"/>
      <c r="C420" s="285"/>
      <c r="D420" s="285"/>
      <c r="E420" s="285"/>
      <c r="F420" s="284"/>
      <c r="G420" s="323" t="str">
        <f>IF(B420="","",VLOOKUP(IF((B420-F420)*10&lt;-10,-10,IF((B420-F420)*10&gt;10,10,(B420-F420)*10)),'Rank Progression'!$K$2:$L$22,2,FALSE))</f>
        <v/>
      </c>
      <c r="I420" s="323"/>
      <c r="J420" s="323"/>
      <c r="K420" s="323"/>
      <c r="L420" s="323"/>
      <c r="M420" s="323"/>
      <c r="N420" s="323"/>
      <c r="O420" s="323"/>
    </row>
    <row r="421" spans="1:15" x14ac:dyDescent="0.2">
      <c r="A421" s="286"/>
      <c r="B421" s="285"/>
      <c r="C421" s="285"/>
      <c r="D421" s="285"/>
      <c r="E421" s="285"/>
      <c r="F421" s="284"/>
      <c r="G421" s="323" t="str">
        <f>IF(B421="","",VLOOKUP(IF((B421-F421)*10&lt;-10,-10,IF((B421-F421)*10&gt;10,10,(B421-F421)*10)),'Rank Progression'!$K$2:$L$22,2,FALSE))</f>
        <v/>
      </c>
      <c r="I421" s="323"/>
      <c r="J421" s="323"/>
      <c r="K421" s="323"/>
      <c r="L421" s="323"/>
      <c r="M421" s="323"/>
      <c r="N421" s="323"/>
      <c r="O421" s="323"/>
    </row>
    <row r="422" spans="1:15" x14ac:dyDescent="0.2">
      <c r="A422" s="286"/>
      <c r="B422" s="285"/>
      <c r="C422" s="285"/>
      <c r="D422" s="285"/>
      <c r="E422" s="285"/>
      <c r="F422" s="284"/>
      <c r="G422" s="323" t="str">
        <f>IF(B422="","",VLOOKUP(IF((B422-F422)*10&lt;-10,-10,IF((B422-F422)*10&gt;10,10,(B422-F422)*10)),'Rank Progression'!$K$2:$L$22,2,FALSE))</f>
        <v/>
      </c>
      <c r="I422" s="323"/>
      <c r="J422" s="323"/>
      <c r="K422" s="323"/>
      <c r="L422" s="323"/>
      <c r="M422" s="323"/>
      <c r="N422" s="323"/>
      <c r="O422" s="323"/>
    </row>
    <row r="423" spans="1:15" x14ac:dyDescent="0.2">
      <c r="A423" s="286"/>
      <c r="B423" s="285"/>
      <c r="C423" s="285"/>
      <c r="D423" s="285"/>
      <c r="E423" s="285"/>
      <c r="F423" s="284"/>
      <c r="G423" s="323" t="str">
        <f>IF(B423="","",VLOOKUP(IF((B423-F423)*10&lt;-10,-10,IF((B423-F423)*10&gt;10,10,(B423-F423)*10)),'Rank Progression'!$K$2:$L$22,2,FALSE))</f>
        <v/>
      </c>
      <c r="I423" s="323"/>
      <c r="J423" s="323"/>
      <c r="K423" s="323"/>
      <c r="L423" s="323"/>
      <c r="M423" s="323"/>
      <c r="N423" s="323"/>
      <c r="O423" s="323"/>
    </row>
    <row r="424" spans="1:15" x14ac:dyDescent="0.2">
      <c r="A424" s="286"/>
      <c r="B424" s="285"/>
      <c r="C424" s="285"/>
      <c r="D424" s="285"/>
      <c r="E424" s="285"/>
      <c r="F424" s="284"/>
      <c r="G424" s="323" t="str">
        <f>IF(B424="","",VLOOKUP(IF((B424-F424)*10&lt;-10,-10,IF((B424-F424)*10&gt;10,10,(B424-F424)*10)),'Rank Progression'!$K$2:$L$22,2,FALSE))</f>
        <v/>
      </c>
      <c r="I424" s="323"/>
      <c r="J424" s="323"/>
      <c r="K424" s="323"/>
      <c r="L424" s="323"/>
      <c r="M424" s="323"/>
      <c r="N424" s="323"/>
      <c r="O424" s="323"/>
    </row>
    <row r="425" spans="1:15" x14ac:dyDescent="0.2">
      <c r="A425" s="286"/>
      <c r="B425" s="285"/>
      <c r="C425" s="285"/>
      <c r="D425" s="285"/>
      <c r="E425" s="285"/>
      <c r="F425" s="284"/>
      <c r="G425" s="323" t="str">
        <f>IF(B425="","",VLOOKUP(IF((B425-F425)*10&lt;-10,-10,IF((B425-F425)*10&gt;10,10,(B425-F425)*10)),'Rank Progression'!$K$2:$L$22,2,FALSE))</f>
        <v/>
      </c>
      <c r="I425" s="323"/>
      <c r="J425" s="323"/>
      <c r="K425" s="323"/>
      <c r="L425" s="323"/>
      <c r="M425" s="323"/>
      <c r="N425" s="323"/>
      <c r="O425" s="323"/>
    </row>
    <row r="426" spans="1:15" x14ac:dyDescent="0.2">
      <c r="A426" s="286"/>
      <c r="B426" s="285"/>
      <c r="C426" s="285"/>
      <c r="D426" s="285"/>
      <c r="E426" s="285"/>
      <c r="F426" s="284"/>
      <c r="G426" s="323" t="str">
        <f>IF(B426="","",VLOOKUP(IF((B426-F426)*10&lt;-10,-10,IF((B426-F426)*10&gt;10,10,(B426-F426)*10)),'Rank Progression'!$K$2:$L$22,2,FALSE))</f>
        <v/>
      </c>
      <c r="I426" s="323"/>
      <c r="J426" s="323"/>
      <c r="K426" s="323"/>
      <c r="L426" s="323"/>
      <c r="M426" s="323"/>
      <c r="N426" s="323"/>
      <c r="O426" s="323"/>
    </row>
    <row r="427" spans="1:15" x14ac:dyDescent="0.2">
      <c r="A427" s="286"/>
      <c r="B427" s="285"/>
      <c r="C427" s="285"/>
      <c r="D427" s="285"/>
      <c r="E427" s="285"/>
      <c r="F427" s="284"/>
      <c r="G427" s="323" t="str">
        <f>IF(B427="","",VLOOKUP(IF((B427-F427)*10&lt;-10,-10,IF((B427-F427)*10&gt;10,10,(B427-F427)*10)),'Rank Progression'!$K$2:$L$22,2,FALSE))</f>
        <v/>
      </c>
      <c r="I427" s="323"/>
      <c r="J427" s="323"/>
      <c r="K427" s="323"/>
      <c r="L427" s="323"/>
      <c r="M427" s="323"/>
      <c r="N427" s="323"/>
      <c r="O427" s="323"/>
    </row>
    <row r="428" spans="1:15" x14ac:dyDescent="0.2">
      <c r="A428" s="286"/>
      <c r="B428" s="285"/>
      <c r="C428" s="285"/>
      <c r="D428" s="285"/>
      <c r="E428" s="285"/>
      <c r="F428" s="284"/>
      <c r="G428" s="323" t="str">
        <f>IF(B428="","",VLOOKUP(IF((B428-F428)*10&lt;-10,-10,IF((B428-F428)*10&gt;10,10,(B428-F428)*10)),'Rank Progression'!$K$2:$L$22,2,FALSE))</f>
        <v/>
      </c>
      <c r="I428" s="323"/>
      <c r="J428" s="323"/>
      <c r="K428" s="323"/>
      <c r="L428" s="323"/>
      <c r="M428" s="323"/>
      <c r="N428" s="323"/>
      <c r="O428" s="323"/>
    </row>
    <row r="429" spans="1:15" x14ac:dyDescent="0.2">
      <c r="A429" s="286"/>
      <c r="B429" s="285"/>
      <c r="C429" s="285"/>
      <c r="D429" s="285"/>
      <c r="E429" s="285"/>
      <c r="F429" s="284"/>
      <c r="G429" s="323" t="str">
        <f>IF(B429="","",VLOOKUP(IF((B429-F429)*10&lt;-10,-10,IF((B429-F429)*10&gt;10,10,(B429-F429)*10)),'Rank Progression'!$K$2:$L$22,2,FALSE))</f>
        <v/>
      </c>
      <c r="I429" s="323"/>
      <c r="J429" s="323"/>
      <c r="K429" s="323"/>
      <c r="L429" s="323"/>
      <c r="M429" s="323"/>
      <c r="N429" s="323"/>
      <c r="O429" s="323"/>
    </row>
    <row r="430" spans="1:15" x14ac:dyDescent="0.2">
      <c r="A430" s="286"/>
      <c r="B430" s="285"/>
      <c r="C430" s="285"/>
      <c r="D430" s="285"/>
      <c r="E430" s="285"/>
      <c r="F430" s="284"/>
      <c r="G430" s="323" t="str">
        <f>IF(B430="","",VLOOKUP(IF((B430-F430)*10&lt;-10,-10,IF((B430-F430)*10&gt;10,10,(B430-F430)*10)),'Rank Progression'!$K$2:$L$22,2,FALSE))</f>
        <v/>
      </c>
      <c r="I430" s="323"/>
      <c r="J430" s="323"/>
      <c r="K430" s="323"/>
      <c r="L430" s="323"/>
      <c r="M430" s="323"/>
      <c r="N430" s="323"/>
      <c r="O430" s="323"/>
    </row>
    <row r="431" spans="1:15" x14ac:dyDescent="0.2">
      <c r="A431" s="286"/>
      <c r="B431" s="285"/>
      <c r="C431" s="285"/>
      <c r="D431" s="285"/>
      <c r="E431" s="285"/>
      <c r="F431" s="284"/>
      <c r="G431" s="323" t="str">
        <f>IF(B431="","",VLOOKUP(IF((B431-F431)*10&lt;-10,-10,IF((B431-F431)*10&gt;10,10,(B431-F431)*10)),'Rank Progression'!$K$2:$L$22,2,FALSE))</f>
        <v/>
      </c>
      <c r="I431" s="323"/>
      <c r="J431" s="323"/>
      <c r="K431" s="323"/>
      <c r="L431" s="323"/>
      <c r="M431" s="323"/>
      <c r="N431" s="323"/>
      <c r="O431" s="323"/>
    </row>
    <row r="432" spans="1:15" x14ac:dyDescent="0.2">
      <c r="A432" s="286"/>
      <c r="B432" s="285"/>
      <c r="C432" s="285"/>
      <c r="D432" s="285"/>
      <c r="E432" s="285"/>
      <c r="F432" s="284"/>
      <c r="G432" s="323" t="str">
        <f>IF(B432="","",VLOOKUP(IF((B432-F432)*10&lt;-10,-10,IF((B432-F432)*10&gt;10,10,(B432-F432)*10)),'Rank Progression'!$K$2:$L$22,2,FALSE))</f>
        <v/>
      </c>
      <c r="I432" s="323"/>
      <c r="J432" s="323"/>
      <c r="K432" s="323"/>
      <c r="L432" s="323"/>
      <c r="M432" s="323"/>
      <c r="N432" s="323"/>
      <c r="O432" s="323"/>
    </row>
    <row r="433" spans="1:15" x14ac:dyDescent="0.2">
      <c r="A433" s="286"/>
      <c r="B433" s="285"/>
      <c r="C433" s="285"/>
      <c r="D433" s="285"/>
      <c r="E433" s="285"/>
      <c r="F433" s="284"/>
      <c r="G433" s="323" t="str">
        <f>IF(B433="","",VLOOKUP(IF((B433-F433)*10&lt;-10,-10,IF((B433-F433)*10&gt;10,10,(B433-F433)*10)),'Rank Progression'!$K$2:$L$22,2,FALSE))</f>
        <v/>
      </c>
      <c r="I433" s="323"/>
      <c r="J433" s="323"/>
      <c r="K433" s="323"/>
      <c r="L433" s="323"/>
      <c r="M433" s="323"/>
      <c r="N433" s="323"/>
      <c r="O433" s="323"/>
    </row>
    <row r="434" spans="1:15" x14ac:dyDescent="0.2">
      <c r="A434" s="286"/>
      <c r="B434" s="285"/>
      <c r="C434" s="285"/>
      <c r="D434" s="285"/>
      <c r="E434" s="285"/>
      <c r="F434" s="284"/>
      <c r="G434" s="323" t="str">
        <f>IF(B434="","",VLOOKUP(IF((B434-F434)*10&lt;-10,-10,IF((B434-F434)*10&gt;10,10,(B434-F434)*10)),'Rank Progression'!$K$2:$L$22,2,FALSE))</f>
        <v/>
      </c>
      <c r="I434" s="323"/>
      <c r="J434" s="323"/>
      <c r="K434" s="323"/>
      <c r="L434" s="323"/>
      <c r="M434" s="323"/>
      <c r="N434" s="323"/>
      <c r="O434" s="323"/>
    </row>
    <row r="435" spans="1:15" x14ac:dyDescent="0.2">
      <c r="A435" s="286"/>
      <c r="B435" s="285"/>
      <c r="C435" s="285"/>
      <c r="D435" s="285"/>
      <c r="E435" s="285"/>
      <c r="F435" s="284"/>
      <c r="G435" s="323" t="str">
        <f>IF(B435="","",VLOOKUP(IF((B435-F435)*10&lt;-10,-10,IF((B435-F435)*10&gt;10,10,(B435-F435)*10)),'Rank Progression'!$K$2:$L$22,2,FALSE))</f>
        <v/>
      </c>
      <c r="I435" s="323"/>
      <c r="J435" s="323"/>
      <c r="K435" s="323"/>
      <c r="L435" s="323"/>
      <c r="M435" s="323"/>
      <c r="N435" s="323"/>
      <c r="O435" s="323"/>
    </row>
    <row r="436" spans="1:15" x14ac:dyDescent="0.2">
      <c r="A436" s="286"/>
      <c r="B436" s="285"/>
      <c r="C436" s="285"/>
      <c r="D436" s="285"/>
      <c r="E436" s="285"/>
      <c r="F436" s="284"/>
      <c r="G436" s="323" t="str">
        <f>IF(B436="","",VLOOKUP(IF((B436-F436)*10&lt;-10,-10,IF((B436-F436)*10&gt;10,10,(B436-F436)*10)),'Rank Progression'!$K$2:$L$22,2,FALSE))</f>
        <v/>
      </c>
      <c r="I436" s="323"/>
      <c r="J436" s="323"/>
      <c r="K436" s="323"/>
      <c r="L436" s="323"/>
      <c r="M436" s="323"/>
      <c r="N436" s="323"/>
      <c r="O436" s="323"/>
    </row>
    <row r="437" spans="1:15" x14ac:dyDescent="0.2">
      <c r="A437" s="286"/>
      <c r="B437" s="285"/>
      <c r="C437" s="285"/>
      <c r="D437" s="285"/>
      <c r="E437" s="285"/>
      <c r="F437" s="284"/>
      <c r="G437" s="323" t="str">
        <f>IF(B437="","",VLOOKUP(IF((B437-F437)*10&lt;-10,-10,IF((B437-F437)*10&gt;10,10,(B437-F437)*10)),'Rank Progression'!$K$2:$L$22,2,FALSE))</f>
        <v/>
      </c>
      <c r="I437" s="323"/>
      <c r="J437" s="323"/>
      <c r="K437" s="323"/>
      <c r="L437" s="323"/>
      <c r="M437" s="323"/>
      <c r="N437" s="323"/>
      <c r="O437" s="323"/>
    </row>
    <row r="438" spans="1:15" x14ac:dyDescent="0.2">
      <c r="A438" s="286"/>
      <c r="B438" s="285"/>
      <c r="C438" s="285"/>
      <c r="D438" s="285"/>
      <c r="E438" s="285"/>
      <c r="F438" s="284"/>
      <c r="G438" s="323" t="str">
        <f>IF(B438="","",VLOOKUP(IF((B438-F438)*10&lt;-10,-10,IF((B438-F438)*10&gt;10,10,(B438-F438)*10)),'Rank Progression'!$K$2:$L$22,2,FALSE))</f>
        <v/>
      </c>
      <c r="I438" s="323"/>
      <c r="J438" s="323"/>
      <c r="K438" s="323"/>
      <c r="L438" s="323"/>
      <c r="M438" s="323"/>
      <c r="N438" s="323"/>
      <c r="O438" s="323"/>
    </row>
    <row r="439" spans="1:15" x14ac:dyDescent="0.2">
      <c r="A439" s="286"/>
      <c r="B439" s="285"/>
      <c r="C439" s="285"/>
      <c r="D439" s="285"/>
      <c r="E439" s="285"/>
      <c r="F439" s="284"/>
      <c r="G439" s="323" t="str">
        <f>IF(B439="","",VLOOKUP(IF((B439-F439)*10&lt;-10,-10,IF((B439-F439)*10&gt;10,10,(B439-F439)*10)),'Rank Progression'!$K$2:$L$22,2,FALSE))</f>
        <v/>
      </c>
      <c r="I439" s="323"/>
      <c r="J439" s="323"/>
      <c r="K439" s="323"/>
      <c r="L439" s="323"/>
      <c r="M439" s="323"/>
      <c r="N439" s="323"/>
      <c r="O439" s="323"/>
    </row>
    <row r="440" spans="1:15" x14ac:dyDescent="0.2">
      <c r="A440" s="286"/>
      <c r="B440" s="285"/>
      <c r="C440" s="285"/>
      <c r="D440" s="285"/>
      <c r="E440" s="285"/>
      <c r="F440" s="284"/>
      <c r="G440" s="323" t="str">
        <f>IF(B440="","",VLOOKUP(IF((B440-F440)*10&lt;-10,-10,IF((B440-F440)*10&gt;10,10,(B440-F440)*10)),'Rank Progression'!$K$2:$L$22,2,FALSE))</f>
        <v/>
      </c>
      <c r="I440" s="323"/>
      <c r="J440" s="323"/>
      <c r="K440" s="323"/>
      <c r="L440" s="323"/>
      <c r="M440" s="323"/>
      <c r="N440" s="323"/>
      <c r="O440" s="323"/>
    </row>
    <row r="441" spans="1:15" x14ac:dyDescent="0.2">
      <c r="A441" s="286"/>
      <c r="B441" s="285"/>
      <c r="C441" s="285"/>
      <c r="D441" s="285"/>
      <c r="E441" s="285"/>
      <c r="F441" s="284"/>
      <c r="G441" s="323" t="str">
        <f>IF(B441="","",VLOOKUP(IF((B441-F441)*10&lt;-10,-10,IF((B441-F441)*10&gt;10,10,(B441-F441)*10)),'Rank Progression'!$K$2:$L$22,2,FALSE))</f>
        <v/>
      </c>
      <c r="I441" s="323"/>
      <c r="J441" s="323"/>
      <c r="K441" s="323"/>
      <c r="L441" s="323"/>
      <c r="M441" s="323"/>
      <c r="N441" s="323"/>
      <c r="O441" s="323"/>
    </row>
    <row r="442" spans="1:15" x14ac:dyDescent="0.2">
      <c r="A442" s="286"/>
      <c r="B442" s="285"/>
      <c r="C442" s="285"/>
      <c r="D442" s="285"/>
      <c r="E442" s="285"/>
      <c r="F442" s="284"/>
      <c r="G442" s="323" t="str">
        <f>IF(B442="","",VLOOKUP(IF((B442-F442)*10&lt;-10,-10,IF((B442-F442)*10&gt;10,10,(B442-F442)*10)),'Rank Progression'!$K$2:$L$22,2,FALSE))</f>
        <v/>
      </c>
      <c r="I442" s="323"/>
      <c r="J442" s="323"/>
      <c r="K442" s="323"/>
      <c r="L442" s="323"/>
      <c r="M442" s="323"/>
      <c r="N442" s="323"/>
      <c r="O442" s="323"/>
    </row>
    <row r="443" spans="1:15" x14ac:dyDescent="0.2">
      <c r="A443" s="286"/>
      <c r="B443" s="285"/>
      <c r="C443" s="285"/>
      <c r="D443" s="285"/>
      <c r="E443" s="285"/>
      <c r="F443" s="284"/>
      <c r="G443" s="323" t="str">
        <f>IF(B443="","",VLOOKUP(IF((B443-F443)*10&lt;-10,-10,IF((B443-F443)*10&gt;10,10,(B443-F443)*10)),'Rank Progression'!$K$2:$L$22,2,FALSE))</f>
        <v/>
      </c>
      <c r="I443" s="323"/>
      <c r="J443" s="323"/>
      <c r="K443" s="323"/>
      <c r="L443" s="323"/>
      <c r="M443" s="323"/>
      <c r="N443" s="323"/>
      <c r="O443" s="323"/>
    </row>
    <row r="444" spans="1:15" x14ac:dyDescent="0.2">
      <c r="A444" s="286"/>
      <c r="B444" s="285"/>
      <c r="C444" s="285"/>
      <c r="D444" s="285"/>
      <c r="E444" s="285"/>
      <c r="F444" s="284"/>
      <c r="G444" s="323" t="str">
        <f>IF(B444="","",VLOOKUP(IF((B444-F444)*10&lt;-10,-10,IF((B444-F444)*10&gt;10,10,(B444-F444)*10)),'Rank Progression'!$K$2:$L$22,2,FALSE))</f>
        <v/>
      </c>
      <c r="I444" s="323"/>
      <c r="J444" s="323"/>
      <c r="K444" s="323"/>
      <c r="L444" s="323"/>
      <c r="M444" s="323"/>
      <c r="N444" s="323"/>
      <c r="O444" s="323"/>
    </row>
    <row r="445" spans="1:15" x14ac:dyDescent="0.2">
      <c r="A445" s="286"/>
      <c r="B445" s="285"/>
      <c r="C445" s="285"/>
      <c r="D445" s="285"/>
      <c r="E445" s="285"/>
      <c r="F445" s="284"/>
      <c r="G445" s="323" t="str">
        <f>IF(B445="","",VLOOKUP(IF((B445-F445)*10&lt;-10,-10,IF((B445-F445)*10&gt;10,10,(B445-F445)*10)),'Rank Progression'!$K$2:$L$22,2,FALSE))</f>
        <v/>
      </c>
      <c r="I445" s="323"/>
      <c r="J445" s="323"/>
      <c r="K445" s="323"/>
      <c r="L445" s="323"/>
      <c r="M445" s="323"/>
      <c r="N445" s="323"/>
      <c r="O445" s="323"/>
    </row>
    <row r="446" spans="1:15" x14ac:dyDescent="0.2">
      <c r="A446" s="286"/>
      <c r="B446" s="285"/>
      <c r="C446" s="285"/>
      <c r="D446" s="285"/>
      <c r="E446" s="285"/>
      <c r="F446" s="284"/>
      <c r="G446" s="323" t="str">
        <f>IF(B446="","",VLOOKUP(IF((B446-F446)*10&lt;-10,-10,IF((B446-F446)*10&gt;10,10,(B446-F446)*10)),'Rank Progression'!$K$2:$L$22,2,FALSE))</f>
        <v/>
      </c>
      <c r="I446" s="323"/>
      <c r="J446" s="323"/>
      <c r="K446" s="323"/>
      <c r="L446" s="323"/>
      <c r="M446" s="323"/>
      <c r="N446" s="323"/>
      <c r="O446" s="323"/>
    </row>
    <row r="447" spans="1:15" x14ac:dyDescent="0.2">
      <c r="A447" s="286"/>
      <c r="B447" s="285"/>
      <c r="C447" s="285"/>
      <c r="D447" s="285"/>
      <c r="E447" s="285"/>
      <c r="F447" s="284"/>
      <c r="G447" s="323" t="str">
        <f>IF(B447="","",VLOOKUP(IF((B447-F447)*10&lt;-10,-10,IF((B447-F447)*10&gt;10,10,(B447-F447)*10)),'Rank Progression'!$K$2:$L$22,2,FALSE))</f>
        <v/>
      </c>
      <c r="I447" s="323"/>
      <c r="J447" s="323"/>
      <c r="K447" s="323"/>
      <c r="L447" s="323"/>
      <c r="M447" s="323"/>
      <c r="N447" s="323"/>
      <c r="O447" s="323"/>
    </row>
    <row r="448" spans="1:15" x14ac:dyDescent="0.2">
      <c r="A448" s="286"/>
      <c r="B448" s="285"/>
      <c r="C448" s="285"/>
      <c r="D448" s="285"/>
      <c r="E448" s="285"/>
      <c r="F448" s="284"/>
      <c r="G448" s="323" t="str">
        <f>IF(B448="","",VLOOKUP(IF((B448-F448)*10&lt;-10,-10,IF((B448-F448)*10&gt;10,10,(B448-F448)*10)),'Rank Progression'!$K$2:$L$22,2,FALSE))</f>
        <v/>
      </c>
      <c r="I448" s="323"/>
      <c r="J448" s="323"/>
      <c r="K448" s="323"/>
      <c r="L448" s="323"/>
      <c r="M448" s="323"/>
      <c r="N448" s="323"/>
      <c r="O448" s="323"/>
    </row>
    <row r="449" spans="1:15" x14ac:dyDescent="0.2">
      <c r="A449" s="286"/>
      <c r="B449" s="285"/>
      <c r="C449" s="285"/>
      <c r="D449" s="285"/>
      <c r="E449" s="285"/>
      <c r="F449" s="284"/>
      <c r="G449" s="323" t="str">
        <f>IF(B449="","",VLOOKUP(IF((B449-F449)*10&lt;-10,-10,IF((B449-F449)*10&gt;10,10,(B449-F449)*10)),'Rank Progression'!$K$2:$L$22,2,FALSE))</f>
        <v/>
      </c>
      <c r="I449" s="323"/>
      <c r="J449" s="323"/>
      <c r="K449" s="323"/>
      <c r="L449" s="323"/>
      <c r="M449" s="323"/>
      <c r="N449" s="323"/>
      <c r="O449" s="323"/>
    </row>
    <row r="450" spans="1:15" x14ac:dyDescent="0.2">
      <c r="A450" s="286"/>
      <c r="B450" s="285"/>
      <c r="C450" s="285"/>
      <c r="D450" s="285"/>
      <c r="E450" s="285"/>
      <c r="F450" s="284"/>
      <c r="G450" s="323" t="str">
        <f>IF(B450="","",VLOOKUP(IF((B450-F450)*10&lt;-10,-10,IF((B450-F450)*10&gt;10,10,(B450-F450)*10)),'Rank Progression'!$K$2:$L$22,2,FALSE))</f>
        <v/>
      </c>
      <c r="I450" s="323"/>
      <c r="J450" s="323"/>
      <c r="K450" s="323"/>
      <c r="L450" s="323"/>
      <c r="M450" s="323"/>
      <c r="N450" s="323"/>
      <c r="O450" s="323"/>
    </row>
    <row r="451" spans="1:15" x14ac:dyDescent="0.2">
      <c r="A451" s="286"/>
      <c r="B451" s="285"/>
      <c r="C451" s="285"/>
      <c r="D451" s="285"/>
      <c r="E451" s="285"/>
      <c r="F451" s="284"/>
      <c r="G451" s="323" t="str">
        <f>IF(B451="","",VLOOKUP(IF((B451-F451)*10&lt;-10,-10,IF((B451-F451)*10&gt;10,10,(B451-F451)*10)),'Rank Progression'!$K$2:$L$22,2,FALSE))</f>
        <v/>
      </c>
      <c r="I451" s="323"/>
      <c r="J451" s="323"/>
      <c r="K451" s="323"/>
      <c r="L451" s="323"/>
      <c r="M451" s="323"/>
      <c r="N451" s="323"/>
      <c r="O451" s="323"/>
    </row>
    <row r="452" spans="1:15" x14ac:dyDescent="0.2">
      <c r="A452" s="286"/>
      <c r="B452" s="285"/>
      <c r="C452" s="285"/>
      <c r="D452" s="285"/>
      <c r="E452" s="285"/>
      <c r="F452" s="284"/>
      <c r="G452" s="323" t="str">
        <f>IF(B452="","",VLOOKUP(IF((B452-F452)*10&lt;-10,-10,IF((B452-F452)*10&gt;10,10,(B452-F452)*10)),'Rank Progression'!$K$2:$L$22,2,FALSE))</f>
        <v/>
      </c>
      <c r="I452" s="323"/>
      <c r="J452" s="323"/>
      <c r="K452" s="323"/>
      <c r="L452" s="323"/>
      <c r="M452" s="323"/>
      <c r="N452" s="323"/>
      <c r="O452" s="323"/>
    </row>
    <row r="453" spans="1:15" x14ac:dyDescent="0.2">
      <c r="A453" s="286"/>
      <c r="B453" s="285"/>
      <c r="C453" s="285"/>
      <c r="D453" s="285"/>
      <c r="E453" s="285"/>
      <c r="F453" s="284"/>
      <c r="G453" s="323" t="str">
        <f>IF(B453="","",VLOOKUP(IF((B453-F453)*10&lt;-10,-10,IF((B453-F453)*10&gt;10,10,(B453-F453)*10)),'Rank Progression'!$K$2:$L$22,2,FALSE))</f>
        <v/>
      </c>
      <c r="I453" s="323"/>
      <c r="J453" s="323"/>
      <c r="K453" s="323"/>
      <c r="L453" s="323"/>
      <c r="M453" s="323"/>
      <c r="N453" s="323"/>
      <c r="O453" s="323"/>
    </row>
    <row r="454" spans="1:15" x14ac:dyDescent="0.2">
      <c r="A454" s="286"/>
      <c r="B454" s="285"/>
      <c r="C454" s="285"/>
      <c r="D454" s="285"/>
      <c r="E454" s="285"/>
      <c r="F454" s="284"/>
      <c r="G454" s="323" t="str">
        <f>IF(B454="","",VLOOKUP(IF((B454-F454)*10&lt;-10,-10,IF((B454-F454)*10&gt;10,10,(B454-F454)*10)),'Rank Progression'!$K$2:$L$22,2,FALSE))</f>
        <v/>
      </c>
      <c r="I454" s="323"/>
      <c r="J454" s="323"/>
      <c r="K454" s="323"/>
      <c r="L454" s="323"/>
      <c r="M454" s="323"/>
      <c r="N454" s="323"/>
      <c r="O454" s="323"/>
    </row>
    <row r="455" spans="1:15" x14ac:dyDescent="0.2">
      <c r="A455" s="286"/>
      <c r="B455" s="285"/>
      <c r="C455" s="285"/>
      <c r="D455" s="285"/>
      <c r="E455" s="285"/>
      <c r="F455" s="284"/>
      <c r="G455" s="323" t="str">
        <f>IF(B455="","",VLOOKUP(IF((B455-F455)*10&lt;-10,-10,IF((B455-F455)*10&gt;10,10,(B455-F455)*10)),'Rank Progression'!$K$2:$L$22,2,FALSE))</f>
        <v/>
      </c>
      <c r="I455" s="323"/>
      <c r="J455" s="323"/>
      <c r="K455" s="323"/>
      <c r="L455" s="323"/>
      <c r="M455" s="323"/>
      <c r="N455" s="323"/>
      <c r="O455" s="323"/>
    </row>
    <row r="456" spans="1:15" x14ac:dyDescent="0.2">
      <c r="A456" s="286"/>
      <c r="B456" s="285"/>
      <c r="C456" s="285"/>
      <c r="D456" s="285"/>
      <c r="E456" s="285"/>
      <c r="F456" s="284"/>
      <c r="G456" s="323" t="str">
        <f>IF(B456="","",VLOOKUP(IF((B456-F456)*10&lt;-10,-10,IF((B456-F456)*10&gt;10,10,(B456-F456)*10)),'Rank Progression'!$K$2:$L$22,2,FALSE))</f>
        <v/>
      </c>
      <c r="I456" s="323"/>
      <c r="J456" s="323"/>
      <c r="K456" s="323"/>
      <c r="L456" s="323"/>
      <c r="M456" s="323"/>
      <c r="N456" s="323"/>
      <c r="O456" s="323"/>
    </row>
    <row r="457" spans="1:15" x14ac:dyDescent="0.2">
      <c r="A457" s="286"/>
      <c r="B457" s="285"/>
      <c r="C457" s="285"/>
      <c r="D457" s="285"/>
      <c r="E457" s="285"/>
      <c r="F457" s="284"/>
      <c r="G457" s="323" t="str">
        <f>IF(B457="","",VLOOKUP(IF((B457-F457)*10&lt;-10,-10,IF((B457-F457)*10&gt;10,10,(B457-F457)*10)),'Rank Progression'!$K$2:$L$22,2,FALSE))</f>
        <v/>
      </c>
      <c r="I457" s="323"/>
      <c r="J457" s="323"/>
      <c r="K457" s="323"/>
      <c r="L457" s="323"/>
      <c r="M457" s="323"/>
      <c r="N457" s="323"/>
      <c r="O457" s="323"/>
    </row>
    <row r="458" spans="1:15" x14ac:dyDescent="0.2">
      <c r="A458" s="286"/>
      <c r="B458" s="285"/>
      <c r="C458" s="285"/>
      <c r="D458" s="285"/>
      <c r="E458" s="285"/>
      <c r="F458" s="284"/>
      <c r="G458" s="323" t="str">
        <f>IF(B458="","",VLOOKUP(IF((B458-F458)*10&lt;-10,-10,IF((B458-F458)*10&gt;10,10,(B458-F458)*10)),'Rank Progression'!$K$2:$L$22,2,FALSE))</f>
        <v/>
      </c>
      <c r="I458" s="323"/>
      <c r="J458" s="323"/>
      <c r="K458" s="323"/>
      <c r="L458" s="323"/>
      <c r="M458" s="323"/>
      <c r="N458" s="323"/>
      <c r="O458" s="323"/>
    </row>
    <row r="459" spans="1:15" x14ac:dyDescent="0.2">
      <c r="A459" s="286"/>
      <c r="B459" s="285"/>
      <c r="C459" s="285"/>
      <c r="D459" s="285"/>
      <c r="E459" s="285"/>
      <c r="F459" s="284"/>
      <c r="G459" s="323" t="str">
        <f>IF(B459="","",VLOOKUP(IF((B459-F459)*10&lt;-10,-10,IF((B459-F459)*10&gt;10,10,(B459-F459)*10)),'Rank Progression'!$K$2:$L$22,2,FALSE))</f>
        <v/>
      </c>
      <c r="I459" s="323"/>
      <c r="J459" s="323"/>
      <c r="K459" s="323"/>
      <c r="L459" s="323"/>
      <c r="M459" s="323"/>
      <c r="N459" s="323"/>
      <c r="O459" s="323"/>
    </row>
    <row r="460" spans="1:15" x14ac:dyDescent="0.2">
      <c r="A460" s="286"/>
      <c r="B460" s="285"/>
      <c r="C460" s="285"/>
      <c r="D460" s="285"/>
      <c r="E460" s="285"/>
      <c r="F460" s="284"/>
      <c r="G460" s="323" t="str">
        <f>IF(B460="","",VLOOKUP(IF((B460-F460)*10&lt;-10,-10,IF((B460-F460)*10&gt;10,10,(B460-F460)*10)),'Rank Progression'!$K$2:$L$22,2,FALSE))</f>
        <v/>
      </c>
      <c r="I460" s="323"/>
      <c r="J460" s="323"/>
      <c r="K460" s="323"/>
      <c r="L460" s="323"/>
      <c r="M460" s="323"/>
      <c r="N460" s="323"/>
      <c r="O460" s="323"/>
    </row>
    <row r="461" spans="1:15" x14ac:dyDescent="0.2">
      <c r="A461" s="286"/>
      <c r="B461" s="285"/>
      <c r="C461" s="285"/>
      <c r="D461" s="285"/>
      <c r="E461" s="285"/>
      <c r="F461" s="284"/>
      <c r="G461" s="323" t="str">
        <f>IF(B461="","",VLOOKUP(IF((B461-F461)*10&lt;-10,-10,IF((B461-F461)*10&gt;10,10,(B461-F461)*10)),'Rank Progression'!$K$2:$L$22,2,FALSE))</f>
        <v/>
      </c>
      <c r="I461" s="323"/>
      <c r="J461" s="323"/>
      <c r="K461" s="323"/>
      <c r="L461" s="323"/>
      <c r="M461" s="323"/>
      <c r="N461" s="323"/>
      <c r="O461" s="323"/>
    </row>
    <row r="462" spans="1:15" x14ac:dyDescent="0.2">
      <c r="A462" s="286"/>
      <c r="B462" s="285"/>
      <c r="C462" s="285"/>
      <c r="D462" s="285"/>
      <c r="E462" s="285"/>
      <c r="F462" s="284"/>
      <c r="G462" s="323" t="str">
        <f>IF(B462="","",VLOOKUP(IF((B462-F462)*10&lt;-10,-10,IF((B462-F462)*10&gt;10,10,(B462-F462)*10)),'Rank Progression'!$K$2:$L$22,2,FALSE))</f>
        <v/>
      </c>
      <c r="I462" s="323"/>
      <c r="J462" s="323"/>
      <c r="K462" s="323"/>
      <c r="L462" s="323"/>
      <c r="M462" s="323"/>
      <c r="N462" s="323"/>
      <c r="O462" s="323"/>
    </row>
    <row r="463" spans="1:15" x14ac:dyDescent="0.2">
      <c r="A463" s="286"/>
      <c r="B463" s="285"/>
      <c r="C463" s="285"/>
      <c r="D463" s="285"/>
      <c r="E463" s="285"/>
      <c r="F463" s="284"/>
      <c r="G463" s="323" t="str">
        <f>IF(B463="","",VLOOKUP(IF((B463-F463)*10&lt;-10,-10,IF((B463-F463)*10&gt;10,10,(B463-F463)*10)),'Rank Progression'!$K$2:$L$22,2,FALSE))</f>
        <v/>
      </c>
      <c r="I463" s="323"/>
      <c r="J463" s="323"/>
      <c r="K463" s="323"/>
      <c r="L463" s="323"/>
      <c r="M463" s="323"/>
      <c r="N463" s="323"/>
      <c r="O463" s="323"/>
    </row>
    <row r="464" spans="1:15" x14ac:dyDescent="0.2">
      <c r="A464" s="286"/>
      <c r="B464" s="285"/>
      <c r="C464" s="285"/>
      <c r="D464" s="285"/>
      <c r="E464" s="285"/>
      <c r="F464" s="284"/>
      <c r="G464" s="323" t="str">
        <f>IF(B464="","",VLOOKUP(IF((B464-F464)*10&lt;-10,-10,IF((B464-F464)*10&gt;10,10,(B464-F464)*10)),'Rank Progression'!$K$2:$L$22,2,FALSE))</f>
        <v/>
      </c>
      <c r="I464" s="323"/>
      <c r="J464" s="323"/>
      <c r="K464" s="323"/>
      <c r="L464" s="323"/>
      <c r="M464" s="323"/>
      <c r="N464" s="323"/>
      <c r="O464" s="323"/>
    </row>
    <row r="465" spans="1:15" x14ac:dyDescent="0.2">
      <c r="A465" s="286"/>
      <c r="B465" s="285"/>
      <c r="C465" s="285"/>
      <c r="D465" s="285"/>
      <c r="E465" s="285"/>
      <c r="F465" s="284"/>
      <c r="G465" s="323" t="str">
        <f>IF(B465="","",VLOOKUP(IF((B465-F465)*10&lt;-10,-10,IF((B465-F465)*10&gt;10,10,(B465-F465)*10)),'Rank Progression'!$K$2:$L$22,2,FALSE))</f>
        <v/>
      </c>
      <c r="I465" s="323"/>
      <c r="J465" s="323"/>
      <c r="K465" s="323"/>
      <c r="L465" s="323"/>
      <c r="M465" s="323"/>
      <c r="N465" s="323"/>
      <c r="O465" s="323"/>
    </row>
    <row r="466" spans="1:15" x14ac:dyDescent="0.2">
      <c r="A466" s="286"/>
      <c r="B466" s="285"/>
      <c r="C466" s="285"/>
      <c r="D466" s="285"/>
      <c r="E466" s="285"/>
      <c r="F466" s="284"/>
      <c r="G466" s="323" t="str">
        <f>IF(B466="","",VLOOKUP(IF((B466-F466)*10&lt;-10,-10,IF((B466-F466)*10&gt;10,10,(B466-F466)*10)),'Rank Progression'!$K$2:$L$22,2,FALSE))</f>
        <v/>
      </c>
      <c r="I466" s="323"/>
      <c r="J466" s="323"/>
      <c r="K466" s="323"/>
      <c r="L466" s="323"/>
      <c r="M466" s="323"/>
      <c r="N466" s="323"/>
      <c r="O466" s="323"/>
    </row>
    <row r="467" spans="1:15" x14ac:dyDescent="0.2">
      <c r="A467" s="286"/>
      <c r="B467" s="285"/>
      <c r="C467" s="285"/>
      <c r="D467" s="285"/>
      <c r="E467" s="285"/>
      <c r="F467" s="284"/>
      <c r="G467" s="323" t="str">
        <f>IF(B467="","",VLOOKUP(IF((B467-F467)*10&lt;-10,-10,IF((B467-F467)*10&gt;10,10,(B467-F467)*10)),'Rank Progression'!$K$2:$L$22,2,FALSE))</f>
        <v/>
      </c>
      <c r="I467" s="323"/>
      <c r="J467" s="323"/>
      <c r="K467" s="323"/>
      <c r="L467" s="323"/>
      <c r="M467" s="323"/>
      <c r="N467" s="323"/>
      <c r="O467" s="323"/>
    </row>
    <row r="468" spans="1:15" x14ac:dyDescent="0.2">
      <c r="A468" s="286"/>
      <c r="B468" s="285"/>
      <c r="C468" s="285"/>
      <c r="D468" s="285"/>
      <c r="E468" s="285"/>
      <c r="F468" s="284"/>
      <c r="G468" s="323" t="str">
        <f>IF(B468="","",VLOOKUP(IF((B468-F468)*10&lt;-10,-10,IF((B468-F468)*10&gt;10,10,(B468-F468)*10)),'Rank Progression'!$K$2:$L$22,2,FALSE))</f>
        <v/>
      </c>
      <c r="I468" s="323"/>
      <c r="J468" s="323"/>
      <c r="K468" s="323"/>
      <c r="L468" s="323"/>
      <c r="M468" s="323"/>
      <c r="N468" s="323"/>
      <c r="O468" s="323"/>
    </row>
    <row r="469" spans="1:15" x14ac:dyDescent="0.2">
      <c r="A469" s="286"/>
      <c r="B469" s="285"/>
      <c r="C469" s="285"/>
      <c r="D469" s="285"/>
      <c r="E469" s="285"/>
      <c r="F469" s="284"/>
      <c r="G469" s="323" t="str">
        <f>IF(B469="","",VLOOKUP(IF((B469-F469)*10&lt;-10,-10,IF((B469-F469)*10&gt;10,10,(B469-F469)*10)),'Rank Progression'!$K$2:$L$22,2,FALSE))</f>
        <v/>
      </c>
      <c r="I469" s="323"/>
      <c r="J469" s="323"/>
      <c r="K469" s="323"/>
      <c r="L469" s="323"/>
      <c r="M469" s="323"/>
      <c r="N469" s="323"/>
      <c r="O469" s="323"/>
    </row>
    <row r="470" spans="1:15" x14ac:dyDescent="0.2">
      <c r="A470" s="286"/>
      <c r="B470" s="285"/>
      <c r="C470" s="285"/>
      <c r="D470" s="285"/>
      <c r="E470" s="285"/>
      <c r="F470" s="284"/>
      <c r="G470" s="323" t="str">
        <f>IF(B470="","",VLOOKUP(IF((B470-F470)*10&lt;-10,-10,IF((B470-F470)*10&gt;10,10,(B470-F470)*10)),'Rank Progression'!$K$2:$L$22,2,FALSE))</f>
        <v/>
      </c>
      <c r="I470" s="323"/>
      <c r="J470" s="323"/>
      <c r="K470" s="323"/>
      <c r="L470" s="323"/>
      <c r="M470" s="323"/>
      <c r="N470" s="323"/>
      <c r="O470" s="323"/>
    </row>
    <row r="471" spans="1:15" x14ac:dyDescent="0.2">
      <c r="A471" s="286"/>
      <c r="B471" s="285"/>
      <c r="C471" s="285"/>
      <c r="D471" s="285"/>
      <c r="E471" s="285"/>
      <c r="F471" s="284"/>
      <c r="G471" s="323" t="str">
        <f>IF(B471="","",VLOOKUP(IF((B471-F471)*10&lt;-10,-10,IF((B471-F471)*10&gt;10,10,(B471-F471)*10)),'Rank Progression'!$K$2:$L$22,2,FALSE))</f>
        <v/>
      </c>
      <c r="I471" s="323"/>
      <c r="J471" s="323"/>
      <c r="K471" s="323"/>
      <c r="L471" s="323"/>
      <c r="M471" s="323"/>
      <c r="N471" s="323"/>
      <c r="O471" s="323"/>
    </row>
    <row r="472" spans="1:15" x14ac:dyDescent="0.2">
      <c r="A472" s="286"/>
      <c r="B472" s="285"/>
      <c r="C472" s="285"/>
      <c r="D472" s="285"/>
      <c r="E472" s="285"/>
      <c r="F472" s="284"/>
      <c r="G472" s="323" t="str">
        <f>IF(B472="","",VLOOKUP(IF((B472-F472)*10&lt;-10,-10,IF((B472-F472)*10&gt;10,10,(B472-F472)*10)),'Rank Progression'!$K$2:$L$22,2,FALSE))</f>
        <v/>
      </c>
      <c r="I472" s="323"/>
      <c r="J472" s="323"/>
      <c r="K472" s="323"/>
      <c r="L472" s="323"/>
      <c r="M472" s="323"/>
      <c r="N472" s="323"/>
      <c r="O472" s="323"/>
    </row>
    <row r="473" spans="1:15" x14ac:dyDescent="0.2">
      <c r="A473" s="286"/>
      <c r="B473" s="285"/>
      <c r="C473" s="285"/>
      <c r="D473" s="285"/>
      <c r="E473" s="285"/>
      <c r="F473" s="284"/>
      <c r="G473" s="323" t="str">
        <f>IF(B473="","",VLOOKUP(IF((B473-F473)*10&lt;-10,-10,IF((B473-F473)*10&gt;10,10,(B473-F473)*10)),'Rank Progression'!$K$2:$L$22,2,FALSE))</f>
        <v/>
      </c>
      <c r="I473" s="323"/>
      <c r="J473" s="323"/>
      <c r="K473" s="323"/>
      <c r="L473" s="323"/>
      <c r="M473" s="323"/>
      <c r="N473" s="323"/>
      <c r="O473" s="323"/>
    </row>
    <row r="474" spans="1:15" x14ac:dyDescent="0.2">
      <c r="A474" s="286"/>
      <c r="B474" s="285"/>
      <c r="C474" s="285"/>
      <c r="D474" s="285"/>
      <c r="E474" s="285"/>
      <c r="F474" s="284"/>
      <c r="G474" s="323" t="str">
        <f>IF(B474="","",VLOOKUP(IF((B474-F474)*10&lt;-10,-10,IF((B474-F474)*10&gt;10,10,(B474-F474)*10)),'Rank Progression'!$K$2:$L$22,2,FALSE))</f>
        <v/>
      </c>
      <c r="I474" s="323"/>
      <c r="J474" s="323"/>
      <c r="K474" s="323"/>
      <c r="L474" s="323"/>
      <c r="M474" s="323"/>
      <c r="N474" s="323"/>
      <c r="O474" s="323"/>
    </row>
    <row r="475" spans="1:15" x14ac:dyDescent="0.2">
      <c r="A475" s="286"/>
      <c r="B475" s="285"/>
      <c r="C475" s="285"/>
      <c r="D475" s="285"/>
      <c r="E475" s="285"/>
      <c r="F475" s="284"/>
      <c r="G475" s="323" t="str">
        <f>IF(B475="","",VLOOKUP(IF((B475-F475)*10&lt;-10,-10,IF((B475-F475)*10&gt;10,10,(B475-F475)*10)),'Rank Progression'!$K$2:$L$22,2,FALSE))</f>
        <v/>
      </c>
      <c r="I475" s="323"/>
      <c r="J475" s="323"/>
      <c r="K475" s="323"/>
      <c r="L475" s="323"/>
      <c r="M475" s="323"/>
      <c r="N475" s="323"/>
      <c r="O475" s="323"/>
    </row>
    <row r="476" spans="1:15" x14ac:dyDescent="0.2">
      <c r="A476" s="286"/>
      <c r="B476" s="285"/>
      <c r="C476" s="285"/>
      <c r="D476" s="285"/>
      <c r="E476" s="285"/>
      <c r="F476" s="284"/>
      <c r="G476" s="323" t="str">
        <f>IF(B476="","",VLOOKUP(IF((B476-F476)*10&lt;-10,-10,IF((B476-F476)*10&gt;10,10,(B476-F476)*10)),'Rank Progression'!$K$2:$L$22,2,FALSE))</f>
        <v/>
      </c>
      <c r="I476" s="323"/>
      <c r="J476" s="323"/>
      <c r="K476" s="323"/>
      <c r="L476" s="323"/>
      <c r="M476" s="323"/>
      <c r="N476" s="323"/>
      <c r="O476" s="323"/>
    </row>
    <row r="477" spans="1:15" x14ac:dyDescent="0.2">
      <c r="A477" s="286"/>
      <c r="B477" s="285"/>
      <c r="C477" s="285"/>
      <c r="D477" s="285"/>
      <c r="E477" s="285"/>
      <c r="F477" s="284"/>
      <c r="G477" s="323" t="str">
        <f>IF(B477="","",VLOOKUP(IF((B477-F477)*10&lt;-10,-10,IF((B477-F477)*10&gt;10,10,(B477-F477)*10)),'Rank Progression'!$K$2:$L$22,2,FALSE))</f>
        <v/>
      </c>
      <c r="I477" s="323"/>
      <c r="J477" s="323"/>
      <c r="K477" s="323"/>
      <c r="L477" s="323"/>
      <c r="M477" s="323"/>
      <c r="N477" s="323"/>
      <c r="O477" s="323"/>
    </row>
    <row r="478" spans="1:15" x14ac:dyDescent="0.2">
      <c r="A478" s="286"/>
      <c r="B478" s="285"/>
      <c r="C478" s="285"/>
      <c r="D478" s="285"/>
      <c r="E478" s="285"/>
      <c r="F478" s="284"/>
      <c r="G478" s="323" t="str">
        <f>IF(B478="","",VLOOKUP(IF((B478-F478)*10&lt;-10,-10,IF((B478-F478)*10&gt;10,10,(B478-F478)*10)),'Rank Progression'!$K$2:$L$22,2,FALSE))</f>
        <v/>
      </c>
      <c r="I478" s="323"/>
      <c r="J478" s="323"/>
      <c r="K478" s="323"/>
      <c r="L478" s="323"/>
      <c r="M478" s="323"/>
      <c r="N478" s="323"/>
      <c r="O478" s="323"/>
    </row>
    <row r="479" spans="1:15" x14ac:dyDescent="0.2">
      <c r="A479" s="286"/>
      <c r="B479" s="285"/>
      <c r="C479" s="285"/>
      <c r="D479" s="285"/>
      <c r="E479" s="285"/>
      <c r="F479" s="284"/>
      <c r="G479" s="323" t="str">
        <f>IF(B479="","",VLOOKUP(IF((B479-F479)*10&lt;-10,-10,IF((B479-F479)*10&gt;10,10,(B479-F479)*10)),'Rank Progression'!$K$2:$L$22,2,FALSE))</f>
        <v/>
      </c>
      <c r="I479" s="323"/>
      <c r="J479" s="323"/>
      <c r="K479" s="323"/>
      <c r="L479" s="323"/>
      <c r="M479" s="323"/>
      <c r="N479" s="323"/>
      <c r="O479" s="323"/>
    </row>
    <row r="480" spans="1:15" x14ac:dyDescent="0.2">
      <c r="A480" s="286"/>
      <c r="B480" s="285"/>
      <c r="C480" s="285"/>
      <c r="D480" s="285"/>
      <c r="E480" s="285"/>
      <c r="F480" s="284"/>
      <c r="G480" s="323" t="str">
        <f>IF(B480="","",VLOOKUP(IF((B480-F480)*10&lt;-10,-10,IF((B480-F480)*10&gt;10,10,(B480-F480)*10)),'Rank Progression'!$K$2:$L$22,2,FALSE))</f>
        <v/>
      </c>
      <c r="I480" s="323"/>
      <c r="J480" s="323"/>
      <c r="K480" s="323"/>
      <c r="L480" s="323"/>
      <c r="M480" s="323"/>
      <c r="N480" s="323"/>
      <c r="O480" s="323"/>
    </row>
    <row r="481" spans="1:15" x14ac:dyDescent="0.2">
      <c r="A481" s="286"/>
      <c r="B481" s="285"/>
      <c r="C481" s="285"/>
      <c r="D481" s="285"/>
      <c r="E481" s="285"/>
      <c r="F481" s="284"/>
      <c r="G481" s="323" t="str">
        <f>IF(B481="","",VLOOKUP(IF((B481-F481)*10&lt;-10,-10,IF((B481-F481)*10&gt;10,10,(B481-F481)*10)),'Rank Progression'!$K$2:$L$22,2,FALSE))</f>
        <v/>
      </c>
      <c r="I481" s="323"/>
      <c r="J481" s="323"/>
      <c r="K481" s="323"/>
      <c r="L481" s="323"/>
      <c r="M481" s="323"/>
      <c r="N481" s="323"/>
      <c r="O481" s="323"/>
    </row>
    <row r="482" spans="1:15" x14ac:dyDescent="0.2">
      <c r="A482" s="286"/>
      <c r="B482" s="285"/>
      <c r="C482" s="285"/>
      <c r="D482" s="285"/>
      <c r="E482" s="285"/>
      <c r="F482" s="284"/>
      <c r="G482" s="323" t="str">
        <f>IF(B482="","",VLOOKUP(IF((B482-F482)*10&lt;-10,-10,IF((B482-F482)*10&gt;10,10,(B482-F482)*10)),'Rank Progression'!$K$2:$L$22,2,FALSE))</f>
        <v/>
      </c>
      <c r="I482" s="323"/>
      <c r="J482" s="323"/>
      <c r="K482" s="323"/>
      <c r="L482" s="323"/>
      <c r="M482" s="323"/>
      <c r="N482" s="323"/>
      <c r="O482" s="323"/>
    </row>
    <row r="483" spans="1:15" x14ac:dyDescent="0.2">
      <c r="A483" s="286"/>
      <c r="B483" s="285"/>
      <c r="C483" s="285"/>
      <c r="D483" s="285"/>
      <c r="E483" s="285"/>
      <c r="F483" s="284"/>
      <c r="G483" s="323" t="str">
        <f>IF(B483="","",VLOOKUP(IF((B483-F483)*10&lt;-10,-10,IF((B483-F483)*10&gt;10,10,(B483-F483)*10)),'Rank Progression'!$K$2:$L$22,2,FALSE))</f>
        <v/>
      </c>
      <c r="I483" s="323"/>
      <c r="J483" s="323"/>
      <c r="K483" s="323"/>
      <c r="L483" s="323"/>
      <c r="M483" s="323"/>
      <c r="N483" s="323"/>
      <c r="O483" s="323"/>
    </row>
    <row r="484" spans="1:15" x14ac:dyDescent="0.2">
      <c r="A484" s="286"/>
      <c r="B484" s="285"/>
      <c r="C484" s="285"/>
      <c r="D484" s="285"/>
      <c r="E484" s="285"/>
      <c r="F484" s="284"/>
      <c r="G484" s="323" t="str">
        <f>IF(B484="","",VLOOKUP(IF((B484-F484)*10&lt;-10,-10,IF((B484-F484)*10&gt;10,10,(B484-F484)*10)),'Rank Progression'!$K$2:$L$22,2,FALSE))</f>
        <v/>
      </c>
      <c r="I484" s="323"/>
      <c r="J484" s="323"/>
      <c r="K484" s="323"/>
      <c r="L484" s="323"/>
      <c r="M484" s="323"/>
      <c r="N484" s="323"/>
      <c r="O484" s="323"/>
    </row>
    <row r="485" spans="1:15" x14ac:dyDescent="0.2">
      <c r="A485" s="286"/>
      <c r="B485" s="285"/>
      <c r="C485" s="285"/>
      <c r="D485" s="285"/>
      <c r="E485" s="285"/>
      <c r="F485" s="284"/>
      <c r="G485" s="323" t="str">
        <f>IF(B485="","",VLOOKUP(IF((B485-F485)*10&lt;-10,-10,IF((B485-F485)*10&gt;10,10,(B485-F485)*10)),'Rank Progression'!$K$2:$L$22,2,FALSE))</f>
        <v/>
      </c>
      <c r="I485" s="323"/>
      <c r="J485" s="323"/>
      <c r="K485" s="323"/>
      <c r="L485" s="323"/>
      <c r="M485" s="323"/>
      <c r="N485" s="323"/>
      <c r="O485" s="323"/>
    </row>
    <row r="486" spans="1:15" x14ac:dyDescent="0.2">
      <c r="A486" s="286"/>
      <c r="B486" s="285"/>
      <c r="C486" s="285"/>
      <c r="D486" s="285"/>
      <c r="E486" s="285"/>
      <c r="F486" s="284"/>
      <c r="G486" s="323" t="str">
        <f>IF(B486="","",VLOOKUP(IF((B486-F486)*10&lt;-10,-10,IF((B486-F486)*10&gt;10,10,(B486-F486)*10)),'Rank Progression'!$K$2:$L$22,2,FALSE))</f>
        <v/>
      </c>
      <c r="I486" s="323"/>
      <c r="J486" s="323"/>
      <c r="K486" s="323"/>
      <c r="L486" s="323"/>
      <c r="M486" s="323"/>
      <c r="N486" s="323"/>
      <c r="O486" s="323"/>
    </row>
    <row r="487" spans="1:15" x14ac:dyDescent="0.2">
      <c r="A487" s="286"/>
      <c r="B487" s="285"/>
      <c r="C487" s="285"/>
      <c r="D487" s="285"/>
      <c r="E487" s="285"/>
      <c r="F487" s="284"/>
      <c r="G487" s="323" t="str">
        <f>IF(B487="","",VLOOKUP(IF((B487-F487)*10&lt;-10,-10,IF((B487-F487)*10&gt;10,10,(B487-F487)*10)),'Rank Progression'!$K$2:$L$22,2,FALSE))</f>
        <v/>
      </c>
      <c r="I487" s="323"/>
      <c r="J487" s="323"/>
      <c r="K487" s="323"/>
      <c r="L487" s="323"/>
      <c r="M487" s="323"/>
      <c r="N487" s="323"/>
      <c r="O487" s="323"/>
    </row>
    <row r="488" spans="1:15" x14ac:dyDescent="0.2">
      <c r="A488" s="286"/>
      <c r="B488" s="285"/>
      <c r="C488" s="285"/>
      <c r="D488" s="285"/>
      <c r="E488" s="285"/>
      <c r="F488" s="284"/>
      <c r="G488" s="323" t="str">
        <f>IF(B488="","",VLOOKUP(IF((B488-F488)*10&lt;-10,-10,IF((B488-F488)*10&gt;10,10,(B488-F488)*10)),'Rank Progression'!$K$2:$L$22,2,FALSE))</f>
        <v/>
      </c>
      <c r="I488" s="323"/>
      <c r="J488" s="323"/>
      <c r="K488" s="323"/>
      <c r="L488" s="323"/>
      <c r="M488" s="323"/>
      <c r="N488" s="323"/>
      <c r="O488" s="323"/>
    </row>
    <row r="489" spans="1:15" x14ac:dyDescent="0.2">
      <c r="A489" s="286"/>
      <c r="B489" s="285"/>
      <c r="C489" s="285"/>
      <c r="D489" s="285"/>
      <c r="E489" s="285"/>
      <c r="F489" s="284"/>
      <c r="G489" s="323" t="str">
        <f>IF(B489="","",VLOOKUP(IF((B489-F489)*10&lt;-10,-10,IF((B489-F489)*10&gt;10,10,(B489-F489)*10)),'Rank Progression'!$K$2:$L$22,2,FALSE))</f>
        <v/>
      </c>
      <c r="I489" s="323"/>
      <c r="J489" s="323"/>
      <c r="K489" s="323"/>
      <c r="L489" s="323"/>
      <c r="M489" s="323"/>
      <c r="N489" s="323"/>
      <c r="O489" s="323"/>
    </row>
    <row r="490" spans="1:15" x14ac:dyDescent="0.2">
      <c r="A490" s="286"/>
      <c r="B490" s="285"/>
      <c r="C490" s="285"/>
      <c r="D490" s="285"/>
      <c r="E490" s="285"/>
      <c r="F490" s="284"/>
      <c r="G490" s="323" t="str">
        <f>IF(B490="","",VLOOKUP(IF((B490-F490)*10&lt;-10,-10,IF((B490-F490)*10&gt;10,10,(B490-F490)*10)),'Rank Progression'!$K$2:$L$22,2,FALSE))</f>
        <v/>
      </c>
      <c r="I490" s="323"/>
      <c r="J490" s="323"/>
      <c r="K490" s="323"/>
      <c r="L490" s="323"/>
      <c r="M490" s="323"/>
      <c r="N490" s="323"/>
      <c r="O490" s="323"/>
    </row>
    <row r="491" spans="1:15" x14ac:dyDescent="0.2">
      <c r="A491" s="286"/>
      <c r="B491" s="285"/>
      <c r="C491" s="285"/>
      <c r="D491" s="285"/>
      <c r="E491" s="285"/>
      <c r="F491" s="284"/>
      <c r="G491" s="323" t="str">
        <f>IF(B491="","",VLOOKUP(IF((B491-F491)*10&lt;-10,-10,IF((B491-F491)*10&gt;10,10,(B491-F491)*10)),'Rank Progression'!$K$2:$L$22,2,FALSE))</f>
        <v/>
      </c>
      <c r="I491" s="323"/>
      <c r="J491" s="323"/>
      <c r="K491" s="323"/>
      <c r="L491" s="323"/>
      <c r="M491" s="323"/>
      <c r="N491" s="323"/>
      <c r="O491" s="323"/>
    </row>
    <row r="492" spans="1:15" x14ac:dyDescent="0.2">
      <c r="A492" s="286"/>
      <c r="B492" s="285"/>
      <c r="C492" s="285"/>
      <c r="D492" s="285"/>
      <c r="E492" s="285"/>
      <c r="F492" s="284"/>
      <c r="G492" s="323" t="str">
        <f>IF(B492="","",VLOOKUP(IF((B492-F492)*10&lt;-10,-10,IF((B492-F492)*10&gt;10,10,(B492-F492)*10)),'Rank Progression'!$K$2:$L$22,2,FALSE))</f>
        <v/>
      </c>
      <c r="I492" s="323"/>
      <c r="J492" s="323"/>
      <c r="K492" s="323"/>
      <c r="L492" s="323"/>
      <c r="M492" s="323"/>
      <c r="N492" s="323"/>
      <c r="O492" s="323"/>
    </row>
    <row r="493" spans="1:15" x14ac:dyDescent="0.2">
      <c r="A493" s="286"/>
      <c r="B493" s="285"/>
      <c r="C493" s="285"/>
      <c r="D493" s="285"/>
      <c r="E493" s="285"/>
      <c r="F493" s="284"/>
      <c r="G493" s="323" t="str">
        <f>IF(B493="","",VLOOKUP(IF((B493-F493)*10&lt;-10,-10,IF((B493-F493)*10&gt;10,10,(B493-F493)*10)),'Rank Progression'!$K$2:$L$22,2,FALSE))</f>
        <v/>
      </c>
      <c r="I493" s="323"/>
      <c r="J493" s="323"/>
      <c r="K493" s="323"/>
      <c r="L493" s="323"/>
      <c r="M493" s="323"/>
      <c r="N493" s="323"/>
      <c r="O493" s="323"/>
    </row>
    <row r="494" spans="1:15" x14ac:dyDescent="0.2">
      <c r="A494" s="286"/>
      <c r="B494" s="285"/>
      <c r="C494" s="285"/>
      <c r="D494" s="285"/>
      <c r="E494" s="285"/>
      <c r="F494" s="284"/>
      <c r="G494" s="323" t="str">
        <f>IF(B494="","",VLOOKUP(IF((B494-F494)*10&lt;-10,-10,IF((B494-F494)*10&gt;10,10,(B494-F494)*10)),'Rank Progression'!$K$2:$L$22,2,FALSE))</f>
        <v/>
      </c>
      <c r="I494" s="323"/>
      <c r="J494" s="323"/>
      <c r="K494" s="323"/>
      <c r="L494" s="323"/>
      <c r="M494" s="323"/>
      <c r="N494" s="323"/>
      <c r="O494" s="323"/>
    </row>
    <row r="495" spans="1:15" x14ac:dyDescent="0.2">
      <c r="A495" s="286"/>
      <c r="B495" s="285"/>
      <c r="C495" s="285"/>
      <c r="D495" s="285"/>
      <c r="E495" s="285"/>
      <c r="F495" s="284"/>
      <c r="G495" s="323" t="str">
        <f>IF(B495="","",VLOOKUP(IF((B495-F495)*10&lt;-10,-10,IF((B495-F495)*10&gt;10,10,(B495-F495)*10)),'Rank Progression'!$K$2:$L$22,2,FALSE))</f>
        <v/>
      </c>
      <c r="I495" s="323"/>
      <c r="J495" s="323"/>
      <c r="K495" s="323"/>
      <c r="L495" s="323"/>
      <c r="M495" s="323"/>
      <c r="N495" s="323"/>
      <c r="O495" s="323"/>
    </row>
    <row r="496" spans="1:15" x14ac:dyDescent="0.2">
      <c r="A496" s="286"/>
      <c r="B496" s="285"/>
      <c r="C496" s="285"/>
      <c r="D496" s="285"/>
      <c r="E496" s="285"/>
      <c r="F496" s="284"/>
      <c r="G496" s="323" t="str">
        <f>IF(B496="","",VLOOKUP(IF((B496-F496)*10&lt;-10,-10,IF((B496-F496)*10&gt;10,10,(B496-F496)*10)),'Rank Progression'!$K$2:$L$22,2,FALSE))</f>
        <v/>
      </c>
      <c r="I496" s="323"/>
      <c r="J496" s="323"/>
      <c r="K496" s="323"/>
      <c r="L496" s="323"/>
      <c r="M496" s="323"/>
      <c r="N496" s="323"/>
      <c r="O496" s="323"/>
    </row>
    <row r="497" spans="1:15" x14ac:dyDescent="0.2">
      <c r="A497" s="286"/>
      <c r="B497" s="285"/>
      <c r="C497" s="285"/>
      <c r="D497" s="285"/>
      <c r="E497" s="285"/>
      <c r="F497" s="284"/>
      <c r="G497" s="323" t="str">
        <f>IF(B497="","",VLOOKUP(IF((B497-F497)*10&lt;-10,-10,IF((B497-F497)*10&gt;10,10,(B497-F497)*10)),'Rank Progression'!$K$2:$L$22,2,FALSE))</f>
        <v/>
      </c>
      <c r="I497" s="323"/>
      <c r="J497" s="323"/>
      <c r="K497" s="323"/>
      <c r="L497" s="323"/>
      <c r="M497" s="323"/>
      <c r="N497" s="323"/>
      <c r="O497" s="323"/>
    </row>
    <row r="498" spans="1:15" x14ac:dyDescent="0.2">
      <c r="A498" s="286"/>
      <c r="B498" s="285"/>
      <c r="C498" s="285"/>
      <c r="D498" s="285"/>
      <c r="E498" s="285"/>
      <c r="F498" s="284"/>
      <c r="G498" s="323" t="str">
        <f>IF(B498="","",VLOOKUP(IF((B498-F498)*10&lt;-10,-10,IF((B498-F498)*10&gt;10,10,(B498-F498)*10)),'Rank Progression'!$K$2:$L$22,2,FALSE))</f>
        <v/>
      </c>
      <c r="I498" s="323"/>
      <c r="J498" s="323"/>
      <c r="K498" s="323"/>
      <c r="L498" s="323"/>
      <c r="M498" s="323"/>
      <c r="N498" s="323"/>
      <c r="O498" s="323"/>
    </row>
    <row r="499" spans="1:15" x14ac:dyDescent="0.2">
      <c r="A499" s="286"/>
      <c r="B499" s="285"/>
      <c r="C499" s="285"/>
      <c r="D499" s="285"/>
      <c r="E499" s="285"/>
      <c r="F499" s="284"/>
      <c r="G499" s="323" t="str">
        <f>IF(B499="","",VLOOKUP(IF((B499-F499)*10&lt;-10,-10,IF((B499-F499)*10&gt;10,10,(B499-F499)*10)),'Rank Progression'!$K$2:$L$22,2,FALSE))</f>
        <v/>
      </c>
      <c r="I499" s="323"/>
      <c r="J499" s="323"/>
      <c r="K499" s="323"/>
      <c r="L499" s="323"/>
      <c r="M499" s="323"/>
      <c r="N499" s="323"/>
      <c r="O499" s="323"/>
    </row>
    <row r="500" spans="1:15" x14ac:dyDescent="0.2">
      <c r="A500" s="286"/>
      <c r="B500" s="285"/>
      <c r="C500" s="285"/>
      <c r="D500" s="285"/>
      <c r="E500" s="285"/>
      <c r="F500" s="284"/>
      <c r="G500" s="323" t="str">
        <f>IF(B500="","",VLOOKUP(IF((B500-F500)*10&lt;-10,-10,IF((B500-F500)*10&gt;10,10,(B500-F500)*10)),'Rank Progression'!$K$2:$L$22,2,FALSE))</f>
        <v/>
      </c>
      <c r="I500" s="323"/>
      <c r="J500" s="323"/>
      <c r="K500" s="323"/>
      <c r="L500" s="323"/>
      <c r="M500" s="323"/>
      <c r="N500" s="323"/>
      <c r="O500" s="323"/>
    </row>
    <row r="501" spans="1:15" x14ac:dyDescent="0.2">
      <c r="A501" s="286"/>
      <c r="B501" s="285"/>
      <c r="C501" s="285"/>
      <c r="D501" s="285"/>
      <c r="E501" s="285"/>
      <c r="F501" s="284"/>
      <c r="G501" s="323" t="str">
        <f>IF(B501="","",VLOOKUP(IF((B501-F501)*10&lt;-10,-10,IF((B501-F501)*10&gt;10,10,(B501-F501)*10)),'Rank Progression'!$K$2:$L$22,2,FALSE))</f>
        <v/>
      </c>
      <c r="I501" s="323"/>
      <c r="J501" s="323"/>
      <c r="K501" s="323"/>
      <c r="L501" s="323"/>
      <c r="M501" s="323"/>
      <c r="N501" s="323"/>
      <c r="O501" s="323"/>
    </row>
    <row r="502" spans="1:15" x14ac:dyDescent="0.2">
      <c r="A502" s="286"/>
      <c r="B502" s="285"/>
      <c r="C502" s="285"/>
      <c r="D502" s="285"/>
      <c r="E502" s="285"/>
      <c r="F502" s="284"/>
      <c r="G502" s="323" t="str">
        <f>IF(B502="","",VLOOKUP(IF((B502-F502)*10&lt;-10,-10,IF((B502-F502)*10&gt;10,10,(B502-F502)*10)),'Rank Progression'!$K$2:$L$22,2,FALSE))</f>
        <v/>
      </c>
      <c r="I502" s="323"/>
      <c r="J502" s="323"/>
      <c r="K502" s="323"/>
      <c r="L502" s="323"/>
      <c r="M502" s="323"/>
      <c r="N502" s="323"/>
      <c r="O502" s="323"/>
    </row>
    <row r="503" spans="1:15" x14ac:dyDescent="0.2">
      <c r="A503" s="286"/>
      <c r="B503" s="285"/>
      <c r="C503" s="285"/>
      <c r="D503" s="285"/>
      <c r="E503" s="285"/>
      <c r="F503" s="284"/>
      <c r="G503" s="323" t="str">
        <f>IF(B503="","",VLOOKUP(IF((B503-F503)*10&lt;-10,-10,IF((B503-F503)*10&gt;10,10,(B503-F503)*10)),'Rank Progression'!$K$2:$L$22,2,FALSE))</f>
        <v/>
      </c>
      <c r="I503" s="323"/>
      <c r="J503" s="323"/>
      <c r="K503" s="323"/>
      <c r="L503" s="323"/>
      <c r="M503" s="323"/>
      <c r="N503" s="323"/>
      <c r="O503" s="323"/>
    </row>
    <row r="504" spans="1:15" x14ac:dyDescent="0.2">
      <c r="A504" s="286"/>
      <c r="B504" s="285"/>
      <c r="C504" s="285"/>
      <c r="D504" s="285"/>
      <c r="E504" s="285"/>
      <c r="F504" s="284"/>
      <c r="G504" s="323" t="str">
        <f>IF(B504="","",VLOOKUP(IF((B504-F504)*10&lt;-10,-10,IF((B504-F504)*10&gt;10,10,(B504-F504)*10)),'Rank Progression'!$K$2:$L$22,2,FALSE))</f>
        <v/>
      </c>
      <c r="I504" s="323"/>
      <c r="J504" s="323"/>
      <c r="K504" s="323"/>
      <c r="L504" s="323"/>
      <c r="M504" s="323"/>
      <c r="N504" s="323"/>
      <c r="O504" s="323"/>
    </row>
    <row r="505" spans="1:15" x14ac:dyDescent="0.2">
      <c r="A505" s="286"/>
      <c r="B505" s="285"/>
      <c r="C505" s="285"/>
      <c r="D505" s="285"/>
      <c r="E505" s="285"/>
      <c r="F505" s="284"/>
      <c r="G505" s="323" t="str">
        <f>IF(B505="","",VLOOKUP(IF((B505-F505)*10&lt;-10,-10,IF((B505-F505)*10&gt;10,10,(B505-F505)*10)),'Rank Progression'!$K$2:$L$22,2,FALSE))</f>
        <v/>
      </c>
      <c r="I505" s="323"/>
      <c r="J505" s="323"/>
      <c r="K505" s="323"/>
      <c r="L505" s="323"/>
      <c r="M505" s="323"/>
      <c r="N505" s="323"/>
      <c r="O505" s="323"/>
    </row>
    <row r="506" spans="1:15" x14ac:dyDescent="0.2">
      <c r="A506" s="286"/>
      <c r="B506" s="285"/>
      <c r="C506" s="285"/>
      <c r="D506" s="285"/>
      <c r="E506" s="285"/>
      <c r="F506" s="284"/>
      <c r="G506" s="323" t="str">
        <f>IF(B506="","",VLOOKUP(IF((B506-F506)*10&lt;-10,-10,IF((B506-F506)*10&gt;10,10,(B506-F506)*10)),'Rank Progression'!$K$2:$L$22,2,FALSE))</f>
        <v/>
      </c>
      <c r="I506" s="323"/>
      <c r="J506" s="323"/>
      <c r="K506" s="323"/>
      <c r="L506" s="323"/>
      <c r="M506" s="323"/>
      <c r="N506" s="323"/>
      <c r="O506" s="323"/>
    </row>
    <row r="507" spans="1:15" x14ac:dyDescent="0.2">
      <c r="A507" s="286"/>
      <c r="B507" s="285"/>
      <c r="C507" s="285"/>
      <c r="D507" s="285"/>
      <c r="E507" s="285"/>
      <c r="F507" s="284"/>
      <c r="G507" s="323" t="str">
        <f>IF(B507="","",VLOOKUP(IF((B507-F507)*10&lt;-10,-10,IF((B507-F507)*10&gt;10,10,(B507-F507)*10)),'Rank Progression'!$K$2:$L$22,2,FALSE))</f>
        <v/>
      </c>
      <c r="I507" s="323"/>
      <c r="J507" s="323"/>
      <c r="K507" s="323"/>
      <c r="L507" s="323"/>
      <c r="M507" s="323"/>
      <c r="N507" s="323"/>
      <c r="O507" s="323"/>
    </row>
    <row r="508" spans="1:15" x14ac:dyDescent="0.2">
      <c r="A508" s="286"/>
      <c r="B508" s="285"/>
      <c r="C508" s="285"/>
      <c r="D508" s="285"/>
      <c r="E508" s="285"/>
      <c r="F508" s="284"/>
      <c r="G508" s="323" t="str">
        <f>IF(B508="","",VLOOKUP(IF((B508-F508)*10&lt;-10,-10,IF((B508-F508)*10&gt;10,10,(B508-F508)*10)),'Rank Progression'!$K$2:$L$22,2,FALSE))</f>
        <v/>
      </c>
      <c r="I508" s="323"/>
      <c r="J508" s="323"/>
      <c r="K508" s="323"/>
      <c r="L508" s="323"/>
      <c r="M508" s="323"/>
      <c r="N508" s="323"/>
      <c r="O508" s="323"/>
    </row>
    <row r="509" spans="1:15" x14ac:dyDescent="0.2">
      <c r="A509" s="286"/>
      <c r="B509" s="285"/>
      <c r="C509" s="285"/>
      <c r="D509" s="285"/>
      <c r="E509" s="285"/>
      <c r="F509" s="284"/>
      <c r="G509" s="323" t="str">
        <f>IF(B509="","",VLOOKUP(IF((B509-F509)*10&lt;-10,-10,IF((B509-F509)*10&gt;10,10,(B509-F509)*10)),'Rank Progression'!$K$2:$L$22,2,FALSE))</f>
        <v/>
      </c>
      <c r="I509" s="323"/>
      <c r="J509" s="323"/>
      <c r="K509" s="323"/>
      <c r="L509" s="323"/>
      <c r="M509" s="323"/>
      <c r="N509" s="323"/>
      <c r="O509" s="323"/>
    </row>
    <row r="510" spans="1:15" x14ac:dyDescent="0.2">
      <c r="A510" s="286"/>
      <c r="B510" s="285"/>
      <c r="C510" s="285"/>
      <c r="D510" s="285"/>
      <c r="E510" s="285"/>
      <c r="F510" s="284"/>
      <c r="G510" s="323" t="str">
        <f>IF(B510="","",VLOOKUP(IF((B510-F510)*10&lt;-10,-10,IF((B510-F510)*10&gt;10,10,(B510-F510)*10)),'Rank Progression'!$K$2:$L$22,2,FALSE))</f>
        <v/>
      </c>
      <c r="I510" s="323"/>
      <c r="J510" s="323"/>
      <c r="K510" s="323"/>
      <c r="L510" s="323"/>
      <c r="M510" s="323"/>
      <c r="N510" s="323"/>
      <c r="O510" s="323"/>
    </row>
    <row r="511" spans="1:15" x14ac:dyDescent="0.2">
      <c r="A511" s="286"/>
      <c r="B511" s="285"/>
      <c r="C511" s="285"/>
      <c r="D511" s="285"/>
      <c r="E511" s="285"/>
      <c r="F511" s="284"/>
      <c r="G511" s="323" t="str">
        <f>IF(B511="","",VLOOKUP(IF((B511-F511)*10&lt;-10,-10,IF((B511-F511)*10&gt;10,10,(B511-F511)*10)),'Rank Progression'!$K$2:$L$22,2,FALSE))</f>
        <v/>
      </c>
      <c r="I511" s="323"/>
      <c r="J511" s="323"/>
      <c r="K511" s="323"/>
      <c r="L511" s="323"/>
      <c r="M511" s="323"/>
      <c r="N511" s="323"/>
      <c r="O511" s="323"/>
    </row>
    <row r="512" spans="1:15" x14ac:dyDescent="0.2">
      <c r="A512" s="286"/>
      <c r="B512" s="285"/>
      <c r="C512" s="285"/>
      <c r="D512" s="285"/>
      <c r="E512" s="285"/>
      <c r="F512" s="284"/>
      <c r="G512" s="323" t="str">
        <f>IF(B512="","",VLOOKUP(IF((B512-F512)*10&lt;-10,-10,IF((B512-F512)*10&gt;10,10,(B512-F512)*10)),'Rank Progression'!$K$2:$L$22,2,FALSE))</f>
        <v/>
      </c>
      <c r="I512" s="323"/>
      <c r="J512" s="323"/>
      <c r="K512" s="323"/>
      <c r="L512" s="323"/>
      <c r="M512" s="323"/>
      <c r="N512" s="323"/>
      <c r="O512" s="323"/>
    </row>
    <row r="513" spans="1:15" x14ac:dyDescent="0.2">
      <c r="A513" s="286"/>
      <c r="B513" s="285"/>
      <c r="C513" s="285"/>
      <c r="D513" s="285"/>
      <c r="E513" s="285"/>
      <c r="F513" s="284"/>
      <c r="G513" s="323" t="str">
        <f>IF(B513="","",VLOOKUP(IF((B513-F513)*10&lt;-10,-10,IF((B513-F513)*10&gt;10,10,(B513-F513)*10)),'Rank Progression'!$K$2:$L$22,2,FALSE))</f>
        <v/>
      </c>
      <c r="I513" s="323"/>
      <c r="J513" s="323"/>
      <c r="K513" s="323"/>
      <c r="L513" s="323"/>
      <c r="M513" s="323"/>
      <c r="N513" s="323"/>
      <c r="O513" s="323"/>
    </row>
    <row r="514" spans="1:15" x14ac:dyDescent="0.2">
      <c r="A514" s="286"/>
      <c r="B514" s="285"/>
      <c r="C514" s="285"/>
      <c r="D514" s="285"/>
      <c r="E514" s="285"/>
      <c r="F514" s="284"/>
      <c r="G514" s="323" t="str">
        <f>IF(B514="","",VLOOKUP(IF((B514-F514)*10&lt;-10,-10,IF((B514-F514)*10&gt;10,10,(B514-F514)*10)),'Rank Progression'!$K$2:$L$22,2,FALSE))</f>
        <v/>
      </c>
      <c r="I514" s="323"/>
      <c r="J514" s="323"/>
      <c r="K514" s="323"/>
      <c r="L514" s="323"/>
      <c r="M514" s="323"/>
      <c r="N514" s="323"/>
      <c r="O514" s="323"/>
    </row>
    <row r="515" spans="1:15" x14ac:dyDescent="0.2">
      <c r="A515" s="286"/>
      <c r="B515" s="285"/>
      <c r="C515" s="285"/>
      <c r="D515" s="285"/>
      <c r="E515" s="285"/>
      <c r="F515" s="284"/>
      <c r="G515" s="323" t="str">
        <f>IF(B515="","",VLOOKUP(IF((B515-F515)*10&lt;-10,-10,IF((B515-F515)*10&gt;10,10,(B515-F515)*10)),'Rank Progression'!$K$2:$L$22,2,FALSE))</f>
        <v/>
      </c>
      <c r="I515" s="323"/>
      <c r="J515" s="323"/>
      <c r="K515" s="323"/>
      <c r="L515" s="323"/>
      <c r="M515" s="323"/>
      <c r="N515" s="323"/>
      <c r="O515" s="323"/>
    </row>
    <row r="516" spans="1:15" x14ac:dyDescent="0.2">
      <c r="A516" s="286"/>
      <c r="B516" s="285"/>
      <c r="C516" s="285"/>
      <c r="D516" s="285"/>
      <c r="E516" s="285"/>
      <c r="F516" s="284"/>
      <c r="G516" s="323" t="str">
        <f>IF(B516="","",VLOOKUP(IF((B516-F516)*10&lt;-10,-10,IF((B516-F516)*10&gt;10,10,(B516-F516)*10)),'Rank Progression'!$K$2:$L$22,2,FALSE))</f>
        <v/>
      </c>
      <c r="I516" s="323"/>
      <c r="J516" s="323"/>
      <c r="K516" s="323"/>
      <c r="L516" s="323"/>
      <c r="M516" s="323"/>
      <c r="N516" s="323"/>
      <c r="O516" s="323"/>
    </row>
    <row r="517" spans="1:15" x14ac:dyDescent="0.2">
      <c r="A517" s="286"/>
      <c r="B517" s="285"/>
      <c r="C517" s="285"/>
      <c r="D517" s="285"/>
      <c r="E517" s="285"/>
      <c r="F517" s="284"/>
      <c r="G517" s="323" t="str">
        <f>IF(B517="","",VLOOKUP(IF((B517-F517)*10&lt;-10,-10,IF((B517-F517)*10&gt;10,10,(B517-F517)*10)),'Rank Progression'!$K$2:$L$22,2,FALSE))</f>
        <v/>
      </c>
      <c r="I517" s="323"/>
      <c r="J517" s="323"/>
      <c r="K517" s="323"/>
      <c r="L517" s="323"/>
      <c r="M517" s="323"/>
      <c r="N517" s="323"/>
      <c r="O517" s="323"/>
    </row>
    <row r="518" spans="1:15" x14ac:dyDescent="0.2">
      <c r="A518" s="286"/>
      <c r="B518" s="285"/>
      <c r="C518" s="285"/>
      <c r="D518" s="285"/>
      <c r="E518" s="285"/>
      <c r="F518" s="284"/>
      <c r="G518" s="323" t="str">
        <f>IF(B518="","",VLOOKUP(IF((B518-F518)*10&lt;-10,-10,IF((B518-F518)*10&gt;10,10,(B518-F518)*10)),'Rank Progression'!$K$2:$L$22,2,FALSE))</f>
        <v/>
      </c>
      <c r="I518" s="323"/>
      <c r="J518" s="323"/>
      <c r="K518" s="323"/>
      <c r="L518" s="323"/>
      <c r="M518" s="323"/>
      <c r="N518" s="323"/>
      <c r="O518" s="323"/>
    </row>
    <row r="519" spans="1:15" x14ac:dyDescent="0.2">
      <c r="A519" s="286"/>
      <c r="B519" s="285"/>
      <c r="C519" s="285"/>
      <c r="D519" s="285"/>
      <c r="E519" s="285"/>
      <c r="F519" s="284"/>
      <c r="G519" s="323" t="str">
        <f>IF(B519="","",VLOOKUP(IF((B519-F519)*10&lt;-10,-10,IF((B519-F519)*10&gt;10,10,(B519-F519)*10)),'Rank Progression'!$K$2:$L$22,2,FALSE))</f>
        <v/>
      </c>
      <c r="I519" s="323"/>
      <c r="J519" s="323"/>
      <c r="K519" s="323"/>
      <c r="L519" s="323"/>
      <c r="M519" s="323"/>
      <c r="N519" s="323"/>
      <c r="O519" s="323"/>
    </row>
    <row r="520" spans="1:15" x14ac:dyDescent="0.2">
      <c r="A520" s="286"/>
      <c r="B520" s="285"/>
      <c r="C520" s="285"/>
      <c r="D520" s="285"/>
      <c r="E520" s="285"/>
      <c r="F520" s="284"/>
      <c r="G520" s="323" t="str">
        <f>IF(B520="","",VLOOKUP(IF((B520-F520)*10&lt;-10,-10,IF((B520-F520)*10&gt;10,10,(B520-F520)*10)),'Rank Progression'!$K$2:$L$22,2,FALSE))</f>
        <v/>
      </c>
      <c r="I520" s="323"/>
      <c r="J520" s="323"/>
      <c r="K520" s="323"/>
      <c r="L520" s="323"/>
      <c r="M520" s="323"/>
      <c r="N520" s="323"/>
      <c r="O520" s="323"/>
    </row>
    <row r="521" spans="1:15" x14ac:dyDescent="0.2">
      <c r="A521" s="286"/>
      <c r="B521" s="285"/>
      <c r="C521" s="285"/>
      <c r="D521" s="285"/>
      <c r="E521" s="285"/>
      <c r="F521" s="284"/>
      <c r="G521" s="323" t="str">
        <f>IF(B521="","",VLOOKUP(IF((B521-F521)*10&lt;-10,-10,IF((B521-F521)*10&gt;10,10,(B521-F521)*10)),'Rank Progression'!$K$2:$L$22,2,FALSE))</f>
        <v/>
      </c>
      <c r="I521" s="323"/>
      <c r="J521" s="323"/>
      <c r="K521" s="323"/>
      <c r="L521" s="323"/>
      <c r="M521" s="323"/>
      <c r="N521" s="323"/>
      <c r="O521" s="323"/>
    </row>
    <row r="522" spans="1:15" x14ac:dyDescent="0.2">
      <c r="A522" s="286"/>
      <c r="B522" s="285"/>
      <c r="C522" s="285"/>
      <c r="D522" s="285"/>
      <c r="E522" s="285"/>
      <c r="F522" s="284"/>
      <c r="G522" s="323" t="str">
        <f>IF(B522="","",VLOOKUP(IF((B522-F522)*10&lt;-10,-10,IF((B522-F522)*10&gt;10,10,(B522-F522)*10)),'Rank Progression'!$K$2:$L$22,2,FALSE))</f>
        <v/>
      </c>
      <c r="I522" s="323"/>
      <c r="J522" s="323"/>
      <c r="K522" s="323"/>
      <c r="L522" s="323"/>
      <c r="M522" s="323"/>
      <c r="N522" s="323"/>
      <c r="O522" s="323"/>
    </row>
    <row r="523" spans="1:15" x14ac:dyDescent="0.2">
      <c r="A523" s="286"/>
      <c r="B523" s="285"/>
      <c r="C523" s="285"/>
      <c r="D523" s="285"/>
      <c r="E523" s="285"/>
      <c r="F523" s="284"/>
      <c r="G523" s="323" t="str">
        <f>IF(B523="","",VLOOKUP(IF((B523-F523)*10&lt;-10,-10,IF((B523-F523)*10&gt;10,10,(B523-F523)*10)),'Rank Progression'!$K$2:$L$22,2,FALSE))</f>
        <v/>
      </c>
      <c r="I523" s="323"/>
      <c r="J523" s="323"/>
      <c r="K523" s="323"/>
      <c r="L523" s="323"/>
      <c r="M523" s="323"/>
      <c r="N523" s="323"/>
      <c r="O523" s="323"/>
    </row>
    <row r="524" spans="1:15" x14ac:dyDescent="0.2">
      <c r="A524" s="286"/>
      <c r="B524" s="285"/>
      <c r="C524" s="285"/>
      <c r="D524" s="285"/>
      <c r="E524" s="285"/>
      <c r="F524" s="284"/>
      <c r="G524" s="323" t="str">
        <f>IF(B524="","",VLOOKUP(IF((B524-F524)*10&lt;-10,-10,IF((B524-F524)*10&gt;10,10,(B524-F524)*10)),'Rank Progression'!$K$2:$L$22,2,FALSE))</f>
        <v/>
      </c>
      <c r="I524" s="323"/>
      <c r="J524" s="323"/>
      <c r="K524" s="323"/>
      <c r="L524" s="323"/>
      <c r="M524" s="323"/>
      <c r="N524" s="323"/>
      <c r="O524" s="323"/>
    </row>
    <row r="525" spans="1:15" x14ac:dyDescent="0.2">
      <c r="A525" s="286"/>
      <c r="B525" s="285"/>
      <c r="C525" s="285"/>
      <c r="D525" s="285"/>
      <c r="E525" s="285"/>
      <c r="F525" s="284"/>
      <c r="G525" s="323" t="str">
        <f>IF(B525="","",VLOOKUP(IF((B525-F525)*10&lt;-10,-10,IF((B525-F525)*10&gt;10,10,(B525-F525)*10)),'Rank Progression'!$K$2:$L$22,2,FALSE))</f>
        <v/>
      </c>
      <c r="I525" s="323"/>
      <c r="J525" s="323"/>
      <c r="K525" s="323"/>
      <c r="L525" s="323"/>
      <c r="M525" s="323"/>
      <c r="N525" s="323"/>
      <c r="O525" s="323"/>
    </row>
    <row r="526" spans="1:15" x14ac:dyDescent="0.2">
      <c r="A526" s="286"/>
      <c r="B526" s="285"/>
      <c r="C526" s="285"/>
      <c r="D526" s="285"/>
      <c r="E526" s="285"/>
      <c r="F526" s="284"/>
      <c r="G526" s="323" t="str">
        <f>IF(B526="","",VLOOKUP(IF((B526-F526)*10&lt;-10,-10,IF((B526-F526)*10&gt;10,10,(B526-F526)*10)),'Rank Progression'!$K$2:$L$22,2,FALSE))</f>
        <v/>
      </c>
      <c r="I526" s="323"/>
      <c r="J526" s="323"/>
      <c r="K526" s="323"/>
      <c r="L526" s="323"/>
      <c r="M526" s="323"/>
      <c r="N526" s="323"/>
      <c r="O526" s="323"/>
    </row>
    <row r="527" spans="1:15" x14ac:dyDescent="0.2">
      <c r="A527" s="286"/>
      <c r="B527" s="285"/>
      <c r="C527" s="285"/>
      <c r="D527" s="285"/>
      <c r="E527" s="285"/>
      <c r="F527" s="284"/>
      <c r="G527" s="323" t="str">
        <f>IF(B527="","",VLOOKUP(IF((B527-F527)*10&lt;-10,-10,IF((B527-F527)*10&gt;10,10,(B527-F527)*10)),'Rank Progression'!$K$2:$L$22,2,FALSE))</f>
        <v/>
      </c>
      <c r="I527" s="323"/>
      <c r="J527" s="323"/>
      <c r="K527" s="323"/>
      <c r="L527" s="323"/>
      <c r="M527" s="323"/>
      <c r="N527" s="323"/>
      <c r="O527" s="323"/>
    </row>
    <row r="528" spans="1:15" x14ac:dyDescent="0.2">
      <c r="A528" s="286"/>
      <c r="B528" s="285"/>
      <c r="C528" s="285"/>
      <c r="D528" s="285"/>
      <c r="E528" s="285"/>
      <c r="F528" s="284"/>
      <c r="G528" s="323" t="str">
        <f>IF(B528="","",VLOOKUP(IF((B528-F528)*10&lt;-10,-10,IF((B528-F528)*10&gt;10,10,(B528-F528)*10)),'Rank Progression'!$K$2:$L$22,2,FALSE))</f>
        <v/>
      </c>
      <c r="I528" s="323"/>
      <c r="J528" s="323"/>
      <c r="K528" s="323"/>
      <c r="L528" s="323"/>
      <c r="M528" s="323"/>
      <c r="N528" s="323"/>
      <c r="O528" s="323"/>
    </row>
    <row r="529" spans="1:15" x14ac:dyDescent="0.2">
      <c r="A529" s="286"/>
      <c r="B529" s="285"/>
      <c r="C529" s="285"/>
      <c r="D529" s="285"/>
      <c r="E529" s="285"/>
      <c r="F529" s="284"/>
      <c r="G529" s="323" t="str">
        <f>IF(B529="","",VLOOKUP(IF((B529-F529)*10&lt;-10,-10,IF((B529-F529)*10&gt;10,10,(B529-F529)*10)),'Rank Progression'!$K$2:$L$22,2,FALSE))</f>
        <v/>
      </c>
      <c r="I529" s="323"/>
      <c r="J529" s="323"/>
      <c r="K529" s="323"/>
      <c r="L529" s="323"/>
      <c r="M529" s="323"/>
      <c r="N529" s="323"/>
      <c r="O529" s="323"/>
    </row>
    <row r="530" spans="1:15" x14ac:dyDescent="0.2">
      <c r="A530" s="286"/>
      <c r="B530" s="285"/>
      <c r="C530" s="285"/>
      <c r="D530" s="285"/>
      <c r="E530" s="285"/>
      <c r="F530" s="284"/>
      <c r="G530" s="323" t="str">
        <f>IF(B530="","",VLOOKUP(IF((B530-F530)*10&lt;-10,-10,IF((B530-F530)*10&gt;10,10,(B530-F530)*10)),'Rank Progression'!$K$2:$L$22,2,FALSE))</f>
        <v/>
      </c>
      <c r="I530" s="323"/>
      <c r="J530" s="323"/>
      <c r="K530" s="323"/>
      <c r="L530" s="323"/>
      <c r="M530" s="323"/>
      <c r="N530" s="323"/>
      <c r="O530" s="323"/>
    </row>
    <row r="531" spans="1:15" x14ac:dyDescent="0.2">
      <c r="A531" s="286"/>
      <c r="B531" s="285"/>
      <c r="C531" s="285"/>
      <c r="D531" s="285"/>
      <c r="E531" s="285"/>
      <c r="F531" s="284"/>
      <c r="G531" s="323" t="str">
        <f>IF(B531="","",VLOOKUP(IF((B531-F531)*10&lt;-10,-10,IF((B531-F531)*10&gt;10,10,(B531-F531)*10)),'Rank Progression'!$K$2:$L$22,2,FALSE))</f>
        <v/>
      </c>
      <c r="I531" s="323"/>
      <c r="J531" s="323"/>
      <c r="K531" s="323"/>
      <c r="L531" s="323"/>
      <c r="M531" s="323"/>
      <c r="N531" s="323"/>
      <c r="O531" s="323"/>
    </row>
    <row r="532" spans="1:15" x14ac:dyDescent="0.2">
      <c r="A532" s="286"/>
      <c r="B532" s="285"/>
      <c r="C532" s="285"/>
      <c r="D532" s="285"/>
      <c r="E532" s="285"/>
      <c r="F532" s="284"/>
      <c r="G532" s="323" t="str">
        <f>IF(B532="","",VLOOKUP(IF((B532-F532)*10&lt;-10,-10,IF((B532-F532)*10&gt;10,10,(B532-F532)*10)),'Rank Progression'!$K$2:$L$22,2,FALSE))</f>
        <v/>
      </c>
      <c r="I532" s="323"/>
      <c r="J532" s="323"/>
      <c r="K532" s="323"/>
      <c r="L532" s="323"/>
      <c r="M532" s="323"/>
      <c r="N532" s="323"/>
      <c r="O532" s="323"/>
    </row>
    <row r="533" spans="1:15" x14ac:dyDescent="0.2">
      <c r="A533" s="286"/>
      <c r="B533" s="285"/>
      <c r="C533" s="285"/>
      <c r="D533" s="285"/>
      <c r="E533" s="285"/>
      <c r="F533" s="284"/>
      <c r="G533" s="323" t="str">
        <f>IF(B533="","",VLOOKUP(IF((B533-F533)*10&lt;-10,-10,IF((B533-F533)*10&gt;10,10,(B533-F533)*10)),'Rank Progression'!$K$2:$L$22,2,FALSE))</f>
        <v/>
      </c>
      <c r="I533" s="323"/>
      <c r="J533" s="323"/>
      <c r="K533" s="323"/>
      <c r="L533" s="323"/>
      <c r="M533" s="323"/>
      <c r="N533" s="323"/>
      <c r="O533" s="323"/>
    </row>
    <row r="534" spans="1:15" x14ac:dyDescent="0.2">
      <c r="A534" s="286"/>
      <c r="B534" s="285"/>
      <c r="C534" s="285"/>
      <c r="D534" s="285"/>
      <c r="E534" s="285"/>
      <c r="F534" s="284"/>
      <c r="G534" s="323" t="str">
        <f>IF(B534="","",VLOOKUP(IF((B534-F534)*10&lt;-10,-10,IF((B534-F534)*10&gt;10,10,(B534-F534)*10)),'Rank Progression'!$K$2:$L$22,2,FALSE))</f>
        <v/>
      </c>
      <c r="I534" s="323"/>
      <c r="J534" s="323"/>
      <c r="K534" s="323"/>
      <c r="L534" s="323"/>
      <c r="M534" s="323"/>
      <c r="N534" s="323"/>
      <c r="O534" s="323"/>
    </row>
    <row r="535" spans="1:15" x14ac:dyDescent="0.2">
      <c r="A535" s="286"/>
      <c r="B535" s="285"/>
      <c r="C535" s="285"/>
      <c r="D535" s="285"/>
      <c r="E535" s="285"/>
      <c r="F535" s="284"/>
      <c r="G535" s="323" t="str">
        <f>IF(B535="","",VLOOKUP(IF((B535-F535)*10&lt;-10,-10,IF((B535-F535)*10&gt;10,10,(B535-F535)*10)),'Rank Progression'!$K$2:$L$22,2,FALSE))</f>
        <v/>
      </c>
      <c r="I535" s="323"/>
      <c r="J535" s="323"/>
      <c r="K535" s="323"/>
      <c r="L535" s="323"/>
      <c r="M535" s="323"/>
      <c r="N535" s="323"/>
      <c r="O535" s="323"/>
    </row>
    <row r="536" spans="1:15" x14ac:dyDescent="0.2">
      <c r="A536" s="286"/>
      <c r="B536" s="285"/>
      <c r="C536" s="285"/>
      <c r="D536" s="285"/>
      <c r="E536" s="285"/>
      <c r="F536" s="284"/>
      <c r="G536" s="323" t="str">
        <f>IF(B536="","",VLOOKUP(IF((B536-F536)*10&lt;-10,-10,IF((B536-F536)*10&gt;10,10,(B536-F536)*10)),'Rank Progression'!$K$2:$L$22,2,FALSE))</f>
        <v/>
      </c>
      <c r="I536" s="323"/>
      <c r="J536" s="323"/>
      <c r="K536" s="323"/>
      <c r="L536" s="323"/>
      <c r="M536" s="323"/>
      <c r="N536" s="323"/>
      <c r="O536" s="323"/>
    </row>
    <row r="537" spans="1:15" x14ac:dyDescent="0.2">
      <c r="A537" s="286"/>
      <c r="B537" s="285"/>
      <c r="C537" s="285"/>
      <c r="D537" s="285"/>
      <c r="E537" s="285"/>
      <c r="F537" s="284"/>
      <c r="G537" s="323" t="str">
        <f>IF(B537="","",VLOOKUP(IF((B537-F537)*10&lt;-10,-10,IF((B537-F537)*10&gt;10,10,(B537-F537)*10)),'Rank Progression'!$K$2:$L$22,2,FALSE))</f>
        <v/>
      </c>
      <c r="I537" s="323"/>
      <c r="J537" s="323"/>
      <c r="K537" s="323"/>
      <c r="L537" s="323"/>
      <c r="M537" s="323"/>
      <c r="N537" s="323"/>
      <c r="O537" s="323"/>
    </row>
    <row r="538" spans="1:15" x14ac:dyDescent="0.2">
      <c r="A538" s="286"/>
      <c r="B538" s="285"/>
      <c r="C538" s="285"/>
      <c r="D538" s="285"/>
      <c r="E538" s="285"/>
      <c r="F538" s="284"/>
      <c r="G538" s="323" t="str">
        <f>IF(B538="","",VLOOKUP(IF((B538-F538)*10&lt;-10,-10,IF((B538-F538)*10&gt;10,10,(B538-F538)*10)),'Rank Progression'!$K$2:$L$22,2,FALSE))</f>
        <v/>
      </c>
      <c r="I538" s="323"/>
      <c r="J538" s="323"/>
      <c r="K538" s="323"/>
      <c r="L538" s="323"/>
      <c r="M538" s="323"/>
      <c r="N538" s="323"/>
      <c r="O538" s="323"/>
    </row>
    <row r="539" spans="1:15" x14ac:dyDescent="0.2">
      <c r="A539" s="286"/>
      <c r="B539" s="285"/>
      <c r="C539" s="285"/>
      <c r="D539" s="285"/>
      <c r="E539" s="285"/>
      <c r="F539" s="284"/>
      <c r="G539" s="323" t="str">
        <f>IF(B539="","",VLOOKUP(IF((B539-F539)*10&lt;-10,-10,IF((B539-F539)*10&gt;10,10,(B539-F539)*10)),'Rank Progression'!$K$2:$L$22,2,FALSE))</f>
        <v/>
      </c>
      <c r="I539" s="323"/>
      <c r="J539" s="323"/>
      <c r="K539" s="323"/>
      <c r="L539" s="323"/>
      <c r="M539" s="323"/>
      <c r="N539" s="323"/>
      <c r="O539" s="323"/>
    </row>
    <row r="540" spans="1:15" x14ac:dyDescent="0.2">
      <c r="A540" s="286"/>
      <c r="B540" s="285"/>
      <c r="C540" s="285"/>
      <c r="D540" s="285"/>
      <c r="E540" s="285"/>
      <c r="F540" s="284"/>
      <c r="G540" s="323" t="str">
        <f>IF(B540="","",VLOOKUP(IF((B540-F540)*10&lt;-10,-10,IF((B540-F540)*10&gt;10,10,(B540-F540)*10)),'Rank Progression'!$K$2:$L$22,2,FALSE))</f>
        <v/>
      </c>
      <c r="I540" s="323"/>
      <c r="J540" s="323"/>
      <c r="K540" s="323"/>
      <c r="L540" s="323"/>
      <c r="M540" s="323"/>
      <c r="N540" s="323"/>
      <c r="O540" s="323"/>
    </row>
    <row r="541" spans="1:15" x14ac:dyDescent="0.2">
      <c r="A541" s="286"/>
      <c r="B541" s="285"/>
      <c r="C541" s="285"/>
      <c r="D541" s="285"/>
      <c r="E541" s="285"/>
      <c r="F541" s="284"/>
      <c r="G541" s="323" t="str">
        <f>IF(B541="","",VLOOKUP(IF((B541-F541)*10&lt;-10,-10,IF((B541-F541)*10&gt;10,10,(B541-F541)*10)),'Rank Progression'!$K$2:$L$22,2,FALSE))</f>
        <v/>
      </c>
      <c r="I541" s="323"/>
      <c r="J541" s="323"/>
      <c r="K541" s="323"/>
      <c r="L541" s="323"/>
      <c r="M541" s="323"/>
      <c r="N541" s="323"/>
      <c r="O541" s="323"/>
    </row>
    <row r="542" spans="1:15" x14ac:dyDescent="0.2">
      <c r="A542" s="286"/>
      <c r="B542" s="285"/>
      <c r="C542" s="285"/>
      <c r="D542" s="285"/>
      <c r="E542" s="285"/>
      <c r="F542" s="284"/>
      <c r="G542" s="323" t="str">
        <f>IF(B542="","",VLOOKUP(IF((B542-F542)*10&lt;-10,-10,IF((B542-F542)*10&gt;10,10,(B542-F542)*10)),'Rank Progression'!$K$2:$L$22,2,FALSE))</f>
        <v/>
      </c>
      <c r="I542" s="323"/>
      <c r="J542" s="323"/>
      <c r="K542" s="323"/>
      <c r="L542" s="323"/>
      <c r="M542" s="323"/>
      <c r="N542" s="323"/>
      <c r="O542" s="323"/>
    </row>
    <row r="543" spans="1:15" x14ac:dyDescent="0.2">
      <c r="A543" s="286"/>
      <c r="B543" s="285"/>
      <c r="C543" s="285"/>
      <c r="D543" s="285"/>
      <c r="E543" s="285"/>
      <c r="F543" s="284"/>
      <c r="G543" s="323" t="str">
        <f>IF(B543="","",VLOOKUP(IF((B543-F543)*10&lt;-10,-10,IF((B543-F543)*10&gt;10,10,(B543-F543)*10)),'Rank Progression'!$K$2:$L$22,2,FALSE))</f>
        <v/>
      </c>
      <c r="I543" s="323"/>
      <c r="J543" s="323"/>
      <c r="K543" s="323"/>
      <c r="L543" s="323"/>
      <c r="M543" s="323"/>
      <c r="N543" s="323"/>
      <c r="O543" s="323"/>
    </row>
    <row r="544" spans="1:15" x14ac:dyDescent="0.2">
      <c r="A544" s="286"/>
      <c r="B544" s="285"/>
      <c r="C544" s="285"/>
      <c r="D544" s="285"/>
      <c r="E544" s="285"/>
      <c r="F544" s="284"/>
      <c r="G544" s="323" t="str">
        <f>IF(B544="","",VLOOKUP(IF((B544-F544)*10&lt;-10,-10,IF((B544-F544)*10&gt;10,10,(B544-F544)*10)),'Rank Progression'!$K$2:$L$22,2,FALSE))</f>
        <v/>
      </c>
      <c r="I544" s="323"/>
      <c r="J544" s="323"/>
      <c r="K544" s="323"/>
      <c r="L544" s="323"/>
      <c r="M544" s="323"/>
      <c r="N544" s="323"/>
      <c r="O544" s="323"/>
    </row>
    <row r="545" spans="1:15" x14ac:dyDescent="0.2">
      <c r="A545" s="286"/>
      <c r="B545" s="285"/>
      <c r="C545" s="285"/>
      <c r="D545" s="285"/>
      <c r="E545" s="285"/>
      <c r="F545" s="284"/>
      <c r="G545" s="323" t="str">
        <f>IF(B545="","",VLOOKUP(IF((B545-F545)*10&lt;-10,-10,IF((B545-F545)*10&gt;10,10,(B545-F545)*10)),'Rank Progression'!$K$2:$L$22,2,FALSE))</f>
        <v/>
      </c>
      <c r="I545" s="323"/>
      <c r="J545" s="323"/>
      <c r="K545" s="323"/>
      <c r="L545" s="323"/>
      <c r="M545" s="323"/>
      <c r="N545" s="323"/>
      <c r="O545" s="323"/>
    </row>
    <row r="546" spans="1:15" x14ac:dyDescent="0.2">
      <c r="A546" s="286"/>
      <c r="B546" s="285"/>
      <c r="C546" s="285"/>
      <c r="D546" s="285"/>
      <c r="E546" s="285"/>
      <c r="F546" s="284"/>
      <c r="G546" s="323" t="str">
        <f>IF(B546="","",VLOOKUP(IF((B546-F546)*10&lt;-10,-10,IF((B546-F546)*10&gt;10,10,(B546-F546)*10)),'Rank Progression'!$K$2:$L$22,2,FALSE))</f>
        <v/>
      </c>
      <c r="I546" s="323"/>
      <c r="J546" s="323"/>
      <c r="K546" s="323"/>
      <c r="L546" s="323"/>
      <c r="M546" s="323"/>
      <c r="N546" s="323"/>
      <c r="O546" s="323"/>
    </row>
    <row r="547" spans="1:15" x14ac:dyDescent="0.2">
      <c r="A547" s="286"/>
      <c r="B547" s="285"/>
      <c r="C547" s="285"/>
      <c r="D547" s="285"/>
      <c r="E547" s="285"/>
      <c r="F547" s="284"/>
      <c r="G547" s="323" t="str">
        <f>IF(B547="","",VLOOKUP(IF((B547-F547)*10&lt;-10,-10,IF((B547-F547)*10&gt;10,10,(B547-F547)*10)),'Rank Progression'!$K$2:$L$22,2,FALSE))</f>
        <v/>
      </c>
      <c r="I547" s="323"/>
      <c r="J547" s="323"/>
      <c r="K547" s="323"/>
      <c r="L547" s="323"/>
      <c r="M547" s="323"/>
      <c r="N547" s="323"/>
      <c r="O547" s="323"/>
    </row>
    <row r="548" spans="1:15" x14ac:dyDescent="0.2">
      <c r="A548" s="286"/>
      <c r="B548" s="285"/>
      <c r="C548" s="285"/>
      <c r="D548" s="285"/>
      <c r="E548" s="285"/>
      <c r="F548" s="284"/>
      <c r="G548" s="323" t="str">
        <f>IF(B548="","",VLOOKUP(IF((B548-F548)*10&lt;-10,-10,IF((B548-F548)*10&gt;10,10,(B548-F548)*10)),'Rank Progression'!$K$2:$L$22,2,FALSE))</f>
        <v/>
      </c>
      <c r="I548" s="323"/>
      <c r="J548" s="323"/>
      <c r="K548" s="323"/>
      <c r="L548" s="323"/>
      <c r="M548" s="323"/>
      <c r="N548" s="323"/>
      <c r="O548" s="323"/>
    </row>
    <row r="549" spans="1:15" x14ac:dyDescent="0.2">
      <c r="A549" s="286"/>
      <c r="B549" s="285"/>
      <c r="C549" s="285"/>
      <c r="D549" s="285"/>
      <c r="E549" s="285"/>
      <c r="F549" s="284"/>
      <c r="G549" s="323" t="str">
        <f>IF(B549="","",VLOOKUP(IF((B549-F549)*10&lt;-10,-10,IF((B549-F549)*10&gt;10,10,(B549-F549)*10)),'Rank Progression'!$K$2:$L$22,2,FALSE))</f>
        <v/>
      </c>
      <c r="I549" s="323"/>
      <c r="J549" s="323"/>
      <c r="K549" s="323"/>
      <c r="L549" s="323"/>
      <c r="M549" s="323"/>
      <c r="N549" s="323"/>
      <c r="O549" s="323"/>
    </row>
    <row r="550" spans="1:15" x14ac:dyDescent="0.2">
      <c r="A550" s="286"/>
      <c r="B550" s="285"/>
      <c r="C550" s="285"/>
      <c r="D550" s="285"/>
      <c r="E550" s="285"/>
      <c r="F550" s="284"/>
      <c r="G550" s="323" t="str">
        <f>IF(B550="","",VLOOKUP(IF((B550-F550)*10&lt;-10,-10,IF((B550-F550)*10&gt;10,10,(B550-F550)*10)),'Rank Progression'!$K$2:$L$22,2,FALSE))</f>
        <v/>
      </c>
      <c r="I550" s="323"/>
      <c r="J550" s="323"/>
      <c r="K550" s="323"/>
      <c r="L550" s="323"/>
      <c r="M550" s="323"/>
      <c r="N550" s="323"/>
      <c r="O550" s="323"/>
    </row>
    <row r="551" spans="1:15" x14ac:dyDescent="0.2">
      <c r="A551" s="286"/>
      <c r="B551" s="285"/>
      <c r="C551" s="285"/>
      <c r="D551" s="285"/>
      <c r="E551" s="285"/>
      <c r="F551" s="284"/>
      <c r="G551" s="323" t="str">
        <f>IF(B551="","",VLOOKUP(IF((B551-F551)*10&lt;-10,-10,IF((B551-F551)*10&gt;10,10,(B551-F551)*10)),'Rank Progression'!$K$2:$L$22,2,FALSE))</f>
        <v/>
      </c>
      <c r="I551" s="323"/>
      <c r="J551" s="323"/>
      <c r="K551" s="323"/>
      <c r="L551" s="323"/>
      <c r="M551" s="323"/>
      <c r="N551" s="323"/>
      <c r="O551" s="323"/>
    </row>
    <row r="552" spans="1:15" x14ac:dyDescent="0.2">
      <c r="A552" s="286"/>
      <c r="B552" s="285"/>
      <c r="C552" s="285"/>
      <c r="D552" s="285"/>
      <c r="E552" s="285"/>
      <c r="F552" s="284"/>
      <c r="G552" s="323" t="str">
        <f>IF(B552="","",VLOOKUP(IF((B552-F552)*10&lt;-10,-10,IF((B552-F552)*10&gt;10,10,(B552-F552)*10)),'Rank Progression'!$K$2:$L$22,2,FALSE))</f>
        <v/>
      </c>
      <c r="I552" s="323"/>
      <c r="J552" s="323"/>
      <c r="K552" s="323"/>
      <c r="L552" s="323"/>
      <c r="M552" s="323"/>
      <c r="N552" s="323"/>
      <c r="O552" s="323"/>
    </row>
    <row r="553" spans="1:15" x14ac:dyDescent="0.2">
      <c r="A553" s="286"/>
      <c r="B553" s="285"/>
      <c r="C553" s="285"/>
      <c r="D553" s="285"/>
      <c r="E553" s="285"/>
      <c r="F553" s="284"/>
      <c r="G553" s="323" t="str">
        <f>IF(B553="","",VLOOKUP(IF((B553-F553)*10&lt;-10,-10,IF((B553-F553)*10&gt;10,10,(B553-F553)*10)),'Rank Progression'!$K$2:$L$22,2,FALSE))</f>
        <v/>
      </c>
      <c r="I553" s="323"/>
      <c r="J553" s="323"/>
      <c r="K553" s="323"/>
      <c r="L553" s="323"/>
      <c r="M553" s="323"/>
      <c r="N553" s="323"/>
      <c r="O553" s="323"/>
    </row>
    <row r="554" spans="1:15" x14ac:dyDescent="0.2">
      <c r="A554" s="286"/>
      <c r="B554" s="285"/>
      <c r="C554" s="285"/>
      <c r="D554" s="285"/>
      <c r="E554" s="285"/>
      <c r="F554" s="284"/>
      <c r="G554" s="323" t="str">
        <f>IF(B554="","",VLOOKUP(IF((B554-F554)*10&lt;-10,-10,IF((B554-F554)*10&gt;10,10,(B554-F554)*10)),'Rank Progression'!$K$2:$L$22,2,FALSE))</f>
        <v/>
      </c>
      <c r="I554" s="323"/>
      <c r="J554" s="323"/>
      <c r="K554" s="323"/>
      <c r="L554" s="323"/>
      <c r="M554" s="323"/>
      <c r="N554" s="323"/>
      <c r="O554" s="323"/>
    </row>
    <row r="555" spans="1:15" x14ac:dyDescent="0.2">
      <c r="A555" s="286"/>
      <c r="B555" s="285"/>
      <c r="C555" s="285"/>
      <c r="D555" s="285"/>
      <c r="E555" s="285"/>
      <c r="F555" s="284"/>
      <c r="G555" s="323" t="str">
        <f>IF(B555="","",VLOOKUP(IF((B555-F555)*10&lt;-10,-10,IF((B555-F555)*10&gt;10,10,(B555-F555)*10)),'Rank Progression'!$K$2:$L$22,2,FALSE))</f>
        <v/>
      </c>
      <c r="I555" s="323"/>
      <c r="J555" s="323"/>
      <c r="K555" s="323"/>
      <c r="L555" s="323"/>
      <c r="M555" s="323"/>
      <c r="N555" s="323"/>
      <c r="O555" s="323"/>
    </row>
    <row r="556" spans="1:15" x14ac:dyDescent="0.2">
      <c r="A556" s="286"/>
      <c r="B556" s="285"/>
      <c r="C556" s="285"/>
      <c r="D556" s="285"/>
      <c r="E556" s="285"/>
      <c r="F556" s="284"/>
      <c r="G556" s="323" t="str">
        <f>IF(B556="","",VLOOKUP(IF((B556-F556)*10&lt;-10,-10,IF((B556-F556)*10&gt;10,10,(B556-F556)*10)),'Rank Progression'!$K$2:$L$22,2,FALSE))</f>
        <v/>
      </c>
      <c r="I556" s="323"/>
      <c r="J556" s="323"/>
      <c r="K556" s="323"/>
      <c r="L556" s="323"/>
      <c r="M556" s="323"/>
      <c r="N556" s="323"/>
      <c r="O556" s="323"/>
    </row>
    <row r="557" spans="1:15" x14ac:dyDescent="0.2">
      <c r="A557" s="286"/>
      <c r="B557" s="285"/>
      <c r="C557" s="285"/>
      <c r="D557" s="285"/>
      <c r="E557" s="285"/>
      <c r="F557" s="284"/>
      <c r="G557" s="323" t="str">
        <f>IF(B557="","",VLOOKUP(IF((B557-F557)*10&lt;-10,-10,IF((B557-F557)*10&gt;10,10,(B557-F557)*10)),'Rank Progression'!$K$2:$L$22,2,FALSE))</f>
        <v/>
      </c>
      <c r="I557" s="323"/>
      <c r="J557" s="323"/>
      <c r="K557" s="323"/>
      <c r="L557" s="323"/>
      <c r="M557" s="323"/>
      <c r="N557" s="323"/>
      <c r="O557" s="323"/>
    </row>
    <row r="558" spans="1:15" x14ac:dyDescent="0.2">
      <c r="A558" s="286"/>
      <c r="B558" s="285"/>
      <c r="C558" s="285"/>
      <c r="D558" s="285"/>
      <c r="E558" s="285"/>
      <c r="F558" s="284"/>
      <c r="G558" s="323" t="str">
        <f>IF(B558="","",VLOOKUP(IF((B558-F558)*10&lt;-10,-10,IF((B558-F558)*10&gt;10,10,(B558-F558)*10)),'Rank Progression'!$K$2:$L$22,2,FALSE))</f>
        <v/>
      </c>
      <c r="I558" s="323"/>
      <c r="J558" s="323"/>
      <c r="K558" s="323"/>
      <c r="L558" s="323"/>
      <c r="M558" s="323"/>
      <c r="N558" s="323"/>
      <c r="O558" s="323"/>
    </row>
    <row r="559" spans="1:15" x14ac:dyDescent="0.2">
      <c r="A559" s="286"/>
      <c r="B559" s="285"/>
      <c r="C559" s="285"/>
      <c r="D559" s="285"/>
      <c r="E559" s="285"/>
      <c r="F559" s="284"/>
      <c r="G559" s="323" t="str">
        <f>IF(B559="","",VLOOKUP(IF((B559-F559)*10&lt;-10,-10,IF((B559-F559)*10&gt;10,10,(B559-F559)*10)),'Rank Progression'!$K$2:$L$22,2,FALSE))</f>
        <v/>
      </c>
      <c r="I559" s="323"/>
      <c r="J559" s="323"/>
      <c r="K559" s="323"/>
      <c r="L559" s="323"/>
      <c r="M559" s="323"/>
      <c r="N559" s="323"/>
      <c r="O559" s="323"/>
    </row>
    <row r="560" spans="1:15" x14ac:dyDescent="0.2">
      <c r="A560" s="286"/>
      <c r="B560" s="285"/>
      <c r="C560" s="285"/>
      <c r="D560" s="285"/>
      <c r="E560" s="285"/>
      <c r="F560" s="284"/>
      <c r="G560" s="323" t="str">
        <f>IF(B560="","",VLOOKUP(IF((B560-F560)*10&lt;-10,-10,IF((B560-F560)*10&gt;10,10,(B560-F560)*10)),'Rank Progression'!$K$2:$L$22,2,FALSE))</f>
        <v/>
      </c>
      <c r="I560" s="323"/>
      <c r="J560" s="323"/>
      <c r="K560" s="323"/>
      <c r="L560" s="323"/>
      <c r="M560" s="323"/>
      <c r="N560" s="323"/>
      <c r="O560" s="323"/>
    </row>
    <row r="561" spans="1:15" x14ac:dyDescent="0.2">
      <c r="A561" s="286"/>
      <c r="B561" s="285"/>
      <c r="C561" s="285"/>
      <c r="D561" s="285"/>
      <c r="E561" s="285"/>
      <c r="F561" s="284"/>
      <c r="G561" s="323" t="str">
        <f>IF(B561="","",VLOOKUP(IF((B561-F561)*10&lt;-10,-10,IF((B561-F561)*10&gt;10,10,(B561-F561)*10)),'Rank Progression'!$K$2:$L$22,2,FALSE))</f>
        <v/>
      </c>
      <c r="I561" s="323"/>
      <c r="J561" s="323"/>
      <c r="K561" s="323"/>
      <c r="L561" s="323"/>
      <c r="M561" s="323"/>
      <c r="N561" s="323"/>
      <c r="O561" s="323"/>
    </row>
    <row r="562" spans="1:15" x14ac:dyDescent="0.2">
      <c r="A562" s="286"/>
      <c r="B562" s="285"/>
      <c r="C562" s="285"/>
      <c r="D562" s="285"/>
      <c r="E562" s="285"/>
      <c r="F562" s="284"/>
      <c r="G562" s="323" t="str">
        <f>IF(B562="","",VLOOKUP(IF((B562-F562)*10&lt;-10,-10,IF((B562-F562)*10&gt;10,10,(B562-F562)*10)),'Rank Progression'!$K$2:$L$22,2,FALSE))</f>
        <v/>
      </c>
      <c r="I562" s="323"/>
      <c r="J562" s="323"/>
      <c r="K562" s="323"/>
      <c r="L562" s="323"/>
      <c r="M562" s="323"/>
      <c r="N562" s="323"/>
      <c r="O562" s="323"/>
    </row>
    <row r="563" spans="1:15" x14ac:dyDescent="0.2">
      <c r="A563" s="286"/>
      <c r="B563" s="285"/>
      <c r="C563" s="285"/>
      <c r="D563" s="285"/>
      <c r="E563" s="285"/>
      <c r="F563" s="284"/>
      <c r="G563" s="323" t="str">
        <f>IF(B563="","",VLOOKUP(IF((B563-F563)*10&lt;-10,-10,IF((B563-F563)*10&gt;10,10,(B563-F563)*10)),'Rank Progression'!$K$2:$L$22,2,FALSE))</f>
        <v/>
      </c>
      <c r="I563" s="323"/>
      <c r="J563" s="323"/>
      <c r="K563" s="323"/>
      <c r="L563" s="323"/>
      <c r="M563" s="323"/>
      <c r="N563" s="323"/>
      <c r="O563" s="323"/>
    </row>
    <row r="564" spans="1:15" x14ac:dyDescent="0.2">
      <c r="A564" s="286"/>
      <c r="B564" s="285"/>
      <c r="C564" s="285"/>
      <c r="D564" s="285"/>
      <c r="E564" s="285"/>
      <c r="F564" s="284"/>
      <c r="G564" s="323" t="str">
        <f>IF(B564="","",VLOOKUP(IF((B564-F564)*10&lt;-10,-10,IF((B564-F564)*10&gt;10,10,(B564-F564)*10)),'Rank Progression'!$K$2:$L$22,2,FALSE))</f>
        <v/>
      </c>
      <c r="I564" s="323"/>
      <c r="J564" s="323"/>
      <c r="K564" s="323"/>
      <c r="L564" s="323"/>
      <c r="M564" s="323"/>
      <c r="N564" s="323"/>
      <c r="O564" s="323"/>
    </row>
    <row r="565" spans="1:15" x14ac:dyDescent="0.2">
      <c r="A565" s="286"/>
      <c r="B565" s="285"/>
      <c r="C565" s="285"/>
      <c r="D565" s="285"/>
      <c r="E565" s="285"/>
      <c r="F565" s="284"/>
      <c r="G565" s="323" t="str">
        <f>IF(B565="","",VLOOKUP(IF((B565-F565)*10&lt;-10,-10,IF((B565-F565)*10&gt;10,10,(B565-F565)*10)),'Rank Progression'!$K$2:$L$22,2,FALSE))</f>
        <v/>
      </c>
      <c r="I565" s="323"/>
      <c r="J565" s="323"/>
      <c r="K565" s="323"/>
      <c r="L565" s="323"/>
      <c r="M565" s="323"/>
      <c r="N565" s="323"/>
      <c r="O565" s="323"/>
    </row>
    <row r="566" spans="1:15" x14ac:dyDescent="0.2">
      <c r="A566" s="286"/>
      <c r="B566" s="285"/>
      <c r="C566" s="285"/>
      <c r="D566" s="285"/>
      <c r="E566" s="285"/>
      <c r="F566" s="284"/>
      <c r="G566" s="323" t="str">
        <f>IF(B566="","",VLOOKUP(IF((B566-F566)*10&lt;-10,-10,IF((B566-F566)*10&gt;10,10,(B566-F566)*10)),'Rank Progression'!$K$2:$L$22,2,FALSE))</f>
        <v/>
      </c>
      <c r="I566" s="323"/>
      <c r="J566" s="323"/>
      <c r="K566" s="323"/>
      <c r="L566" s="323"/>
      <c r="M566" s="323"/>
      <c r="N566" s="323"/>
      <c r="O566" s="323"/>
    </row>
    <row r="567" spans="1:15" x14ac:dyDescent="0.2">
      <c r="A567" s="286"/>
      <c r="B567" s="285"/>
      <c r="C567" s="285"/>
      <c r="D567" s="285"/>
      <c r="E567" s="285"/>
      <c r="F567" s="284"/>
      <c r="G567" s="323" t="str">
        <f>IF(B567="","",VLOOKUP(IF((B567-F567)*10&lt;-10,-10,IF((B567-F567)*10&gt;10,10,(B567-F567)*10)),'Rank Progression'!$K$2:$L$22,2,FALSE))</f>
        <v/>
      </c>
      <c r="I567" s="323"/>
      <c r="J567" s="323"/>
      <c r="K567" s="323"/>
      <c r="L567" s="323"/>
      <c r="M567" s="323"/>
      <c r="N567" s="323"/>
      <c r="O567" s="323"/>
    </row>
    <row r="568" spans="1:15" x14ac:dyDescent="0.2">
      <c r="A568" s="286"/>
      <c r="B568" s="285"/>
      <c r="C568" s="285"/>
      <c r="D568" s="285"/>
      <c r="E568" s="285"/>
      <c r="F568" s="284"/>
      <c r="G568" s="323" t="str">
        <f>IF(B568="","",VLOOKUP(IF((B568-F568)*10&lt;-10,-10,IF((B568-F568)*10&gt;10,10,(B568-F568)*10)),'Rank Progression'!$K$2:$L$22,2,FALSE))</f>
        <v/>
      </c>
      <c r="I568" s="323"/>
      <c r="J568" s="323"/>
      <c r="K568" s="323"/>
      <c r="L568" s="323"/>
      <c r="M568" s="323"/>
      <c r="N568" s="323"/>
      <c r="O568" s="323"/>
    </row>
    <row r="569" spans="1:15" x14ac:dyDescent="0.2">
      <c r="A569" s="286"/>
      <c r="B569" s="285"/>
      <c r="C569" s="285"/>
      <c r="D569" s="285"/>
      <c r="E569" s="285"/>
      <c r="F569" s="284"/>
      <c r="G569" s="323" t="str">
        <f>IF(B569="","",VLOOKUP(IF((B569-F569)*10&lt;-10,-10,IF((B569-F569)*10&gt;10,10,(B569-F569)*10)),'Rank Progression'!$K$2:$L$22,2,FALSE))</f>
        <v/>
      </c>
      <c r="I569" s="323"/>
      <c r="J569" s="323"/>
      <c r="K569" s="323"/>
      <c r="L569" s="323"/>
      <c r="M569" s="323"/>
      <c r="N569" s="323"/>
      <c r="O569" s="323"/>
    </row>
    <row r="570" spans="1:15" x14ac:dyDescent="0.2">
      <c r="A570" s="286"/>
      <c r="B570" s="285"/>
      <c r="C570" s="285"/>
      <c r="D570" s="285"/>
      <c r="E570" s="285"/>
      <c r="F570" s="284"/>
      <c r="G570" s="323" t="str">
        <f>IF(B570="","",VLOOKUP(IF((B570-F570)*10&lt;-10,-10,IF((B570-F570)*10&gt;10,10,(B570-F570)*10)),'Rank Progression'!$K$2:$L$22,2,FALSE))</f>
        <v/>
      </c>
      <c r="I570" s="323"/>
      <c r="J570" s="323"/>
      <c r="K570" s="323"/>
      <c r="L570" s="323"/>
      <c r="M570" s="323"/>
      <c r="N570" s="323"/>
      <c r="O570" s="323"/>
    </row>
    <row r="571" spans="1:15" x14ac:dyDescent="0.2">
      <c r="A571" s="286"/>
      <c r="B571" s="285"/>
      <c r="C571" s="285"/>
      <c r="D571" s="285"/>
      <c r="E571" s="285"/>
      <c r="F571" s="284"/>
      <c r="G571" s="323" t="str">
        <f>IF(B571="","",VLOOKUP(IF((B571-F571)*10&lt;-10,-10,IF((B571-F571)*10&gt;10,10,(B571-F571)*10)),'Rank Progression'!$K$2:$L$22,2,FALSE))</f>
        <v/>
      </c>
      <c r="I571" s="323"/>
      <c r="J571" s="323"/>
      <c r="K571" s="323"/>
      <c r="L571" s="323"/>
      <c r="M571" s="323"/>
      <c r="N571" s="323"/>
      <c r="O571" s="323"/>
    </row>
    <row r="572" spans="1:15" x14ac:dyDescent="0.2">
      <c r="A572" s="286"/>
      <c r="B572" s="285"/>
      <c r="C572" s="285"/>
      <c r="D572" s="285"/>
      <c r="E572" s="285"/>
      <c r="F572" s="284"/>
      <c r="G572" s="323" t="str">
        <f>IF(B572="","",VLOOKUP(IF((B572-F572)*10&lt;-10,-10,IF((B572-F572)*10&gt;10,10,(B572-F572)*10)),'Rank Progression'!$K$2:$L$22,2,FALSE))</f>
        <v/>
      </c>
      <c r="I572" s="323"/>
      <c r="J572" s="323"/>
      <c r="K572" s="323"/>
      <c r="L572" s="323"/>
      <c r="M572" s="323"/>
      <c r="N572" s="323"/>
      <c r="O572" s="323"/>
    </row>
    <row r="573" spans="1:15" x14ac:dyDescent="0.2">
      <c r="A573" s="286"/>
      <c r="B573" s="285"/>
      <c r="C573" s="285"/>
      <c r="D573" s="285"/>
      <c r="E573" s="285"/>
      <c r="F573" s="284"/>
      <c r="G573" s="323" t="str">
        <f>IF(B573="","",VLOOKUP(IF((B573-F573)*10&lt;-10,-10,IF((B573-F573)*10&gt;10,10,(B573-F573)*10)),'Rank Progression'!$K$2:$L$22,2,FALSE))</f>
        <v/>
      </c>
      <c r="I573" s="323"/>
      <c r="J573" s="323"/>
      <c r="K573" s="323"/>
      <c r="L573" s="323"/>
      <c r="M573" s="323"/>
      <c r="N573" s="323"/>
      <c r="O573" s="323"/>
    </row>
    <row r="574" spans="1:15" x14ac:dyDescent="0.2">
      <c r="A574" s="286"/>
      <c r="B574" s="285"/>
      <c r="C574" s="285"/>
      <c r="D574" s="285"/>
      <c r="E574" s="285"/>
      <c r="F574" s="284"/>
      <c r="G574" s="323" t="str">
        <f>IF(B574="","",VLOOKUP(IF((B574-F574)*10&lt;-10,-10,IF((B574-F574)*10&gt;10,10,(B574-F574)*10)),'Rank Progression'!$K$2:$L$22,2,FALSE))</f>
        <v/>
      </c>
      <c r="I574" s="323"/>
      <c r="J574" s="323"/>
      <c r="K574" s="323"/>
      <c r="L574" s="323"/>
      <c r="M574" s="323"/>
      <c r="N574" s="323"/>
      <c r="O574" s="323"/>
    </row>
    <row r="575" spans="1:15" x14ac:dyDescent="0.2">
      <c r="A575" s="286"/>
      <c r="B575" s="285"/>
      <c r="C575" s="285"/>
      <c r="D575" s="285"/>
      <c r="E575" s="285"/>
      <c r="F575" s="284"/>
      <c r="G575" s="323" t="str">
        <f>IF(B575="","",VLOOKUP(IF((B575-F575)*10&lt;-10,-10,IF((B575-F575)*10&gt;10,10,(B575-F575)*10)),'Rank Progression'!$K$2:$L$22,2,FALSE))</f>
        <v/>
      </c>
      <c r="I575" s="323"/>
      <c r="J575" s="323"/>
      <c r="K575" s="323"/>
      <c r="L575" s="323"/>
      <c r="M575" s="323"/>
      <c r="N575" s="323"/>
      <c r="O575" s="323"/>
    </row>
    <row r="576" spans="1:15" x14ac:dyDescent="0.2">
      <c r="A576" s="286"/>
      <c r="B576" s="285"/>
      <c r="C576" s="285"/>
      <c r="D576" s="285"/>
      <c r="E576" s="285"/>
      <c r="F576" s="284"/>
      <c r="G576" s="323" t="str">
        <f>IF(B576="","",VLOOKUP(IF((B576-F576)*10&lt;-10,-10,IF((B576-F576)*10&gt;10,10,(B576-F576)*10)),'Rank Progression'!$K$2:$L$22,2,FALSE))</f>
        <v/>
      </c>
      <c r="I576" s="323"/>
      <c r="J576" s="323"/>
      <c r="K576" s="323"/>
      <c r="L576" s="323"/>
      <c r="M576" s="323"/>
      <c r="N576" s="323"/>
      <c r="O576" s="323"/>
    </row>
    <row r="577" spans="1:15" x14ac:dyDescent="0.2">
      <c r="A577" s="286"/>
      <c r="B577" s="285"/>
      <c r="C577" s="285"/>
      <c r="D577" s="285"/>
      <c r="E577" s="285"/>
      <c r="F577" s="284"/>
      <c r="G577" s="323" t="str">
        <f>IF(B577="","",VLOOKUP(IF((B577-F577)*10&lt;-10,-10,IF((B577-F577)*10&gt;10,10,(B577-F577)*10)),'Rank Progression'!$K$2:$L$22,2,FALSE))</f>
        <v/>
      </c>
      <c r="I577" s="323"/>
      <c r="J577" s="323"/>
      <c r="K577" s="323"/>
      <c r="L577" s="323"/>
      <c r="M577" s="323"/>
      <c r="N577" s="323"/>
      <c r="O577" s="323"/>
    </row>
    <row r="578" spans="1:15" x14ac:dyDescent="0.2">
      <c r="A578" s="286"/>
      <c r="B578" s="285"/>
      <c r="C578" s="285"/>
      <c r="D578" s="285"/>
      <c r="E578" s="285"/>
      <c r="F578" s="284"/>
      <c r="G578" s="323" t="str">
        <f>IF(B578="","",VLOOKUP(IF((B578-F578)*10&lt;-10,-10,IF((B578-F578)*10&gt;10,10,(B578-F578)*10)),'Rank Progression'!$K$2:$L$22,2,FALSE))</f>
        <v/>
      </c>
      <c r="I578" s="323"/>
      <c r="J578" s="323"/>
      <c r="K578" s="323"/>
      <c r="L578" s="323"/>
      <c r="M578" s="323"/>
      <c r="N578" s="323"/>
      <c r="O578" s="323"/>
    </row>
    <row r="579" spans="1:15" x14ac:dyDescent="0.2">
      <c r="A579" s="286"/>
      <c r="B579" s="285"/>
      <c r="C579" s="285"/>
      <c r="D579" s="285"/>
      <c r="E579" s="285"/>
      <c r="F579" s="284"/>
      <c r="G579" s="323" t="str">
        <f>IF(B579="","",VLOOKUP(IF((B579-F579)*10&lt;-10,-10,IF((B579-F579)*10&gt;10,10,(B579-F579)*10)),'Rank Progression'!$K$2:$L$22,2,FALSE))</f>
        <v/>
      </c>
      <c r="I579" s="323"/>
      <c r="J579" s="323"/>
      <c r="K579" s="323"/>
      <c r="L579" s="323"/>
      <c r="M579" s="323"/>
      <c r="N579" s="323"/>
      <c r="O579" s="323"/>
    </row>
    <row r="580" spans="1:15" x14ac:dyDescent="0.2">
      <c r="A580" s="286"/>
      <c r="B580" s="285"/>
      <c r="C580" s="285"/>
      <c r="D580" s="285"/>
      <c r="E580" s="285"/>
      <c r="F580" s="284"/>
      <c r="G580" s="323" t="str">
        <f>IF(B580="","",VLOOKUP(IF((B580-F580)*10&lt;-10,-10,IF((B580-F580)*10&gt;10,10,(B580-F580)*10)),'Rank Progression'!$K$2:$L$22,2,FALSE))</f>
        <v/>
      </c>
      <c r="I580" s="323"/>
      <c r="J580" s="323"/>
      <c r="K580" s="323"/>
      <c r="L580" s="323"/>
      <c r="M580" s="323"/>
      <c r="N580" s="323"/>
      <c r="O580" s="323"/>
    </row>
    <row r="581" spans="1:15" x14ac:dyDescent="0.2">
      <c r="A581" s="286"/>
      <c r="B581" s="285"/>
      <c r="C581" s="285"/>
      <c r="D581" s="285"/>
      <c r="E581" s="285"/>
      <c r="F581" s="284"/>
      <c r="G581" s="323" t="str">
        <f>IF(B581="","",VLOOKUP(IF((B581-F581)*10&lt;-10,-10,IF((B581-F581)*10&gt;10,10,(B581-F581)*10)),'Rank Progression'!$K$2:$L$22,2,FALSE))</f>
        <v/>
      </c>
      <c r="I581" s="323"/>
      <c r="J581" s="323"/>
      <c r="K581" s="323"/>
      <c r="L581" s="323"/>
      <c r="M581" s="323"/>
      <c r="N581" s="323"/>
      <c r="O581" s="323"/>
    </row>
    <row r="582" spans="1:15" x14ac:dyDescent="0.2">
      <c r="A582" s="286"/>
      <c r="B582" s="285"/>
      <c r="C582" s="285"/>
      <c r="D582" s="285"/>
      <c r="E582" s="285"/>
      <c r="F582" s="284"/>
      <c r="G582" s="323" t="str">
        <f>IF(B582="","",VLOOKUP(IF((B582-F582)*10&lt;-10,-10,IF((B582-F582)*10&gt;10,10,(B582-F582)*10)),'Rank Progression'!$K$2:$L$22,2,FALSE))</f>
        <v/>
      </c>
      <c r="I582" s="323"/>
      <c r="J582" s="323"/>
      <c r="K582" s="323"/>
      <c r="L582" s="323"/>
      <c r="M582" s="323"/>
      <c r="N582" s="323"/>
      <c r="O582" s="323"/>
    </row>
    <row r="583" spans="1:15" x14ac:dyDescent="0.2">
      <c r="A583" s="286"/>
      <c r="B583" s="285"/>
      <c r="C583" s="285"/>
      <c r="D583" s="285"/>
      <c r="E583" s="285"/>
      <c r="F583" s="284"/>
      <c r="G583" s="323" t="str">
        <f>IF(B583="","",VLOOKUP(IF((B583-F583)*10&lt;-10,-10,IF((B583-F583)*10&gt;10,10,(B583-F583)*10)),'Rank Progression'!$K$2:$L$22,2,FALSE))</f>
        <v/>
      </c>
      <c r="I583" s="323"/>
      <c r="J583" s="323"/>
      <c r="K583" s="323"/>
      <c r="L583" s="323"/>
      <c r="M583" s="323"/>
      <c r="N583" s="323"/>
      <c r="O583" s="323"/>
    </row>
    <row r="584" spans="1:15" x14ac:dyDescent="0.2">
      <c r="A584" s="286"/>
      <c r="B584" s="285"/>
      <c r="C584" s="285"/>
      <c r="D584" s="285"/>
      <c r="E584" s="285"/>
      <c r="F584" s="284"/>
      <c r="G584" s="323" t="str">
        <f>IF(B584="","",VLOOKUP(IF((B584-F584)*10&lt;-10,-10,IF((B584-F584)*10&gt;10,10,(B584-F584)*10)),'Rank Progression'!$K$2:$L$22,2,FALSE))</f>
        <v/>
      </c>
      <c r="I584" s="323"/>
      <c r="J584" s="323"/>
      <c r="K584" s="323"/>
      <c r="L584" s="323"/>
      <c r="M584" s="323"/>
      <c r="N584" s="323"/>
      <c r="O584" s="323"/>
    </row>
    <row r="585" spans="1:15" x14ac:dyDescent="0.2">
      <c r="A585" s="286"/>
      <c r="B585" s="285"/>
      <c r="C585" s="285"/>
      <c r="D585" s="285"/>
      <c r="E585" s="285"/>
      <c r="F585" s="284"/>
      <c r="G585" s="323" t="str">
        <f>IF(B585="","",VLOOKUP(IF((B585-F585)*10&lt;-10,-10,IF((B585-F585)*10&gt;10,10,(B585-F585)*10)),'Rank Progression'!$K$2:$L$22,2,FALSE))</f>
        <v/>
      </c>
      <c r="I585" s="323"/>
      <c r="J585" s="323"/>
      <c r="K585" s="323"/>
      <c r="L585" s="323"/>
      <c r="M585" s="323"/>
      <c r="N585" s="323"/>
      <c r="O585" s="323"/>
    </row>
    <row r="586" spans="1:15" x14ac:dyDescent="0.2">
      <c r="A586" s="286"/>
      <c r="B586" s="285"/>
      <c r="C586" s="285"/>
      <c r="D586" s="285"/>
      <c r="E586" s="285"/>
      <c r="F586" s="284"/>
      <c r="G586" s="323" t="str">
        <f>IF(B586="","",VLOOKUP(IF((B586-F586)*10&lt;-10,-10,IF((B586-F586)*10&gt;10,10,(B586-F586)*10)),'Rank Progression'!$K$2:$L$22,2,FALSE))</f>
        <v/>
      </c>
      <c r="I586" s="323"/>
      <c r="J586" s="323"/>
      <c r="K586" s="323"/>
      <c r="L586" s="323"/>
      <c r="M586" s="323"/>
      <c r="N586" s="323"/>
      <c r="O586" s="323"/>
    </row>
    <row r="587" spans="1:15" x14ac:dyDescent="0.2">
      <c r="A587" s="286"/>
      <c r="B587" s="285"/>
      <c r="C587" s="285"/>
      <c r="D587" s="285"/>
      <c r="E587" s="285"/>
      <c r="F587" s="284"/>
      <c r="G587" s="323" t="str">
        <f>IF(B587="","",VLOOKUP(IF((B587-F587)*10&lt;-10,-10,IF((B587-F587)*10&gt;10,10,(B587-F587)*10)),'Rank Progression'!$K$2:$L$22,2,FALSE))</f>
        <v/>
      </c>
      <c r="I587" s="323"/>
      <c r="J587" s="323"/>
      <c r="K587" s="323"/>
      <c r="L587" s="323"/>
      <c r="M587" s="323"/>
      <c r="N587" s="323"/>
      <c r="O587" s="323"/>
    </row>
    <row r="588" spans="1:15" x14ac:dyDescent="0.2">
      <c r="A588" s="286"/>
      <c r="B588" s="285"/>
      <c r="C588" s="285"/>
      <c r="D588" s="285"/>
      <c r="E588" s="285"/>
      <c r="F588" s="284"/>
      <c r="G588" s="323" t="str">
        <f>IF(B588="","",VLOOKUP(IF((B588-F588)*10&lt;-10,-10,IF((B588-F588)*10&gt;10,10,(B588-F588)*10)),'Rank Progression'!$K$2:$L$22,2,FALSE))</f>
        <v/>
      </c>
      <c r="I588" s="323"/>
      <c r="J588" s="323"/>
      <c r="K588" s="323"/>
      <c r="L588" s="323"/>
      <c r="M588" s="323"/>
      <c r="N588" s="323"/>
      <c r="O588" s="323"/>
    </row>
    <row r="589" spans="1:15" x14ac:dyDescent="0.2">
      <c r="A589" s="286"/>
      <c r="B589" s="285"/>
      <c r="C589" s="285"/>
      <c r="D589" s="285"/>
      <c r="E589" s="285"/>
      <c r="F589" s="284"/>
      <c r="G589" s="323" t="str">
        <f>IF(B589="","",VLOOKUP(IF((B589-F589)*10&lt;-10,-10,IF((B589-F589)*10&gt;10,10,(B589-F589)*10)),'Rank Progression'!$K$2:$L$22,2,FALSE))</f>
        <v/>
      </c>
      <c r="I589" s="323"/>
      <c r="J589" s="323"/>
      <c r="K589" s="323"/>
      <c r="L589" s="323"/>
      <c r="M589" s="323"/>
      <c r="N589" s="323"/>
      <c r="O589" s="323"/>
    </row>
    <row r="590" spans="1:15" x14ac:dyDescent="0.2">
      <c r="A590" s="286"/>
      <c r="B590" s="285"/>
      <c r="C590" s="285"/>
      <c r="D590" s="285"/>
      <c r="E590" s="285"/>
      <c r="F590" s="284"/>
      <c r="G590" s="323" t="str">
        <f>IF(B590="","",VLOOKUP(IF((B590-F590)*10&lt;-10,-10,IF((B590-F590)*10&gt;10,10,(B590-F590)*10)),'Rank Progression'!$K$2:$L$22,2,FALSE))</f>
        <v/>
      </c>
      <c r="I590" s="323"/>
      <c r="J590" s="323"/>
      <c r="K590" s="323"/>
      <c r="L590" s="323"/>
      <c r="M590" s="323"/>
      <c r="N590" s="323"/>
      <c r="O590" s="323"/>
    </row>
    <row r="591" spans="1:15" x14ac:dyDescent="0.2">
      <c r="A591" s="286"/>
      <c r="B591" s="285"/>
      <c r="C591" s="285"/>
      <c r="D591" s="285"/>
      <c r="E591" s="285"/>
      <c r="F591" s="284"/>
      <c r="G591" s="323" t="str">
        <f>IF(B591="","",VLOOKUP(IF((B591-F591)*10&lt;-10,-10,IF((B591-F591)*10&gt;10,10,(B591-F591)*10)),'Rank Progression'!$K$2:$L$22,2,FALSE))</f>
        <v/>
      </c>
      <c r="I591" s="323"/>
      <c r="J591" s="323"/>
      <c r="K591" s="323"/>
      <c r="L591" s="323"/>
      <c r="M591" s="323"/>
      <c r="N591" s="323"/>
      <c r="O591" s="323"/>
    </row>
    <row r="592" spans="1:15" x14ac:dyDescent="0.2">
      <c r="A592" s="286"/>
      <c r="B592" s="285"/>
      <c r="C592" s="285"/>
      <c r="D592" s="285"/>
      <c r="E592" s="285"/>
      <c r="F592" s="284"/>
      <c r="G592" s="323" t="str">
        <f>IF(B592="","",VLOOKUP(IF((B592-F592)*10&lt;-10,-10,IF((B592-F592)*10&gt;10,10,(B592-F592)*10)),'Rank Progression'!$K$2:$L$22,2,FALSE))</f>
        <v/>
      </c>
      <c r="I592" s="323"/>
      <c r="J592" s="323"/>
      <c r="K592" s="323"/>
      <c r="L592" s="323"/>
      <c r="M592" s="323"/>
      <c r="N592" s="323"/>
      <c r="O592" s="323"/>
    </row>
    <row r="593" spans="1:15" x14ac:dyDescent="0.2">
      <c r="A593" s="286"/>
      <c r="B593" s="285"/>
      <c r="C593" s="285"/>
      <c r="D593" s="285"/>
      <c r="E593" s="285"/>
      <c r="F593" s="284"/>
      <c r="G593" s="323" t="str">
        <f>IF(B593="","",VLOOKUP(IF((B593-F593)*10&lt;-10,-10,IF((B593-F593)*10&gt;10,10,(B593-F593)*10)),'Rank Progression'!$K$2:$L$22,2,FALSE))</f>
        <v/>
      </c>
      <c r="I593" s="323"/>
      <c r="J593" s="323"/>
      <c r="K593" s="323"/>
      <c r="L593" s="323"/>
      <c r="M593" s="323"/>
      <c r="N593" s="323"/>
      <c r="O593" s="323"/>
    </row>
    <row r="594" spans="1:15" x14ac:dyDescent="0.2">
      <c r="A594" s="286"/>
      <c r="B594" s="285"/>
      <c r="C594" s="285"/>
      <c r="D594" s="285"/>
      <c r="E594" s="285"/>
      <c r="F594" s="284"/>
      <c r="G594" s="323" t="str">
        <f>IF(B594="","",VLOOKUP(IF((B594-F594)*10&lt;-10,-10,IF((B594-F594)*10&gt;10,10,(B594-F594)*10)),'Rank Progression'!$K$2:$L$22,2,FALSE))</f>
        <v/>
      </c>
      <c r="I594" s="323"/>
      <c r="J594" s="323"/>
      <c r="K594" s="323"/>
      <c r="L594" s="323"/>
      <c r="M594" s="323"/>
      <c r="N594" s="323"/>
      <c r="O594" s="323"/>
    </row>
    <row r="595" spans="1:15" x14ac:dyDescent="0.2">
      <c r="A595" s="286"/>
      <c r="B595" s="285"/>
      <c r="C595" s="285"/>
      <c r="D595" s="285"/>
      <c r="E595" s="285"/>
      <c r="F595" s="284"/>
      <c r="G595" s="323" t="str">
        <f>IF(B595="","",VLOOKUP(IF((B595-F595)*10&lt;-10,-10,IF((B595-F595)*10&gt;10,10,(B595-F595)*10)),'Rank Progression'!$K$2:$L$22,2,FALSE))</f>
        <v/>
      </c>
      <c r="I595" s="323"/>
      <c r="J595" s="323"/>
      <c r="K595" s="323"/>
      <c r="L595" s="323"/>
      <c r="M595" s="323"/>
      <c r="N595" s="323"/>
      <c r="O595" s="323"/>
    </row>
    <row r="596" spans="1:15" x14ac:dyDescent="0.2">
      <c r="A596" s="286"/>
      <c r="B596" s="285"/>
      <c r="C596" s="285"/>
      <c r="D596" s="285"/>
      <c r="E596" s="285"/>
      <c r="F596" s="284"/>
      <c r="G596" s="323" t="str">
        <f>IF(B596="","",VLOOKUP(IF((B596-F596)*10&lt;-10,-10,IF((B596-F596)*10&gt;10,10,(B596-F596)*10)),'Rank Progression'!$K$2:$L$22,2,FALSE))</f>
        <v/>
      </c>
      <c r="I596" s="323"/>
      <c r="J596" s="323"/>
      <c r="K596" s="323"/>
      <c r="L596" s="323"/>
      <c r="M596" s="323"/>
      <c r="N596" s="323"/>
      <c r="O596" s="323"/>
    </row>
    <row r="597" spans="1:15" x14ac:dyDescent="0.2">
      <c r="A597" s="286"/>
      <c r="B597" s="285"/>
      <c r="C597" s="285"/>
      <c r="D597" s="285"/>
      <c r="E597" s="285"/>
      <c r="F597" s="284"/>
      <c r="G597" s="323" t="str">
        <f>IF(B597="","",VLOOKUP(IF((B597-F597)*10&lt;-10,-10,IF((B597-F597)*10&gt;10,10,(B597-F597)*10)),'Rank Progression'!$K$2:$L$22,2,FALSE))</f>
        <v/>
      </c>
      <c r="I597" s="323"/>
      <c r="J597" s="323"/>
      <c r="K597" s="323"/>
      <c r="L597" s="323"/>
      <c r="M597" s="323"/>
      <c r="N597" s="323"/>
      <c r="O597" s="323"/>
    </row>
    <row r="598" spans="1:15" x14ac:dyDescent="0.2">
      <c r="A598" s="286"/>
      <c r="B598" s="285"/>
      <c r="C598" s="285"/>
      <c r="D598" s="285"/>
      <c r="E598" s="285"/>
      <c r="F598" s="284"/>
      <c r="G598" s="323" t="str">
        <f>IF(B598="","",VLOOKUP(IF((B598-F598)*10&lt;-10,-10,IF((B598-F598)*10&gt;10,10,(B598-F598)*10)),'Rank Progression'!$K$2:$L$22,2,FALSE))</f>
        <v/>
      </c>
      <c r="I598" s="323"/>
      <c r="J598" s="323"/>
      <c r="K598" s="323"/>
      <c r="L598" s="323"/>
      <c r="M598" s="323"/>
      <c r="N598" s="323"/>
      <c r="O598" s="323"/>
    </row>
    <row r="599" spans="1:15" x14ac:dyDescent="0.2">
      <c r="A599" s="286"/>
      <c r="B599" s="285"/>
      <c r="C599" s="285"/>
      <c r="D599" s="285"/>
      <c r="E599" s="285"/>
      <c r="F599" s="284"/>
      <c r="G599" s="323" t="str">
        <f>IF(B599="","",VLOOKUP(IF((B599-F599)*10&lt;-10,-10,IF((B599-F599)*10&gt;10,10,(B599-F599)*10)),'Rank Progression'!$K$2:$L$22,2,FALSE))</f>
        <v/>
      </c>
      <c r="I599" s="323"/>
      <c r="J599" s="323"/>
      <c r="K599" s="323"/>
      <c r="L599" s="323"/>
      <c r="M599" s="323"/>
      <c r="N599" s="323"/>
      <c r="O599" s="323"/>
    </row>
    <row r="600" spans="1:15" x14ac:dyDescent="0.2">
      <c r="A600" s="286"/>
      <c r="B600" s="285"/>
      <c r="C600" s="285"/>
      <c r="D600" s="285"/>
      <c r="E600" s="285"/>
      <c r="F600" s="284"/>
      <c r="G600" s="323" t="str">
        <f>IF(B600="","",VLOOKUP(IF((B600-F600)*10&lt;-10,-10,IF((B600-F600)*10&gt;10,10,(B600-F600)*10)),'Rank Progression'!$K$2:$L$22,2,FALSE))</f>
        <v/>
      </c>
      <c r="I600" s="323"/>
      <c r="J600" s="323"/>
      <c r="K600" s="323"/>
      <c r="L600" s="323"/>
      <c r="M600" s="323"/>
      <c r="N600" s="323"/>
      <c r="O600" s="323"/>
    </row>
    <row r="601" spans="1:15" x14ac:dyDescent="0.2">
      <c r="A601" s="286"/>
      <c r="B601" s="285"/>
      <c r="C601" s="285"/>
      <c r="D601" s="285"/>
      <c r="E601" s="285"/>
      <c r="F601" s="284"/>
      <c r="G601" s="323" t="str">
        <f>IF(B601="","",VLOOKUP(IF((B601-F601)*10&lt;-10,-10,IF((B601-F601)*10&gt;10,10,(B601-F601)*10)),'Rank Progression'!$K$2:$L$22,2,FALSE))</f>
        <v/>
      </c>
      <c r="I601" s="323"/>
      <c r="J601" s="323"/>
      <c r="K601" s="323"/>
      <c r="L601" s="323"/>
      <c r="M601" s="323"/>
      <c r="N601" s="323"/>
      <c r="O601" s="323"/>
    </row>
    <row r="602" spans="1:15" x14ac:dyDescent="0.2">
      <c r="A602" s="286"/>
      <c r="B602" s="285"/>
      <c r="C602" s="285"/>
      <c r="D602" s="285"/>
      <c r="E602" s="285"/>
      <c r="F602" s="284"/>
      <c r="G602" s="323" t="str">
        <f>IF(B602="","",VLOOKUP(IF((B602-F602)*10&lt;-10,-10,IF((B602-F602)*10&gt;10,10,(B602-F602)*10)),'Rank Progression'!$K$2:$L$22,2,FALSE))</f>
        <v/>
      </c>
      <c r="I602" s="323"/>
      <c r="J602" s="323"/>
      <c r="K602" s="323"/>
      <c r="L602" s="323"/>
      <c r="M602" s="323"/>
      <c r="N602" s="323"/>
      <c r="O602" s="323"/>
    </row>
    <row r="603" spans="1:15" x14ac:dyDescent="0.2">
      <c r="A603" s="286"/>
      <c r="B603" s="285"/>
      <c r="C603" s="285"/>
      <c r="D603" s="285"/>
      <c r="E603" s="285"/>
      <c r="F603" s="284"/>
      <c r="G603" s="323" t="str">
        <f>IF(B603="","",VLOOKUP(IF((B603-F603)*10&lt;-10,-10,IF((B603-F603)*10&gt;10,10,(B603-F603)*10)),'Rank Progression'!$K$2:$L$22,2,FALSE))</f>
        <v/>
      </c>
      <c r="I603" s="323"/>
      <c r="J603" s="323"/>
      <c r="K603" s="323"/>
      <c r="L603" s="323"/>
      <c r="M603" s="323"/>
      <c r="N603" s="323"/>
      <c r="O603" s="323"/>
    </row>
    <row r="604" spans="1:15" x14ac:dyDescent="0.2">
      <c r="A604" s="286"/>
      <c r="B604" s="285"/>
      <c r="C604" s="285"/>
      <c r="D604" s="285"/>
      <c r="E604" s="285"/>
      <c r="F604" s="284"/>
      <c r="G604" s="323" t="str">
        <f>IF(B604="","",VLOOKUP(IF((B604-F604)*10&lt;-10,-10,IF((B604-F604)*10&gt;10,10,(B604-F604)*10)),'Rank Progression'!$K$2:$L$22,2,FALSE))</f>
        <v/>
      </c>
      <c r="I604" s="323"/>
      <c r="J604" s="323"/>
      <c r="K604" s="323"/>
      <c r="L604" s="323"/>
      <c r="M604" s="323"/>
      <c r="N604" s="323"/>
      <c r="O604" s="323"/>
    </row>
    <row r="605" spans="1:15" x14ac:dyDescent="0.2">
      <c r="A605" s="286"/>
      <c r="B605" s="285"/>
      <c r="C605" s="285"/>
      <c r="D605" s="285"/>
      <c r="E605" s="285"/>
      <c r="F605" s="284"/>
      <c r="G605" s="323" t="str">
        <f>IF(B605="","",VLOOKUP(IF((B605-F605)*10&lt;-10,-10,IF((B605-F605)*10&gt;10,10,(B605-F605)*10)),'Rank Progression'!$K$2:$L$22,2,FALSE))</f>
        <v/>
      </c>
      <c r="I605" s="323"/>
      <c r="J605" s="323"/>
      <c r="K605" s="323"/>
      <c r="L605" s="323"/>
      <c r="M605" s="323"/>
      <c r="N605" s="323"/>
      <c r="O605" s="323"/>
    </row>
    <row r="606" spans="1:15" x14ac:dyDescent="0.2">
      <c r="A606" s="286"/>
      <c r="B606" s="285"/>
      <c r="C606" s="285"/>
      <c r="D606" s="285"/>
      <c r="E606" s="285"/>
      <c r="F606" s="284"/>
      <c r="G606" s="323" t="str">
        <f>IF(B606="","",VLOOKUP(IF((B606-F606)*10&lt;-10,-10,IF((B606-F606)*10&gt;10,10,(B606-F606)*10)),'Rank Progression'!$K$2:$L$22,2,FALSE))</f>
        <v/>
      </c>
      <c r="I606" s="323"/>
      <c r="J606" s="323"/>
      <c r="K606" s="323"/>
      <c r="L606" s="323"/>
      <c r="M606" s="323"/>
      <c r="N606" s="323"/>
      <c r="O606" s="323"/>
    </row>
    <row r="607" spans="1:15" x14ac:dyDescent="0.2">
      <c r="A607" s="286"/>
      <c r="B607" s="285"/>
      <c r="C607" s="285"/>
      <c r="D607" s="285"/>
      <c r="E607" s="285"/>
      <c r="F607" s="284"/>
      <c r="G607" s="323" t="str">
        <f>IF(B607="","",VLOOKUP(IF((B607-F607)*10&lt;-10,-10,IF((B607-F607)*10&gt;10,10,(B607-F607)*10)),'Rank Progression'!$K$2:$L$22,2,FALSE))</f>
        <v/>
      </c>
      <c r="I607" s="323"/>
      <c r="J607" s="323"/>
      <c r="K607" s="323"/>
      <c r="L607" s="323"/>
      <c r="M607" s="323"/>
      <c r="N607" s="323"/>
      <c r="O607" s="323"/>
    </row>
    <row r="608" spans="1:15" x14ac:dyDescent="0.2">
      <c r="A608" s="286"/>
      <c r="B608" s="285"/>
      <c r="C608" s="285"/>
      <c r="D608" s="285"/>
      <c r="E608" s="285"/>
      <c r="F608" s="284"/>
      <c r="G608" s="323" t="str">
        <f>IF(B608="","",VLOOKUP(IF((B608-F608)*10&lt;-10,-10,IF((B608-F608)*10&gt;10,10,(B608-F608)*10)),'Rank Progression'!$K$2:$L$22,2,FALSE))</f>
        <v/>
      </c>
      <c r="I608" s="323"/>
      <c r="J608" s="323"/>
      <c r="K608" s="323"/>
      <c r="L608" s="323"/>
      <c r="M608" s="323"/>
      <c r="N608" s="323"/>
      <c r="O608" s="323"/>
    </row>
    <row r="609" spans="1:15" x14ac:dyDescent="0.2">
      <c r="A609" s="286"/>
      <c r="B609" s="285"/>
      <c r="C609" s="285"/>
      <c r="D609" s="285"/>
      <c r="E609" s="285"/>
      <c r="F609" s="284"/>
      <c r="G609" s="323" t="str">
        <f>IF(B609="","",VLOOKUP(IF((B609-F609)*10&lt;-10,-10,IF((B609-F609)*10&gt;10,10,(B609-F609)*10)),'Rank Progression'!$K$2:$L$22,2,FALSE))</f>
        <v/>
      </c>
      <c r="I609" s="323"/>
      <c r="J609" s="323"/>
      <c r="K609" s="323"/>
      <c r="L609" s="323"/>
      <c r="M609" s="323"/>
      <c r="N609" s="323"/>
      <c r="O609" s="323"/>
    </row>
    <row r="610" spans="1:15" x14ac:dyDescent="0.2">
      <c r="A610" s="286"/>
      <c r="B610" s="285"/>
      <c r="C610" s="285"/>
      <c r="D610" s="285"/>
      <c r="E610" s="285"/>
      <c r="F610" s="284"/>
      <c r="G610" s="323" t="str">
        <f>IF(B610="","",VLOOKUP(IF((B610-F610)*10&lt;-10,-10,IF((B610-F610)*10&gt;10,10,(B610-F610)*10)),'Rank Progression'!$K$2:$L$22,2,FALSE))</f>
        <v/>
      </c>
      <c r="I610" s="323"/>
      <c r="J610" s="323"/>
      <c r="K610" s="323"/>
      <c r="L610" s="323"/>
      <c r="M610" s="323"/>
      <c r="N610" s="323"/>
      <c r="O610" s="323"/>
    </row>
    <row r="611" spans="1:15" x14ac:dyDescent="0.2">
      <c r="A611" s="286"/>
      <c r="B611" s="285"/>
      <c r="C611" s="285"/>
      <c r="D611" s="285"/>
      <c r="E611" s="285"/>
      <c r="F611" s="284"/>
      <c r="G611" s="323" t="str">
        <f>IF(B611="","",VLOOKUP(IF((B611-F611)*10&lt;-10,-10,IF((B611-F611)*10&gt;10,10,(B611-F611)*10)),'Rank Progression'!$K$2:$L$22,2,FALSE))</f>
        <v/>
      </c>
      <c r="I611" s="323"/>
      <c r="J611" s="323"/>
      <c r="K611" s="323"/>
      <c r="L611" s="323"/>
      <c r="M611" s="323"/>
      <c r="N611" s="323"/>
      <c r="O611" s="323"/>
    </row>
    <row r="612" spans="1:15" x14ac:dyDescent="0.2">
      <c r="A612" s="286"/>
      <c r="B612" s="285"/>
      <c r="C612" s="285"/>
      <c r="D612" s="285"/>
      <c r="E612" s="285"/>
      <c r="F612" s="284"/>
      <c r="G612" s="323" t="str">
        <f>IF(B612="","",VLOOKUP(IF((B612-F612)*10&lt;-10,-10,IF((B612-F612)*10&gt;10,10,(B612-F612)*10)),'Rank Progression'!$K$2:$L$22,2,FALSE))</f>
        <v/>
      </c>
      <c r="I612" s="323"/>
      <c r="J612" s="323"/>
      <c r="K612" s="323"/>
      <c r="L612" s="323"/>
      <c r="M612" s="323"/>
      <c r="N612" s="323"/>
      <c r="O612" s="323"/>
    </row>
    <row r="613" spans="1:15" x14ac:dyDescent="0.2">
      <c r="A613" s="286"/>
      <c r="B613" s="285"/>
      <c r="C613" s="285"/>
      <c r="D613" s="285"/>
      <c r="E613" s="285"/>
      <c r="F613" s="284"/>
      <c r="G613" s="323" t="str">
        <f>IF(B613="","",VLOOKUP(IF((B613-F613)*10&lt;-10,-10,IF((B613-F613)*10&gt;10,10,(B613-F613)*10)),'Rank Progression'!$K$2:$L$22,2,FALSE))</f>
        <v/>
      </c>
      <c r="I613" s="323"/>
      <c r="J613" s="323"/>
      <c r="K613" s="323"/>
      <c r="L613" s="323"/>
      <c r="M613" s="323"/>
      <c r="N613" s="323"/>
      <c r="O613" s="323"/>
    </row>
    <row r="614" spans="1:15" x14ac:dyDescent="0.2">
      <c r="A614" s="286"/>
      <c r="B614" s="285"/>
      <c r="C614" s="285"/>
      <c r="D614" s="285"/>
      <c r="E614" s="285"/>
      <c r="F614" s="284"/>
      <c r="G614" s="323" t="str">
        <f>IF(B614="","",VLOOKUP(IF((B614-F614)*10&lt;-10,-10,IF((B614-F614)*10&gt;10,10,(B614-F614)*10)),'Rank Progression'!$K$2:$L$22,2,FALSE))</f>
        <v/>
      </c>
      <c r="I614" s="323"/>
      <c r="J614" s="323"/>
      <c r="K614" s="323"/>
      <c r="L614" s="323"/>
      <c r="M614" s="323"/>
      <c r="N614" s="323"/>
      <c r="O614" s="323"/>
    </row>
    <row r="615" spans="1:15" x14ac:dyDescent="0.2">
      <c r="A615" s="286"/>
      <c r="B615" s="285"/>
      <c r="C615" s="285"/>
      <c r="D615" s="285"/>
      <c r="E615" s="285"/>
      <c r="F615" s="284"/>
      <c r="G615" s="323" t="str">
        <f>IF(B615="","",VLOOKUP(IF((B615-F615)*10&lt;-10,-10,IF((B615-F615)*10&gt;10,10,(B615-F615)*10)),'Rank Progression'!$K$2:$L$22,2,FALSE))</f>
        <v/>
      </c>
      <c r="I615" s="323"/>
      <c r="J615" s="323"/>
      <c r="K615" s="323"/>
      <c r="L615" s="323"/>
      <c r="M615" s="323"/>
      <c r="N615" s="323"/>
      <c r="O615" s="323"/>
    </row>
    <row r="616" spans="1:15" x14ac:dyDescent="0.2">
      <c r="A616" s="286"/>
      <c r="B616" s="285"/>
      <c r="C616" s="285"/>
      <c r="D616" s="285"/>
      <c r="E616" s="285"/>
      <c r="F616" s="284"/>
      <c r="G616" s="323" t="str">
        <f>IF(B616="","",VLOOKUP(IF((B616-F616)*10&lt;-10,-10,IF((B616-F616)*10&gt;10,10,(B616-F616)*10)),'Rank Progression'!$K$2:$L$22,2,FALSE))</f>
        <v/>
      </c>
      <c r="I616" s="323"/>
      <c r="J616" s="323"/>
      <c r="K616" s="323"/>
      <c r="L616" s="323"/>
      <c r="M616" s="323"/>
      <c r="N616" s="323"/>
      <c r="O616" s="323"/>
    </row>
    <row r="617" spans="1:15" x14ac:dyDescent="0.2">
      <c r="A617" s="286"/>
      <c r="B617" s="285"/>
      <c r="C617" s="285"/>
      <c r="D617" s="285"/>
      <c r="E617" s="285"/>
      <c r="F617" s="284"/>
      <c r="G617" s="323" t="str">
        <f>IF(B617="","",VLOOKUP(IF((B617-F617)*10&lt;-10,-10,IF((B617-F617)*10&gt;10,10,(B617-F617)*10)),'Rank Progression'!$K$2:$L$22,2,FALSE))</f>
        <v/>
      </c>
      <c r="I617" s="323"/>
      <c r="J617" s="323"/>
      <c r="K617" s="323"/>
      <c r="L617" s="323"/>
      <c r="M617" s="323"/>
      <c r="N617" s="323"/>
      <c r="O617" s="323"/>
    </row>
    <row r="618" spans="1:15" x14ac:dyDescent="0.2">
      <c r="A618" s="286"/>
      <c r="B618" s="285"/>
      <c r="C618" s="285"/>
      <c r="D618" s="285"/>
      <c r="E618" s="285"/>
      <c r="F618" s="284"/>
      <c r="G618" s="323" t="str">
        <f>IF(B618="","",VLOOKUP(IF((B618-F618)*10&lt;-10,-10,IF((B618-F618)*10&gt;10,10,(B618-F618)*10)),'Rank Progression'!$K$2:$L$22,2,FALSE))</f>
        <v/>
      </c>
      <c r="I618" s="323"/>
      <c r="J618" s="323"/>
      <c r="K618" s="323"/>
      <c r="L618" s="323"/>
      <c r="M618" s="323"/>
      <c r="N618" s="323"/>
      <c r="O618" s="323"/>
    </row>
    <row r="619" spans="1:15" x14ac:dyDescent="0.2">
      <c r="A619" s="286"/>
      <c r="B619" s="285"/>
      <c r="C619" s="285"/>
      <c r="D619" s="285"/>
      <c r="E619" s="285"/>
      <c r="F619" s="284"/>
      <c r="G619" s="323" t="str">
        <f>IF(B619="","",VLOOKUP(IF((B619-F619)*10&lt;-10,-10,IF((B619-F619)*10&gt;10,10,(B619-F619)*10)),'Rank Progression'!$K$2:$L$22,2,FALSE))</f>
        <v/>
      </c>
      <c r="I619" s="323"/>
      <c r="J619" s="323"/>
      <c r="K619" s="323"/>
      <c r="L619" s="323"/>
      <c r="M619" s="323"/>
      <c r="N619" s="323"/>
      <c r="O619" s="323"/>
    </row>
    <row r="620" spans="1:15" x14ac:dyDescent="0.2">
      <c r="A620" s="286"/>
      <c r="B620" s="285"/>
      <c r="C620" s="285"/>
      <c r="D620" s="285"/>
      <c r="E620" s="285"/>
      <c r="F620" s="284"/>
      <c r="G620" s="323" t="str">
        <f>IF(B620="","",VLOOKUP(IF((B620-F620)*10&lt;-10,-10,IF((B620-F620)*10&gt;10,10,(B620-F620)*10)),'Rank Progression'!$K$2:$L$22,2,FALSE))</f>
        <v/>
      </c>
      <c r="I620" s="323"/>
      <c r="J620" s="323"/>
      <c r="K620" s="323"/>
      <c r="L620" s="323"/>
      <c r="M620" s="323"/>
      <c r="N620" s="323"/>
      <c r="O620" s="323"/>
    </row>
    <row r="621" spans="1:15" x14ac:dyDescent="0.2">
      <c r="A621" s="286"/>
      <c r="B621" s="285"/>
      <c r="C621" s="285"/>
      <c r="D621" s="285"/>
      <c r="E621" s="285"/>
      <c r="F621" s="284"/>
      <c r="G621" s="323" t="str">
        <f>IF(B621="","",VLOOKUP(IF((B621-F621)*10&lt;-10,-10,IF((B621-F621)*10&gt;10,10,(B621-F621)*10)),'Rank Progression'!$K$2:$L$22,2,FALSE))</f>
        <v/>
      </c>
      <c r="I621" s="323"/>
      <c r="J621" s="323"/>
      <c r="K621" s="323"/>
      <c r="L621" s="323"/>
      <c r="M621" s="323"/>
      <c r="N621" s="323"/>
      <c r="O621" s="323"/>
    </row>
    <row r="622" spans="1:15" x14ac:dyDescent="0.2">
      <c r="A622" s="286"/>
      <c r="B622" s="285"/>
      <c r="C622" s="285"/>
      <c r="D622" s="285"/>
      <c r="E622" s="285"/>
      <c r="F622" s="284"/>
      <c r="G622" s="323" t="str">
        <f>IF(B622="","",VLOOKUP(IF((B622-F622)*10&lt;-10,-10,IF((B622-F622)*10&gt;10,10,(B622-F622)*10)),'Rank Progression'!$K$2:$L$22,2,FALSE))</f>
        <v/>
      </c>
      <c r="I622" s="323"/>
      <c r="J622" s="323"/>
      <c r="K622" s="323"/>
      <c r="L622" s="323"/>
      <c r="M622" s="323"/>
      <c r="N622" s="323"/>
      <c r="O622" s="323"/>
    </row>
    <row r="623" spans="1:15" x14ac:dyDescent="0.2">
      <c r="A623" s="286"/>
      <c r="B623" s="285"/>
      <c r="C623" s="285"/>
      <c r="D623" s="285"/>
      <c r="E623" s="285"/>
      <c r="F623" s="284"/>
      <c r="G623" s="323" t="str">
        <f>IF(B623="","",VLOOKUP(IF((B623-F623)*10&lt;-10,-10,IF((B623-F623)*10&gt;10,10,(B623-F623)*10)),'Rank Progression'!$K$2:$L$22,2,FALSE))</f>
        <v/>
      </c>
      <c r="I623" s="323"/>
      <c r="J623" s="323"/>
      <c r="K623" s="323"/>
      <c r="L623" s="323"/>
      <c r="M623" s="323"/>
      <c r="N623" s="323"/>
      <c r="O623" s="323"/>
    </row>
    <row r="624" spans="1:15" x14ac:dyDescent="0.2">
      <c r="A624" s="286"/>
      <c r="B624" s="285"/>
      <c r="C624" s="285"/>
      <c r="D624" s="285"/>
      <c r="E624" s="285"/>
      <c r="F624" s="284"/>
      <c r="G624" s="323" t="str">
        <f>IF(B624="","",VLOOKUP(IF((B624-F624)*10&lt;-10,-10,IF((B624-F624)*10&gt;10,10,(B624-F624)*10)),'Rank Progression'!$K$2:$L$22,2,FALSE))</f>
        <v/>
      </c>
      <c r="I624" s="323"/>
      <c r="J624" s="323"/>
      <c r="K624" s="323"/>
      <c r="L624" s="323"/>
      <c r="M624" s="323"/>
      <c r="N624" s="323"/>
      <c r="O624" s="323"/>
    </row>
    <row r="625" spans="1:15" x14ac:dyDescent="0.2">
      <c r="A625" s="286"/>
      <c r="B625" s="285"/>
      <c r="C625" s="285"/>
      <c r="D625" s="285"/>
      <c r="E625" s="285"/>
      <c r="F625" s="284"/>
      <c r="G625" s="323" t="str">
        <f>IF(B625="","",VLOOKUP(IF((B625-F625)*10&lt;-10,-10,IF((B625-F625)*10&gt;10,10,(B625-F625)*10)),'Rank Progression'!$K$2:$L$22,2,FALSE))</f>
        <v/>
      </c>
      <c r="I625" s="323"/>
      <c r="J625" s="323"/>
      <c r="K625" s="323"/>
      <c r="L625" s="323"/>
      <c r="M625" s="323"/>
      <c r="N625" s="323"/>
      <c r="O625" s="323"/>
    </row>
    <row r="626" spans="1:15" x14ac:dyDescent="0.2">
      <c r="A626" s="286"/>
      <c r="B626" s="285"/>
      <c r="C626" s="285"/>
      <c r="D626" s="285"/>
      <c r="E626" s="285"/>
      <c r="F626" s="284"/>
      <c r="G626" s="323" t="str">
        <f>IF(B626="","",VLOOKUP(IF((B626-F626)*10&lt;-10,-10,IF((B626-F626)*10&gt;10,10,(B626-F626)*10)),'Rank Progression'!$K$2:$L$22,2,FALSE))</f>
        <v/>
      </c>
      <c r="I626" s="323"/>
      <c r="J626" s="323"/>
      <c r="K626" s="323"/>
      <c r="L626" s="323"/>
      <c r="M626" s="323"/>
      <c r="N626" s="323"/>
      <c r="O626" s="323"/>
    </row>
    <row r="627" spans="1:15" x14ac:dyDescent="0.2">
      <c r="A627" s="286"/>
      <c r="B627" s="285"/>
      <c r="C627" s="285"/>
      <c r="D627" s="285"/>
      <c r="E627" s="285"/>
      <c r="F627" s="284"/>
      <c r="G627" s="323" t="str">
        <f>IF(B627="","",VLOOKUP(IF((B627-F627)*10&lt;-10,-10,IF((B627-F627)*10&gt;10,10,(B627-F627)*10)),'Rank Progression'!$K$2:$L$22,2,FALSE))</f>
        <v/>
      </c>
      <c r="I627" s="323"/>
      <c r="J627" s="323"/>
      <c r="K627" s="323"/>
      <c r="L627" s="323"/>
      <c r="M627" s="323"/>
      <c r="N627" s="323"/>
      <c r="O627" s="323"/>
    </row>
    <row r="628" spans="1:15" x14ac:dyDescent="0.2">
      <c r="A628" s="286"/>
      <c r="B628" s="285"/>
      <c r="C628" s="285"/>
      <c r="D628" s="285"/>
      <c r="E628" s="285"/>
      <c r="F628" s="284"/>
      <c r="G628" s="323" t="str">
        <f>IF(B628="","",VLOOKUP(IF((B628-F628)*10&lt;-10,-10,IF((B628-F628)*10&gt;10,10,(B628-F628)*10)),'Rank Progression'!$K$2:$L$22,2,FALSE))</f>
        <v/>
      </c>
      <c r="I628" s="323"/>
      <c r="J628" s="323"/>
      <c r="K628" s="323"/>
      <c r="L628" s="323"/>
      <c r="M628" s="323"/>
      <c r="N628" s="323"/>
      <c r="O628" s="323"/>
    </row>
    <row r="629" spans="1:15" x14ac:dyDescent="0.2">
      <c r="A629" s="286"/>
      <c r="B629" s="285"/>
      <c r="C629" s="285"/>
      <c r="D629" s="285"/>
      <c r="E629" s="285"/>
      <c r="F629" s="284"/>
      <c r="G629" s="323" t="str">
        <f>IF(B629="","",VLOOKUP(IF((B629-F629)*10&lt;-10,-10,IF((B629-F629)*10&gt;10,10,(B629-F629)*10)),'Rank Progression'!$K$2:$L$22,2,FALSE))</f>
        <v/>
      </c>
      <c r="I629" s="323"/>
      <c r="J629" s="323"/>
      <c r="K629" s="323"/>
      <c r="L629" s="323"/>
      <c r="M629" s="323"/>
      <c r="N629" s="323"/>
      <c r="O629" s="323"/>
    </row>
    <row r="630" spans="1:15" x14ac:dyDescent="0.2">
      <c r="A630" s="286"/>
      <c r="B630" s="285"/>
      <c r="C630" s="285"/>
      <c r="D630" s="285"/>
      <c r="E630" s="285"/>
      <c r="F630" s="284"/>
      <c r="G630" s="323" t="str">
        <f>IF(B630="","",VLOOKUP(IF((B630-F630)*10&lt;-10,-10,IF((B630-F630)*10&gt;10,10,(B630-F630)*10)),'Rank Progression'!$K$2:$L$22,2,FALSE))</f>
        <v/>
      </c>
      <c r="I630" s="323"/>
      <c r="J630" s="323"/>
      <c r="K630" s="323"/>
      <c r="L630" s="323"/>
      <c r="M630" s="323"/>
      <c r="N630" s="323"/>
      <c r="O630" s="323"/>
    </row>
    <row r="631" spans="1:15" x14ac:dyDescent="0.2">
      <c r="A631" s="286"/>
      <c r="B631" s="285"/>
      <c r="C631" s="285"/>
      <c r="D631" s="285"/>
      <c r="E631" s="285"/>
      <c r="F631" s="284"/>
      <c r="G631" s="323" t="str">
        <f>IF(B631="","",VLOOKUP(IF((B631-F631)*10&lt;-10,-10,IF((B631-F631)*10&gt;10,10,(B631-F631)*10)),'Rank Progression'!$K$2:$L$22,2,FALSE))</f>
        <v/>
      </c>
      <c r="I631" s="323"/>
      <c r="J631" s="323"/>
      <c r="K631" s="323"/>
      <c r="L631" s="323"/>
      <c r="M631" s="323"/>
      <c r="N631" s="323"/>
      <c r="O631" s="323"/>
    </row>
    <row r="632" spans="1:15" x14ac:dyDescent="0.2">
      <c r="A632" s="286"/>
      <c r="B632" s="285"/>
      <c r="C632" s="285"/>
      <c r="D632" s="285"/>
      <c r="E632" s="285"/>
      <c r="F632" s="284"/>
      <c r="G632" s="323" t="str">
        <f>IF(B632="","",VLOOKUP(IF((B632-F632)*10&lt;-10,-10,IF((B632-F632)*10&gt;10,10,(B632-F632)*10)),'Rank Progression'!$K$2:$L$22,2,FALSE))</f>
        <v/>
      </c>
      <c r="I632" s="323"/>
      <c r="J632" s="323"/>
      <c r="K632" s="323"/>
      <c r="L632" s="323"/>
      <c r="M632" s="323"/>
      <c r="N632" s="323"/>
      <c r="O632" s="323"/>
    </row>
    <row r="633" spans="1:15" x14ac:dyDescent="0.2">
      <c r="A633" s="286"/>
      <c r="B633" s="285"/>
      <c r="C633" s="285"/>
      <c r="D633" s="285"/>
      <c r="E633" s="285"/>
      <c r="F633" s="284"/>
      <c r="G633" s="323" t="str">
        <f>IF(B633="","",VLOOKUP(IF((B633-F633)*10&lt;-10,-10,IF((B633-F633)*10&gt;10,10,(B633-F633)*10)),'Rank Progression'!$K$2:$L$22,2,FALSE))</f>
        <v/>
      </c>
      <c r="I633" s="323"/>
      <c r="J633" s="323"/>
      <c r="K633" s="323"/>
      <c r="L633" s="323"/>
      <c r="M633" s="323"/>
      <c r="N633" s="323"/>
      <c r="O633" s="323"/>
    </row>
    <row r="634" spans="1:15" x14ac:dyDescent="0.2">
      <c r="A634" s="286"/>
      <c r="B634" s="285"/>
      <c r="C634" s="285"/>
      <c r="D634" s="285"/>
      <c r="E634" s="285"/>
      <c r="F634" s="284"/>
      <c r="G634" s="323" t="str">
        <f>IF(B634="","",VLOOKUP(IF((B634-F634)*10&lt;-10,-10,IF((B634-F634)*10&gt;10,10,(B634-F634)*10)),'Rank Progression'!$K$2:$L$22,2,FALSE))</f>
        <v/>
      </c>
      <c r="I634" s="323"/>
      <c r="J634" s="323"/>
      <c r="K634" s="323"/>
      <c r="L634" s="323"/>
      <c r="M634" s="323"/>
      <c r="N634" s="323"/>
      <c r="O634" s="323"/>
    </row>
    <row r="635" spans="1:15" x14ac:dyDescent="0.2">
      <c r="A635" s="286"/>
      <c r="B635" s="285"/>
      <c r="C635" s="285"/>
      <c r="D635" s="285"/>
      <c r="E635" s="285"/>
      <c r="F635" s="284"/>
      <c r="G635" s="323" t="str">
        <f>IF(B635="","",VLOOKUP(IF((B635-F635)*10&lt;-10,-10,IF((B635-F635)*10&gt;10,10,(B635-F635)*10)),'Rank Progression'!$K$2:$L$22,2,FALSE))</f>
        <v/>
      </c>
      <c r="I635" s="323"/>
      <c r="J635" s="323"/>
      <c r="K635" s="323"/>
      <c r="L635" s="323"/>
      <c r="M635" s="323"/>
      <c r="N635" s="323"/>
      <c r="O635" s="323"/>
    </row>
    <row r="636" spans="1:15" x14ac:dyDescent="0.2">
      <c r="A636" s="286"/>
      <c r="B636" s="285"/>
      <c r="C636" s="285"/>
      <c r="D636" s="285"/>
      <c r="E636" s="285"/>
      <c r="F636" s="284"/>
      <c r="G636" s="323" t="str">
        <f>IF(B636="","",VLOOKUP(IF((B636-F636)*10&lt;-10,-10,IF((B636-F636)*10&gt;10,10,(B636-F636)*10)),'Rank Progression'!$K$2:$L$22,2,FALSE))</f>
        <v/>
      </c>
      <c r="I636" s="323"/>
      <c r="J636" s="323"/>
      <c r="K636" s="323"/>
      <c r="L636" s="323"/>
      <c r="M636" s="323"/>
      <c r="N636" s="323"/>
      <c r="O636" s="323"/>
    </row>
    <row r="637" spans="1:15" x14ac:dyDescent="0.2">
      <c r="A637" s="286"/>
      <c r="B637" s="285"/>
      <c r="C637" s="285"/>
      <c r="D637" s="285"/>
      <c r="E637" s="285"/>
      <c r="F637" s="284"/>
      <c r="G637" s="323" t="str">
        <f>IF(B637="","",VLOOKUP(IF((B637-F637)*10&lt;-10,-10,IF((B637-F637)*10&gt;10,10,(B637-F637)*10)),'Rank Progression'!$K$2:$L$22,2,FALSE))</f>
        <v/>
      </c>
      <c r="I637" s="323"/>
      <c r="J637" s="323"/>
      <c r="K637" s="323"/>
      <c r="L637" s="323"/>
      <c r="M637" s="323"/>
      <c r="N637" s="323"/>
      <c r="O637" s="323"/>
    </row>
    <row r="638" spans="1:15" x14ac:dyDescent="0.2">
      <c r="A638" s="286"/>
      <c r="B638" s="285"/>
      <c r="C638" s="285"/>
      <c r="D638" s="285"/>
      <c r="E638" s="285"/>
      <c r="F638" s="284"/>
      <c r="G638" s="323" t="str">
        <f>IF(B638="","",VLOOKUP(IF((B638-F638)*10&lt;-10,-10,IF((B638-F638)*10&gt;10,10,(B638-F638)*10)),'Rank Progression'!$K$2:$L$22,2,FALSE))</f>
        <v/>
      </c>
      <c r="I638" s="323"/>
      <c r="J638" s="323"/>
      <c r="K638" s="323"/>
      <c r="L638" s="323"/>
      <c r="M638" s="323"/>
      <c r="N638" s="323"/>
      <c r="O638" s="323"/>
    </row>
    <row r="639" spans="1:15" x14ac:dyDescent="0.2">
      <c r="A639" s="286"/>
      <c r="B639" s="285"/>
      <c r="C639" s="285"/>
      <c r="D639" s="285"/>
      <c r="E639" s="285"/>
      <c r="F639" s="284"/>
      <c r="G639" s="323" t="str">
        <f>IF(B639="","",VLOOKUP(IF((B639-F639)*10&lt;-10,-10,IF((B639-F639)*10&gt;10,10,(B639-F639)*10)),'Rank Progression'!$K$2:$L$22,2,FALSE))</f>
        <v/>
      </c>
      <c r="I639" s="323"/>
      <c r="J639" s="323"/>
      <c r="K639" s="323"/>
      <c r="L639" s="323"/>
      <c r="M639" s="323"/>
      <c r="N639" s="323"/>
      <c r="O639" s="323"/>
    </row>
    <row r="640" spans="1:15" x14ac:dyDescent="0.2">
      <c r="A640" s="286"/>
      <c r="B640" s="285"/>
      <c r="C640" s="285"/>
      <c r="D640" s="285"/>
      <c r="E640" s="285"/>
      <c r="F640" s="284"/>
      <c r="G640" s="323" t="str">
        <f>IF(B640="","",VLOOKUP(IF((B640-F640)*10&lt;-10,-10,IF((B640-F640)*10&gt;10,10,(B640-F640)*10)),'Rank Progression'!$K$2:$L$22,2,FALSE))</f>
        <v/>
      </c>
      <c r="I640" s="323"/>
      <c r="J640" s="323"/>
      <c r="K640" s="323"/>
      <c r="L640" s="323"/>
      <c r="M640" s="323"/>
      <c r="N640" s="323"/>
      <c r="O640" s="323"/>
    </row>
    <row r="641" spans="1:15" x14ac:dyDescent="0.2">
      <c r="A641" s="286"/>
      <c r="B641" s="285"/>
      <c r="C641" s="285"/>
      <c r="D641" s="285"/>
      <c r="E641" s="285"/>
      <c r="F641" s="284"/>
      <c r="G641" s="323" t="str">
        <f>IF(B641="","",VLOOKUP(IF((B641-F641)*10&lt;-10,-10,IF((B641-F641)*10&gt;10,10,(B641-F641)*10)),'Rank Progression'!$K$2:$L$22,2,FALSE))</f>
        <v/>
      </c>
      <c r="I641" s="323"/>
      <c r="J641" s="323"/>
      <c r="K641" s="323"/>
      <c r="L641" s="323"/>
      <c r="M641" s="323"/>
      <c r="N641" s="323"/>
      <c r="O641" s="323"/>
    </row>
    <row r="642" spans="1:15" x14ac:dyDescent="0.2">
      <c r="A642" s="286"/>
      <c r="B642" s="285"/>
      <c r="C642" s="285"/>
      <c r="D642" s="285"/>
      <c r="E642" s="285"/>
      <c r="F642" s="284"/>
      <c r="G642" s="323" t="str">
        <f>IF(B642="","",VLOOKUP(IF((B642-F642)*10&lt;-10,-10,IF((B642-F642)*10&gt;10,10,(B642-F642)*10)),'Rank Progression'!$K$2:$L$22,2,FALSE))</f>
        <v/>
      </c>
      <c r="I642" s="323"/>
      <c r="J642" s="323"/>
      <c r="K642" s="323"/>
      <c r="L642" s="323"/>
      <c r="M642" s="323"/>
      <c r="N642" s="323"/>
      <c r="O642" s="323"/>
    </row>
    <row r="643" spans="1:15" x14ac:dyDescent="0.2">
      <c r="A643" s="286"/>
      <c r="B643" s="285"/>
      <c r="C643" s="285"/>
      <c r="D643" s="285"/>
      <c r="E643" s="285"/>
      <c r="F643" s="284"/>
      <c r="G643" s="323" t="str">
        <f>IF(B643="","",VLOOKUP(IF((B643-F643)*10&lt;-10,-10,IF((B643-F643)*10&gt;10,10,(B643-F643)*10)),'Rank Progression'!$K$2:$L$22,2,FALSE))</f>
        <v/>
      </c>
      <c r="I643" s="323"/>
      <c r="J643" s="323"/>
      <c r="K643" s="323"/>
      <c r="L643" s="323"/>
      <c r="M643" s="323"/>
      <c r="N643" s="323"/>
      <c r="O643" s="323"/>
    </row>
    <row r="644" spans="1:15" x14ac:dyDescent="0.2">
      <c r="A644" s="286"/>
      <c r="B644" s="285"/>
      <c r="C644" s="285"/>
      <c r="D644" s="285"/>
      <c r="E644" s="285"/>
      <c r="F644" s="284"/>
      <c r="G644" s="323" t="str">
        <f>IF(B644="","",VLOOKUP(IF((B644-F644)*10&lt;-10,-10,IF((B644-F644)*10&gt;10,10,(B644-F644)*10)),'Rank Progression'!$K$2:$L$22,2,FALSE))</f>
        <v/>
      </c>
      <c r="I644" s="323"/>
      <c r="J644" s="323"/>
      <c r="K644" s="323"/>
      <c r="L644" s="323"/>
      <c r="M644" s="323"/>
      <c r="N644" s="323"/>
      <c r="O644" s="323"/>
    </row>
    <row r="645" spans="1:15" x14ac:dyDescent="0.2">
      <c r="A645" s="286"/>
      <c r="B645" s="285"/>
      <c r="C645" s="285"/>
      <c r="D645" s="285"/>
      <c r="E645" s="285"/>
      <c r="F645" s="284"/>
      <c r="G645" s="323" t="str">
        <f>IF(B645="","",VLOOKUP(IF((B645-F645)*10&lt;-10,-10,IF((B645-F645)*10&gt;10,10,(B645-F645)*10)),'Rank Progression'!$K$2:$L$22,2,FALSE))</f>
        <v/>
      </c>
      <c r="I645" s="323"/>
      <c r="J645" s="323"/>
      <c r="K645" s="323"/>
      <c r="L645" s="323"/>
      <c r="M645" s="323"/>
      <c r="N645" s="323"/>
      <c r="O645" s="323"/>
    </row>
    <row r="646" spans="1:15" x14ac:dyDescent="0.2">
      <c r="A646" s="286"/>
      <c r="B646" s="285"/>
      <c r="C646" s="285"/>
      <c r="D646" s="285"/>
      <c r="E646" s="285"/>
      <c r="F646" s="284"/>
      <c r="G646" s="323" t="str">
        <f>IF(B646="","",VLOOKUP(IF((B646-F646)*10&lt;-10,-10,IF((B646-F646)*10&gt;10,10,(B646-F646)*10)),'Rank Progression'!$K$2:$L$22,2,FALSE))</f>
        <v/>
      </c>
      <c r="I646" s="323"/>
      <c r="J646" s="323"/>
      <c r="K646" s="323"/>
      <c r="L646" s="323"/>
      <c r="M646" s="323"/>
      <c r="N646" s="323"/>
      <c r="O646" s="323"/>
    </row>
    <row r="647" spans="1:15" x14ac:dyDescent="0.2">
      <c r="A647" s="286"/>
      <c r="B647" s="285"/>
      <c r="C647" s="285"/>
      <c r="D647" s="285"/>
      <c r="E647" s="285"/>
      <c r="F647" s="284"/>
      <c r="G647" s="323" t="str">
        <f>IF(B647="","",VLOOKUP(IF((B647-F647)*10&lt;-10,-10,IF((B647-F647)*10&gt;10,10,(B647-F647)*10)),'Rank Progression'!$K$2:$L$22,2,FALSE))</f>
        <v/>
      </c>
      <c r="I647" s="323"/>
      <c r="J647" s="323"/>
      <c r="K647" s="323"/>
      <c r="L647" s="323"/>
      <c r="M647" s="323"/>
      <c r="N647" s="323"/>
      <c r="O647" s="323"/>
    </row>
    <row r="648" spans="1:15" x14ac:dyDescent="0.2">
      <c r="A648" s="286"/>
      <c r="B648" s="285"/>
      <c r="C648" s="285"/>
      <c r="D648" s="285"/>
      <c r="E648" s="285"/>
      <c r="F648" s="284"/>
      <c r="G648" s="323" t="str">
        <f>IF(B648="","",VLOOKUP(IF((B648-F648)*10&lt;-10,-10,IF((B648-F648)*10&gt;10,10,(B648-F648)*10)),'Rank Progression'!$K$2:$L$22,2,FALSE))</f>
        <v/>
      </c>
      <c r="I648" s="323"/>
      <c r="J648" s="323"/>
      <c r="K648" s="323"/>
      <c r="L648" s="323"/>
      <c r="M648" s="323"/>
      <c r="N648" s="323"/>
      <c r="O648" s="323"/>
    </row>
    <row r="649" spans="1:15" x14ac:dyDescent="0.2">
      <c r="A649" s="286"/>
      <c r="B649" s="285"/>
      <c r="C649" s="285"/>
      <c r="D649" s="285"/>
      <c r="E649" s="285"/>
      <c r="F649" s="284"/>
      <c r="G649" s="323" t="str">
        <f>IF(B649="","",VLOOKUP(IF((B649-F649)*10&lt;-10,-10,IF((B649-F649)*10&gt;10,10,(B649-F649)*10)),'Rank Progression'!$K$2:$L$22,2,FALSE))</f>
        <v/>
      </c>
      <c r="I649" s="323"/>
      <c r="J649" s="323"/>
      <c r="K649" s="323"/>
      <c r="L649" s="323"/>
      <c r="M649" s="323"/>
      <c r="N649" s="323"/>
      <c r="O649" s="323"/>
    </row>
    <row r="650" spans="1:15" x14ac:dyDescent="0.2">
      <c r="A650" s="286"/>
      <c r="B650" s="285"/>
      <c r="C650" s="285"/>
      <c r="D650" s="285"/>
      <c r="E650" s="285"/>
      <c r="F650" s="284"/>
      <c r="G650" s="323" t="str">
        <f>IF(B650="","",VLOOKUP(IF((B650-F650)*10&lt;-10,-10,IF((B650-F650)*10&gt;10,10,(B650-F650)*10)),'Rank Progression'!$K$2:$L$22,2,FALSE))</f>
        <v/>
      </c>
      <c r="I650" s="323"/>
      <c r="J650" s="323"/>
      <c r="K650" s="323"/>
      <c r="L650" s="323"/>
      <c r="M650" s="323"/>
      <c r="N650" s="323"/>
      <c r="O650" s="323"/>
    </row>
    <row r="651" spans="1:15" x14ac:dyDescent="0.2">
      <c r="A651" s="286"/>
      <c r="B651" s="285"/>
      <c r="C651" s="285"/>
      <c r="D651" s="285"/>
      <c r="E651" s="285"/>
      <c r="F651" s="284"/>
      <c r="G651" s="323" t="str">
        <f>IF(B651="","",VLOOKUP(IF((B651-F651)*10&lt;-10,-10,IF((B651-F651)*10&gt;10,10,(B651-F651)*10)),'Rank Progression'!$K$2:$L$22,2,FALSE))</f>
        <v/>
      </c>
      <c r="I651" s="323"/>
      <c r="J651" s="323"/>
      <c r="K651" s="323"/>
      <c r="L651" s="323"/>
      <c r="M651" s="323"/>
      <c r="N651" s="323"/>
      <c r="O651" s="323"/>
    </row>
    <row r="652" spans="1:15" x14ac:dyDescent="0.2">
      <c r="A652" s="286"/>
      <c r="B652" s="285"/>
      <c r="C652" s="285"/>
      <c r="D652" s="285"/>
      <c r="E652" s="285"/>
      <c r="F652" s="284"/>
      <c r="G652" s="323" t="str">
        <f>IF(B652="","",VLOOKUP(IF((B652-F652)*10&lt;-10,-10,IF((B652-F652)*10&gt;10,10,(B652-F652)*10)),'Rank Progression'!$K$2:$L$22,2,FALSE))</f>
        <v/>
      </c>
      <c r="I652" s="323"/>
      <c r="J652" s="323"/>
      <c r="K652" s="323"/>
      <c r="L652" s="323"/>
      <c r="M652" s="323"/>
      <c r="N652" s="323"/>
      <c r="O652" s="323"/>
    </row>
    <row r="653" spans="1:15" x14ac:dyDescent="0.2">
      <c r="A653" s="286"/>
      <c r="B653" s="285"/>
      <c r="C653" s="285"/>
      <c r="D653" s="285"/>
      <c r="E653" s="285"/>
      <c r="F653" s="284"/>
      <c r="G653" s="323" t="str">
        <f>IF(B653="","",VLOOKUP(IF((B653-F653)*10&lt;-10,-10,IF((B653-F653)*10&gt;10,10,(B653-F653)*10)),'Rank Progression'!$K$2:$L$22,2,FALSE))</f>
        <v/>
      </c>
      <c r="I653" s="323"/>
      <c r="J653" s="323"/>
      <c r="K653" s="323"/>
      <c r="L653" s="323"/>
      <c r="M653" s="323"/>
      <c r="N653" s="323"/>
      <c r="O653" s="323"/>
    </row>
    <row r="654" spans="1:15" x14ac:dyDescent="0.2">
      <c r="A654" s="286"/>
      <c r="B654" s="285"/>
      <c r="C654" s="285"/>
      <c r="D654" s="285"/>
      <c r="E654" s="285"/>
      <c r="F654" s="284"/>
      <c r="G654" s="323" t="str">
        <f>IF(B654="","",VLOOKUP(IF((B654-F654)*10&lt;-10,-10,IF((B654-F654)*10&gt;10,10,(B654-F654)*10)),'Rank Progression'!$K$2:$L$22,2,FALSE))</f>
        <v/>
      </c>
      <c r="I654" s="323"/>
      <c r="J654" s="323"/>
      <c r="K654" s="323"/>
      <c r="L654" s="323"/>
      <c r="M654" s="323"/>
      <c r="N654" s="323"/>
      <c r="O654" s="323"/>
    </row>
    <row r="655" spans="1:15" x14ac:dyDescent="0.2">
      <c r="A655" s="286"/>
      <c r="B655" s="285"/>
      <c r="C655" s="285"/>
      <c r="D655" s="285"/>
      <c r="E655" s="285"/>
      <c r="F655" s="284"/>
      <c r="G655" s="323" t="str">
        <f>IF(B655="","",VLOOKUP(IF((B655-F655)*10&lt;-10,-10,IF((B655-F655)*10&gt;10,10,(B655-F655)*10)),'Rank Progression'!$K$2:$L$22,2,FALSE))</f>
        <v/>
      </c>
      <c r="I655" s="323"/>
      <c r="J655" s="323"/>
      <c r="K655" s="323"/>
      <c r="L655" s="323"/>
      <c r="M655" s="323"/>
      <c r="N655" s="323"/>
      <c r="O655" s="323"/>
    </row>
    <row r="656" spans="1:15" x14ac:dyDescent="0.2">
      <c r="A656" s="286"/>
      <c r="B656" s="285"/>
      <c r="C656" s="285"/>
      <c r="D656" s="285"/>
      <c r="E656" s="285"/>
      <c r="F656" s="284"/>
      <c r="G656" s="323" t="str">
        <f>IF(B656="","",VLOOKUP(IF((B656-F656)*10&lt;-10,-10,IF((B656-F656)*10&gt;10,10,(B656-F656)*10)),'Rank Progression'!$K$2:$L$22,2,FALSE))</f>
        <v/>
      </c>
      <c r="I656" s="323"/>
      <c r="J656" s="323"/>
      <c r="K656" s="323"/>
      <c r="L656" s="323"/>
      <c r="M656" s="323"/>
      <c r="N656" s="323"/>
      <c r="O656" s="323"/>
    </row>
    <row r="657" spans="1:15" x14ac:dyDescent="0.2">
      <c r="A657" s="286"/>
      <c r="B657" s="285"/>
      <c r="C657" s="285"/>
      <c r="D657" s="285"/>
      <c r="E657" s="285"/>
      <c r="F657" s="284"/>
      <c r="G657" s="323" t="str">
        <f>IF(B657="","",VLOOKUP(IF((B657-F657)*10&lt;-10,-10,IF((B657-F657)*10&gt;10,10,(B657-F657)*10)),'Rank Progression'!$K$2:$L$22,2,FALSE))</f>
        <v/>
      </c>
      <c r="I657" s="323"/>
      <c r="J657" s="323"/>
      <c r="K657" s="323"/>
      <c r="L657" s="323"/>
      <c r="M657" s="323"/>
      <c r="N657" s="323"/>
      <c r="O657" s="323"/>
    </row>
    <row r="658" spans="1:15" x14ac:dyDescent="0.2">
      <c r="A658" s="286"/>
      <c r="B658" s="285"/>
      <c r="C658" s="285"/>
      <c r="D658" s="285"/>
      <c r="E658" s="285"/>
      <c r="F658" s="284"/>
      <c r="G658" s="323" t="str">
        <f>IF(B658="","",VLOOKUP(IF((B658-F658)*10&lt;-10,-10,IF((B658-F658)*10&gt;10,10,(B658-F658)*10)),'Rank Progression'!$K$2:$L$22,2,FALSE))</f>
        <v/>
      </c>
      <c r="I658" s="323"/>
      <c r="J658" s="323"/>
      <c r="K658" s="323"/>
      <c r="L658" s="323"/>
      <c r="M658" s="323"/>
      <c r="N658" s="323"/>
      <c r="O658" s="323"/>
    </row>
    <row r="659" spans="1:15" x14ac:dyDescent="0.2">
      <c r="A659" s="286"/>
      <c r="B659" s="285"/>
      <c r="C659" s="285"/>
      <c r="D659" s="285"/>
      <c r="E659" s="285"/>
      <c r="F659" s="284"/>
      <c r="G659" s="323" t="str">
        <f>IF(B659="","",VLOOKUP(IF((B659-F659)*10&lt;-10,-10,IF((B659-F659)*10&gt;10,10,(B659-F659)*10)),'Rank Progression'!$K$2:$L$22,2,FALSE))</f>
        <v/>
      </c>
      <c r="I659" s="323"/>
      <c r="J659" s="323"/>
      <c r="K659" s="323"/>
      <c r="L659" s="323"/>
      <c r="M659" s="323"/>
      <c r="N659" s="323"/>
      <c r="O659" s="323"/>
    </row>
    <row r="660" spans="1:15" x14ac:dyDescent="0.2">
      <c r="A660" s="286"/>
      <c r="B660" s="285"/>
      <c r="C660" s="285"/>
      <c r="D660" s="285"/>
      <c r="E660" s="285"/>
      <c r="F660" s="284"/>
      <c r="G660" s="323" t="str">
        <f>IF(B660="","",VLOOKUP(IF((B660-F660)*10&lt;-10,-10,IF((B660-F660)*10&gt;10,10,(B660-F660)*10)),'Rank Progression'!$K$2:$L$22,2,FALSE))</f>
        <v/>
      </c>
      <c r="I660" s="323"/>
      <c r="J660" s="323"/>
      <c r="K660" s="323"/>
      <c r="L660" s="323"/>
      <c r="M660" s="323"/>
      <c r="N660" s="323"/>
      <c r="O660" s="323"/>
    </row>
    <row r="661" spans="1:15" x14ac:dyDescent="0.2">
      <c r="A661" s="286"/>
      <c r="B661" s="285"/>
      <c r="C661" s="285"/>
      <c r="D661" s="285"/>
      <c r="E661" s="285"/>
      <c r="F661" s="284"/>
      <c r="G661" s="323" t="str">
        <f>IF(B661="","",VLOOKUP(IF((B661-F661)*10&lt;-10,-10,IF((B661-F661)*10&gt;10,10,(B661-F661)*10)),'Rank Progression'!$K$2:$L$22,2,FALSE))</f>
        <v/>
      </c>
      <c r="I661" s="323"/>
      <c r="J661" s="323"/>
      <c r="K661" s="323"/>
      <c r="L661" s="323"/>
      <c r="M661" s="323"/>
      <c r="N661" s="323"/>
      <c r="O661" s="323"/>
    </row>
    <row r="662" spans="1:15" x14ac:dyDescent="0.2">
      <c r="A662" s="286"/>
      <c r="B662" s="285"/>
      <c r="C662" s="285"/>
      <c r="D662" s="285"/>
      <c r="E662" s="285"/>
      <c r="F662" s="284"/>
      <c r="G662" s="323" t="str">
        <f>IF(B662="","",VLOOKUP(IF((B662-F662)*10&lt;-10,-10,IF((B662-F662)*10&gt;10,10,(B662-F662)*10)),'Rank Progression'!$K$2:$L$22,2,FALSE))</f>
        <v/>
      </c>
      <c r="I662" s="323"/>
      <c r="J662" s="323"/>
      <c r="K662" s="323"/>
      <c r="L662" s="323"/>
      <c r="M662" s="323"/>
      <c r="N662" s="323"/>
      <c r="O662" s="323"/>
    </row>
    <row r="663" spans="1:15" x14ac:dyDescent="0.2">
      <c r="A663" s="286"/>
      <c r="B663" s="285"/>
      <c r="C663" s="285"/>
      <c r="D663" s="285"/>
      <c r="E663" s="285"/>
      <c r="F663" s="284"/>
      <c r="G663" s="323" t="str">
        <f>IF(B663="","",VLOOKUP(IF((B663-F663)*10&lt;-10,-10,IF((B663-F663)*10&gt;10,10,(B663-F663)*10)),'Rank Progression'!$K$2:$L$22,2,FALSE))</f>
        <v/>
      </c>
      <c r="I663" s="323"/>
      <c r="J663" s="323"/>
      <c r="K663" s="323"/>
      <c r="L663" s="323"/>
      <c r="M663" s="323"/>
      <c r="N663" s="323"/>
      <c r="O663" s="323"/>
    </row>
    <row r="664" spans="1:15" x14ac:dyDescent="0.2">
      <c r="A664" s="286"/>
      <c r="B664" s="285"/>
      <c r="C664" s="285"/>
      <c r="D664" s="285"/>
      <c r="E664" s="285"/>
      <c r="F664" s="284"/>
      <c r="G664" s="323" t="str">
        <f>IF(B664="","",VLOOKUP(IF((B664-F664)*10&lt;-10,-10,IF((B664-F664)*10&gt;10,10,(B664-F664)*10)),'Rank Progression'!$K$2:$L$22,2,FALSE))</f>
        <v/>
      </c>
      <c r="I664" s="323"/>
      <c r="J664" s="323"/>
      <c r="K664" s="323"/>
      <c r="L664" s="323"/>
      <c r="M664" s="323"/>
      <c r="N664" s="323"/>
      <c r="O664" s="323"/>
    </row>
    <row r="665" spans="1:15" x14ac:dyDescent="0.2">
      <c r="A665" s="286"/>
      <c r="B665" s="285"/>
      <c r="C665" s="285"/>
      <c r="D665" s="285"/>
      <c r="E665" s="285"/>
      <c r="F665" s="284"/>
      <c r="G665" s="323" t="str">
        <f>IF(B665="","",VLOOKUP(IF((B665-F665)*10&lt;-10,-10,IF((B665-F665)*10&gt;10,10,(B665-F665)*10)),'Rank Progression'!$K$2:$L$22,2,FALSE))</f>
        <v/>
      </c>
      <c r="I665" s="323"/>
      <c r="J665" s="323"/>
      <c r="K665" s="323"/>
      <c r="L665" s="323"/>
      <c r="M665" s="323"/>
      <c r="N665" s="323"/>
      <c r="O665" s="323"/>
    </row>
    <row r="666" spans="1:15" x14ac:dyDescent="0.2">
      <c r="A666" s="286"/>
      <c r="B666" s="285"/>
      <c r="C666" s="285"/>
      <c r="D666" s="285"/>
      <c r="E666" s="285"/>
      <c r="F666" s="284"/>
      <c r="G666" s="323" t="str">
        <f>IF(B666="","",VLOOKUP(IF((B666-F666)*10&lt;-10,-10,IF((B666-F666)*10&gt;10,10,(B666-F666)*10)),'Rank Progression'!$K$2:$L$22,2,FALSE))</f>
        <v/>
      </c>
      <c r="I666" s="323"/>
      <c r="J666" s="323"/>
      <c r="K666" s="323"/>
      <c r="L666" s="323"/>
      <c r="M666" s="323"/>
      <c r="N666" s="323"/>
      <c r="O666" s="323"/>
    </row>
    <row r="667" spans="1:15" x14ac:dyDescent="0.2">
      <c r="A667" s="286"/>
      <c r="B667" s="285"/>
      <c r="C667" s="285"/>
      <c r="D667" s="285"/>
      <c r="E667" s="285"/>
      <c r="F667" s="284"/>
      <c r="G667" s="323" t="str">
        <f>IF(B667="","",VLOOKUP(IF((B667-F667)*10&lt;-10,-10,IF((B667-F667)*10&gt;10,10,(B667-F667)*10)),'Rank Progression'!$K$2:$L$22,2,FALSE))</f>
        <v/>
      </c>
      <c r="I667" s="323"/>
      <c r="J667" s="323"/>
      <c r="K667" s="323"/>
      <c r="L667" s="323"/>
      <c r="M667" s="323"/>
      <c r="N667" s="323"/>
      <c r="O667" s="323"/>
    </row>
    <row r="668" spans="1:15" x14ac:dyDescent="0.2">
      <c r="A668" s="286"/>
      <c r="B668" s="285"/>
      <c r="C668" s="285"/>
      <c r="D668" s="285"/>
      <c r="E668" s="285"/>
      <c r="F668" s="284"/>
      <c r="G668" s="323" t="str">
        <f>IF(B668="","",VLOOKUP(IF((B668-F668)*10&lt;-10,-10,IF((B668-F668)*10&gt;10,10,(B668-F668)*10)),'Rank Progression'!$K$2:$L$22,2,FALSE))</f>
        <v/>
      </c>
      <c r="I668" s="323"/>
      <c r="J668" s="323"/>
      <c r="K668" s="323"/>
      <c r="L668" s="323"/>
      <c r="M668" s="323"/>
      <c r="N668" s="323"/>
      <c r="O668" s="323"/>
    </row>
    <row r="669" spans="1:15" x14ac:dyDescent="0.2">
      <c r="A669" s="286"/>
      <c r="B669" s="285"/>
      <c r="C669" s="285"/>
      <c r="D669" s="285"/>
      <c r="E669" s="285"/>
      <c r="F669" s="284"/>
      <c r="G669" s="323" t="str">
        <f>IF(B669="","",VLOOKUP(IF((B669-F669)*10&lt;-10,-10,IF((B669-F669)*10&gt;10,10,(B669-F669)*10)),'Rank Progression'!$K$2:$L$22,2,FALSE))</f>
        <v/>
      </c>
      <c r="I669" s="323"/>
      <c r="J669" s="323"/>
      <c r="K669" s="323"/>
      <c r="L669" s="323"/>
      <c r="M669" s="323"/>
      <c r="N669" s="323"/>
      <c r="O669" s="323"/>
    </row>
    <row r="670" spans="1:15" x14ac:dyDescent="0.2">
      <c r="A670" s="286"/>
      <c r="B670" s="285"/>
      <c r="C670" s="285"/>
      <c r="D670" s="285"/>
      <c r="E670" s="285"/>
      <c r="F670" s="284"/>
      <c r="G670" s="323" t="str">
        <f>IF(B670="","",VLOOKUP(IF((B670-F670)*10&lt;-10,-10,IF((B670-F670)*10&gt;10,10,(B670-F670)*10)),'Rank Progression'!$K$2:$L$22,2,FALSE))</f>
        <v/>
      </c>
      <c r="I670" s="323"/>
      <c r="J670" s="323"/>
      <c r="K670" s="323"/>
      <c r="L670" s="323"/>
      <c r="M670" s="323"/>
      <c r="N670" s="323"/>
      <c r="O670" s="323"/>
    </row>
    <row r="671" spans="1:15" x14ac:dyDescent="0.2">
      <c r="A671" s="286"/>
      <c r="B671" s="285"/>
      <c r="C671" s="285"/>
      <c r="D671" s="285"/>
      <c r="E671" s="285"/>
      <c r="F671" s="284"/>
      <c r="G671" s="323" t="str">
        <f>IF(B671="","",VLOOKUP(IF((B671-F671)*10&lt;-10,-10,IF((B671-F671)*10&gt;10,10,(B671-F671)*10)),'Rank Progression'!$K$2:$L$22,2,FALSE))</f>
        <v/>
      </c>
      <c r="I671" s="323"/>
      <c r="J671" s="323"/>
      <c r="K671" s="323"/>
      <c r="L671" s="323"/>
      <c r="M671" s="323"/>
      <c r="N671" s="323"/>
      <c r="O671" s="323"/>
    </row>
    <row r="672" spans="1:15" x14ac:dyDescent="0.2">
      <c r="A672" s="286"/>
      <c r="B672" s="285"/>
      <c r="C672" s="285"/>
      <c r="D672" s="285"/>
      <c r="E672" s="285"/>
      <c r="F672" s="284"/>
      <c r="G672" s="323" t="str">
        <f>IF(B672="","",VLOOKUP(IF((B672-F672)*10&lt;-10,-10,IF((B672-F672)*10&gt;10,10,(B672-F672)*10)),'Rank Progression'!$K$2:$L$22,2,FALSE))</f>
        <v/>
      </c>
      <c r="I672" s="323"/>
      <c r="J672" s="323"/>
      <c r="K672" s="323"/>
      <c r="L672" s="323"/>
      <c r="M672" s="323"/>
      <c r="N672" s="323"/>
      <c r="O672" s="323"/>
    </row>
    <row r="673" spans="1:15" x14ac:dyDescent="0.2">
      <c r="A673" s="286"/>
      <c r="B673" s="285"/>
      <c r="C673" s="285"/>
      <c r="D673" s="285"/>
      <c r="E673" s="285"/>
      <c r="F673" s="284"/>
      <c r="G673" s="323" t="str">
        <f>IF(B673="","",VLOOKUP(IF((B673-F673)*10&lt;-10,-10,IF((B673-F673)*10&gt;10,10,(B673-F673)*10)),'Rank Progression'!$K$2:$L$22,2,FALSE))</f>
        <v/>
      </c>
      <c r="I673" s="323"/>
      <c r="J673" s="323"/>
      <c r="K673" s="323"/>
      <c r="L673" s="323"/>
      <c r="M673" s="323"/>
      <c r="N673" s="323"/>
      <c r="O673" s="323"/>
    </row>
    <row r="674" spans="1:15" x14ac:dyDescent="0.2">
      <c r="A674" s="286"/>
      <c r="B674" s="285"/>
      <c r="C674" s="285"/>
      <c r="D674" s="285"/>
      <c r="E674" s="285"/>
      <c r="F674" s="284"/>
      <c r="G674" s="323" t="str">
        <f>IF(B674="","",VLOOKUP(IF((B674-F674)*10&lt;-10,-10,IF((B674-F674)*10&gt;10,10,(B674-F674)*10)),'Rank Progression'!$K$2:$L$22,2,FALSE))</f>
        <v/>
      </c>
      <c r="I674" s="323"/>
      <c r="J674" s="323"/>
      <c r="K674" s="323"/>
      <c r="L674" s="323"/>
      <c r="M674" s="323"/>
      <c r="N674" s="323"/>
      <c r="O674" s="323"/>
    </row>
    <row r="675" spans="1:15" x14ac:dyDescent="0.2">
      <c r="A675" s="286"/>
      <c r="B675" s="285"/>
      <c r="C675" s="285"/>
      <c r="D675" s="285"/>
      <c r="E675" s="285"/>
      <c r="F675" s="284"/>
      <c r="G675" s="323" t="str">
        <f>IF(B675="","",VLOOKUP(IF((B675-F675)*10&lt;-10,-10,IF((B675-F675)*10&gt;10,10,(B675-F675)*10)),'Rank Progression'!$K$2:$L$22,2,FALSE))</f>
        <v/>
      </c>
      <c r="I675" s="323"/>
      <c r="J675" s="323"/>
      <c r="K675" s="323"/>
      <c r="L675" s="323"/>
      <c r="M675" s="323"/>
      <c r="N675" s="323"/>
      <c r="O675" s="323"/>
    </row>
    <row r="676" spans="1:15" x14ac:dyDescent="0.2">
      <c r="A676" s="286"/>
      <c r="B676" s="285"/>
      <c r="C676" s="285"/>
      <c r="D676" s="285"/>
      <c r="E676" s="285"/>
      <c r="F676" s="284"/>
      <c r="G676" s="323" t="str">
        <f>IF(B676="","",VLOOKUP(IF((B676-F676)*10&lt;-10,-10,IF((B676-F676)*10&gt;10,10,(B676-F676)*10)),'Rank Progression'!$K$2:$L$22,2,FALSE))</f>
        <v/>
      </c>
      <c r="I676" s="323"/>
      <c r="J676" s="323"/>
      <c r="K676" s="323"/>
      <c r="L676" s="323"/>
      <c r="M676" s="323"/>
      <c r="N676" s="323"/>
      <c r="O676" s="323"/>
    </row>
    <row r="677" spans="1:15" x14ac:dyDescent="0.2">
      <c r="A677" s="286"/>
      <c r="B677" s="285"/>
      <c r="C677" s="285"/>
      <c r="D677" s="285"/>
      <c r="E677" s="285"/>
      <c r="F677" s="284"/>
      <c r="G677" s="323" t="str">
        <f>IF(B677="","",VLOOKUP(IF((B677-F677)*10&lt;-10,-10,IF((B677-F677)*10&gt;10,10,(B677-F677)*10)),'Rank Progression'!$K$2:$L$22,2,FALSE))</f>
        <v/>
      </c>
      <c r="I677" s="323"/>
      <c r="J677" s="323"/>
      <c r="K677" s="323"/>
      <c r="L677" s="323"/>
      <c r="M677" s="323"/>
      <c r="N677" s="323"/>
      <c r="O677" s="323"/>
    </row>
    <row r="678" spans="1:15" x14ac:dyDescent="0.2">
      <c r="A678" s="286"/>
      <c r="B678" s="285"/>
      <c r="C678" s="285"/>
      <c r="D678" s="285"/>
      <c r="E678" s="285"/>
      <c r="F678" s="284"/>
      <c r="G678" s="323" t="str">
        <f>IF(B678="","",VLOOKUP(IF((B678-F678)*10&lt;-10,-10,IF((B678-F678)*10&gt;10,10,(B678-F678)*10)),'Rank Progression'!$K$2:$L$22,2,FALSE))</f>
        <v/>
      </c>
      <c r="I678" s="323"/>
      <c r="J678" s="323"/>
      <c r="K678" s="323"/>
      <c r="L678" s="323"/>
      <c r="M678" s="323"/>
      <c r="N678" s="323"/>
      <c r="O678" s="323"/>
    </row>
    <row r="679" spans="1:15" x14ac:dyDescent="0.2">
      <c r="A679" s="286"/>
      <c r="B679" s="285"/>
      <c r="C679" s="285"/>
      <c r="D679" s="285"/>
      <c r="E679" s="285"/>
      <c r="F679" s="284"/>
      <c r="G679" s="323" t="str">
        <f>IF(B679="","",VLOOKUP(IF((B679-F679)*10&lt;-10,-10,IF((B679-F679)*10&gt;10,10,(B679-F679)*10)),'Rank Progression'!$K$2:$L$22,2,FALSE))</f>
        <v/>
      </c>
      <c r="I679" s="323"/>
      <c r="J679" s="323"/>
      <c r="K679" s="323"/>
      <c r="L679" s="323"/>
      <c r="M679" s="323"/>
      <c r="N679" s="323"/>
      <c r="O679" s="323"/>
    </row>
    <row r="680" spans="1:15" x14ac:dyDescent="0.2">
      <c r="A680" s="286"/>
      <c r="B680" s="285"/>
      <c r="C680" s="285"/>
      <c r="D680" s="285"/>
      <c r="E680" s="285"/>
      <c r="F680" s="284"/>
      <c r="G680" s="323" t="str">
        <f>IF(B680="","",VLOOKUP(IF((B680-F680)*10&lt;-10,-10,IF((B680-F680)*10&gt;10,10,(B680-F680)*10)),'Rank Progression'!$K$2:$L$22,2,FALSE))</f>
        <v/>
      </c>
      <c r="I680" s="323"/>
      <c r="J680" s="323"/>
      <c r="K680" s="323"/>
      <c r="L680" s="323"/>
      <c r="M680" s="323"/>
      <c r="N680" s="323"/>
      <c r="O680" s="323"/>
    </row>
    <row r="681" spans="1:15" x14ac:dyDescent="0.2">
      <c r="A681" s="286"/>
      <c r="B681" s="285"/>
      <c r="C681" s="285"/>
      <c r="D681" s="285"/>
      <c r="E681" s="285"/>
      <c r="F681" s="284"/>
      <c r="G681" s="323" t="str">
        <f>IF(B681="","",VLOOKUP(IF((B681-F681)*10&lt;-10,-10,IF((B681-F681)*10&gt;10,10,(B681-F681)*10)),'Rank Progression'!$K$2:$L$22,2,FALSE))</f>
        <v/>
      </c>
      <c r="I681" s="323"/>
      <c r="J681" s="323"/>
      <c r="K681" s="323"/>
      <c r="L681" s="323"/>
      <c r="M681" s="323"/>
      <c r="N681" s="323"/>
      <c r="O681" s="323"/>
    </row>
    <row r="682" spans="1:15" x14ac:dyDescent="0.2">
      <c r="A682" s="286"/>
      <c r="B682" s="285"/>
      <c r="C682" s="285"/>
      <c r="D682" s="285"/>
      <c r="E682" s="285"/>
      <c r="F682" s="284"/>
      <c r="G682" s="323" t="str">
        <f>IF(B682="","",VLOOKUP(IF((B682-F682)*10&lt;-10,-10,IF((B682-F682)*10&gt;10,10,(B682-F682)*10)),'Rank Progression'!$K$2:$L$22,2,FALSE))</f>
        <v/>
      </c>
      <c r="I682" s="323"/>
      <c r="J682" s="323"/>
      <c r="K682" s="323"/>
      <c r="L682" s="323"/>
      <c r="M682" s="323"/>
      <c r="N682" s="323"/>
      <c r="O682" s="323"/>
    </row>
    <row r="683" spans="1:15" x14ac:dyDescent="0.2">
      <c r="A683" s="286"/>
      <c r="B683" s="285"/>
      <c r="C683" s="285"/>
      <c r="D683" s="285"/>
      <c r="E683" s="285"/>
      <c r="F683" s="284"/>
      <c r="G683" s="323" t="str">
        <f>IF(B683="","",VLOOKUP(IF((B683-F683)*10&lt;-10,-10,IF((B683-F683)*10&gt;10,10,(B683-F683)*10)),'Rank Progression'!$K$2:$L$22,2,FALSE))</f>
        <v/>
      </c>
      <c r="I683" s="323"/>
      <c r="J683" s="323"/>
      <c r="K683" s="323"/>
      <c r="L683" s="323"/>
      <c r="M683" s="323"/>
      <c r="N683" s="323"/>
      <c r="O683" s="323"/>
    </row>
    <row r="684" spans="1:15" x14ac:dyDescent="0.2">
      <c r="A684" s="286"/>
      <c r="B684" s="285"/>
      <c r="C684" s="285"/>
      <c r="D684" s="285"/>
      <c r="E684" s="285"/>
      <c r="F684" s="284"/>
      <c r="G684" s="323" t="str">
        <f>IF(B684="","",VLOOKUP(IF((B684-F684)*10&lt;-10,-10,IF((B684-F684)*10&gt;10,10,(B684-F684)*10)),'Rank Progression'!$K$2:$L$22,2,FALSE))</f>
        <v/>
      </c>
      <c r="I684" s="323"/>
      <c r="J684" s="323"/>
      <c r="K684" s="323"/>
      <c r="L684" s="323"/>
      <c r="M684" s="323"/>
      <c r="N684" s="323"/>
      <c r="O684" s="323"/>
    </row>
    <row r="685" spans="1:15" x14ac:dyDescent="0.2">
      <c r="A685" s="286"/>
      <c r="B685" s="285"/>
      <c r="C685" s="285"/>
      <c r="D685" s="285"/>
      <c r="E685" s="285"/>
      <c r="F685" s="284"/>
      <c r="G685" s="323" t="str">
        <f>IF(B685="","",VLOOKUP(IF((B685-F685)*10&lt;-10,-10,IF((B685-F685)*10&gt;10,10,(B685-F685)*10)),'Rank Progression'!$K$2:$L$22,2,FALSE))</f>
        <v/>
      </c>
      <c r="I685" s="323"/>
      <c r="J685" s="323"/>
      <c r="K685" s="323"/>
      <c r="L685" s="323"/>
      <c r="M685" s="323"/>
      <c r="N685" s="323"/>
      <c r="O685" s="323"/>
    </row>
    <row r="686" spans="1:15" x14ac:dyDescent="0.2">
      <c r="A686" s="286"/>
      <c r="B686" s="285"/>
      <c r="C686" s="285"/>
      <c r="D686" s="285"/>
      <c r="E686" s="285"/>
      <c r="F686" s="284"/>
      <c r="G686" s="323" t="str">
        <f>IF(B686="","",VLOOKUP(IF((B686-F686)*10&lt;-10,-10,IF((B686-F686)*10&gt;10,10,(B686-F686)*10)),'Rank Progression'!$K$2:$L$22,2,FALSE))</f>
        <v/>
      </c>
      <c r="I686" s="323"/>
      <c r="J686" s="323"/>
      <c r="K686" s="323"/>
      <c r="L686" s="323"/>
      <c r="M686" s="323"/>
      <c r="N686" s="323"/>
      <c r="O686" s="323"/>
    </row>
    <row r="687" spans="1:15" x14ac:dyDescent="0.2">
      <c r="A687" s="286"/>
      <c r="B687" s="285"/>
      <c r="C687" s="285"/>
      <c r="D687" s="285"/>
      <c r="E687" s="285"/>
      <c r="F687" s="284"/>
      <c r="G687" s="323" t="str">
        <f>IF(B687="","",VLOOKUP(IF((B687-F687)*10&lt;-10,-10,IF((B687-F687)*10&gt;10,10,(B687-F687)*10)),'Rank Progression'!$K$2:$L$22,2,FALSE))</f>
        <v/>
      </c>
      <c r="I687" s="323"/>
      <c r="J687" s="323"/>
      <c r="K687" s="323"/>
      <c r="L687" s="323"/>
      <c r="M687" s="323"/>
      <c r="N687" s="323"/>
      <c r="O687" s="323"/>
    </row>
    <row r="688" spans="1:15" x14ac:dyDescent="0.2">
      <c r="A688" s="286"/>
      <c r="B688" s="285"/>
      <c r="C688" s="285"/>
      <c r="D688" s="285"/>
      <c r="E688" s="285"/>
      <c r="F688" s="284"/>
      <c r="G688" s="323" t="str">
        <f>IF(B688="","",VLOOKUP(IF((B688-F688)*10&lt;-10,-10,IF((B688-F688)*10&gt;10,10,(B688-F688)*10)),'Rank Progression'!$K$2:$L$22,2,FALSE))</f>
        <v/>
      </c>
      <c r="I688" s="323"/>
      <c r="J688" s="323"/>
      <c r="K688" s="323"/>
      <c r="L688" s="323"/>
      <c r="M688" s="323"/>
      <c r="N688" s="323"/>
      <c r="O688" s="323"/>
    </row>
    <row r="689" spans="1:15" x14ac:dyDescent="0.2">
      <c r="A689" s="286"/>
      <c r="B689" s="285"/>
      <c r="C689" s="285"/>
      <c r="D689" s="285"/>
      <c r="E689" s="285"/>
      <c r="F689" s="284"/>
      <c r="G689" s="323" t="str">
        <f>IF(B689="","",VLOOKUP(IF((B689-F689)*10&lt;-10,-10,IF((B689-F689)*10&gt;10,10,(B689-F689)*10)),'Rank Progression'!$K$2:$L$22,2,FALSE))</f>
        <v/>
      </c>
      <c r="I689" s="323"/>
      <c r="J689" s="323"/>
      <c r="K689" s="323"/>
      <c r="L689" s="323"/>
      <c r="M689" s="323"/>
      <c r="N689" s="323"/>
      <c r="O689" s="323"/>
    </row>
    <row r="690" spans="1:15" x14ac:dyDescent="0.2">
      <c r="A690" s="286"/>
      <c r="B690" s="285"/>
      <c r="C690" s="285"/>
      <c r="D690" s="285"/>
      <c r="E690" s="285"/>
      <c r="F690" s="284"/>
      <c r="G690" s="323" t="str">
        <f>IF(B690="","",VLOOKUP(IF((B690-F690)*10&lt;-10,-10,IF((B690-F690)*10&gt;10,10,(B690-F690)*10)),'Rank Progression'!$K$2:$L$22,2,FALSE))</f>
        <v/>
      </c>
      <c r="I690" s="323"/>
      <c r="J690" s="323"/>
      <c r="K690" s="323"/>
      <c r="L690" s="323"/>
      <c r="M690" s="323"/>
      <c r="N690" s="323"/>
      <c r="O690" s="323"/>
    </row>
    <row r="691" spans="1:15" x14ac:dyDescent="0.2">
      <c r="A691" s="286"/>
      <c r="B691" s="285"/>
      <c r="C691" s="285"/>
      <c r="D691" s="285"/>
      <c r="E691" s="285"/>
      <c r="F691" s="284"/>
      <c r="G691" s="323" t="str">
        <f>IF(B691="","",VLOOKUP(IF((B691-F691)*10&lt;-10,-10,IF((B691-F691)*10&gt;10,10,(B691-F691)*10)),'Rank Progression'!$K$2:$L$22,2,FALSE))</f>
        <v/>
      </c>
      <c r="I691" s="323"/>
      <c r="J691" s="323"/>
      <c r="K691" s="323"/>
      <c r="L691" s="323"/>
      <c r="M691" s="323"/>
      <c r="N691" s="323"/>
      <c r="O691" s="323"/>
    </row>
    <row r="692" spans="1:15" x14ac:dyDescent="0.2">
      <c r="A692" s="286"/>
      <c r="B692" s="285"/>
      <c r="C692" s="285"/>
      <c r="D692" s="285"/>
      <c r="E692" s="285"/>
      <c r="F692" s="284"/>
      <c r="G692" s="323" t="str">
        <f>IF(B692="","",VLOOKUP(IF((B692-F692)*10&lt;-10,-10,IF((B692-F692)*10&gt;10,10,(B692-F692)*10)),'Rank Progression'!$K$2:$L$22,2,FALSE))</f>
        <v/>
      </c>
      <c r="I692" s="323"/>
      <c r="J692" s="323"/>
      <c r="K692" s="323"/>
      <c r="L692" s="323"/>
      <c r="M692" s="323"/>
      <c r="N692" s="323"/>
      <c r="O692" s="323"/>
    </row>
    <row r="693" spans="1:15" x14ac:dyDescent="0.2">
      <c r="A693" s="286"/>
      <c r="B693" s="285"/>
      <c r="C693" s="285"/>
      <c r="D693" s="285"/>
      <c r="E693" s="285"/>
      <c r="F693" s="284"/>
      <c r="G693" s="323" t="str">
        <f>IF(B693="","",VLOOKUP(IF((B693-F693)*10&lt;-10,-10,IF((B693-F693)*10&gt;10,10,(B693-F693)*10)),'Rank Progression'!$K$2:$L$22,2,FALSE))</f>
        <v/>
      </c>
      <c r="I693" s="323"/>
      <c r="J693" s="323"/>
      <c r="K693" s="323"/>
      <c r="L693" s="323"/>
      <c r="M693" s="323"/>
      <c r="N693" s="323"/>
      <c r="O693" s="323"/>
    </row>
    <row r="694" spans="1:15" x14ac:dyDescent="0.2">
      <c r="A694" s="286"/>
      <c r="B694" s="285"/>
      <c r="C694" s="285"/>
      <c r="D694" s="285"/>
      <c r="E694" s="285"/>
      <c r="F694" s="284"/>
      <c r="G694" s="323" t="str">
        <f>IF(B694="","",VLOOKUP(IF((B694-F694)*10&lt;-10,-10,IF((B694-F694)*10&gt;10,10,(B694-F694)*10)),'Rank Progression'!$K$2:$L$22,2,FALSE))</f>
        <v/>
      </c>
      <c r="I694" s="323"/>
      <c r="J694" s="323"/>
      <c r="K694" s="323"/>
      <c r="L694" s="323"/>
      <c r="M694" s="323"/>
      <c r="N694" s="323"/>
      <c r="O694" s="323"/>
    </row>
    <row r="695" spans="1:15" x14ac:dyDescent="0.2">
      <c r="A695" s="286"/>
      <c r="B695" s="285"/>
      <c r="C695" s="285"/>
      <c r="D695" s="285"/>
      <c r="E695" s="285"/>
      <c r="F695" s="284"/>
      <c r="G695" s="323" t="str">
        <f>IF(B695="","",VLOOKUP(IF((B695-F695)*10&lt;-10,-10,IF((B695-F695)*10&gt;10,10,(B695-F695)*10)),'Rank Progression'!$K$2:$L$22,2,FALSE))</f>
        <v/>
      </c>
      <c r="I695" s="323"/>
      <c r="J695" s="323"/>
      <c r="K695" s="323"/>
      <c r="L695" s="323"/>
      <c r="M695" s="323"/>
      <c r="N695" s="323"/>
      <c r="O695" s="323"/>
    </row>
    <row r="696" spans="1:15" x14ac:dyDescent="0.2">
      <c r="A696" s="286"/>
      <c r="B696" s="285"/>
      <c r="C696" s="285"/>
      <c r="D696" s="285"/>
      <c r="E696" s="285"/>
      <c r="F696" s="284"/>
      <c r="G696" s="323" t="str">
        <f>IF(B696="","",VLOOKUP(IF((B696-F696)*10&lt;-10,-10,IF((B696-F696)*10&gt;10,10,(B696-F696)*10)),'Rank Progression'!$K$2:$L$22,2,FALSE))</f>
        <v/>
      </c>
      <c r="I696" s="323"/>
      <c r="J696" s="323"/>
      <c r="K696" s="323"/>
      <c r="L696" s="323"/>
      <c r="M696" s="323"/>
      <c r="N696" s="323"/>
      <c r="O696" s="323"/>
    </row>
    <row r="697" spans="1:15" x14ac:dyDescent="0.2">
      <c r="A697" s="286"/>
      <c r="B697" s="285"/>
      <c r="C697" s="285"/>
      <c r="D697" s="285"/>
      <c r="E697" s="285"/>
      <c r="F697" s="284"/>
      <c r="G697" s="323" t="str">
        <f>IF(B697="","",VLOOKUP(IF((B697-F697)*10&lt;-10,-10,IF((B697-F697)*10&gt;10,10,(B697-F697)*10)),'Rank Progression'!$K$2:$L$22,2,FALSE))</f>
        <v/>
      </c>
      <c r="I697" s="323"/>
      <c r="J697" s="323"/>
      <c r="K697" s="323"/>
      <c r="L697" s="323"/>
      <c r="M697" s="323"/>
      <c r="N697" s="323"/>
      <c r="O697" s="323"/>
    </row>
    <row r="698" spans="1:15" x14ac:dyDescent="0.2">
      <c r="A698" s="286"/>
      <c r="B698" s="285"/>
      <c r="C698" s="285"/>
      <c r="D698" s="285"/>
      <c r="E698" s="285"/>
      <c r="F698" s="284"/>
      <c r="G698" s="323" t="str">
        <f>IF(B698="","",VLOOKUP(IF((B698-F698)*10&lt;-10,-10,IF((B698-F698)*10&gt;10,10,(B698-F698)*10)),'Rank Progression'!$K$2:$L$22,2,FALSE))</f>
        <v/>
      </c>
      <c r="I698" s="323"/>
      <c r="J698" s="323"/>
      <c r="K698" s="323"/>
      <c r="L698" s="323"/>
      <c r="M698" s="323"/>
      <c r="N698" s="323"/>
      <c r="O698" s="323"/>
    </row>
    <row r="699" spans="1:15" x14ac:dyDescent="0.2">
      <c r="A699" s="286"/>
      <c r="B699" s="285"/>
      <c r="C699" s="285"/>
      <c r="D699" s="285"/>
      <c r="E699" s="285"/>
      <c r="F699" s="284"/>
      <c r="G699" s="323" t="str">
        <f>IF(B699="","",VLOOKUP(IF((B699-F699)*10&lt;-10,-10,IF((B699-F699)*10&gt;10,10,(B699-F699)*10)),'Rank Progression'!$K$2:$L$22,2,FALSE))</f>
        <v/>
      </c>
      <c r="I699" s="323"/>
      <c r="J699" s="323"/>
      <c r="K699" s="323"/>
      <c r="L699" s="323"/>
      <c r="M699" s="323"/>
      <c r="N699" s="323"/>
      <c r="O699" s="323"/>
    </row>
    <row r="700" spans="1:15" x14ac:dyDescent="0.2">
      <c r="A700" s="286"/>
      <c r="B700" s="285"/>
      <c r="C700" s="285"/>
      <c r="D700" s="285"/>
      <c r="E700" s="285"/>
      <c r="F700" s="284"/>
      <c r="G700" s="323" t="str">
        <f>IF(B700="","",VLOOKUP(IF((B700-F700)*10&lt;-10,-10,IF((B700-F700)*10&gt;10,10,(B700-F700)*10)),'Rank Progression'!$K$2:$L$22,2,FALSE))</f>
        <v/>
      </c>
      <c r="I700" s="323"/>
      <c r="J700" s="323"/>
      <c r="K700" s="323"/>
      <c r="L700" s="323"/>
      <c r="M700" s="323"/>
      <c r="N700" s="323"/>
      <c r="O700" s="323"/>
    </row>
    <row r="701" spans="1:15" x14ac:dyDescent="0.2">
      <c r="A701" s="286"/>
      <c r="B701" s="285"/>
      <c r="C701" s="285"/>
      <c r="D701" s="285"/>
      <c r="E701" s="285"/>
      <c r="F701" s="284"/>
      <c r="G701" s="323" t="str">
        <f>IF(B701="","",VLOOKUP(IF((B701-F701)*10&lt;-10,-10,IF((B701-F701)*10&gt;10,10,(B701-F701)*10)),'Rank Progression'!$K$2:$L$22,2,FALSE))</f>
        <v/>
      </c>
      <c r="I701" s="323"/>
      <c r="J701" s="323"/>
      <c r="K701" s="323"/>
      <c r="L701" s="323"/>
      <c r="M701" s="323"/>
      <c r="N701" s="323"/>
      <c r="O701" s="323"/>
    </row>
    <row r="702" spans="1:15" x14ac:dyDescent="0.2">
      <c r="A702" s="286"/>
      <c r="B702" s="285"/>
      <c r="C702" s="285"/>
      <c r="D702" s="285"/>
      <c r="E702" s="285"/>
      <c r="F702" s="284"/>
      <c r="G702" s="323" t="str">
        <f>IF(B702="","",VLOOKUP(IF((B702-F702)*10&lt;-10,-10,IF((B702-F702)*10&gt;10,10,(B702-F702)*10)),'Rank Progression'!$K$2:$L$22,2,FALSE))</f>
        <v/>
      </c>
      <c r="I702" s="323"/>
      <c r="J702" s="323"/>
      <c r="K702" s="323"/>
      <c r="L702" s="323"/>
      <c r="M702" s="323"/>
      <c r="N702" s="323"/>
      <c r="O702" s="323"/>
    </row>
    <row r="703" spans="1:15" x14ac:dyDescent="0.2">
      <c r="A703" s="286"/>
      <c r="B703" s="285"/>
      <c r="C703" s="285"/>
      <c r="D703" s="285"/>
      <c r="E703" s="285"/>
      <c r="F703" s="284"/>
      <c r="G703" s="323" t="str">
        <f>IF(B703="","",VLOOKUP(IF((B703-F703)*10&lt;-10,-10,IF((B703-F703)*10&gt;10,10,(B703-F703)*10)),'Rank Progression'!$K$2:$L$22,2,FALSE))</f>
        <v/>
      </c>
      <c r="I703" s="323"/>
      <c r="J703" s="323"/>
      <c r="K703" s="323"/>
      <c r="L703" s="323"/>
      <c r="M703" s="323"/>
      <c r="N703" s="323"/>
      <c r="O703" s="323"/>
    </row>
    <row r="704" spans="1:15" x14ac:dyDescent="0.2">
      <c r="A704" s="286"/>
      <c r="B704" s="285"/>
      <c r="C704" s="285"/>
      <c r="D704" s="285"/>
      <c r="E704" s="285"/>
      <c r="F704" s="284"/>
      <c r="G704" s="323" t="str">
        <f>IF(B704="","",VLOOKUP(IF((B704-F704)*10&lt;-10,-10,IF((B704-F704)*10&gt;10,10,(B704-F704)*10)),'Rank Progression'!$K$2:$L$22,2,FALSE))</f>
        <v/>
      </c>
      <c r="I704" s="323"/>
      <c r="J704" s="323"/>
      <c r="K704" s="323"/>
      <c r="L704" s="323"/>
      <c r="M704" s="323"/>
      <c r="N704" s="323"/>
      <c r="O704" s="323"/>
    </row>
    <row r="705" spans="1:15" x14ac:dyDescent="0.2">
      <c r="A705" s="286"/>
      <c r="B705" s="285"/>
      <c r="C705" s="285"/>
      <c r="D705" s="285"/>
      <c r="E705" s="285"/>
      <c r="F705" s="284"/>
      <c r="G705" s="323" t="str">
        <f>IF(B705="","",VLOOKUP(IF((B705-F705)*10&lt;-10,-10,IF((B705-F705)*10&gt;10,10,(B705-F705)*10)),'Rank Progression'!$K$2:$L$22,2,FALSE))</f>
        <v/>
      </c>
      <c r="I705" s="323"/>
      <c r="J705" s="323"/>
      <c r="K705" s="323"/>
      <c r="L705" s="323"/>
      <c r="M705" s="323"/>
      <c r="N705" s="323"/>
      <c r="O705" s="323"/>
    </row>
    <row r="706" spans="1:15" x14ac:dyDescent="0.2">
      <c r="A706" s="286"/>
      <c r="B706" s="285"/>
      <c r="C706" s="285"/>
      <c r="D706" s="285"/>
      <c r="E706" s="285"/>
      <c r="F706" s="284"/>
      <c r="G706" s="323" t="str">
        <f>IF(B706="","",VLOOKUP(IF((B706-F706)*10&lt;-10,-10,IF((B706-F706)*10&gt;10,10,(B706-F706)*10)),'Rank Progression'!$K$2:$L$22,2,FALSE))</f>
        <v/>
      </c>
      <c r="I706" s="323"/>
      <c r="J706" s="323"/>
      <c r="K706" s="323"/>
      <c r="L706" s="323"/>
      <c r="M706" s="323"/>
      <c r="N706" s="323"/>
      <c r="O706" s="323"/>
    </row>
    <row r="707" spans="1:15" x14ac:dyDescent="0.2">
      <c r="A707" s="286"/>
      <c r="B707" s="285"/>
      <c r="C707" s="285"/>
      <c r="D707" s="285"/>
      <c r="E707" s="285"/>
      <c r="F707" s="284"/>
      <c r="G707" s="323" t="str">
        <f>IF(B707="","",VLOOKUP(IF((B707-F707)*10&lt;-10,-10,IF((B707-F707)*10&gt;10,10,(B707-F707)*10)),'Rank Progression'!$K$2:$L$22,2,FALSE))</f>
        <v/>
      </c>
      <c r="I707" s="323"/>
      <c r="J707" s="323"/>
      <c r="K707" s="323"/>
      <c r="L707" s="323"/>
      <c r="M707" s="323"/>
      <c r="N707" s="323"/>
      <c r="O707" s="323"/>
    </row>
    <row r="708" spans="1:15" x14ac:dyDescent="0.2">
      <c r="A708" s="286"/>
      <c r="B708" s="285"/>
      <c r="C708" s="285"/>
      <c r="D708" s="285"/>
      <c r="E708" s="285"/>
      <c r="F708" s="284"/>
      <c r="G708" s="323" t="str">
        <f>IF(B708="","",VLOOKUP(IF((B708-F708)*10&lt;-10,-10,IF((B708-F708)*10&gt;10,10,(B708-F708)*10)),'Rank Progression'!$K$2:$L$22,2,FALSE))</f>
        <v/>
      </c>
      <c r="I708" s="323"/>
      <c r="J708" s="323"/>
      <c r="K708" s="323"/>
      <c r="L708" s="323"/>
      <c r="M708" s="323"/>
      <c r="N708" s="323"/>
      <c r="O708" s="323"/>
    </row>
    <row r="709" spans="1:15" x14ac:dyDescent="0.2">
      <c r="A709" s="286"/>
      <c r="B709" s="285"/>
      <c r="C709" s="285"/>
      <c r="D709" s="285"/>
      <c r="E709" s="285"/>
      <c r="F709" s="284"/>
      <c r="G709" s="323" t="str">
        <f>IF(B709="","",VLOOKUP(IF((B709-F709)*10&lt;-10,-10,IF((B709-F709)*10&gt;10,10,(B709-F709)*10)),'Rank Progression'!$K$2:$L$22,2,FALSE))</f>
        <v/>
      </c>
      <c r="I709" s="323"/>
      <c r="J709" s="323"/>
      <c r="K709" s="323"/>
      <c r="L709" s="323"/>
      <c r="M709" s="323"/>
      <c r="N709" s="323"/>
      <c r="O709" s="323"/>
    </row>
    <row r="710" spans="1:15" x14ac:dyDescent="0.2">
      <c r="A710" s="286"/>
      <c r="B710" s="285"/>
      <c r="C710" s="285"/>
      <c r="D710" s="285"/>
      <c r="E710" s="285"/>
      <c r="F710" s="284"/>
      <c r="G710" s="323" t="str">
        <f>IF(B710="","",VLOOKUP(IF((B710-F710)*10&lt;-10,-10,IF((B710-F710)*10&gt;10,10,(B710-F710)*10)),'Rank Progression'!$K$2:$L$22,2,FALSE))</f>
        <v/>
      </c>
      <c r="I710" s="323"/>
      <c r="J710" s="323"/>
      <c r="K710" s="323"/>
      <c r="L710" s="323"/>
      <c r="M710" s="323"/>
      <c r="N710" s="323"/>
      <c r="O710" s="323"/>
    </row>
    <row r="711" spans="1:15" x14ac:dyDescent="0.2">
      <c r="A711" s="286"/>
      <c r="B711" s="285"/>
      <c r="C711" s="285"/>
      <c r="D711" s="285"/>
      <c r="E711" s="285"/>
      <c r="F711" s="284"/>
      <c r="G711" s="323" t="str">
        <f>IF(B711="","",VLOOKUP(IF((B711-F711)*10&lt;-10,-10,IF((B711-F711)*10&gt;10,10,(B711-F711)*10)),'Rank Progression'!$K$2:$L$22,2,FALSE))</f>
        <v/>
      </c>
      <c r="I711" s="323"/>
      <c r="J711" s="323"/>
      <c r="K711" s="323"/>
      <c r="L711" s="323"/>
      <c r="M711" s="323"/>
      <c r="N711" s="323"/>
      <c r="O711" s="323"/>
    </row>
    <row r="712" spans="1:15" x14ac:dyDescent="0.2">
      <c r="A712" s="286"/>
      <c r="B712" s="285"/>
      <c r="C712" s="285"/>
      <c r="D712" s="285"/>
      <c r="E712" s="285"/>
      <c r="F712" s="284"/>
      <c r="G712" s="323" t="str">
        <f>IF(B712="","",VLOOKUP(IF((B712-F712)*10&lt;-10,-10,IF((B712-F712)*10&gt;10,10,(B712-F712)*10)),'Rank Progression'!$K$2:$L$22,2,FALSE))</f>
        <v/>
      </c>
      <c r="I712" s="323"/>
      <c r="J712" s="323"/>
      <c r="K712" s="323"/>
      <c r="L712" s="323"/>
      <c r="M712" s="323"/>
      <c r="N712" s="323"/>
      <c r="O712" s="323"/>
    </row>
    <row r="713" spans="1:15" x14ac:dyDescent="0.2">
      <c r="A713" s="286"/>
      <c r="B713" s="285"/>
      <c r="C713" s="285"/>
      <c r="D713" s="285"/>
      <c r="E713" s="285"/>
      <c r="F713" s="284"/>
      <c r="G713" s="323" t="str">
        <f>IF(B713="","",VLOOKUP(IF((B713-F713)*10&lt;-10,-10,IF((B713-F713)*10&gt;10,10,(B713-F713)*10)),'Rank Progression'!$K$2:$L$22,2,FALSE))</f>
        <v/>
      </c>
      <c r="I713" s="323"/>
      <c r="J713" s="323"/>
      <c r="K713" s="323"/>
      <c r="L713" s="323"/>
      <c r="M713" s="323"/>
      <c r="N713" s="323"/>
      <c r="O713" s="323"/>
    </row>
    <row r="714" spans="1:15" x14ac:dyDescent="0.2">
      <c r="A714" s="286"/>
      <c r="B714" s="285"/>
      <c r="C714" s="285"/>
      <c r="D714" s="285"/>
      <c r="E714" s="285"/>
      <c r="F714" s="284"/>
      <c r="G714" s="323" t="str">
        <f>IF(B714="","",VLOOKUP(IF((B714-F714)*10&lt;-10,-10,IF((B714-F714)*10&gt;10,10,(B714-F714)*10)),'Rank Progression'!$K$2:$L$22,2,FALSE))</f>
        <v/>
      </c>
      <c r="I714" s="323"/>
      <c r="J714" s="323"/>
      <c r="K714" s="323"/>
      <c r="L714" s="323"/>
      <c r="M714" s="323"/>
      <c r="N714" s="323"/>
      <c r="O714" s="323"/>
    </row>
    <row r="715" spans="1:15" x14ac:dyDescent="0.2">
      <c r="A715" s="286"/>
      <c r="B715" s="285"/>
      <c r="C715" s="285"/>
      <c r="D715" s="285"/>
      <c r="E715" s="285"/>
      <c r="F715" s="284"/>
      <c r="G715" s="323" t="str">
        <f>IF(B715="","",VLOOKUP(IF((B715-F715)*10&lt;-10,-10,IF((B715-F715)*10&gt;10,10,(B715-F715)*10)),'Rank Progression'!$K$2:$L$22,2,FALSE))</f>
        <v/>
      </c>
      <c r="I715" s="323"/>
      <c r="J715" s="323"/>
      <c r="K715" s="323"/>
      <c r="L715" s="323"/>
      <c r="M715" s="323"/>
      <c r="N715" s="323"/>
      <c r="O715" s="323"/>
    </row>
    <row r="716" spans="1:15" x14ac:dyDescent="0.2">
      <c r="A716" s="286"/>
      <c r="B716" s="285"/>
      <c r="C716" s="285"/>
      <c r="D716" s="285"/>
      <c r="E716" s="285"/>
      <c r="F716" s="284"/>
      <c r="G716" s="323" t="str">
        <f>IF(B716="","",VLOOKUP(IF((B716-F716)*10&lt;-10,-10,IF((B716-F716)*10&gt;10,10,(B716-F716)*10)),'Rank Progression'!$K$2:$L$22,2,FALSE))</f>
        <v/>
      </c>
      <c r="I716" s="323"/>
      <c r="J716" s="323"/>
      <c r="K716" s="323"/>
      <c r="L716" s="323"/>
      <c r="M716" s="323"/>
      <c r="N716" s="323"/>
      <c r="O716" s="323"/>
    </row>
    <row r="717" spans="1:15" x14ac:dyDescent="0.2">
      <c r="A717" s="286"/>
      <c r="B717" s="285"/>
      <c r="C717" s="285"/>
      <c r="D717" s="285"/>
      <c r="E717" s="285"/>
      <c r="F717" s="284"/>
      <c r="G717" s="323" t="str">
        <f>IF(B717="","",VLOOKUP(IF((B717-F717)*10&lt;-10,-10,IF((B717-F717)*10&gt;10,10,(B717-F717)*10)),'Rank Progression'!$K$2:$L$22,2,FALSE))</f>
        <v/>
      </c>
      <c r="I717" s="323"/>
      <c r="J717" s="323"/>
      <c r="K717" s="323"/>
      <c r="L717" s="323"/>
      <c r="M717" s="323"/>
      <c r="N717" s="323"/>
      <c r="O717" s="323"/>
    </row>
    <row r="718" spans="1:15" x14ac:dyDescent="0.2">
      <c r="A718" s="286"/>
      <c r="B718" s="285"/>
      <c r="C718" s="285"/>
      <c r="D718" s="285"/>
      <c r="E718" s="285"/>
      <c r="F718" s="284"/>
      <c r="G718" s="323" t="str">
        <f>IF(B718="","",VLOOKUP(IF((B718-F718)*10&lt;-10,-10,IF((B718-F718)*10&gt;10,10,(B718-F718)*10)),'Rank Progression'!$K$2:$L$22,2,FALSE))</f>
        <v/>
      </c>
      <c r="I718" s="323"/>
      <c r="J718" s="323"/>
      <c r="K718" s="323"/>
      <c r="L718" s="323"/>
      <c r="M718" s="323"/>
      <c r="N718" s="323"/>
      <c r="O718" s="323"/>
    </row>
    <row r="719" spans="1:15" x14ac:dyDescent="0.2">
      <c r="A719" s="286"/>
      <c r="B719" s="285"/>
      <c r="C719" s="285"/>
      <c r="D719" s="285"/>
      <c r="E719" s="285"/>
      <c r="F719" s="284"/>
      <c r="G719" s="323" t="str">
        <f>IF(B719="","",VLOOKUP(IF((B719-F719)*10&lt;-10,-10,IF((B719-F719)*10&gt;10,10,(B719-F719)*10)),'Rank Progression'!$K$2:$L$22,2,FALSE))</f>
        <v/>
      </c>
      <c r="I719" s="323"/>
      <c r="J719" s="323"/>
      <c r="K719" s="323"/>
      <c r="L719" s="323"/>
      <c r="M719" s="323"/>
      <c r="N719" s="323"/>
      <c r="O719" s="323"/>
    </row>
    <row r="720" spans="1:15" x14ac:dyDescent="0.2">
      <c r="A720" s="286"/>
      <c r="B720" s="285"/>
      <c r="C720" s="285"/>
      <c r="D720" s="285"/>
      <c r="E720" s="285"/>
      <c r="F720" s="284"/>
      <c r="G720" s="323" t="str">
        <f>IF(B720="","",VLOOKUP(IF((B720-F720)*10&lt;-10,-10,IF((B720-F720)*10&gt;10,10,(B720-F720)*10)),'Rank Progression'!$K$2:$L$22,2,FALSE))</f>
        <v/>
      </c>
      <c r="I720" s="323"/>
      <c r="J720" s="323"/>
      <c r="K720" s="323"/>
      <c r="L720" s="323"/>
      <c r="M720" s="323"/>
      <c r="N720" s="323"/>
      <c r="O720" s="323"/>
    </row>
    <row r="721" spans="1:15" x14ac:dyDescent="0.2">
      <c r="A721" s="286"/>
      <c r="B721" s="285"/>
      <c r="C721" s="285"/>
      <c r="D721" s="285"/>
      <c r="E721" s="285"/>
      <c r="F721" s="284"/>
      <c r="G721" s="323" t="str">
        <f>IF(B721="","",VLOOKUP(IF((B721-F721)*10&lt;-10,-10,IF((B721-F721)*10&gt;10,10,(B721-F721)*10)),'Rank Progression'!$K$2:$L$22,2,FALSE))</f>
        <v/>
      </c>
      <c r="I721" s="323"/>
      <c r="J721" s="323"/>
      <c r="K721" s="323"/>
      <c r="L721" s="323"/>
      <c r="M721" s="323"/>
      <c r="N721" s="323"/>
      <c r="O721" s="323"/>
    </row>
    <row r="722" spans="1:15" x14ac:dyDescent="0.2">
      <c r="A722" s="286"/>
      <c r="B722" s="285"/>
      <c r="C722" s="285"/>
      <c r="D722" s="285"/>
      <c r="E722" s="285"/>
      <c r="F722" s="284"/>
      <c r="G722" s="323" t="str">
        <f>IF(B722="","",VLOOKUP(IF((B722-F722)*10&lt;-10,-10,IF((B722-F722)*10&gt;10,10,(B722-F722)*10)),'Rank Progression'!$K$2:$L$22,2,FALSE))</f>
        <v/>
      </c>
      <c r="I722" s="323"/>
      <c r="J722" s="323"/>
      <c r="K722" s="323"/>
      <c r="L722" s="323"/>
      <c r="M722" s="323"/>
      <c r="N722" s="323"/>
      <c r="O722" s="323"/>
    </row>
    <row r="723" spans="1:15" x14ac:dyDescent="0.2">
      <c r="A723" s="286"/>
      <c r="B723" s="285"/>
      <c r="C723" s="285"/>
      <c r="D723" s="285"/>
      <c r="E723" s="285"/>
      <c r="F723" s="284"/>
      <c r="G723" s="323" t="str">
        <f>IF(B723="","",VLOOKUP(IF((B723-F723)*10&lt;-10,-10,IF((B723-F723)*10&gt;10,10,(B723-F723)*10)),'Rank Progression'!$K$2:$L$22,2,FALSE))</f>
        <v/>
      </c>
      <c r="I723" s="323"/>
      <c r="J723" s="323"/>
      <c r="K723" s="323"/>
      <c r="L723" s="323"/>
      <c r="M723" s="323"/>
      <c r="N723" s="323"/>
      <c r="O723" s="323"/>
    </row>
    <row r="724" spans="1:15" x14ac:dyDescent="0.2">
      <c r="A724" s="286"/>
      <c r="B724" s="285"/>
      <c r="C724" s="285"/>
      <c r="D724" s="285"/>
      <c r="E724" s="285"/>
      <c r="F724" s="284"/>
      <c r="G724" s="323" t="str">
        <f>IF(B724="","",VLOOKUP(IF((B724-F724)*10&lt;-10,-10,IF((B724-F724)*10&gt;10,10,(B724-F724)*10)),'Rank Progression'!$K$2:$L$22,2,FALSE))</f>
        <v/>
      </c>
      <c r="I724" s="323"/>
      <c r="J724" s="323"/>
      <c r="K724" s="323"/>
      <c r="L724" s="323"/>
      <c r="M724" s="323"/>
      <c r="N724" s="323"/>
      <c r="O724" s="323"/>
    </row>
    <row r="725" spans="1:15" x14ac:dyDescent="0.2">
      <c r="A725" s="286"/>
      <c r="B725" s="285"/>
      <c r="C725" s="285"/>
      <c r="D725" s="285"/>
      <c r="E725" s="285"/>
      <c r="F725" s="284"/>
      <c r="G725" s="323" t="str">
        <f>IF(B725="","",VLOOKUP(IF((B725-F725)*10&lt;-10,-10,IF((B725-F725)*10&gt;10,10,(B725-F725)*10)),'Rank Progression'!$K$2:$L$22,2,FALSE))</f>
        <v/>
      </c>
      <c r="I725" s="323"/>
      <c r="J725" s="323"/>
      <c r="K725" s="323"/>
      <c r="L725" s="323"/>
      <c r="M725" s="323"/>
      <c r="N725" s="323"/>
      <c r="O725" s="323"/>
    </row>
    <row r="726" spans="1:15" x14ac:dyDescent="0.2">
      <c r="A726" s="286"/>
      <c r="B726" s="285"/>
      <c r="C726" s="285"/>
      <c r="D726" s="285"/>
      <c r="E726" s="285"/>
      <c r="F726" s="284"/>
      <c r="G726" s="323" t="str">
        <f>IF(B726="","",VLOOKUP(IF((B726-F726)*10&lt;-10,-10,IF((B726-F726)*10&gt;10,10,(B726-F726)*10)),'Rank Progression'!$K$2:$L$22,2,FALSE))</f>
        <v/>
      </c>
      <c r="I726" s="323"/>
      <c r="J726" s="323"/>
      <c r="K726" s="323"/>
      <c r="L726" s="323"/>
      <c r="M726" s="323"/>
      <c r="N726" s="323"/>
      <c r="O726" s="323"/>
    </row>
    <row r="727" spans="1:15" x14ac:dyDescent="0.2">
      <c r="A727" s="286"/>
      <c r="B727" s="285"/>
      <c r="C727" s="285"/>
      <c r="D727" s="285"/>
      <c r="E727" s="285"/>
      <c r="F727" s="284"/>
      <c r="G727" s="323" t="str">
        <f>IF(B727="","",VLOOKUP(IF((B727-F727)*10&lt;-10,-10,IF((B727-F727)*10&gt;10,10,(B727-F727)*10)),'Rank Progression'!$K$2:$L$22,2,FALSE))</f>
        <v/>
      </c>
      <c r="I727" s="323"/>
      <c r="J727" s="323"/>
      <c r="K727" s="323"/>
      <c r="L727" s="323"/>
      <c r="M727" s="323"/>
      <c r="N727" s="323"/>
      <c r="O727" s="323"/>
    </row>
    <row r="728" spans="1:15" x14ac:dyDescent="0.2">
      <c r="A728" s="286"/>
      <c r="B728" s="285"/>
      <c r="C728" s="285"/>
      <c r="D728" s="285"/>
      <c r="E728" s="285"/>
      <c r="F728" s="284"/>
      <c r="G728" s="323" t="str">
        <f>IF(B728="","",VLOOKUP(IF((B728-F728)*10&lt;-10,-10,IF((B728-F728)*10&gt;10,10,(B728-F728)*10)),'Rank Progression'!$K$2:$L$22,2,FALSE))</f>
        <v/>
      </c>
      <c r="I728" s="323"/>
      <c r="J728" s="323"/>
      <c r="K728" s="323"/>
      <c r="L728" s="323"/>
      <c r="M728" s="323"/>
      <c r="N728" s="323"/>
      <c r="O728" s="323"/>
    </row>
    <row r="729" spans="1:15" x14ac:dyDescent="0.2">
      <c r="A729" s="286"/>
      <c r="B729" s="285"/>
      <c r="C729" s="285"/>
      <c r="D729" s="285"/>
      <c r="E729" s="285"/>
      <c r="F729" s="284"/>
      <c r="G729" s="323" t="str">
        <f>IF(B729="","",VLOOKUP(IF((B729-F729)*10&lt;-10,-10,IF((B729-F729)*10&gt;10,10,(B729-F729)*10)),'Rank Progression'!$K$2:$L$22,2,FALSE))</f>
        <v/>
      </c>
      <c r="I729" s="323"/>
      <c r="J729" s="323"/>
      <c r="K729" s="323"/>
      <c r="L729" s="323"/>
      <c r="M729" s="323"/>
      <c r="N729" s="323"/>
      <c r="O729" s="323"/>
    </row>
    <row r="730" spans="1:15" x14ac:dyDescent="0.2">
      <c r="A730" s="286"/>
      <c r="B730" s="285"/>
      <c r="C730" s="285"/>
      <c r="D730" s="285"/>
      <c r="E730" s="285"/>
      <c r="F730" s="284"/>
      <c r="G730" s="323" t="str">
        <f>IF(B730="","",VLOOKUP(IF((B730-F730)*10&lt;-10,-10,IF((B730-F730)*10&gt;10,10,(B730-F730)*10)),'Rank Progression'!$K$2:$L$22,2,FALSE))</f>
        <v/>
      </c>
      <c r="I730" s="323"/>
      <c r="J730" s="323"/>
      <c r="K730" s="323"/>
      <c r="L730" s="323"/>
      <c r="M730" s="323"/>
      <c r="N730" s="323"/>
      <c r="O730" s="323"/>
    </row>
    <row r="731" spans="1:15" x14ac:dyDescent="0.2">
      <c r="A731" s="286"/>
      <c r="B731" s="285"/>
      <c r="C731" s="285"/>
      <c r="D731" s="285"/>
      <c r="E731" s="285"/>
      <c r="F731" s="284"/>
      <c r="G731" s="323" t="str">
        <f>IF(B731="","",VLOOKUP(IF((B731-F731)*10&lt;-10,-10,IF((B731-F731)*10&gt;10,10,(B731-F731)*10)),'Rank Progression'!$K$2:$L$22,2,FALSE))</f>
        <v/>
      </c>
      <c r="I731" s="323"/>
      <c r="J731" s="323"/>
      <c r="K731" s="323"/>
      <c r="L731" s="323"/>
      <c r="M731" s="323"/>
      <c r="N731" s="323"/>
      <c r="O731" s="323"/>
    </row>
    <row r="732" spans="1:15" x14ac:dyDescent="0.2">
      <c r="A732" s="286"/>
      <c r="B732" s="285"/>
      <c r="C732" s="285"/>
      <c r="D732" s="285"/>
      <c r="E732" s="285"/>
      <c r="F732" s="284"/>
      <c r="G732" s="323" t="str">
        <f>IF(B732="","",VLOOKUP(IF((B732-F732)*10&lt;-10,-10,IF((B732-F732)*10&gt;10,10,(B732-F732)*10)),'Rank Progression'!$K$2:$L$22,2,FALSE))</f>
        <v/>
      </c>
      <c r="I732" s="323"/>
      <c r="J732" s="323"/>
      <c r="K732" s="323"/>
      <c r="L732" s="323"/>
      <c r="M732" s="323"/>
      <c r="N732" s="323"/>
      <c r="O732" s="323"/>
    </row>
    <row r="733" spans="1:15" x14ac:dyDescent="0.2">
      <c r="A733" s="286"/>
      <c r="B733" s="285"/>
      <c r="C733" s="285"/>
      <c r="D733" s="285"/>
      <c r="E733" s="285"/>
      <c r="F733" s="284"/>
      <c r="G733" s="323" t="str">
        <f>IF(B733="","",VLOOKUP(IF((B733-F733)*10&lt;-10,-10,IF((B733-F733)*10&gt;10,10,(B733-F733)*10)),'Rank Progression'!$K$2:$L$22,2,FALSE))</f>
        <v/>
      </c>
      <c r="I733" s="323"/>
      <c r="J733" s="323"/>
      <c r="K733" s="323"/>
      <c r="L733" s="323"/>
      <c r="M733" s="323"/>
      <c r="N733" s="323"/>
      <c r="O733" s="323"/>
    </row>
    <row r="734" spans="1:15" x14ac:dyDescent="0.2">
      <c r="A734" s="286"/>
      <c r="B734" s="285"/>
      <c r="C734" s="285"/>
      <c r="D734" s="285"/>
      <c r="E734" s="285"/>
      <c r="F734" s="284"/>
      <c r="G734" s="323" t="str">
        <f>IF(B734="","",VLOOKUP(IF((B734-F734)*10&lt;-10,-10,IF((B734-F734)*10&gt;10,10,(B734-F734)*10)),'Rank Progression'!$K$2:$L$22,2,FALSE))</f>
        <v/>
      </c>
      <c r="I734" s="323"/>
      <c r="J734" s="323"/>
      <c r="K734" s="323"/>
      <c r="L734" s="323"/>
      <c r="M734" s="323"/>
      <c r="N734" s="323"/>
      <c r="O734" s="323"/>
    </row>
    <row r="735" spans="1:15" x14ac:dyDescent="0.2">
      <c r="A735" s="286"/>
      <c r="B735" s="285"/>
      <c r="C735" s="285"/>
      <c r="D735" s="285"/>
      <c r="E735" s="285"/>
      <c r="F735" s="284"/>
      <c r="G735" s="323" t="str">
        <f>IF(B735="","",VLOOKUP(IF((B735-F735)*10&lt;-10,-10,IF((B735-F735)*10&gt;10,10,(B735-F735)*10)),'Rank Progression'!$K$2:$L$22,2,FALSE))</f>
        <v/>
      </c>
      <c r="I735" s="323"/>
      <c r="J735" s="323"/>
      <c r="K735" s="323"/>
      <c r="L735" s="323"/>
      <c r="M735" s="323"/>
      <c r="N735" s="323"/>
      <c r="O735" s="323"/>
    </row>
    <row r="736" spans="1:15" x14ac:dyDescent="0.2">
      <c r="A736" s="286"/>
      <c r="B736" s="285"/>
      <c r="C736" s="285"/>
      <c r="D736" s="285"/>
      <c r="E736" s="285"/>
      <c r="F736" s="284"/>
      <c r="G736" s="323" t="str">
        <f>IF(B736="","",VLOOKUP(IF((B736-F736)*10&lt;-10,-10,IF((B736-F736)*10&gt;10,10,(B736-F736)*10)),'Rank Progression'!$K$2:$L$22,2,FALSE))</f>
        <v/>
      </c>
      <c r="I736" s="323"/>
      <c r="J736" s="323"/>
      <c r="K736" s="323"/>
      <c r="L736" s="323"/>
      <c r="M736" s="323"/>
      <c r="N736" s="323"/>
      <c r="O736" s="323"/>
    </row>
    <row r="737" spans="1:15" x14ac:dyDescent="0.2">
      <c r="A737" s="286"/>
      <c r="B737" s="285"/>
      <c r="C737" s="285"/>
      <c r="D737" s="285"/>
      <c r="E737" s="285"/>
      <c r="F737" s="284"/>
      <c r="G737" s="323" t="str">
        <f>IF(B737="","",VLOOKUP(IF((B737-F737)*10&lt;-10,-10,IF((B737-F737)*10&gt;10,10,(B737-F737)*10)),'Rank Progression'!$K$2:$L$22,2,FALSE))</f>
        <v/>
      </c>
      <c r="I737" s="323"/>
      <c r="J737" s="323"/>
      <c r="K737" s="323"/>
      <c r="L737" s="323"/>
      <c r="M737" s="323"/>
      <c r="N737" s="323"/>
      <c r="O737" s="323"/>
    </row>
    <row r="738" spans="1:15" x14ac:dyDescent="0.2">
      <c r="A738" s="286"/>
      <c r="B738" s="285"/>
      <c r="C738" s="285"/>
      <c r="D738" s="285"/>
      <c r="E738" s="285"/>
      <c r="F738" s="284"/>
      <c r="G738" s="323" t="str">
        <f>IF(B738="","",VLOOKUP(IF((B738-F738)*10&lt;-10,-10,IF((B738-F738)*10&gt;10,10,(B738-F738)*10)),'Rank Progression'!$K$2:$L$22,2,FALSE))</f>
        <v/>
      </c>
      <c r="I738" s="323"/>
      <c r="J738" s="323"/>
      <c r="K738" s="323"/>
      <c r="L738" s="323"/>
      <c r="M738" s="323"/>
      <c r="N738" s="323"/>
      <c r="O738" s="323"/>
    </row>
    <row r="739" spans="1:15" x14ac:dyDescent="0.2">
      <c r="A739" s="286"/>
      <c r="B739" s="285"/>
      <c r="C739" s="285"/>
      <c r="D739" s="285"/>
      <c r="E739" s="285"/>
      <c r="F739" s="284"/>
      <c r="G739" s="323" t="str">
        <f>IF(B739="","",VLOOKUP(IF((B739-F739)*10&lt;-10,-10,IF((B739-F739)*10&gt;10,10,(B739-F739)*10)),'Rank Progression'!$K$2:$L$22,2,FALSE))</f>
        <v/>
      </c>
      <c r="I739" s="323"/>
      <c r="J739" s="323"/>
      <c r="K739" s="323"/>
      <c r="L739" s="323"/>
      <c r="M739" s="323"/>
      <c r="N739" s="323"/>
      <c r="O739" s="323"/>
    </row>
    <row r="740" spans="1:15" x14ac:dyDescent="0.2">
      <c r="A740" s="286"/>
      <c r="B740" s="285"/>
      <c r="C740" s="285"/>
      <c r="D740" s="285"/>
      <c r="E740" s="285"/>
      <c r="F740" s="284"/>
      <c r="G740" s="323" t="str">
        <f>IF(B740="","",VLOOKUP(IF((B740-F740)*10&lt;-10,-10,IF((B740-F740)*10&gt;10,10,(B740-F740)*10)),'Rank Progression'!$K$2:$L$22,2,FALSE))</f>
        <v/>
      </c>
      <c r="I740" s="323"/>
      <c r="J740" s="323"/>
      <c r="K740" s="323"/>
      <c r="L740" s="323"/>
      <c r="M740" s="323"/>
      <c r="N740" s="323"/>
      <c r="O740" s="323"/>
    </row>
    <row r="741" spans="1:15" x14ac:dyDescent="0.2">
      <c r="A741" s="286"/>
      <c r="B741" s="285"/>
      <c r="C741" s="285"/>
      <c r="D741" s="285"/>
      <c r="E741" s="285"/>
      <c r="F741" s="284"/>
      <c r="G741" s="323" t="str">
        <f>IF(B741="","",VLOOKUP(IF((B741-F741)*10&lt;-10,-10,IF((B741-F741)*10&gt;10,10,(B741-F741)*10)),'Rank Progression'!$K$2:$L$22,2,FALSE))</f>
        <v/>
      </c>
      <c r="I741" s="323"/>
      <c r="J741" s="323"/>
      <c r="K741" s="323"/>
      <c r="L741" s="323"/>
      <c r="M741" s="323"/>
      <c r="N741" s="323"/>
      <c r="O741" s="323"/>
    </row>
    <row r="742" spans="1:15" x14ac:dyDescent="0.2">
      <c r="A742" s="286"/>
      <c r="B742" s="285"/>
      <c r="C742" s="285"/>
      <c r="D742" s="285"/>
      <c r="E742" s="285"/>
      <c r="F742" s="284"/>
      <c r="G742" s="323" t="str">
        <f>IF(B742="","",VLOOKUP(IF((B742-F742)*10&lt;-10,-10,IF((B742-F742)*10&gt;10,10,(B742-F742)*10)),'Rank Progression'!$K$2:$L$22,2,FALSE))</f>
        <v/>
      </c>
      <c r="I742" s="323"/>
      <c r="J742" s="323"/>
      <c r="K742" s="323"/>
      <c r="L742" s="323"/>
      <c r="M742" s="323"/>
      <c r="N742" s="323"/>
      <c r="O742" s="323"/>
    </row>
    <row r="743" spans="1:15" x14ac:dyDescent="0.2">
      <c r="A743" s="286"/>
      <c r="B743" s="285"/>
      <c r="C743" s="285"/>
      <c r="D743" s="285"/>
      <c r="E743" s="285"/>
      <c r="F743" s="284"/>
      <c r="G743" s="323" t="str">
        <f>IF(B743="","",VLOOKUP(IF((B743-F743)*10&lt;-10,-10,IF((B743-F743)*10&gt;10,10,(B743-F743)*10)),'Rank Progression'!$K$2:$L$22,2,FALSE))</f>
        <v/>
      </c>
      <c r="I743" s="323"/>
      <c r="J743" s="323"/>
      <c r="K743" s="323"/>
      <c r="L743" s="323"/>
      <c r="M743" s="323"/>
      <c r="N743" s="323"/>
      <c r="O743" s="323"/>
    </row>
    <row r="744" spans="1:15" x14ac:dyDescent="0.2">
      <c r="A744" s="286"/>
      <c r="B744" s="285"/>
      <c r="C744" s="285"/>
      <c r="D744" s="285"/>
      <c r="E744" s="285"/>
      <c r="F744" s="284"/>
      <c r="G744" s="323" t="str">
        <f>IF(B744="","",VLOOKUP(IF((B744-F744)*10&lt;-10,-10,IF((B744-F744)*10&gt;10,10,(B744-F744)*10)),'Rank Progression'!$K$2:$L$22,2,FALSE))</f>
        <v/>
      </c>
      <c r="I744" s="323"/>
      <c r="J744" s="323"/>
      <c r="K744" s="323"/>
      <c r="L744" s="323"/>
      <c r="M744" s="323"/>
      <c r="N744" s="323"/>
      <c r="O744" s="323"/>
    </row>
    <row r="745" spans="1:15" x14ac:dyDescent="0.2">
      <c r="A745" s="286"/>
      <c r="B745" s="285"/>
      <c r="C745" s="285"/>
      <c r="D745" s="285"/>
      <c r="E745" s="285"/>
      <c r="F745" s="284"/>
      <c r="G745" s="323" t="str">
        <f>IF(B745="","",VLOOKUP(IF((B745-F745)*10&lt;-10,-10,IF((B745-F745)*10&gt;10,10,(B745-F745)*10)),'Rank Progression'!$K$2:$L$22,2,FALSE))</f>
        <v/>
      </c>
      <c r="I745" s="323"/>
      <c r="J745" s="323"/>
      <c r="K745" s="323"/>
      <c r="L745" s="323"/>
      <c r="M745" s="323"/>
      <c r="N745" s="323"/>
      <c r="O745" s="323"/>
    </row>
    <row r="746" spans="1:15" x14ac:dyDescent="0.2">
      <c r="A746" s="286"/>
      <c r="B746" s="285"/>
      <c r="C746" s="285"/>
      <c r="D746" s="285"/>
      <c r="E746" s="285"/>
      <c r="F746" s="284"/>
      <c r="G746" s="323" t="str">
        <f>IF(B746="","",VLOOKUP(IF((B746-F746)*10&lt;-10,-10,IF((B746-F746)*10&gt;10,10,(B746-F746)*10)),'Rank Progression'!$K$2:$L$22,2,FALSE))</f>
        <v/>
      </c>
      <c r="I746" s="323"/>
      <c r="J746" s="323"/>
      <c r="K746" s="323"/>
      <c r="L746" s="323"/>
      <c r="M746" s="323"/>
      <c r="N746" s="323"/>
      <c r="O746" s="323"/>
    </row>
    <row r="747" spans="1:15" x14ac:dyDescent="0.2">
      <c r="A747" s="286"/>
      <c r="B747" s="285"/>
      <c r="C747" s="285"/>
      <c r="D747" s="285"/>
      <c r="E747" s="285"/>
      <c r="F747" s="284"/>
      <c r="G747" s="323" t="str">
        <f>IF(B747="","",VLOOKUP(IF((B747-F747)*10&lt;-10,-10,IF((B747-F747)*10&gt;10,10,(B747-F747)*10)),'Rank Progression'!$K$2:$L$22,2,FALSE))</f>
        <v/>
      </c>
      <c r="I747" s="323"/>
      <c r="J747" s="323"/>
      <c r="K747" s="323"/>
      <c r="L747" s="323"/>
      <c r="M747" s="323"/>
      <c r="N747" s="323"/>
      <c r="O747" s="323"/>
    </row>
    <row r="748" spans="1:15" x14ac:dyDescent="0.2">
      <c r="A748" s="286"/>
      <c r="B748" s="285"/>
      <c r="C748" s="285"/>
      <c r="D748" s="285"/>
      <c r="E748" s="285"/>
      <c r="F748" s="284"/>
      <c r="G748" s="323" t="str">
        <f>IF(B748="","",VLOOKUP(IF((B748-F748)*10&lt;-10,-10,IF((B748-F748)*10&gt;10,10,(B748-F748)*10)),'Rank Progression'!$K$2:$L$22,2,FALSE))</f>
        <v/>
      </c>
      <c r="I748" s="323"/>
      <c r="J748" s="323"/>
      <c r="K748" s="323"/>
      <c r="L748" s="323"/>
      <c r="M748" s="323"/>
      <c r="N748" s="323"/>
      <c r="O748" s="323"/>
    </row>
    <row r="749" spans="1:15" x14ac:dyDescent="0.2">
      <c r="A749" s="286"/>
      <c r="B749" s="285"/>
      <c r="C749" s="285"/>
      <c r="D749" s="285"/>
      <c r="E749" s="285"/>
      <c r="F749" s="284"/>
      <c r="G749" s="323" t="str">
        <f>IF(B749="","",VLOOKUP(IF((B749-F749)*10&lt;-10,-10,IF((B749-F749)*10&gt;10,10,(B749-F749)*10)),'Rank Progression'!$K$2:$L$22,2,FALSE))</f>
        <v/>
      </c>
      <c r="I749" s="323"/>
      <c r="J749" s="323"/>
      <c r="K749" s="323"/>
      <c r="L749" s="323"/>
      <c r="M749" s="323"/>
      <c r="N749" s="323"/>
      <c r="O749" s="323"/>
    </row>
    <row r="750" spans="1:15" x14ac:dyDescent="0.2">
      <c r="A750" s="286"/>
      <c r="B750" s="285"/>
      <c r="C750" s="285"/>
      <c r="D750" s="285"/>
      <c r="E750" s="285"/>
      <c r="F750" s="284"/>
      <c r="G750" s="323" t="str">
        <f>IF(B750="","",VLOOKUP(IF((B750-F750)*10&lt;-10,-10,IF((B750-F750)*10&gt;10,10,(B750-F750)*10)),'Rank Progression'!$K$2:$L$22,2,FALSE))</f>
        <v/>
      </c>
      <c r="I750" s="323"/>
      <c r="J750" s="323"/>
      <c r="K750" s="323"/>
      <c r="L750" s="323"/>
      <c r="M750" s="323"/>
      <c r="N750" s="323"/>
      <c r="O750" s="323"/>
    </row>
    <row r="751" spans="1:15" x14ac:dyDescent="0.2">
      <c r="A751" s="286"/>
      <c r="B751" s="285"/>
      <c r="C751" s="285"/>
      <c r="D751" s="285"/>
      <c r="E751" s="285"/>
      <c r="F751" s="284"/>
      <c r="G751" s="323" t="str">
        <f>IF(B751="","",VLOOKUP(IF((B751-F751)*10&lt;-10,-10,IF((B751-F751)*10&gt;10,10,(B751-F751)*10)),'Rank Progression'!$K$2:$L$22,2,FALSE))</f>
        <v/>
      </c>
      <c r="I751" s="323"/>
      <c r="J751" s="323"/>
      <c r="K751" s="323"/>
      <c r="L751" s="323"/>
      <c r="M751" s="323"/>
      <c r="N751" s="323"/>
      <c r="O751" s="323"/>
    </row>
    <row r="752" spans="1:15" x14ac:dyDescent="0.2">
      <c r="A752" s="286"/>
      <c r="B752" s="285"/>
      <c r="C752" s="285"/>
      <c r="D752" s="285"/>
      <c r="E752" s="285"/>
      <c r="F752" s="284"/>
      <c r="G752" s="323" t="str">
        <f>IF(B752="","",VLOOKUP(IF((B752-F752)*10&lt;-10,-10,IF((B752-F752)*10&gt;10,10,(B752-F752)*10)),'Rank Progression'!$K$2:$L$22,2,FALSE))</f>
        <v/>
      </c>
      <c r="I752" s="323"/>
      <c r="J752" s="323"/>
      <c r="K752" s="323"/>
      <c r="L752" s="323"/>
      <c r="M752" s="323"/>
      <c r="N752" s="323"/>
      <c r="O752" s="323"/>
    </row>
    <row r="753" spans="1:15" x14ac:dyDescent="0.2">
      <c r="A753" s="286"/>
      <c r="B753" s="285"/>
      <c r="C753" s="285"/>
      <c r="D753" s="285"/>
      <c r="E753" s="285"/>
      <c r="F753" s="284"/>
      <c r="G753" s="323" t="str">
        <f>IF(B753="","",VLOOKUP(IF((B753-F753)*10&lt;-10,-10,IF((B753-F753)*10&gt;10,10,(B753-F753)*10)),'Rank Progression'!$K$2:$L$22,2,FALSE))</f>
        <v/>
      </c>
      <c r="I753" s="323"/>
      <c r="J753" s="323"/>
      <c r="K753" s="323"/>
      <c r="L753" s="323"/>
      <c r="M753" s="323"/>
      <c r="N753" s="323"/>
      <c r="O753" s="323"/>
    </row>
    <row r="754" spans="1:15" x14ac:dyDescent="0.2">
      <c r="A754" s="286"/>
      <c r="B754" s="285"/>
      <c r="C754" s="285"/>
      <c r="D754" s="285"/>
      <c r="E754" s="285"/>
      <c r="F754" s="284"/>
      <c r="G754" s="323" t="str">
        <f>IF(B754="","",VLOOKUP(IF((B754-F754)*10&lt;-10,-10,IF((B754-F754)*10&gt;10,10,(B754-F754)*10)),'Rank Progression'!$K$2:$L$22,2,FALSE))</f>
        <v/>
      </c>
      <c r="I754" s="323"/>
      <c r="J754" s="323"/>
      <c r="K754" s="323"/>
      <c r="L754" s="323"/>
      <c r="M754" s="323"/>
      <c r="N754" s="323"/>
      <c r="O754" s="323"/>
    </row>
    <row r="755" spans="1:15" x14ac:dyDescent="0.2">
      <c r="A755" s="286"/>
      <c r="B755" s="285"/>
      <c r="C755" s="285"/>
      <c r="D755" s="285"/>
      <c r="E755" s="285"/>
      <c r="F755" s="284"/>
      <c r="G755" s="323" t="str">
        <f>IF(B755="","",VLOOKUP(IF((B755-F755)*10&lt;-10,-10,IF((B755-F755)*10&gt;10,10,(B755-F755)*10)),'Rank Progression'!$K$2:$L$22,2,FALSE))</f>
        <v/>
      </c>
      <c r="I755" s="323"/>
      <c r="J755" s="323"/>
      <c r="K755" s="323"/>
      <c r="L755" s="323"/>
      <c r="M755" s="323"/>
      <c r="N755" s="323"/>
      <c r="O755" s="323"/>
    </row>
    <row r="756" spans="1:15" x14ac:dyDescent="0.2">
      <c r="A756" s="286"/>
      <c r="B756" s="285"/>
      <c r="C756" s="285"/>
      <c r="D756" s="285"/>
      <c r="E756" s="285"/>
      <c r="F756" s="284"/>
      <c r="G756" s="323" t="str">
        <f>IF(B756="","",VLOOKUP(IF((B756-F756)*10&lt;-10,-10,IF((B756-F756)*10&gt;10,10,(B756-F756)*10)),'Rank Progression'!$K$2:$L$22,2,FALSE))</f>
        <v/>
      </c>
      <c r="I756" s="323"/>
      <c r="J756" s="323"/>
      <c r="K756" s="323"/>
      <c r="L756" s="323"/>
      <c r="M756" s="323"/>
      <c r="N756" s="323"/>
      <c r="O756" s="323"/>
    </row>
    <row r="757" spans="1:15" x14ac:dyDescent="0.2">
      <c r="A757" s="286"/>
      <c r="B757" s="285"/>
      <c r="C757" s="285"/>
      <c r="D757" s="285"/>
      <c r="E757" s="285"/>
      <c r="F757" s="284"/>
      <c r="G757" s="323" t="str">
        <f>IF(B757="","",VLOOKUP(IF((B757-F757)*10&lt;-10,-10,IF((B757-F757)*10&gt;10,10,(B757-F757)*10)),'Rank Progression'!$K$2:$L$22,2,FALSE))</f>
        <v/>
      </c>
      <c r="I757" s="323"/>
      <c r="J757" s="323"/>
      <c r="K757" s="323"/>
      <c r="L757" s="323"/>
      <c r="M757" s="323"/>
      <c r="N757" s="323"/>
      <c r="O757" s="323"/>
    </row>
    <row r="758" spans="1:15" x14ac:dyDescent="0.2">
      <c r="A758" s="286"/>
      <c r="B758" s="285"/>
      <c r="C758" s="285"/>
      <c r="D758" s="285"/>
      <c r="E758" s="285"/>
      <c r="F758" s="284"/>
      <c r="G758" s="323" t="str">
        <f>IF(B758="","",VLOOKUP(IF((B758-F758)*10&lt;-10,-10,IF((B758-F758)*10&gt;10,10,(B758-F758)*10)),'Rank Progression'!$K$2:$L$22,2,FALSE))</f>
        <v/>
      </c>
      <c r="I758" s="323"/>
      <c r="J758" s="323"/>
      <c r="K758" s="323"/>
      <c r="L758" s="323"/>
      <c r="M758" s="323"/>
      <c r="N758" s="323"/>
      <c r="O758" s="323"/>
    </row>
    <row r="759" spans="1:15" x14ac:dyDescent="0.2">
      <c r="A759" s="286"/>
      <c r="B759" s="285"/>
      <c r="C759" s="285"/>
      <c r="D759" s="285"/>
      <c r="E759" s="285"/>
      <c r="F759" s="284"/>
      <c r="G759" s="323" t="str">
        <f>IF(B759="","",VLOOKUP(IF((B759-F759)*10&lt;-10,-10,IF((B759-F759)*10&gt;10,10,(B759-F759)*10)),'Rank Progression'!$K$2:$L$22,2,FALSE))</f>
        <v/>
      </c>
      <c r="I759" s="323"/>
      <c r="J759" s="323"/>
      <c r="K759" s="323"/>
      <c r="L759" s="323"/>
      <c r="M759" s="323"/>
      <c r="N759" s="323"/>
      <c r="O759" s="323"/>
    </row>
    <row r="760" spans="1:15" x14ac:dyDescent="0.2">
      <c r="A760" s="286"/>
      <c r="B760" s="285"/>
      <c r="C760" s="285"/>
      <c r="D760" s="285"/>
      <c r="E760" s="285"/>
      <c r="F760" s="284"/>
      <c r="G760" s="323" t="str">
        <f>IF(B760="","",VLOOKUP(IF((B760-F760)*10&lt;-10,-10,IF((B760-F760)*10&gt;10,10,(B760-F760)*10)),'Rank Progression'!$K$2:$L$22,2,FALSE))</f>
        <v/>
      </c>
      <c r="I760" s="323"/>
      <c r="J760" s="323"/>
      <c r="K760" s="323"/>
      <c r="L760" s="323"/>
      <c r="M760" s="323"/>
      <c r="N760" s="323"/>
      <c r="O760" s="323"/>
    </row>
    <row r="761" spans="1:15" x14ac:dyDescent="0.2">
      <c r="A761" s="286"/>
      <c r="B761" s="285"/>
      <c r="C761" s="285"/>
      <c r="D761" s="285"/>
      <c r="E761" s="285"/>
      <c r="F761" s="284"/>
      <c r="G761" s="323" t="str">
        <f>IF(B761="","",VLOOKUP(IF((B761-F761)*10&lt;-10,-10,IF((B761-F761)*10&gt;10,10,(B761-F761)*10)),'Rank Progression'!$K$2:$L$22,2,FALSE))</f>
        <v/>
      </c>
      <c r="I761" s="323"/>
      <c r="J761" s="323"/>
      <c r="K761" s="323"/>
      <c r="L761" s="323"/>
      <c r="M761" s="323"/>
      <c r="N761" s="323"/>
      <c r="O761" s="323"/>
    </row>
    <row r="762" spans="1:15" x14ac:dyDescent="0.2">
      <c r="A762" s="286"/>
      <c r="B762" s="285"/>
      <c r="C762" s="285"/>
      <c r="D762" s="285"/>
      <c r="E762" s="285"/>
      <c r="F762" s="284"/>
      <c r="G762" s="323" t="str">
        <f>IF(B762="","",VLOOKUP(IF((B762-F762)*10&lt;-10,-10,IF((B762-F762)*10&gt;10,10,(B762-F762)*10)),'Rank Progression'!$K$2:$L$22,2,FALSE))</f>
        <v/>
      </c>
      <c r="I762" s="323"/>
      <c r="J762" s="323"/>
      <c r="K762" s="323"/>
      <c r="L762" s="323"/>
      <c r="M762" s="323"/>
      <c r="N762" s="323"/>
      <c r="O762" s="323"/>
    </row>
    <row r="763" spans="1:15" x14ac:dyDescent="0.2">
      <c r="A763" s="286"/>
      <c r="B763" s="285"/>
      <c r="C763" s="285"/>
      <c r="D763" s="285"/>
      <c r="E763" s="285"/>
      <c r="F763" s="284"/>
      <c r="G763" s="323" t="str">
        <f>IF(B763="","",VLOOKUP(IF((B763-F763)*10&lt;-10,-10,IF((B763-F763)*10&gt;10,10,(B763-F763)*10)),'Rank Progression'!$K$2:$L$22,2,FALSE))</f>
        <v/>
      </c>
      <c r="I763" s="323"/>
      <c r="J763" s="323"/>
      <c r="K763" s="323"/>
      <c r="L763" s="323"/>
      <c r="M763" s="323"/>
      <c r="N763" s="323"/>
      <c r="O763" s="323"/>
    </row>
    <row r="764" spans="1:15" x14ac:dyDescent="0.2">
      <c r="A764" s="286"/>
      <c r="B764" s="285"/>
      <c r="C764" s="285"/>
      <c r="D764" s="285"/>
      <c r="E764" s="285"/>
      <c r="F764" s="284"/>
      <c r="G764" s="323" t="str">
        <f>IF(B764="","",VLOOKUP(IF((B764-F764)*10&lt;-10,-10,IF((B764-F764)*10&gt;10,10,(B764-F764)*10)),'Rank Progression'!$K$2:$L$22,2,FALSE))</f>
        <v/>
      </c>
      <c r="I764" s="323"/>
      <c r="J764" s="323"/>
      <c r="K764" s="323"/>
      <c r="L764" s="323"/>
      <c r="M764" s="323"/>
      <c r="N764" s="323"/>
      <c r="O764" s="323"/>
    </row>
    <row r="765" spans="1:15" x14ac:dyDescent="0.2">
      <c r="A765" s="286"/>
      <c r="B765" s="285"/>
      <c r="C765" s="285"/>
      <c r="D765" s="285"/>
      <c r="E765" s="285"/>
      <c r="F765" s="284"/>
      <c r="G765" s="323" t="str">
        <f>IF(B765="","",VLOOKUP(IF((B765-F765)*10&lt;-10,-10,IF((B765-F765)*10&gt;10,10,(B765-F765)*10)),'Rank Progression'!$K$2:$L$22,2,FALSE))</f>
        <v/>
      </c>
      <c r="I765" s="323"/>
      <c r="J765" s="323"/>
      <c r="K765" s="323"/>
      <c r="L765" s="323"/>
      <c r="M765" s="323"/>
      <c r="N765" s="323"/>
      <c r="O765" s="323"/>
    </row>
    <row r="766" spans="1:15" x14ac:dyDescent="0.2">
      <c r="A766" s="286"/>
      <c r="B766" s="285"/>
      <c r="C766" s="285"/>
      <c r="D766" s="285"/>
      <c r="E766" s="285"/>
      <c r="F766" s="284"/>
      <c r="G766" s="323" t="str">
        <f>IF(B766="","",VLOOKUP(IF((B766-F766)*10&lt;-10,-10,IF((B766-F766)*10&gt;10,10,(B766-F766)*10)),'Rank Progression'!$K$2:$L$22,2,FALSE))</f>
        <v/>
      </c>
      <c r="I766" s="323"/>
      <c r="J766" s="323"/>
      <c r="K766" s="323"/>
      <c r="L766" s="323"/>
      <c r="M766" s="323"/>
      <c r="N766" s="323"/>
      <c r="O766" s="323"/>
    </row>
    <row r="767" spans="1:15" x14ac:dyDescent="0.2">
      <c r="A767" s="286"/>
      <c r="B767" s="285"/>
      <c r="C767" s="285"/>
      <c r="D767" s="285"/>
      <c r="E767" s="285"/>
      <c r="F767" s="284"/>
      <c r="G767" s="323" t="str">
        <f>IF(B767="","",VLOOKUP(IF((B767-F767)*10&lt;-10,-10,IF((B767-F767)*10&gt;10,10,(B767-F767)*10)),'Rank Progression'!$K$2:$L$22,2,FALSE))</f>
        <v/>
      </c>
      <c r="I767" s="323"/>
      <c r="J767" s="323"/>
      <c r="K767" s="323"/>
      <c r="L767" s="323"/>
      <c r="M767" s="323"/>
      <c r="N767" s="323"/>
      <c r="O767" s="323"/>
    </row>
    <row r="768" spans="1:15" x14ac:dyDescent="0.2">
      <c r="A768" s="286"/>
      <c r="B768" s="285"/>
      <c r="C768" s="285"/>
      <c r="D768" s="285"/>
      <c r="E768" s="285"/>
      <c r="F768" s="284"/>
      <c r="G768" s="323" t="str">
        <f>IF(B768="","",VLOOKUP(IF((B768-F768)*10&lt;-10,-10,IF((B768-F768)*10&gt;10,10,(B768-F768)*10)),'Rank Progression'!$K$2:$L$22,2,FALSE))</f>
        <v/>
      </c>
      <c r="I768" s="323"/>
      <c r="J768" s="323"/>
      <c r="K768" s="323"/>
      <c r="L768" s="323"/>
      <c r="M768" s="323"/>
      <c r="N768" s="323"/>
      <c r="O768" s="323"/>
    </row>
    <row r="769" spans="1:15" x14ac:dyDescent="0.2">
      <c r="A769" s="286"/>
      <c r="B769" s="285"/>
      <c r="C769" s="285"/>
      <c r="D769" s="285"/>
      <c r="E769" s="285"/>
      <c r="F769" s="284"/>
      <c r="G769" s="323" t="str">
        <f>IF(B769="","",VLOOKUP(IF((B769-F769)*10&lt;-10,-10,IF((B769-F769)*10&gt;10,10,(B769-F769)*10)),'Rank Progression'!$K$2:$L$22,2,FALSE))</f>
        <v/>
      </c>
      <c r="I769" s="323"/>
      <c r="J769" s="323"/>
      <c r="K769" s="323"/>
      <c r="L769" s="323"/>
      <c r="M769" s="323"/>
      <c r="N769" s="323"/>
      <c r="O769" s="323"/>
    </row>
    <row r="770" spans="1:15" x14ac:dyDescent="0.2">
      <c r="A770" s="286"/>
      <c r="B770" s="285"/>
      <c r="C770" s="285"/>
      <c r="D770" s="285"/>
      <c r="E770" s="285"/>
      <c r="F770" s="284"/>
      <c r="G770" s="323" t="str">
        <f>IF(B770="","",VLOOKUP(IF((B770-F770)*10&lt;-10,-10,IF((B770-F770)*10&gt;10,10,(B770-F770)*10)),'Rank Progression'!$K$2:$L$22,2,FALSE))</f>
        <v/>
      </c>
      <c r="I770" s="323"/>
      <c r="J770" s="323"/>
      <c r="K770" s="323"/>
      <c r="L770" s="323"/>
      <c r="M770" s="323"/>
      <c r="N770" s="323"/>
      <c r="O770" s="323"/>
    </row>
    <row r="771" spans="1:15" x14ac:dyDescent="0.2">
      <c r="A771" s="286"/>
      <c r="B771" s="285"/>
      <c r="C771" s="285"/>
      <c r="D771" s="285"/>
      <c r="E771" s="285"/>
      <c r="F771" s="284"/>
      <c r="G771" s="323" t="str">
        <f>IF(B771="","",VLOOKUP(IF((B771-F771)*10&lt;-10,-10,IF((B771-F771)*10&gt;10,10,(B771-F771)*10)),'Rank Progression'!$K$2:$L$22,2,FALSE))</f>
        <v/>
      </c>
      <c r="I771" s="323"/>
      <c r="J771" s="323"/>
      <c r="K771" s="323"/>
      <c r="L771" s="323"/>
      <c r="M771" s="323"/>
      <c r="N771" s="323"/>
      <c r="O771" s="323"/>
    </row>
    <row r="772" spans="1:15" x14ac:dyDescent="0.2">
      <c r="A772" s="286"/>
      <c r="B772" s="285"/>
      <c r="C772" s="285"/>
      <c r="D772" s="285"/>
      <c r="E772" s="285"/>
      <c r="F772" s="284"/>
      <c r="G772" s="323" t="str">
        <f>IF(B772="","",VLOOKUP(IF((B772-F772)*10&lt;-10,-10,IF((B772-F772)*10&gt;10,10,(B772-F772)*10)),'Rank Progression'!$K$2:$L$22,2,FALSE))</f>
        <v/>
      </c>
      <c r="I772" s="323"/>
      <c r="J772" s="323"/>
      <c r="K772" s="323"/>
      <c r="L772" s="323"/>
      <c r="M772" s="323"/>
      <c r="N772" s="323"/>
      <c r="O772" s="323"/>
    </row>
    <row r="773" spans="1:15" x14ac:dyDescent="0.2">
      <c r="A773" s="286"/>
      <c r="B773" s="285"/>
      <c r="C773" s="285"/>
      <c r="D773" s="285"/>
      <c r="E773" s="285"/>
      <c r="F773" s="284"/>
      <c r="G773" s="323" t="str">
        <f>IF(B773="","",VLOOKUP(IF((B773-F773)*10&lt;-10,-10,IF((B773-F773)*10&gt;10,10,(B773-F773)*10)),'Rank Progression'!$K$2:$L$22,2,FALSE))</f>
        <v/>
      </c>
      <c r="I773" s="323"/>
      <c r="J773" s="323"/>
      <c r="K773" s="323"/>
      <c r="L773" s="323"/>
      <c r="M773" s="323"/>
      <c r="N773" s="323"/>
      <c r="O773" s="323"/>
    </row>
    <row r="774" spans="1:15" x14ac:dyDescent="0.2">
      <c r="A774" s="286"/>
      <c r="B774" s="285"/>
      <c r="C774" s="285"/>
      <c r="D774" s="285"/>
      <c r="E774" s="285"/>
      <c r="F774" s="284"/>
      <c r="G774" s="323" t="str">
        <f>IF(B774="","",VLOOKUP(IF((B774-F774)*10&lt;-10,-10,IF((B774-F774)*10&gt;10,10,(B774-F774)*10)),'Rank Progression'!$K$2:$L$22,2,FALSE))</f>
        <v/>
      </c>
      <c r="I774" s="323"/>
      <c r="J774" s="323"/>
      <c r="K774" s="323"/>
      <c r="L774" s="323"/>
      <c r="M774" s="323"/>
      <c r="N774" s="323"/>
      <c r="O774" s="323"/>
    </row>
    <row r="775" spans="1:15" x14ac:dyDescent="0.2">
      <c r="A775" s="286"/>
      <c r="B775" s="285"/>
      <c r="C775" s="285"/>
      <c r="D775" s="285"/>
      <c r="E775" s="285"/>
      <c r="F775" s="284"/>
      <c r="G775" s="323" t="str">
        <f>IF(B775="","",VLOOKUP(IF((B775-F775)*10&lt;-10,-10,IF((B775-F775)*10&gt;10,10,(B775-F775)*10)),'Rank Progression'!$K$2:$L$22,2,FALSE))</f>
        <v/>
      </c>
      <c r="I775" s="323"/>
      <c r="J775" s="323"/>
      <c r="K775" s="323"/>
      <c r="L775" s="323"/>
      <c r="M775" s="323"/>
      <c r="N775" s="323"/>
      <c r="O775" s="323"/>
    </row>
    <row r="776" spans="1:15" x14ac:dyDescent="0.2">
      <c r="A776" s="286"/>
      <c r="B776" s="285"/>
      <c r="C776" s="285"/>
      <c r="D776" s="285"/>
      <c r="E776" s="285"/>
      <c r="F776" s="284"/>
      <c r="G776" s="323" t="str">
        <f>IF(B776="","",VLOOKUP(IF((B776-F776)*10&lt;-10,-10,IF((B776-F776)*10&gt;10,10,(B776-F776)*10)),'Rank Progression'!$K$2:$L$22,2,FALSE))</f>
        <v/>
      </c>
      <c r="I776" s="323"/>
      <c r="J776" s="323"/>
      <c r="K776" s="323"/>
      <c r="L776" s="323"/>
      <c r="M776" s="323"/>
      <c r="N776" s="323"/>
      <c r="O776" s="323"/>
    </row>
    <row r="777" spans="1:15" x14ac:dyDescent="0.2">
      <c r="A777" s="286"/>
      <c r="B777" s="285"/>
      <c r="C777" s="285"/>
      <c r="D777" s="285"/>
      <c r="E777" s="285"/>
      <c r="F777" s="284"/>
      <c r="G777" s="323" t="str">
        <f>IF(B777="","",VLOOKUP(IF((B777-F777)*10&lt;-10,-10,IF((B777-F777)*10&gt;10,10,(B777-F777)*10)),'Rank Progression'!$K$2:$L$22,2,FALSE))</f>
        <v/>
      </c>
      <c r="I777" s="323"/>
      <c r="J777" s="323"/>
      <c r="K777" s="323"/>
      <c r="L777" s="323"/>
      <c r="M777" s="323"/>
      <c r="N777" s="323"/>
      <c r="O777" s="323"/>
    </row>
    <row r="778" spans="1:15" x14ac:dyDescent="0.2">
      <c r="A778" s="286"/>
      <c r="B778" s="285"/>
      <c r="C778" s="285"/>
      <c r="D778" s="285"/>
      <c r="E778" s="285"/>
      <c r="F778" s="284"/>
      <c r="G778" s="323" t="str">
        <f>IF(B778="","",VLOOKUP(IF((B778-F778)*10&lt;-10,-10,IF((B778-F778)*10&gt;10,10,(B778-F778)*10)),'Rank Progression'!$K$2:$L$22,2,FALSE))</f>
        <v/>
      </c>
      <c r="I778" s="323"/>
      <c r="J778" s="323"/>
      <c r="K778" s="323"/>
      <c r="L778" s="323"/>
      <c r="M778" s="323"/>
      <c r="N778" s="323"/>
      <c r="O778" s="323"/>
    </row>
    <row r="779" spans="1:15" x14ac:dyDescent="0.2">
      <c r="A779" s="286"/>
      <c r="B779" s="285"/>
      <c r="C779" s="285"/>
      <c r="D779" s="285"/>
      <c r="E779" s="285"/>
      <c r="F779" s="284"/>
      <c r="G779" s="323" t="str">
        <f>IF(B779="","",VLOOKUP(IF((B779-F779)*10&lt;-10,-10,IF((B779-F779)*10&gt;10,10,(B779-F779)*10)),'Rank Progression'!$K$2:$L$22,2,FALSE))</f>
        <v/>
      </c>
      <c r="I779" s="323"/>
      <c r="J779" s="323"/>
      <c r="K779" s="323"/>
      <c r="L779" s="323"/>
      <c r="M779" s="323"/>
      <c r="N779" s="323"/>
      <c r="O779" s="323"/>
    </row>
    <row r="780" spans="1:15" x14ac:dyDescent="0.2">
      <c r="A780" s="286"/>
      <c r="B780" s="285"/>
      <c r="C780" s="285"/>
      <c r="D780" s="285"/>
      <c r="E780" s="285"/>
      <c r="F780" s="284"/>
      <c r="G780" s="323" t="str">
        <f>IF(B780="","",VLOOKUP(IF((B780-F780)*10&lt;-10,-10,IF((B780-F780)*10&gt;10,10,(B780-F780)*10)),'Rank Progression'!$K$2:$L$22,2,FALSE))</f>
        <v/>
      </c>
      <c r="I780" s="323"/>
      <c r="J780" s="323"/>
      <c r="K780" s="323"/>
      <c r="L780" s="323"/>
      <c r="M780" s="323"/>
      <c r="N780" s="323"/>
      <c r="O780" s="323"/>
    </row>
    <row r="781" spans="1:15" x14ac:dyDescent="0.2">
      <c r="A781" s="286"/>
      <c r="B781" s="285"/>
      <c r="C781" s="285"/>
      <c r="D781" s="285"/>
      <c r="E781" s="285"/>
      <c r="F781" s="284"/>
      <c r="G781" s="323" t="str">
        <f>IF(B781="","",VLOOKUP(IF((B781-F781)*10&lt;-10,-10,IF((B781-F781)*10&gt;10,10,(B781-F781)*10)),'Rank Progression'!$K$2:$L$22,2,FALSE))</f>
        <v/>
      </c>
      <c r="I781" s="323"/>
      <c r="J781" s="323"/>
      <c r="K781" s="323"/>
      <c r="L781" s="323"/>
      <c r="M781" s="323"/>
      <c r="N781" s="323"/>
      <c r="O781" s="323"/>
    </row>
    <row r="782" spans="1:15" x14ac:dyDescent="0.2">
      <c r="A782" s="286"/>
      <c r="B782" s="285"/>
      <c r="C782" s="285"/>
      <c r="D782" s="285"/>
      <c r="E782" s="285"/>
      <c r="F782" s="284"/>
      <c r="G782" s="323" t="str">
        <f>IF(B782="","",VLOOKUP(IF((B782-F782)*10&lt;-10,-10,IF((B782-F782)*10&gt;10,10,(B782-F782)*10)),'Rank Progression'!$K$2:$L$22,2,FALSE))</f>
        <v/>
      </c>
      <c r="I782" s="323"/>
      <c r="J782" s="323"/>
      <c r="K782" s="323"/>
      <c r="L782" s="323"/>
      <c r="M782" s="323"/>
      <c r="N782" s="323"/>
      <c r="O782" s="323"/>
    </row>
    <row r="783" spans="1:15" x14ac:dyDescent="0.2">
      <c r="A783" s="286"/>
      <c r="B783" s="285"/>
      <c r="C783" s="285"/>
      <c r="D783" s="285"/>
      <c r="E783" s="285"/>
      <c r="F783" s="284"/>
      <c r="G783" s="323" t="str">
        <f>IF(B783="","",VLOOKUP(IF((B783-F783)*10&lt;-10,-10,IF((B783-F783)*10&gt;10,10,(B783-F783)*10)),'Rank Progression'!$K$2:$L$22,2,FALSE))</f>
        <v/>
      </c>
      <c r="I783" s="323"/>
      <c r="J783" s="323"/>
      <c r="K783" s="323"/>
      <c r="L783" s="323"/>
      <c r="M783" s="323"/>
      <c r="N783" s="323"/>
      <c r="O783" s="323"/>
    </row>
    <row r="784" spans="1:15" x14ac:dyDescent="0.2">
      <c r="A784" s="286"/>
      <c r="B784" s="285"/>
      <c r="C784" s="285"/>
      <c r="D784" s="285"/>
      <c r="E784" s="285"/>
      <c r="F784" s="284"/>
      <c r="G784" s="323" t="str">
        <f>IF(B784="","",VLOOKUP(IF((B784-F784)*10&lt;-10,-10,IF((B784-F784)*10&gt;10,10,(B784-F784)*10)),'Rank Progression'!$K$2:$L$22,2,FALSE))</f>
        <v/>
      </c>
      <c r="I784" s="323"/>
      <c r="J784" s="323"/>
      <c r="K784" s="323"/>
      <c r="L784" s="323"/>
      <c r="M784" s="323"/>
      <c r="N784" s="323"/>
      <c r="O784" s="323"/>
    </row>
    <row r="785" spans="1:15" x14ac:dyDescent="0.2">
      <c r="A785" s="286"/>
      <c r="B785" s="285"/>
      <c r="C785" s="285"/>
      <c r="D785" s="285"/>
      <c r="E785" s="285"/>
      <c r="F785" s="284"/>
      <c r="G785" s="323" t="str">
        <f>IF(B785="","",VLOOKUP(IF((B785-F785)*10&lt;-10,-10,IF((B785-F785)*10&gt;10,10,(B785-F785)*10)),'Rank Progression'!$K$2:$L$22,2,FALSE))</f>
        <v/>
      </c>
      <c r="I785" s="323"/>
      <c r="J785" s="323"/>
      <c r="K785" s="323"/>
      <c r="L785" s="323"/>
      <c r="M785" s="323"/>
      <c r="N785" s="323"/>
      <c r="O785" s="323"/>
    </row>
    <row r="786" spans="1:15" x14ac:dyDescent="0.2">
      <c r="A786" s="286"/>
      <c r="B786" s="285"/>
      <c r="C786" s="285"/>
      <c r="D786" s="285"/>
      <c r="E786" s="285"/>
      <c r="F786" s="284"/>
      <c r="G786" s="323" t="str">
        <f>IF(B786="","",VLOOKUP(IF((B786-F786)*10&lt;-10,-10,IF((B786-F786)*10&gt;10,10,(B786-F786)*10)),'Rank Progression'!$K$2:$L$22,2,FALSE))</f>
        <v/>
      </c>
      <c r="I786" s="323"/>
      <c r="J786" s="323"/>
      <c r="K786" s="323"/>
      <c r="L786" s="323"/>
      <c r="M786" s="323"/>
      <c r="N786" s="323"/>
      <c r="O786" s="323"/>
    </row>
    <row r="787" spans="1:15" x14ac:dyDescent="0.2">
      <c r="A787" s="286"/>
      <c r="B787" s="285"/>
      <c r="C787" s="285"/>
      <c r="D787" s="285"/>
      <c r="E787" s="285"/>
      <c r="F787" s="284"/>
      <c r="G787" s="323" t="str">
        <f>IF(B787="","",VLOOKUP(IF((B787-F787)*10&lt;-10,-10,IF((B787-F787)*10&gt;10,10,(B787-F787)*10)),'Rank Progression'!$K$2:$L$22,2,FALSE))</f>
        <v/>
      </c>
      <c r="I787" s="323"/>
      <c r="J787" s="323"/>
      <c r="K787" s="323"/>
      <c r="L787" s="323"/>
      <c r="M787" s="323"/>
      <c r="N787" s="323"/>
      <c r="O787" s="323"/>
    </row>
    <row r="788" spans="1:15" x14ac:dyDescent="0.2">
      <c r="A788" s="286"/>
      <c r="B788" s="285"/>
      <c r="C788" s="285"/>
      <c r="D788" s="285"/>
      <c r="E788" s="285"/>
      <c r="F788" s="284"/>
      <c r="G788" s="323" t="str">
        <f>IF(B788="","",VLOOKUP(IF((B788-F788)*10&lt;-10,-10,IF((B788-F788)*10&gt;10,10,(B788-F788)*10)),'Rank Progression'!$K$2:$L$22,2,FALSE))</f>
        <v/>
      </c>
      <c r="I788" s="323"/>
      <c r="J788" s="323"/>
      <c r="K788" s="323"/>
      <c r="L788" s="323"/>
      <c r="M788" s="323"/>
      <c r="N788" s="323"/>
      <c r="O788" s="323"/>
    </row>
    <row r="789" spans="1:15" x14ac:dyDescent="0.2">
      <c r="A789" s="286"/>
      <c r="B789" s="285"/>
      <c r="C789" s="285"/>
      <c r="D789" s="285"/>
      <c r="E789" s="285"/>
      <c r="F789" s="284"/>
      <c r="G789" s="323" t="str">
        <f>IF(B789="","",VLOOKUP(IF((B789-F789)*10&lt;-10,-10,IF((B789-F789)*10&gt;10,10,(B789-F789)*10)),'Rank Progression'!$K$2:$L$22,2,FALSE))</f>
        <v/>
      </c>
      <c r="I789" s="323"/>
      <c r="J789" s="323"/>
      <c r="K789" s="323"/>
      <c r="L789" s="323"/>
      <c r="M789" s="323"/>
      <c r="N789" s="323"/>
      <c r="O789" s="323"/>
    </row>
    <row r="790" spans="1:15" x14ac:dyDescent="0.2">
      <c r="A790" s="286"/>
      <c r="B790" s="285"/>
      <c r="C790" s="285"/>
      <c r="D790" s="285"/>
      <c r="E790" s="285"/>
      <c r="F790" s="284"/>
      <c r="G790" s="323" t="str">
        <f>IF(B790="","",VLOOKUP(IF((B790-F790)*10&lt;-10,-10,IF((B790-F790)*10&gt;10,10,(B790-F790)*10)),'Rank Progression'!$K$2:$L$22,2,FALSE))</f>
        <v/>
      </c>
      <c r="I790" s="323"/>
      <c r="J790" s="323"/>
      <c r="K790" s="323"/>
      <c r="L790" s="323"/>
      <c r="M790" s="323"/>
      <c r="N790" s="323"/>
      <c r="O790" s="323"/>
    </row>
    <row r="791" spans="1:15" x14ac:dyDescent="0.2">
      <c r="A791" s="286"/>
      <c r="B791" s="285"/>
      <c r="C791" s="285"/>
      <c r="D791" s="285"/>
      <c r="E791" s="285"/>
      <c r="F791" s="284"/>
      <c r="G791" s="323" t="str">
        <f>IF(B791="","",VLOOKUP(IF((B791-F791)*10&lt;-10,-10,IF((B791-F791)*10&gt;10,10,(B791-F791)*10)),'Rank Progression'!$K$2:$L$22,2,FALSE))</f>
        <v/>
      </c>
      <c r="I791" s="323"/>
      <c r="J791" s="323"/>
      <c r="K791" s="323"/>
      <c r="L791" s="323"/>
      <c r="M791" s="323"/>
      <c r="N791" s="323"/>
      <c r="O791" s="323"/>
    </row>
    <row r="792" spans="1:15" x14ac:dyDescent="0.2">
      <c r="A792" s="286"/>
      <c r="B792" s="285"/>
      <c r="C792" s="285"/>
      <c r="D792" s="285"/>
      <c r="E792" s="285"/>
      <c r="F792" s="284"/>
      <c r="G792" s="323" t="str">
        <f>IF(B792="","",VLOOKUP(IF((B792-F792)*10&lt;-10,-10,IF((B792-F792)*10&gt;10,10,(B792-F792)*10)),'Rank Progression'!$K$2:$L$22,2,FALSE))</f>
        <v/>
      </c>
      <c r="I792" s="323"/>
      <c r="J792" s="323"/>
      <c r="K792" s="323"/>
      <c r="L792" s="323"/>
      <c r="M792" s="323"/>
      <c r="N792" s="323"/>
      <c r="O792" s="323"/>
    </row>
    <row r="793" spans="1:15" x14ac:dyDescent="0.2">
      <c r="A793" s="286"/>
      <c r="B793" s="285"/>
      <c r="C793" s="285"/>
      <c r="D793" s="285"/>
      <c r="E793" s="285"/>
      <c r="F793" s="284"/>
      <c r="G793" s="323" t="str">
        <f>IF(B793="","",VLOOKUP(IF((B793-F793)*10&lt;-10,-10,IF((B793-F793)*10&gt;10,10,(B793-F793)*10)),'Rank Progression'!$K$2:$L$22,2,FALSE))</f>
        <v/>
      </c>
      <c r="I793" s="323"/>
      <c r="J793" s="323"/>
      <c r="K793" s="323"/>
      <c r="L793" s="323"/>
      <c r="M793" s="323"/>
      <c r="N793" s="323"/>
      <c r="O793" s="323"/>
    </row>
    <row r="794" spans="1:15" x14ac:dyDescent="0.2">
      <c r="A794" s="286"/>
      <c r="B794" s="285"/>
      <c r="C794" s="285"/>
      <c r="D794" s="285"/>
      <c r="E794" s="285"/>
      <c r="F794" s="284"/>
      <c r="G794" s="323" t="str">
        <f>IF(B794="","",VLOOKUP(IF((B794-F794)*10&lt;-10,-10,IF((B794-F794)*10&gt;10,10,(B794-F794)*10)),'Rank Progression'!$K$2:$L$22,2,FALSE))</f>
        <v/>
      </c>
      <c r="I794" s="323"/>
      <c r="J794" s="323"/>
      <c r="K794" s="323"/>
      <c r="L794" s="323"/>
      <c r="M794" s="323"/>
      <c r="N794" s="323"/>
      <c r="O794" s="323"/>
    </row>
    <row r="795" spans="1:15" x14ac:dyDescent="0.2">
      <c r="A795" s="286"/>
      <c r="B795" s="285"/>
      <c r="C795" s="285"/>
      <c r="D795" s="285"/>
      <c r="E795" s="285"/>
      <c r="F795" s="284"/>
      <c r="G795" s="323" t="str">
        <f>IF(B795="","",VLOOKUP(IF((B795-F795)*10&lt;-10,-10,IF((B795-F795)*10&gt;10,10,(B795-F795)*10)),'Rank Progression'!$K$2:$L$22,2,FALSE))</f>
        <v/>
      </c>
      <c r="I795" s="323"/>
      <c r="J795" s="323"/>
      <c r="K795" s="323"/>
      <c r="L795" s="323"/>
      <c r="M795" s="323"/>
      <c r="N795" s="323"/>
      <c r="O795" s="323"/>
    </row>
    <row r="796" spans="1:15" x14ac:dyDescent="0.2">
      <c r="A796" s="286"/>
      <c r="B796" s="285"/>
      <c r="C796" s="285"/>
      <c r="D796" s="285"/>
      <c r="E796" s="285"/>
      <c r="F796" s="284"/>
      <c r="G796" s="323" t="str">
        <f>IF(B796="","",VLOOKUP(IF((B796-F796)*10&lt;-10,-10,IF((B796-F796)*10&gt;10,10,(B796-F796)*10)),'Rank Progression'!$K$2:$L$22,2,FALSE))</f>
        <v/>
      </c>
      <c r="I796" s="323"/>
      <c r="J796" s="323"/>
      <c r="K796" s="323"/>
      <c r="L796" s="323"/>
      <c r="M796" s="323"/>
      <c r="N796" s="323"/>
      <c r="O796" s="323"/>
    </row>
    <row r="797" spans="1:15" x14ac:dyDescent="0.2">
      <c r="A797" s="286"/>
      <c r="B797" s="285"/>
      <c r="C797" s="285"/>
      <c r="D797" s="285"/>
      <c r="E797" s="285"/>
      <c r="F797" s="284"/>
      <c r="G797" s="323" t="str">
        <f>IF(B797="","",VLOOKUP(IF((B797-F797)*10&lt;-10,-10,IF((B797-F797)*10&gt;10,10,(B797-F797)*10)),'Rank Progression'!$K$2:$L$22,2,FALSE))</f>
        <v/>
      </c>
      <c r="I797" s="323"/>
      <c r="J797" s="323"/>
      <c r="K797" s="323"/>
      <c r="L797" s="323"/>
      <c r="M797" s="323"/>
      <c r="N797" s="323"/>
      <c r="O797" s="323"/>
    </row>
    <row r="798" spans="1:15" x14ac:dyDescent="0.2">
      <c r="A798" s="286"/>
      <c r="B798" s="285"/>
      <c r="C798" s="285"/>
      <c r="D798" s="285"/>
      <c r="E798" s="285"/>
      <c r="F798" s="284"/>
      <c r="G798" s="323" t="str">
        <f>IF(B798="","",VLOOKUP(IF((B798-F798)*10&lt;-10,-10,IF((B798-F798)*10&gt;10,10,(B798-F798)*10)),'Rank Progression'!$K$2:$L$22,2,FALSE))</f>
        <v/>
      </c>
      <c r="I798" s="323"/>
      <c r="J798" s="323"/>
      <c r="K798" s="323"/>
      <c r="L798" s="323"/>
      <c r="M798" s="323"/>
      <c r="N798" s="323"/>
      <c r="O798" s="323"/>
    </row>
    <row r="799" spans="1:15" x14ac:dyDescent="0.2">
      <c r="A799" s="286"/>
      <c r="B799" s="285"/>
      <c r="C799" s="285"/>
      <c r="D799" s="285"/>
      <c r="E799" s="285"/>
      <c r="F799" s="284"/>
      <c r="G799" s="323" t="str">
        <f>IF(B799="","",VLOOKUP(IF((B799-F799)*10&lt;-10,-10,IF((B799-F799)*10&gt;10,10,(B799-F799)*10)),'Rank Progression'!$K$2:$L$22,2,FALSE))</f>
        <v/>
      </c>
      <c r="I799" s="323"/>
      <c r="J799" s="323"/>
      <c r="K799" s="323"/>
      <c r="L799" s="323"/>
      <c r="M799" s="323"/>
      <c r="N799" s="323"/>
      <c r="O799" s="323"/>
    </row>
    <row r="800" spans="1:15" x14ac:dyDescent="0.2">
      <c r="A800" s="286"/>
      <c r="B800" s="285"/>
      <c r="C800" s="285"/>
      <c r="D800" s="285"/>
      <c r="E800" s="285"/>
      <c r="F800" s="284"/>
      <c r="G800" s="323" t="str">
        <f>IF(B800="","",VLOOKUP(IF((B800-F800)*10&lt;-10,-10,IF((B800-F800)*10&gt;10,10,(B800-F800)*10)),'Rank Progression'!$K$2:$L$22,2,FALSE))</f>
        <v/>
      </c>
      <c r="I800" s="323"/>
      <c r="J800" s="323"/>
      <c r="K800" s="323"/>
      <c r="L800" s="323"/>
      <c r="M800" s="323"/>
      <c r="N800" s="323"/>
      <c r="O800" s="323"/>
    </row>
    <row r="801" spans="1:15" x14ac:dyDescent="0.2">
      <c r="A801" s="286"/>
      <c r="B801" s="285"/>
      <c r="C801" s="285"/>
      <c r="D801" s="285"/>
      <c r="E801" s="285"/>
      <c r="F801" s="284"/>
      <c r="G801" s="323" t="str">
        <f>IF(B801="","",VLOOKUP(IF((B801-F801)*10&lt;-10,-10,IF((B801-F801)*10&gt;10,10,(B801-F801)*10)),'Rank Progression'!$K$2:$L$22,2,FALSE))</f>
        <v/>
      </c>
      <c r="I801" s="323"/>
      <c r="J801" s="323"/>
      <c r="K801" s="323"/>
      <c r="L801" s="323"/>
      <c r="M801" s="323"/>
      <c r="N801" s="323"/>
      <c r="O801" s="323"/>
    </row>
    <row r="802" spans="1:15" x14ac:dyDescent="0.2">
      <c r="A802" s="286"/>
      <c r="B802" s="285"/>
      <c r="C802" s="285"/>
      <c r="D802" s="285"/>
      <c r="E802" s="285"/>
      <c r="F802" s="284"/>
      <c r="G802" s="323" t="str">
        <f>IF(B802="","",VLOOKUP(IF((B802-F802)*10&lt;-10,-10,IF((B802-F802)*10&gt;10,10,(B802-F802)*10)),'Rank Progression'!$K$2:$L$22,2,FALSE))</f>
        <v/>
      </c>
      <c r="I802" s="323"/>
      <c r="J802" s="323"/>
      <c r="K802" s="323"/>
      <c r="L802" s="323"/>
      <c r="M802" s="323"/>
      <c r="N802" s="323"/>
      <c r="O802" s="323"/>
    </row>
    <row r="803" spans="1:15" x14ac:dyDescent="0.2">
      <c r="A803" s="286"/>
      <c r="B803" s="285"/>
      <c r="C803" s="285"/>
      <c r="D803" s="285"/>
      <c r="E803" s="285"/>
      <c r="F803" s="284"/>
      <c r="G803" s="323" t="str">
        <f>IF(B803="","",VLOOKUP(IF((B803-F803)*10&lt;-10,-10,IF((B803-F803)*10&gt;10,10,(B803-F803)*10)),'Rank Progression'!$K$2:$L$22,2,FALSE))</f>
        <v/>
      </c>
      <c r="I803" s="323"/>
      <c r="J803" s="323"/>
      <c r="K803" s="323"/>
      <c r="L803" s="323"/>
      <c r="M803" s="323"/>
      <c r="N803" s="323"/>
      <c r="O803" s="323"/>
    </row>
    <row r="804" spans="1:15" x14ac:dyDescent="0.2">
      <c r="A804" s="286"/>
      <c r="B804" s="285"/>
      <c r="C804" s="285"/>
      <c r="D804" s="285"/>
      <c r="E804" s="285"/>
      <c r="F804" s="284"/>
      <c r="G804" s="323" t="str">
        <f>IF(B804="","",VLOOKUP(IF((B804-F804)*10&lt;-10,-10,IF((B804-F804)*10&gt;10,10,(B804-F804)*10)),'Rank Progression'!$K$2:$L$22,2,FALSE))</f>
        <v/>
      </c>
      <c r="I804" s="323"/>
      <c r="J804" s="323"/>
      <c r="K804" s="323"/>
      <c r="L804" s="323"/>
      <c r="M804" s="323"/>
      <c r="N804" s="323"/>
      <c r="O804" s="323"/>
    </row>
    <row r="805" spans="1:15" x14ac:dyDescent="0.2">
      <c r="A805" s="286"/>
      <c r="B805" s="285"/>
      <c r="C805" s="285"/>
      <c r="D805" s="285"/>
      <c r="E805" s="285"/>
      <c r="F805" s="284"/>
      <c r="G805" s="323" t="str">
        <f>IF(B805="","",VLOOKUP(IF((B805-F805)*10&lt;-10,-10,IF((B805-F805)*10&gt;10,10,(B805-F805)*10)),'Rank Progression'!$K$2:$L$22,2,FALSE))</f>
        <v/>
      </c>
      <c r="I805" s="323"/>
      <c r="J805" s="323"/>
      <c r="K805" s="323"/>
      <c r="L805" s="323"/>
      <c r="M805" s="323"/>
      <c r="N805" s="323"/>
      <c r="O805" s="323"/>
    </row>
    <row r="806" spans="1:15" x14ac:dyDescent="0.2">
      <c r="A806" s="286"/>
      <c r="B806" s="285"/>
      <c r="C806" s="285"/>
      <c r="D806" s="285"/>
      <c r="E806" s="285"/>
      <c r="F806" s="284"/>
      <c r="G806" s="323" t="str">
        <f>IF(B806="","",VLOOKUP(IF((B806-F806)*10&lt;-10,-10,IF((B806-F806)*10&gt;10,10,(B806-F806)*10)),'Rank Progression'!$K$2:$L$22,2,FALSE))</f>
        <v/>
      </c>
      <c r="I806" s="323"/>
      <c r="J806" s="323"/>
      <c r="K806" s="323"/>
      <c r="L806" s="323"/>
      <c r="M806" s="323"/>
      <c r="N806" s="323"/>
      <c r="O806" s="323"/>
    </row>
    <row r="807" spans="1:15" x14ac:dyDescent="0.2">
      <c r="A807" s="286"/>
      <c r="B807" s="285"/>
      <c r="C807" s="285"/>
      <c r="D807" s="285"/>
      <c r="E807" s="285"/>
      <c r="F807" s="284"/>
      <c r="G807" s="323" t="str">
        <f>IF(B807="","",VLOOKUP(IF((B807-F807)*10&lt;-10,-10,IF((B807-F807)*10&gt;10,10,(B807-F807)*10)),'Rank Progression'!$K$2:$L$22,2,FALSE))</f>
        <v/>
      </c>
      <c r="I807" s="323"/>
      <c r="J807" s="323"/>
      <c r="K807" s="323"/>
      <c r="L807" s="323"/>
      <c r="M807" s="323"/>
      <c r="N807" s="323"/>
      <c r="O807" s="323"/>
    </row>
    <row r="808" spans="1:15" x14ac:dyDescent="0.2">
      <c r="A808" s="286"/>
      <c r="B808" s="285"/>
      <c r="C808" s="285"/>
      <c r="D808" s="285"/>
      <c r="E808" s="285"/>
      <c r="F808" s="284"/>
      <c r="G808" s="323" t="str">
        <f>IF(B808="","",VLOOKUP(IF((B808-F808)*10&lt;-10,-10,IF((B808-F808)*10&gt;10,10,(B808-F808)*10)),'Rank Progression'!$K$2:$L$22,2,FALSE))</f>
        <v/>
      </c>
      <c r="I808" s="323"/>
      <c r="J808" s="323"/>
      <c r="K808" s="323"/>
      <c r="L808" s="323"/>
      <c r="M808" s="323"/>
      <c r="N808" s="323"/>
      <c r="O808" s="323"/>
    </row>
    <row r="809" spans="1:15" x14ac:dyDescent="0.2">
      <c r="A809" s="286"/>
      <c r="B809" s="285"/>
      <c r="C809" s="285"/>
      <c r="D809" s="285"/>
      <c r="E809" s="285"/>
      <c r="F809" s="284"/>
      <c r="G809" s="323" t="str">
        <f>IF(B809="","",VLOOKUP(IF((B809-F809)*10&lt;-10,-10,IF((B809-F809)*10&gt;10,10,(B809-F809)*10)),'Rank Progression'!$K$2:$L$22,2,FALSE))</f>
        <v/>
      </c>
      <c r="I809" s="323"/>
      <c r="J809" s="323"/>
      <c r="K809" s="323"/>
      <c r="L809" s="323"/>
      <c r="M809" s="323"/>
      <c r="N809" s="323"/>
      <c r="O809" s="323"/>
    </row>
    <row r="810" spans="1:15" x14ac:dyDescent="0.2">
      <c r="A810" s="286"/>
      <c r="B810" s="285"/>
      <c r="C810" s="285"/>
      <c r="D810" s="285"/>
      <c r="E810" s="285"/>
      <c r="F810" s="284"/>
      <c r="G810" s="323" t="str">
        <f>IF(B810="","",VLOOKUP(IF((B810-F810)*10&lt;-10,-10,IF((B810-F810)*10&gt;10,10,(B810-F810)*10)),'Rank Progression'!$K$2:$L$22,2,FALSE))</f>
        <v/>
      </c>
      <c r="I810" s="323"/>
      <c r="J810" s="323"/>
      <c r="K810" s="323"/>
      <c r="L810" s="323"/>
      <c r="M810" s="323"/>
      <c r="N810" s="323"/>
      <c r="O810" s="323"/>
    </row>
    <row r="811" spans="1:15" x14ac:dyDescent="0.2">
      <c r="A811" s="286"/>
      <c r="B811" s="285"/>
      <c r="C811" s="285"/>
      <c r="D811" s="285"/>
      <c r="E811" s="285"/>
      <c r="F811" s="284"/>
      <c r="G811" s="323" t="str">
        <f>IF(B811="","",VLOOKUP(IF((B811-F811)*10&lt;-10,-10,IF((B811-F811)*10&gt;10,10,(B811-F811)*10)),'Rank Progression'!$K$2:$L$22,2,FALSE))</f>
        <v/>
      </c>
      <c r="I811" s="323"/>
      <c r="J811" s="323"/>
      <c r="K811" s="323"/>
      <c r="L811" s="323"/>
      <c r="M811" s="323"/>
      <c r="N811" s="323"/>
      <c r="O811" s="323"/>
    </row>
    <row r="812" spans="1:15" x14ac:dyDescent="0.2">
      <c r="A812" s="286"/>
      <c r="B812" s="285"/>
      <c r="C812" s="285"/>
      <c r="D812" s="285"/>
      <c r="E812" s="285"/>
      <c r="F812" s="284"/>
      <c r="G812" s="323" t="str">
        <f>IF(B812="","",VLOOKUP(IF((B812-F812)*10&lt;-10,-10,IF((B812-F812)*10&gt;10,10,(B812-F812)*10)),'Rank Progression'!$K$2:$L$22,2,FALSE))</f>
        <v/>
      </c>
      <c r="I812" s="323"/>
      <c r="J812" s="323"/>
      <c r="K812" s="323"/>
      <c r="L812" s="323"/>
      <c r="M812" s="323"/>
      <c r="N812" s="323"/>
      <c r="O812" s="323"/>
    </row>
    <row r="813" spans="1:15" x14ac:dyDescent="0.2">
      <c r="A813" s="286"/>
      <c r="B813" s="285"/>
      <c r="C813" s="285"/>
      <c r="D813" s="285"/>
      <c r="E813" s="285"/>
      <c r="F813" s="284"/>
      <c r="G813" s="323" t="str">
        <f>IF(B813="","",VLOOKUP(IF((B813-F813)*10&lt;-10,-10,IF((B813-F813)*10&gt;10,10,(B813-F813)*10)),'Rank Progression'!$K$2:$L$22,2,FALSE))</f>
        <v/>
      </c>
      <c r="I813" s="323"/>
      <c r="J813" s="323"/>
      <c r="K813" s="323"/>
      <c r="L813" s="323"/>
      <c r="M813" s="323"/>
      <c r="N813" s="323"/>
      <c r="O813" s="323"/>
    </row>
    <row r="814" spans="1:15" x14ac:dyDescent="0.2">
      <c r="A814" s="286"/>
      <c r="B814" s="285"/>
      <c r="C814" s="285"/>
      <c r="D814" s="285"/>
      <c r="E814" s="285"/>
      <c r="F814" s="284"/>
      <c r="G814" s="323" t="str">
        <f>IF(B814="","",VLOOKUP(IF((B814-F814)*10&lt;-10,-10,IF((B814-F814)*10&gt;10,10,(B814-F814)*10)),'Rank Progression'!$K$2:$L$22,2,FALSE))</f>
        <v/>
      </c>
      <c r="I814" s="323"/>
      <c r="J814" s="323"/>
      <c r="K814" s="323"/>
      <c r="L814" s="323"/>
      <c r="M814" s="323"/>
      <c r="N814" s="323"/>
      <c r="O814" s="323"/>
    </row>
    <row r="815" spans="1:15" x14ac:dyDescent="0.2">
      <c r="A815" s="286"/>
      <c r="B815" s="285"/>
      <c r="C815" s="285"/>
      <c r="D815" s="285"/>
      <c r="E815" s="285"/>
      <c r="F815" s="284"/>
      <c r="G815" s="323" t="str">
        <f>IF(B815="","",VLOOKUP(IF((B815-F815)*10&lt;-10,-10,IF((B815-F815)*10&gt;10,10,(B815-F815)*10)),'Rank Progression'!$K$2:$L$22,2,FALSE))</f>
        <v/>
      </c>
      <c r="I815" s="323"/>
      <c r="J815" s="323"/>
      <c r="K815" s="323"/>
      <c r="L815" s="323"/>
      <c r="M815" s="323"/>
      <c r="N815" s="323"/>
      <c r="O815" s="323"/>
    </row>
    <row r="816" spans="1:15" x14ac:dyDescent="0.2">
      <c r="A816" s="286"/>
      <c r="B816" s="285"/>
      <c r="C816" s="285"/>
      <c r="D816" s="285"/>
      <c r="E816" s="285"/>
      <c r="F816" s="284"/>
      <c r="G816" s="323" t="str">
        <f>IF(B816="","",VLOOKUP(IF((B816-F816)*10&lt;-10,-10,IF((B816-F816)*10&gt;10,10,(B816-F816)*10)),'Rank Progression'!$K$2:$L$22,2,FALSE))</f>
        <v/>
      </c>
      <c r="I816" s="323"/>
      <c r="J816" s="323"/>
      <c r="K816" s="323"/>
      <c r="L816" s="323"/>
      <c r="M816" s="323"/>
      <c r="N816" s="323"/>
      <c r="O816" s="323"/>
    </row>
    <row r="817" spans="1:15" x14ac:dyDescent="0.2">
      <c r="A817" s="286"/>
      <c r="B817" s="285"/>
      <c r="C817" s="285"/>
      <c r="D817" s="285"/>
      <c r="E817" s="285"/>
      <c r="F817" s="284"/>
      <c r="G817" s="323" t="str">
        <f>IF(B817="","",VLOOKUP(IF((B817-F817)*10&lt;-10,-10,IF((B817-F817)*10&gt;10,10,(B817-F817)*10)),'Rank Progression'!$K$2:$L$22,2,FALSE))</f>
        <v/>
      </c>
      <c r="I817" s="323"/>
      <c r="J817" s="323"/>
      <c r="K817" s="323"/>
      <c r="L817" s="323"/>
      <c r="M817" s="323"/>
      <c r="N817" s="323"/>
      <c r="O817" s="323"/>
    </row>
    <row r="818" spans="1:15" x14ac:dyDescent="0.2">
      <c r="A818" s="286"/>
      <c r="B818" s="285"/>
      <c r="C818" s="285"/>
      <c r="D818" s="285"/>
      <c r="E818" s="285"/>
      <c r="F818" s="284"/>
      <c r="G818" s="323" t="str">
        <f>IF(B818="","",VLOOKUP(IF((B818-F818)*10&lt;-10,-10,IF((B818-F818)*10&gt;10,10,(B818-F818)*10)),'Rank Progression'!$K$2:$L$22,2,FALSE))</f>
        <v/>
      </c>
      <c r="I818" s="323"/>
      <c r="J818" s="323"/>
      <c r="K818" s="323"/>
      <c r="L818" s="323"/>
      <c r="M818" s="323"/>
      <c r="N818" s="323"/>
      <c r="O818" s="323"/>
    </row>
    <row r="819" spans="1:15" x14ac:dyDescent="0.2">
      <c r="A819" s="286"/>
      <c r="B819" s="285"/>
      <c r="C819" s="285"/>
      <c r="D819" s="285"/>
      <c r="E819" s="285"/>
      <c r="F819" s="284"/>
      <c r="G819" s="323" t="str">
        <f>IF(B819="","",VLOOKUP(IF((B819-F819)*10&lt;-10,-10,IF((B819-F819)*10&gt;10,10,(B819-F819)*10)),'Rank Progression'!$K$2:$L$22,2,FALSE))</f>
        <v/>
      </c>
      <c r="I819" s="323"/>
      <c r="J819" s="323"/>
      <c r="K819" s="323"/>
      <c r="L819" s="323"/>
      <c r="M819" s="323"/>
      <c r="N819" s="323"/>
      <c r="O819" s="323"/>
    </row>
    <row r="820" spans="1:15" x14ac:dyDescent="0.2">
      <c r="A820" s="286"/>
      <c r="B820" s="285"/>
      <c r="C820" s="285"/>
      <c r="D820" s="285"/>
      <c r="E820" s="285"/>
      <c r="F820" s="284"/>
      <c r="G820" s="323" t="str">
        <f>IF(B820="","",VLOOKUP(IF((B820-F820)*10&lt;-10,-10,IF((B820-F820)*10&gt;10,10,(B820-F820)*10)),'Rank Progression'!$K$2:$L$22,2,FALSE))</f>
        <v/>
      </c>
      <c r="I820" s="323"/>
      <c r="J820" s="323"/>
      <c r="K820" s="323"/>
      <c r="L820" s="323"/>
      <c r="M820" s="323"/>
      <c r="N820" s="323"/>
      <c r="O820" s="323"/>
    </row>
    <row r="821" spans="1:15" x14ac:dyDescent="0.2">
      <c r="A821" s="286"/>
      <c r="B821" s="285"/>
      <c r="C821" s="285"/>
      <c r="D821" s="285"/>
      <c r="E821" s="285"/>
      <c r="F821" s="284"/>
      <c r="G821" s="323" t="str">
        <f>IF(B821="","",VLOOKUP(IF((B821-F821)*10&lt;-10,-10,IF((B821-F821)*10&gt;10,10,(B821-F821)*10)),'Rank Progression'!$K$2:$L$22,2,FALSE))</f>
        <v/>
      </c>
      <c r="I821" s="323"/>
      <c r="J821" s="323"/>
      <c r="K821" s="323"/>
      <c r="L821" s="323"/>
      <c r="M821" s="323"/>
      <c r="N821" s="323"/>
      <c r="O821" s="323"/>
    </row>
    <row r="822" spans="1:15" x14ac:dyDescent="0.2">
      <c r="A822" s="286"/>
      <c r="B822" s="285"/>
      <c r="C822" s="285"/>
      <c r="D822" s="285"/>
      <c r="E822" s="285"/>
      <c r="F822" s="284"/>
      <c r="G822" s="323" t="str">
        <f>IF(B822="","",VLOOKUP(IF((B822-F822)*10&lt;-10,-10,IF((B822-F822)*10&gt;10,10,(B822-F822)*10)),'Rank Progression'!$K$2:$L$22,2,FALSE))</f>
        <v/>
      </c>
      <c r="I822" s="323"/>
      <c r="J822" s="323"/>
      <c r="K822" s="323"/>
      <c r="L822" s="323"/>
      <c r="M822" s="323"/>
      <c r="N822" s="323"/>
      <c r="O822" s="323"/>
    </row>
    <row r="823" spans="1:15" x14ac:dyDescent="0.2">
      <c r="A823" s="286"/>
      <c r="B823" s="285"/>
      <c r="C823" s="285"/>
      <c r="D823" s="285"/>
      <c r="E823" s="285"/>
      <c r="F823" s="284"/>
      <c r="G823" s="323" t="str">
        <f>IF(B823="","",VLOOKUP(IF((B823-F823)*10&lt;-10,-10,IF((B823-F823)*10&gt;10,10,(B823-F823)*10)),'Rank Progression'!$K$2:$L$22,2,FALSE))</f>
        <v/>
      </c>
      <c r="I823" s="323"/>
      <c r="J823" s="323"/>
      <c r="K823" s="323"/>
      <c r="L823" s="323"/>
      <c r="M823" s="323"/>
      <c r="N823" s="323"/>
      <c r="O823" s="323"/>
    </row>
    <row r="824" spans="1:15" x14ac:dyDescent="0.2">
      <c r="A824" s="286"/>
      <c r="B824" s="285"/>
      <c r="C824" s="285"/>
      <c r="D824" s="285"/>
      <c r="E824" s="285"/>
      <c r="F824" s="284"/>
      <c r="G824" s="323" t="str">
        <f>IF(B824="","",VLOOKUP(IF((B824-F824)*10&lt;-10,-10,IF((B824-F824)*10&gt;10,10,(B824-F824)*10)),'Rank Progression'!$K$2:$L$22,2,FALSE))</f>
        <v/>
      </c>
      <c r="I824" s="323"/>
      <c r="J824" s="323"/>
      <c r="K824" s="323"/>
      <c r="L824" s="323"/>
      <c r="M824" s="323"/>
      <c r="N824" s="323"/>
      <c r="O824" s="323"/>
    </row>
    <row r="825" spans="1:15" x14ac:dyDescent="0.2">
      <c r="A825" s="286"/>
      <c r="B825" s="285"/>
      <c r="C825" s="285"/>
      <c r="D825" s="285"/>
      <c r="E825" s="285"/>
      <c r="F825" s="284"/>
      <c r="G825" s="323" t="str">
        <f>IF(B825="","",VLOOKUP(IF((B825-F825)*10&lt;-10,-10,IF((B825-F825)*10&gt;10,10,(B825-F825)*10)),'Rank Progression'!$K$2:$L$22,2,FALSE))</f>
        <v/>
      </c>
      <c r="I825" s="323"/>
      <c r="J825" s="323"/>
      <c r="K825" s="323"/>
      <c r="L825" s="323"/>
      <c r="M825" s="323"/>
      <c r="N825" s="323"/>
      <c r="O825" s="323"/>
    </row>
    <row r="826" spans="1:15" x14ac:dyDescent="0.2">
      <c r="A826" s="286"/>
      <c r="B826" s="285"/>
      <c r="C826" s="285"/>
      <c r="D826" s="285"/>
      <c r="E826" s="285"/>
      <c r="F826" s="284"/>
      <c r="G826" s="323" t="str">
        <f>IF(B826="","",VLOOKUP(IF((B826-F826)*10&lt;-10,-10,IF((B826-F826)*10&gt;10,10,(B826-F826)*10)),'Rank Progression'!$K$2:$L$22,2,FALSE))</f>
        <v/>
      </c>
      <c r="I826" s="323"/>
      <c r="J826" s="323"/>
      <c r="K826" s="323"/>
      <c r="L826" s="323"/>
      <c r="M826" s="323"/>
      <c r="N826" s="323"/>
      <c r="O826" s="323"/>
    </row>
    <row r="827" spans="1:15" x14ac:dyDescent="0.2">
      <c r="A827" s="286"/>
      <c r="B827" s="285"/>
      <c r="C827" s="285"/>
      <c r="D827" s="285"/>
      <c r="E827" s="285"/>
      <c r="F827" s="284"/>
      <c r="G827" s="323" t="str">
        <f>IF(B827="","",VLOOKUP(IF((B827-F827)*10&lt;-10,-10,IF((B827-F827)*10&gt;10,10,(B827-F827)*10)),'Rank Progression'!$K$2:$L$22,2,FALSE))</f>
        <v/>
      </c>
      <c r="I827" s="323"/>
      <c r="J827" s="323"/>
      <c r="K827" s="323"/>
      <c r="L827" s="323"/>
      <c r="M827" s="323"/>
      <c r="N827" s="323"/>
      <c r="O827" s="323"/>
    </row>
    <row r="828" spans="1:15" x14ac:dyDescent="0.2">
      <c r="A828" s="286"/>
      <c r="B828" s="285"/>
      <c r="C828" s="285"/>
      <c r="D828" s="285"/>
      <c r="E828" s="285"/>
      <c r="F828" s="284"/>
      <c r="G828" s="323" t="str">
        <f>IF(B828="","",VLOOKUP(IF((B828-F828)*10&lt;-10,-10,IF((B828-F828)*10&gt;10,10,(B828-F828)*10)),'Rank Progression'!$K$2:$L$22,2,FALSE))</f>
        <v/>
      </c>
      <c r="I828" s="323"/>
      <c r="J828" s="323"/>
      <c r="K828" s="323"/>
      <c r="L828" s="323"/>
      <c r="M828" s="323"/>
      <c r="N828" s="323"/>
      <c r="O828" s="323"/>
    </row>
    <row r="829" spans="1:15" x14ac:dyDescent="0.2">
      <c r="A829" s="286"/>
      <c r="B829" s="285"/>
      <c r="C829" s="285"/>
      <c r="D829" s="285"/>
      <c r="E829" s="285"/>
      <c r="F829" s="284"/>
      <c r="G829" s="323" t="str">
        <f>IF(B829="","",VLOOKUP(IF((B829-F829)*10&lt;-10,-10,IF((B829-F829)*10&gt;10,10,(B829-F829)*10)),'Rank Progression'!$K$2:$L$22,2,FALSE))</f>
        <v/>
      </c>
      <c r="I829" s="323"/>
      <c r="J829" s="323"/>
      <c r="K829" s="323"/>
      <c r="L829" s="323"/>
      <c r="M829" s="323"/>
      <c r="N829" s="323"/>
      <c r="O829" s="323"/>
    </row>
    <row r="830" spans="1:15" x14ac:dyDescent="0.2">
      <c r="A830" s="286"/>
      <c r="B830" s="285"/>
      <c r="C830" s="285"/>
      <c r="D830" s="285"/>
      <c r="E830" s="285"/>
      <c r="F830" s="284"/>
      <c r="G830" s="323" t="str">
        <f>IF(B830="","",VLOOKUP(IF((B830-F830)*10&lt;-10,-10,IF((B830-F830)*10&gt;10,10,(B830-F830)*10)),'Rank Progression'!$K$2:$L$22,2,FALSE))</f>
        <v/>
      </c>
      <c r="I830" s="323"/>
      <c r="J830" s="323"/>
      <c r="K830" s="323"/>
      <c r="L830" s="323"/>
      <c r="M830" s="323"/>
      <c r="N830" s="323"/>
      <c r="O830" s="323"/>
    </row>
    <row r="831" spans="1:15" x14ac:dyDescent="0.2">
      <c r="A831" s="286"/>
      <c r="B831" s="285"/>
      <c r="C831" s="285"/>
      <c r="D831" s="285"/>
      <c r="E831" s="285"/>
      <c r="F831" s="284"/>
      <c r="G831" s="323" t="str">
        <f>IF(B831="","",VLOOKUP(IF((B831-F831)*10&lt;-10,-10,IF((B831-F831)*10&gt;10,10,(B831-F831)*10)),'Rank Progression'!$K$2:$L$22,2,FALSE))</f>
        <v/>
      </c>
      <c r="I831" s="323"/>
      <c r="J831" s="323"/>
      <c r="K831" s="323"/>
      <c r="L831" s="323"/>
      <c r="M831" s="323"/>
      <c r="N831" s="323"/>
      <c r="O831" s="323"/>
    </row>
    <row r="832" spans="1:15" x14ac:dyDescent="0.2">
      <c r="A832" s="286"/>
      <c r="B832" s="285"/>
      <c r="C832" s="285"/>
      <c r="D832" s="285"/>
      <c r="E832" s="285"/>
      <c r="F832" s="284"/>
      <c r="G832" s="323" t="str">
        <f>IF(B832="","",VLOOKUP(IF((B832-F832)*10&lt;-10,-10,IF((B832-F832)*10&gt;10,10,(B832-F832)*10)),'Rank Progression'!$K$2:$L$22,2,FALSE))</f>
        <v/>
      </c>
      <c r="I832" s="323"/>
      <c r="J832" s="323"/>
      <c r="K832" s="323"/>
      <c r="L832" s="323"/>
      <c r="M832" s="323"/>
      <c r="N832" s="323"/>
      <c r="O832" s="323"/>
    </row>
    <row r="833" spans="1:15" x14ac:dyDescent="0.2">
      <c r="A833" s="286"/>
      <c r="B833" s="285"/>
      <c r="C833" s="285"/>
      <c r="D833" s="285"/>
      <c r="E833" s="285"/>
      <c r="F833" s="284"/>
      <c r="G833" s="323" t="str">
        <f>IF(B833="","",VLOOKUP(IF((B833-F833)*10&lt;-10,-10,IF((B833-F833)*10&gt;10,10,(B833-F833)*10)),'Rank Progression'!$K$2:$L$22,2,FALSE))</f>
        <v/>
      </c>
      <c r="I833" s="323"/>
      <c r="J833" s="323"/>
      <c r="K833" s="323"/>
      <c r="L833" s="323"/>
      <c r="M833" s="323"/>
      <c r="N833" s="323"/>
      <c r="O833" s="323"/>
    </row>
    <row r="834" spans="1:15" x14ac:dyDescent="0.2">
      <c r="A834" s="286"/>
      <c r="B834" s="285"/>
      <c r="C834" s="285"/>
      <c r="D834" s="285"/>
      <c r="E834" s="285"/>
      <c r="F834" s="284"/>
      <c r="G834" s="323" t="str">
        <f>IF(B834="","",VLOOKUP(IF((B834-F834)*10&lt;-10,-10,IF((B834-F834)*10&gt;10,10,(B834-F834)*10)),'Rank Progression'!$K$2:$L$22,2,FALSE))</f>
        <v/>
      </c>
      <c r="I834" s="323"/>
      <c r="J834" s="323"/>
      <c r="K834" s="323"/>
      <c r="L834" s="323"/>
      <c r="M834" s="323"/>
      <c r="N834" s="323"/>
      <c r="O834" s="323"/>
    </row>
    <row r="835" spans="1:15" x14ac:dyDescent="0.2">
      <c r="A835" s="286"/>
      <c r="B835" s="285"/>
      <c r="C835" s="285"/>
      <c r="D835" s="285"/>
      <c r="E835" s="285"/>
      <c r="F835" s="284"/>
      <c r="G835" s="323" t="str">
        <f>IF(B835="","",VLOOKUP(IF((B835-F835)*10&lt;-10,-10,IF((B835-F835)*10&gt;10,10,(B835-F835)*10)),'Rank Progression'!$K$2:$L$22,2,FALSE))</f>
        <v/>
      </c>
      <c r="I835" s="323"/>
      <c r="J835" s="323"/>
      <c r="K835" s="323"/>
      <c r="L835" s="323"/>
      <c r="M835" s="323"/>
      <c r="N835" s="323"/>
      <c r="O835" s="323"/>
    </row>
    <row r="836" spans="1:15" x14ac:dyDescent="0.2">
      <c r="A836" s="286"/>
      <c r="B836" s="285"/>
      <c r="C836" s="285"/>
      <c r="D836" s="285"/>
      <c r="E836" s="285"/>
      <c r="F836" s="284"/>
      <c r="G836" s="323" t="str">
        <f>IF(B836="","",VLOOKUP(IF((B836-F836)*10&lt;-10,-10,IF((B836-F836)*10&gt;10,10,(B836-F836)*10)),'Rank Progression'!$K$2:$L$22,2,FALSE))</f>
        <v/>
      </c>
      <c r="I836" s="323"/>
      <c r="J836" s="323"/>
      <c r="K836" s="323"/>
      <c r="L836" s="323"/>
      <c r="M836" s="323"/>
      <c r="N836" s="323"/>
      <c r="O836" s="323"/>
    </row>
    <row r="837" spans="1:15" x14ac:dyDescent="0.2">
      <c r="A837" s="286"/>
      <c r="B837" s="285"/>
      <c r="C837" s="285"/>
      <c r="D837" s="285"/>
      <c r="E837" s="285"/>
      <c r="F837" s="284"/>
      <c r="G837" s="323" t="str">
        <f>IF(B837="","",VLOOKUP(IF((B837-F837)*10&lt;-10,-10,IF((B837-F837)*10&gt;10,10,(B837-F837)*10)),'Rank Progression'!$K$2:$L$22,2,FALSE))</f>
        <v/>
      </c>
      <c r="I837" s="323"/>
      <c r="J837" s="323"/>
      <c r="K837" s="323"/>
      <c r="L837" s="323"/>
      <c r="M837" s="323"/>
      <c r="N837" s="323"/>
      <c r="O837" s="323"/>
    </row>
    <row r="838" spans="1:15" x14ac:dyDescent="0.2">
      <c r="A838" s="286"/>
      <c r="B838" s="285"/>
      <c r="C838" s="285"/>
      <c r="D838" s="285"/>
      <c r="E838" s="285"/>
      <c r="F838" s="284"/>
      <c r="G838" s="323" t="str">
        <f>IF(B838="","",VLOOKUP(IF((B838-F838)*10&lt;-10,-10,IF((B838-F838)*10&gt;10,10,(B838-F838)*10)),'Rank Progression'!$K$2:$L$22,2,FALSE))</f>
        <v/>
      </c>
      <c r="I838" s="323"/>
      <c r="J838" s="323"/>
      <c r="K838" s="323"/>
      <c r="L838" s="323"/>
      <c r="M838" s="323"/>
      <c r="N838" s="323"/>
      <c r="O838" s="323"/>
    </row>
    <row r="839" spans="1:15" x14ac:dyDescent="0.2">
      <c r="A839" s="286"/>
      <c r="B839" s="285"/>
      <c r="C839" s="285"/>
      <c r="D839" s="285"/>
      <c r="E839" s="285"/>
      <c r="F839" s="284"/>
      <c r="G839" s="323" t="str">
        <f>IF(B839="","",VLOOKUP(IF((B839-F839)*10&lt;-10,-10,IF((B839-F839)*10&gt;10,10,(B839-F839)*10)),'Rank Progression'!$K$2:$L$22,2,FALSE))</f>
        <v/>
      </c>
      <c r="I839" s="323"/>
      <c r="J839" s="323"/>
      <c r="K839" s="323"/>
      <c r="L839" s="323"/>
      <c r="M839" s="323"/>
      <c r="N839" s="323"/>
      <c r="O839" s="323"/>
    </row>
    <row r="840" spans="1:15" x14ac:dyDescent="0.2">
      <c r="A840" s="286"/>
      <c r="B840" s="285"/>
      <c r="C840" s="285"/>
      <c r="D840" s="285"/>
      <c r="E840" s="285"/>
      <c r="F840" s="284"/>
      <c r="G840" s="323" t="str">
        <f>IF(B840="","",VLOOKUP(IF((B840-F840)*10&lt;-10,-10,IF((B840-F840)*10&gt;10,10,(B840-F840)*10)),'Rank Progression'!$K$2:$L$22,2,FALSE))</f>
        <v/>
      </c>
      <c r="I840" s="323"/>
      <c r="J840" s="323"/>
      <c r="K840" s="323"/>
      <c r="L840" s="323"/>
      <c r="M840" s="323"/>
      <c r="N840" s="323"/>
      <c r="O840" s="323"/>
    </row>
    <row r="841" spans="1:15" x14ac:dyDescent="0.2">
      <c r="A841" s="286"/>
      <c r="B841" s="285"/>
      <c r="C841" s="285"/>
      <c r="D841" s="285"/>
      <c r="E841" s="285"/>
      <c r="F841" s="284"/>
      <c r="G841" s="323" t="str">
        <f>IF(B841="","",VLOOKUP(IF((B841-F841)*10&lt;-10,-10,IF((B841-F841)*10&gt;10,10,(B841-F841)*10)),'Rank Progression'!$K$2:$L$22,2,FALSE))</f>
        <v/>
      </c>
      <c r="I841" s="323"/>
      <c r="J841" s="323"/>
      <c r="K841" s="323"/>
      <c r="L841" s="323"/>
      <c r="M841" s="323"/>
      <c r="N841" s="323"/>
      <c r="O841" s="323"/>
    </row>
    <row r="842" spans="1:15" x14ac:dyDescent="0.2">
      <c r="A842" s="286"/>
      <c r="B842" s="285"/>
      <c r="C842" s="285"/>
      <c r="D842" s="285"/>
      <c r="E842" s="285"/>
      <c r="F842" s="284"/>
      <c r="G842" s="323" t="str">
        <f>IF(B842="","",VLOOKUP(IF((B842-F842)*10&lt;-10,-10,IF((B842-F842)*10&gt;10,10,(B842-F842)*10)),'Rank Progression'!$K$2:$L$22,2,FALSE))</f>
        <v/>
      </c>
      <c r="I842" s="323"/>
      <c r="J842" s="323"/>
      <c r="K842" s="323"/>
      <c r="L842" s="323"/>
      <c r="M842" s="323"/>
      <c r="N842" s="323"/>
      <c r="O842" s="323"/>
    </row>
    <row r="843" spans="1:15" x14ac:dyDescent="0.2">
      <c r="A843" s="286"/>
      <c r="B843" s="285"/>
      <c r="C843" s="285"/>
      <c r="D843" s="285"/>
      <c r="E843" s="285"/>
      <c r="F843" s="284"/>
      <c r="G843" s="323" t="str">
        <f>IF(B843="","",VLOOKUP(IF((B843-F843)*10&lt;-10,-10,IF((B843-F843)*10&gt;10,10,(B843-F843)*10)),'Rank Progression'!$K$2:$L$22,2,FALSE))</f>
        <v/>
      </c>
      <c r="I843" s="323"/>
      <c r="J843" s="323"/>
      <c r="K843" s="323"/>
      <c r="L843" s="323"/>
      <c r="M843" s="323"/>
      <c r="N843" s="323"/>
      <c r="O843" s="323"/>
    </row>
    <row r="844" spans="1:15" x14ac:dyDescent="0.2">
      <c r="A844" s="286"/>
      <c r="B844" s="285"/>
      <c r="C844" s="285"/>
      <c r="D844" s="285"/>
      <c r="E844" s="285"/>
      <c r="F844" s="284"/>
      <c r="G844" s="323" t="str">
        <f>IF(B844="","",VLOOKUP(IF((B844-F844)*10&lt;-10,-10,IF((B844-F844)*10&gt;10,10,(B844-F844)*10)),'Rank Progression'!$K$2:$L$22,2,FALSE))</f>
        <v/>
      </c>
      <c r="I844" s="323"/>
      <c r="J844" s="323"/>
      <c r="K844" s="323"/>
      <c r="L844" s="323"/>
      <c r="M844" s="323"/>
      <c r="N844" s="323"/>
      <c r="O844" s="323"/>
    </row>
    <row r="845" spans="1:15" x14ac:dyDescent="0.2">
      <c r="A845" s="286"/>
      <c r="B845" s="285"/>
      <c r="C845" s="285"/>
      <c r="D845" s="285"/>
      <c r="E845" s="285"/>
      <c r="F845" s="284"/>
      <c r="G845" s="323" t="str">
        <f>IF(B845="","",VLOOKUP(IF((B845-F845)*10&lt;-10,-10,IF((B845-F845)*10&gt;10,10,(B845-F845)*10)),'Rank Progression'!$K$2:$L$22,2,FALSE))</f>
        <v/>
      </c>
      <c r="I845" s="323"/>
      <c r="J845" s="323"/>
      <c r="K845" s="323"/>
      <c r="L845" s="323"/>
      <c r="M845" s="323"/>
      <c r="N845" s="323"/>
      <c r="O845" s="323"/>
    </row>
    <row r="846" spans="1:15" x14ac:dyDescent="0.2">
      <c r="A846" s="286"/>
      <c r="B846" s="285"/>
      <c r="C846" s="285"/>
      <c r="D846" s="285"/>
      <c r="E846" s="285"/>
      <c r="F846" s="284"/>
      <c r="G846" s="323" t="str">
        <f>IF(B846="","",VLOOKUP(IF((B846-F846)*10&lt;-10,-10,IF((B846-F846)*10&gt;10,10,(B846-F846)*10)),'Rank Progression'!$K$2:$L$22,2,FALSE))</f>
        <v/>
      </c>
      <c r="I846" s="323"/>
      <c r="J846" s="323"/>
      <c r="K846" s="323"/>
      <c r="L846" s="323"/>
      <c r="M846" s="323"/>
      <c r="N846" s="323"/>
      <c r="O846" s="323"/>
    </row>
    <row r="847" spans="1:15" x14ac:dyDescent="0.2">
      <c r="A847" s="286"/>
      <c r="B847" s="285"/>
      <c r="C847" s="285"/>
      <c r="D847" s="285"/>
      <c r="E847" s="285"/>
      <c r="F847" s="284"/>
      <c r="G847" s="323" t="str">
        <f>IF(B847="","",VLOOKUP(IF((B847-F847)*10&lt;-10,-10,IF((B847-F847)*10&gt;10,10,(B847-F847)*10)),'Rank Progression'!$K$2:$L$22,2,FALSE))</f>
        <v/>
      </c>
      <c r="I847" s="323"/>
      <c r="J847" s="323"/>
      <c r="K847" s="323"/>
      <c r="L847" s="323"/>
      <c r="M847" s="323"/>
      <c r="N847" s="323"/>
      <c r="O847" s="323"/>
    </row>
    <row r="848" spans="1:15" x14ac:dyDescent="0.2">
      <c r="A848" s="286"/>
      <c r="B848" s="285"/>
      <c r="C848" s="285"/>
      <c r="D848" s="285"/>
      <c r="E848" s="285"/>
      <c r="F848" s="284"/>
      <c r="G848" s="323" t="str">
        <f>IF(B848="","",VLOOKUP(IF((B848-F848)*10&lt;-10,-10,IF((B848-F848)*10&gt;10,10,(B848-F848)*10)),'Rank Progression'!$K$2:$L$22,2,FALSE))</f>
        <v/>
      </c>
      <c r="I848" s="323"/>
      <c r="J848" s="323"/>
      <c r="K848" s="323"/>
      <c r="L848" s="323"/>
      <c r="M848" s="323"/>
      <c r="N848" s="323"/>
      <c r="O848" s="323"/>
    </row>
    <row r="849" spans="1:15" x14ac:dyDescent="0.2">
      <c r="A849" s="286"/>
      <c r="B849" s="285"/>
      <c r="C849" s="285"/>
      <c r="D849" s="285"/>
      <c r="E849" s="285"/>
      <c r="F849" s="284"/>
      <c r="G849" s="323" t="str">
        <f>IF(B849="","",VLOOKUP(IF((B849-F849)*10&lt;-10,-10,IF((B849-F849)*10&gt;10,10,(B849-F849)*10)),'Rank Progression'!$K$2:$L$22,2,FALSE))</f>
        <v/>
      </c>
      <c r="I849" s="323"/>
      <c r="J849" s="323"/>
      <c r="K849" s="323"/>
      <c r="L849" s="323"/>
      <c r="M849" s="323"/>
      <c r="N849" s="323"/>
      <c r="O849" s="323"/>
    </row>
    <row r="850" spans="1:15" x14ac:dyDescent="0.2">
      <c r="A850" s="286"/>
      <c r="B850" s="285"/>
      <c r="C850" s="285"/>
      <c r="D850" s="285"/>
      <c r="E850" s="285"/>
      <c r="F850" s="284"/>
      <c r="G850" s="323" t="str">
        <f>IF(B850="","",VLOOKUP(IF((B850-F850)*10&lt;-10,-10,IF((B850-F850)*10&gt;10,10,(B850-F850)*10)),'Rank Progression'!$K$2:$L$22,2,FALSE))</f>
        <v/>
      </c>
      <c r="I850" s="323"/>
      <c r="J850" s="323"/>
      <c r="K850" s="323"/>
      <c r="L850" s="323"/>
      <c r="M850" s="323"/>
      <c r="N850" s="323"/>
      <c r="O850" s="323"/>
    </row>
    <row r="851" spans="1:15" x14ac:dyDescent="0.2">
      <c r="A851" s="286"/>
      <c r="B851" s="285"/>
      <c r="C851" s="285"/>
      <c r="D851" s="285"/>
      <c r="E851" s="285"/>
      <c r="F851" s="284"/>
      <c r="G851" s="323" t="str">
        <f>IF(B851="","",VLOOKUP(IF((B851-F851)*10&lt;-10,-10,IF((B851-F851)*10&gt;10,10,(B851-F851)*10)),'Rank Progression'!$K$2:$L$22,2,FALSE))</f>
        <v/>
      </c>
      <c r="I851" s="323"/>
      <c r="J851" s="323"/>
      <c r="K851" s="323"/>
      <c r="L851" s="323"/>
      <c r="M851" s="323"/>
      <c r="N851" s="323"/>
      <c r="O851" s="323"/>
    </row>
    <row r="852" spans="1:15" x14ac:dyDescent="0.2">
      <c r="A852" s="286"/>
      <c r="B852" s="285"/>
      <c r="C852" s="285"/>
      <c r="D852" s="285"/>
      <c r="E852" s="285"/>
      <c r="F852" s="284"/>
      <c r="G852" s="323" t="str">
        <f>IF(B852="","",VLOOKUP(IF((B852-F852)*10&lt;-10,-10,IF((B852-F852)*10&gt;10,10,(B852-F852)*10)),'Rank Progression'!$K$2:$L$22,2,FALSE))</f>
        <v/>
      </c>
      <c r="I852" s="323"/>
      <c r="J852" s="323"/>
      <c r="K852" s="323"/>
      <c r="L852" s="323"/>
      <c r="M852" s="323"/>
      <c r="N852" s="323"/>
      <c r="O852" s="323"/>
    </row>
    <row r="853" spans="1:15" x14ac:dyDescent="0.2">
      <c r="A853" s="286"/>
      <c r="B853" s="285"/>
      <c r="C853" s="285"/>
      <c r="D853" s="285"/>
      <c r="E853" s="285"/>
      <c r="F853" s="284"/>
      <c r="G853" s="323" t="str">
        <f>IF(B853="","",VLOOKUP(IF((B853-F853)*10&lt;-10,-10,IF((B853-F853)*10&gt;10,10,(B853-F853)*10)),'Rank Progression'!$K$2:$L$22,2,FALSE))</f>
        <v/>
      </c>
      <c r="I853" s="323"/>
      <c r="J853" s="323"/>
      <c r="K853" s="323"/>
      <c r="L853" s="323"/>
      <c r="M853" s="323"/>
      <c r="N853" s="323"/>
      <c r="O853" s="323"/>
    </row>
    <row r="854" spans="1:15" x14ac:dyDescent="0.2">
      <c r="A854" s="286"/>
      <c r="B854" s="285"/>
      <c r="C854" s="285"/>
      <c r="D854" s="285"/>
      <c r="E854" s="285"/>
      <c r="F854" s="284"/>
      <c r="G854" s="323" t="str">
        <f>IF(B854="","",VLOOKUP(IF((B854-F854)*10&lt;-10,-10,IF((B854-F854)*10&gt;10,10,(B854-F854)*10)),'Rank Progression'!$K$2:$L$22,2,FALSE))</f>
        <v/>
      </c>
      <c r="I854" s="323"/>
      <c r="J854" s="323"/>
      <c r="K854" s="323"/>
      <c r="L854" s="323"/>
      <c r="M854" s="323"/>
      <c r="N854" s="323"/>
      <c r="O854" s="323"/>
    </row>
    <row r="855" spans="1:15" x14ac:dyDescent="0.2">
      <c r="A855" s="286"/>
      <c r="B855" s="285"/>
      <c r="C855" s="285"/>
      <c r="D855" s="285"/>
      <c r="E855" s="285"/>
      <c r="F855" s="284"/>
      <c r="G855" s="323" t="str">
        <f>IF(B855="","",VLOOKUP(IF((B855-F855)*10&lt;-10,-10,IF((B855-F855)*10&gt;10,10,(B855-F855)*10)),'Rank Progression'!$K$2:$L$22,2,FALSE))</f>
        <v/>
      </c>
      <c r="I855" s="323"/>
      <c r="J855" s="323"/>
      <c r="K855" s="323"/>
      <c r="L855" s="323"/>
      <c r="M855" s="323"/>
      <c r="N855" s="323"/>
      <c r="O855" s="323"/>
    </row>
    <row r="856" spans="1:15" x14ac:dyDescent="0.2">
      <c r="A856" s="286"/>
      <c r="B856" s="285"/>
      <c r="C856" s="285"/>
      <c r="D856" s="285"/>
      <c r="E856" s="285"/>
      <c r="F856" s="284"/>
      <c r="G856" s="323" t="str">
        <f>IF(B856="","",VLOOKUP(IF((B856-F856)*10&lt;-10,-10,IF((B856-F856)*10&gt;10,10,(B856-F856)*10)),'Rank Progression'!$K$2:$L$22,2,FALSE))</f>
        <v/>
      </c>
      <c r="I856" s="323"/>
      <c r="J856" s="323"/>
      <c r="K856" s="323"/>
      <c r="L856" s="323"/>
      <c r="M856" s="323"/>
      <c r="N856" s="323"/>
      <c r="O856" s="323"/>
    </row>
    <row r="857" spans="1:15" x14ac:dyDescent="0.2">
      <c r="A857" s="286"/>
      <c r="B857" s="285"/>
      <c r="C857" s="285"/>
      <c r="D857" s="285"/>
      <c r="E857" s="285"/>
      <c r="F857" s="284"/>
      <c r="G857" s="323" t="str">
        <f>IF(B857="","",VLOOKUP(IF((B857-F857)*10&lt;-10,-10,IF((B857-F857)*10&gt;10,10,(B857-F857)*10)),'Rank Progression'!$K$2:$L$22,2,FALSE))</f>
        <v/>
      </c>
      <c r="I857" s="323"/>
      <c r="J857" s="323"/>
      <c r="K857" s="323"/>
      <c r="L857" s="323"/>
      <c r="M857" s="323"/>
      <c r="N857" s="323"/>
      <c r="O857" s="323"/>
    </row>
    <row r="858" spans="1:15" x14ac:dyDescent="0.2">
      <c r="A858" s="286"/>
      <c r="B858" s="285"/>
      <c r="C858" s="285"/>
      <c r="D858" s="285"/>
      <c r="E858" s="285"/>
      <c r="F858" s="284"/>
      <c r="G858" s="323" t="str">
        <f>IF(B858="","",VLOOKUP(IF((B858-F858)*10&lt;-10,-10,IF((B858-F858)*10&gt;10,10,(B858-F858)*10)),'Rank Progression'!$K$2:$L$22,2,FALSE))</f>
        <v/>
      </c>
      <c r="I858" s="323"/>
      <c r="J858" s="323"/>
      <c r="K858" s="323"/>
      <c r="L858" s="323"/>
      <c r="M858" s="323"/>
      <c r="N858" s="323"/>
      <c r="O858" s="323"/>
    </row>
    <row r="859" spans="1:15" x14ac:dyDescent="0.2">
      <c r="A859" s="286"/>
      <c r="B859" s="285"/>
      <c r="C859" s="285"/>
      <c r="D859" s="285"/>
      <c r="E859" s="285"/>
      <c r="F859" s="284"/>
      <c r="G859" s="323" t="str">
        <f>IF(B859="","",VLOOKUP(IF((B859-F859)*10&lt;-10,-10,IF((B859-F859)*10&gt;10,10,(B859-F859)*10)),'Rank Progression'!$K$2:$L$22,2,FALSE))</f>
        <v/>
      </c>
      <c r="I859" s="323"/>
      <c r="J859" s="323"/>
      <c r="K859" s="323"/>
      <c r="L859" s="323"/>
      <c r="M859" s="323"/>
      <c r="N859" s="323"/>
      <c r="O859" s="323"/>
    </row>
    <row r="860" spans="1:15" x14ac:dyDescent="0.2">
      <c r="A860" s="286"/>
      <c r="B860" s="285"/>
      <c r="C860" s="285"/>
      <c r="D860" s="285"/>
      <c r="E860" s="285"/>
      <c r="F860" s="284"/>
      <c r="G860" s="323" t="str">
        <f>IF(B860="","",VLOOKUP(IF((B860-F860)*10&lt;-10,-10,IF((B860-F860)*10&gt;10,10,(B860-F860)*10)),'Rank Progression'!$K$2:$L$22,2,FALSE))</f>
        <v/>
      </c>
      <c r="I860" s="323"/>
      <c r="J860" s="323"/>
      <c r="K860" s="323"/>
      <c r="L860" s="323"/>
      <c r="M860" s="323"/>
      <c r="N860" s="323"/>
      <c r="O860" s="323"/>
    </row>
    <row r="861" spans="1:15" x14ac:dyDescent="0.2">
      <c r="A861" s="286"/>
      <c r="B861" s="285"/>
      <c r="C861" s="285"/>
      <c r="D861" s="285"/>
      <c r="E861" s="285"/>
      <c r="F861" s="284"/>
      <c r="G861" s="323" t="str">
        <f>IF(B861="","",VLOOKUP(IF((B861-F861)*10&lt;-10,-10,IF((B861-F861)*10&gt;10,10,(B861-F861)*10)),'Rank Progression'!$K$2:$L$22,2,FALSE))</f>
        <v/>
      </c>
      <c r="I861" s="323"/>
      <c r="J861" s="323"/>
      <c r="K861" s="323"/>
      <c r="L861" s="323"/>
      <c r="M861" s="323"/>
      <c r="N861" s="323"/>
      <c r="O861" s="323"/>
    </row>
    <row r="862" spans="1:15" x14ac:dyDescent="0.2">
      <c r="A862" s="286"/>
      <c r="B862" s="285"/>
      <c r="C862" s="285"/>
      <c r="D862" s="285"/>
      <c r="E862" s="285"/>
      <c r="F862" s="284"/>
      <c r="G862" s="323" t="str">
        <f>IF(B862="","",VLOOKUP(IF((B862-F862)*10&lt;-10,-10,IF((B862-F862)*10&gt;10,10,(B862-F862)*10)),'Rank Progression'!$K$2:$L$22,2,FALSE))</f>
        <v/>
      </c>
      <c r="I862" s="323"/>
      <c r="J862" s="323"/>
      <c r="K862" s="323"/>
      <c r="L862" s="323"/>
      <c r="M862" s="323"/>
      <c r="N862" s="323"/>
      <c r="O862" s="323"/>
    </row>
    <row r="863" spans="1:15" x14ac:dyDescent="0.2">
      <c r="A863" s="286"/>
      <c r="B863" s="285"/>
      <c r="C863" s="285"/>
      <c r="D863" s="285"/>
      <c r="E863" s="285"/>
      <c r="F863" s="284"/>
      <c r="G863" s="323" t="str">
        <f>IF(B863="","",VLOOKUP(IF((B863-F863)*10&lt;-10,-10,IF((B863-F863)*10&gt;10,10,(B863-F863)*10)),'Rank Progression'!$K$2:$L$22,2,FALSE))</f>
        <v/>
      </c>
      <c r="I863" s="323"/>
      <c r="J863" s="323"/>
      <c r="K863" s="323"/>
      <c r="L863" s="323"/>
      <c r="M863" s="323"/>
      <c r="N863" s="323"/>
      <c r="O863" s="323"/>
    </row>
    <row r="864" spans="1:15" x14ac:dyDescent="0.2">
      <c r="A864" s="286"/>
      <c r="B864" s="285"/>
      <c r="C864" s="285"/>
      <c r="D864" s="285"/>
      <c r="E864" s="285"/>
      <c r="F864" s="284"/>
      <c r="G864" s="323" t="str">
        <f>IF(B864="","",VLOOKUP(IF((B864-F864)*10&lt;-10,-10,IF((B864-F864)*10&gt;10,10,(B864-F864)*10)),'Rank Progression'!$K$2:$L$22,2,FALSE))</f>
        <v/>
      </c>
      <c r="I864" s="323"/>
      <c r="J864" s="323"/>
      <c r="K864" s="323"/>
      <c r="L864" s="323"/>
      <c r="M864" s="323"/>
      <c r="N864" s="323"/>
      <c r="O864" s="323"/>
    </row>
    <row r="865" spans="1:15" x14ac:dyDescent="0.2">
      <c r="A865" s="286"/>
      <c r="B865" s="285"/>
      <c r="C865" s="285"/>
      <c r="D865" s="285"/>
      <c r="E865" s="285"/>
      <c r="F865" s="284"/>
      <c r="G865" s="323" t="str">
        <f>IF(B865="","",VLOOKUP(IF((B865-F865)*10&lt;-10,-10,IF((B865-F865)*10&gt;10,10,(B865-F865)*10)),'Rank Progression'!$K$2:$L$22,2,FALSE))</f>
        <v/>
      </c>
      <c r="I865" s="323"/>
      <c r="J865" s="323"/>
      <c r="K865" s="323"/>
      <c r="L865" s="323"/>
      <c r="M865" s="323"/>
      <c r="N865" s="323"/>
      <c r="O865" s="323"/>
    </row>
    <row r="866" spans="1:15" x14ac:dyDescent="0.2">
      <c r="A866" s="286"/>
      <c r="B866" s="285"/>
      <c r="C866" s="285"/>
      <c r="D866" s="285"/>
      <c r="E866" s="285"/>
      <c r="F866" s="284"/>
      <c r="G866" s="323" t="str">
        <f>IF(B866="","",VLOOKUP(IF((B866-F866)*10&lt;-10,-10,IF((B866-F866)*10&gt;10,10,(B866-F866)*10)),'Rank Progression'!$K$2:$L$22,2,FALSE))</f>
        <v/>
      </c>
      <c r="I866" s="323"/>
      <c r="J866" s="323"/>
      <c r="K866" s="323"/>
      <c r="L866" s="323"/>
      <c r="M866" s="323"/>
      <c r="N866" s="323"/>
      <c r="O866" s="323"/>
    </row>
    <row r="867" spans="1:15" x14ac:dyDescent="0.2">
      <c r="A867" s="286"/>
      <c r="B867" s="285"/>
      <c r="C867" s="285"/>
      <c r="D867" s="285"/>
      <c r="E867" s="285"/>
      <c r="F867" s="284"/>
      <c r="G867" s="323" t="str">
        <f>IF(B867="","",VLOOKUP(IF((B867-F867)*10&lt;-10,-10,IF((B867-F867)*10&gt;10,10,(B867-F867)*10)),'Rank Progression'!$K$2:$L$22,2,FALSE))</f>
        <v/>
      </c>
      <c r="I867" s="323"/>
      <c r="J867" s="323"/>
      <c r="K867" s="323"/>
      <c r="L867" s="323"/>
      <c r="M867" s="323"/>
      <c r="N867" s="323"/>
      <c r="O867" s="323"/>
    </row>
    <row r="868" spans="1:15" x14ac:dyDescent="0.2">
      <c r="A868" s="286"/>
      <c r="B868" s="285"/>
      <c r="C868" s="285"/>
      <c r="D868" s="285"/>
      <c r="E868" s="285"/>
      <c r="F868" s="284"/>
      <c r="G868" s="323" t="str">
        <f>IF(B868="","",VLOOKUP(IF((B868-F868)*10&lt;-10,-10,IF((B868-F868)*10&gt;10,10,(B868-F868)*10)),'Rank Progression'!$K$2:$L$22,2,FALSE))</f>
        <v/>
      </c>
      <c r="I868" s="323"/>
      <c r="J868" s="323"/>
      <c r="K868" s="323"/>
      <c r="L868" s="323"/>
      <c r="M868" s="323"/>
      <c r="N868" s="323"/>
      <c r="O868" s="323"/>
    </row>
    <row r="869" spans="1:15" x14ac:dyDescent="0.2">
      <c r="A869" s="286"/>
      <c r="B869" s="285"/>
      <c r="C869" s="285"/>
      <c r="D869" s="285"/>
      <c r="E869" s="285"/>
      <c r="F869" s="284"/>
      <c r="G869" s="323" t="str">
        <f>IF(B869="","",VLOOKUP(IF((B869-F869)*10&lt;-10,-10,IF((B869-F869)*10&gt;10,10,(B869-F869)*10)),'Rank Progression'!$K$2:$L$22,2,FALSE))</f>
        <v/>
      </c>
      <c r="I869" s="323"/>
      <c r="J869" s="323"/>
      <c r="K869" s="323"/>
      <c r="L869" s="323"/>
      <c r="M869" s="323"/>
      <c r="N869" s="323"/>
      <c r="O869" s="323"/>
    </row>
    <row r="870" spans="1:15" x14ac:dyDescent="0.2">
      <c r="A870" s="286"/>
      <c r="B870" s="285"/>
      <c r="C870" s="285"/>
      <c r="D870" s="285"/>
      <c r="E870" s="285"/>
      <c r="F870" s="284"/>
      <c r="G870" s="323" t="str">
        <f>IF(B870="","",VLOOKUP(IF((B870-F870)*10&lt;-10,-10,IF((B870-F870)*10&gt;10,10,(B870-F870)*10)),'Rank Progression'!$K$2:$L$22,2,FALSE))</f>
        <v/>
      </c>
      <c r="I870" s="323"/>
      <c r="J870" s="323"/>
      <c r="K870" s="323"/>
      <c r="L870" s="323"/>
      <c r="M870" s="323"/>
      <c r="N870" s="323"/>
      <c r="O870" s="323"/>
    </row>
    <row r="871" spans="1:15" x14ac:dyDescent="0.2">
      <c r="A871" s="286"/>
      <c r="B871" s="285"/>
      <c r="C871" s="285"/>
      <c r="D871" s="285"/>
      <c r="E871" s="285"/>
      <c r="F871" s="284"/>
      <c r="G871" s="323" t="str">
        <f>IF(B871="","",VLOOKUP(IF((B871-F871)*10&lt;-10,-10,IF((B871-F871)*10&gt;10,10,(B871-F871)*10)),'Rank Progression'!$K$2:$L$22,2,FALSE))</f>
        <v/>
      </c>
      <c r="I871" s="323"/>
      <c r="J871" s="323"/>
      <c r="K871" s="323"/>
      <c r="L871" s="323"/>
      <c r="M871" s="323"/>
      <c r="N871" s="323"/>
      <c r="O871" s="323"/>
    </row>
    <row r="872" spans="1:15" x14ac:dyDescent="0.2">
      <c r="A872" s="286"/>
      <c r="B872" s="285"/>
      <c r="C872" s="285"/>
      <c r="D872" s="285"/>
      <c r="E872" s="285"/>
      <c r="F872" s="284"/>
      <c r="G872" s="323" t="str">
        <f>IF(B872="","",VLOOKUP(IF((B872-F872)*10&lt;-10,-10,IF((B872-F872)*10&gt;10,10,(B872-F872)*10)),'Rank Progression'!$K$2:$L$22,2,FALSE))</f>
        <v/>
      </c>
      <c r="I872" s="323"/>
      <c r="J872" s="323"/>
      <c r="K872" s="323"/>
      <c r="L872" s="323"/>
      <c r="M872" s="323"/>
      <c r="N872" s="323"/>
      <c r="O872" s="323"/>
    </row>
    <row r="873" spans="1:15" x14ac:dyDescent="0.2">
      <c r="A873" s="286"/>
      <c r="B873" s="285"/>
      <c r="C873" s="285"/>
      <c r="D873" s="285"/>
      <c r="E873" s="285"/>
      <c r="F873" s="284"/>
      <c r="G873" s="323" t="str">
        <f>IF(B873="","",VLOOKUP(IF((B873-F873)*10&lt;-10,-10,IF((B873-F873)*10&gt;10,10,(B873-F873)*10)),'Rank Progression'!$K$2:$L$22,2,FALSE))</f>
        <v/>
      </c>
      <c r="I873" s="323"/>
      <c r="J873" s="323"/>
      <c r="K873" s="323"/>
      <c r="L873" s="323"/>
      <c r="M873" s="323"/>
      <c r="N873" s="323"/>
      <c r="O873" s="323"/>
    </row>
    <row r="874" spans="1:15" x14ac:dyDescent="0.2">
      <c r="A874" s="286"/>
      <c r="B874" s="285"/>
      <c r="C874" s="285"/>
      <c r="D874" s="285"/>
      <c r="E874" s="285"/>
      <c r="F874" s="284"/>
      <c r="G874" s="323" t="str">
        <f>IF(B874="","",VLOOKUP(IF((B874-F874)*10&lt;-10,-10,IF((B874-F874)*10&gt;10,10,(B874-F874)*10)),'Rank Progression'!$K$2:$L$22,2,FALSE))</f>
        <v/>
      </c>
      <c r="I874" s="323"/>
      <c r="J874" s="323"/>
      <c r="K874" s="323"/>
      <c r="L874" s="323"/>
      <c r="M874" s="323"/>
      <c r="N874" s="323"/>
      <c r="O874" s="323"/>
    </row>
    <row r="875" spans="1:15" x14ac:dyDescent="0.2">
      <c r="A875" s="286"/>
      <c r="B875" s="285"/>
      <c r="C875" s="285"/>
      <c r="D875" s="285"/>
      <c r="E875" s="285"/>
      <c r="F875" s="284"/>
      <c r="G875" s="323" t="str">
        <f>IF(B875="","",VLOOKUP(IF((B875-F875)*10&lt;-10,-10,IF((B875-F875)*10&gt;10,10,(B875-F875)*10)),'Rank Progression'!$K$2:$L$22,2,FALSE))</f>
        <v/>
      </c>
      <c r="I875" s="323"/>
      <c r="J875" s="323"/>
      <c r="K875" s="323"/>
      <c r="L875" s="323"/>
      <c r="M875" s="323"/>
      <c r="N875" s="323"/>
      <c r="O875" s="323"/>
    </row>
    <row r="876" spans="1:15" x14ac:dyDescent="0.2">
      <c r="A876" s="286"/>
      <c r="B876" s="285"/>
      <c r="C876" s="285"/>
      <c r="D876" s="285"/>
      <c r="E876" s="285"/>
      <c r="F876" s="284"/>
      <c r="G876" s="323" t="str">
        <f>IF(B876="","",VLOOKUP(IF((B876-F876)*10&lt;-10,-10,IF((B876-F876)*10&gt;10,10,(B876-F876)*10)),'Rank Progression'!$K$2:$L$22,2,FALSE))</f>
        <v/>
      </c>
      <c r="I876" s="323"/>
      <c r="J876" s="323"/>
      <c r="K876" s="323"/>
      <c r="L876" s="323"/>
      <c r="M876" s="323"/>
      <c r="N876" s="323"/>
      <c r="O876" s="323"/>
    </row>
    <row r="877" spans="1:15" x14ac:dyDescent="0.2">
      <c r="A877" s="286"/>
      <c r="B877" s="285"/>
      <c r="C877" s="285"/>
      <c r="D877" s="285"/>
      <c r="E877" s="285"/>
      <c r="F877" s="284"/>
      <c r="G877" s="323" t="str">
        <f>IF(B877="","",VLOOKUP(IF((B877-F877)*10&lt;-10,-10,IF((B877-F877)*10&gt;10,10,(B877-F877)*10)),'Rank Progression'!$K$2:$L$22,2,FALSE))</f>
        <v/>
      </c>
      <c r="I877" s="323"/>
      <c r="J877" s="323"/>
      <c r="K877" s="323"/>
      <c r="L877" s="323"/>
      <c r="M877" s="323"/>
      <c r="N877" s="323"/>
      <c r="O877" s="323"/>
    </row>
    <row r="878" spans="1:15" x14ac:dyDescent="0.2">
      <c r="A878" s="286"/>
      <c r="B878" s="285"/>
      <c r="C878" s="285"/>
      <c r="D878" s="285"/>
      <c r="E878" s="285"/>
      <c r="F878" s="284"/>
      <c r="G878" s="323" t="str">
        <f>IF(B878="","",VLOOKUP(IF((B878-F878)*10&lt;-10,-10,IF((B878-F878)*10&gt;10,10,(B878-F878)*10)),'Rank Progression'!$K$2:$L$22,2,FALSE))</f>
        <v/>
      </c>
      <c r="I878" s="323"/>
      <c r="J878" s="323"/>
      <c r="K878" s="323"/>
      <c r="L878" s="323"/>
      <c r="M878" s="323"/>
      <c r="N878" s="323"/>
      <c r="O878" s="323"/>
    </row>
    <row r="879" spans="1:15" x14ac:dyDescent="0.2">
      <c r="A879" s="286"/>
      <c r="B879" s="285"/>
      <c r="C879" s="285"/>
      <c r="D879" s="285"/>
      <c r="E879" s="285"/>
      <c r="F879" s="284"/>
      <c r="G879" s="323" t="str">
        <f>IF(B879="","",VLOOKUP(IF((B879-F879)*10&lt;-10,-10,IF((B879-F879)*10&gt;10,10,(B879-F879)*10)),'Rank Progression'!$K$2:$L$22,2,FALSE))</f>
        <v/>
      </c>
      <c r="I879" s="323"/>
      <c r="J879" s="323"/>
      <c r="K879" s="323"/>
      <c r="L879" s="323"/>
      <c r="M879" s="323"/>
      <c r="N879" s="323"/>
      <c r="O879" s="323"/>
    </row>
    <row r="880" spans="1:15" x14ac:dyDescent="0.2">
      <c r="A880" s="286"/>
      <c r="B880" s="285"/>
      <c r="C880" s="285"/>
      <c r="D880" s="285"/>
      <c r="E880" s="285"/>
      <c r="F880" s="284"/>
      <c r="G880" s="323" t="str">
        <f>IF(B880="","",VLOOKUP(IF((B880-F880)*10&lt;-10,-10,IF((B880-F880)*10&gt;10,10,(B880-F880)*10)),'Rank Progression'!$K$2:$L$22,2,FALSE))</f>
        <v/>
      </c>
      <c r="I880" s="323"/>
      <c r="J880" s="323"/>
      <c r="K880" s="323"/>
      <c r="L880" s="323"/>
      <c r="M880" s="323"/>
      <c r="N880" s="323"/>
      <c r="O880" s="323"/>
    </row>
    <row r="881" spans="1:15" x14ac:dyDescent="0.2">
      <c r="A881" s="286"/>
      <c r="B881" s="285"/>
      <c r="C881" s="285"/>
      <c r="D881" s="285"/>
      <c r="E881" s="285"/>
      <c r="F881" s="284"/>
      <c r="G881" s="323" t="str">
        <f>IF(B881="","",VLOOKUP(IF((B881-F881)*10&lt;-10,-10,IF((B881-F881)*10&gt;10,10,(B881-F881)*10)),'Rank Progression'!$K$2:$L$22,2,FALSE))</f>
        <v/>
      </c>
      <c r="I881" s="323"/>
      <c r="J881" s="323"/>
      <c r="K881" s="323"/>
      <c r="L881" s="323"/>
      <c r="M881" s="323"/>
      <c r="N881" s="323"/>
      <c r="O881" s="323"/>
    </row>
    <row r="882" spans="1:15" x14ac:dyDescent="0.2">
      <c r="A882" s="286"/>
      <c r="B882" s="285"/>
      <c r="C882" s="285"/>
      <c r="D882" s="285"/>
      <c r="E882" s="285"/>
      <c r="F882" s="284"/>
      <c r="G882" s="323" t="str">
        <f>IF(B882="","",VLOOKUP(IF((B882-F882)*10&lt;-10,-10,IF((B882-F882)*10&gt;10,10,(B882-F882)*10)),'Rank Progression'!$K$2:$L$22,2,FALSE))</f>
        <v/>
      </c>
      <c r="I882" s="323"/>
      <c r="J882" s="323"/>
      <c r="K882" s="323"/>
      <c r="L882" s="323"/>
      <c r="M882" s="323"/>
      <c r="N882" s="323"/>
      <c r="O882" s="323"/>
    </row>
    <row r="883" spans="1:15" x14ac:dyDescent="0.2">
      <c r="A883" s="286"/>
      <c r="B883" s="285"/>
      <c r="C883" s="285"/>
      <c r="D883" s="285"/>
      <c r="E883" s="285"/>
      <c r="F883" s="284"/>
      <c r="G883" s="323" t="str">
        <f>IF(B883="","",VLOOKUP(IF((B883-F883)*10&lt;-10,-10,IF((B883-F883)*10&gt;10,10,(B883-F883)*10)),'Rank Progression'!$K$2:$L$22,2,FALSE))</f>
        <v/>
      </c>
      <c r="I883" s="323"/>
      <c r="J883" s="323"/>
      <c r="K883" s="323"/>
      <c r="L883" s="323"/>
      <c r="M883" s="323"/>
      <c r="N883" s="323"/>
      <c r="O883" s="323"/>
    </row>
    <row r="884" spans="1:15" x14ac:dyDescent="0.2">
      <c r="A884" s="286"/>
      <c r="B884" s="285"/>
      <c r="C884" s="285"/>
      <c r="D884" s="285"/>
      <c r="E884" s="285"/>
      <c r="F884" s="284"/>
      <c r="G884" s="323" t="str">
        <f>IF(B884="","",VLOOKUP(IF((B884-F884)*10&lt;-10,-10,IF((B884-F884)*10&gt;10,10,(B884-F884)*10)),'Rank Progression'!$K$2:$L$22,2,FALSE))</f>
        <v/>
      </c>
      <c r="I884" s="323"/>
      <c r="J884" s="323"/>
      <c r="K884" s="323"/>
      <c r="L884" s="323"/>
      <c r="M884" s="323"/>
      <c r="N884" s="323"/>
      <c r="O884" s="323"/>
    </row>
    <row r="885" spans="1:15" x14ac:dyDescent="0.2">
      <c r="A885" s="286"/>
      <c r="B885" s="285"/>
      <c r="C885" s="285"/>
      <c r="D885" s="285"/>
      <c r="E885" s="285"/>
      <c r="F885" s="284"/>
      <c r="G885" s="323" t="str">
        <f>IF(B885="","",VLOOKUP(IF((B885-F885)*10&lt;-10,-10,IF((B885-F885)*10&gt;10,10,(B885-F885)*10)),'Rank Progression'!$K$2:$L$22,2,FALSE))</f>
        <v/>
      </c>
      <c r="I885" s="323"/>
      <c r="J885" s="323"/>
      <c r="K885" s="323"/>
      <c r="L885" s="323"/>
      <c r="M885" s="323"/>
      <c r="N885" s="323"/>
      <c r="O885" s="323"/>
    </row>
    <row r="886" spans="1:15" x14ac:dyDescent="0.2">
      <c r="A886" s="286"/>
      <c r="B886" s="285"/>
      <c r="C886" s="285"/>
      <c r="D886" s="285"/>
      <c r="E886" s="285"/>
      <c r="F886" s="284"/>
      <c r="G886" s="323" t="str">
        <f>IF(B886="","",VLOOKUP(IF((B886-F886)*10&lt;-10,-10,IF((B886-F886)*10&gt;10,10,(B886-F886)*10)),'Rank Progression'!$K$2:$L$22,2,FALSE))</f>
        <v/>
      </c>
      <c r="I886" s="323"/>
      <c r="J886" s="323"/>
      <c r="K886" s="323"/>
      <c r="L886" s="323"/>
      <c r="M886" s="323"/>
      <c r="N886" s="323"/>
      <c r="O886" s="323"/>
    </row>
    <row r="887" spans="1:15" x14ac:dyDescent="0.2">
      <c r="A887" s="286"/>
      <c r="B887" s="285"/>
      <c r="C887" s="285"/>
      <c r="D887" s="285"/>
      <c r="E887" s="285"/>
      <c r="F887" s="284"/>
      <c r="G887" s="323" t="str">
        <f>IF(B887="","",VLOOKUP(IF((B887-F887)*10&lt;-10,-10,IF((B887-F887)*10&gt;10,10,(B887-F887)*10)),'Rank Progression'!$K$2:$L$22,2,FALSE))</f>
        <v/>
      </c>
      <c r="I887" s="323"/>
      <c r="J887" s="323"/>
      <c r="K887" s="323"/>
      <c r="L887" s="323"/>
      <c r="M887" s="323"/>
      <c r="N887" s="323"/>
      <c r="O887" s="323"/>
    </row>
    <row r="888" spans="1:15" x14ac:dyDescent="0.2">
      <c r="A888" s="286"/>
      <c r="B888" s="285"/>
      <c r="C888" s="285"/>
      <c r="D888" s="285"/>
      <c r="E888" s="285"/>
      <c r="F888" s="284"/>
      <c r="G888" s="323" t="str">
        <f>IF(B888="","",VLOOKUP(IF((B888-F888)*10&lt;-10,-10,IF((B888-F888)*10&gt;10,10,(B888-F888)*10)),'Rank Progression'!$K$2:$L$22,2,FALSE))</f>
        <v/>
      </c>
      <c r="I888" s="323"/>
      <c r="J888" s="323"/>
      <c r="K888" s="323"/>
      <c r="L888" s="323"/>
      <c r="M888" s="323"/>
      <c r="N888" s="323"/>
      <c r="O888" s="323"/>
    </row>
    <row r="889" spans="1:15" x14ac:dyDescent="0.2">
      <c r="A889" s="286"/>
      <c r="B889" s="285"/>
      <c r="C889" s="285"/>
      <c r="D889" s="285"/>
      <c r="E889" s="285"/>
      <c r="F889" s="284"/>
      <c r="G889" s="323" t="str">
        <f>IF(B889="","",VLOOKUP(IF((B889-F889)*10&lt;-10,-10,IF((B889-F889)*10&gt;10,10,(B889-F889)*10)),'Rank Progression'!$K$2:$L$22,2,FALSE))</f>
        <v/>
      </c>
      <c r="I889" s="323"/>
      <c r="J889" s="323"/>
      <c r="K889" s="323"/>
      <c r="L889" s="323"/>
      <c r="M889" s="323"/>
      <c r="N889" s="323"/>
      <c r="O889" s="323"/>
    </row>
    <row r="890" spans="1:15" x14ac:dyDescent="0.2">
      <c r="A890" s="286"/>
      <c r="B890" s="285"/>
      <c r="C890" s="285"/>
      <c r="D890" s="285"/>
      <c r="E890" s="285"/>
      <c r="F890" s="284"/>
      <c r="G890" s="323" t="str">
        <f>IF(B890="","",VLOOKUP(IF((B890-F890)*10&lt;-10,-10,IF((B890-F890)*10&gt;10,10,(B890-F890)*10)),'Rank Progression'!$K$2:$L$22,2,FALSE))</f>
        <v/>
      </c>
      <c r="I890" s="323"/>
      <c r="J890" s="323"/>
      <c r="K890" s="323"/>
      <c r="L890" s="323"/>
      <c r="M890" s="323"/>
      <c r="N890" s="323"/>
      <c r="O890" s="323"/>
    </row>
    <row r="891" spans="1:15" x14ac:dyDescent="0.2">
      <c r="A891" s="286"/>
      <c r="B891" s="285"/>
      <c r="C891" s="285"/>
      <c r="D891" s="285"/>
      <c r="E891" s="285"/>
      <c r="F891" s="284"/>
      <c r="G891" s="323" t="str">
        <f>IF(B891="","",VLOOKUP(IF((B891-F891)*10&lt;-10,-10,IF((B891-F891)*10&gt;10,10,(B891-F891)*10)),'Rank Progression'!$K$2:$L$22,2,FALSE))</f>
        <v/>
      </c>
      <c r="I891" s="323"/>
      <c r="J891" s="323"/>
      <c r="K891" s="323"/>
      <c r="L891" s="323"/>
      <c r="M891" s="323"/>
      <c r="N891" s="323"/>
      <c r="O891" s="323"/>
    </row>
    <row r="892" spans="1:15" x14ac:dyDescent="0.2">
      <c r="A892" s="286"/>
      <c r="B892" s="285"/>
      <c r="C892" s="285"/>
      <c r="D892" s="285"/>
      <c r="E892" s="285"/>
      <c r="F892" s="284"/>
      <c r="G892" s="323" t="str">
        <f>IF(B892="","",VLOOKUP(IF((B892-F892)*10&lt;-10,-10,IF((B892-F892)*10&gt;10,10,(B892-F892)*10)),'Rank Progression'!$K$2:$L$22,2,FALSE))</f>
        <v/>
      </c>
      <c r="I892" s="323"/>
      <c r="J892" s="323"/>
      <c r="K892" s="323"/>
      <c r="L892" s="323"/>
      <c r="M892" s="323"/>
      <c r="N892" s="323"/>
      <c r="O892" s="323"/>
    </row>
    <row r="893" spans="1:15" x14ac:dyDescent="0.2">
      <c r="A893" s="286"/>
      <c r="B893" s="285"/>
      <c r="C893" s="285"/>
      <c r="D893" s="285"/>
      <c r="E893" s="285"/>
      <c r="F893" s="284"/>
      <c r="G893" s="323" t="str">
        <f>IF(B893="","",VLOOKUP(IF((B893-F893)*10&lt;-10,-10,IF((B893-F893)*10&gt;10,10,(B893-F893)*10)),'Rank Progression'!$K$2:$L$22,2,FALSE))</f>
        <v/>
      </c>
      <c r="I893" s="323"/>
      <c r="J893" s="323"/>
      <c r="K893" s="323"/>
      <c r="L893" s="323"/>
      <c r="M893" s="323"/>
      <c r="N893" s="323"/>
      <c r="O893" s="323"/>
    </row>
    <row r="894" spans="1:15" x14ac:dyDescent="0.2">
      <c r="A894" s="286"/>
      <c r="B894" s="285"/>
      <c r="C894" s="285"/>
      <c r="D894" s="285"/>
      <c r="E894" s="285"/>
      <c r="F894" s="284"/>
      <c r="G894" s="323" t="str">
        <f>IF(B894="","",VLOOKUP(IF((B894-F894)*10&lt;-10,-10,IF((B894-F894)*10&gt;10,10,(B894-F894)*10)),'Rank Progression'!$K$2:$L$22,2,FALSE))</f>
        <v/>
      </c>
      <c r="I894" s="323"/>
      <c r="J894" s="323"/>
      <c r="K894" s="323"/>
      <c r="L894" s="323"/>
      <c r="M894" s="323"/>
      <c r="N894" s="323"/>
      <c r="O894" s="323"/>
    </row>
    <row r="895" spans="1:15" x14ac:dyDescent="0.2">
      <c r="A895" s="286"/>
      <c r="B895" s="285"/>
      <c r="C895" s="285"/>
      <c r="D895" s="285"/>
      <c r="E895" s="285"/>
      <c r="F895" s="284"/>
      <c r="G895" s="323" t="str">
        <f>IF(B895="","",VLOOKUP(IF((B895-F895)*10&lt;-10,-10,IF((B895-F895)*10&gt;10,10,(B895-F895)*10)),'Rank Progression'!$K$2:$L$22,2,FALSE))</f>
        <v/>
      </c>
      <c r="I895" s="323"/>
      <c r="J895" s="323"/>
      <c r="K895" s="323"/>
      <c r="L895" s="323"/>
      <c r="M895" s="323"/>
      <c r="N895" s="323"/>
      <c r="O895" s="323"/>
    </row>
    <row r="896" spans="1:15" x14ac:dyDescent="0.2">
      <c r="A896" s="286"/>
      <c r="B896" s="285"/>
      <c r="C896" s="285"/>
      <c r="D896" s="285"/>
      <c r="E896" s="285"/>
      <c r="F896" s="284"/>
      <c r="G896" s="323" t="str">
        <f>IF(B896="","",VLOOKUP(IF((B896-F896)*10&lt;-10,-10,IF((B896-F896)*10&gt;10,10,(B896-F896)*10)),'Rank Progression'!$K$2:$L$22,2,FALSE))</f>
        <v/>
      </c>
      <c r="I896" s="323"/>
      <c r="J896" s="323"/>
      <c r="K896" s="323"/>
      <c r="L896" s="323"/>
      <c r="M896" s="323"/>
      <c r="N896" s="323"/>
      <c r="O896" s="323"/>
    </row>
    <row r="897" spans="1:15" x14ac:dyDescent="0.2">
      <c r="A897" s="286"/>
      <c r="B897" s="285"/>
      <c r="C897" s="285"/>
      <c r="D897" s="285"/>
      <c r="E897" s="285"/>
      <c r="F897" s="284"/>
      <c r="G897" s="323" t="str">
        <f>IF(B897="","",VLOOKUP(IF((B897-F897)*10&lt;-10,-10,IF((B897-F897)*10&gt;10,10,(B897-F897)*10)),'Rank Progression'!$K$2:$L$22,2,FALSE))</f>
        <v/>
      </c>
      <c r="I897" s="323"/>
      <c r="J897" s="323"/>
      <c r="K897" s="323"/>
      <c r="L897" s="323"/>
      <c r="M897" s="323"/>
      <c r="N897" s="323"/>
      <c r="O897" s="323"/>
    </row>
    <row r="898" spans="1:15" x14ac:dyDescent="0.2">
      <c r="A898" s="286"/>
      <c r="B898" s="285"/>
      <c r="C898" s="285"/>
      <c r="D898" s="285"/>
      <c r="E898" s="285"/>
      <c r="F898" s="284"/>
      <c r="G898" s="323" t="str">
        <f>IF(B898="","",VLOOKUP(IF((B898-F898)*10&lt;-10,-10,IF((B898-F898)*10&gt;10,10,(B898-F898)*10)),'Rank Progression'!$K$2:$L$22,2,FALSE))</f>
        <v/>
      </c>
      <c r="I898" s="323"/>
      <c r="J898" s="323"/>
      <c r="K898" s="323"/>
      <c r="L898" s="323"/>
      <c r="M898" s="323"/>
      <c r="N898" s="323"/>
      <c r="O898" s="323"/>
    </row>
    <row r="899" spans="1:15" x14ac:dyDescent="0.2">
      <c r="A899" s="286"/>
      <c r="B899" s="285"/>
      <c r="C899" s="285"/>
      <c r="D899" s="285"/>
      <c r="E899" s="285"/>
      <c r="F899" s="284"/>
      <c r="G899" s="323" t="str">
        <f>IF(B899="","",VLOOKUP(IF((B899-F899)*10&lt;-10,-10,IF((B899-F899)*10&gt;10,10,(B899-F899)*10)),'Rank Progression'!$K$2:$L$22,2,FALSE))</f>
        <v/>
      </c>
      <c r="I899" s="323"/>
      <c r="J899" s="323"/>
      <c r="K899" s="323"/>
      <c r="L899" s="323"/>
      <c r="M899" s="323"/>
      <c r="N899" s="323"/>
      <c r="O899" s="323"/>
    </row>
    <row r="900" spans="1:15" x14ac:dyDescent="0.2">
      <c r="A900" s="286"/>
      <c r="B900" s="285"/>
      <c r="C900" s="285"/>
      <c r="D900" s="285"/>
      <c r="E900" s="285"/>
      <c r="F900" s="284"/>
      <c r="G900" s="323" t="str">
        <f>IF(B900="","",VLOOKUP(IF((B900-F900)*10&lt;-10,-10,IF((B900-F900)*10&gt;10,10,(B900-F900)*10)),'Rank Progression'!$K$2:$L$22,2,FALSE))</f>
        <v/>
      </c>
      <c r="I900" s="323"/>
      <c r="J900" s="323"/>
      <c r="K900" s="323"/>
      <c r="L900" s="323"/>
      <c r="M900" s="323"/>
      <c r="N900" s="323"/>
      <c r="O900" s="323"/>
    </row>
    <row r="901" spans="1:15" x14ac:dyDescent="0.2">
      <c r="A901" s="286"/>
      <c r="B901" s="285"/>
      <c r="C901" s="285"/>
      <c r="D901" s="285"/>
      <c r="E901" s="285"/>
      <c r="F901" s="284"/>
      <c r="G901" s="323" t="str">
        <f>IF(B901="","",VLOOKUP(IF((B901-F901)*10&lt;-10,-10,IF((B901-F901)*10&gt;10,10,(B901-F901)*10)),'Rank Progression'!$K$2:$L$22,2,FALSE))</f>
        <v/>
      </c>
      <c r="I901" s="323"/>
      <c r="J901" s="323"/>
      <c r="K901" s="323"/>
      <c r="L901" s="323"/>
      <c r="M901" s="323"/>
      <c r="N901" s="323"/>
      <c r="O901" s="323"/>
    </row>
    <row r="902" spans="1:15" x14ac:dyDescent="0.2">
      <c r="A902" s="286"/>
      <c r="B902" s="285"/>
      <c r="C902" s="285"/>
      <c r="D902" s="285"/>
      <c r="E902" s="285"/>
      <c r="F902" s="284"/>
      <c r="G902" s="323" t="str">
        <f>IF(B902="","",VLOOKUP(IF((B902-F902)*10&lt;-10,-10,IF((B902-F902)*10&gt;10,10,(B902-F902)*10)),'Rank Progression'!$K$2:$L$22,2,FALSE))</f>
        <v/>
      </c>
      <c r="I902" s="323"/>
      <c r="J902" s="323"/>
      <c r="K902" s="323"/>
      <c r="L902" s="323"/>
      <c r="M902" s="323"/>
      <c r="N902" s="323"/>
      <c r="O902" s="323"/>
    </row>
    <row r="903" spans="1:15" x14ac:dyDescent="0.2">
      <c r="A903" s="286"/>
      <c r="B903" s="285"/>
      <c r="C903" s="285"/>
      <c r="D903" s="285"/>
      <c r="E903" s="285"/>
      <c r="F903" s="284"/>
      <c r="G903" s="323" t="str">
        <f>IF(B903="","",VLOOKUP(IF((B903-F903)*10&lt;-10,-10,IF((B903-F903)*10&gt;10,10,(B903-F903)*10)),'Rank Progression'!$K$2:$L$22,2,FALSE))</f>
        <v/>
      </c>
      <c r="I903" s="323"/>
      <c r="J903" s="323"/>
      <c r="K903" s="323"/>
      <c r="L903" s="323"/>
      <c r="M903" s="323"/>
      <c r="N903" s="323"/>
      <c r="O903" s="323"/>
    </row>
    <row r="904" spans="1:15" x14ac:dyDescent="0.2">
      <c r="A904" s="286"/>
      <c r="B904" s="285"/>
      <c r="C904" s="285"/>
      <c r="D904" s="285"/>
      <c r="E904" s="285"/>
      <c r="F904" s="284"/>
      <c r="G904" s="323" t="str">
        <f>IF(B904="","",VLOOKUP(IF((B904-F904)*10&lt;-10,-10,IF((B904-F904)*10&gt;10,10,(B904-F904)*10)),'Rank Progression'!$K$2:$L$22,2,FALSE))</f>
        <v/>
      </c>
      <c r="I904" s="323"/>
      <c r="J904" s="323"/>
      <c r="K904" s="323"/>
      <c r="L904" s="323"/>
      <c r="M904" s="323"/>
      <c r="N904" s="323"/>
      <c r="O904" s="323"/>
    </row>
    <row r="905" spans="1:15" x14ac:dyDescent="0.2">
      <c r="A905" s="286"/>
      <c r="B905" s="285"/>
      <c r="C905" s="285"/>
      <c r="D905" s="285"/>
      <c r="E905" s="285"/>
      <c r="F905" s="284"/>
      <c r="G905" s="323" t="str">
        <f>IF(B905="","",VLOOKUP(IF((B905-F905)*10&lt;-10,-10,IF((B905-F905)*10&gt;10,10,(B905-F905)*10)),'Rank Progression'!$K$2:$L$22,2,FALSE))</f>
        <v/>
      </c>
      <c r="I905" s="323"/>
      <c r="J905" s="323"/>
      <c r="K905" s="323"/>
      <c r="L905" s="323"/>
      <c r="M905" s="323"/>
      <c r="N905" s="323"/>
      <c r="O905" s="323"/>
    </row>
    <row r="906" spans="1:15" x14ac:dyDescent="0.2">
      <c r="A906" s="286"/>
      <c r="B906" s="285"/>
      <c r="C906" s="285"/>
      <c r="D906" s="285"/>
      <c r="E906" s="285"/>
      <c r="F906" s="284"/>
      <c r="G906" s="323" t="str">
        <f>IF(B906="","",VLOOKUP(IF((B906-F906)*10&lt;-10,-10,IF((B906-F906)*10&gt;10,10,(B906-F906)*10)),'Rank Progression'!$K$2:$L$22,2,FALSE))</f>
        <v/>
      </c>
      <c r="I906" s="323"/>
      <c r="J906" s="323"/>
      <c r="K906" s="323"/>
      <c r="L906" s="323"/>
      <c r="M906" s="323"/>
      <c r="N906" s="323"/>
      <c r="O906" s="323"/>
    </row>
    <row r="907" spans="1:15" x14ac:dyDescent="0.2">
      <c r="A907" s="286"/>
      <c r="B907" s="285"/>
      <c r="C907" s="285"/>
      <c r="D907" s="285"/>
      <c r="E907" s="285"/>
      <c r="F907" s="284"/>
      <c r="G907" s="323" t="str">
        <f>IF(B907="","",VLOOKUP(IF((B907-F907)*10&lt;-10,-10,IF((B907-F907)*10&gt;10,10,(B907-F907)*10)),'Rank Progression'!$K$2:$L$22,2,FALSE))</f>
        <v/>
      </c>
      <c r="I907" s="323"/>
      <c r="J907" s="323"/>
      <c r="K907" s="323"/>
      <c r="L907" s="323"/>
      <c r="M907" s="323"/>
      <c r="N907" s="323"/>
      <c r="O907" s="323"/>
    </row>
    <row r="908" spans="1:15" x14ac:dyDescent="0.2">
      <c r="A908" s="286"/>
      <c r="B908" s="285"/>
      <c r="C908" s="285"/>
      <c r="D908" s="285"/>
      <c r="E908" s="285"/>
      <c r="F908" s="284"/>
      <c r="G908" s="323" t="str">
        <f>IF(B908="","",VLOOKUP(IF((B908-F908)*10&lt;-10,-10,IF((B908-F908)*10&gt;10,10,(B908-F908)*10)),'Rank Progression'!$K$2:$L$22,2,FALSE))</f>
        <v/>
      </c>
      <c r="I908" s="323"/>
      <c r="J908" s="323"/>
      <c r="K908" s="323"/>
      <c r="L908" s="323"/>
      <c r="M908" s="323"/>
      <c r="N908" s="323"/>
      <c r="O908" s="323"/>
    </row>
    <row r="909" spans="1:15" x14ac:dyDescent="0.2">
      <c r="A909" s="286"/>
      <c r="B909" s="285"/>
      <c r="C909" s="285"/>
      <c r="D909" s="285"/>
      <c r="E909" s="285"/>
      <c r="F909" s="284"/>
      <c r="G909" s="323" t="str">
        <f>IF(B909="","",VLOOKUP(IF((B909-F909)*10&lt;-10,-10,IF((B909-F909)*10&gt;10,10,(B909-F909)*10)),'Rank Progression'!$K$2:$L$22,2,FALSE))</f>
        <v/>
      </c>
      <c r="I909" s="323"/>
      <c r="J909" s="323"/>
      <c r="K909" s="323"/>
      <c r="L909" s="323"/>
      <c r="M909" s="323"/>
      <c r="N909" s="323"/>
      <c r="O909" s="323"/>
    </row>
    <row r="910" spans="1:15" x14ac:dyDescent="0.2">
      <c r="A910" s="286"/>
      <c r="B910" s="285"/>
      <c r="C910" s="285"/>
      <c r="D910" s="285"/>
      <c r="E910" s="285"/>
      <c r="F910" s="284"/>
      <c r="G910" s="323" t="str">
        <f>IF(B910="","",VLOOKUP(IF((B910-F910)*10&lt;-10,-10,IF((B910-F910)*10&gt;10,10,(B910-F910)*10)),'Rank Progression'!$K$2:$L$22,2,FALSE))</f>
        <v/>
      </c>
      <c r="I910" s="323"/>
      <c r="J910" s="323"/>
      <c r="K910" s="323"/>
      <c r="L910" s="323"/>
      <c r="M910" s="323"/>
      <c r="N910" s="323"/>
      <c r="O910" s="323"/>
    </row>
    <row r="911" spans="1:15" x14ac:dyDescent="0.2">
      <c r="A911" s="286"/>
      <c r="B911" s="285"/>
      <c r="C911" s="285"/>
      <c r="D911" s="285"/>
      <c r="E911" s="285"/>
      <c r="F911" s="284"/>
      <c r="G911" s="323" t="str">
        <f>IF(B911="","",VLOOKUP(IF((B911-F911)*10&lt;-10,-10,IF((B911-F911)*10&gt;10,10,(B911-F911)*10)),'Rank Progression'!$K$2:$L$22,2,FALSE))</f>
        <v/>
      </c>
      <c r="I911" s="323"/>
      <c r="J911" s="323"/>
      <c r="K911" s="323"/>
      <c r="L911" s="323"/>
      <c r="M911" s="323"/>
      <c r="N911" s="323"/>
      <c r="O911" s="323"/>
    </row>
    <row r="912" spans="1:15" x14ac:dyDescent="0.2">
      <c r="A912" s="286"/>
      <c r="B912" s="285"/>
      <c r="C912" s="285"/>
      <c r="D912" s="285"/>
      <c r="E912" s="285"/>
      <c r="F912" s="284"/>
      <c r="G912" s="323" t="str">
        <f>IF(B912="","",VLOOKUP(IF((B912-F912)*10&lt;-10,-10,IF((B912-F912)*10&gt;10,10,(B912-F912)*10)),'Rank Progression'!$K$2:$L$22,2,FALSE))</f>
        <v/>
      </c>
      <c r="I912" s="323"/>
      <c r="J912" s="323"/>
      <c r="K912" s="323"/>
      <c r="L912" s="323"/>
      <c r="M912" s="323"/>
      <c r="N912" s="323"/>
      <c r="O912" s="323"/>
    </row>
    <row r="913" spans="1:15" x14ac:dyDescent="0.2">
      <c r="A913" s="286"/>
      <c r="B913" s="285"/>
      <c r="C913" s="285"/>
      <c r="D913" s="285"/>
      <c r="E913" s="285"/>
      <c r="F913" s="284"/>
      <c r="G913" s="323" t="str">
        <f>IF(B913="","",VLOOKUP(IF((B913-F913)*10&lt;-10,-10,IF((B913-F913)*10&gt;10,10,(B913-F913)*10)),'Rank Progression'!$K$2:$L$22,2,FALSE))</f>
        <v/>
      </c>
      <c r="I913" s="323"/>
      <c r="J913" s="323"/>
      <c r="K913" s="323"/>
      <c r="L913" s="323"/>
      <c r="M913" s="323"/>
      <c r="N913" s="323"/>
      <c r="O913" s="323"/>
    </row>
    <row r="914" spans="1:15" x14ac:dyDescent="0.2">
      <c r="A914" s="286"/>
      <c r="B914" s="285"/>
      <c r="C914" s="285"/>
      <c r="D914" s="285"/>
      <c r="E914" s="285"/>
      <c r="F914" s="284"/>
      <c r="G914" s="323" t="str">
        <f>IF(B914="","",VLOOKUP(IF((B914-F914)*10&lt;-10,-10,IF((B914-F914)*10&gt;10,10,(B914-F914)*10)),'Rank Progression'!$K$2:$L$22,2,FALSE))</f>
        <v/>
      </c>
      <c r="I914" s="323"/>
      <c r="J914" s="323"/>
      <c r="K914" s="323"/>
      <c r="L914" s="323"/>
      <c r="M914" s="323"/>
      <c r="N914" s="323"/>
      <c r="O914" s="323"/>
    </row>
    <row r="915" spans="1:15" x14ac:dyDescent="0.2">
      <c r="A915" s="286"/>
      <c r="B915" s="285"/>
      <c r="C915" s="285"/>
      <c r="D915" s="285"/>
      <c r="E915" s="285"/>
      <c r="F915" s="284"/>
      <c r="G915" s="323" t="str">
        <f>IF(B915="","",VLOOKUP(IF((B915-F915)*10&lt;-10,-10,IF((B915-F915)*10&gt;10,10,(B915-F915)*10)),'Rank Progression'!$K$2:$L$22,2,FALSE))</f>
        <v/>
      </c>
      <c r="I915" s="323"/>
      <c r="J915" s="323"/>
      <c r="K915" s="323"/>
      <c r="L915" s="323"/>
      <c r="M915" s="323"/>
      <c r="N915" s="323"/>
      <c r="O915" s="323"/>
    </row>
    <row r="916" spans="1:15" x14ac:dyDescent="0.2">
      <c r="A916" s="286"/>
      <c r="B916" s="285"/>
      <c r="C916" s="285"/>
      <c r="D916" s="285"/>
      <c r="E916" s="285"/>
      <c r="F916" s="284"/>
      <c r="G916" s="323" t="str">
        <f>IF(B916="","",VLOOKUP(IF((B916-F916)*10&lt;-10,-10,IF((B916-F916)*10&gt;10,10,(B916-F916)*10)),'Rank Progression'!$K$2:$L$22,2,FALSE))</f>
        <v/>
      </c>
      <c r="I916" s="323"/>
      <c r="J916" s="323"/>
      <c r="K916" s="323"/>
      <c r="L916" s="323"/>
      <c r="M916" s="323"/>
      <c r="N916" s="323"/>
      <c r="O916" s="323"/>
    </row>
    <row r="917" spans="1:15" x14ac:dyDescent="0.2">
      <c r="A917" s="286"/>
      <c r="B917" s="285"/>
      <c r="C917" s="285"/>
      <c r="D917" s="285"/>
      <c r="E917" s="285"/>
      <c r="F917" s="284"/>
      <c r="G917" s="323" t="str">
        <f>IF(B917="","",VLOOKUP(IF((B917-F917)*10&lt;-10,-10,IF((B917-F917)*10&gt;10,10,(B917-F917)*10)),'Rank Progression'!$K$2:$L$22,2,FALSE))</f>
        <v/>
      </c>
      <c r="I917" s="323"/>
      <c r="J917" s="323"/>
      <c r="K917" s="323"/>
      <c r="L917" s="323"/>
      <c r="M917" s="323"/>
      <c r="N917" s="323"/>
      <c r="O917" s="323"/>
    </row>
    <row r="918" spans="1:15" x14ac:dyDescent="0.2">
      <c r="A918" s="286"/>
      <c r="B918" s="285"/>
      <c r="C918" s="285"/>
      <c r="D918" s="285"/>
      <c r="E918" s="285"/>
      <c r="F918" s="284"/>
      <c r="G918" s="323" t="str">
        <f>IF(B918="","",VLOOKUP(IF((B918-F918)*10&lt;-10,-10,IF((B918-F918)*10&gt;10,10,(B918-F918)*10)),'Rank Progression'!$K$2:$L$22,2,FALSE))</f>
        <v/>
      </c>
      <c r="I918" s="323"/>
      <c r="J918" s="323"/>
      <c r="K918" s="323"/>
      <c r="L918" s="323"/>
      <c r="M918" s="323"/>
      <c r="N918" s="323"/>
      <c r="O918" s="323"/>
    </row>
    <row r="919" spans="1:15" x14ac:dyDescent="0.2">
      <c r="A919" s="286"/>
      <c r="B919" s="285"/>
      <c r="C919" s="285"/>
      <c r="D919" s="285"/>
      <c r="E919" s="285"/>
      <c r="F919" s="284"/>
      <c r="G919" s="323" t="str">
        <f>IF(B919="","",VLOOKUP(IF((B919-F919)*10&lt;-10,-10,IF((B919-F919)*10&gt;10,10,(B919-F919)*10)),'Rank Progression'!$K$2:$L$22,2,FALSE))</f>
        <v/>
      </c>
      <c r="I919" s="323"/>
      <c r="J919" s="323"/>
      <c r="K919" s="323"/>
      <c r="L919" s="323"/>
      <c r="M919" s="323"/>
      <c r="N919" s="323"/>
      <c r="O919" s="323"/>
    </row>
    <row r="920" spans="1:15" x14ac:dyDescent="0.2">
      <c r="A920" s="286"/>
      <c r="B920" s="285"/>
      <c r="C920" s="285"/>
      <c r="D920" s="285"/>
      <c r="E920" s="285"/>
      <c r="F920" s="284"/>
      <c r="G920" s="323" t="str">
        <f>IF(B920="","",VLOOKUP(IF((B920-F920)*10&lt;-10,-10,IF((B920-F920)*10&gt;10,10,(B920-F920)*10)),'Rank Progression'!$K$2:$L$22,2,FALSE))</f>
        <v/>
      </c>
      <c r="I920" s="323"/>
      <c r="J920" s="323"/>
      <c r="K920" s="323"/>
      <c r="L920" s="323"/>
      <c r="M920" s="323"/>
      <c r="N920" s="323"/>
      <c r="O920" s="323"/>
    </row>
    <row r="921" spans="1:15" x14ac:dyDescent="0.2">
      <c r="A921" s="286"/>
      <c r="B921" s="285"/>
      <c r="C921" s="285"/>
      <c r="D921" s="285"/>
      <c r="E921" s="285"/>
      <c r="F921" s="284"/>
      <c r="G921" s="323" t="str">
        <f>IF(B921="","",VLOOKUP(IF((B921-F921)*10&lt;-10,-10,IF((B921-F921)*10&gt;10,10,(B921-F921)*10)),'Rank Progression'!$K$2:$L$22,2,FALSE))</f>
        <v/>
      </c>
      <c r="I921" s="323"/>
      <c r="J921" s="323"/>
      <c r="K921" s="323"/>
      <c r="L921" s="323"/>
      <c r="M921" s="323"/>
      <c r="N921" s="323"/>
      <c r="O921" s="323"/>
    </row>
    <row r="922" spans="1:15" x14ac:dyDescent="0.2">
      <c r="A922" s="286"/>
      <c r="B922" s="285"/>
      <c r="C922" s="285"/>
      <c r="D922" s="285"/>
      <c r="E922" s="285"/>
      <c r="F922" s="284"/>
      <c r="G922" s="323" t="str">
        <f>IF(B922="","",VLOOKUP(IF((B922-F922)*10&lt;-10,-10,IF((B922-F922)*10&gt;10,10,(B922-F922)*10)),'Rank Progression'!$K$2:$L$22,2,FALSE))</f>
        <v/>
      </c>
      <c r="I922" s="323"/>
      <c r="J922" s="323"/>
      <c r="K922" s="323"/>
      <c r="L922" s="323"/>
      <c r="M922" s="323"/>
      <c r="N922" s="323"/>
      <c r="O922" s="323"/>
    </row>
    <row r="923" spans="1:15" x14ac:dyDescent="0.2">
      <c r="A923" s="286"/>
      <c r="B923" s="285"/>
      <c r="C923" s="285"/>
      <c r="D923" s="285"/>
      <c r="E923" s="285"/>
      <c r="F923" s="284"/>
      <c r="G923" s="323" t="str">
        <f>IF(B923="","",VLOOKUP(IF((B923-F923)*10&lt;-10,-10,IF((B923-F923)*10&gt;10,10,(B923-F923)*10)),'Rank Progression'!$K$2:$L$22,2,FALSE))</f>
        <v/>
      </c>
      <c r="I923" s="323"/>
      <c r="J923" s="323"/>
      <c r="K923" s="323"/>
      <c r="L923" s="323"/>
      <c r="M923" s="323"/>
      <c r="N923" s="323"/>
      <c r="O923" s="323"/>
    </row>
    <row r="924" spans="1:15" x14ac:dyDescent="0.2">
      <c r="A924" s="286"/>
      <c r="B924" s="285"/>
      <c r="C924" s="285"/>
      <c r="D924" s="285"/>
      <c r="E924" s="285"/>
      <c r="F924" s="284"/>
      <c r="G924" s="323" t="str">
        <f>IF(B924="","",VLOOKUP(IF((B924-F924)*10&lt;-10,-10,IF((B924-F924)*10&gt;10,10,(B924-F924)*10)),'Rank Progression'!$K$2:$L$22,2,FALSE))</f>
        <v/>
      </c>
      <c r="I924" s="323"/>
      <c r="J924" s="323"/>
      <c r="K924" s="323"/>
      <c r="L924" s="323"/>
      <c r="M924" s="323"/>
      <c r="N924" s="323"/>
      <c r="O924" s="323"/>
    </row>
    <row r="925" spans="1:15" x14ac:dyDescent="0.2">
      <c r="A925" s="286"/>
      <c r="B925" s="285"/>
      <c r="C925" s="285"/>
      <c r="D925" s="285"/>
      <c r="E925" s="285"/>
      <c r="F925" s="284"/>
      <c r="G925" s="323" t="str">
        <f>IF(B925="","",VLOOKUP(IF((B925-F925)*10&lt;-10,-10,IF((B925-F925)*10&gt;10,10,(B925-F925)*10)),'Rank Progression'!$K$2:$L$22,2,FALSE))</f>
        <v/>
      </c>
      <c r="I925" s="323"/>
      <c r="J925" s="323"/>
      <c r="K925" s="323"/>
      <c r="L925" s="323"/>
      <c r="M925" s="323"/>
      <c r="N925" s="323"/>
      <c r="O925" s="323"/>
    </row>
    <row r="926" spans="1:15" x14ac:dyDescent="0.2">
      <c r="A926" s="286"/>
      <c r="B926" s="285"/>
      <c r="C926" s="285"/>
      <c r="D926" s="285"/>
      <c r="E926" s="285"/>
      <c r="F926" s="284"/>
      <c r="G926" s="323" t="str">
        <f>IF(B926="","",VLOOKUP(IF((B926-F926)*10&lt;-10,-10,IF((B926-F926)*10&gt;10,10,(B926-F926)*10)),'Rank Progression'!$K$2:$L$22,2,FALSE))</f>
        <v/>
      </c>
      <c r="I926" s="323"/>
      <c r="J926" s="323"/>
      <c r="K926" s="323"/>
      <c r="L926" s="323"/>
      <c r="M926" s="323"/>
      <c r="N926" s="323"/>
      <c r="O926" s="323"/>
    </row>
    <row r="927" spans="1:15" x14ac:dyDescent="0.2">
      <c r="A927" s="286"/>
      <c r="B927" s="285"/>
      <c r="C927" s="285"/>
      <c r="D927" s="285"/>
      <c r="E927" s="285"/>
      <c r="F927" s="284"/>
      <c r="G927" s="323" t="str">
        <f>IF(B927="","",VLOOKUP(IF((B927-F927)*10&lt;-10,-10,IF((B927-F927)*10&gt;10,10,(B927-F927)*10)),'Rank Progression'!$K$2:$L$22,2,FALSE))</f>
        <v/>
      </c>
      <c r="I927" s="323"/>
      <c r="J927" s="323"/>
      <c r="K927" s="323"/>
      <c r="L927" s="323"/>
      <c r="M927" s="323"/>
      <c r="N927" s="323"/>
      <c r="O927" s="323"/>
    </row>
    <row r="928" spans="1:15" x14ac:dyDescent="0.2">
      <c r="A928" s="286"/>
      <c r="B928" s="285"/>
      <c r="C928" s="285"/>
      <c r="D928" s="285"/>
      <c r="E928" s="285"/>
      <c r="F928" s="284"/>
      <c r="G928" s="323" t="str">
        <f>IF(B928="","",VLOOKUP(IF((B928-F928)*10&lt;-10,-10,IF((B928-F928)*10&gt;10,10,(B928-F928)*10)),'Rank Progression'!$K$2:$L$22,2,FALSE))</f>
        <v/>
      </c>
      <c r="I928" s="323"/>
      <c r="J928" s="323"/>
      <c r="K928" s="323"/>
      <c r="L928" s="323"/>
      <c r="M928" s="323"/>
      <c r="N928" s="323"/>
      <c r="O928" s="323"/>
    </row>
    <row r="929" spans="1:15" x14ac:dyDescent="0.2">
      <c r="A929" s="286"/>
      <c r="B929" s="285"/>
      <c r="C929" s="285"/>
      <c r="D929" s="285"/>
      <c r="E929" s="285"/>
      <c r="F929" s="284"/>
      <c r="G929" s="323" t="str">
        <f>IF(B929="","",VLOOKUP(IF((B929-F929)*10&lt;-10,-10,IF((B929-F929)*10&gt;10,10,(B929-F929)*10)),'Rank Progression'!$K$2:$L$22,2,FALSE))</f>
        <v/>
      </c>
      <c r="I929" s="323"/>
      <c r="J929" s="323"/>
      <c r="K929" s="323"/>
      <c r="L929" s="323"/>
      <c r="M929" s="323"/>
      <c r="N929" s="323"/>
      <c r="O929" s="323"/>
    </row>
    <row r="930" spans="1:15" x14ac:dyDescent="0.2">
      <c r="A930" s="286"/>
      <c r="B930" s="285"/>
      <c r="C930" s="285"/>
      <c r="D930" s="285"/>
      <c r="E930" s="285"/>
      <c r="F930" s="284"/>
      <c r="G930" s="323" t="str">
        <f>IF(B930="","",VLOOKUP(IF((B930-F930)*10&lt;-10,-10,IF((B930-F930)*10&gt;10,10,(B930-F930)*10)),'Rank Progression'!$K$2:$L$22,2,FALSE))</f>
        <v/>
      </c>
      <c r="I930" s="323"/>
      <c r="J930" s="323"/>
      <c r="K930" s="323"/>
      <c r="L930" s="323"/>
      <c r="M930" s="323"/>
      <c r="N930" s="323"/>
      <c r="O930" s="323"/>
    </row>
    <row r="931" spans="1:15" x14ac:dyDescent="0.2">
      <c r="A931" s="286"/>
      <c r="B931" s="285"/>
      <c r="C931" s="285"/>
      <c r="D931" s="285"/>
      <c r="E931" s="285"/>
      <c r="F931" s="284"/>
      <c r="G931" s="323" t="str">
        <f>IF(B931="","",VLOOKUP(IF((B931-F931)*10&lt;-10,-10,IF((B931-F931)*10&gt;10,10,(B931-F931)*10)),'Rank Progression'!$K$2:$L$22,2,FALSE))</f>
        <v/>
      </c>
      <c r="I931" s="323"/>
      <c r="J931" s="323"/>
      <c r="K931" s="323"/>
      <c r="L931" s="323"/>
      <c r="M931" s="323"/>
      <c r="N931" s="323"/>
      <c r="O931" s="323"/>
    </row>
    <row r="932" spans="1:15" x14ac:dyDescent="0.2">
      <c r="A932" s="286"/>
      <c r="B932" s="285"/>
      <c r="C932" s="285"/>
      <c r="D932" s="285"/>
      <c r="E932" s="285"/>
      <c r="F932" s="284"/>
      <c r="G932" s="323" t="str">
        <f>IF(B932="","",VLOOKUP(IF((B932-F932)*10&lt;-10,-10,IF((B932-F932)*10&gt;10,10,(B932-F932)*10)),'Rank Progression'!$K$2:$L$22,2,FALSE))</f>
        <v/>
      </c>
      <c r="I932" s="323"/>
      <c r="J932" s="323"/>
      <c r="K932" s="323"/>
      <c r="L932" s="323"/>
      <c r="M932" s="323"/>
      <c r="N932" s="323"/>
      <c r="O932" s="323"/>
    </row>
    <row r="933" spans="1:15" x14ac:dyDescent="0.2">
      <c r="A933" s="286"/>
      <c r="B933" s="285"/>
      <c r="C933" s="285"/>
      <c r="D933" s="285"/>
      <c r="E933" s="285"/>
      <c r="F933" s="284"/>
      <c r="G933" s="323" t="str">
        <f>IF(B933="","",VLOOKUP(IF((B933-F933)*10&lt;-10,-10,IF((B933-F933)*10&gt;10,10,(B933-F933)*10)),'Rank Progression'!$K$2:$L$22,2,FALSE))</f>
        <v/>
      </c>
      <c r="I933" s="323"/>
      <c r="J933" s="323"/>
      <c r="K933" s="323"/>
      <c r="L933" s="323"/>
      <c r="M933" s="323"/>
      <c r="N933" s="323"/>
      <c r="O933" s="323"/>
    </row>
    <row r="934" spans="1:15" x14ac:dyDescent="0.2">
      <c r="A934" s="286"/>
      <c r="B934" s="285"/>
      <c r="C934" s="285"/>
      <c r="D934" s="285"/>
      <c r="E934" s="285"/>
      <c r="F934" s="284"/>
      <c r="G934" s="323" t="str">
        <f>IF(B934="","",VLOOKUP(IF((B934-F934)*10&lt;-10,-10,IF((B934-F934)*10&gt;10,10,(B934-F934)*10)),'Rank Progression'!$K$2:$L$22,2,FALSE))</f>
        <v/>
      </c>
      <c r="I934" s="323"/>
      <c r="J934" s="323"/>
      <c r="K934" s="323"/>
      <c r="L934" s="323"/>
      <c r="M934" s="323"/>
      <c r="N934" s="323"/>
      <c r="O934" s="323"/>
    </row>
    <row r="935" spans="1:15" x14ac:dyDescent="0.2">
      <c r="A935" s="286"/>
      <c r="B935" s="285"/>
      <c r="C935" s="285"/>
      <c r="D935" s="285"/>
      <c r="E935" s="285"/>
      <c r="F935" s="284"/>
      <c r="G935" s="323" t="str">
        <f>IF(B935="","",VLOOKUP(IF((B935-F935)*10&lt;-10,-10,IF((B935-F935)*10&gt;10,10,(B935-F935)*10)),'Rank Progression'!$K$2:$L$22,2,FALSE))</f>
        <v/>
      </c>
      <c r="I935" s="323"/>
      <c r="J935" s="323"/>
      <c r="K935" s="323"/>
      <c r="L935" s="323"/>
      <c r="M935" s="323"/>
      <c r="N935" s="323"/>
      <c r="O935" s="323"/>
    </row>
    <row r="936" spans="1:15" x14ac:dyDescent="0.2">
      <c r="A936" s="286"/>
      <c r="B936" s="285"/>
      <c r="C936" s="285"/>
      <c r="D936" s="285"/>
      <c r="E936" s="285"/>
      <c r="F936" s="284"/>
      <c r="G936" s="323" t="str">
        <f>IF(B936="","",VLOOKUP(IF((B936-F936)*10&lt;-10,-10,IF((B936-F936)*10&gt;10,10,(B936-F936)*10)),'Rank Progression'!$K$2:$L$22,2,FALSE))</f>
        <v/>
      </c>
      <c r="I936" s="323"/>
      <c r="J936" s="323"/>
      <c r="K936" s="323"/>
      <c r="L936" s="323"/>
      <c r="M936" s="323"/>
      <c r="N936" s="323"/>
      <c r="O936" s="323"/>
    </row>
    <row r="937" spans="1:15" x14ac:dyDescent="0.2">
      <c r="A937" s="286"/>
      <c r="B937" s="285"/>
      <c r="C937" s="285"/>
      <c r="D937" s="285"/>
      <c r="E937" s="285"/>
      <c r="F937" s="284"/>
      <c r="G937" s="323" t="str">
        <f>IF(B937="","",VLOOKUP(IF((B937-F937)*10&lt;-10,-10,IF((B937-F937)*10&gt;10,10,(B937-F937)*10)),'Rank Progression'!$K$2:$L$22,2,FALSE))</f>
        <v/>
      </c>
      <c r="I937" s="323"/>
      <c r="J937" s="323"/>
      <c r="K937" s="323"/>
      <c r="L937" s="323"/>
      <c r="M937" s="323"/>
      <c r="N937" s="323"/>
      <c r="O937" s="323"/>
    </row>
    <row r="938" spans="1:15" x14ac:dyDescent="0.2">
      <c r="A938" s="286"/>
      <c r="B938" s="285"/>
      <c r="C938" s="285"/>
      <c r="D938" s="285"/>
      <c r="E938" s="285"/>
      <c r="F938" s="284"/>
      <c r="G938" s="323" t="str">
        <f>IF(B938="","",VLOOKUP(IF((B938-F938)*10&lt;-10,-10,IF((B938-F938)*10&gt;10,10,(B938-F938)*10)),'Rank Progression'!$K$2:$L$22,2,FALSE))</f>
        <v/>
      </c>
      <c r="I938" s="323"/>
      <c r="J938" s="323"/>
      <c r="K938" s="323"/>
      <c r="L938" s="323"/>
      <c r="M938" s="323"/>
      <c r="N938" s="323"/>
      <c r="O938" s="323"/>
    </row>
    <row r="939" spans="1:15" x14ac:dyDescent="0.2">
      <c r="A939" s="286"/>
      <c r="B939" s="285"/>
      <c r="C939" s="285"/>
      <c r="D939" s="285"/>
      <c r="E939" s="285"/>
      <c r="F939" s="284"/>
      <c r="G939" s="323" t="str">
        <f>IF(B939="","",VLOOKUP(IF((B939-F939)*10&lt;-10,-10,IF((B939-F939)*10&gt;10,10,(B939-F939)*10)),'Rank Progression'!$K$2:$L$22,2,FALSE))</f>
        <v/>
      </c>
      <c r="I939" s="323"/>
      <c r="J939" s="323"/>
      <c r="K939" s="323"/>
      <c r="L939" s="323"/>
      <c r="M939" s="323"/>
      <c r="N939" s="323"/>
      <c r="O939" s="323"/>
    </row>
    <row r="940" spans="1:15" x14ac:dyDescent="0.2">
      <c r="A940" s="286"/>
      <c r="B940" s="285"/>
      <c r="C940" s="285"/>
      <c r="D940" s="285"/>
      <c r="E940" s="285"/>
      <c r="F940" s="284"/>
      <c r="G940" s="323" t="str">
        <f>IF(B940="","",VLOOKUP(IF((B940-F940)*10&lt;-10,-10,IF((B940-F940)*10&gt;10,10,(B940-F940)*10)),'Rank Progression'!$K$2:$L$22,2,FALSE))</f>
        <v/>
      </c>
      <c r="I940" s="323"/>
      <c r="J940" s="323"/>
      <c r="K940" s="323"/>
      <c r="L940" s="323"/>
      <c r="M940" s="323"/>
      <c r="N940" s="323"/>
      <c r="O940" s="323"/>
    </row>
    <row r="941" spans="1:15" x14ac:dyDescent="0.2">
      <c r="A941" s="286"/>
      <c r="B941" s="285"/>
      <c r="C941" s="285"/>
      <c r="D941" s="285"/>
      <c r="E941" s="285"/>
      <c r="F941" s="284"/>
      <c r="G941" s="323" t="str">
        <f>IF(B941="","",VLOOKUP(IF((B941-F941)*10&lt;-10,-10,IF((B941-F941)*10&gt;10,10,(B941-F941)*10)),'Rank Progression'!$K$2:$L$22,2,FALSE))</f>
        <v/>
      </c>
      <c r="I941" s="323"/>
      <c r="J941" s="323"/>
      <c r="K941" s="323"/>
      <c r="L941" s="323"/>
      <c r="M941" s="323"/>
      <c r="N941" s="323"/>
      <c r="O941" s="323"/>
    </row>
    <row r="942" spans="1:15" x14ac:dyDescent="0.2">
      <c r="A942" s="286"/>
      <c r="B942" s="285"/>
      <c r="C942" s="285"/>
      <c r="D942" s="285"/>
      <c r="E942" s="285"/>
      <c r="F942" s="284"/>
      <c r="G942" s="323" t="str">
        <f>IF(B942="","",VLOOKUP(IF((B942-F942)*10&lt;-10,-10,IF((B942-F942)*10&gt;10,10,(B942-F942)*10)),'Rank Progression'!$K$2:$L$22,2,FALSE))</f>
        <v/>
      </c>
      <c r="I942" s="323"/>
      <c r="J942" s="323"/>
      <c r="K942" s="323"/>
      <c r="L942" s="323"/>
      <c r="M942" s="323"/>
      <c r="N942" s="323"/>
      <c r="O942" s="323"/>
    </row>
    <row r="943" spans="1:15" x14ac:dyDescent="0.2">
      <c r="A943" s="286"/>
      <c r="B943" s="285"/>
      <c r="C943" s="285"/>
      <c r="D943" s="285"/>
      <c r="E943" s="285"/>
      <c r="F943" s="284"/>
      <c r="G943" s="323" t="str">
        <f>IF(B943="","",VLOOKUP(IF((B943-F943)*10&lt;-10,-10,IF((B943-F943)*10&gt;10,10,(B943-F943)*10)),'Rank Progression'!$K$2:$L$22,2,FALSE))</f>
        <v/>
      </c>
      <c r="I943" s="323"/>
      <c r="J943" s="323"/>
      <c r="K943" s="323"/>
      <c r="L943" s="323"/>
      <c r="M943" s="323"/>
      <c r="N943" s="323"/>
      <c r="O943" s="323"/>
    </row>
    <row r="944" spans="1:15" x14ac:dyDescent="0.2">
      <c r="A944" s="286"/>
      <c r="B944" s="285"/>
      <c r="C944" s="285"/>
      <c r="D944" s="285"/>
      <c r="E944" s="285"/>
      <c r="F944" s="284"/>
      <c r="G944" s="323" t="str">
        <f>IF(B944="","",VLOOKUP(IF((B944-F944)*10&lt;-10,-10,IF((B944-F944)*10&gt;10,10,(B944-F944)*10)),'Rank Progression'!$K$2:$L$22,2,FALSE))</f>
        <v/>
      </c>
      <c r="I944" s="323"/>
      <c r="J944" s="323"/>
      <c r="K944" s="323"/>
      <c r="L944" s="323"/>
      <c r="M944" s="323"/>
      <c r="N944" s="323"/>
      <c r="O944" s="323"/>
    </row>
    <row r="945" spans="1:15" x14ac:dyDescent="0.2">
      <c r="A945" s="286"/>
      <c r="B945" s="285"/>
      <c r="C945" s="285"/>
      <c r="D945" s="285"/>
      <c r="E945" s="285"/>
      <c r="F945" s="284"/>
      <c r="G945" s="323" t="str">
        <f>IF(B945="","",VLOOKUP(IF((B945-F945)*10&lt;-10,-10,IF((B945-F945)*10&gt;10,10,(B945-F945)*10)),'Rank Progression'!$K$2:$L$22,2,FALSE))</f>
        <v/>
      </c>
      <c r="I945" s="323"/>
      <c r="J945" s="323"/>
      <c r="K945" s="323"/>
      <c r="L945" s="323"/>
      <c r="M945" s="323"/>
      <c r="N945" s="323"/>
      <c r="O945" s="323"/>
    </row>
    <row r="946" spans="1:15" x14ac:dyDescent="0.2">
      <c r="A946" s="286"/>
      <c r="B946" s="285"/>
      <c r="C946" s="285"/>
      <c r="D946" s="285"/>
      <c r="E946" s="285"/>
      <c r="F946" s="284"/>
      <c r="G946" s="323" t="str">
        <f>IF(B946="","",VLOOKUP(IF((B946-F946)*10&lt;-10,-10,IF((B946-F946)*10&gt;10,10,(B946-F946)*10)),'Rank Progression'!$K$2:$L$22,2,FALSE))</f>
        <v/>
      </c>
      <c r="I946" s="323"/>
      <c r="J946" s="323"/>
      <c r="K946" s="323"/>
      <c r="L946" s="323"/>
      <c r="M946" s="323"/>
      <c r="N946" s="323"/>
      <c r="O946" s="323"/>
    </row>
    <row r="947" spans="1:15" x14ac:dyDescent="0.2">
      <c r="A947" s="286"/>
      <c r="B947" s="285"/>
      <c r="C947" s="285"/>
      <c r="D947" s="285"/>
      <c r="E947" s="285"/>
      <c r="F947" s="284"/>
      <c r="G947" s="323" t="str">
        <f>IF(B947="","",VLOOKUP(IF((B947-F947)*10&lt;-10,-10,IF((B947-F947)*10&gt;10,10,(B947-F947)*10)),'Rank Progression'!$K$2:$L$22,2,FALSE))</f>
        <v/>
      </c>
      <c r="I947" s="323"/>
      <c r="J947" s="323"/>
      <c r="K947" s="323"/>
      <c r="L947" s="323"/>
      <c r="M947" s="323"/>
      <c r="N947" s="323"/>
      <c r="O947" s="323"/>
    </row>
    <row r="948" spans="1:15" x14ac:dyDescent="0.2">
      <c r="A948" s="286"/>
      <c r="B948" s="285"/>
      <c r="C948" s="285"/>
      <c r="D948" s="285"/>
      <c r="E948" s="285"/>
      <c r="F948" s="284"/>
      <c r="G948" s="323" t="str">
        <f>IF(B948="","",VLOOKUP(IF((B948-F948)*10&lt;-10,-10,IF((B948-F948)*10&gt;10,10,(B948-F948)*10)),'Rank Progression'!$K$2:$L$22,2,FALSE))</f>
        <v/>
      </c>
      <c r="I948" s="323"/>
      <c r="J948" s="323"/>
      <c r="K948" s="323"/>
      <c r="L948" s="323"/>
      <c r="M948" s="323"/>
      <c r="N948" s="323"/>
      <c r="O948" s="323"/>
    </row>
    <row r="949" spans="1:15" x14ac:dyDescent="0.2">
      <c r="A949" s="286"/>
      <c r="B949" s="285"/>
      <c r="C949" s="285"/>
      <c r="D949" s="285"/>
      <c r="E949" s="285"/>
      <c r="F949" s="284"/>
      <c r="G949" s="323" t="str">
        <f>IF(B949="","",VLOOKUP(IF((B949-F949)*10&lt;-10,-10,IF((B949-F949)*10&gt;10,10,(B949-F949)*10)),'Rank Progression'!$K$2:$L$22,2,FALSE))</f>
        <v/>
      </c>
      <c r="I949" s="323"/>
      <c r="J949" s="323"/>
      <c r="K949" s="323"/>
      <c r="L949" s="323"/>
      <c r="M949" s="323"/>
      <c r="N949" s="323"/>
      <c r="O949" s="323"/>
    </row>
    <row r="950" spans="1:15" x14ac:dyDescent="0.2">
      <c r="A950" s="286"/>
      <c r="B950" s="285"/>
      <c r="C950" s="285"/>
      <c r="D950" s="285"/>
      <c r="E950" s="285"/>
      <c r="F950" s="284"/>
      <c r="G950" s="323" t="str">
        <f>IF(B950="","",VLOOKUP(IF((B950-F950)*10&lt;-10,-10,IF((B950-F950)*10&gt;10,10,(B950-F950)*10)),'Rank Progression'!$K$2:$L$22,2,FALSE))</f>
        <v/>
      </c>
      <c r="I950" s="323"/>
      <c r="J950" s="323"/>
      <c r="K950" s="323"/>
      <c r="L950" s="323"/>
      <c r="M950" s="323"/>
      <c r="N950" s="323"/>
      <c r="O950" s="323"/>
    </row>
    <row r="951" spans="1:15" x14ac:dyDescent="0.2">
      <c r="A951" s="286"/>
      <c r="B951" s="285"/>
      <c r="C951" s="285"/>
      <c r="D951" s="285"/>
      <c r="E951" s="285"/>
      <c r="F951" s="284"/>
      <c r="G951" s="323" t="str">
        <f>IF(B951="","",VLOOKUP(IF((B951-F951)*10&lt;-10,-10,IF((B951-F951)*10&gt;10,10,(B951-F951)*10)),'Rank Progression'!$K$2:$L$22,2,FALSE))</f>
        <v/>
      </c>
      <c r="I951" s="323"/>
      <c r="J951" s="323"/>
      <c r="K951" s="323"/>
      <c r="L951" s="323"/>
      <c r="M951" s="323"/>
      <c r="N951" s="323"/>
      <c r="O951" s="323"/>
    </row>
    <row r="952" spans="1:15" x14ac:dyDescent="0.2">
      <c r="A952" s="286"/>
      <c r="B952" s="285"/>
      <c r="C952" s="285"/>
      <c r="D952" s="285"/>
      <c r="E952" s="285"/>
      <c r="F952" s="284"/>
      <c r="G952" s="323" t="str">
        <f>IF(B952="","",VLOOKUP(IF((B952-F952)*10&lt;-10,-10,IF((B952-F952)*10&gt;10,10,(B952-F952)*10)),'Rank Progression'!$K$2:$L$22,2,FALSE))</f>
        <v/>
      </c>
      <c r="I952" s="323"/>
      <c r="J952" s="323"/>
      <c r="K952" s="323"/>
      <c r="L952" s="323"/>
      <c r="M952" s="323"/>
      <c r="N952" s="323"/>
      <c r="O952" s="323"/>
    </row>
    <row r="953" spans="1:15" x14ac:dyDescent="0.2">
      <c r="A953" s="286"/>
      <c r="B953" s="285"/>
      <c r="C953" s="285"/>
      <c r="D953" s="285"/>
      <c r="E953" s="285"/>
      <c r="F953" s="284"/>
      <c r="G953" s="323" t="str">
        <f>IF(B953="","",VLOOKUP(IF((B953-F953)*10&lt;-10,-10,IF((B953-F953)*10&gt;10,10,(B953-F953)*10)),'Rank Progression'!$K$2:$L$22,2,FALSE))</f>
        <v/>
      </c>
      <c r="I953" s="323"/>
      <c r="J953" s="323"/>
      <c r="K953" s="323"/>
      <c r="L953" s="323"/>
      <c r="M953" s="323"/>
      <c r="N953" s="323"/>
      <c r="O953" s="323"/>
    </row>
    <row r="954" spans="1:15" x14ac:dyDescent="0.2">
      <c r="A954" s="286"/>
      <c r="B954" s="285"/>
      <c r="C954" s="285"/>
      <c r="D954" s="285"/>
      <c r="E954" s="285"/>
      <c r="F954" s="284"/>
      <c r="G954" s="323" t="str">
        <f>IF(B954="","",VLOOKUP(IF((B954-F954)*10&lt;-10,-10,IF((B954-F954)*10&gt;10,10,(B954-F954)*10)),'Rank Progression'!$K$2:$L$22,2,FALSE))</f>
        <v/>
      </c>
      <c r="I954" s="323"/>
      <c r="J954" s="323"/>
      <c r="K954" s="323"/>
      <c r="L954" s="323"/>
      <c r="M954" s="323"/>
      <c r="N954" s="323"/>
      <c r="O954" s="323"/>
    </row>
    <row r="955" spans="1:15" x14ac:dyDescent="0.2">
      <c r="A955" s="286"/>
      <c r="B955" s="285"/>
      <c r="C955" s="285"/>
      <c r="D955" s="285"/>
      <c r="E955" s="285"/>
      <c r="F955" s="284"/>
      <c r="G955" s="323" t="str">
        <f>IF(B955="","",VLOOKUP(IF((B955-F955)*10&lt;-10,-10,IF((B955-F955)*10&gt;10,10,(B955-F955)*10)),'Rank Progression'!$K$2:$L$22,2,FALSE))</f>
        <v/>
      </c>
      <c r="I955" s="323"/>
      <c r="J955" s="323"/>
      <c r="K955" s="323"/>
      <c r="L955" s="323"/>
      <c r="M955" s="323"/>
      <c r="N955" s="323"/>
      <c r="O955" s="323"/>
    </row>
    <row r="956" spans="1:15" x14ac:dyDescent="0.2">
      <c r="A956" s="286"/>
      <c r="B956" s="285"/>
      <c r="C956" s="285"/>
      <c r="D956" s="285"/>
      <c r="E956" s="285"/>
      <c r="F956" s="284"/>
      <c r="G956" s="323" t="str">
        <f>IF(B956="","",VLOOKUP(IF((B956-F956)*10&lt;-10,-10,IF((B956-F956)*10&gt;10,10,(B956-F956)*10)),'Rank Progression'!$K$2:$L$22,2,FALSE))</f>
        <v/>
      </c>
      <c r="I956" s="323"/>
      <c r="J956" s="323"/>
      <c r="K956" s="323"/>
      <c r="L956" s="323"/>
      <c r="M956" s="323"/>
      <c r="N956" s="323"/>
      <c r="O956" s="323"/>
    </row>
    <row r="957" spans="1:15" x14ac:dyDescent="0.2">
      <c r="A957" s="286"/>
      <c r="B957" s="285"/>
      <c r="C957" s="285"/>
      <c r="D957" s="285"/>
      <c r="E957" s="285"/>
      <c r="F957" s="284"/>
      <c r="G957" s="323" t="str">
        <f>IF(B957="","",VLOOKUP(IF((B957-F957)*10&lt;-10,-10,IF((B957-F957)*10&gt;10,10,(B957-F957)*10)),'Rank Progression'!$K$2:$L$22,2,FALSE))</f>
        <v/>
      </c>
      <c r="I957" s="323"/>
      <c r="J957" s="323"/>
      <c r="K957" s="323"/>
      <c r="L957" s="323"/>
      <c r="M957" s="323"/>
      <c r="N957" s="323"/>
      <c r="O957" s="323"/>
    </row>
    <row r="958" spans="1:15" x14ac:dyDescent="0.2">
      <c r="A958" s="286"/>
      <c r="B958" s="285"/>
      <c r="C958" s="285"/>
      <c r="D958" s="285"/>
      <c r="E958" s="285"/>
      <c r="F958" s="284"/>
      <c r="G958" s="323" t="str">
        <f>IF(B958="","",VLOOKUP(IF((B958-F958)*10&lt;-10,-10,IF((B958-F958)*10&gt;10,10,(B958-F958)*10)),'Rank Progression'!$K$2:$L$22,2,FALSE))</f>
        <v/>
      </c>
      <c r="I958" s="323"/>
      <c r="J958" s="323"/>
      <c r="K958" s="323"/>
      <c r="L958" s="323"/>
      <c r="M958" s="323"/>
      <c r="N958" s="323"/>
      <c r="O958" s="323"/>
    </row>
    <row r="959" spans="1:15" x14ac:dyDescent="0.2">
      <c r="A959" s="286"/>
      <c r="B959" s="285"/>
      <c r="C959" s="285"/>
      <c r="D959" s="285"/>
      <c r="E959" s="285"/>
      <c r="F959" s="284"/>
      <c r="G959" s="323" t="str">
        <f>IF(B959="","",VLOOKUP(IF((B959-F959)*10&lt;-10,-10,IF((B959-F959)*10&gt;10,10,(B959-F959)*10)),'Rank Progression'!$K$2:$L$22,2,FALSE))</f>
        <v/>
      </c>
      <c r="I959" s="323"/>
      <c r="J959" s="323"/>
      <c r="K959" s="323"/>
      <c r="L959" s="323"/>
      <c r="M959" s="323"/>
      <c r="N959" s="323"/>
      <c r="O959" s="323"/>
    </row>
    <row r="960" spans="1:15" x14ac:dyDescent="0.2">
      <c r="A960" s="286"/>
      <c r="B960" s="285"/>
      <c r="C960" s="285"/>
      <c r="D960" s="285"/>
      <c r="E960" s="285"/>
      <c r="F960" s="284"/>
      <c r="G960" s="323" t="str">
        <f>IF(B960="","",VLOOKUP(IF((B960-F960)*10&lt;-10,-10,IF((B960-F960)*10&gt;10,10,(B960-F960)*10)),'Rank Progression'!$K$2:$L$22,2,FALSE))</f>
        <v/>
      </c>
      <c r="I960" s="323"/>
      <c r="J960" s="323"/>
      <c r="K960" s="323"/>
      <c r="L960" s="323"/>
      <c r="M960" s="323"/>
      <c r="N960" s="323"/>
      <c r="O960" s="323"/>
    </row>
    <row r="961" spans="1:15" x14ac:dyDescent="0.2">
      <c r="A961" s="286"/>
      <c r="B961" s="285"/>
      <c r="C961" s="285"/>
      <c r="D961" s="285"/>
      <c r="E961" s="285"/>
      <c r="F961" s="284"/>
      <c r="G961" s="323" t="str">
        <f>IF(B961="","",VLOOKUP(IF((B961-F961)*10&lt;-10,-10,IF((B961-F961)*10&gt;10,10,(B961-F961)*10)),'Rank Progression'!$K$2:$L$22,2,FALSE))</f>
        <v/>
      </c>
      <c r="I961" s="323"/>
      <c r="J961" s="323"/>
      <c r="K961" s="323"/>
      <c r="L961" s="323"/>
      <c r="M961" s="323"/>
      <c r="N961" s="323"/>
      <c r="O961" s="323"/>
    </row>
    <row r="962" spans="1:15" x14ac:dyDescent="0.2">
      <c r="A962" s="286"/>
      <c r="B962" s="285"/>
      <c r="C962" s="285"/>
      <c r="D962" s="285"/>
      <c r="E962" s="285"/>
      <c r="F962" s="284"/>
      <c r="G962" s="323" t="str">
        <f>IF(B962="","",VLOOKUP(IF((B962-F962)*10&lt;-10,-10,IF((B962-F962)*10&gt;10,10,(B962-F962)*10)),'Rank Progression'!$K$2:$L$22,2,FALSE))</f>
        <v/>
      </c>
      <c r="I962" s="323"/>
      <c r="J962" s="323"/>
      <c r="K962" s="323"/>
      <c r="L962" s="323"/>
      <c r="M962" s="323"/>
      <c r="N962" s="323"/>
      <c r="O962" s="323"/>
    </row>
    <row r="963" spans="1:15" x14ac:dyDescent="0.2">
      <c r="A963" s="286"/>
      <c r="B963" s="285"/>
      <c r="C963" s="285"/>
      <c r="D963" s="285"/>
      <c r="E963" s="285"/>
      <c r="F963" s="284"/>
      <c r="G963" s="323" t="str">
        <f>IF(B963="","",VLOOKUP(IF((B963-F963)*10&lt;-10,-10,IF((B963-F963)*10&gt;10,10,(B963-F963)*10)),'Rank Progression'!$K$2:$L$22,2,FALSE))</f>
        <v/>
      </c>
      <c r="I963" s="323"/>
      <c r="J963" s="323"/>
      <c r="K963" s="323"/>
      <c r="L963" s="323"/>
      <c r="M963" s="323"/>
      <c r="N963" s="323"/>
      <c r="O963" s="323"/>
    </row>
    <row r="964" spans="1:15" x14ac:dyDescent="0.2">
      <c r="A964" s="286"/>
      <c r="B964" s="285"/>
      <c r="C964" s="285"/>
      <c r="D964" s="285"/>
      <c r="E964" s="285"/>
      <c r="F964" s="284"/>
      <c r="G964" s="323" t="str">
        <f>IF(B964="","",VLOOKUP(IF((B964-F964)*10&lt;-10,-10,IF((B964-F964)*10&gt;10,10,(B964-F964)*10)),'Rank Progression'!$K$2:$L$22,2,FALSE))</f>
        <v/>
      </c>
      <c r="I964" s="323"/>
      <c r="J964" s="323"/>
      <c r="K964" s="323"/>
      <c r="L964" s="323"/>
      <c r="M964" s="323"/>
      <c r="N964" s="323"/>
      <c r="O964" s="323"/>
    </row>
    <row r="965" spans="1:15" x14ac:dyDescent="0.2">
      <c r="A965" s="286"/>
      <c r="B965" s="285"/>
      <c r="C965" s="285"/>
      <c r="D965" s="285"/>
      <c r="E965" s="285"/>
      <c r="F965" s="284"/>
      <c r="G965" s="323" t="str">
        <f>IF(B965="","",VLOOKUP(IF((B965-F965)*10&lt;-10,-10,IF((B965-F965)*10&gt;10,10,(B965-F965)*10)),'Rank Progression'!$K$2:$L$22,2,FALSE))</f>
        <v/>
      </c>
      <c r="I965" s="323"/>
      <c r="J965" s="323"/>
      <c r="K965" s="323"/>
      <c r="L965" s="323"/>
      <c r="M965" s="323"/>
      <c r="N965" s="323"/>
      <c r="O965" s="323"/>
    </row>
    <row r="966" spans="1:15" x14ac:dyDescent="0.2">
      <c r="A966" s="286"/>
      <c r="B966" s="285"/>
      <c r="C966" s="285"/>
      <c r="D966" s="285"/>
      <c r="E966" s="285"/>
      <c r="F966" s="284"/>
      <c r="G966" s="323" t="str">
        <f>IF(B966="","",VLOOKUP(IF((B966-F966)*10&lt;-10,-10,IF((B966-F966)*10&gt;10,10,(B966-F966)*10)),'Rank Progression'!$K$2:$L$22,2,FALSE))</f>
        <v/>
      </c>
      <c r="I966" s="323"/>
      <c r="J966" s="323"/>
      <c r="K966" s="323"/>
      <c r="L966" s="323"/>
      <c r="M966" s="323"/>
      <c r="N966" s="323"/>
      <c r="O966" s="323"/>
    </row>
    <row r="967" spans="1:15" x14ac:dyDescent="0.2">
      <c r="A967" s="286"/>
      <c r="B967" s="285"/>
      <c r="C967" s="285"/>
      <c r="D967" s="285"/>
      <c r="E967" s="285"/>
      <c r="F967" s="284"/>
      <c r="G967" s="323" t="str">
        <f>IF(B967="","",VLOOKUP(IF((B967-F967)*10&lt;-10,-10,IF((B967-F967)*10&gt;10,10,(B967-F967)*10)),'Rank Progression'!$K$2:$L$22,2,FALSE))</f>
        <v/>
      </c>
      <c r="I967" s="323"/>
      <c r="J967" s="323"/>
      <c r="K967" s="323"/>
      <c r="L967" s="323"/>
      <c r="M967" s="323"/>
      <c r="N967" s="323"/>
      <c r="O967" s="323"/>
    </row>
    <row r="968" spans="1:15" x14ac:dyDescent="0.2">
      <c r="A968" s="286"/>
      <c r="B968" s="285"/>
      <c r="C968" s="285"/>
      <c r="D968" s="285"/>
      <c r="E968" s="285"/>
      <c r="F968" s="284"/>
      <c r="G968" s="323" t="str">
        <f>IF(B968="","",VLOOKUP(IF((B968-F968)*10&lt;-10,-10,IF((B968-F968)*10&gt;10,10,(B968-F968)*10)),'Rank Progression'!$K$2:$L$22,2,FALSE))</f>
        <v/>
      </c>
      <c r="I968" s="323"/>
      <c r="J968" s="323"/>
      <c r="K968" s="323"/>
      <c r="L968" s="323"/>
      <c r="M968" s="323"/>
      <c r="N968" s="323"/>
      <c r="O968" s="323"/>
    </row>
    <row r="969" spans="1:15" x14ac:dyDescent="0.2">
      <c r="A969" s="286"/>
      <c r="B969" s="285"/>
      <c r="C969" s="285"/>
      <c r="D969" s="285"/>
      <c r="E969" s="285"/>
      <c r="F969" s="284"/>
      <c r="G969" s="323" t="str">
        <f>IF(B969="","",VLOOKUP(IF((B969-F969)*10&lt;-10,-10,IF((B969-F969)*10&gt;10,10,(B969-F969)*10)),'Rank Progression'!$K$2:$L$22,2,FALSE))</f>
        <v/>
      </c>
      <c r="I969" s="323"/>
      <c r="J969" s="323"/>
      <c r="K969" s="323"/>
      <c r="L969" s="323"/>
      <c r="M969" s="323"/>
      <c r="N969" s="323"/>
      <c r="O969" s="323"/>
    </row>
    <row r="970" spans="1:15" x14ac:dyDescent="0.2">
      <c r="A970" s="286"/>
      <c r="B970" s="285"/>
      <c r="C970" s="285"/>
      <c r="D970" s="285"/>
      <c r="E970" s="285"/>
      <c r="F970" s="284"/>
      <c r="G970" s="323" t="str">
        <f>IF(B970="","",VLOOKUP(IF((B970-F970)*10&lt;-10,-10,IF((B970-F970)*10&gt;10,10,(B970-F970)*10)),'Rank Progression'!$K$2:$L$22,2,FALSE))</f>
        <v/>
      </c>
      <c r="I970" s="323"/>
      <c r="J970" s="323"/>
      <c r="K970" s="323"/>
      <c r="L970" s="323"/>
      <c r="M970" s="323"/>
      <c r="N970" s="323"/>
      <c r="O970" s="323"/>
    </row>
    <row r="971" spans="1:15" x14ac:dyDescent="0.2">
      <c r="A971" s="286"/>
      <c r="B971" s="285"/>
      <c r="C971" s="285"/>
      <c r="D971" s="285"/>
      <c r="E971" s="285"/>
      <c r="F971" s="284"/>
      <c r="G971" s="323" t="str">
        <f>IF(B971="","",VLOOKUP(IF((B971-F971)*10&lt;-10,-10,IF((B971-F971)*10&gt;10,10,(B971-F971)*10)),'Rank Progression'!$K$2:$L$22,2,FALSE))</f>
        <v/>
      </c>
      <c r="I971" s="323"/>
      <c r="J971" s="323"/>
      <c r="K971" s="323"/>
      <c r="L971" s="323"/>
      <c r="M971" s="323"/>
      <c r="N971" s="323"/>
      <c r="O971" s="323"/>
    </row>
    <row r="972" spans="1:15" x14ac:dyDescent="0.2">
      <c r="A972" s="286"/>
      <c r="B972" s="285"/>
      <c r="C972" s="285"/>
      <c r="D972" s="285"/>
      <c r="E972" s="285"/>
      <c r="F972" s="284"/>
      <c r="G972" s="323" t="str">
        <f>IF(B972="","",VLOOKUP(IF((B972-F972)*10&lt;-10,-10,IF((B972-F972)*10&gt;10,10,(B972-F972)*10)),'Rank Progression'!$K$2:$L$22,2,FALSE))</f>
        <v/>
      </c>
      <c r="I972" s="323"/>
      <c r="J972" s="323"/>
      <c r="K972" s="323"/>
      <c r="L972" s="323"/>
      <c r="M972" s="323"/>
      <c r="N972" s="323"/>
      <c r="O972" s="323"/>
    </row>
    <row r="973" spans="1:15" x14ac:dyDescent="0.2">
      <c r="A973" s="286"/>
      <c r="B973" s="285"/>
      <c r="C973" s="285"/>
      <c r="D973" s="285"/>
      <c r="E973" s="285"/>
      <c r="F973" s="284"/>
      <c r="G973" s="323" t="str">
        <f>IF(B973="","",VLOOKUP(IF((B973-F973)*10&lt;-10,-10,IF((B973-F973)*10&gt;10,10,(B973-F973)*10)),'Rank Progression'!$K$2:$L$22,2,FALSE))</f>
        <v/>
      </c>
      <c r="I973" s="323"/>
      <c r="J973" s="323"/>
      <c r="K973" s="323"/>
      <c r="L973" s="323"/>
      <c r="M973" s="323"/>
      <c r="N973" s="323"/>
      <c r="O973" s="323"/>
    </row>
    <row r="974" spans="1:15" x14ac:dyDescent="0.2">
      <c r="A974" s="286"/>
      <c r="B974" s="285"/>
      <c r="C974" s="285"/>
      <c r="D974" s="285"/>
      <c r="E974" s="285"/>
      <c r="F974" s="284"/>
      <c r="G974" s="323" t="str">
        <f>IF(B974="","",VLOOKUP(IF((B974-F974)*10&lt;-10,-10,IF((B974-F974)*10&gt;10,10,(B974-F974)*10)),'Rank Progression'!$K$2:$L$22,2,FALSE))</f>
        <v/>
      </c>
      <c r="I974" s="323"/>
      <c r="J974" s="323"/>
      <c r="K974" s="323"/>
      <c r="L974" s="323"/>
      <c r="M974" s="323"/>
      <c r="N974" s="323"/>
      <c r="O974" s="323"/>
    </row>
    <row r="975" spans="1:15" x14ac:dyDescent="0.2">
      <c r="A975" s="286"/>
      <c r="B975" s="285"/>
      <c r="C975" s="285"/>
      <c r="D975" s="285"/>
      <c r="E975" s="285"/>
      <c r="F975" s="284"/>
      <c r="G975" s="323" t="str">
        <f>IF(B975="","",VLOOKUP(IF((B975-F975)*10&lt;-10,-10,IF((B975-F975)*10&gt;10,10,(B975-F975)*10)),'Rank Progression'!$K$2:$L$22,2,FALSE))</f>
        <v/>
      </c>
      <c r="I975" s="323"/>
      <c r="J975" s="323"/>
      <c r="K975" s="323"/>
      <c r="L975" s="323"/>
      <c r="M975" s="323"/>
      <c r="N975" s="323"/>
      <c r="O975" s="323"/>
    </row>
    <row r="976" spans="1:15" x14ac:dyDescent="0.2">
      <c r="A976" s="286"/>
      <c r="B976" s="285"/>
      <c r="C976" s="285"/>
      <c r="D976" s="285"/>
      <c r="E976" s="285"/>
      <c r="F976" s="284"/>
      <c r="G976" s="323" t="str">
        <f>IF(B976="","",VLOOKUP(IF((B976-F976)*10&lt;-10,-10,IF((B976-F976)*10&gt;10,10,(B976-F976)*10)),'Rank Progression'!$K$2:$L$22,2,FALSE))</f>
        <v/>
      </c>
      <c r="I976" s="323"/>
      <c r="J976" s="323"/>
      <c r="K976" s="323"/>
      <c r="L976" s="323"/>
      <c r="M976" s="323"/>
      <c r="N976" s="323"/>
      <c r="O976" s="323"/>
    </row>
    <row r="977" spans="1:15" x14ac:dyDescent="0.2">
      <c r="A977" s="286"/>
      <c r="B977" s="285"/>
      <c r="C977" s="285"/>
      <c r="D977" s="285"/>
      <c r="E977" s="285"/>
      <c r="F977" s="284"/>
      <c r="G977" s="323" t="str">
        <f>IF(B977="","",VLOOKUP(IF((B977-F977)*10&lt;-10,-10,IF((B977-F977)*10&gt;10,10,(B977-F977)*10)),'Rank Progression'!$K$2:$L$22,2,FALSE))</f>
        <v/>
      </c>
      <c r="I977" s="323"/>
      <c r="J977" s="323"/>
      <c r="K977" s="323"/>
      <c r="L977" s="323"/>
      <c r="M977" s="323"/>
      <c r="N977" s="323"/>
      <c r="O977" s="323"/>
    </row>
    <row r="978" spans="1:15" x14ac:dyDescent="0.2">
      <c r="A978" s="286"/>
      <c r="B978" s="285"/>
      <c r="C978" s="285"/>
      <c r="D978" s="285"/>
      <c r="E978" s="285"/>
      <c r="F978" s="284"/>
      <c r="G978" s="323" t="str">
        <f>IF(B978="","",VLOOKUP(IF((B978-F978)*10&lt;-10,-10,IF((B978-F978)*10&gt;10,10,(B978-F978)*10)),'Rank Progression'!$K$2:$L$22,2,FALSE))</f>
        <v/>
      </c>
      <c r="I978" s="323"/>
      <c r="J978" s="323"/>
      <c r="K978" s="323"/>
      <c r="L978" s="323"/>
      <c r="M978" s="323"/>
      <c r="N978" s="323"/>
      <c r="O978" s="323"/>
    </row>
    <row r="979" spans="1:15" x14ac:dyDescent="0.2">
      <c r="A979" s="286"/>
      <c r="B979" s="285"/>
      <c r="C979" s="285"/>
      <c r="D979" s="285"/>
      <c r="E979" s="285"/>
      <c r="F979" s="284"/>
      <c r="G979" s="323" t="str">
        <f>IF(B979="","",VLOOKUP(IF((B979-F979)*10&lt;-10,-10,IF((B979-F979)*10&gt;10,10,(B979-F979)*10)),'Rank Progression'!$K$2:$L$22,2,FALSE))</f>
        <v/>
      </c>
      <c r="I979" s="323"/>
      <c r="J979" s="323"/>
      <c r="K979" s="323"/>
      <c r="L979" s="323"/>
      <c r="M979" s="323"/>
      <c r="N979" s="323"/>
      <c r="O979" s="323"/>
    </row>
    <row r="980" spans="1:15" x14ac:dyDescent="0.2">
      <c r="A980" s="286"/>
      <c r="B980" s="285"/>
      <c r="C980" s="285"/>
      <c r="D980" s="285"/>
      <c r="E980" s="285"/>
      <c r="F980" s="284"/>
      <c r="G980" s="323" t="str">
        <f>IF(B980="","",VLOOKUP(IF((B980-F980)*10&lt;-10,-10,IF((B980-F980)*10&gt;10,10,(B980-F980)*10)),'Rank Progression'!$K$2:$L$22,2,FALSE))</f>
        <v/>
      </c>
      <c r="I980" s="323"/>
      <c r="J980" s="323"/>
      <c r="K980" s="323"/>
      <c r="L980" s="323"/>
      <c r="M980" s="323"/>
      <c r="N980" s="323"/>
      <c r="O980" s="323"/>
    </row>
    <row r="981" spans="1:15" x14ac:dyDescent="0.2">
      <c r="A981" s="286"/>
      <c r="B981" s="285"/>
      <c r="C981" s="285"/>
      <c r="D981" s="285"/>
      <c r="E981" s="285"/>
      <c r="F981" s="284"/>
      <c r="G981" s="323" t="str">
        <f>IF(B981="","",VLOOKUP(IF((B981-F981)*10&lt;-10,-10,IF((B981-F981)*10&gt;10,10,(B981-F981)*10)),'Rank Progression'!$K$2:$L$22,2,FALSE))</f>
        <v/>
      </c>
      <c r="I981" s="323"/>
      <c r="J981" s="323"/>
      <c r="K981" s="323"/>
      <c r="L981" s="323"/>
      <c r="M981" s="323"/>
      <c r="N981" s="323"/>
      <c r="O981" s="323"/>
    </row>
    <row r="982" spans="1:15" x14ac:dyDescent="0.2">
      <c r="A982" s="286"/>
      <c r="B982" s="285"/>
      <c r="C982" s="285"/>
      <c r="D982" s="285"/>
      <c r="E982" s="285"/>
      <c r="F982" s="284"/>
      <c r="G982" s="323" t="str">
        <f>IF(B982="","",VLOOKUP(IF((B982-F982)*10&lt;-10,-10,IF((B982-F982)*10&gt;10,10,(B982-F982)*10)),'Rank Progression'!$K$2:$L$22,2,FALSE))</f>
        <v/>
      </c>
      <c r="I982" s="323"/>
      <c r="J982" s="323"/>
      <c r="K982" s="323"/>
      <c r="L982" s="323"/>
      <c r="M982" s="323"/>
      <c r="N982" s="323"/>
      <c r="O982" s="323"/>
    </row>
    <row r="983" spans="1:15" x14ac:dyDescent="0.2">
      <c r="A983" s="286"/>
      <c r="B983" s="285"/>
      <c r="C983" s="285"/>
      <c r="D983" s="285"/>
      <c r="E983" s="285"/>
      <c r="F983" s="284"/>
      <c r="G983" s="323" t="str">
        <f>IF(B983="","",VLOOKUP(IF((B983-F983)*10&lt;-10,-10,IF((B983-F983)*10&gt;10,10,(B983-F983)*10)),'Rank Progression'!$K$2:$L$22,2,FALSE))</f>
        <v/>
      </c>
      <c r="I983" s="323"/>
      <c r="J983" s="323"/>
      <c r="K983" s="323"/>
      <c r="L983" s="323"/>
      <c r="M983" s="323"/>
      <c r="N983" s="323"/>
      <c r="O983" s="323"/>
    </row>
    <row r="984" spans="1:15" x14ac:dyDescent="0.2">
      <c r="A984" s="286"/>
      <c r="B984" s="285"/>
      <c r="C984" s="285"/>
      <c r="D984" s="285"/>
      <c r="E984" s="285"/>
      <c r="F984" s="284"/>
      <c r="G984" s="323" t="str">
        <f>IF(B984="","",VLOOKUP(IF((B984-F984)*10&lt;-10,-10,IF((B984-F984)*10&gt;10,10,(B984-F984)*10)),'Rank Progression'!$K$2:$L$22,2,FALSE))</f>
        <v/>
      </c>
      <c r="I984" s="323"/>
      <c r="J984" s="323"/>
      <c r="K984" s="323"/>
      <c r="L984" s="323"/>
      <c r="M984" s="323"/>
      <c r="N984" s="323"/>
      <c r="O984" s="323"/>
    </row>
    <row r="985" spans="1:15" x14ac:dyDescent="0.2">
      <c r="A985" s="286"/>
      <c r="B985" s="285"/>
      <c r="C985" s="285"/>
      <c r="D985" s="285"/>
      <c r="E985" s="285"/>
      <c r="F985" s="284"/>
      <c r="G985" s="323" t="str">
        <f>IF(B985="","",VLOOKUP(IF((B985-F985)*10&lt;-10,-10,IF((B985-F985)*10&gt;10,10,(B985-F985)*10)),'Rank Progression'!$K$2:$L$22,2,FALSE))</f>
        <v/>
      </c>
      <c r="I985" s="323"/>
      <c r="J985" s="323"/>
      <c r="K985" s="323"/>
      <c r="L985" s="323"/>
      <c r="M985" s="323"/>
      <c r="N985" s="323"/>
      <c r="O985" s="323"/>
    </row>
    <row r="986" spans="1:15" x14ac:dyDescent="0.2">
      <c r="A986" s="286"/>
      <c r="B986" s="285"/>
      <c r="C986" s="285"/>
      <c r="D986" s="285"/>
      <c r="E986" s="285"/>
      <c r="F986" s="284"/>
      <c r="G986" s="323" t="str">
        <f>IF(B986="","",VLOOKUP(IF((B986-F986)*10&lt;-10,-10,IF((B986-F986)*10&gt;10,10,(B986-F986)*10)),'Rank Progression'!$K$2:$L$22,2,FALSE))</f>
        <v/>
      </c>
      <c r="I986" s="323"/>
      <c r="J986" s="323"/>
      <c r="K986" s="323"/>
      <c r="L986" s="323"/>
      <c r="M986" s="323"/>
      <c r="N986" s="323"/>
      <c r="O986" s="323"/>
    </row>
    <row r="987" spans="1:15" x14ac:dyDescent="0.2">
      <c r="A987" s="286"/>
      <c r="B987" s="285"/>
      <c r="C987" s="285"/>
      <c r="D987" s="285"/>
      <c r="E987" s="285"/>
      <c r="F987" s="284"/>
      <c r="G987" s="323" t="str">
        <f>IF(B987="","",VLOOKUP(IF((B987-F987)*10&lt;-10,-10,IF((B987-F987)*10&gt;10,10,(B987-F987)*10)),'Rank Progression'!$K$2:$L$22,2,FALSE))</f>
        <v/>
      </c>
      <c r="I987" s="323"/>
      <c r="J987" s="323"/>
      <c r="K987" s="323"/>
      <c r="L987" s="323"/>
      <c r="M987" s="323"/>
      <c r="N987" s="323"/>
      <c r="O987" s="323"/>
    </row>
    <row r="988" spans="1:15" x14ac:dyDescent="0.2">
      <c r="A988" s="286"/>
      <c r="B988" s="285"/>
      <c r="C988" s="285"/>
      <c r="D988" s="285"/>
      <c r="E988" s="285"/>
      <c r="F988" s="284"/>
      <c r="G988" s="323" t="str">
        <f>IF(B988="","",VLOOKUP(IF((B988-F988)*10&lt;-10,-10,IF((B988-F988)*10&gt;10,10,(B988-F988)*10)),'Rank Progression'!$K$2:$L$22,2,FALSE))</f>
        <v/>
      </c>
      <c r="I988" s="323"/>
      <c r="J988" s="323"/>
      <c r="K988" s="323"/>
      <c r="L988" s="323"/>
      <c r="M988" s="323"/>
      <c r="N988" s="323"/>
      <c r="O988" s="323"/>
    </row>
    <row r="989" spans="1:15" x14ac:dyDescent="0.2">
      <c r="A989" s="286"/>
      <c r="B989" s="285"/>
      <c r="C989" s="285"/>
      <c r="D989" s="285"/>
      <c r="E989" s="285"/>
      <c r="F989" s="284"/>
      <c r="G989" s="323" t="str">
        <f>IF(B989="","",VLOOKUP(IF((B989-F989)*10&lt;-10,-10,IF((B989-F989)*10&gt;10,10,(B989-F989)*10)),'Rank Progression'!$K$2:$L$22,2,FALSE))</f>
        <v/>
      </c>
      <c r="I989" s="323"/>
      <c r="J989" s="323"/>
      <c r="K989" s="323"/>
      <c r="L989" s="323"/>
      <c r="M989" s="323"/>
      <c r="N989" s="323"/>
      <c r="O989" s="323"/>
    </row>
    <row r="990" spans="1:15" x14ac:dyDescent="0.2">
      <c r="A990" s="286"/>
      <c r="B990" s="285"/>
      <c r="C990" s="285"/>
      <c r="D990" s="285"/>
      <c r="E990" s="285"/>
      <c r="F990" s="284"/>
      <c r="G990" s="323" t="str">
        <f>IF(B990="","",VLOOKUP(IF((B990-F990)*10&lt;-10,-10,IF((B990-F990)*10&gt;10,10,(B990-F990)*10)),'Rank Progression'!$K$2:$L$22,2,FALSE))</f>
        <v/>
      </c>
      <c r="I990" s="323"/>
      <c r="J990" s="323"/>
      <c r="K990" s="323"/>
      <c r="L990" s="323"/>
      <c r="M990" s="323"/>
      <c r="N990" s="323"/>
      <c r="O990" s="323"/>
    </row>
    <row r="991" spans="1:15" x14ac:dyDescent="0.2">
      <c r="A991" s="286"/>
      <c r="B991" s="285"/>
      <c r="C991" s="285"/>
      <c r="D991" s="285"/>
      <c r="E991" s="285"/>
      <c r="F991" s="284"/>
      <c r="G991" s="323" t="str">
        <f>IF(B991="","",VLOOKUP(IF((B991-F991)*10&lt;-10,-10,IF((B991-F991)*10&gt;10,10,(B991-F991)*10)),'Rank Progression'!$K$2:$L$22,2,FALSE))</f>
        <v/>
      </c>
      <c r="I991" s="323"/>
      <c r="J991" s="323"/>
      <c r="K991" s="323"/>
      <c r="L991" s="323"/>
      <c r="M991" s="323"/>
      <c r="N991" s="323"/>
      <c r="O991" s="323"/>
    </row>
    <row r="992" spans="1:15" x14ac:dyDescent="0.2">
      <c r="A992" s="286"/>
      <c r="B992" s="285"/>
      <c r="C992" s="285"/>
      <c r="D992" s="285"/>
      <c r="E992" s="285"/>
      <c r="F992" s="284"/>
      <c r="G992" s="323" t="str">
        <f>IF(B992="","",VLOOKUP(IF((B992-F992)*10&lt;-10,-10,IF((B992-F992)*10&gt;10,10,(B992-F992)*10)),'Rank Progression'!$K$2:$L$22,2,FALSE))</f>
        <v/>
      </c>
      <c r="I992" s="323"/>
      <c r="J992" s="323"/>
      <c r="K992" s="323"/>
      <c r="L992" s="323"/>
      <c r="M992" s="323"/>
      <c r="N992" s="323"/>
      <c r="O992" s="323"/>
    </row>
    <row r="993" spans="1:15" x14ac:dyDescent="0.2">
      <c r="A993" s="286"/>
      <c r="B993" s="285"/>
      <c r="C993" s="285"/>
      <c r="D993" s="285"/>
      <c r="E993" s="285"/>
      <c r="F993" s="284"/>
      <c r="G993" s="323" t="str">
        <f>IF(B993="","",VLOOKUP(IF((B993-F993)*10&lt;-10,-10,IF((B993-F993)*10&gt;10,10,(B993-F993)*10)),'Rank Progression'!$K$2:$L$22,2,FALSE))</f>
        <v/>
      </c>
      <c r="I993" s="323"/>
      <c r="J993" s="323"/>
      <c r="K993" s="323"/>
      <c r="L993" s="323"/>
      <c r="M993" s="323"/>
      <c r="N993" s="323"/>
      <c r="O993" s="323"/>
    </row>
    <row r="994" spans="1:15" x14ac:dyDescent="0.2">
      <c r="A994" s="286"/>
      <c r="B994" s="285"/>
      <c r="C994" s="285"/>
      <c r="D994" s="285"/>
      <c r="E994" s="285"/>
      <c r="F994" s="284"/>
      <c r="G994" s="323" t="str">
        <f>IF(B994="","",VLOOKUP(IF((B994-F994)*10&lt;-10,-10,IF((B994-F994)*10&gt;10,10,(B994-F994)*10)),'Rank Progression'!$K$2:$L$22,2,FALSE))</f>
        <v/>
      </c>
      <c r="I994" s="323"/>
      <c r="J994" s="323"/>
      <c r="K994" s="323"/>
      <c r="L994" s="323"/>
      <c r="M994" s="323"/>
      <c r="N994" s="323"/>
      <c r="O994" s="323"/>
    </row>
    <row r="995" spans="1:15" x14ac:dyDescent="0.2">
      <c r="A995" s="286"/>
      <c r="B995" s="285"/>
      <c r="C995" s="285"/>
      <c r="D995" s="285"/>
      <c r="E995" s="285"/>
      <c r="F995" s="284"/>
      <c r="G995" s="323" t="str">
        <f>IF(B995="","",VLOOKUP(IF((B995-F995)*10&lt;-10,-10,IF((B995-F995)*10&gt;10,10,(B995-F995)*10)),'Rank Progression'!$K$2:$L$22,2,FALSE))</f>
        <v/>
      </c>
      <c r="I995" s="323"/>
      <c r="J995" s="323"/>
      <c r="K995" s="323"/>
      <c r="L995" s="323"/>
      <c r="M995" s="323"/>
      <c r="N995" s="323"/>
      <c r="O995" s="323"/>
    </row>
    <row r="996" spans="1:15" x14ac:dyDescent="0.2">
      <c r="A996" s="286"/>
      <c r="B996" s="285"/>
      <c r="C996" s="285"/>
      <c r="D996" s="285"/>
      <c r="E996" s="285"/>
      <c r="F996" s="284"/>
      <c r="G996" s="323" t="str">
        <f>IF(B996="","",VLOOKUP(IF((B996-F996)*10&lt;-10,-10,IF((B996-F996)*10&gt;10,10,(B996-F996)*10)),'Rank Progression'!$K$2:$L$22,2,FALSE))</f>
        <v/>
      </c>
      <c r="I996" s="323"/>
      <c r="J996" s="323"/>
      <c r="K996" s="323"/>
      <c r="L996" s="323"/>
      <c r="M996" s="323"/>
      <c r="N996" s="323"/>
      <c r="O996" s="323"/>
    </row>
    <row r="997" spans="1:15" x14ac:dyDescent="0.2">
      <c r="A997" s="286"/>
      <c r="B997" s="285"/>
      <c r="C997" s="285"/>
      <c r="D997" s="285"/>
      <c r="E997" s="285"/>
      <c r="F997" s="284"/>
      <c r="G997" s="323" t="str">
        <f>IF(B997="","",VLOOKUP(IF((B997-F997)*10&lt;-10,-10,IF((B997-F997)*10&gt;10,10,(B997-F997)*10)),'Rank Progression'!$K$2:$L$22,2,FALSE))</f>
        <v/>
      </c>
      <c r="I997" s="323"/>
      <c r="J997" s="323"/>
      <c r="K997" s="323"/>
      <c r="L997" s="323"/>
      <c r="M997" s="323"/>
      <c r="N997" s="323"/>
      <c r="O997" s="323"/>
    </row>
    <row r="998" spans="1:15" x14ac:dyDescent="0.2">
      <c r="A998" s="286"/>
      <c r="B998" s="285"/>
      <c r="C998" s="285"/>
      <c r="D998" s="285"/>
      <c r="E998" s="285"/>
      <c r="F998" s="284"/>
      <c r="G998" s="323" t="str">
        <f>IF(B998="","",VLOOKUP(IF((B998-F998)*10&lt;-10,-10,IF((B998-F998)*10&gt;10,10,(B998-F998)*10)),'Rank Progression'!$K$2:$L$22,2,FALSE))</f>
        <v/>
      </c>
      <c r="I998" s="323"/>
      <c r="J998" s="323"/>
      <c r="K998" s="323"/>
      <c r="L998" s="323"/>
      <c r="M998" s="323"/>
      <c r="N998" s="323"/>
      <c r="O998" s="323"/>
    </row>
    <row r="999" spans="1:15" x14ac:dyDescent="0.2">
      <c r="A999" s="286"/>
      <c r="B999" s="285"/>
      <c r="C999" s="285"/>
      <c r="D999" s="285"/>
      <c r="E999" s="285"/>
      <c r="F999" s="284"/>
      <c r="G999" s="323" t="str">
        <f>IF(B999="","",VLOOKUP(IF((B999-F999)*10&lt;-10,-10,IF((B999-F999)*10&gt;10,10,(B999-F999)*10)),'Rank Progression'!$K$2:$L$22,2,FALSE))</f>
        <v/>
      </c>
      <c r="I999" s="323"/>
      <c r="J999" s="323"/>
      <c r="K999" s="323"/>
      <c r="L999" s="323"/>
      <c r="M999" s="323"/>
      <c r="N999" s="323"/>
      <c r="O999" s="323"/>
    </row>
    <row r="1000" spans="1:15" x14ac:dyDescent="0.2">
      <c r="A1000" s="507"/>
      <c r="B1000" s="508"/>
      <c r="C1000" s="508"/>
      <c r="D1000" s="508"/>
      <c r="E1000" s="508"/>
      <c r="F1000" s="290"/>
      <c r="G1000" s="323" t="str">
        <f>IF(B1000="","",VLOOKUP(IF((B1000-F1000)*10&lt;-10,-10,IF((B1000-F1000)*10&gt;10,10,(B1000-F1000)*10)),'Rank Progression'!$K$2:$L$22,2,FALSE))</f>
        <v/>
      </c>
      <c r="I1000" s="323"/>
      <c r="J1000" s="323"/>
      <c r="K1000" s="323"/>
      <c r="L1000" s="323"/>
      <c r="M1000" s="323"/>
      <c r="N1000" s="323"/>
      <c r="O1000" s="323"/>
    </row>
  </sheetData>
  <mergeCells count="1">
    <mergeCell ref="I1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I1000"/>
  <sheetViews>
    <sheetView workbookViewId="0">
      <pane ySplit="2" topLeftCell="A3" activePane="bottomLeft" state="frozen"/>
      <selection pane="bottomLeft" activeCell="B3" sqref="B3:B5"/>
    </sheetView>
  </sheetViews>
  <sheetFormatPr defaultColWidth="12.5703125" defaultRowHeight="15.75" customHeight="1" x14ac:dyDescent="0.2"/>
  <cols>
    <col min="1" max="1" width="14" customWidth="1"/>
    <col min="2" max="2" width="18.28515625" customWidth="1"/>
    <col min="3" max="3" width="9" customWidth="1"/>
    <col min="4" max="4" width="11.140625" customWidth="1"/>
    <col min="5" max="5" width="9.140625" customWidth="1"/>
    <col min="6" max="6" width="22.42578125" customWidth="1"/>
    <col min="7" max="7" width="7.140625" customWidth="1"/>
    <col min="8" max="8" width="5.7109375" customWidth="1"/>
    <col min="9" max="9" width="5.85546875" customWidth="1"/>
    <col min="10" max="10" width="9.42578125" customWidth="1"/>
    <col min="11" max="11" width="10.28515625" customWidth="1"/>
    <col min="12" max="12" width="9.42578125" customWidth="1"/>
    <col min="13" max="13" width="12.85546875" customWidth="1"/>
    <col min="14" max="14" width="14.42578125" customWidth="1"/>
    <col min="15" max="15" width="12" customWidth="1"/>
    <col min="16" max="16" width="14" customWidth="1"/>
    <col min="17" max="17" width="16" customWidth="1"/>
    <col min="18" max="18" width="13.5703125" customWidth="1"/>
    <col min="19" max="19" width="12.85546875" customWidth="1"/>
    <col min="20" max="20" width="14.42578125" customWidth="1"/>
    <col min="21" max="21" width="12" customWidth="1"/>
    <col min="22" max="22" width="14" customWidth="1"/>
    <col min="23" max="23" width="16" customWidth="1"/>
    <col min="24" max="24" width="13.5703125" customWidth="1"/>
    <col min="25" max="25" width="15.140625" customWidth="1"/>
    <col min="26" max="26" width="38.85546875" customWidth="1"/>
    <col min="27" max="27" width="2.5703125" customWidth="1"/>
    <col min="28" max="35" width="9.42578125" customWidth="1"/>
  </cols>
  <sheetData>
    <row r="1" spans="1:35" x14ac:dyDescent="0.2">
      <c r="A1" s="610" t="s">
        <v>106</v>
      </c>
      <c r="B1" s="574"/>
      <c r="C1" s="574"/>
      <c r="D1" s="574"/>
      <c r="E1" s="574"/>
      <c r="F1" s="574"/>
      <c r="G1" s="574"/>
      <c r="H1" s="574"/>
      <c r="I1" s="574"/>
      <c r="J1" s="574"/>
      <c r="K1" s="574"/>
      <c r="L1" s="574"/>
      <c r="M1" s="574"/>
      <c r="N1" s="574"/>
      <c r="O1" s="574"/>
      <c r="P1" s="574"/>
      <c r="Q1" s="574"/>
      <c r="R1" s="574"/>
      <c r="S1" s="574"/>
      <c r="T1" s="574"/>
      <c r="U1" s="574"/>
      <c r="V1" s="574"/>
      <c r="W1" s="574"/>
      <c r="X1" s="574"/>
      <c r="Y1" s="574"/>
      <c r="Z1" s="575"/>
      <c r="AA1" s="143"/>
      <c r="AB1" s="509"/>
      <c r="AC1" s="509"/>
      <c r="AD1" s="509"/>
      <c r="AE1" s="509"/>
      <c r="AF1" s="509"/>
      <c r="AG1" s="509"/>
      <c r="AH1" s="509"/>
      <c r="AI1" s="509"/>
    </row>
    <row r="2" spans="1:35" x14ac:dyDescent="0.2">
      <c r="A2" s="510" t="s">
        <v>397</v>
      </c>
      <c r="B2" s="420" t="s">
        <v>58</v>
      </c>
      <c r="C2" s="511" t="s">
        <v>2</v>
      </c>
      <c r="D2" s="511" t="s">
        <v>3</v>
      </c>
      <c r="E2" s="512" t="s">
        <v>109</v>
      </c>
      <c r="F2" s="513" t="s">
        <v>398</v>
      </c>
      <c r="G2" s="335" t="s">
        <v>64</v>
      </c>
      <c r="H2" s="336" t="s">
        <v>65</v>
      </c>
      <c r="I2" s="336" t="s">
        <v>25</v>
      </c>
      <c r="J2" s="335" t="s">
        <v>110</v>
      </c>
      <c r="K2" s="336" t="s">
        <v>111</v>
      </c>
      <c r="L2" s="336" t="s">
        <v>112</v>
      </c>
      <c r="M2" s="335" t="s">
        <v>399</v>
      </c>
      <c r="N2" s="336" t="s">
        <v>400</v>
      </c>
      <c r="O2" s="336" t="s">
        <v>401</v>
      </c>
      <c r="P2" s="336" t="s">
        <v>402</v>
      </c>
      <c r="Q2" s="336" t="s">
        <v>403</v>
      </c>
      <c r="R2" s="336" t="s">
        <v>404</v>
      </c>
      <c r="S2" s="335" t="s">
        <v>405</v>
      </c>
      <c r="T2" s="336" t="s">
        <v>406</v>
      </c>
      <c r="U2" s="336" t="s">
        <v>407</v>
      </c>
      <c r="V2" s="336" t="s">
        <v>408</v>
      </c>
      <c r="W2" s="336" t="s">
        <v>409</v>
      </c>
      <c r="X2" s="336" t="s">
        <v>410</v>
      </c>
      <c r="Y2" s="514" t="s">
        <v>116</v>
      </c>
      <c r="Z2" s="515" t="s">
        <v>411</v>
      </c>
      <c r="AA2" s="516"/>
      <c r="AB2" s="517"/>
      <c r="AC2" s="517"/>
      <c r="AD2" s="517"/>
      <c r="AE2" s="517"/>
      <c r="AF2" s="517"/>
      <c r="AG2" s="517"/>
      <c r="AH2" s="517"/>
      <c r="AI2" s="517"/>
    </row>
    <row r="3" spans="1:35" x14ac:dyDescent="0.2">
      <c r="A3" s="636">
        <v>1</v>
      </c>
      <c r="B3" s="608" t="s">
        <v>412</v>
      </c>
      <c r="C3" s="609" t="s">
        <v>189</v>
      </c>
      <c r="D3" s="609" t="s">
        <v>216</v>
      </c>
      <c r="E3" s="518" t="s">
        <v>413</v>
      </c>
      <c r="F3" s="519" t="s">
        <v>414</v>
      </c>
      <c r="G3" s="156">
        <v>636</v>
      </c>
      <c r="H3" s="156">
        <v>635</v>
      </c>
      <c r="I3" s="156">
        <v>635</v>
      </c>
      <c r="J3" s="157">
        <v>11</v>
      </c>
      <c r="K3" s="156">
        <v>11</v>
      </c>
      <c r="L3" s="520">
        <v>9</v>
      </c>
      <c r="M3" s="521">
        <v>0</v>
      </c>
      <c r="N3" s="522">
        <v>0</v>
      </c>
      <c r="O3" s="522">
        <v>0</v>
      </c>
      <c r="P3" s="522">
        <v>3</v>
      </c>
      <c r="Q3" s="522">
        <v>0</v>
      </c>
      <c r="R3" s="523">
        <v>3</v>
      </c>
      <c r="S3" s="521" t="b">
        <v>0</v>
      </c>
      <c r="T3" s="522" t="b">
        <v>0</v>
      </c>
      <c r="U3" s="522" t="b">
        <v>0</v>
      </c>
      <c r="V3" s="522" t="b">
        <v>1</v>
      </c>
      <c r="W3" s="522" t="b">
        <v>0</v>
      </c>
      <c r="X3" s="523" t="b">
        <v>1</v>
      </c>
      <c r="Y3" s="523" t="s">
        <v>46</v>
      </c>
      <c r="Z3" s="637" t="s">
        <v>415</v>
      </c>
      <c r="AA3" s="524"/>
      <c r="AB3" s="525" t="str">
        <f t="shared" ref="AB3:AB257" si="0">IF(S3=TRUE,"Fire","")</f>
        <v/>
      </c>
      <c r="AC3" s="525" t="str">
        <f t="shared" ref="AC3:AC257" si="1">IF(T3=TRUE,"Water","")</f>
        <v/>
      </c>
      <c r="AD3" s="525" t="str">
        <f t="shared" ref="AD3:AD257" si="2">IF(U3=TRUE,"Air","")</f>
        <v/>
      </c>
      <c r="AE3" s="525" t="str">
        <f t="shared" ref="AE3:AE257" si="3">IF(V3=TRUE,"Earth","")</f>
        <v>Earth</v>
      </c>
      <c r="AF3" s="525" t="str">
        <f t="shared" ref="AF3:AF257" si="4">IF(W3=TRUE,"Shadow","")</f>
        <v/>
      </c>
      <c r="AG3" s="525" t="str">
        <f t="shared" ref="AG3:AG257" si="5">IF(X3=TRUE,"Light","")</f>
        <v>Light</v>
      </c>
      <c r="AH3" s="525" t="str">
        <f>E4</f>
        <v>Bob</v>
      </c>
      <c r="AI3" s="525" t="str">
        <f>E5</f>
        <v>Craig</v>
      </c>
    </row>
    <row r="4" spans="1:35" x14ac:dyDescent="0.2">
      <c r="A4" s="597"/>
      <c r="B4" s="597"/>
      <c r="C4" s="558"/>
      <c r="D4" s="558"/>
      <c r="E4" s="521" t="s">
        <v>416</v>
      </c>
      <c r="F4" s="523" t="s">
        <v>417</v>
      </c>
      <c r="G4" s="156">
        <v>636</v>
      </c>
      <c r="H4" s="156">
        <v>635</v>
      </c>
      <c r="I4" s="156">
        <v>635</v>
      </c>
      <c r="J4" s="157">
        <v>11</v>
      </c>
      <c r="K4" s="156">
        <v>9</v>
      </c>
      <c r="L4" s="520">
        <v>11</v>
      </c>
      <c r="M4" s="521">
        <v>0</v>
      </c>
      <c r="N4" s="522">
        <v>3</v>
      </c>
      <c r="O4" s="522">
        <v>0</v>
      </c>
      <c r="P4" s="522">
        <v>0</v>
      </c>
      <c r="Q4" s="522">
        <v>3</v>
      </c>
      <c r="R4" s="523">
        <v>0</v>
      </c>
      <c r="S4" s="521" t="b">
        <v>0</v>
      </c>
      <c r="T4" s="522" t="b">
        <v>1</v>
      </c>
      <c r="U4" s="522" t="b">
        <v>0</v>
      </c>
      <c r="V4" s="522" t="b">
        <v>0</v>
      </c>
      <c r="W4" s="522" t="b">
        <v>1</v>
      </c>
      <c r="X4" s="523" t="b">
        <v>0</v>
      </c>
      <c r="Y4" s="523" t="s">
        <v>44</v>
      </c>
      <c r="Z4" s="578"/>
      <c r="AA4" s="524"/>
      <c r="AB4" s="525" t="str">
        <f t="shared" si="0"/>
        <v/>
      </c>
      <c r="AC4" s="525" t="str">
        <f t="shared" si="1"/>
        <v>Water</v>
      </c>
      <c r="AD4" s="525" t="str">
        <f t="shared" si="2"/>
        <v/>
      </c>
      <c r="AE4" s="525" t="str">
        <f t="shared" si="3"/>
        <v/>
      </c>
      <c r="AF4" s="525" t="str">
        <f t="shared" si="4"/>
        <v>Shadow</v>
      </c>
      <c r="AG4" s="525" t="str">
        <f t="shared" si="5"/>
        <v/>
      </c>
      <c r="AH4" s="525" t="str">
        <f>E4</f>
        <v>Bob</v>
      </c>
      <c r="AI4" s="525" t="str">
        <f>E5</f>
        <v>Craig</v>
      </c>
    </row>
    <row r="5" spans="1:35" x14ac:dyDescent="0.2">
      <c r="A5" s="598"/>
      <c r="B5" s="598"/>
      <c r="C5" s="561"/>
      <c r="D5" s="561"/>
      <c r="E5" s="526" t="s">
        <v>418</v>
      </c>
      <c r="F5" s="527" t="s">
        <v>419</v>
      </c>
      <c r="G5" s="186">
        <v>636</v>
      </c>
      <c r="H5" s="186">
        <v>635</v>
      </c>
      <c r="I5" s="186">
        <v>635</v>
      </c>
      <c r="J5" s="188">
        <v>9</v>
      </c>
      <c r="K5" s="186">
        <v>11</v>
      </c>
      <c r="L5" s="528">
        <v>11</v>
      </c>
      <c r="M5" s="526">
        <v>3</v>
      </c>
      <c r="N5" s="529">
        <v>0</v>
      </c>
      <c r="O5" s="529">
        <v>3</v>
      </c>
      <c r="P5" s="529">
        <v>0</v>
      </c>
      <c r="Q5" s="529">
        <v>0</v>
      </c>
      <c r="R5" s="527">
        <v>0</v>
      </c>
      <c r="S5" s="526" t="b">
        <v>1</v>
      </c>
      <c r="T5" s="529" t="b">
        <v>0</v>
      </c>
      <c r="U5" s="529" t="b">
        <v>1</v>
      </c>
      <c r="V5" s="529" t="b">
        <v>0</v>
      </c>
      <c r="W5" s="529" t="b">
        <v>0</v>
      </c>
      <c r="X5" s="527" t="b">
        <v>0</v>
      </c>
      <c r="Y5" s="527" t="s">
        <v>40</v>
      </c>
      <c r="Z5" s="579"/>
      <c r="AA5" s="524"/>
      <c r="AB5" s="525" t="str">
        <f t="shared" si="0"/>
        <v>Fire</v>
      </c>
      <c r="AC5" s="525" t="str">
        <f t="shared" si="1"/>
        <v/>
      </c>
      <c r="AD5" s="525" t="str">
        <f t="shared" si="2"/>
        <v>Air</v>
      </c>
      <c r="AE5" s="525" t="str">
        <f t="shared" si="3"/>
        <v/>
      </c>
      <c r="AF5" s="525" t="str">
        <f t="shared" si="4"/>
        <v/>
      </c>
      <c r="AG5" s="525" t="str">
        <f t="shared" si="5"/>
        <v/>
      </c>
      <c r="AH5" s="525" t="str">
        <f>E4</f>
        <v>Bob</v>
      </c>
      <c r="AI5" s="525" t="str">
        <f>E5</f>
        <v>Craig</v>
      </c>
    </row>
    <row r="6" spans="1:35" x14ac:dyDescent="0.2">
      <c r="A6" s="636">
        <f>A3+1</f>
        <v>2</v>
      </c>
      <c r="B6" s="608" t="s">
        <v>420</v>
      </c>
      <c r="C6" s="609" t="s">
        <v>189</v>
      </c>
      <c r="D6" s="609" t="s">
        <v>188</v>
      </c>
      <c r="E6" s="518" t="s">
        <v>285</v>
      </c>
      <c r="F6" s="519" t="s">
        <v>421</v>
      </c>
      <c r="G6" s="156">
        <v>5</v>
      </c>
      <c r="H6" s="156">
        <v>5</v>
      </c>
      <c r="I6" s="156">
        <v>5</v>
      </c>
      <c r="J6" s="157">
        <v>1</v>
      </c>
      <c r="K6" s="156">
        <v>1</v>
      </c>
      <c r="L6" s="520">
        <v>1</v>
      </c>
      <c r="M6" s="521">
        <v>0</v>
      </c>
      <c r="N6" s="522">
        <v>0</v>
      </c>
      <c r="O6" s="522">
        <v>0</v>
      </c>
      <c r="P6" s="522">
        <v>0</v>
      </c>
      <c r="Q6" s="522">
        <v>0</v>
      </c>
      <c r="R6" s="523">
        <v>0</v>
      </c>
      <c r="S6" s="521" t="b">
        <v>0</v>
      </c>
      <c r="T6" s="522" t="b">
        <v>0</v>
      </c>
      <c r="U6" s="522" t="b">
        <v>0</v>
      </c>
      <c r="V6" s="522" t="b">
        <v>1</v>
      </c>
      <c r="W6" s="522" t="b">
        <v>0</v>
      </c>
      <c r="X6" s="523" t="b">
        <v>0</v>
      </c>
      <c r="Y6" s="523" t="s">
        <v>42</v>
      </c>
      <c r="Z6" s="637" t="s">
        <v>422</v>
      </c>
      <c r="AA6" s="524"/>
      <c r="AB6" s="525" t="str">
        <f t="shared" si="0"/>
        <v/>
      </c>
      <c r="AC6" s="525" t="str">
        <f t="shared" si="1"/>
        <v/>
      </c>
      <c r="AD6" s="525" t="str">
        <f t="shared" si="2"/>
        <v/>
      </c>
      <c r="AE6" s="525" t="str">
        <f t="shared" si="3"/>
        <v>Earth</v>
      </c>
      <c r="AF6" s="525" t="str">
        <f t="shared" si="4"/>
        <v/>
      </c>
      <c r="AG6" s="525" t="str">
        <f t="shared" si="5"/>
        <v/>
      </c>
      <c r="AH6" s="525" t="str">
        <f>E7</f>
        <v>Jim</v>
      </c>
      <c r="AI6" s="525" t="str">
        <f>E8</f>
        <v>Jordan</v>
      </c>
    </row>
    <row r="7" spans="1:35" x14ac:dyDescent="0.2">
      <c r="A7" s="597"/>
      <c r="B7" s="597"/>
      <c r="C7" s="558"/>
      <c r="D7" s="558"/>
      <c r="E7" s="521" t="s">
        <v>286</v>
      </c>
      <c r="F7" s="523" t="s">
        <v>423</v>
      </c>
      <c r="G7" s="156">
        <v>5</v>
      </c>
      <c r="H7" s="156">
        <v>5</v>
      </c>
      <c r="I7" s="156">
        <v>5</v>
      </c>
      <c r="J7" s="157">
        <v>1</v>
      </c>
      <c r="K7" s="156">
        <v>1</v>
      </c>
      <c r="L7" s="520">
        <v>1</v>
      </c>
      <c r="M7" s="521">
        <v>0</v>
      </c>
      <c r="N7" s="522">
        <v>0</v>
      </c>
      <c r="O7" s="522">
        <v>0</v>
      </c>
      <c r="P7" s="522">
        <v>0</v>
      </c>
      <c r="Q7" s="522">
        <v>0</v>
      </c>
      <c r="R7" s="523">
        <v>0</v>
      </c>
      <c r="S7" s="521" t="b">
        <v>0</v>
      </c>
      <c r="T7" s="522" t="b">
        <v>0</v>
      </c>
      <c r="U7" s="522" t="b">
        <v>0</v>
      </c>
      <c r="V7" s="522" t="b">
        <v>1</v>
      </c>
      <c r="W7" s="522" t="b">
        <v>0</v>
      </c>
      <c r="X7" s="523" t="b">
        <v>0</v>
      </c>
      <c r="Y7" s="523" t="s">
        <v>42</v>
      </c>
      <c r="Z7" s="578"/>
      <c r="AA7" s="524"/>
      <c r="AB7" s="525" t="str">
        <f t="shared" si="0"/>
        <v/>
      </c>
      <c r="AC7" s="525" t="str">
        <f t="shared" si="1"/>
        <v/>
      </c>
      <c r="AD7" s="525" t="str">
        <f t="shared" si="2"/>
        <v/>
      </c>
      <c r="AE7" s="525" t="str">
        <f t="shared" si="3"/>
        <v>Earth</v>
      </c>
      <c r="AF7" s="525" t="str">
        <f t="shared" si="4"/>
        <v/>
      </c>
      <c r="AG7" s="525" t="str">
        <f t="shared" si="5"/>
        <v/>
      </c>
      <c r="AH7" s="525" t="str">
        <f>E7</f>
        <v>Jim</v>
      </c>
      <c r="AI7" s="525" t="str">
        <f>E8</f>
        <v>Jordan</v>
      </c>
    </row>
    <row r="8" spans="1:35" x14ac:dyDescent="0.2">
      <c r="A8" s="598"/>
      <c r="B8" s="598"/>
      <c r="C8" s="561"/>
      <c r="D8" s="561"/>
      <c r="E8" s="526" t="s">
        <v>287</v>
      </c>
      <c r="F8" s="527" t="s">
        <v>424</v>
      </c>
      <c r="G8" s="186">
        <v>5</v>
      </c>
      <c r="H8" s="186">
        <v>5</v>
      </c>
      <c r="I8" s="186">
        <v>5</v>
      </c>
      <c r="J8" s="188">
        <v>1</v>
      </c>
      <c r="K8" s="186">
        <v>1</v>
      </c>
      <c r="L8" s="528">
        <v>1</v>
      </c>
      <c r="M8" s="526">
        <v>0</v>
      </c>
      <c r="N8" s="529">
        <v>0</v>
      </c>
      <c r="O8" s="529">
        <v>0</v>
      </c>
      <c r="P8" s="529">
        <v>0</v>
      </c>
      <c r="Q8" s="529">
        <v>0</v>
      </c>
      <c r="R8" s="527">
        <v>0</v>
      </c>
      <c r="S8" s="526" t="b">
        <v>0</v>
      </c>
      <c r="T8" s="529" t="b">
        <v>0</v>
      </c>
      <c r="U8" s="529" t="b">
        <v>0</v>
      </c>
      <c r="V8" s="529" t="b">
        <v>1</v>
      </c>
      <c r="W8" s="529" t="b">
        <v>0</v>
      </c>
      <c r="X8" s="527" t="b">
        <v>0</v>
      </c>
      <c r="Y8" s="527" t="s">
        <v>42</v>
      </c>
      <c r="Z8" s="579"/>
      <c r="AA8" s="524"/>
      <c r="AB8" s="525" t="str">
        <f t="shared" si="0"/>
        <v/>
      </c>
      <c r="AC8" s="525" t="str">
        <f t="shared" si="1"/>
        <v/>
      </c>
      <c r="AD8" s="525" t="str">
        <f t="shared" si="2"/>
        <v/>
      </c>
      <c r="AE8" s="525" t="str">
        <f t="shared" si="3"/>
        <v>Earth</v>
      </c>
      <c r="AF8" s="525" t="str">
        <f t="shared" si="4"/>
        <v/>
      </c>
      <c r="AG8" s="525" t="str">
        <f t="shared" si="5"/>
        <v/>
      </c>
      <c r="AH8" s="525" t="str">
        <f>E7</f>
        <v>Jim</v>
      </c>
      <c r="AI8" s="525" t="str">
        <f>E8</f>
        <v>Jordan</v>
      </c>
    </row>
    <row r="9" spans="1:35" x14ac:dyDescent="0.2">
      <c r="A9" s="636">
        <f>A6+1</f>
        <v>3</v>
      </c>
      <c r="B9" s="608"/>
      <c r="C9" s="609"/>
      <c r="D9" s="609"/>
      <c r="E9" s="518"/>
      <c r="F9" s="519"/>
      <c r="G9" s="156"/>
      <c r="H9" s="156"/>
      <c r="I9" s="156"/>
      <c r="J9" s="157"/>
      <c r="K9" s="156"/>
      <c r="L9" s="520"/>
      <c r="M9" s="521"/>
      <c r="N9" s="522"/>
      <c r="O9" s="522"/>
      <c r="P9" s="522"/>
      <c r="Q9" s="522"/>
      <c r="R9" s="523"/>
      <c r="S9" s="521"/>
      <c r="T9" s="522"/>
      <c r="U9" s="522"/>
      <c r="V9" s="522"/>
      <c r="W9" s="522"/>
      <c r="X9" s="523"/>
      <c r="Y9" s="523"/>
      <c r="Z9" s="637"/>
      <c r="AA9" s="530"/>
      <c r="AB9" s="525" t="str">
        <f t="shared" si="0"/>
        <v/>
      </c>
      <c r="AC9" s="525" t="str">
        <f t="shared" si="1"/>
        <v/>
      </c>
      <c r="AD9" s="525" t="str">
        <f t="shared" si="2"/>
        <v/>
      </c>
      <c r="AE9" s="525" t="str">
        <f t="shared" si="3"/>
        <v/>
      </c>
      <c r="AF9" s="525" t="str">
        <f t="shared" si="4"/>
        <v/>
      </c>
      <c r="AG9" s="525" t="str">
        <f t="shared" si="5"/>
        <v/>
      </c>
      <c r="AH9" s="525">
        <f>E10</f>
        <v>0</v>
      </c>
      <c r="AI9" s="525">
        <f>E11</f>
        <v>0</v>
      </c>
    </row>
    <row r="10" spans="1:35" x14ac:dyDescent="0.2">
      <c r="A10" s="597"/>
      <c r="B10" s="597"/>
      <c r="C10" s="558"/>
      <c r="D10" s="558"/>
      <c r="E10" s="521"/>
      <c r="F10" s="523"/>
      <c r="G10" s="156"/>
      <c r="H10" s="156"/>
      <c r="I10" s="156"/>
      <c r="J10" s="157"/>
      <c r="K10" s="156"/>
      <c r="L10" s="520"/>
      <c r="M10" s="521"/>
      <c r="N10" s="522"/>
      <c r="O10" s="522"/>
      <c r="P10" s="522"/>
      <c r="Q10" s="522"/>
      <c r="R10" s="523"/>
      <c r="S10" s="521"/>
      <c r="T10" s="522"/>
      <c r="U10" s="522"/>
      <c r="V10" s="522"/>
      <c r="W10" s="522"/>
      <c r="X10" s="523"/>
      <c r="Y10" s="523"/>
      <c r="Z10" s="578"/>
      <c r="AA10" s="530"/>
      <c r="AB10" s="525" t="str">
        <f t="shared" si="0"/>
        <v/>
      </c>
      <c r="AC10" s="525" t="str">
        <f t="shared" si="1"/>
        <v/>
      </c>
      <c r="AD10" s="525" t="str">
        <f t="shared" si="2"/>
        <v/>
      </c>
      <c r="AE10" s="525" t="str">
        <f t="shared" si="3"/>
        <v/>
      </c>
      <c r="AF10" s="525" t="str">
        <f t="shared" si="4"/>
        <v/>
      </c>
      <c r="AG10" s="525" t="str">
        <f t="shared" si="5"/>
        <v/>
      </c>
      <c r="AH10" s="525">
        <f>E10</f>
        <v>0</v>
      </c>
      <c r="AI10" s="525">
        <f>E11</f>
        <v>0</v>
      </c>
    </row>
    <row r="11" spans="1:35" x14ac:dyDescent="0.2">
      <c r="A11" s="598"/>
      <c r="B11" s="598"/>
      <c r="C11" s="561"/>
      <c r="D11" s="561"/>
      <c r="E11" s="526"/>
      <c r="F11" s="527"/>
      <c r="G11" s="186"/>
      <c r="H11" s="186"/>
      <c r="I11" s="186"/>
      <c r="J11" s="188"/>
      <c r="K11" s="186"/>
      <c r="L11" s="528"/>
      <c r="M11" s="526"/>
      <c r="N11" s="529"/>
      <c r="O11" s="529"/>
      <c r="P11" s="529"/>
      <c r="Q11" s="529"/>
      <c r="R11" s="527"/>
      <c r="S11" s="526"/>
      <c r="T11" s="529"/>
      <c r="U11" s="529"/>
      <c r="V11" s="529"/>
      <c r="W11" s="529"/>
      <c r="X11" s="527"/>
      <c r="Y11" s="527"/>
      <c r="Z11" s="579"/>
      <c r="AA11" s="530"/>
      <c r="AB11" s="525" t="str">
        <f t="shared" si="0"/>
        <v/>
      </c>
      <c r="AC11" s="525" t="str">
        <f t="shared" si="1"/>
        <v/>
      </c>
      <c r="AD11" s="525" t="str">
        <f t="shared" si="2"/>
        <v/>
      </c>
      <c r="AE11" s="525" t="str">
        <f t="shared" si="3"/>
        <v/>
      </c>
      <c r="AF11" s="525" t="str">
        <f t="shared" si="4"/>
        <v/>
      </c>
      <c r="AG11" s="525" t="str">
        <f t="shared" si="5"/>
        <v/>
      </c>
      <c r="AH11" s="525">
        <f>E10</f>
        <v>0</v>
      </c>
      <c r="AI11" s="525">
        <f>E11</f>
        <v>0</v>
      </c>
    </row>
    <row r="12" spans="1:35" x14ac:dyDescent="0.2">
      <c r="A12" s="636">
        <f>A9+1</f>
        <v>4</v>
      </c>
      <c r="B12" s="608"/>
      <c r="C12" s="609"/>
      <c r="D12" s="609"/>
      <c r="E12" s="518"/>
      <c r="F12" s="519"/>
      <c r="G12" s="156"/>
      <c r="H12" s="156"/>
      <c r="I12" s="156"/>
      <c r="J12" s="157"/>
      <c r="K12" s="156"/>
      <c r="L12" s="520"/>
      <c r="M12" s="521"/>
      <c r="N12" s="522"/>
      <c r="O12" s="522"/>
      <c r="P12" s="522"/>
      <c r="Q12" s="522"/>
      <c r="R12" s="523"/>
      <c r="S12" s="521"/>
      <c r="T12" s="522"/>
      <c r="U12" s="522"/>
      <c r="V12" s="522"/>
      <c r="W12" s="522"/>
      <c r="X12" s="523"/>
      <c r="Y12" s="523"/>
      <c r="Z12" s="637"/>
      <c r="AA12" s="530"/>
      <c r="AB12" s="525" t="str">
        <f t="shared" si="0"/>
        <v/>
      </c>
      <c r="AC12" s="525" t="str">
        <f t="shared" si="1"/>
        <v/>
      </c>
      <c r="AD12" s="525" t="str">
        <f t="shared" si="2"/>
        <v/>
      </c>
      <c r="AE12" s="525" t="str">
        <f t="shared" si="3"/>
        <v/>
      </c>
      <c r="AF12" s="525" t="str">
        <f t="shared" si="4"/>
        <v/>
      </c>
      <c r="AG12" s="525" t="str">
        <f t="shared" si="5"/>
        <v/>
      </c>
      <c r="AH12" s="525">
        <f>E13</f>
        <v>0</v>
      </c>
      <c r="AI12" s="525">
        <f>E14</f>
        <v>0</v>
      </c>
    </row>
    <row r="13" spans="1:35" x14ac:dyDescent="0.2">
      <c r="A13" s="597"/>
      <c r="B13" s="597"/>
      <c r="C13" s="558"/>
      <c r="D13" s="558"/>
      <c r="E13" s="521"/>
      <c r="F13" s="523"/>
      <c r="G13" s="156"/>
      <c r="H13" s="156"/>
      <c r="I13" s="156"/>
      <c r="J13" s="157"/>
      <c r="K13" s="156"/>
      <c r="L13" s="520"/>
      <c r="M13" s="521"/>
      <c r="N13" s="522"/>
      <c r="O13" s="522"/>
      <c r="P13" s="522"/>
      <c r="Q13" s="522"/>
      <c r="R13" s="523"/>
      <c r="S13" s="521"/>
      <c r="T13" s="522"/>
      <c r="U13" s="522"/>
      <c r="V13" s="522"/>
      <c r="W13" s="522"/>
      <c r="X13" s="523"/>
      <c r="Y13" s="523"/>
      <c r="Z13" s="578"/>
      <c r="AA13" s="530"/>
      <c r="AB13" s="525" t="str">
        <f t="shared" si="0"/>
        <v/>
      </c>
      <c r="AC13" s="525" t="str">
        <f t="shared" si="1"/>
        <v/>
      </c>
      <c r="AD13" s="525" t="str">
        <f t="shared" si="2"/>
        <v/>
      </c>
      <c r="AE13" s="525" t="str">
        <f t="shared" si="3"/>
        <v/>
      </c>
      <c r="AF13" s="525" t="str">
        <f t="shared" si="4"/>
        <v/>
      </c>
      <c r="AG13" s="525" t="str">
        <f t="shared" si="5"/>
        <v/>
      </c>
      <c r="AH13" s="525">
        <f>E13</f>
        <v>0</v>
      </c>
      <c r="AI13" s="525">
        <f>E14</f>
        <v>0</v>
      </c>
    </row>
    <row r="14" spans="1:35" x14ac:dyDescent="0.2">
      <c r="A14" s="598"/>
      <c r="B14" s="598"/>
      <c r="C14" s="561"/>
      <c r="D14" s="561"/>
      <c r="E14" s="526"/>
      <c r="F14" s="527"/>
      <c r="G14" s="186"/>
      <c r="H14" s="186"/>
      <c r="I14" s="186"/>
      <c r="J14" s="188"/>
      <c r="K14" s="186"/>
      <c r="L14" s="528"/>
      <c r="M14" s="526"/>
      <c r="N14" s="529"/>
      <c r="O14" s="529"/>
      <c r="P14" s="529"/>
      <c r="Q14" s="529"/>
      <c r="R14" s="527"/>
      <c r="S14" s="526"/>
      <c r="T14" s="529"/>
      <c r="U14" s="529"/>
      <c r="V14" s="529"/>
      <c r="W14" s="529"/>
      <c r="X14" s="527"/>
      <c r="Y14" s="527"/>
      <c r="Z14" s="579"/>
      <c r="AA14" s="530"/>
      <c r="AB14" s="525" t="str">
        <f t="shared" si="0"/>
        <v/>
      </c>
      <c r="AC14" s="525" t="str">
        <f t="shared" si="1"/>
        <v/>
      </c>
      <c r="AD14" s="525" t="str">
        <f t="shared" si="2"/>
        <v/>
      </c>
      <c r="AE14" s="525" t="str">
        <f t="shared" si="3"/>
        <v/>
      </c>
      <c r="AF14" s="525" t="str">
        <f t="shared" si="4"/>
        <v/>
      </c>
      <c r="AG14" s="525" t="str">
        <f t="shared" si="5"/>
        <v/>
      </c>
      <c r="AH14" s="525">
        <f>E13</f>
        <v>0</v>
      </c>
      <c r="AI14" s="525">
        <f>E14</f>
        <v>0</v>
      </c>
    </row>
    <row r="15" spans="1:35" x14ac:dyDescent="0.2">
      <c r="A15" s="636">
        <f>A12+1</f>
        <v>5</v>
      </c>
      <c r="B15" s="608"/>
      <c r="C15" s="609"/>
      <c r="D15" s="609"/>
      <c r="E15" s="518"/>
      <c r="F15" s="519"/>
      <c r="G15" s="156"/>
      <c r="H15" s="156"/>
      <c r="I15" s="156"/>
      <c r="J15" s="157"/>
      <c r="K15" s="156"/>
      <c r="L15" s="520"/>
      <c r="M15" s="521"/>
      <c r="N15" s="522"/>
      <c r="O15" s="522"/>
      <c r="P15" s="522"/>
      <c r="Q15" s="522"/>
      <c r="R15" s="523"/>
      <c r="S15" s="521"/>
      <c r="T15" s="522"/>
      <c r="U15" s="522"/>
      <c r="V15" s="522"/>
      <c r="W15" s="522"/>
      <c r="X15" s="523"/>
      <c r="Y15" s="523"/>
      <c r="Z15" s="637"/>
      <c r="AA15" s="530"/>
      <c r="AB15" s="525" t="str">
        <f t="shared" si="0"/>
        <v/>
      </c>
      <c r="AC15" s="525" t="str">
        <f t="shared" si="1"/>
        <v/>
      </c>
      <c r="AD15" s="525" t="str">
        <f t="shared" si="2"/>
        <v/>
      </c>
      <c r="AE15" s="525" t="str">
        <f t="shared" si="3"/>
        <v/>
      </c>
      <c r="AF15" s="525" t="str">
        <f t="shared" si="4"/>
        <v/>
      </c>
      <c r="AG15" s="525" t="str">
        <f t="shared" si="5"/>
        <v/>
      </c>
      <c r="AH15" s="525">
        <f>E16</f>
        <v>0</v>
      </c>
      <c r="AI15" s="525">
        <f>E17</f>
        <v>0</v>
      </c>
    </row>
    <row r="16" spans="1:35" x14ac:dyDescent="0.2">
      <c r="A16" s="597"/>
      <c r="B16" s="597"/>
      <c r="C16" s="558"/>
      <c r="D16" s="558"/>
      <c r="E16" s="521"/>
      <c r="F16" s="523"/>
      <c r="G16" s="156"/>
      <c r="H16" s="156"/>
      <c r="I16" s="156"/>
      <c r="J16" s="157"/>
      <c r="K16" s="156"/>
      <c r="L16" s="520"/>
      <c r="M16" s="521"/>
      <c r="N16" s="522"/>
      <c r="O16" s="522"/>
      <c r="P16" s="522"/>
      <c r="Q16" s="522"/>
      <c r="R16" s="523"/>
      <c r="S16" s="521"/>
      <c r="T16" s="522"/>
      <c r="U16" s="522"/>
      <c r="V16" s="522"/>
      <c r="W16" s="522"/>
      <c r="X16" s="523"/>
      <c r="Y16" s="523"/>
      <c r="Z16" s="578"/>
      <c r="AA16" s="530"/>
      <c r="AB16" s="525" t="str">
        <f t="shared" si="0"/>
        <v/>
      </c>
      <c r="AC16" s="525" t="str">
        <f t="shared" si="1"/>
        <v/>
      </c>
      <c r="AD16" s="525" t="str">
        <f t="shared" si="2"/>
        <v/>
      </c>
      <c r="AE16" s="525" t="str">
        <f t="shared" si="3"/>
        <v/>
      </c>
      <c r="AF16" s="525" t="str">
        <f t="shared" si="4"/>
        <v/>
      </c>
      <c r="AG16" s="525" t="str">
        <f t="shared" si="5"/>
        <v/>
      </c>
      <c r="AH16" s="525">
        <f>E16</f>
        <v>0</v>
      </c>
      <c r="AI16" s="525">
        <f>E17</f>
        <v>0</v>
      </c>
    </row>
    <row r="17" spans="1:35" x14ac:dyDescent="0.2">
      <c r="A17" s="598"/>
      <c r="B17" s="598"/>
      <c r="C17" s="561"/>
      <c r="D17" s="561"/>
      <c r="E17" s="526"/>
      <c r="F17" s="527"/>
      <c r="G17" s="186"/>
      <c r="H17" s="186"/>
      <c r="I17" s="186"/>
      <c r="J17" s="188"/>
      <c r="K17" s="186"/>
      <c r="L17" s="528"/>
      <c r="M17" s="526"/>
      <c r="N17" s="529"/>
      <c r="O17" s="529"/>
      <c r="P17" s="529"/>
      <c r="Q17" s="529"/>
      <c r="R17" s="527"/>
      <c r="S17" s="526"/>
      <c r="T17" s="529"/>
      <c r="U17" s="529"/>
      <c r="V17" s="529"/>
      <c r="W17" s="529"/>
      <c r="X17" s="527"/>
      <c r="Y17" s="527"/>
      <c r="Z17" s="579"/>
      <c r="AA17" s="530"/>
      <c r="AB17" s="525" t="str">
        <f t="shared" si="0"/>
        <v/>
      </c>
      <c r="AC17" s="525" t="str">
        <f t="shared" si="1"/>
        <v/>
      </c>
      <c r="AD17" s="525" t="str">
        <f t="shared" si="2"/>
        <v/>
      </c>
      <c r="AE17" s="525" t="str">
        <f t="shared" si="3"/>
        <v/>
      </c>
      <c r="AF17" s="525" t="str">
        <f t="shared" si="4"/>
        <v/>
      </c>
      <c r="AG17" s="525" t="str">
        <f t="shared" si="5"/>
        <v/>
      </c>
      <c r="AH17" s="525">
        <f>E16</f>
        <v>0</v>
      </c>
      <c r="AI17" s="525">
        <f>E17</f>
        <v>0</v>
      </c>
    </row>
    <row r="18" spans="1:35" x14ac:dyDescent="0.2">
      <c r="A18" s="636">
        <f>A15+1</f>
        <v>6</v>
      </c>
      <c r="B18" s="608"/>
      <c r="C18" s="609"/>
      <c r="D18" s="609"/>
      <c r="E18" s="518"/>
      <c r="F18" s="519"/>
      <c r="G18" s="156"/>
      <c r="H18" s="156"/>
      <c r="I18" s="156"/>
      <c r="J18" s="157"/>
      <c r="K18" s="156"/>
      <c r="L18" s="520"/>
      <c r="M18" s="521"/>
      <c r="N18" s="522"/>
      <c r="O18" s="522"/>
      <c r="P18" s="522"/>
      <c r="Q18" s="522"/>
      <c r="R18" s="523"/>
      <c r="S18" s="521"/>
      <c r="T18" s="522"/>
      <c r="U18" s="522"/>
      <c r="V18" s="522"/>
      <c r="W18" s="522"/>
      <c r="X18" s="523"/>
      <c r="Y18" s="523"/>
      <c r="Z18" s="637"/>
      <c r="AA18" s="530"/>
      <c r="AB18" s="525" t="str">
        <f t="shared" si="0"/>
        <v/>
      </c>
      <c r="AC18" s="525" t="str">
        <f t="shared" si="1"/>
        <v/>
      </c>
      <c r="AD18" s="525" t="str">
        <f t="shared" si="2"/>
        <v/>
      </c>
      <c r="AE18" s="525" t="str">
        <f t="shared" si="3"/>
        <v/>
      </c>
      <c r="AF18" s="525" t="str">
        <f t="shared" si="4"/>
        <v/>
      </c>
      <c r="AG18" s="525" t="str">
        <f t="shared" si="5"/>
        <v/>
      </c>
      <c r="AH18" s="525">
        <f>E19</f>
        <v>0</v>
      </c>
      <c r="AI18" s="525">
        <f>E20</f>
        <v>0</v>
      </c>
    </row>
    <row r="19" spans="1:35" x14ac:dyDescent="0.2">
      <c r="A19" s="597"/>
      <c r="B19" s="597"/>
      <c r="C19" s="558"/>
      <c r="D19" s="558"/>
      <c r="E19" s="521"/>
      <c r="F19" s="523"/>
      <c r="G19" s="156"/>
      <c r="H19" s="156"/>
      <c r="I19" s="156"/>
      <c r="J19" s="157"/>
      <c r="K19" s="156"/>
      <c r="L19" s="520"/>
      <c r="M19" s="521"/>
      <c r="N19" s="522"/>
      <c r="O19" s="522"/>
      <c r="P19" s="522"/>
      <c r="Q19" s="522"/>
      <c r="R19" s="523"/>
      <c r="S19" s="521"/>
      <c r="T19" s="522"/>
      <c r="U19" s="522"/>
      <c r="V19" s="522"/>
      <c r="W19" s="522"/>
      <c r="X19" s="523"/>
      <c r="Y19" s="523"/>
      <c r="Z19" s="578"/>
      <c r="AA19" s="530"/>
      <c r="AB19" s="525" t="str">
        <f t="shared" si="0"/>
        <v/>
      </c>
      <c r="AC19" s="525" t="str">
        <f t="shared" si="1"/>
        <v/>
      </c>
      <c r="AD19" s="525" t="str">
        <f t="shared" si="2"/>
        <v/>
      </c>
      <c r="AE19" s="525" t="str">
        <f t="shared" si="3"/>
        <v/>
      </c>
      <c r="AF19" s="525" t="str">
        <f t="shared" si="4"/>
        <v/>
      </c>
      <c r="AG19" s="525" t="str">
        <f t="shared" si="5"/>
        <v/>
      </c>
      <c r="AH19" s="525">
        <f>E19</f>
        <v>0</v>
      </c>
      <c r="AI19" s="525">
        <f>E20</f>
        <v>0</v>
      </c>
    </row>
    <row r="20" spans="1:35" x14ac:dyDescent="0.2">
      <c r="A20" s="598"/>
      <c r="B20" s="598"/>
      <c r="C20" s="561"/>
      <c r="D20" s="561"/>
      <c r="E20" s="526"/>
      <c r="F20" s="527"/>
      <c r="G20" s="186"/>
      <c r="H20" s="186"/>
      <c r="I20" s="186"/>
      <c r="J20" s="188"/>
      <c r="K20" s="186"/>
      <c r="L20" s="528"/>
      <c r="M20" s="526"/>
      <c r="N20" s="529"/>
      <c r="O20" s="529"/>
      <c r="P20" s="529"/>
      <c r="Q20" s="529"/>
      <c r="R20" s="527"/>
      <c r="S20" s="526"/>
      <c r="T20" s="529"/>
      <c r="U20" s="529"/>
      <c r="V20" s="529"/>
      <c r="W20" s="529"/>
      <c r="X20" s="527"/>
      <c r="Y20" s="527"/>
      <c r="Z20" s="579"/>
      <c r="AA20" s="530"/>
      <c r="AB20" s="525" t="str">
        <f t="shared" si="0"/>
        <v/>
      </c>
      <c r="AC20" s="525" t="str">
        <f t="shared" si="1"/>
        <v/>
      </c>
      <c r="AD20" s="525" t="str">
        <f t="shared" si="2"/>
        <v/>
      </c>
      <c r="AE20" s="525" t="str">
        <f t="shared" si="3"/>
        <v/>
      </c>
      <c r="AF20" s="525" t="str">
        <f t="shared" si="4"/>
        <v/>
      </c>
      <c r="AG20" s="525" t="str">
        <f t="shared" si="5"/>
        <v/>
      </c>
      <c r="AH20" s="525">
        <f>E19</f>
        <v>0</v>
      </c>
      <c r="AI20" s="525">
        <f>E20</f>
        <v>0</v>
      </c>
    </row>
    <row r="21" spans="1:35" x14ac:dyDescent="0.2">
      <c r="A21" s="636">
        <f>A18+1</f>
        <v>7</v>
      </c>
      <c r="B21" s="608"/>
      <c r="C21" s="609"/>
      <c r="D21" s="609"/>
      <c r="E21" s="518"/>
      <c r="F21" s="519"/>
      <c r="G21" s="156"/>
      <c r="H21" s="156"/>
      <c r="I21" s="156"/>
      <c r="J21" s="157"/>
      <c r="K21" s="156"/>
      <c r="L21" s="520"/>
      <c r="M21" s="521"/>
      <c r="N21" s="522"/>
      <c r="O21" s="522"/>
      <c r="P21" s="522"/>
      <c r="Q21" s="522"/>
      <c r="R21" s="523"/>
      <c r="S21" s="521"/>
      <c r="T21" s="522"/>
      <c r="U21" s="522"/>
      <c r="V21" s="522"/>
      <c r="W21" s="522"/>
      <c r="X21" s="523"/>
      <c r="Y21" s="523"/>
      <c r="Z21" s="637"/>
      <c r="AA21" s="530"/>
      <c r="AB21" s="525" t="str">
        <f t="shared" si="0"/>
        <v/>
      </c>
      <c r="AC21" s="525" t="str">
        <f t="shared" si="1"/>
        <v/>
      </c>
      <c r="AD21" s="525" t="str">
        <f t="shared" si="2"/>
        <v/>
      </c>
      <c r="AE21" s="525" t="str">
        <f t="shared" si="3"/>
        <v/>
      </c>
      <c r="AF21" s="525" t="str">
        <f t="shared" si="4"/>
        <v/>
      </c>
      <c r="AG21" s="525" t="str">
        <f t="shared" si="5"/>
        <v/>
      </c>
      <c r="AH21" s="525">
        <f>E22</f>
        <v>0</v>
      </c>
      <c r="AI21" s="525">
        <f>E23</f>
        <v>0</v>
      </c>
    </row>
    <row r="22" spans="1:35" x14ac:dyDescent="0.2">
      <c r="A22" s="597"/>
      <c r="B22" s="597"/>
      <c r="C22" s="558"/>
      <c r="D22" s="558"/>
      <c r="E22" s="521"/>
      <c r="F22" s="523"/>
      <c r="G22" s="156"/>
      <c r="H22" s="156"/>
      <c r="I22" s="156"/>
      <c r="J22" s="157"/>
      <c r="K22" s="156"/>
      <c r="L22" s="520"/>
      <c r="M22" s="521"/>
      <c r="N22" s="522"/>
      <c r="O22" s="522"/>
      <c r="P22" s="522"/>
      <c r="Q22" s="522"/>
      <c r="R22" s="523"/>
      <c r="S22" s="521"/>
      <c r="T22" s="522"/>
      <c r="U22" s="522"/>
      <c r="V22" s="522"/>
      <c r="W22" s="522"/>
      <c r="X22" s="523"/>
      <c r="Y22" s="523"/>
      <c r="Z22" s="578"/>
      <c r="AA22" s="530"/>
      <c r="AB22" s="525" t="str">
        <f t="shared" si="0"/>
        <v/>
      </c>
      <c r="AC22" s="525" t="str">
        <f t="shared" si="1"/>
        <v/>
      </c>
      <c r="AD22" s="525" t="str">
        <f t="shared" si="2"/>
        <v/>
      </c>
      <c r="AE22" s="525" t="str">
        <f t="shared" si="3"/>
        <v/>
      </c>
      <c r="AF22" s="525" t="str">
        <f t="shared" si="4"/>
        <v/>
      </c>
      <c r="AG22" s="525" t="str">
        <f t="shared" si="5"/>
        <v/>
      </c>
      <c r="AH22" s="525">
        <f>E22</f>
        <v>0</v>
      </c>
      <c r="AI22" s="525">
        <f>E23</f>
        <v>0</v>
      </c>
    </row>
    <row r="23" spans="1:35" x14ac:dyDescent="0.2">
      <c r="A23" s="598"/>
      <c r="B23" s="598"/>
      <c r="C23" s="561"/>
      <c r="D23" s="561"/>
      <c r="E23" s="526"/>
      <c r="F23" s="527"/>
      <c r="G23" s="186"/>
      <c r="H23" s="186"/>
      <c r="I23" s="186"/>
      <c r="J23" s="188"/>
      <c r="K23" s="186"/>
      <c r="L23" s="528"/>
      <c r="M23" s="526"/>
      <c r="N23" s="529"/>
      <c r="O23" s="529"/>
      <c r="P23" s="529"/>
      <c r="Q23" s="529"/>
      <c r="R23" s="527"/>
      <c r="S23" s="526"/>
      <c r="T23" s="529"/>
      <c r="U23" s="529"/>
      <c r="V23" s="529"/>
      <c r="W23" s="529"/>
      <c r="X23" s="527"/>
      <c r="Y23" s="527"/>
      <c r="Z23" s="579"/>
      <c r="AA23" s="530"/>
      <c r="AB23" s="525" t="str">
        <f t="shared" si="0"/>
        <v/>
      </c>
      <c r="AC23" s="525" t="str">
        <f t="shared" si="1"/>
        <v/>
      </c>
      <c r="AD23" s="525" t="str">
        <f t="shared" si="2"/>
        <v/>
      </c>
      <c r="AE23" s="525" t="str">
        <f t="shared" si="3"/>
        <v/>
      </c>
      <c r="AF23" s="525" t="str">
        <f t="shared" si="4"/>
        <v/>
      </c>
      <c r="AG23" s="525" t="str">
        <f t="shared" si="5"/>
        <v/>
      </c>
      <c r="AH23" s="525">
        <f>E22</f>
        <v>0</v>
      </c>
      <c r="AI23" s="525">
        <f>E23</f>
        <v>0</v>
      </c>
    </row>
    <row r="24" spans="1:35" x14ac:dyDescent="0.2">
      <c r="A24" s="636">
        <f>A21+1</f>
        <v>8</v>
      </c>
      <c r="B24" s="608"/>
      <c r="C24" s="609"/>
      <c r="D24" s="609"/>
      <c r="E24" s="518"/>
      <c r="F24" s="519"/>
      <c r="G24" s="156"/>
      <c r="H24" s="156"/>
      <c r="I24" s="156"/>
      <c r="J24" s="157"/>
      <c r="K24" s="156"/>
      <c r="L24" s="520"/>
      <c r="M24" s="521"/>
      <c r="N24" s="522"/>
      <c r="O24" s="522"/>
      <c r="P24" s="522"/>
      <c r="Q24" s="522"/>
      <c r="R24" s="523"/>
      <c r="S24" s="521"/>
      <c r="T24" s="522"/>
      <c r="U24" s="522"/>
      <c r="V24" s="522"/>
      <c r="W24" s="522"/>
      <c r="X24" s="523"/>
      <c r="Y24" s="523"/>
      <c r="Z24" s="637"/>
      <c r="AA24" s="530"/>
      <c r="AB24" s="525" t="str">
        <f t="shared" si="0"/>
        <v/>
      </c>
      <c r="AC24" s="525" t="str">
        <f t="shared" si="1"/>
        <v/>
      </c>
      <c r="AD24" s="525" t="str">
        <f t="shared" si="2"/>
        <v/>
      </c>
      <c r="AE24" s="525" t="str">
        <f t="shared" si="3"/>
        <v/>
      </c>
      <c r="AF24" s="525" t="str">
        <f t="shared" si="4"/>
        <v/>
      </c>
      <c r="AG24" s="525" t="str">
        <f t="shared" si="5"/>
        <v/>
      </c>
      <c r="AH24" s="525">
        <f>E25</f>
        <v>0</v>
      </c>
      <c r="AI24" s="525">
        <f>E26</f>
        <v>0</v>
      </c>
    </row>
    <row r="25" spans="1:35" x14ac:dyDescent="0.2">
      <c r="A25" s="597"/>
      <c r="B25" s="597"/>
      <c r="C25" s="558"/>
      <c r="D25" s="558"/>
      <c r="E25" s="521"/>
      <c r="F25" s="523"/>
      <c r="G25" s="156"/>
      <c r="H25" s="156"/>
      <c r="I25" s="156"/>
      <c r="J25" s="157"/>
      <c r="K25" s="156"/>
      <c r="L25" s="520"/>
      <c r="M25" s="521"/>
      <c r="N25" s="522"/>
      <c r="O25" s="522"/>
      <c r="P25" s="522"/>
      <c r="Q25" s="522"/>
      <c r="R25" s="523"/>
      <c r="S25" s="521"/>
      <c r="T25" s="522"/>
      <c r="U25" s="522"/>
      <c r="V25" s="522"/>
      <c r="W25" s="522"/>
      <c r="X25" s="523"/>
      <c r="Y25" s="523"/>
      <c r="Z25" s="578"/>
      <c r="AA25" s="530"/>
      <c r="AB25" s="525" t="str">
        <f t="shared" si="0"/>
        <v/>
      </c>
      <c r="AC25" s="525" t="str">
        <f t="shared" si="1"/>
        <v/>
      </c>
      <c r="AD25" s="525" t="str">
        <f t="shared" si="2"/>
        <v/>
      </c>
      <c r="AE25" s="525" t="str">
        <f t="shared" si="3"/>
        <v/>
      </c>
      <c r="AF25" s="525" t="str">
        <f t="shared" si="4"/>
        <v/>
      </c>
      <c r="AG25" s="525" t="str">
        <f t="shared" si="5"/>
        <v/>
      </c>
      <c r="AH25" s="525">
        <f>E25</f>
        <v>0</v>
      </c>
      <c r="AI25" s="525">
        <f>E26</f>
        <v>0</v>
      </c>
    </row>
    <row r="26" spans="1:35" x14ac:dyDescent="0.2">
      <c r="A26" s="598"/>
      <c r="B26" s="598"/>
      <c r="C26" s="561"/>
      <c r="D26" s="561"/>
      <c r="E26" s="526"/>
      <c r="F26" s="527"/>
      <c r="G26" s="186"/>
      <c r="H26" s="186"/>
      <c r="I26" s="186"/>
      <c r="J26" s="188"/>
      <c r="K26" s="186"/>
      <c r="L26" s="528"/>
      <c r="M26" s="526"/>
      <c r="N26" s="529"/>
      <c r="O26" s="529"/>
      <c r="P26" s="529"/>
      <c r="Q26" s="529"/>
      <c r="R26" s="527"/>
      <c r="S26" s="526"/>
      <c r="T26" s="529"/>
      <c r="U26" s="529"/>
      <c r="V26" s="529"/>
      <c r="W26" s="529"/>
      <c r="X26" s="527"/>
      <c r="Y26" s="527"/>
      <c r="Z26" s="579"/>
      <c r="AA26" s="530"/>
      <c r="AB26" s="525" t="str">
        <f t="shared" si="0"/>
        <v/>
      </c>
      <c r="AC26" s="525" t="str">
        <f t="shared" si="1"/>
        <v/>
      </c>
      <c r="AD26" s="525" t="str">
        <f t="shared" si="2"/>
        <v/>
      </c>
      <c r="AE26" s="525" t="str">
        <f t="shared" si="3"/>
        <v/>
      </c>
      <c r="AF26" s="525" t="str">
        <f t="shared" si="4"/>
        <v/>
      </c>
      <c r="AG26" s="525" t="str">
        <f t="shared" si="5"/>
        <v/>
      </c>
      <c r="AH26" s="525">
        <f>E25</f>
        <v>0</v>
      </c>
      <c r="AI26" s="525">
        <f>E26</f>
        <v>0</v>
      </c>
    </row>
    <row r="27" spans="1:35" x14ac:dyDescent="0.2">
      <c r="A27" s="636">
        <f>A24+1</f>
        <v>9</v>
      </c>
      <c r="B27" s="608"/>
      <c r="C27" s="609"/>
      <c r="D27" s="609"/>
      <c r="E27" s="518"/>
      <c r="F27" s="519"/>
      <c r="G27" s="156"/>
      <c r="H27" s="156"/>
      <c r="I27" s="156"/>
      <c r="J27" s="157"/>
      <c r="K27" s="156"/>
      <c r="L27" s="520"/>
      <c r="M27" s="521"/>
      <c r="N27" s="522"/>
      <c r="O27" s="522"/>
      <c r="P27" s="522"/>
      <c r="Q27" s="522"/>
      <c r="R27" s="523"/>
      <c r="S27" s="521"/>
      <c r="T27" s="522"/>
      <c r="U27" s="522"/>
      <c r="V27" s="522"/>
      <c r="W27" s="522"/>
      <c r="X27" s="523"/>
      <c r="Y27" s="523"/>
      <c r="Z27" s="637"/>
      <c r="AA27" s="530"/>
      <c r="AB27" s="525" t="str">
        <f t="shared" si="0"/>
        <v/>
      </c>
      <c r="AC27" s="525" t="str">
        <f t="shared" si="1"/>
        <v/>
      </c>
      <c r="AD27" s="525" t="str">
        <f t="shared" si="2"/>
        <v/>
      </c>
      <c r="AE27" s="525" t="str">
        <f t="shared" si="3"/>
        <v/>
      </c>
      <c r="AF27" s="525" t="str">
        <f t="shared" si="4"/>
        <v/>
      </c>
      <c r="AG27" s="525" t="str">
        <f t="shared" si="5"/>
        <v/>
      </c>
      <c r="AH27" s="525">
        <f>E28</f>
        <v>0</v>
      </c>
      <c r="AI27" s="525">
        <f>E29</f>
        <v>0</v>
      </c>
    </row>
    <row r="28" spans="1:35" x14ac:dyDescent="0.2">
      <c r="A28" s="597"/>
      <c r="B28" s="597"/>
      <c r="C28" s="558"/>
      <c r="D28" s="558"/>
      <c r="E28" s="521"/>
      <c r="F28" s="523"/>
      <c r="G28" s="156"/>
      <c r="H28" s="156"/>
      <c r="I28" s="156"/>
      <c r="J28" s="157"/>
      <c r="K28" s="156"/>
      <c r="L28" s="520"/>
      <c r="M28" s="521"/>
      <c r="N28" s="522"/>
      <c r="O28" s="522"/>
      <c r="P28" s="522"/>
      <c r="Q28" s="522"/>
      <c r="R28" s="523"/>
      <c r="S28" s="521"/>
      <c r="T28" s="522"/>
      <c r="U28" s="522"/>
      <c r="V28" s="522"/>
      <c r="W28" s="522"/>
      <c r="X28" s="523"/>
      <c r="Y28" s="523"/>
      <c r="Z28" s="578"/>
      <c r="AA28" s="530"/>
      <c r="AB28" s="525" t="str">
        <f t="shared" si="0"/>
        <v/>
      </c>
      <c r="AC28" s="525" t="str">
        <f t="shared" si="1"/>
        <v/>
      </c>
      <c r="AD28" s="525" t="str">
        <f t="shared" si="2"/>
        <v/>
      </c>
      <c r="AE28" s="525" t="str">
        <f t="shared" si="3"/>
        <v/>
      </c>
      <c r="AF28" s="525" t="str">
        <f t="shared" si="4"/>
        <v/>
      </c>
      <c r="AG28" s="525" t="str">
        <f t="shared" si="5"/>
        <v/>
      </c>
      <c r="AH28" s="525">
        <f>E28</f>
        <v>0</v>
      </c>
      <c r="AI28" s="525">
        <f>E29</f>
        <v>0</v>
      </c>
    </row>
    <row r="29" spans="1:35" x14ac:dyDescent="0.2">
      <c r="A29" s="598"/>
      <c r="B29" s="598"/>
      <c r="C29" s="561"/>
      <c r="D29" s="561"/>
      <c r="E29" s="526"/>
      <c r="F29" s="527"/>
      <c r="G29" s="186"/>
      <c r="H29" s="186"/>
      <c r="I29" s="186"/>
      <c r="J29" s="188"/>
      <c r="K29" s="186"/>
      <c r="L29" s="528"/>
      <c r="M29" s="526"/>
      <c r="N29" s="529"/>
      <c r="O29" s="529"/>
      <c r="P29" s="529"/>
      <c r="Q29" s="529"/>
      <c r="R29" s="527"/>
      <c r="S29" s="526"/>
      <c r="T29" s="529"/>
      <c r="U29" s="529"/>
      <c r="V29" s="529"/>
      <c r="W29" s="529"/>
      <c r="X29" s="527"/>
      <c r="Y29" s="527"/>
      <c r="Z29" s="579"/>
      <c r="AA29" s="530"/>
      <c r="AB29" s="525" t="str">
        <f t="shared" si="0"/>
        <v/>
      </c>
      <c r="AC29" s="525" t="str">
        <f t="shared" si="1"/>
        <v/>
      </c>
      <c r="AD29" s="525" t="str">
        <f t="shared" si="2"/>
        <v/>
      </c>
      <c r="AE29" s="525" t="str">
        <f t="shared" si="3"/>
        <v/>
      </c>
      <c r="AF29" s="525" t="str">
        <f t="shared" si="4"/>
        <v/>
      </c>
      <c r="AG29" s="525" t="str">
        <f t="shared" si="5"/>
        <v/>
      </c>
      <c r="AH29" s="525">
        <f>E28</f>
        <v>0</v>
      </c>
      <c r="AI29" s="525">
        <f>E29</f>
        <v>0</v>
      </c>
    </row>
    <row r="30" spans="1:35" x14ac:dyDescent="0.2">
      <c r="A30" s="636">
        <f>A27+1</f>
        <v>10</v>
      </c>
      <c r="B30" s="608"/>
      <c r="C30" s="609"/>
      <c r="D30" s="609"/>
      <c r="E30" s="518"/>
      <c r="F30" s="519"/>
      <c r="G30" s="156"/>
      <c r="H30" s="156"/>
      <c r="I30" s="156"/>
      <c r="J30" s="157"/>
      <c r="K30" s="156"/>
      <c r="L30" s="520"/>
      <c r="M30" s="521"/>
      <c r="N30" s="522"/>
      <c r="O30" s="522"/>
      <c r="P30" s="522"/>
      <c r="Q30" s="522"/>
      <c r="R30" s="523"/>
      <c r="S30" s="521"/>
      <c r="T30" s="522"/>
      <c r="U30" s="522"/>
      <c r="V30" s="522"/>
      <c r="W30" s="522"/>
      <c r="X30" s="523"/>
      <c r="Y30" s="523"/>
      <c r="Z30" s="637"/>
      <c r="AA30" s="530"/>
      <c r="AB30" s="525" t="str">
        <f t="shared" si="0"/>
        <v/>
      </c>
      <c r="AC30" s="525" t="str">
        <f t="shared" si="1"/>
        <v/>
      </c>
      <c r="AD30" s="525" t="str">
        <f t="shared" si="2"/>
        <v/>
      </c>
      <c r="AE30" s="525" t="str">
        <f t="shared" si="3"/>
        <v/>
      </c>
      <c r="AF30" s="525" t="str">
        <f t="shared" si="4"/>
        <v/>
      </c>
      <c r="AG30" s="525" t="str">
        <f t="shared" si="5"/>
        <v/>
      </c>
      <c r="AH30" s="525">
        <f>E31</f>
        <v>0</v>
      </c>
      <c r="AI30" s="525">
        <f>E32</f>
        <v>0</v>
      </c>
    </row>
    <row r="31" spans="1:35" x14ac:dyDescent="0.2">
      <c r="A31" s="597"/>
      <c r="B31" s="597"/>
      <c r="C31" s="558"/>
      <c r="D31" s="558"/>
      <c r="E31" s="521"/>
      <c r="F31" s="523"/>
      <c r="G31" s="156"/>
      <c r="H31" s="156"/>
      <c r="I31" s="156"/>
      <c r="J31" s="157"/>
      <c r="K31" s="156"/>
      <c r="L31" s="520"/>
      <c r="M31" s="521"/>
      <c r="N31" s="522"/>
      <c r="O31" s="522"/>
      <c r="P31" s="522"/>
      <c r="Q31" s="522"/>
      <c r="R31" s="523"/>
      <c r="S31" s="521"/>
      <c r="T31" s="522"/>
      <c r="U31" s="522"/>
      <c r="V31" s="522"/>
      <c r="W31" s="522"/>
      <c r="X31" s="523"/>
      <c r="Y31" s="523"/>
      <c r="Z31" s="578"/>
      <c r="AA31" s="530"/>
      <c r="AB31" s="525" t="str">
        <f t="shared" si="0"/>
        <v/>
      </c>
      <c r="AC31" s="525" t="str">
        <f t="shared" si="1"/>
        <v/>
      </c>
      <c r="AD31" s="525" t="str">
        <f t="shared" si="2"/>
        <v/>
      </c>
      <c r="AE31" s="525" t="str">
        <f t="shared" si="3"/>
        <v/>
      </c>
      <c r="AF31" s="525" t="str">
        <f t="shared" si="4"/>
        <v/>
      </c>
      <c r="AG31" s="525" t="str">
        <f t="shared" si="5"/>
        <v/>
      </c>
      <c r="AH31" s="525">
        <f>E31</f>
        <v>0</v>
      </c>
      <c r="AI31" s="525">
        <f>E32</f>
        <v>0</v>
      </c>
    </row>
    <row r="32" spans="1:35" x14ac:dyDescent="0.2">
      <c r="A32" s="598"/>
      <c r="B32" s="598"/>
      <c r="C32" s="561"/>
      <c r="D32" s="561"/>
      <c r="E32" s="526"/>
      <c r="F32" s="527"/>
      <c r="G32" s="186"/>
      <c r="H32" s="186"/>
      <c r="I32" s="186"/>
      <c r="J32" s="188"/>
      <c r="K32" s="186"/>
      <c r="L32" s="528"/>
      <c r="M32" s="526"/>
      <c r="N32" s="529"/>
      <c r="O32" s="529"/>
      <c r="P32" s="529"/>
      <c r="Q32" s="529"/>
      <c r="R32" s="527"/>
      <c r="S32" s="526"/>
      <c r="T32" s="529"/>
      <c r="U32" s="529"/>
      <c r="V32" s="529"/>
      <c r="W32" s="529"/>
      <c r="X32" s="527"/>
      <c r="Y32" s="527"/>
      <c r="Z32" s="579"/>
      <c r="AA32" s="530"/>
      <c r="AB32" s="525" t="str">
        <f t="shared" si="0"/>
        <v/>
      </c>
      <c r="AC32" s="525" t="str">
        <f t="shared" si="1"/>
        <v/>
      </c>
      <c r="AD32" s="525" t="str">
        <f t="shared" si="2"/>
        <v/>
      </c>
      <c r="AE32" s="525" t="str">
        <f t="shared" si="3"/>
        <v/>
      </c>
      <c r="AF32" s="525" t="str">
        <f t="shared" si="4"/>
        <v/>
      </c>
      <c r="AG32" s="525" t="str">
        <f t="shared" si="5"/>
        <v/>
      </c>
      <c r="AH32" s="525">
        <f>E31</f>
        <v>0</v>
      </c>
      <c r="AI32" s="525">
        <f>E32</f>
        <v>0</v>
      </c>
    </row>
    <row r="33" spans="1:35" x14ac:dyDescent="0.2">
      <c r="A33" s="636">
        <f>A30+1</f>
        <v>11</v>
      </c>
      <c r="B33" s="608"/>
      <c r="C33" s="609"/>
      <c r="D33" s="609"/>
      <c r="E33" s="518"/>
      <c r="F33" s="519"/>
      <c r="G33" s="156"/>
      <c r="H33" s="156"/>
      <c r="I33" s="156"/>
      <c r="J33" s="157"/>
      <c r="K33" s="156"/>
      <c r="L33" s="520"/>
      <c r="M33" s="521"/>
      <c r="N33" s="522"/>
      <c r="O33" s="522"/>
      <c r="P33" s="522"/>
      <c r="Q33" s="522"/>
      <c r="R33" s="523"/>
      <c r="S33" s="521"/>
      <c r="T33" s="522"/>
      <c r="U33" s="522"/>
      <c r="V33" s="522"/>
      <c r="W33" s="522"/>
      <c r="X33" s="523"/>
      <c r="Y33" s="523"/>
      <c r="Z33" s="637"/>
      <c r="AA33" s="530"/>
      <c r="AB33" s="525" t="str">
        <f t="shared" si="0"/>
        <v/>
      </c>
      <c r="AC33" s="525" t="str">
        <f t="shared" si="1"/>
        <v/>
      </c>
      <c r="AD33" s="525" t="str">
        <f t="shared" si="2"/>
        <v/>
      </c>
      <c r="AE33" s="525" t="str">
        <f t="shared" si="3"/>
        <v/>
      </c>
      <c r="AF33" s="525" t="str">
        <f t="shared" si="4"/>
        <v/>
      </c>
      <c r="AG33" s="525" t="str">
        <f t="shared" si="5"/>
        <v/>
      </c>
      <c r="AH33" s="525">
        <f>E34</f>
        <v>0</v>
      </c>
      <c r="AI33" s="525">
        <f>E35</f>
        <v>0</v>
      </c>
    </row>
    <row r="34" spans="1:35" x14ac:dyDescent="0.2">
      <c r="A34" s="597"/>
      <c r="B34" s="597"/>
      <c r="C34" s="558"/>
      <c r="D34" s="558"/>
      <c r="E34" s="521"/>
      <c r="F34" s="523"/>
      <c r="G34" s="156"/>
      <c r="H34" s="156"/>
      <c r="I34" s="156"/>
      <c r="J34" s="157"/>
      <c r="K34" s="156"/>
      <c r="L34" s="520"/>
      <c r="M34" s="521"/>
      <c r="N34" s="522"/>
      <c r="O34" s="522"/>
      <c r="P34" s="522"/>
      <c r="Q34" s="522"/>
      <c r="R34" s="523"/>
      <c r="S34" s="521"/>
      <c r="T34" s="522"/>
      <c r="U34" s="522"/>
      <c r="V34" s="522"/>
      <c r="W34" s="522"/>
      <c r="X34" s="523"/>
      <c r="Y34" s="523"/>
      <c r="Z34" s="578"/>
      <c r="AA34" s="530"/>
      <c r="AB34" s="525" t="str">
        <f t="shared" si="0"/>
        <v/>
      </c>
      <c r="AC34" s="525" t="str">
        <f t="shared" si="1"/>
        <v/>
      </c>
      <c r="AD34" s="525" t="str">
        <f t="shared" si="2"/>
        <v/>
      </c>
      <c r="AE34" s="525" t="str">
        <f t="shared" si="3"/>
        <v/>
      </c>
      <c r="AF34" s="525" t="str">
        <f t="shared" si="4"/>
        <v/>
      </c>
      <c r="AG34" s="525" t="str">
        <f t="shared" si="5"/>
        <v/>
      </c>
      <c r="AH34" s="525">
        <f>E34</f>
        <v>0</v>
      </c>
      <c r="AI34" s="525">
        <f>E35</f>
        <v>0</v>
      </c>
    </row>
    <row r="35" spans="1:35" x14ac:dyDescent="0.2">
      <c r="A35" s="598"/>
      <c r="B35" s="598"/>
      <c r="C35" s="561"/>
      <c r="D35" s="561"/>
      <c r="E35" s="526"/>
      <c r="F35" s="527"/>
      <c r="G35" s="186"/>
      <c r="H35" s="186"/>
      <c r="I35" s="186"/>
      <c r="J35" s="188"/>
      <c r="K35" s="186"/>
      <c r="L35" s="528"/>
      <c r="M35" s="526"/>
      <c r="N35" s="529"/>
      <c r="O35" s="529"/>
      <c r="P35" s="529"/>
      <c r="Q35" s="529"/>
      <c r="R35" s="527"/>
      <c r="S35" s="526"/>
      <c r="T35" s="529"/>
      <c r="U35" s="529"/>
      <c r="V35" s="529"/>
      <c r="W35" s="529"/>
      <c r="X35" s="527"/>
      <c r="Y35" s="527"/>
      <c r="Z35" s="579"/>
      <c r="AA35" s="530"/>
      <c r="AB35" s="525" t="str">
        <f t="shared" si="0"/>
        <v/>
      </c>
      <c r="AC35" s="525" t="str">
        <f t="shared" si="1"/>
        <v/>
      </c>
      <c r="AD35" s="525" t="str">
        <f t="shared" si="2"/>
        <v/>
      </c>
      <c r="AE35" s="525" t="str">
        <f t="shared" si="3"/>
        <v/>
      </c>
      <c r="AF35" s="525" t="str">
        <f t="shared" si="4"/>
        <v/>
      </c>
      <c r="AG35" s="525" t="str">
        <f t="shared" si="5"/>
        <v/>
      </c>
      <c r="AH35" s="525">
        <f>E34</f>
        <v>0</v>
      </c>
      <c r="AI35" s="525">
        <f>E35</f>
        <v>0</v>
      </c>
    </row>
    <row r="36" spans="1:35" x14ac:dyDescent="0.2">
      <c r="A36" s="636">
        <f>A33+1</f>
        <v>12</v>
      </c>
      <c r="B36" s="608"/>
      <c r="C36" s="609"/>
      <c r="D36" s="609"/>
      <c r="E36" s="518"/>
      <c r="F36" s="519"/>
      <c r="G36" s="156"/>
      <c r="H36" s="156"/>
      <c r="I36" s="156"/>
      <c r="J36" s="157"/>
      <c r="K36" s="156"/>
      <c r="L36" s="520"/>
      <c r="M36" s="521"/>
      <c r="N36" s="522"/>
      <c r="O36" s="522"/>
      <c r="P36" s="522"/>
      <c r="Q36" s="522"/>
      <c r="R36" s="523"/>
      <c r="S36" s="521"/>
      <c r="T36" s="522"/>
      <c r="U36" s="522"/>
      <c r="V36" s="522"/>
      <c r="W36" s="522"/>
      <c r="X36" s="523"/>
      <c r="Y36" s="523"/>
      <c r="Z36" s="637"/>
      <c r="AA36" s="530"/>
      <c r="AB36" s="525" t="str">
        <f t="shared" si="0"/>
        <v/>
      </c>
      <c r="AC36" s="525" t="str">
        <f t="shared" si="1"/>
        <v/>
      </c>
      <c r="AD36" s="525" t="str">
        <f t="shared" si="2"/>
        <v/>
      </c>
      <c r="AE36" s="525" t="str">
        <f t="shared" si="3"/>
        <v/>
      </c>
      <c r="AF36" s="525" t="str">
        <f t="shared" si="4"/>
        <v/>
      </c>
      <c r="AG36" s="525" t="str">
        <f t="shared" si="5"/>
        <v/>
      </c>
      <c r="AH36" s="525">
        <f>E37</f>
        <v>0</v>
      </c>
      <c r="AI36" s="525">
        <f>E38</f>
        <v>0</v>
      </c>
    </row>
    <row r="37" spans="1:35" x14ac:dyDescent="0.2">
      <c r="A37" s="597"/>
      <c r="B37" s="597"/>
      <c r="C37" s="558"/>
      <c r="D37" s="558"/>
      <c r="E37" s="521"/>
      <c r="F37" s="523"/>
      <c r="G37" s="156"/>
      <c r="H37" s="156"/>
      <c r="I37" s="156"/>
      <c r="J37" s="157"/>
      <c r="K37" s="156"/>
      <c r="L37" s="520"/>
      <c r="M37" s="521"/>
      <c r="N37" s="522"/>
      <c r="O37" s="522"/>
      <c r="P37" s="522"/>
      <c r="Q37" s="522"/>
      <c r="R37" s="523"/>
      <c r="S37" s="521"/>
      <c r="T37" s="522"/>
      <c r="U37" s="522"/>
      <c r="V37" s="522"/>
      <c r="W37" s="522"/>
      <c r="X37" s="523"/>
      <c r="Y37" s="523"/>
      <c r="Z37" s="578"/>
      <c r="AA37" s="530"/>
      <c r="AB37" s="525" t="str">
        <f t="shared" si="0"/>
        <v/>
      </c>
      <c r="AC37" s="525" t="str">
        <f t="shared" si="1"/>
        <v/>
      </c>
      <c r="AD37" s="525" t="str">
        <f t="shared" si="2"/>
        <v/>
      </c>
      <c r="AE37" s="525" t="str">
        <f t="shared" si="3"/>
        <v/>
      </c>
      <c r="AF37" s="525" t="str">
        <f t="shared" si="4"/>
        <v/>
      </c>
      <c r="AG37" s="525" t="str">
        <f t="shared" si="5"/>
        <v/>
      </c>
      <c r="AH37" s="525">
        <f>E37</f>
        <v>0</v>
      </c>
      <c r="AI37" s="525">
        <f>E38</f>
        <v>0</v>
      </c>
    </row>
    <row r="38" spans="1:35" x14ac:dyDescent="0.2">
      <c r="A38" s="598"/>
      <c r="B38" s="598"/>
      <c r="C38" s="561"/>
      <c r="D38" s="561"/>
      <c r="E38" s="526"/>
      <c r="F38" s="527"/>
      <c r="G38" s="186"/>
      <c r="H38" s="186"/>
      <c r="I38" s="186"/>
      <c r="J38" s="188"/>
      <c r="K38" s="186"/>
      <c r="L38" s="528"/>
      <c r="M38" s="526"/>
      <c r="N38" s="529"/>
      <c r="O38" s="529"/>
      <c r="P38" s="529"/>
      <c r="Q38" s="529"/>
      <c r="R38" s="527"/>
      <c r="S38" s="526"/>
      <c r="T38" s="529"/>
      <c r="U38" s="529"/>
      <c r="V38" s="529"/>
      <c r="W38" s="529"/>
      <c r="X38" s="527"/>
      <c r="Y38" s="527"/>
      <c r="Z38" s="579"/>
      <c r="AA38" s="530"/>
      <c r="AB38" s="525" t="str">
        <f t="shared" si="0"/>
        <v/>
      </c>
      <c r="AC38" s="525" t="str">
        <f t="shared" si="1"/>
        <v/>
      </c>
      <c r="AD38" s="525" t="str">
        <f t="shared" si="2"/>
        <v/>
      </c>
      <c r="AE38" s="525" t="str">
        <f t="shared" si="3"/>
        <v/>
      </c>
      <c r="AF38" s="525" t="str">
        <f t="shared" si="4"/>
        <v/>
      </c>
      <c r="AG38" s="525" t="str">
        <f t="shared" si="5"/>
        <v/>
      </c>
      <c r="AH38" s="525">
        <f>E37</f>
        <v>0</v>
      </c>
      <c r="AI38" s="525">
        <f>E38</f>
        <v>0</v>
      </c>
    </row>
    <row r="39" spans="1:35" x14ac:dyDescent="0.2">
      <c r="A39" s="636">
        <f>A36+1</f>
        <v>13</v>
      </c>
      <c r="B39" s="608"/>
      <c r="C39" s="609"/>
      <c r="D39" s="609"/>
      <c r="E39" s="518"/>
      <c r="F39" s="519"/>
      <c r="G39" s="156"/>
      <c r="H39" s="156"/>
      <c r="I39" s="156"/>
      <c r="J39" s="157"/>
      <c r="K39" s="156"/>
      <c r="L39" s="520"/>
      <c r="M39" s="521"/>
      <c r="N39" s="522"/>
      <c r="O39" s="522"/>
      <c r="P39" s="522"/>
      <c r="Q39" s="522"/>
      <c r="R39" s="523"/>
      <c r="S39" s="521"/>
      <c r="T39" s="522"/>
      <c r="U39" s="522"/>
      <c r="V39" s="522"/>
      <c r="W39" s="522"/>
      <c r="X39" s="523"/>
      <c r="Y39" s="523"/>
      <c r="Z39" s="637"/>
      <c r="AA39" s="530"/>
      <c r="AB39" s="525" t="str">
        <f t="shared" si="0"/>
        <v/>
      </c>
      <c r="AC39" s="525" t="str">
        <f t="shared" si="1"/>
        <v/>
      </c>
      <c r="AD39" s="525" t="str">
        <f t="shared" si="2"/>
        <v/>
      </c>
      <c r="AE39" s="525" t="str">
        <f t="shared" si="3"/>
        <v/>
      </c>
      <c r="AF39" s="525" t="str">
        <f t="shared" si="4"/>
        <v/>
      </c>
      <c r="AG39" s="525" t="str">
        <f t="shared" si="5"/>
        <v/>
      </c>
      <c r="AH39" s="525">
        <f>E40</f>
        <v>0</v>
      </c>
      <c r="AI39" s="525">
        <f>E41</f>
        <v>0</v>
      </c>
    </row>
    <row r="40" spans="1:35" x14ac:dyDescent="0.2">
      <c r="A40" s="597"/>
      <c r="B40" s="597"/>
      <c r="C40" s="558"/>
      <c r="D40" s="558"/>
      <c r="E40" s="521"/>
      <c r="F40" s="523"/>
      <c r="G40" s="156"/>
      <c r="H40" s="156"/>
      <c r="I40" s="156"/>
      <c r="J40" s="157"/>
      <c r="K40" s="156"/>
      <c r="L40" s="520"/>
      <c r="M40" s="521"/>
      <c r="N40" s="522"/>
      <c r="O40" s="522"/>
      <c r="P40" s="522"/>
      <c r="Q40" s="522"/>
      <c r="R40" s="523"/>
      <c r="S40" s="521"/>
      <c r="T40" s="522"/>
      <c r="U40" s="522"/>
      <c r="V40" s="522"/>
      <c r="W40" s="522"/>
      <c r="X40" s="523"/>
      <c r="Y40" s="523"/>
      <c r="Z40" s="578"/>
      <c r="AA40" s="530"/>
      <c r="AB40" s="525" t="str">
        <f t="shared" si="0"/>
        <v/>
      </c>
      <c r="AC40" s="525" t="str">
        <f t="shared" si="1"/>
        <v/>
      </c>
      <c r="AD40" s="525" t="str">
        <f t="shared" si="2"/>
        <v/>
      </c>
      <c r="AE40" s="525" t="str">
        <f t="shared" si="3"/>
        <v/>
      </c>
      <c r="AF40" s="525" t="str">
        <f t="shared" si="4"/>
        <v/>
      </c>
      <c r="AG40" s="525" t="str">
        <f t="shared" si="5"/>
        <v/>
      </c>
      <c r="AH40" s="525">
        <f>E40</f>
        <v>0</v>
      </c>
      <c r="AI40" s="525">
        <f>E41</f>
        <v>0</v>
      </c>
    </row>
    <row r="41" spans="1:35" x14ac:dyDescent="0.2">
      <c r="A41" s="598"/>
      <c r="B41" s="598"/>
      <c r="C41" s="561"/>
      <c r="D41" s="561"/>
      <c r="E41" s="526"/>
      <c r="F41" s="527"/>
      <c r="G41" s="186"/>
      <c r="H41" s="186"/>
      <c r="I41" s="186"/>
      <c r="J41" s="188"/>
      <c r="K41" s="186"/>
      <c r="L41" s="528"/>
      <c r="M41" s="526"/>
      <c r="N41" s="529"/>
      <c r="O41" s="529"/>
      <c r="P41" s="529"/>
      <c r="Q41" s="529"/>
      <c r="R41" s="527"/>
      <c r="S41" s="526"/>
      <c r="T41" s="529"/>
      <c r="U41" s="529"/>
      <c r="V41" s="529"/>
      <c r="W41" s="529"/>
      <c r="X41" s="527"/>
      <c r="Y41" s="527"/>
      <c r="Z41" s="579"/>
      <c r="AA41" s="530"/>
      <c r="AB41" s="525" t="str">
        <f t="shared" si="0"/>
        <v/>
      </c>
      <c r="AC41" s="525" t="str">
        <f t="shared" si="1"/>
        <v/>
      </c>
      <c r="AD41" s="525" t="str">
        <f t="shared" si="2"/>
        <v/>
      </c>
      <c r="AE41" s="525" t="str">
        <f t="shared" si="3"/>
        <v/>
      </c>
      <c r="AF41" s="525" t="str">
        <f t="shared" si="4"/>
        <v/>
      </c>
      <c r="AG41" s="525" t="str">
        <f t="shared" si="5"/>
        <v/>
      </c>
      <c r="AH41" s="525">
        <f>E40</f>
        <v>0</v>
      </c>
      <c r="AI41" s="525">
        <f>E41</f>
        <v>0</v>
      </c>
    </row>
    <row r="42" spans="1:35" x14ac:dyDescent="0.2">
      <c r="A42" s="636">
        <f>A39+1</f>
        <v>14</v>
      </c>
      <c r="B42" s="608"/>
      <c r="C42" s="609"/>
      <c r="D42" s="609"/>
      <c r="E42" s="518"/>
      <c r="F42" s="519"/>
      <c r="G42" s="156"/>
      <c r="H42" s="156"/>
      <c r="I42" s="156"/>
      <c r="J42" s="157"/>
      <c r="K42" s="156"/>
      <c r="L42" s="520"/>
      <c r="M42" s="521"/>
      <c r="N42" s="522"/>
      <c r="O42" s="522"/>
      <c r="P42" s="522"/>
      <c r="Q42" s="522"/>
      <c r="R42" s="523"/>
      <c r="S42" s="521"/>
      <c r="T42" s="522"/>
      <c r="U42" s="522"/>
      <c r="V42" s="522"/>
      <c r="W42" s="522"/>
      <c r="X42" s="523"/>
      <c r="Y42" s="523"/>
      <c r="Z42" s="637"/>
      <c r="AA42" s="530"/>
      <c r="AB42" s="525" t="str">
        <f t="shared" si="0"/>
        <v/>
      </c>
      <c r="AC42" s="525" t="str">
        <f t="shared" si="1"/>
        <v/>
      </c>
      <c r="AD42" s="525" t="str">
        <f t="shared" si="2"/>
        <v/>
      </c>
      <c r="AE42" s="525" t="str">
        <f t="shared" si="3"/>
        <v/>
      </c>
      <c r="AF42" s="525" t="str">
        <f t="shared" si="4"/>
        <v/>
      </c>
      <c r="AG42" s="525" t="str">
        <f t="shared" si="5"/>
        <v/>
      </c>
      <c r="AH42" s="525">
        <f>E43</f>
        <v>0</v>
      </c>
      <c r="AI42" s="525">
        <f>E44</f>
        <v>0</v>
      </c>
    </row>
    <row r="43" spans="1:35" x14ac:dyDescent="0.2">
      <c r="A43" s="597"/>
      <c r="B43" s="597"/>
      <c r="C43" s="558"/>
      <c r="D43" s="558"/>
      <c r="E43" s="521"/>
      <c r="F43" s="523"/>
      <c r="G43" s="156"/>
      <c r="H43" s="156"/>
      <c r="I43" s="156"/>
      <c r="J43" s="157"/>
      <c r="K43" s="156"/>
      <c r="L43" s="520"/>
      <c r="M43" s="521"/>
      <c r="N43" s="522"/>
      <c r="O43" s="522"/>
      <c r="P43" s="522"/>
      <c r="Q43" s="522"/>
      <c r="R43" s="523"/>
      <c r="S43" s="521"/>
      <c r="T43" s="522"/>
      <c r="U43" s="522"/>
      <c r="V43" s="522"/>
      <c r="W43" s="522"/>
      <c r="X43" s="523"/>
      <c r="Y43" s="523"/>
      <c r="Z43" s="578"/>
      <c r="AA43" s="530"/>
      <c r="AB43" s="525" t="str">
        <f t="shared" si="0"/>
        <v/>
      </c>
      <c r="AC43" s="525" t="str">
        <f t="shared" si="1"/>
        <v/>
      </c>
      <c r="AD43" s="525" t="str">
        <f t="shared" si="2"/>
        <v/>
      </c>
      <c r="AE43" s="525" t="str">
        <f t="shared" si="3"/>
        <v/>
      </c>
      <c r="AF43" s="525" t="str">
        <f t="shared" si="4"/>
        <v/>
      </c>
      <c r="AG43" s="525" t="str">
        <f t="shared" si="5"/>
        <v/>
      </c>
      <c r="AH43" s="525">
        <f>E43</f>
        <v>0</v>
      </c>
      <c r="AI43" s="525">
        <f>E44</f>
        <v>0</v>
      </c>
    </row>
    <row r="44" spans="1:35" x14ac:dyDescent="0.2">
      <c r="A44" s="598"/>
      <c r="B44" s="598"/>
      <c r="C44" s="561"/>
      <c r="D44" s="561"/>
      <c r="E44" s="526"/>
      <c r="F44" s="527"/>
      <c r="G44" s="186"/>
      <c r="H44" s="186"/>
      <c r="I44" s="186"/>
      <c r="J44" s="188"/>
      <c r="K44" s="186"/>
      <c r="L44" s="528"/>
      <c r="M44" s="526"/>
      <c r="N44" s="529"/>
      <c r="O44" s="529"/>
      <c r="P44" s="529"/>
      <c r="Q44" s="529"/>
      <c r="R44" s="527"/>
      <c r="S44" s="526"/>
      <c r="T44" s="529"/>
      <c r="U44" s="529"/>
      <c r="V44" s="529"/>
      <c r="W44" s="529"/>
      <c r="X44" s="527"/>
      <c r="Y44" s="527"/>
      <c r="Z44" s="579"/>
      <c r="AA44" s="530"/>
      <c r="AB44" s="525" t="str">
        <f t="shared" si="0"/>
        <v/>
      </c>
      <c r="AC44" s="525" t="str">
        <f t="shared" si="1"/>
        <v/>
      </c>
      <c r="AD44" s="525" t="str">
        <f t="shared" si="2"/>
        <v/>
      </c>
      <c r="AE44" s="525" t="str">
        <f t="shared" si="3"/>
        <v/>
      </c>
      <c r="AF44" s="525" t="str">
        <f t="shared" si="4"/>
        <v/>
      </c>
      <c r="AG44" s="525" t="str">
        <f t="shared" si="5"/>
        <v/>
      </c>
      <c r="AH44" s="525">
        <f>E43</f>
        <v>0</v>
      </c>
      <c r="AI44" s="525">
        <f>E44</f>
        <v>0</v>
      </c>
    </row>
    <row r="45" spans="1:35" x14ac:dyDescent="0.2">
      <c r="A45" s="636">
        <f>A42+1</f>
        <v>15</v>
      </c>
      <c r="B45" s="608"/>
      <c r="C45" s="609"/>
      <c r="D45" s="609"/>
      <c r="E45" s="518"/>
      <c r="F45" s="519"/>
      <c r="G45" s="156"/>
      <c r="H45" s="156"/>
      <c r="I45" s="156"/>
      <c r="J45" s="157"/>
      <c r="K45" s="156"/>
      <c r="L45" s="520"/>
      <c r="M45" s="521"/>
      <c r="N45" s="522"/>
      <c r="O45" s="522"/>
      <c r="P45" s="522"/>
      <c r="Q45" s="522"/>
      <c r="R45" s="523"/>
      <c r="S45" s="521"/>
      <c r="T45" s="522"/>
      <c r="U45" s="522"/>
      <c r="V45" s="522"/>
      <c r="W45" s="522"/>
      <c r="X45" s="523"/>
      <c r="Y45" s="523"/>
      <c r="Z45" s="637"/>
      <c r="AA45" s="530"/>
      <c r="AB45" s="525" t="str">
        <f t="shared" si="0"/>
        <v/>
      </c>
      <c r="AC45" s="525" t="str">
        <f t="shared" si="1"/>
        <v/>
      </c>
      <c r="AD45" s="525" t="str">
        <f t="shared" si="2"/>
        <v/>
      </c>
      <c r="AE45" s="525" t="str">
        <f t="shared" si="3"/>
        <v/>
      </c>
      <c r="AF45" s="525" t="str">
        <f t="shared" si="4"/>
        <v/>
      </c>
      <c r="AG45" s="525" t="str">
        <f t="shared" si="5"/>
        <v/>
      </c>
      <c r="AH45" s="525">
        <f>E46</f>
        <v>0</v>
      </c>
      <c r="AI45" s="525">
        <f>E47</f>
        <v>0</v>
      </c>
    </row>
    <row r="46" spans="1:35" x14ac:dyDescent="0.2">
      <c r="A46" s="597"/>
      <c r="B46" s="597"/>
      <c r="C46" s="558"/>
      <c r="D46" s="558"/>
      <c r="E46" s="521"/>
      <c r="F46" s="523"/>
      <c r="G46" s="156"/>
      <c r="H46" s="156"/>
      <c r="I46" s="156"/>
      <c r="J46" s="157"/>
      <c r="K46" s="156"/>
      <c r="L46" s="520"/>
      <c r="M46" s="521"/>
      <c r="N46" s="522"/>
      <c r="O46" s="522"/>
      <c r="P46" s="522"/>
      <c r="Q46" s="522"/>
      <c r="R46" s="523"/>
      <c r="S46" s="521"/>
      <c r="T46" s="522"/>
      <c r="U46" s="522"/>
      <c r="V46" s="522"/>
      <c r="W46" s="522"/>
      <c r="X46" s="523"/>
      <c r="Y46" s="523"/>
      <c r="Z46" s="578"/>
      <c r="AA46" s="530"/>
      <c r="AB46" s="525" t="str">
        <f t="shared" si="0"/>
        <v/>
      </c>
      <c r="AC46" s="525" t="str">
        <f t="shared" si="1"/>
        <v/>
      </c>
      <c r="AD46" s="525" t="str">
        <f t="shared" si="2"/>
        <v/>
      </c>
      <c r="AE46" s="525" t="str">
        <f t="shared" si="3"/>
        <v/>
      </c>
      <c r="AF46" s="525" t="str">
        <f t="shared" si="4"/>
        <v/>
      </c>
      <c r="AG46" s="525" t="str">
        <f t="shared" si="5"/>
        <v/>
      </c>
      <c r="AH46" s="525">
        <f>E46</f>
        <v>0</v>
      </c>
      <c r="AI46" s="525">
        <f>E47</f>
        <v>0</v>
      </c>
    </row>
    <row r="47" spans="1:35" x14ac:dyDescent="0.2">
      <c r="A47" s="598"/>
      <c r="B47" s="598"/>
      <c r="C47" s="561"/>
      <c r="D47" s="561"/>
      <c r="E47" s="526"/>
      <c r="F47" s="527"/>
      <c r="G47" s="186"/>
      <c r="H47" s="186"/>
      <c r="I47" s="186"/>
      <c r="J47" s="188"/>
      <c r="K47" s="186"/>
      <c r="L47" s="528"/>
      <c r="M47" s="526"/>
      <c r="N47" s="529"/>
      <c r="O47" s="529"/>
      <c r="P47" s="529"/>
      <c r="Q47" s="529"/>
      <c r="R47" s="527"/>
      <c r="S47" s="526"/>
      <c r="T47" s="529"/>
      <c r="U47" s="529"/>
      <c r="V47" s="529"/>
      <c r="W47" s="529"/>
      <c r="X47" s="527"/>
      <c r="Y47" s="527"/>
      <c r="Z47" s="579"/>
      <c r="AA47" s="530"/>
      <c r="AB47" s="525" t="str">
        <f t="shared" si="0"/>
        <v/>
      </c>
      <c r="AC47" s="525" t="str">
        <f t="shared" si="1"/>
        <v/>
      </c>
      <c r="AD47" s="525" t="str">
        <f t="shared" si="2"/>
        <v/>
      </c>
      <c r="AE47" s="525" t="str">
        <f t="shared" si="3"/>
        <v/>
      </c>
      <c r="AF47" s="525" t="str">
        <f t="shared" si="4"/>
        <v/>
      </c>
      <c r="AG47" s="525" t="str">
        <f t="shared" si="5"/>
        <v/>
      </c>
      <c r="AH47" s="525">
        <f>E46</f>
        <v>0</v>
      </c>
      <c r="AI47" s="525">
        <f>E47</f>
        <v>0</v>
      </c>
    </row>
    <row r="48" spans="1:35" x14ac:dyDescent="0.2">
      <c r="A48" s="636">
        <f>A45+1</f>
        <v>16</v>
      </c>
      <c r="B48" s="608"/>
      <c r="C48" s="609"/>
      <c r="D48" s="609"/>
      <c r="E48" s="518"/>
      <c r="F48" s="519"/>
      <c r="G48" s="156"/>
      <c r="H48" s="156"/>
      <c r="I48" s="156"/>
      <c r="J48" s="157"/>
      <c r="K48" s="156"/>
      <c r="L48" s="520"/>
      <c r="M48" s="521"/>
      <c r="N48" s="522"/>
      <c r="O48" s="522"/>
      <c r="P48" s="522"/>
      <c r="Q48" s="522"/>
      <c r="R48" s="523"/>
      <c r="S48" s="521"/>
      <c r="T48" s="522"/>
      <c r="U48" s="522"/>
      <c r="V48" s="522"/>
      <c r="W48" s="522"/>
      <c r="X48" s="523"/>
      <c r="Y48" s="523"/>
      <c r="Z48" s="637"/>
      <c r="AA48" s="530"/>
      <c r="AB48" s="525" t="str">
        <f t="shared" si="0"/>
        <v/>
      </c>
      <c r="AC48" s="525" t="str">
        <f t="shared" si="1"/>
        <v/>
      </c>
      <c r="AD48" s="525" t="str">
        <f t="shared" si="2"/>
        <v/>
      </c>
      <c r="AE48" s="525" t="str">
        <f t="shared" si="3"/>
        <v/>
      </c>
      <c r="AF48" s="525" t="str">
        <f t="shared" si="4"/>
        <v/>
      </c>
      <c r="AG48" s="525" t="str">
        <f t="shared" si="5"/>
        <v/>
      </c>
      <c r="AH48" s="525">
        <f>E49</f>
        <v>0</v>
      </c>
      <c r="AI48" s="525">
        <f>E50</f>
        <v>0</v>
      </c>
    </row>
    <row r="49" spans="1:35" x14ac:dyDescent="0.2">
      <c r="A49" s="597"/>
      <c r="B49" s="597"/>
      <c r="C49" s="558"/>
      <c r="D49" s="558"/>
      <c r="E49" s="521"/>
      <c r="F49" s="523"/>
      <c r="G49" s="156"/>
      <c r="H49" s="156"/>
      <c r="I49" s="156"/>
      <c r="J49" s="157"/>
      <c r="K49" s="156"/>
      <c r="L49" s="520"/>
      <c r="M49" s="521"/>
      <c r="N49" s="522"/>
      <c r="O49" s="522"/>
      <c r="P49" s="522"/>
      <c r="Q49" s="522"/>
      <c r="R49" s="523"/>
      <c r="S49" s="521"/>
      <c r="T49" s="522"/>
      <c r="U49" s="522"/>
      <c r="V49" s="522"/>
      <c r="W49" s="522"/>
      <c r="X49" s="523"/>
      <c r="Y49" s="523"/>
      <c r="Z49" s="578"/>
      <c r="AA49" s="530"/>
      <c r="AB49" s="525" t="str">
        <f t="shared" si="0"/>
        <v/>
      </c>
      <c r="AC49" s="525" t="str">
        <f t="shared" si="1"/>
        <v/>
      </c>
      <c r="AD49" s="525" t="str">
        <f t="shared" si="2"/>
        <v/>
      </c>
      <c r="AE49" s="525" t="str">
        <f t="shared" si="3"/>
        <v/>
      </c>
      <c r="AF49" s="525" t="str">
        <f t="shared" si="4"/>
        <v/>
      </c>
      <c r="AG49" s="525" t="str">
        <f t="shared" si="5"/>
        <v/>
      </c>
      <c r="AH49" s="525">
        <f>E49</f>
        <v>0</v>
      </c>
      <c r="AI49" s="525">
        <f>E50</f>
        <v>0</v>
      </c>
    </row>
    <row r="50" spans="1:35" x14ac:dyDescent="0.2">
      <c r="A50" s="598"/>
      <c r="B50" s="598"/>
      <c r="C50" s="561"/>
      <c r="D50" s="561"/>
      <c r="E50" s="526"/>
      <c r="F50" s="527"/>
      <c r="G50" s="186"/>
      <c r="H50" s="186"/>
      <c r="I50" s="186"/>
      <c r="J50" s="188"/>
      <c r="K50" s="186"/>
      <c r="L50" s="528"/>
      <c r="M50" s="526"/>
      <c r="N50" s="529"/>
      <c r="O50" s="529"/>
      <c r="P50" s="529"/>
      <c r="Q50" s="529"/>
      <c r="R50" s="527"/>
      <c r="S50" s="526"/>
      <c r="T50" s="529"/>
      <c r="U50" s="529"/>
      <c r="V50" s="529"/>
      <c r="W50" s="529"/>
      <c r="X50" s="527"/>
      <c r="Y50" s="527"/>
      <c r="Z50" s="579"/>
      <c r="AA50" s="530"/>
      <c r="AB50" s="525" t="str">
        <f t="shared" si="0"/>
        <v/>
      </c>
      <c r="AC50" s="525" t="str">
        <f t="shared" si="1"/>
        <v/>
      </c>
      <c r="AD50" s="525" t="str">
        <f t="shared" si="2"/>
        <v/>
      </c>
      <c r="AE50" s="525" t="str">
        <f t="shared" si="3"/>
        <v/>
      </c>
      <c r="AF50" s="525" t="str">
        <f t="shared" si="4"/>
        <v/>
      </c>
      <c r="AG50" s="525" t="str">
        <f t="shared" si="5"/>
        <v/>
      </c>
      <c r="AH50" s="525">
        <f>E49</f>
        <v>0</v>
      </c>
      <c r="AI50" s="525">
        <f>E50</f>
        <v>0</v>
      </c>
    </row>
    <row r="51" spans="1:35" x14ac:dyDescent="0.2">
      <c r="A51" s="636">
        <f>A48+1</f>
        <v>17</v>
      </c>
      <c r="B51" s="608"/>
      <c r="C51" s="609"/>
      <c r="D51" s="609"/>
      <c r="E51" s="518"/>
      <c r="F51" s="519"/>
      <c r="G51" s="156"/>
      <c r="H51" s="156"/>
      <c r="I51" s="156"/>
      <c r="J51" s="157"/>
      <c r="K51" s="156"/>
      <c r="L51" s="520"/>
      <c r="M51" s="521"/>
      <c r="N51" s="522"/>
      <c r="O51" s="522"/>
      <c r="P51" s="522"/>
      <c r="Q51" s="522"/>
      <c r="R51" s="523"/>
      <c r="S51" s="521"/>
      <c r="T51" s="522"/>
      <c r="U51" s="522"/>
      <c r="V51" s="522"/>
      <c r="W51" s="522"/>
      <c r="X51" s="523"/>
      <c r="Y51" s="523"/>
      <c r="Z51" s="637"/>
      <c r="AA51" s="530"/>
      <c r="AB51" s="525" t="str">
        <f t="shared" si="0"/>
        <v/>
      </c>
      <c r="AC51" s="525" t="str">
        <f t="shared" si="1"/>
        <v/>
      </c>
      <c r="AD51" s="525" t="str">
        <f t="shared" si="2"/>
        <v/>
      </c>
      <c r="AE51" s="525" t="str">
        <f t="shared" si="3"/>
        <v/>
      </c>
      <c r="AF51" s="525" t="str">
        <f t="shared" si="4"/>
        <v/>
      </c>
      <c r="AG51" s="525" t="str">
        <f t="shared" si="5"/>
        <v/>
      </c>
      <c r="AH51" s="525">
        <f>E52</f>
        <v>0</v>
      </c>
      <c r="AI51" s="525">
        <f>E53</f>
        <v>0</v>
      </c>
    </row>
    <row r="52" spans="1:35" x14ac:dyDescent="0.2">
      <c r="A52" s="597"/>
      <c r="B52" s="597"/>
      <c r="C52" s="558"/>
      <c r="D52" s="558"/>
      <c r="E52" s="521"/>
      <c r="F52" s="523"/>
      <c r="G52" s="156"/>
      <c r="H52" s="156"/>
      <c r="I52" s="156"/>
      <c r="J52" s="157"/>
      <c r="K52" s="156"/>
      <c r="L52" s="520"/>
      <c r="M52" s="521"/>
      <c r="N52" s="522"/>
      <c r="O52" s="522"/>
      <c r="P52" s="522"/>
      <c r="Q52" s="522"/>
      <c r="R52" s="523"/>
      <c r="S52" s="521"/>
      <c r="T52" s="522"/>
      <c r="U52" s="522"/>
      <c r="V52" s="522"/>
      <c r="W52" s="522"/>
      <c r="X52" s="523"/>
      <c r="Y52" s="523"/>
      <c r="Z52" s="578"/>
      <c r="AA52" s="530"/>
      <c r="AB52" s="525" t="str">
        <f t="shared" si="0"/>
        <v/>
      </c>
      <c r="AC52" s="525" t="str">
        <f t="shared" si="1"/>
        <v/>
      </c>
      <c r="AD52" s="525" t="str">
        <f t="shared" si="2"/>
        <v/>
      </c>
      <c r="AE52" s="525" t="str">
        <f t="shared" si="3"/>
        <v/>
      </c>
      <c r="AF52" s="525" t="str">
        <f t="shared" si="4"/>
        <v/>
      </c>
      <c r="AG52" s="525" t="str">
        <f t="shared" si="5"/>
        <v/>
      </c>
      <c r="AH52" s="525">
        <f>E52</f>
        <v>0</v>
      </c>
      <c r="AI52" s="525">
        <f>E53</f>
        <v>0</v>
      </c>
    </row>
    <row r="53" spans="1:35" x14ac:dyDescent="0.2">
      <c r="A53" s="598"/>
      <c r="B53" s="598"/>
      <c r="C53" s="561"/>
      <c r="D53" s="561"/>
      <c r="E53" s="526"/>
      <c r="F53" s="527"/>
      <c r="G53" s="186"/>
      <c r="H53" s="186"/>
      <c r="I53" s="186"/>
      <c r="J53" s="188"/>
      <c r="K53" s="186"/>
      <c r="L53" s="528"/>
      <c r="M53" s="526"/>
      <c r="N53" s="529"/>
      <c r="O53" s="529"/>
      <c r="P53" s="529"/>
      <c r="Q53" s="529"/>
      <c r="R53" s="527"/>
      <c r="S53" s="526"/>
      <c r="T53" s="529"/>
      <c r="U53" s="529"/>
      <c r="V53" s="529"/>
      <c r="W53" s="529"/>
      <c r="X53" s="527"/>
      <c r="Y53" s="527"/>
      <c r="Z53" s="579"/>
      <c r="AA53" s="530"/>
      <c r="AB53" s="525" t="str">
        <f t="shared" si="0"/>
        <v/>
      </c>
      <c r="AC53" s="525" t="str">
        <f t="shared" si="1"/>
        <v/>
      </c>
      <c r="AD53" s="525" t="str">
        <f t="shared" si="2"/>
        <v/>
      </c>
      <c r="AE53" s="525" t="str">
        <f t="shared" si="3"/>
        <v/>
      </c>
      <c r="AF53" s="525" t="str">
        <f t="shared" si="4"/>
        <v/>
      </c>
      <c r="AG53" s="525" t="str">
        <f t="shared" si="5"/>
        <v/>
      </c>
      <c r="AH53" s="525">
        <f>E52</f>
        <v>0</v>
      </c>
      <c r="AI53" s="525">
        <f>E53</f>
        <v>0</v>
      </c>
    </row>
    <row r="54" spans="1:35" x14ac:dyDescent="0.2">
      <c r="A54" s="636">
        <f>A51+1</f>
        <v>18</v>
      </c>
      <c r="B54" s="608"/>
      <c r="C54" s="609"/>
      <c r="D54" s="609"/>
      <c r="E54" s="518"/>
      <c r="F54" s="519"/>
      <c r="G54" s="156"/>
      <c r="H54" s="156"/>
      <c r="I54" s="156"/>
      <c r="J54" s="157"/>
      <c r="K54" s="156"/>
      <c r="L54" s="520"/>
      <c r="M54" s="521"/>
      <c r="N54" s="522"/>
      <c r="O54" s="522"/>
      <c r="P54" s="522"/>
      <c r="Q54" s="522"/>
      <c r="R54" s="523"/>
      <c r="S54" s="521"/>
      <c r="T54" s="522"/>
      <c r="U54" s="522"/>
      <c r="V54" s="522"/>
      <c r="W54" s="522"/>
      <c r="X54" s="523"/>
      <c r="Y54" s="523"/>
      <c r="Z54" s="637"/>
      <c r="AA54" s="530"/>
      <c r="AB54" s="525" t="str">
        <f t="shared" si="0"/>
        <v/>
      </c>
      <c r="AC54" s="525" t="str">
        <f t="shared" si="1"/>
        <v/>
      </c>
      <c r="AD54" s="525" t="str">
        <f t="shared" si="2"/>
        <v/>
      </c>
      <c r="AE54" s="525" t="str">
        <f t="shared" si="3"/>
        <v/>
      </c>
      <c r="AF54" s="525" t="str">
        <f t="shared" si="4"/>
        <v/>
      </c>
      <c r="AG54" s="525" t="str">
        <f t="shared" si="5"/>
        <v/>
      </c>
      <c r="AH54" s="525">
        <f>E55</f>
        <v>0</v>
      </c>
      <c r="AI54" s="525">
        <f>E56</f>
        <v>0</v>
      </c>
    </row>
    <row r="55" spans="1:35" x14ac:dyDescent="0.2">
      <c r="A55" s="597"/>
      <c r="B55" s="597"/>
      <c r="C55" s="558"/>
      <c r="D55" s="558"/>
      <c r="E55" s="521"/>
      <c r="F55" s="523"/>
      <c r="G55" s="156"/>
      <c r="H55" s="156"/>
      <c r="I55" s="156"/>
      <c r="J55" s="157"/>
      <c r="K55" s="156"/>
      <c r="L55" s="520"/>
      <c r="M55" s="521"/>
      <c r="N55" s="522"/>
      <c r="O55" s="522"/>
      <c r="P55" s="522"/>
      <c r="Q55" s="522"/>
      <c r="R55" s="523"/>
      <c r="S55" s="521"/>
      <c r="T55" s="522"/>
      <c r="U55" s="522"/>
      <c r="V55" s="522"/>
      <c r="W55" s="522"/>
      <c r="X55" s="523"/>
      <c r="Y55" s="523"/>
      <c r="Z55" s="578"/>
      <c r="AA55" s="530"/>
      <c r="AB55" s="525" t="str">
        <f t="shared" si="0"/>
        <v/>
      </c>
      <c r="AC55" s="525" t="str">
        <f t="shared" si="1"/>
        <v/>
      </c>
      <c r="AD55" s="525" t="str">
        <f t="shared" si="2"/>
        <v/>
      </c>
      <c r="AE55" s="525" t="str">
        <f t="shared" si="3"/>
        <v/>
      </c>
      <c r="AF55" s="525" t="str">
        <f t="shared" si="4"/>
        <v/>
      </c>
      <c r="AG55" s="525" t="str">
        <f t="shared" si="5"/>
        <v/>
      </c>
      <c r="AH55" s="525">
        <f>E55</f>
        <v>0</v>
      </c>
      <c r="AI55" s="525">
        <f>E56</f>
        <v>0</v>
      </c>
    </row>
    <row r="56" spans="1:35" x14ac:dyDescent="0.2">
      <c r="A56" s="598"/>
      <c r="B56" s="598"/>
      <c r="C56" s="561"/>
      <c r="D56" s="561"/>
      <c r="E56" s="526"/>
      <c r="F56" s="527"/>
      <c r="G56" s="186"/>
      <c r="H56" s="186"/>
      <c r="I56" s="186"/>
      <c r="J56" s="188"/>
      <c r="K56" s="186"/>
      <c r="L56" s="528"/>
      <c r="M56" s="526"/>
      <c r="N56" s="529"/>
      <c r="O56" s="529"/>
      <c r="P56" s="529"/>
      <c r="Q56" s="529"/>
      <c r="R56" s="527"/>
      <c r="S56" s="526"/>
      <c r="T56" s="529"/>
      <c r="U56" s="529"/>
      <c r="V56" s="529"/>
      <c r="W56" s="529"/>
      <c r="X56" s="527"/>
      <c r="Y56" s="527"/>
      <c r="Z56" s="579"/>
      <c r="AA56" s="530"/>
      <c r="AB56" s="525" t="str">
        <f t="shared" si="0"/>
        <v/>
      </c>
      <c r="AC56" s="525" t="str">
        <f t="shared" si="1"/>
        <v/>
      </c>
      <c r="AD56" s="525" t="str">
        <f t="shared" si="2"/>
        <v/>
      </c>
      <c r="AE56" s="525" t="str">
        <f t="shared" si="3"/>
        <v/>
      </c>
      <c r="AF56" s="525" t="str">
        <f t="shared" si="4"/>
        <v/>
      </c>
      <c r="AG56" s="525" t="str">
        <f t="shared" si="5"/>
        <v/>
      </c>
      <c r="AH56" s="525">
        <f>E55</f>
        <v>0</v>
      </c>
      <c r="AI56" s="525">
        <f>E56</f>
        <v>0</v>
      </c>
    </row>
    <row r="57" spans="1:35" x14ac:dyDescent="0.2">
      <c r="A57" s="636">
        <f>A54+1</f>
        <v>19</v>
      </c>
      <c r="B57" s="608"/>
      <c r="C57" s="609"/>
      <c r="D57" s="609"/>
      <c r="E57" s="518"/>
      <c r="F57" s="519"/>
      <c r="G57" s="156"/>
      <c r="H57" s="156"/>
      <c r="I57" s="156"/>
      <c r="J57" s="157"/>
      <c r="K57" s="156"/>
      <c r="L57" s="520"/>
      <c r="M57" s="521"/>
      <c r="N57" s="522"/>
      <c r="O57" s="522"/>
      <c r="P57" s="522"/>
      <c r="Q57" s="522"/>
      <c r="R57" s="523"/>
      <c r="S57" s="521"/>
      <c r="T57" s="522"/>
      <c r="U57" s="522"/>
      <c r="V57" s="522"/>
      <c r="W57" s="522"/>
      <c r="X57" s="523"/>
      <c r="Y57" s="523"/>
      <c r="Z57" s="637"/>
      <c r="AA57" s="530"/>
      <c r="AB57" s="525" t="str">
        <f t="shared" si="0"/>
        <v/>
      </c>
      <c r="AC57" s="525" t="str">
        <f t="shared" si="1"/>
        <v/>
      </c>
      <c r="AD57" s="525" t="str">
        <f t="shared" si="2"/>
        <v/>
      </c>
      <c r="AE57" s="525" t="str">
        <f t="shared" si="3"/>
        <v/>
      </c>
      <c r="AF57" s="525" t="str">
        <f t="shared" si="4"/>
        <v/>
      </c>
      <c r="AG57" s="525" t="str">
        <f t="shared" si="5"/>
        <v/>
      </c>
      <c r="AH57" s="525">
        <f>E58</f>
        <v>0</v>
      </c>
      <c r="AI57" s="525">
        <f>E59</f>
        <v>0</v>
      </c>
    </row>
    <row r="58" spans="1:35" x14ac:dyDescent="0.2">
      <c r="A58" s="597"/>
      <c r="B58" s="597"/>
      <c r="C58" s="558"/>
      <c r="D58" s="558"/>
      <c r="E58" s="521"/>
      <c r="F58" s="523"/>
      <c r="G58" s="156"/>
      <c r="H58" s="156"/>
      <c r="I58" s="156"/>
      <c r="J58" s="157"/>
      <c r="K58" s="156"/>
      <c r="L58" s="520"/>
      <c r="M58" s="521"/>
      <c r="N58" s="522"/>
      <c r="O58" s="522"/>
      <c r="P58" s="522"/>
      <c r="Q58" s="522"/>
      <c r="R58" s="523"/>
      <c r="S58" s="521"/>
      <c r="T58" s="522"/>
      <c r="U58" s="522"/>
      <c r="V58" s="522"/>
      <c r="W58" s="522"/>
      <c r="X58" s="523"/>
      <c r="Y58" s="523"/>
      <c r="Z58" s="578"/>
      <c r="AA58" s="530"/>
      <c r="AB58" s="525" t="str">
        <f t="shared" si="0"/>
        <v/>
      </c>
      <c r="AC58" s="525" t="str">
        <f t="shared" si="1"/>
        <v/>
      </c>
      <c r="AD58" s="525" t="str">
        <f t="shared" si="2"/>
        <v/>
      </c>
      <c r="AE58" s="525" t="str">
        <f t="shared" si="3"/>
        <v/>
      </c>
      <c r="AF58" s="525" t="str">
        <f t="shared" si="4"/>
        <v/>
      </c>
      <c r="AG58" s="525" t="str">
        <f t="shared" si="5"/>
        <v/>
      </c>
      <c r="AH58" s="525">
        <f>E58</f>
        <v>0</v>
      </c>
      <c r="AI58" s="525">
        <f>E59</f>
        <v>0</v>
      </c>
    </row>
    <row r="59" spans="1:35" x14ac:dyDescent="0.2">
      <c r="A59" s="598"/>
      <c r="B59" s="598"/>
      <c r="C59" s="561"/>
      <c r="D59" s="561"/>
      <c r="E59" s="526"/>
      <c r="F59" s="527"/>
      <c r="G59" s="186"/>
      <c r="H59" s="186"/>
      <c r="I59" s="186"/>
      <c r="J59" s="188"/>
      <c r="K59" s="186"/>
      <c r="L59" s="528"/>
      <c r="M59" s="526"/>
      <c r="N59" s="529"/>
      <c r="O59" s="529"/>
      <c r="P59" s="529"/>
      <c r="Q59" s="529"/>
      <c r="R59" s="527"/>
      <c r="S59" s="526"/>
      <c r="T59" s="529"/>
      <c r="U59" s="529"/>
      <c r="V59" s="529"/>
      <c r="W59" s="529"/>
      <c r="X59" s="527"/>
      <c r="Y59" s="527"/>
      <c r="Z59" s="579"/>
      <c r="AA59" s="530"/>
      <c r="AB59" s="525" t="str">
        <f t="shared" si="0"/>
        <v/>
      </c>
      <c r="AC59" s="525" t="str">
        <f t="shared" si="1"/>
        <v/>
      </c>
      <c r="AD59" s="525" t="str">
        <f t="shared" si="2"/>
        <v/>
      </c>
      <c r="AE59" s="525" t="str">
        <f t="shared" si="3"/>
        <v/>
      </c>
      <c r="AF59" s="525" t="str">
        <f t="shared" si="4"/>
        <v/>
      </c>
      <c r="AG59" s="525" t="str">
        <f t="shared" si="5"/>
        <v/>
      </c>
      <c r="AH59" s="525">
        <f>E58</f>
        <v>0</v>
      </c>
      <c r="AI59" s="525">
        <f>E59</f>
        <v>0</v>
      </c>
    </row>
    <row r="60" spans="1:35" x14ac:dyDescent="0.2">
      <c r="A60" s="636">
        <f>A57+1</f>
        <v>20</v>
      </c>
      <c r="B60" s="608"/>
      <c r="C60" s="609"/>
      <c r="D60" s="609"/>
      <c r="E60" s="518"/>
      <c r="F60" s="519"/>
      <c r="G60" s="156"/>
      <c r="H60" s="156"/>
      <c r="I60" s="156"/>
      <c r="J60" s="157"/>
      <c r="K60" s="156"/>
      <c r="L60" s="520"/>
      <c r="M60" s="521"/>
      <c r="N60" s="522"/>
      <c r="O60" s="522"/>
      <c r="P60" s="522"/>
      <c r="Q60" s="522"/>
      <c r="R60" s="523"/>
      <c r="S60" s="521"/>
      <c r="T60" s="522"/>
      <c r="U60" s="522"/>
      <c r="V60" s="522"/>
      <c r="W60" s="522"/>
      <c r="X60" s="523"/>
      <c r="Y60" s="523"/>
      <c r="Z60" s="637"/>
      <c r="AA60" s="530"/>
      <c r="AB60" s="525" t="str">
        <f t="shared" si="0"/>
        <v/>
      </c>
      <c r="AC60" s="525" t="str">
        <f t="shared" si="1"/>
        <v/>
      </c>
      <c r="AD60" s="525" t="str">
        <f t="shared" si="2"/>
        <v/>
      </c>
      <c r="AE60" s="525" t="str">
        <f t="shared" si="3"/>
        <v/>
      </c>
      <c r="AF60" s="525" t="str">
        <f t="shared" si="4"/>
        <v/>
      </c>
      <c r="AG60" s="525" t="str">
        <f t="shared" si="5"/>
        <v/>
      </c>
      <c r="AH60" s="525">
        <f>E61</f>
        <v>0</v>
      </c>
      <c r="AI60" s="525">
        <f>E62</f>
        <v>0</v>
      </c>
    </row>
    <row r="61" spans="1:35" x14ac:dyDescent="0.2">
      <c r="A61" s="597"/>
      <c r="B61" s="597"/>
      <c r="C61" s="558"/>
      <c r="D61" s="558"/>
      <c r="E61" s="521"/>
      <c r="F61" s="523"/>
      <c r="G61" s="156"/>
      <c r="H61" s="156"/>
      <c r="I61" s="156"/>
      <c r="J61" s="157"/>
      <c r="K61" s="156"/>
      <c r="L61" s="520"/>
      <c r="M61" s="521"/>
      <c r="N61" s="522"/>
      <c r="O61" s="522"/>
      <c r="P61" s="522"/>
      <c r="Q61" s="522"/>
      <c r="R61" s="523"/>
      <c r="S61" s="521"/>
      <c r="T61" s="522"/>
      <c r="U61" s="522"/>
      <c r="V61" s="522"/>
      <c r="W61" s="522"/>
      <c r="X61" s="523"/>
      <c r="Y61" s="523"/>
      <c r="Z61" s="578"/>
      <c r="AA61" s="530"/>
      <c r="AB61" s="525" t="str">
        <f t="shared" si="0"/>
        <v/>
      </c>
      <c r="AC61" s="525" t="str">
        <f t="shared" si="1"/>
        <v/>
      </c>
      <c r="AD61" s="525" t="str">
        <f t="shared" si="2"/>
        <v/>
      </c>
      <c r="AE61" s="525" t="str">
        <f t="shared" si="3"/>
        <v/>
      </c>
      <c r="AF61" s="525" t="str">
        <f t="shared" si="4"/>
        <v/>
      </c>
      <c r="AG61" s="525" t="str">
        <f t="shared" si="5"/>
        <v/>
      </c>
      <c r="AH61" s="525">
        <f>E61</f>
        <v>0</v>
      </c>
      <c r="AI61" s="525">
        <f>E62</f>
        <v>0</v>
      </c>
    </row>
    <row r="62" spans="1:35" x14ac:dyDescent="0.2">
      <c r="A62" s="598"/>
      <c r="B62" s="598"/>
      <c r="C62" s="561"/>
      <c r="D62" s="561"/>
      <c r="E62" s="526"/>
      <c r="F62" s="527"/>
      <c r="G62" s="186"/>
      <c r="H62" s="186"/>
      <c r="I62" s="186"/>
      <c r="J62" s="188"/>
      <c r="K62" s="186"/>
      <c r="L62" s="528"/>
      <c r="M62" s="526"/>
      <c r="N62" s="529"/>
      <c r="O62" s="529"/>
      <c r="P62" s="529"/>
      <c r="Q62" s="529"/>
      <c r="R62" s="527"/>
      <c r="S62" s="526"/>
      <c r="T62" s="529"/>
      <c r="U62" s="529"/>
      <c r="V62" s="529"/>
      <c r="W62" s="529"/>
      <c r="X62" s="527"/>
      <c r="Y62" s="527"/>
      <c r="Z62" s="579"/>
      <c r="AA62" s="530"/>
      <c r="AB62" s="525" t="str">
        <f t="shared" si="0"/>
        <v/>
      </c>
      <c r="AC62" s="525" t="str">
        <f t="shared" si="1"/>
        <v/>
      </c>
      <c r="AD62" s="525" t="str">
        <f t="shared" si="2"/>
        <v/>
      </c>
      <c r="AE62" s="525" t="str">
        <f t="shared" si="3"/>
        <v/>
      </c>
      <c r="AF62" s="525" t="str">
        <f t="shared" si="4"/>
        <v/>
      </c>
      <c r="AG62" s="525" t="str">
        <f t="shared" si="5"/>
        <v/>
      </c>
      <c r="AH62" s="525">
        <f>E61</f>
        <v>0</v>
      </c>
      <c r="AI62" s="525">
        <f>E62</f>
        <v>0</v>
      </c>
    </row>
    <row r="63" spans="1:35" x14ac:dyDescent="0.2">
      <c r="A63" s="636">
        <f>A60+1</f>
        <v>21</v>
      </c>
      <c r="B63" s="608"/>
      <c r="C63" s="609"/>
      <c r="D63" s="609"/>
      <c r="E63" s="518"/>
      <c r="F63" s="519"/>
      <c r="G63" s="156"/>
      <c r="H63" s="156"/>
      <c r="I63" s="156"/>
      <c r="J63" s="157"/>
      <c r="K63" s="156"/>
      <c r="L63" s="520"/>
      <c r="M63" s="521"/>
      <c r="N63" s="522"/>
      <c r="O63" s="522"/>
      <c r="P63" s="522"/>
      <c r="Q63" s="522"/>
      <c r="R63" s="523"/>
      <c r="S63" s="521"/>
      <c r="T63" s="522"/>
      <c r="U63" s="522"/>
      <c r="V63" s="522"/>
      <c r="W63" s="522"/>
      <c r="X63" s="523"/>
      <c r="Y63" s="523"/>
      <c r="Z63" s="637"/>
      <c r="AA63" s="530"/>
      <c r="AB63" s="525" t="str">
        <f t="shared" si="0"/>
        <v/>
      </c>
      <c r="AC63" s="525" t="str">
        <f t="shared" si="1"/>
        <v/>
      </c>
      <c r="AD63" s="525" t="str">
        <f t="shared" si="2"/>
        <v/>
      </c>
      <c r="AE63" s="525" t="str">
        <f t="shared" si="3"/>
        <v/>
      </c>
      <c r="AF63" s="525" t="str">
        <f t="shared" si="4"/>
        <v/>
      </c>
      <c r="AG63" s="525" t="str">
        <f t="shared" si="5"/>
        <v/>
      </c>
      <c r="AH63" s="525">
        <f>E64</f>
        <v>0</v>
      </c>
      <c r="AI63" s="525">
        <f>E65</f>
        <v>0</v>
      </c>
    </row>
    <row r="64" spans="1:35" x14ac:dyDescent="0.2">
      <c r="A64" s="597"/>
      <c r="B64" s="597"/>
      <c r="C64" s="558"/>
      <c r="D64" s="558"/>
      <c r="E64" s="521"/>
      <c r="F64" s="523"/>
      <c r="G64" s="156"/>
      <c r="H64" s="156"/>
      <c r="I64" s="156"/>
      <c r="J64" s="157"/>
      <c r="K64" s="156"/>
      <c r="L64" s="520"/>
      <c r="M64" s="521"/>
      <c r="N64" s="522"/>
      <c r="O64" s="522"/>
      <c r="P64" s="522"/>
      <c r="Q64" s="522"/>
      <c r="R64" s="523"/>
      <c r="S64" s="521"/>
      <c r="T64" s="522"/>
      <c r="U64" s="522"/>
      <c r="V64" s="522"/>
      <c r="W64" s="522"/>
      <c r="X64" s="523"/>
      <c r="Y64" s="523"/>
      <c r="Z64" s="578"/>
      <c r="AA64" s="530"/>
      <c r="AB64" s="525" t="str">
        <f t="shared" si="0"/>
        <v/>
      </c>
      <c r="AC64" s="525" t="str">
        <f t="shared" si="1"/>
        <v/>
      </c>
      <c r="AD64" s="525" t="str">
        <f t="shared" si="2"/>
        <v/>
      </c>
      <c r="AE64" s="525" t="str">
        <f t="shared" si="3"/>
        <v/>
      </c>
      <c r="AF64" s="525" t="str">
        <f t="shared" si="4"/>
        <v/>
      </c>
      <c r="AG64" s="525" t="str">
        <f t="shared" si="5"/>
        <v/>
      </c>
      <c r="AH64" s="525">
        <f>E64</f>
        <v>0</v>
      </c>
      <c r="AI64" s="525">
        <f>E65</f>
        <v>0</v>
      </c>
    </row>
    <row r="65" spans="1:35" x14ac:dyDescent="0.2">
      <c r="A65" s="598"/>
      <c r="B65" s="598"/>
      <c r="C65" s="561"/>
      <c r="D65" s="561"/>
      <c r="E65" s="526"/>
      <c r="F65" s="527"/>
      <c r="G65" s="186"/>
      <c r="H65" s="186"/>
      <c r="I65" s="186"/>
      <c r="J65" s="188"/>
      <c r="K65" s="186"/>
      <c r="L65" s="528"/>
      <c r="M65" s="526"/>
      <c r="N65" s="529"/>
      <c r="O65" s="529"/>
      <c r="P65" s="529"/>
      <c r="Q65" s="529"/>
      <c r="R65" s="527"/>
      <c r="S65" s="526"/>
      <c r="T65" s="529"/>
      <c r="U65" s="529"/>
      <c r="V65" s="529"/>
      <c r="W65" s="529"/>
      <c r="X65" s="527"/>
      <c r="Y65" s="527"/>
      <c r="Z65" s="579"/>
      <c r="AA65" s="530"/>
      <c r="AB65" s="525" t="str">
        <f t="shared" si="0"/>
        <v/>
      </c>
      <c r="AC65" s="525" t="str">
        <f t="shared" si="1"/>
        <v/>
      </c>
      <c r="AD65" s="525" t="str">
        <f t="shared" si="2"/>
        <v/>
      </c>
      <c r="AE65" s="525" t="str">
        <f t="shared" si="3"/>
        <v/>
      </c>
      <c r="AF65" s="525" t="str">
        <f t="shared" si="4"/>
        <v/>
      </c>
      <c r="AG65" s="525" t="str">
        <f t="shared" si="5"/>
        <v/>
      </c>
      <c r="AH65" s="525">
        <f>E64</f>
        <v>0</v>
      </c>
      <c r="AI65" s="525">
        <f>E65</f>
        <v>0</v>
      </c>
    </row>
    <row r="66" spans="1:35" x14ac:dyDescent="0.2">
      <c r="A66" s="636">
        <f>A63+1</f>
        <v>22</v>
      </c>
      <c r="B66" s="608"/>
      <c r="C66" s="609"/>
      <c r="D66" s="609"/>
      <c r="E66" s="518"/>
      <c r="F66" s="519"/>
      <c r="G66" s="156"/>
      <c r="H66" s="156"/>
      <c r="I66" s="156"/>
      <c r="J66" s="157"/>
      <c r="K66" s="156"/>
      <c r="L66" s="520"/>
      <c r="M66" s="521"/>
      <c r="N66" s="522"/>
      <c r="O66" s="522"/>
      <c r="P66" s="522"/>
      <c r="Q66" s="522"/>
      <c r="R66" s="523"/>
      <c r="S66" s="521"/>
      <c r="T66" s="522"/>
      <c r="U66" s="522"/>
      <c r="V66" s="522"/>
      <c r="W66" s="522"/>
      <c r="X66" s="523"/>
      <c r="Y66" s="523"/>
      <c r="Z66" s="637"/>
      <c r="AA66" s="530"/>
      <c r="AB66" s="525" t="str">
        <f t="shared" si="0"/>
        <v/>
      </c>
      <c r="AC66" s="525" t="str">
        <f t="shared" si="1"/>
        <v/>
      </c>
      <c r="AD66" s="525" t="str">
        <f t="shared" si="2"/>
        <v/>
      </c>
      <c r="AE66" s="525" t="str">
        <f t="shared" si="3"/>
        <v/>
      </c>
      <c r="AF66" s="525" t="str">
        <f t="shared" si="4"/>
        <v/>
      </c>
      <c r="AG66" s="525" t="str">
        <f t="shared" si="5"/>
        <v/>
      </c>
      <c r="AH66" s="525">
        <f>E67</f>
        <v>0</v>
      </c>
      <c r="AI66" s="525">
        <f>E68</f>
        <v>0</v>
      </c>
    </row>
    <row r="67" spans="1:35" x14ac:dyDescent="0.2">
      <c r="A67" s="597"/>
      <c r="B67" s="597"/>
      <c r="C67" s="558"/>
      <c r="D67" s="558"/>
      <c r="E67" s="521"/>
      <c r="F67" s="523"/>
      <c r="G67" s="156"/>
      <c r="H67" s="156"/>
      <c r="I67" s="156"/>
      <c r="J67" s="157"/>
      <c r="K67" s="156"/>
      <c r="L67" s="520"/>
      <c r="M67" s="521"/>
      <c r="N67" s="522"/>
      <c r="O67" s="522"/>
      <c r="P67" s="522"/>
      <c r="Q67" s="522"/>
      <c r="R67" s="523"/>
      <c r="S67" s="521"/>
      <c r="T67" s="522"/>
      <c r="U67" s="522"/>
      <c r="V67" s="522"/>
      <c r="W67" s="522"/>
      <c r="X67" s="523"/>
      <c r="Y67" s="523"/>
      <c r="Z67" s="578"/>
      <c r="AA67" s="530"/>
      <c r="AB67" s="525" t="str">
        <f t="shared" si="0"/>
        <v/>
      </c>
      <c r="AC67" s="525" t="str">
        <f t="shared" si="1"/>
        <v/>
      </c>
      <c r="AD67" s="525" t="str">
        <f t="shared" si="2"/>
        <v/>
      </c>
      <c r="AE67" s="525" t="str">
        <f t="shared" si="3"/>
        <v/>
      </c>
      <c r="AF67" s="525" t="str">
        <f t="shared" si="4"/>
        <v/>
      </c>
      <c r="AG67" s="525" t="str">
        <f t="shared" si="5"/>
        <v/>
      </c>
      <c r="AH67" s="525">
        <f>E67</f>
        <v>0</v>
      </c>
      <c r="AI67" s="525">
        <f>E68</f>
        <v>0</v>
      </c>
    </row>
    <row r="68" spans="1:35" x14ac:dyDescent="0.2">
      <c r="A68" s="598"/>
      <c r="B68" s="598"/>
      <c r="C68" s="561"/>
      <c r="D68" s="561"/>
      <c r="E68" s="526"/>
      <c r="F68" s="527"/>
      <c r="G68" s="186"/>
      <c r="H68" s="186"/>
      <c r="I68" s="186"/>
      <c r="J68" s="188"/>
      <c r="K68" s="186"/>
      <c r="L68" s="528"/>
      <c r="M68" s="526"/>
      <c r="N68" s="529"/>
      <c r="O68" s="529"/>
      <c r="P68" s="529"/>
      <c r="Q68" s="529"/>
      <c r="R68" s="527"/>
      <c r="S68" s="526"/>
      <c r="T68" s="529"/>
      <c r="U68" s="529"/>
      <c r="V68" s="529"/>
      <c r="W68" s="529"/>
      <c r="X68" s="527"/>
      <c r="Y68" s="527"/>
      <c r="Z68" s="579"/>
      <c r="AA68" s="530"/>
      <c r="AB68" s="525" t="str">
        <f t="shared" si="0"/>
        <v/>
      </c>
      <c r="AC68" s="525" t="str">
        <f t="shared" si="1"/>
        <v/>
      </c>
      <c r="AD68" s="525" t="str">
        <f t="shared" si="2"/>
        <v/>
      </c>
      <c r="AE68" s="525" t="str">
        <f t="shared" si="3"/>
        <v/>
      </c>
      <c r="AF68" s="525" t="str">
        <f t="shared" si="4"/>
        <v/>
      </c>
      <c r="AG68" s="525" t="str">
        <f t="shared" si="5"/>
        <v/>
      </c>
      <c r="AH68" s="525">
        <f>E67</f>
        <v>0</v>
      </c>
      <c r="AI68" s="525">
        <f>E68</f>
        <v>0</v>
      </c>
    </row>
    <row r="69" spans="1:35" x14ac:dyDescent="0.2">
      <c r="A69" s="636">
        <f>A66+1</f>
        <v>23</v>
      </c>
      <c r="B69" s="608"/>
      <c r="C69" s="609"/>
      <c r="D69" s="609"/>
      <c r="E69" s="518"/>
      <c r="F69" s="519"/>
      <c r="G69" s="156"/>
      <c r="H69" s="156"/>
      <c r="I69" s="156"/>
      <c r="J69" s="157"/>
      <c r="K69" s="156"/>
      <c r="L69" s="520"/>
      <c r="M69" s="521"/>
      <c r="N69" s="522"/>
      <c r="O69" s="522"/>
      <c r="P69" s="522"/>
      <c r="Q69" s="522"/>
      <c r="R69" s="523"/>
      <c r="S69" s="521"/>
      <c r="T69" s="522"/>
      <c r="U69" s="522"/>
      <c r="V69" s="522"/>
      <c r="W69" s="522"/>
      <c r="X69" s="523"/>
      <c r="Y69" s="523"/>
      <c r="Z69" s="637"/>
      <c r="AA69" s="530"/>
      <c r="AB69" s="525" t="str">
        <f t="shared" si="0"/>
        <v/>
      </c>
      <c r="AC69" s="525" t="str">
        <f t="shared" si="1"/>
        <v/>
      </c>
      <c r="AD69" s="525" t="str">
        <f t="shared" si="2"/>
        <v/>
      </c>
      <c r="AE69" s="525" t="str">
        <f t="shared" si="3"/>
        <v/>
      </c>
      <c r="AF69" s="525" t="str">
        <f t="shared" si="4"/>
        <v/>
      </c>
      <c r="AG69" s="525" t="str">
        <f t="shared" si="5"/>
        <v/>
      </c>
      <c r="AH69" s="525">
        <f>E70</f>
        <v>0</v>
      </c>
      <c r="AI69" s="525">
        <f>E71</f>
        <v>0</v>
      </c>
    </row>
    <row r="70" spans="1:35" x14ac:dyDescent="0.2">
      <c r="A70" s="597"/>
      <c r="B70" s="597"/>
      <c r="C70" s="558"/>
      <c r="D70" s="558"/>
      <c r="E70" s="521"/>
      <c r="F70" s="523"/>
      <c r="G70" s="156"/>
      <c r="H70" s="156"/>
      <c r="I70" s="156"/>
      <c r="J70" s="157"/>
      <c r="K70" s="156"/>
      <c r="L70" s="520"/>
      <c r="M70" s="521"/>
      <c r="N70" s="522"/>
      <c r="O70" s="522"/>
      <c r="P70" s="522"/>
      <c r="Q70" s="522"/>
      <c r="R70" s="523"/>
      <c r="S70" s="521"/>
      <c r="T70" s="522"/>
      <c r="U70" s="522"/>
      <c r="V70" s="522"/>
      <c r="W70" s="522"/>
      <c r="X70" s="523"/>
      <c r="Y70" s="523"/>
      <c r="Z70" s="578"/>
      <c r="AA70" s="530"/>
      <c r="AB70" s="525" t="str">
        <f t="shared" si="0"/>
        <v/>
      </c>
      <c r="AC70" s="525" t="str">
        <f t="shared" si="1"/>
        <v/>
      </c>
      <c r="AD70" s="525" t="str">
        <f t="shared" si="2"/>
        <v/>
      </c>
      <c r="AE70" s="525" t="str">
        <f t="shared" si="3"/>
        <v/>
      </c>
      <c r="AF70" s="525" t="str">
        <f t="shared" si="4"/>
        <v/>
      </c>
      <c r="AG70" s="525" t="str">
        <f t="shared" si="5"/>
        <v/>
      </c>
      <c r="AH70" s="525">
        <f>E70</f>
        <v>0</v>
      </c>
      <c r="AI70" s="525">
        <f>E71</f>
        <v>0</v>
      </c>
    </row>
    <row r="71" spans="1:35" x14ac:dyDescent="0.2">
      <c r="A71" s="598"/>
      <c r="B71" s="598"/>
      <c r="C71" s="561"/>
      <c r="D71" s="561"/>
      <c r="E71" s="526"/>
      <c r="F71" s="527"/>
      <c r="G71" s="186"/>
      <c r="H71" s="186"/>
      <c r="I71" s="186"/>
      <c r="J71" s="188"/>
      <c r="K71" s="186"/>
      <c r="L71" s="528"/>
      <c r="M71" s="526"/>
      <c r="N71" s="529"/>
      <c r="O71" s="529"/>
      <c r="P71" s="529"/>
      <c r="Q71" s="529"/>
      <c r="R71" s="527"/>
      <c r="S71" s="526"/>
      <c r="T71" s="529"/>
      <c r="U71" s="529"/>
      <c r="V71" s="529"/>
      <c r="W71" s="529"/>
      <c r="X71" s="527"/>
      <c r="Y71" s="527"/>
      <c r="Z71" s="579"/>
      <c r="AA71" s="530"/>
      <c r="AB71" s="525" t="str">
        <f t="shared" si="0"/>
        <v/>
      </c>
      <c r="AC71" s="525" t="str">
        <f t="shared" si="1"/>
        <v/>
      </c>
      <c r="AD71" s="525" t="str">
        <f t="shared" si="2"/>
        <v/>
      </c>
      <c r="AE71" s="525" t="str">
        <f t="shared" si="3"/>
        <v/>
      </c>
      <c r="AF71" s="525" t="str">
        <f t="shared" si="4"/>
        <v/>
      </c>
      <c r="AG71" s="525" t="str">
        <f t="shared" si="5"/>
        <v/>
      </c>
      <c r="AH71" s="525">
        <f>E70</f>
        <v>0</v>
      </c>
      <c r="AI71" s="525">
        <f>E71</f>
        <v>0</v>
      </c>
    </row>
    <row r="72" spans="1:35" x14ac:dyDescent="0.2">
      <c r="A72" s="636">
        <f>A69+1</f>
        <v>24</v>
      </c>
      <c r="B72" s="608"/>
      <c r="C72" s="609"/>
      <c r="D72" s="609"/>
      <c r="E72" s="518"/>
      <c r="F72" s="519"/>
      <c r="G72" s="156"/>
      <c r="H72" s="156"/>
      <c r="I72" s="156"/>
      <c r="J72" s="157"/>
      <c r="K72" s="156"/>
      <c r="L72" s="520"/>
      <c r="M72" s="521"/>
      <c r="N72" s="522"/>
      <c r="O72" s="522"/>
      <c r="P72" s="522"/>
      <c r="Q72" s="522"/>
      <c r="R72" s="523"/>
      <c r="S72" s="521"/>
      <c r="T72" s="522"/>
      <c r="U72" s="522"/>
      <c r="V72" s="522"/>
      <c r="W72" s="522"/>
      <c r="X72" s="523"/>
      <c r="Y72" s="523"/>
      <c r="Z72" s="637"/>
      <c r="AA72" s="530"/>
      <c r="AB72" s="525" t="str">
        <f t="shared" si="0"/>
        <v/>
      </c>
      <c r="AC72" s="525" t="str">
        <f t="shared" si="1"/>
        <v/>
      </c>
      <c r="AD72" s="525" t="str">
        <f t="shared" si="2"/>
        <v/>
      </c>
      <c r="AE72" s="525" t="str">
        <f t="shared" si="3"/>
        <v/>
      </c>
      <c r="AF72" s="525" t="str">
        <f t="shared" si="4"/>
        <v/>
      </c>
      <c r="AG72" s="525" t="str">
        <f t="shared" si="5"/>
        <v/>
      </c>
      <c r="AH72" s="525">
        <f>E73</f>
        <v>0</v>
      </c>
      <c r="AI72" s="525">
        <f>E74</f>
        <v>0</v>
      </c>
    </row>
    <row r="73" spans="1:35" x14ac:dyDescent="0.2">
      <c r="A73" s="597"/>
      <c r="B73" s="597"/>
      <c r="C73" s="558"/>
      <c r="D73" s="558"/>
      <c r="E73" s="521"/>
      <c r="F73" s="523"/>
      <c r="G73" s="156"/>
      <c r="H73" s="156"/>
      <c r="I73" s="156"/>
      <c r="J73" s="157"/>
      <c r="K73" s="156"/>
      <c r="L73" s="520"/>
      <c r="M73" s="521"/>
      <c r="N73" s="522"/>
      <c r="O73" s="522"/>
      <c r="P73" s="522"/>
      <c r="Q73" s="522"/>
      <c r="R73" s="523"/>
      <c r="S73" s="521"/>
      <c r="T73" s="522"/>
      <c r="U73" s="522"/>
      <c r="V73" s="522"/>
      <c r="W73" s="522"/>
      <c r="X73" s="523"/>
      <c r="Y73" s="523"/>
      <c r="Z73" s="578"/>
      <c r="AA73" s="530"/>
      <c r="AB73" s="525" t="str">
        <f t="shared" si="0"/>
        <v/>
      </c>
      <c r="AC73" s="525" t="str">
        <f t="shared" si="1"/>
        <v/>
      </c>
      <c r="AD73" s="525" t="str">
        <f t="shared" si="2"/>
        <v/>
      </c>
      <c r="AE73" s="525" t="str">
        <f t="shared" si="3"/>
        <v/>
      </c>
      <c r="AF73" s="525" t="str">
        <f t="shared" si="4"/>
        <v/>
      </c>
      <c r="AG73" s="525" t="str">
        <f t="shared" si="5"/>
        <v/>
      </c>
      <c r="AH73" s="525">
        <f>E73</f>
        <v>0</v>
      </c>
      <c r="AI73" s="525">
        <f>E74</f>
        <v>0</v>
      </c>
    </row>
    <row r="74" spans="1:35" x14ac:dyDescent="0.2">
      <c r="A74" s="598"/>
      <c r="B74" s="598"/>
      <c r="C74" s="561"/>
      <c r="D74" s="561"/>
      <c r="E74" s="526"/>
      <c r="F74" s="527"/>
      <c r="G74" s="186"/>
      <c r="H74" s="186"/>
      <c r="I74" s="186"/>
      <c r="J74" s="188"/>
      <c r="K74" s="186"/>
      <c r="L74" s="528"/>
      <c r="M74" s="526"/>
      <c r="N74" s="529"/>
      <c r="O74" s="529"/>
      <c r="P74" s="529"/>
      <c r="Q74" s="529"/>
      <c r="R74" s="527"/>
      <c r="S74" s="526"/>
      <c r="T74" s="529"/>
      <c r="U74" s="529"/>
      <c r="V74" s="529"/>
      <c r="W74" s="529"/>
      <c r="X74" s="527"/>
      <c r="Y74" s="527"/>
      <c r="Z74" s="579"/>
      <c r="AA74" s="530"/>
      <c r="AB74" s="525" t="str">
        <f t="shared" si="0"/>
        <v/>
      </c>
      <c r="AC74" s="525" t="str">
        <f t="shared" si="1"/>
        <v/>
      </c>
      <c r="AD74" s="525" t="str">
        <f t="shared" si="2"/>
        <v/>
      </c>
      <c r="AE74" s="525" t="str">
        <f t="shared" si="3"/>
        <v/>
      </c>
      <c r="AF74" s="525" t="str">
        <f t="shared" si="4"/>
        <v/>
      </c>
      <c r="AG74" s="525" t="str">
        <f t="shared" si="5"/>
        <v/>
      </c>
      <c r="AH74" s="525">
        <f>E73</f>
        <v>0</v>
      </c>
      <c r="AI74" s="525">
        <f>E74</f>
        <v>0</v>
      </c>
    </row>
    <row r="75" spans="1:35" x14ac:dyDescent="0.2">
      <c r="A75" s="636">
        <f>A72+1</f>
        <v>25</v>
      </c>
      <c r="B75" s="608"/>
      <c r="C75" s="609"/>
      <c r="D75" s="609"/>
      <c r="E75" s="518"/>
      <c r="F75" s="519"/>
      <c r="G75" s="156"/>
      <c r="H75" s="156"/>
      <c r="I75" s="156"/>
      <c r="J75" s="157"/>
      <c r="K75" s="156"/>
      <c r="L75" s="520"/>
      <c r="M75" s="521"/>
      <c r="N75" s="522"/>
      <c r="O75" s="522"/>
      <c r="P75" s="522"/>
      <c r="Q75" s="522"/>
      <c r="R75" s="523"/>
      <c r="S75" s="521"/>
      <c r="T75" s="522"/>
      <c r="U75" s="522"/>
      <c r="V75" s="522"/>
      <c r="W75" s="522"/>
      <c r="X75" s="523"/>
      <c r="Y75" s="523"/>
      <c r="Z75" s="637"/>
      <c r="AA75" s="530"/>
      <c r="AB75" s="525" t="str">
        <f t="shared" si="0"/>
        <v/>
      </c>
      <c r="AC75" s="525" t="str">
        <f t="shared" si="1"/>
        <v/>
      </c>
      <c r="AD75" s="525" t="str">
        <f t="shared" si="2"/>
        <v/>
      </c>
      <c r="AE75" s="525" t="str">
        <f t="shared" si="3"/>
        <v/>
      </c>
      <c r="AF75" s="525" t="str">
        <f t="shared" si="4"/>
        <v/>
      </c>
      <c r="AG75" s="525" t="str">
        <f t="shared" si="5"/>
        <v/>
      </c>
      <c r="AH75" s="525">
        <f>E76</f>
        <v>0</v>
      </c>
      <c r="AI75" s="525">
        <f>E77</f>
        <v>0</v>
      </c>
    </row>
    <row r="76" spans="1:35" x14ac:dyDescent="0.2">
      <c r="A76" s="597"/>
      <c r="B76" s="597"/>
      <c r="C76" s="558"/>
      <c r="D76" s="558"/>
      <c r="E76" s="521"/>
      <c r="F76" s="523"/>
      <c r="G76" s="156"/>
      <c r="H76" s="156"/>
      <c r="I76" s="156"/>
      <c r="J76" s="157"/>
      <c r="K76" s="156"/>
      <c r="L76" s="520"/>
      <c r="M76" s="521"/>
      <c r="N76" s="522"/>
      <c r="O76" s="522"/>
      <c r="P76" s="522"/>
      <c r="Q76" s="522"/>
      <c r="R76" s="523"/>
      <c r="S76" s="521"/>
      <c r="T76" s="522"/>
      <c r="U76" s="522"/>
      <c r="V76" s="522"/>
      <c r="W76" s="522"/>
      <c r="X76" s="523"/>
      <c r="Y76" s="523"/>
      <c r="Z76" s="578"/>
      <c r="AA76" s="530"/>
      <c r="AB76" s="525" t="str">
        <f t="shared" si="0"/>
        <v/>
      </c>
      <c r="AC76" s="525" t="str">
        <f t="shared" si="1"/>
        <v/>
      </c>
      <c r="AD76" s="525" t="str">
        <f t="shared" si="2"/>
        <v/>
      </c>
      <c r="AE76" s="525" t="str">
        <f t="shared" si="3"/>
        <v/>
      </c>
      <c r="AF76" s="525" t="str">
        <f t="shared" si="4"/>
        <v/>
      </c>
      <c r="AG76" s="525" t="str">
        <f t="shared" si="5"/>
        <v/>
      </c>
      <c r="AH76" s="525">
        <f>E76</f>
        <v>0</v>
      </c>
      <c r="AI76" s="525">
        <f>E77</f>
        <v>0</v>
      </c>
    </row>
    <row r="77" spans="1:35" x14ac:dyDescent="0.2">
      <c r="A77" s="598"/>
      <c r="B77" s="598"/>
      <c r="C77" s="561"/>
      <c r="D77" s="561"/>
      <c r="E77" s="526"/>
      <c r="F77" s="527"/>
      <c r="G77" s="186"/>
      <c r="H77" s="186"/>
      <c r="I77" s="186"/>
      <c r="J77" s="188"/>
      <c r="K77" s="186"/>
      <c r="L77" s="528"/>
      <c r="M77" s="526"/>
      <c r="N77" s="529"/>
      <c r="O77" s="529"/>
      <c r="P77" s="529"/>
      <c r="Q77" s="529"/>
      <c r="R77" s="527"/>
      <c r="S77" s="526"/>
      <c r="T77" s="529"/>
      <c r="U77" s="529"/>
      <c r="V77" s="529"/>
      <c r="W77" s="529"/>
      <c r="X77" s="527"/>
      <c r="Y77" s="527"/>
      <c r="Z77" s="579"/>
      <c r="AA77" s="530"/>
      <c r="AB77" s="525" t="str">
        <f t="shared" si="0"/>
        <v/>
      </c>
      <c r="AC77" s="525" t="str">
        <f t="shared" si="1"/>
        <v/>
      </c>
      <c r="AD77" s="525" t="str">
        <f t="shared" si="2"/>
        <v/>
      </c>
      <c r="AE77" s="525" t="str">
        <f t="shared" si="3"/>
        <v/>
      </c>
      <c r="AF77" s="525" t="str">
        <f t="shared" si="4"/>
        <v/>
      </c>
      <c r="AG77" s="525" t="str">
        <f t="shared" si="5"/>
        <v/>
      </c>
      <c r="AH77" s="525">
        <f>E76</f>
        <v>0</v>
      </c>
      <c r="AI77" s="525">
        <f>E77</f>
        <v>0</v>
      </c>
    </row>
    <row r="78" spans="1:35" x14ac:dyDescent="0.2">
      <c r="A78" s="636">
        <f>A75+1</f>
        <v>26</v>
      </c>
      <c r="B78" s="608"/>
      <c r="C78" s="609"/>
      <c r="D78" s="609"/>
      <c r="E78" s="518"/>
      <c r="F78" s="519"/>
      <c r="G78" s="156"/>
      <c r="H78" s="156"/>
      <c r="I78" s="156"/>
      <c r="J78" s="157"/>
      <c r="K78" s="156"/>
      <c r="L78" s="520"/>
      <c r="M78" s="521"/>
      <c r="N78" s="522"/>
      <c r="O78" s="522"/>
      <c r="P78" s="522"/>
      <c r="Q78" s="522"/>
      <c r="R78" s="523"/>
      <c r="S78" s="521"/>
      <c r="T78" s="522"/>
      <c r="U78" s="522"/>
      <c r="V78" s="522"/>
      <c r="W78" s="522"/>
      <c r="X78" s="523"/>
      <c r="Y78" s="523"/>
      <c r="Z78" s="637"/>
      <c r="AA78" s="530"/>
      <c r="AB78" s="525" t="str">
        <f t="shared" si="0"/>
        <v/>
      </c>
      <c r="AC78" s="525" t="str">
        <f t="shared" si="1"/>
        <v/>
      </c>
      <c r="AD78" s="525" t="str">
        <f t="shared" si="2"/>
        <v/>
      </c>
      <c r="AE78" s="525" t="str">
        <f t="shared" si="3"/>
        <v/>
      </c>
      <c r="AF78" s="525" t="str">
        <f t="shared" si="4"/>
        <v/>
      </c>
      <c r="AG78" s="525" t="str">
        <f t="shared" si="5"/>
        <v/>
      </c>
      <c r="AH78" s="525">
        <f>E79</f>
        <v>0</v>
      </c>
      <c r="AI78" s="525">
        <f>E80</f>
        <v>0</v>
      </c>
    </row>
    <row r="79" spans="1:35" x14ac:dyDescent="0.2">
      <c r="A79" s="597"/>
      <c r="B79" s="597"/>
      <c r="C79" s="558"/>
      <c r="D79" s="558"/>
      <c r="E79" s="521"/>
      <c r="F79" s="523"/>
      <c r="G79" s="156"/>
      <c r="H79" s="156"/>
      <c r="I79" s="156"/>
      <c r="J79" s="157"/>
      <c r="K79" s="156"/>
      <c r="L79" s="520"/>
      <c r="M79" s="521"/>
      <c r="N79" s="522"/>
      <c r="O79" s="522"/>
      <c r="P79" s="522"/>
      <c r="Q79" s="522"/>
      <c r="R79" s="523"/>
      <c r="S79" s="521"/>
      <c r="T79" s="522"/>
      <c r="U79" s="522"/>
      <c r="V79" s="522"/>
      <c r="W79" s="522"/>
      <c r="X79" s="523"/>
      <c r="Y79" s="523"/>
      <c r="Z79" s="578"/>
      <c r="AA79" s="530"/>
      <c r="AB79" s="525" t="str">
        <f t="shared" si="0"/>
        <v/>
      </c>
      <c r="AC79" s="525" t="str">
        <f t="shared" si="1"/>
        <v/>
      </c>
      <c r="AD79" s="525" t="str">
        <f t="shared" si="2"/>
        <v/>
      </c>
      <c r="AE79" s="525" t="str">
        <f t="shared" si="3"/>
        <v/>
      </c>
      <c r="AF79" s="525" t="str">
        <f t="shared" si="4"/>
        <v/>
      </c>
      <c r="AG79" s="525" t="str">
        <f t="shared" si="5"/>
        <v/>
      </c>
      <c r="AH79" s="525">
        <f>E79</f>
        <v>0</v>
      </c>
      <c r="AI79" s="525">
        <f>E80</f>
        <v>0</v>
      </c>
    </row>
    <row r="80" spans="1:35" x14ac:dyDescent="0.2">
      <c r="A80" s="598"/>
      <c r="B80" s="598"/>
      <c r="C80" s="561"/>
      <c r="D80" s="561"/>
      <c r="E80" s="526"/>
      <c r="F80" s="527"/>
      <c r="G80" s="186"/>
      <c r="H80" s="186"/>
      <c r="I80" s="186"/>
      <c r="J80" s="188"/>
      <c r="K80" s="186"/>
      <c r="L80" s="528"/>
      <c r="M80" s="526"/>
      <c r="N80" s="529"/>
      <c r="O80" s="529"/>
      <c r="P80" s="529"/>
      <c r="Q80" s="529"/>
      <c r="R80" s="527"/>
      <c r="S80" s="526"/>
      <c r="T80" s="529"/>
      <c r="U80" s="529"/>
      <c r="V80" s="529"/>
      <c r="W80" s="529"/>
      <c r="X80" s="527"/>
      <c r="Y80" s="527"/>
      <c r="Z80" s="579"/>
      <c r="AA80" s="530"/>
      <c r="AB80" s="525" t="str">
        <f t="shared" si="0"/>
        <v/>
      </c>
      <c r="AC80" s="525" t="str">
        <f t="shared" si="1"/>
        <v/>
      </c>
      <c r="AD80" s="525" t="str">
        <f t="shared" si="2"/>
        <v/>
      </c>
      <c r="AE80" s="525" t="str">
        <f t="shared" si="3"/>
        <v/>
      </c>
      <c r="AF80" s="525" t="str">
        <f t="shared" si="4"/>
        <v/>
      </c>
      <c r="AG80" s="525" t="str">
        <f t="shared" si="5"/>
        <v/>
      </c>
      <c r="AH80" s="525">
        <f>E79</f>
        <v>0</v>
      </c>
      <c r="AI80" s="525">
        <f>E80</f>
        <v>0</v>
      </c>
    </row>
    <row r="81" spans="1:35" x14ac:dyDescent="0.2">
      <c r="A81" s="636">
        <f>A78+1</f>
        <v>27</v>
      </c>
      <c r="B81" s="608"/>
      <c r="C81" s="609"/>
      <c r="D81" s="609"/>
      <c r="E81" s="518"/>
      <c r="F81" s="519"/>
      <c r="G81" s="156"/>
      <c r="H81" s="156"/>
      <c r="I81" s="156"/>
      <c r="J81" s="157"/>
      <c r="K81" s="156"/>
      <c r="L81" s="520"/>
      <c r="M81" s="521"/>
      <c r="N81" s="522"/>
      <c r="O81" s="522"/>
      <c r="P81" s="522"/>
      <c r="Q81" s="522"/>
      <c r="R81" s="523"/>
      <c r="S81" s="521"/>
      <c r="T81" s="522"/>
      <c r="U81" s="522"/>
      <c r="V81" s="522"/>
      <c r="W81" s="522"/>
      <c r="X81" s="523"/>
      <c r="Y81" s="523"/>
      <c r="Z81" s="637"/>
      <c r="AA81" s="530"/>
      <c r="AB81" s="525" t="str">
        <f t="shared" si="0"/>
        <v/>
      </c>
      <c r="AC81" s="525" t="str">
        <f t="shared" si="1"/>
        <v/>
      </c>
      <c r="AD81" s="525" t="str">
        <f t="shared" si="2"/>
        <v/>
      </c>
      <c r="AE81" s="525" t="str">
        <f t="shared" si="3"/>
        <v/>
      </c>
      <c r="AF81" s="525" t="str">
        <f t="shared" si="4"/>
        <v/>
      </c>
      <c r="AG81" s="525" t="str">
        <f t="shared" si="5"/>
        <v/>
      </c>
      <c r="AH81" s="525">
        <f>E82</f>
        <v>0</v>
      </c>
      <c r="AI81" s="525">
        <f>E83</f>
        <v>0</v>
      </c>
    </row>
    <row r="82" spans="1:35" x14ac:dyDescent="0.2">
      <c r="A82" s="597"/>
      <c r="B82" s="597"/>
      <c r="C82" s="558"/>
      <c r="D82" s="558"/>
      <c r="E82" s="521"/>
      <c r="F82" s="523"/>
      <c r="G82" s="156"/>
      <c r="H82" s="156"/>
      <c r="I82" s="156"/>
      <c r="J82" s="157"/>
      <c r="K82" s="156"/>
      <c r="L82" s="520"/>
      <c r="M82" s="521"/>
      <c r="N82" s="522"/>
      <c r="O82" s="522"/>
      <c r="P82" s="522"/>
      <c r="Q82" s="522"/>
      <c r="R82" s="523"/>
      <c r="S82" s="521"/>
      <c r="T82" s="522"/>
      <c r="U82" s="522"/>
      <c r="V82" s="522"/>
      <c r="W82" s="522"/>
      <c r="X82" s="523"/>
      <c r="Y82" s="523"/>
      <c r="Z82" s="578"/>
      <c r="AA82" s="530"/>
      <c r="AB82" s="525" t="str">
        <f t="shared" si="0"/>
        <v/>
      </c>
      <c r="AC82" s="525" t="str">
        <f t="shared" si="1"/>
        <v/>
      </c>
      <c r="AD82" s="525" t="str">
        <f t="shared" si="2"/>
        <v/>
      </c>
      <c r="AE82" s="525" t="str">
        <f t="shared" si="3"/>
        <v/>
      </c>
      <c r="AF82" s="525" t="str">
        <f t="shared" si="4"/>
        <v/>
      </c>
      <c r="AG82" s="525" t="str">
        <f t="shared" si="5"/>
        <v/>
      </c>
      <c r="AH82" s="525">
        <f>E82</f>
        <v>0</v>
      </c>
      <c r="AI82" s="525">
        <f>E83</f>
        <v>0</v>
      </c>
    </row>
    <row r="83" spans="1:35" x14ac:dyDescent="0.2">
      <c r="A83" s="598"/>
      <c r="B83" s="598"/>
      <c r="C83" s="561"/>
      <c r="D83" s="561"/>
      <c r="E83" s="526"/>
      <c r="F83" s="527"/>
      <c r="G83" s="186"/>
      <c r="H83" s="186"/>
      <c r="I83" s="186"/>
      <c r="J83" s="188"/>
      <c r="K83" s="186"/>
      <c r="L83" s="528"/>
      <c r="M83" s="526"/>
      <c r="N83" s="529"/>
      <c r="O83" s="529"/>
      <c r="P83" s="529"/>
      <c r="Q83" s="529"/>
      <c r="R83" s="527"/>
      <c r="S83" s="526"/>
      <c r="T83" s="529"/>
      <c r="U83" s="529"/>
      <c r="V83" s="529"/>
      <c r="W83" s="529"/>
      <c r="X83" s="527"/>
      <c r="Y83" s="527"/>
      <c r="Z83" s="579"/>
      <c r="AA83" s="530"/>
      <c r="AB83" s="525" t="str">
        <f t="shared" si="0"/>
        <v/>
      </c>
      <c r="AC83" s="525" t="str">
        <f t="shared" si="1"/>
        <v/>
      </c>
      <c r="AD83" s="525" t="str">
        <f t="shared" si="2"/>
        <v/>
      </c>
      <c r="AE83" s="525" t="str">
        <f t="shared" si="3"/>
        <v/>
      </c>
      <c r="AF83" s="525" t="str">
        <f t="shared" si="4"/>
        <v/>
      </c>
      <c r="AG83" s="525" t="str">
        <f t="shared" si="5"/>
        <v/>
      </c>
      <c r="AH83" s="525">
        <f>E82</f>
        <v>0</v>
      </c>
      <c r="AI83" s="525">
        <f>E83</f>
        <v>0</v>
      </c>
    </row>
    <row r="84" spans="1:35" x14ac:dyDescent="0.2">
      <c r="A84" s="636">
        <f>A81+1</f>
        <v>28</v>
      </c>
      <c r="B84" s="608"/>
      <c r="C84" s="609"/>
      <c r="D84" s="609"/>
      <c r="E84" s="518"/>
      <c r="F84" s="519"/>
      <c r="G84" s="156"/>
      <c r="H84" s="156"/>
      <c r="I84" s="156"/>
      <c r="J84" s="157"/>
      <c r="K84" s="156"/>
      <c r="L84" s="520"/>
      <c r="M84" s="521"/>
      <c r="N84" s="522"/>
      <c r="O84" s="522"/>
      <c r="P84" s="522"/>
      <c r="Q84" s="522"/>
      <c r="R84" s="523"/>
      <c r="S84" s="521"/>
      <c r="T84" s="522"/>
      <c r="U84" s="522"/>
      <c r="V84" s="522"/>
      <c r="W84" s="522"/>
      <c r="X84" s="523"/>
      <c r="Y84" s="523"/>
      <c r="Z84" s="637"/>
      <c r="AA84" s="530"/>
      <c r="AB84" s="525" t="str">
        <f t="shared" si="0"/>
        <v/>
      </c>
      <c r="AC84" s="525" t="str">
        <f t="shared" si="1"/>
        <v/>
      </c>
      <c r="AD84" s="525" t="str">
        <f t="shared" si="2"/>
        <v/>
      </c>
      <c r="AE84" s="525" t="str">
        <f t="shared" si="3"/>
        <v/>
      </c>
      <c r="AF84" s="525" t="str">
        <f t="shared" si="4"/>
        <v/>
      </c>
      <c r="AG84" s="525" t="str">
        <f t="shared" si="5"/>
        <v/>
      </c>
      <c r="AH84" s="525">
        <f>E85</f>
        <v>0</v>
      </c>
      <c r="AI84" s="525">
        <f>E86</f>
        <v>0</v>
      </c>
    </row>
    <row r="85" spans="1:35" x14ac:dyDescent="0.2">
      <c r="A85" s="597"/>
      <c r="B85" s="597"/>
      <c r="C85" s="558"/>
      <c r="D85" s="558"/>
      <c r="E85" s="521"/>
      <c r="F85" s="523"/>
      <c r="G85" s="156"/>
      <c r="H85" s="156"/>
      <c r="I85" s="156"/>
      <c r="J85" s="157"/>
      <c r="K85" s="156"/>
      <c r="L85" s="520"/>
      <c r="M85" s="521"/>
      <c r="N85" s="522"/>
      <c r="O85" s="522"/>
      <c r="P85" s="522"/>
      <c r="Q85" s="522"/>
      <c r="R85" s="523"/>
      <c r="S85" s="521"/>
      <c r="T85" s="522"/>
      <c r="U85" s="522"/>
      <c r="V85" s="522"/>
      <c r="W85" s="522"/>
      <c r="X85" s="523"/>
      <c r="Y85" s="523"/>
      <c r="Z85" s="578"/>
      <c r="AA85" s="530"/>
      <c r="AB85" s="525" t="str">
        <f t="shared" si="0"/>
        <v/>
      </c>
      <c r="AC85" s="525" t="str">
        <f t="shared" si="1"/>
        <v/>
      </c>
      <c r="AD85" s="525" t="str">
        <f t="shared" si="2"/>
        <v/>
      </c>
      <c r="AE85" s="525" t="str">
        <f t="shared" si="3"/>
        <v/>
      </c>
      <c r="AF85" s="525" t="str">
        <f t="shared" si="4"/>
        <v/>
      </c>
      <c r="AG85" s="525" t="str">
        <f t="shared" si="5"/>
        <v/>
      </c>
      <c r="AH85" s="525">
        <f>E85</f>
        <v>0</v>
      </c>
      <c r="AI85" s="525">
        <f>E86</f>
        <v>0</v>
      </c>
    </row>
    <row r="86" spans="1:35" x14ac:dyDescent="0.2">
      <c r="A86" s="598"/>
      <c r="B86" s="598"/>
      <c r="C86" s="561"/>
      <c r="D86" s="561"/>
      <c r="E86" s="526"/>
      <c r="F86" s="527"/>
      <c r="G86" s="186"/>
      <c r="H86" s="186"/>
      <c r="I86" s="186"/>
      <c r="J86" s="188"/>
      <c r="K86" s="186"/>
      <c r="L86" s="528"/>
      <c r="M86" s="526"/>
      <c r="N86" s="529"/>
      <c r="O86" s="529"/>
      <c r="P86" s="529"/>
      <c r="Q86" s="529"/>
      <c r="R86" s="527"/>
      <c r="S86" s="526"/>
      <c r="T86" s="529"/>
      <c r="U86" s="529"/>
      <c r="V86" s="529"/>
      <c r="W86" s="529"/>
      <c r="X86" s="527"/>
      <c r="Y86" s="527"/>
      <c r="Z86" s="579"/>
      <c r="AA86" s="530"/>
      <c r="AB86" s="525" t="str">
        <f t="shared" si="0"/>
        <v/>
      </c>
      <c r="AC86" s="525" t="str">
        <f t="shared" si="1"/>
        <v/>
      </c>
      <c r="AD86" s="525" t="str">
        <f t="shared" si="2"/>
        <v/>
      </c>
      <c r="AE86" s="525" t="str">
        <f t="shared" si="3"/>
        <v/>
      </c>
      <c r="AF86" s="525" t="str">
        <f t="shared" si="4"/>
        <v/>
      </c>
      <c r="AG86" s="525" t="str">
        <f t="shared" si="5"/>
        <v/>
      </c>
      <c r="AH86" s="525">
        <f>E85</f>
        <v>0</v>
      </c>
      <c r="AI86" s="525">
        <f>E86</f>
        <v>0</v>
      </c>
    </row>
    <row r="87" spans="1:35" x14ac:dyDescent="0.2">
      <c r="A87" s="531"/>
      <c r="B87" s="303"/>
      <c r="C87" s="303"/>
      <c r="D87" s="303"/>
      <c r="E87" s="303"/>
      <c r="F87" s="303"/>
      <c r="G87" s="303"/>
      <c r="H87" s="303"/>
      <c r="I87" s="303"/>
      <c r="J87" s="303"/>
      <c r="K87" s="303"/>
      <c r="L87" s="303"/>
      <c r="M87" s="303"/>
      <c r="N87" s="303"/>
      <c r="O87" s="303"/>
      <c r="P87" s="303"/>
      <c r="Q87" s="303"/>
      <c r="R87" s="303"/>
      <c r="S87" s="303"/>
      <c r="T87" s="303"/>
      <c r="U87" s="303"/>
      <c r="V87" s="303"/>
      <c r="W87" s="303"/>
      <c r="X87" s="303"/>
      <c r="Y87" s="303"/>
      <c r="Z87" s="532"/>
      <c r="AA87" s="530"/>
      <c r="AB87" s="525" t="str">
        <f t="shared" si="0"/>
        <v/>
      </c>
      <c r="AC87" s="525" t="str">
        <f t="shared" si="1"/>
        <v/>
      </c>
      <c r="AD87" s="525" t="str">
        <f t="shared" si="2"/>
        <v/>
      </c>
      <c r="AE87" s="525" t="str">
        <f t="shared" si="3"/>
        <v/>
      </c>
      <c r="AF87" s="525" t="str">
        <f t="shared" si="4"/>
        <v/>
      </c>
      <c r="AG87" s="525" t="str">
        <f t="shared" si="5"/>
        <v/>
      </c>
      <c r="AH87" s="525">
        <f>E88</f>
        <v>0</v>
      </c>
      <c r="AI87" s="525">
        <f>E89</f>
        <v>0</v>
      </c>
    </row>
    <row r="88" spans="1:35" x14ac:dyDescent="0.2">
      <c r="A88" s="531"/>
      <c r="B88" s="303"/>
      <c r="C88" s="303"/>
      <c r="D88" s="303"/>
      <c r="E88" s="303"/>
      <c r="F88" s="303"/>
      <c r="G88" s="303"/>
      <c r="H88" s="303"/>
      <c r="I88" s="303"/>
      <c r="J88" s="303"/>
      <c r="K88" s="303"/>
      <c r="L88" s="303"/>
      <c r="M88" s="303"/>
      <c r="N88" s="303"/>
      <c r="O88" s="303"/>
      <c r="P88" s="303"/>
      <c r="Q88" s="303"/>
      <c r="R88" s="303"/>
      <c r="S88" s="303"/>
      <c r="T88" s="303"/>
      <c r="U88" s="303"/>
      <c r="V88" s="303"/>
      <c r="W88" s="303"/>
      <c r="X88" s="303"/>
      <c r="Y88" s="303"/>
      <c r="Z88" s="532"/>
      <c r="AA88" s="530"/>
      <c r="AB88" s="525" t="str">
        <f t="shared" si="0"/>
        <v/>
      </c>
      <c r="AC88" s="525" t="str">
        <f t="shared" si="1"/>
        <v/>
      </c>
      <c r="AD88" s="525" t="str">
        <f t="shared" si="2"/>
        <v/>
      </c>
      <c r="AE88" s="525" t="str">
        <f t="shared" si="3"/>
        <v/>
      </c>
      <c r="AF88" s="525" t="str">
        <f t="shared" si="4"/>
        <v/>
      </c>
      <c r="AG88" s="525" t="str">
        <f t="shared" si="5"/>
        <v/>
      </c>
      <c r="AH88" s="525">
        <f>E88</f>
        <v>0</v>
      </c>
      <c r="AI88" s="525">
        <f>E89</f>
        <v>0</v>
      </c>
    </row>
    <row r="89" spans="1:35" x14ac:dyDescent="0.2">
      <c r="A89" s="531"/>
      <c r="B89" s="303"/>
      <c r="C89" s="303"/>
      <c r="D89" s="303"/>
      <c r="E89" s="303"/>
      <c r="F89" s="303"/>
      <c r="G89" s="303"/>
      <c r="H89" s="303"/>
      <c r="I89" s="303"/>
      <c r="J89" s="303"/>
      <c r="K89" s="303"/>
      <c r="L89" s="303"/>
      <c r="M89" s="303"/>
      <c r="N89" s="303"/>
      <c r="O89" s="303"/>
      <c r="P89" s="303"/>
      <c r="Q89" s="303"/>
      <c r="R89" s="303"/>
      <c r="S89" s="303"/>
      <c r="T89" s="303"/>
      <c r="U89" s="303"/>
      <c r="V89" s="303"/>
      <c r="W89" s="303"/>
      <c r="X89" s="303"/>
      <c r="Y89" s="303"/>
      <c r="Z89" s="532"/>
      <c r="AA89" s="530"/>
      <c r="AB89" s="525" t="str">
        <f t="shared" si="0"/>
        <v/>
      </c>
      <c r="AC89" s="525" t="str">
        <f t="shared" si="1"/>
        <v/>
      </c>
      <c r="AD89" s="525" t="str">
        <f t="shared" si="2"/>
        <v/>
      </c>
      <c r="AE89" s="525" t="str">
        <f t="shared" si="3"/>
        <v/>
      </c>
      <c r="AF89" s="525" t="str">
        <f t="shared" si="4"/>
        <v/>
      </c>
      <c r="AG89" s="525" t="str">
        <f t="shared" si="5"/>
        <v/>
      </c>
      <c r="AH89" s="525">
        <f>E88</f>
        <v>0</v>
      </c>
      <c r="AI89" s="525">
        <f>E89</f>
        <v>0</v>
      </c>
    </row>
    <row r="90" spans="1:35" x14ac:dyDescent="0.2">
      <c r="A90" s="531"/>
      <c r="B90" s="303"/>
      <c r="C90" s="303"/>
      <c r="D90" s="303"/>
      <c r="E90" s="303"/>
      <c r="F90" s="303"/>
      <c r="G90" s="303"/>
      <c r="H90" s="303"/>
      <c r="I90" s="303"/>
      <c r="J90" s="303"/>
      <c r="K90" s="303"/>
      <c r="L90" s="303"/>
      <c r="M90" s="303"/>
      <c r="N90" s="303"/>
      <c r="O90" s="303"/>
      <c r="P90" s="303"/>
      <c r="Q90" s="303"/>
      <c r="R90" s="303"/>
      <c r="S90" s="303"/>
      <c r="T90" s="303"/>
      <c r="U90" s="303"/>
      <c r="V90" s="303"/>
      <c r="W90" s="303"/>
      <c r="X90" s="303"/>
      <c r="Y90" s="303"/>
      <c r="Z90" s="532"/>
      <c r="AA90" s="530"/>
      <c r="AB90" s="525" t="str">
        <f t="shared" si="0"/>
        <v/>
      </c>
      <c r="AC90" s="525" t="str">
        <f t="shared" si="1"/>
        <v/>
      </c>
      <c r="AD90" s="525" t="str">
        <f t="shared" si="2"/>
        <v/>
      </c>
      <c r="AE90" s="525" t="str">
        <f t="shared" si="3"/>
        <v/>
      </c>
      <c r="AF90" s="525" t="str">
        <f t="shared" si="4"/>
        <v/>
      </c>
      <c r="AG90" s="525" t="str">
        <f t="shared" si="5"/>
        <v/>
      </c>
      <c r="AH90" s="525">
        <f>E91</f>
        <v>0</v>
      </c>
      <c r="AI90" s="525">
        <f>E92</f>
        <v>0</v>
      </c>
    </row>
    <row r="91" spans="1:35" x14ac:dyDescent="0.2">
      <c r="A91" s="531"/>
      <c r="B91" s="303"/>
      <c r="C91" s="303"/>
      <c r="D91" s="303"/>
      <c r="E91" s="303"/>
      <c r="F91" s="303"/>
      <c r="G91" s="303"/>
      <c r="H91" s="303"/>
      <c r="I91" s="303"/>
      <c r="J91" s="303"/>
      <c r="K91" s="303"/>
      <c r="L91" s="303"/>
      <c r="M91" s="303"/>
      <c r="N91" s="303"/>
      <c r="O91" s="303"/>
      <c r="P91" s="303"/>
      <c r="Q91" s="303"/>
      <c r="R91" s="303"/>
      <c r="S91" s="303"/>
      <c r="T91" s="303"/>
      <c r="U91" s="303"/>
      <c r="V91" s="303"/>
      <c r="W91" s="303"/>
      <c r="X91" s="303"/>
      <c r="Y91" s="303"/>
      <c r="Z91" s="532"/>
      <c r="AA91" s="530"/>
      <c r="AB91" s="525" t="str">
        <f t="shared" si="0"/>
        <v/>
      </c>
      <c r="AC91" s="525" t="str">
        <f t="shared" si="1"/>
        <v/>
      </c>
      <c r="AD91" s="525" t="str">
        <f t="shared" si="2"/>
        <v/>
      </c>
      <c r="AE91" s="525" t="str">
        <f t="shared" si="3"/>
        <v/>
      </c>
      <c r="AF91" s="525" t="str">
        <f t="shared" si="4"/>
        <v/>
      </c>
      <c r="AG91" s="525" t="str">
        <f t="shared" si="5"/>
        <v/>
      </c>
      <c r="AH91" s="525">
        <f>E91</f>
        <v>0</v>
      </c>
      <c r="AI91" s="525">
        <f>E92</f>
        <v>0</v>
      </c>
    </row>
    <row r="92" spans="1:35" x14ac:dyDescent="0.2">
      <c r="A92" s="531"/>
      <c r="B92" s="303"/>
      <c r="C92" s="303"/>
      <c r="D92" s="303"/>
      <c r="E92" s="303"/>
      <c r="F92" s="303"/>
      <c r="G92" s="303"/>
      <c r="H92" s="303"/>
      <c r="I92" s="303"/>
      <c r="J92" s="303"/>
      <c r="K92" s="303"/>
      <c r="L92" s="303"/>
      <c r="M92" s="303"/>
      <c r="N92" s="303"/>
      <c r="O92" s="303"/>
      <c r="P92" s="303"/>
      <c r="Q92" s="303"/>
      <c r="R92" s="303"/>
      <c r="S92" s="303"/>
      <c r="T92" s="303"/>
      <c r="U92" s="303"/>
      <c r="V92" s="303"/>
      <c r="W92" s="303"/>
      <c r="X92" s="303"/>
      <c r="Y92" s="303"/>
      <c r="Z92" s="532"/>
      <c r="AA92" s="530"/>
      <c r="AB92" s="525" t="str">
        <f t="shared" si="0"/>
        <v/>
      </c>
      <c r="AC92" s="525" t="str">
        <f t="shared" si="1"/>
        <v/>
      </c>
      <c r="AD92" s="525" t="str">
        <f t="shared" si="2"/>
        <v/>
      </c>
      <c r="AE92" s="525" t="str">
        <f t="shared" si="3"/>
        <v/>
      </c>
      <c r="AF92" s="525" t="str">
        <f t="shared" si="4"/>
        <v/>
      </c>
      <c r="AG92" s="525" t="str">
        <f t="shared" si="5"/>
        <v/>
      </c>
      <c r="AH92" s="525">
        <f>E91</f>
        <v>0</v>
      </c>
      <c r="AI92" s="525">
        <f>E92</f>
        <v>0</v>
      </c>
    </row>
    <row r="93" spans="1:35" x14ac:dyDescent="0.2">
      <c r="A93" s="531"/>
      <c r="B93" s="303"/>
      <c r="C93" s="303"/>
      <c r="D93" s="303"/>
      <c r="E93" s="303"/>
      <c r="F93" s="303"/>
      <c r="G93" s="303"/>
      <c r="H93" s="303"/>
      <c r="I93" s="303"/>
      <c r="J93" s="303"/>
      <c r="K93" s="303"/>
      <c r="L93" s="303"/>
      <c r="M93" s="303"/>
      <c r="N93" s="303"/>
      <c r="O93" s="303"/>
      <c r="P93" s="303"/>
      <c r="Q93" s="303"/>
      <c r="R93" s="303"/>
      <c r="S93" s="303"/>
      <c r="T93" s="303"/>
      <c r="U93" s="303"/>
      <c r="V93" s="303"/>
      <c r="W93" s="303"/>
      <c r="X93" s="303"/>
      <c r="Y93" s="303"/>
      <c r="Z93" s="532"/>
      <c r="AA93" s="530"/>
      <c r="AB93" s="525" t="str">
        <f t="shared" si="0"/>
        <v/>
      </c>
      <c r="AC93" s="525" t="str">
        <f t="shared" si="1"/>
        <v/>
      </c>
      <c r="AD93" s="525" t="str">
        <f t="shared" si="2"/>
        <v/>
      </c>
      <c r="AE93" s="525" t="str">
        <f t="shared" si="3"/>
        <v/>
      </c>
      <c r="AF93" s="525" t="str">
        <f t="shared" si="4"/>
        <v/>
      </c>
      <c r="AG93" s="525" t="str">
        <f t="shared" si="5"/>
        <v/>
      </c>
      <c r="AH93" s="525">
        <f>E94</f>
        <v>0</v>
      </c>
      <c r="AI93" s="525">
        <f>E95</f>
        <v>0</v>
      </c>
    </row>
    <row r="94" spans="1:35" x14ac:dyDescent="0.2">
      <c r="A94" s="531"/>
      <c r="B94" s="303"/>
      <c r="C94" s="303"/>
      <c r="D94" s="303"/>
      <c r="E94" s="303"/>
      <c r="F94" s="303"/>
      <c r="G94" s="303"/>
      <c r="H94" s="303"/>
      <c r="I94" s="303"/>
      <c r="J94" s="303"/>
      <c r="K94" s="303"/>
      <c r="L94" s="303"/>
      <c r="M94" s="303"/>
      <c r="N94" s="303"/>
      <c r="O94" s="303"/>
      <c r="P94" s="303"/>
      <c r="Q94" s="303"/>
      <c r="R94" s="303"/>
      <c r="S94" s="303"/>
      <c r="T94" s="303"/>
      <c r="U94" s="303"/>
      <c r="V94" s="303"/>
      <c r="W94" s="303"/>
      <c r="X94" s="303"/>
      <c r="Y94" s="303"/>
      <c r="Z94" s="532"/>
      <c r="AA94" s="530"/>
      <c r="AB94" s="525" t="str">
        <f t="shared" si="0"/>
        <v/>
      </c>
      <c r="AC94" s="525" t="str">
        <f t="shared" si="1"/>
        <v/>
      </c>
      <c r="AD94" s="525" t="str">
        <f t="shared" si="2"/>
        <v/>
      </c>
      <c r="AE94" s="525" t="str">
        <f t="shared" si="3"/>
        <v/>
      </c>
      <c r="AF94" s="525" t="str">
        <f t="shared" si="4"/>
        <v/>
      </c>
      <c r="AG94" s="525" t="str">
        <f t="shared" si="5"/>
        <v/>
      </c>
      <c r="AH94" s="525">
        <f>E94</f>
        <v>0</v>
      </c>
      <c r="AI94" s="525">
        <f>E95</f>
        <v>0</v>
      </c>
    </row>
    <row r="95" spans="1:35" x14ac:dyDescent="0.2">
      <c r="A95" s="531"/>
      <c r="B95" s="303"/>
      <c r="C95" s="303"/>
      <c r="D95" s="303"/>
      <c r="E95" s="303"/>
      <c r="F95" s="303"/>
      <c r="G95" s="303"/>
      <c r="H95" s="303"/>
      <c r="I95" s="303"/>
      <c r="J95" s="303"/>
      <c r="K95" s="303"/>
      <c r="L95" s="303"/>
      <c r="M95" s="303"/>
      <c r="N95" s="303"/>
      <c r="O95" s="303"/>
      <c r="P95" s="303"/>
      <c r="Q95" s="303"/>
      <c r="R95" s="303"/>
      <c r="S95" s="303"/>
      <c r="T95" s="303"/>
      <c r="U95" s="303"/>
      <c r="V95" s="303"/>
      <c r="W95" s="303"/>
      <c r="X95" s="303"/>
      <c r="Y95" s="303"/>
      <c r="Z95" s="532"/>
      <c r="AA95" s="530"/>
      <c r="AB95" s="525" t="str">
        <f t="shared" si="0"/>
        <v/>
      </c>
      <c r="AC95" s="525" t="str">
        <f t="shared" si="1"/>
        <v/>
      </c>
      <c r="AD95" s="525" t="str">
        <f t="shared" si="2"/>
        <v/>
      </c>
      <c r="AE95" s="525" t="str">
        <f t="shared" si="3"/>
        <v/>
      </c>
      <c r="AF95" s="525" t="str">
        <f t="shared" si="4"/>
        <v/>
      </c>
      <c r="AG95" s="525" t="str">
        <f t="shared" si="5"/>
        <v/>
      </c>
      <c r="AH95" s="525">
        <f>E94</f>
        <v>0</v>
      </c>
      <c r="AI95" s="525">
        <f>E95</f>
        <v>0</v>
      </c>
    </row>
    <row r="96" spans="1:35" x14ac:dyDescent="0.2">
      <c r="A96" s="531"/>
      <c r="B96" s="303"/>
      <c r="C96" s="303"/>
      <c r="D96" s="303"/>
      <c r="E96" s="303"/>
      <c r="F96" s="303"/>
      <c r="G96" s="303"/>
      <c r="H96" s="303"/>
      <c r="I96" s="303"/>
      <c r="J96" s="303"/>
      <c r="K96" s="303"/>
      <c r="L96" s="303"/>
      <c r="M96" s="303"/>
      <c r="N96" s="303"/>
      <c r="O96" s="303"/>
      <c r="P96" s="303"/>
      <c r="Q96" s="303"/>
      <c r="R96" s="303"/>
      <c r="S96" s="303"/>
      <c r="T96" s="303"/>
      <c r="U96" s="303"/>
      <c r="V96" s="303"/>
      <c r="W96" s="303"/>
      <c r="X96" s="303"/>
      <c r="Y96" s="303"/>
      <c r="Z96" s="532"/>
      <c r="AA96" s="530"/>
      <c r="AB96" s="525" t="str">
        <f t="shared" si="0"/>
        <v/>
      </c>
      <c r="AC96" s="525" t="str">
        <f t="shared" si="1"/>
        <v/>
      </c>
      <c r="AD96" s="525" t="str">
        <f t="shared" si="2"/>
        <v/>
      </c>
      <c r="AE96" s="525" t="str">
        <f t="shared" si="3"/>
        <v/>
      </c>
      <c r="AF96" s="525" t="str">
        <f t="shared" si="4"/>
        <v/>
      </c>
      <c r="AG96" s="525" t="str">
        <f t="shared" si="5"/>
        <v/>
      </c>
      <c r="AH96" s="525">
        <f>E97</f>
        <v>0</v>
      </c>
      <c r="AI96" s="525">
        <f>E98</f>
        <v>0</v>
      </c>
    </row>
    <row r="97" spans="1:35" x14ac:dyDescent="0.2">
      <c r="A97" s="531"/>
      <c r="B97" s="303"/>
      <c r="C97" s="303"/>
      <c r="D97" s="303"/>
      <c r="E97" s="303"/>
      <c r="F97" s="303"/>
      <c r="G97" s="303"/>
      <c r="H97" s="303"/>
      <c r="I97" s="303"/>
      <c r="J97" s="303"/>
      <c r="K97" s="303"/>
      <c r="L97" s="303"/>
      <c r="M97" s="303"/>
      <c r="N97" s="303"/>
      <c r="O97" s="303"/>
      <c r="P97" s="303"/>
      <c r="Q97" s="303"/>
      <c r="R97" s="303"/>
      <c r="S97" s="303"/>
      <c r="T97" s="303"/>
      <c r="U97" s="303"/>
      <c r="V97" s="303"/>
      <c r="W97" s="303"/>
      <c r="X97" s="303"/>
      <c r="Y97" s="303"/>
      <c r="Z97" s="532"/>
      <c r="AA97" s="530"/>
      <c r="AB97" s="525" t="str">
        <f t="shared" si="0"/>
        <v/>
      </c>
      <c r="AC97" s="525" t="str">
        <f t="shared" si="1"/>
        <v/>
      </c>
      <c r="AD97" s="525" t="str">
        <f t="shared" si="2"/>
        <v/>
      </c>
      <c r="AE97" s="525" t="str">
        <f t="shared" si="3"/>
        <v/>
      </c>
      <c r="AF97" s="525" t="str">
        <f t="shared" si="4"/>
        <v/>
      </c>
      <c r="AG97" s="525" t="str">
        <f t="shared" si="5"/>
        <v/>
      </c>
      <c r="AH97" s="525">
        <f>E97</f>
        <v>0</v>
      </c>
      <c r="AI97" s="525">
        <f>E98</f>
        <v>0</v>
      </c>
    </row>
    <row r="98" spans="1:35" x14ac:dyDescent="0.2">
      <c r="A98" s="531"/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303"/>
      <c r="T98" s="303"/>
      <c r="U98" s="303"/>
      <c r="V98" s="303"/>
      <c r="W98" s="303"/>
      <c r="X98" s="303"/>
      <c r="Y98" s="303"/>
      <c r="Z98" s="532"/>
      <c r="AA98" s="530"/>
      <c r="AB98" s="525" t="str">
        <f t="shared" si="0"/>
        <v/>
      </c>
      <c r="AC98" s="525" t="str">
        <f t="shared" si="1"/>
        <v/>
      </c>
      <c r="AD98" s="525" t="str">
        <f t="shared" si="2"/>
        <v/>
      </c>
      <c r="AE98" s="525" t="str">
        <f t="shared" si="3"/>
        <v/>
      </c>
      <c r="AF98" s="525" t="str">
        <f t="shared" si="4"/>
        <v/>
      </c>
      <c r="AG98" s="525" t="str">
        <f t="shared" si="5"/>
        <v/>
      </c>
      <c r="AH98" s="525">
        <f>E97</f>
        <v>0</v>
      </c>
      <c r="AI98" s="525">
        <f>E98</f>
        <v>0</v>
      </c>
    </row>
    <row r="99" spans="1:35" x14ac:dyDescent="0.2">
      <c r="A99" s="531"/>
      <c r="B99" s="303"/>
      <c r="C99" s="303"/>
      <c r="D99" s="303"/>
      <c r="E99" s="303"/>
      <c r="F99" s="303"/>
      <c r="G99" s="303"/>
      <c r="H99" s="303"/>
      <c r="I99" s="303"/>
      <c r="J99" s="303"/>
      <c r="K99" s="303"/>
      <c r="L99" s="303"/>
      <c r="M99" s="303"/>
      <c r="N99" s="303"/>
      <c r="O99" s="303"/>
      <c r="P99" s="303"/>
      <c r="Q99" s="303"/>
      <c r="R99" s="303"/>
      <c r="S99" s="303"/>
      <c r="T99" s="303"/>
      <c r="U99" s="303"/>
      <c r="V99" s="303"/>
      <c r="W99" s="303"/>
      <c r="X99" s="303"/>
      <c r="Y99" s="303"/>
      <c r="Z99" s="532"/>
      <c r="AA99" s="530"/>
      <c r="AB99" s="525" t="str">
        <f t="shared" si="0"/>
        <v/>
      </c>
      <c r="AC99" s="525" t="str">
        <f t="shared" si="1"/>
        <v/>
      </c>
      <c r="AD99" s="525" t="str">
        <f t="shared" si="2"/>
        <v/>
      </c>
      <c r="AE99" s="525" t="str">
        <f t="shared" si="3"/>
        <v/>
      </c>
      <c r="AF99" s="525" t="str">
        <f t="shared" si="4"/>
        <v/>
      </c>
      <c r="AG99" s="525" t="str">
        <f t="shared" si="5"/>
        <v/>
      </c>
      <c r="AH99" s="525">
        <f>E100</f>
        <v>0</v>
      </c>
      <c r="AI99" s="525">
        <f>E101</f>
        <v>0</v>
      </c>
    </row>
    <row r="100" spans="1:35" x14ac:dyDescent="0.2">
      <c r="A100" s="531"/>
      <c r="B100" s="303"/>
      <c r="C100" s="303"/>
      <c r="D100" s="303"/>
      <c r="E100" s="303"/>
      <c r="F100" s="303"/>
      <c r="G100" s="303"/>
      <c r="H100" s="303"/>
      <c r="I100" s="303"/>
      <c r="J100" s="303"/>
      <c r="K100" s="303"/>
      <c r="L100" s="303"/>
      <c r="M100" s="303"/>
      <c r="N100" s="303"/>
      <c r="O100" s="303"/>
      <c r="P100" s="303"/>
      <c r="Q100" s="303"/>
      <c r="R100" s="303"/>
      <c r="S100" s="303"/>
      <c r="T100" s="303"/>
      <c r="U100" s="303"/>
      <c r="V100" s="303"/>
      <c r="W100" s="303"/>
      <c r="X100" s="303"/>
      <c r="Y100" s="303"/>
      <c r="Z100" s="532"/>
      <c r="AA100" s="530"/>
      <c r="AB100" s="525" t="str">
        <f t="shared" si="0"/>
        <v/>
      </c>
      <c r="AC100" s="525" t="str">
        <f t="shared" si="1"/>
        <v/>
      </c>
      <c r="AD100" s="525" t="str">
        <f t="shared" si="2"/>
        <v/>
      </c>
      <c r="AE100" s="525" t="str">
        <f t="shared" si="3"/>
        <v/>
      </c>
      <c r="AF100" s="525" t="str">
        <f t="shared" si="4"/>
        <v/>
      </c>
      <c r="AG100" s="525" t="str">
        <f t="shared" si="5"/>
        <v/>
      </c>
      <c r="AH100" s="525">
        <f>E100</f>
        <v>0</v>
      </c>
      <c r="AI100" s="525">
        <f>E101</f>
        <v>0</v>
      </c>
    </row>
    <row r="101" spans="1:35" x14ac:dyDescent="0.2">
      <c r="A101" s="531"/>
      <c r="B101" s="303"/>
      <c r="C101" s="303"/>
      <c r="D101" s="303"/>
      <c r="E101" s="303"/>
      <c r="F101" s="303"/>
      <c r="G101" s="303"/>
      <c r="H101" s="303"/>
      <c r="I101" s="303"/>
      <c r="J101" s="303"/>
      <c r="K101" s="303"/>
      <c r="L101" s="303"/>
      <c r="M101" s="303"/>
      <c r="N101" s="303"/>
      <c r="O101" s="303"/>
      <c r="P101" s="303"/>
      <c r="Q101" s="303"/>
      <c r="R101" s="303"/>
      <c r="S101" s="303"/>
      <c r="T101" s="303"/>
      <c r="U101" s="303"/>
      <c r="V101" s="303"/>
      <c r="W101" s="303"/>
      <c r="X101" s="303"/>
      <c r="Y101" s="303"/>
      <c r="Z101" s="532"/>
      <c r="AA101" s="530"/>
      <c r="AB101" s="525" t="str">
        <f t="shared" si="0"/>
        <v/>
      </c>
      <c r="AC101" s="525" t="str">
        <f t="shared" si="1"/>
        <v/>
      </c>
      <c r="AD101" s="525" t="str">
        <f t="shared" si="2"/>
        <v/>
      </c>
      <c r="AE101" s="525" t="str">
        <f t="shared" si="3"/>
        <v/>
      </c>
      <c r="AF101" s="525" t="str">
        <f t="shared" si="4"/>
        <v/>
      </c>
      <c r="AG101" s="525" t="str">
        <f t="shared" si="5"/>
        <v/>
      </c>
      <c r="AH101" s="525">
        <f>E100</f>
        <v>0</v>
      </c>
      <c r="AI101" s="525">
        <f>E101</f>
        <v>0</v>
      </c>
    </row>
    <row r="102" spans="1:35" x14ac:dyDescent="0.2">
      <c r="A102" s="531"/>
      <c r="B102" s="303"/>
      <c r="C102" s="303"/>
      <c r="D102" s="303"/>
      <c r="E102" s="303"/>
      <c r="F102" s="303"/>
      <c r="G102" s="303"/>
      <c r="H102" s="303"/>
      <c r="I102" s="303"/>
      <c r="J102" s="303"/>
      <c r="K102" s="303"/>
      <c r="L102" s="303"/>
      <c r="M102" s="303"/>
      <c r="N102" s="303"/>
      <c r="O102" s="303"/>
      <c r="P102" s="303"/>
      <c r="Q102" s="303"/>
      <c r="R102" s="303"/>
      <c r="S102" s="303"/>
      <c r="T102" s="303"/>
      <c r="U102" s="303"/>
      <c r="V102" s="303"/>
      <c r="W102" s="303"/>
      <c r="X102" s="303"/>
      <c r="Y102" s="303"/>
      <c r="Z102" s="532"/>
      <c r="AA102" s="530"/>
      <c r="AB102" s="525" t="str">
        <f t="shared" si="0"/>
        <v/>
      </c>
      <c r="AC102" s="525" t="str">
        <f t="shared" si="1"/>
        <v/>
      </c>
      <c r="AD102" s="525" t="str">
        <f t="shared" si="2"/>
        <v/>
      </c>
      <c r="AE102" s="525" t="str">
        <f t="shared" si="3"/>
        <v/>
      </c>
      <c r="AF102" s="525" t="str">
        <f t="shared" si="4"/>
        <v/>
      </c>
      <c r="AG102" s="525" t="str">
        <f t="shared" si="5"/>
        <v/>
      </c>
      <c r="AH102" s="525">
        <f>E103</f>
        <v>0</v>
      </c>
      <c r="AI102" s="525">
        <f>E104</f>
        <v>0</v>
      </c>
    </row>
    <row r="103" spans="1:35" x14ac:dyDescent="0.2">
      <c r="A103" s="531"/>
      <c r="B103" s="303"/>
      <c r="C103" s="303"/>
      <c r="D103" s="303"/>
      <c r="E103" s="303"/>
      <c r="F103" s="303"/>
      <c r="G103" s="303"/>
      <c r="H103" s="303"/>
      <c r="I103" s="303"/>
      <c r="J103" s="303"/>
      <c r="K103" s="303"/>
      <c r="L103" s="303"/>
      <c r="M103" s="303"/>
      <c r="N103" s="303"/>
      <c r="O103" s="303"/>
      <c r="P103" s="303"/>
      <c r="Q103" s="303"/>
      <c r="R103" s="303"/>
      <c r="S103" s="303"/>
      <c r="T103" s="303"/>
      <c r="U103" s="303"/>
      <c r="V103" s="303"/>
      <c r="W103" s="303"/>
      <c r="X103" s="303"/>
      <c r="Y103" s="303"/>
      <c r="Z103" s="532"/>
      <c r="AA103" s="530"/>
      <c r="AB103" s="525" t="str">
        <f t="shared" si="0"/>
        <v/>
      </c>
      <c r="AC103" s="525" t="str">
        <f t="shared" si="1"/>
        <v/>
      </c>
      <c r="AD103" s="525" t="str">
        <f t="shared" si="2"/>
        <v/>
      </c>
      <c r="AE103" s="525" t="str">
        <f t="shared" si="3"/>
        <v/>
      </c>
      <c r="AF103" s="525" t="str">
        <f t="shared" si="4"/>
        <v/>
      </c>
      <c r="AG103" s="525" t="str">
        <f t="shared" si="5"/>
        <v/>
      </c>
      <c r="AH103" s="525">
        <f>E103</f>
        <v>0</v>
      </c>
      <c r="AI103" s="525">
        <f>E104</f>
        <v>0</v>
      </c>
    </row>
    <row r="104" spans="1:35" x14ac:dyDescent="0.2">
      <c r="A104" s="531"/>
      <c r="B104" s="303"/>
      <c r="C104" s="303"/>
      <c r="D104" s="303"/>
      <c r="E104" s="303"/>
      <c r="F104" s="303"/>
      <c r="G104" s="303"/>
      <c r="H104" s="303"/>
      <c r="I104" s="303"/>
      <c r="J104" s="303"/>
      <c r="K104" s="303"/>
      <c r="L104" s="303"/>
      <c r="M104" s="303"/>
      <c r="N104" s="303"/>
      <c r="O104" s="303"/>
      <c r="P104" s="303"/>
      <c r="Q104" s="303"/>
      <c r="R104" s="303"/>
      <c r="S104" s="303"/>
      <c r="T104" s="303"/>
      <c r="U104" s="303"/>
      <c r="V104" s="303"/>
      <c r="W104" s="303"/>
      <c r="X104" s="303"/>
      <c r="Y104" s="303"/>
      <c r="Z104" s="532"/>
      <c r="AA104" s="530"/>
      <c r="AB104" s="525" t="str">
        <f t="shared" si="0"/>
        <v/>
      </c>
      <c r="AC104" s="525" t="str">
        <f t="shared" si="1"/>
        <v/>
      </c>
      <c r="AD104" s="525" t="str">
        <f t="shared" si="2"/>
        <v/>
      </c>
      <c r="AE104" s="525" t="str">
        <f t="shared" si="3"/>
        <v/>
      </c>
      <c r="AF104" s="525" t="str">
        <f t="shared" si="4"/>
        <v/>
      </c>
      <c r="AG104" s="525" t="str">
        <f t="shared" si="5"/>
        <v/>
      </c>
      <c r="AH104" s="525">
        <f>E103</f>
        <v>0</v>
      </c>
      <c r="AI104" s="525">
        <f>E104</f>
        <v>0</v>
      </c>
    </row>
    <row r="105" spans="1:35" x14ac:dyDescent="0.2">
      <c r="A105" s="531"/>
      <c r="B105" s="303"/>
      <c r="C105" s="303"/>
      <c r="D105" s="303"/>
      <c r="E105" s="303"/>
      <c r="F105" s="303"/>
      <c r="G105" s="303"/>
      <c r="H105" s="303"/>
      <c r="I105" s="303"/>
      <c r="J105" s="303"/>
      <c r="K105" s="303"/>
      <c r="L105" s="303"/>
      <c r="M105" s="303"/>
      <c r="N105" s="303"/>
      <c r="O105" s="303"/>
      <c r="P105" s="303"/>
      <c r="Q105" s="303"/>
      <c r="R105" s="303"/>
      <c r="S105" s="303"/>
      <c r="T105" s="303"/>
      <c r="U105" s="303"/>
      <c r="V105" s="303"/>
      <c r="W105" s="303"/>
      <c r="X105" s="303"/>
      <c r="Y105" s="303"/>
      <c r="Z105" s="532"/>
      <c r="AA105" s="530"/>
      <c r="AB105" s="525" t="str">
        <f t="shared" si="0"/>
        <v/>
      </c>
      <c r="AC105" s="525" t="str">
        <f t="shared" si="1"/>
        <v/>
      </c>
      <c r="AD105" s="525" t="str">
        <f t="shared" si="2"/>
        <v/>
      </c>
      <c r="AE105" s="525" t="str">
        <f t="shared" si="3"/>
        <v/>
      </c>
      <c r="AF105" s="525" t="str">
        <f t="shared" si="4"/>
        <v/>
      </c>
      <c r="AG105" s="525" t="str">
        <f t="shared" si="5"/>
        <v/>
      </c>
      <c r="AH105" s="525">
        <f>E106</f>
        <v>0</v>
      </c>
      <c r="AI105" s="525">
        <f>E107</f>
        <v>0</v>
      </c>
    </row>
    <row r="106" spans="1:35" x14ac:dyDescent="0.2">
      <c r="A106" s="531"/>
      <c r="B106" s="303"/>
      <c r="C106" s="303"/>
      <c r="D106" s="303"/>
      <c r="E106" s="303"/>
      <c r="F106" s="303"/>
      <c r="G106" s="303"/>
      <c r="H106" s="303"/>
      <c r="I106" s="303"/>
      <c r="J106" s="303"/>
      <c r="K106" s="303"/>
      <c r="L106" s="303"/>
      <c r="M106" s="303"/>
      <c r="N106" s="303"/>
      <c r="O106" s="303"/>
      <c r="P106" s="303"/>
      <c r="Q106" s="303"/>
      <c r="R106" s="303"/>
      <c r="S106" s="303"/>
      <c r="T106" s="303"/>
      <c r="U106" s="303"/>
      <c r="V106" s="303"/>
      <c r="W106" s="303"/>
      <c r="X106" s="303"/>
      <c r="Y106" s="303"/>
      <c r="Z106" s="532"/>
      <c r="AA106" s="530"/>
      <c r="AB106" s="525" t="str">
        <f t="shared" si="0"/>
        <v/>
      </c>
      <c r="AC106" s="525" t="str">
        <f t="shared" si="1"/>
        <v/>
      </c>
      <c r="AD106" s="525" t="str">
        <f t="shared" si="2"/>
        <v/>
      </c>
      <c r="AE106" s="525" t="str">
        <f t="shared" si="3"/>
        <v/>
      </c>
      <c r="AF106" s="525" t="str">
        <f t="shared" si="4"/>
        <v/>
      </c>
      <c r="AG106" s="525" t="str">
        <f t="shared" si="5"/>
        <v/>
      </c>
      <c r="AH106" s="525">
        <f>E106</f>
        <v>0</v>
      </c>
      <c r="AI106" s="525">
        <f>E107</f>
        <v>0</v>
      </c>
    </row>
    <row r="107" spans="1:35" x14ac:dyDescent="0.2">
      <c r="A107" s="531"/>
      <c r="B107" s="303"/>
      <c r="C107" s="303"/>
      <c r="D107" s="303"/>
      <c r="E107" s="303"/>
      <c r="F107" s="303"/>
      <c r="G107" s="303"/>
      <c r="H107" s="303"/>
      <c r="I107" s="303"/>
      <c r="J107" s="303"/>
      <c r="K107" s="303"/>
      <c r="L107" s="303"/>
      <c r="M107" s="303"/>
      <c r="N107" s="303"/>
      <c r="O107" s="303"/>
      <c r="P107" s="303"/>
      <c r="Q107" s="303"/>
      <c r="R107" s="303"/>
      <c r="S107" s="303"/>
      <c r="T107" s="303"/>
      <c r="U107" s="303"/>
      <c r="V107" s="303"/>
      <c r="W107" s="303"/>
      <c r="X107" s="303"/>
      <c r="Y107" s="303"/>
      <c r="Z107" s="532"/>
      <c r="AA107" s="530"/>
      <c r="AB107" s="525" t="str">
        <f t="shared" si="0"/>
        <v/>
      </c>
      <c r="AC107" s="525" t="str">
        <f t="shared" si="1"/>
        <v/>
      </c>
      <c r="AD107" s="525" t="str">
        <f t="shared" si="2"/>
        <v/>
      </c>
      <c r="AE107" s="525" t="str">
        <f t="shared" si="3"/>
        <v/>
      </c>
      <c r="AF107" s="525" t="str">
        <f t="shared" si="4"/>
        <v/>
      </c>
      <c r="AG107" s="525" t="str">
        <f t="shared" si="5"/>
        <v/>
      </c>
      <c r="AH107" s="525">
        <f>E106</f>
        <v>0</v>
      </c>
      <c r="AI107" s="525">
        <f>E107</f>
        <v>0</v>
      </c>
    </row>
    <row r="108" spans="1:35" x14ac:dyDescent="0.2">
      <c r="A108" s="531"/>
      <c r="B108" s="303"/>
      <c r="C108" s="303"/>
      <c r="D108" s="303"/>
      <c r="E108" s="303"/>
      <c r="F108" s="303"/>
      <c r="G108" s="303"/>
      <c r="H108" s="303"/>
      <c r="I108" s="303"/>
      <c r="J108" s="303"/>
      <c r="K108" s="303"/>
      <c r="L108" s="303"/>
      <c r="M108" s="303"/>
      <c r="N108" s="303"/>
      <c r="O108" s="303"/>
      <c r="P108" s="303"/>
      <c r="Q108" s="303"/>
      <c r="R108" s="303"/>
      <c r="S108" s="303"/>
      <c r="T108" s="303"/>
      <c r="U108" s="303"/>
      <c r="V108" s="303"/>
      <c r="W108" s="303"/>
      <c r="X108" s="303"/>
      <c r="Y108" s="303"/>
      <c r="Z108" s="532"/>
      <c r="AA108" s="530"/>
      <c r="AB108" s="525" t="str">
        <f t="shared" si="0"/>
        <v/>
      </c>
      <c r="AC108" s="525" t="str">
        <f t="shared" si="1"/>
        <v/>
      </c>
      <c r="AD108" s="525" t="str">
        <f t="shared" si="2"/>
        <v/>
      </c>
      <c r="AE108" s="525" t="str">
        <f t="shared" si="3"/>
        <v/>
      </c>
      <c r="AF108" s="525" t="str">
        <f t="shared" si="4"/>
        <v/>
      </c>
      <c r="AG108" s="525" t="str">
        <f t="shared" si="5"/>
        <v/>
      </c>
      <c r="AH108" s="525">
        <f>E109</f>
        <v>0</v>
      </c>
      <c r="AI108" s="525">
        <f>E110</f>
        <v>0</v>
      </c>
    </row>
    <row r="109" spans="1:35" x14ac:dyDescent="0.2">
      <c r="A109" s="531"/>
      <c r="B109" s="303"/>
      <c r="C109" s="303"/>
      <c r="D109" s="303"/>
      <c r="E109" s="303"/>
      <c r="F109" s="303"/>
      <c r="G109" s="303"/>
      <c r="H109" s="303"/>
      <c r="I109" s="303"/>
      <c r="J109" s="303"/>
      <c r="K109" s="303"/>
      <c r="L109" s="303"/>
      <c r="M109" s="303"/>
      <c r="N109" s="303"/>
      <c r="O109" s="303"/>
      <c r="P109" s="303"/>
      <c r="Q109" s="303"/>
      <c r="R109" s="303"/>
      <c r="S109" s="303"/>
      <c r="T109" s="303"/>
      <c r="U109" s="303"/>
      <c r="V109" s="303"/>
      <c r="W109" s="303"/>
      <c r="X109" s="303"/>
      <c r="Y109" s="303"/>
      <c r="Z109" s="532"/>
      <c r="AA109" s="530"/>
      <c r="AB109" s="525" t="str">
        <f t="shared" si="0"/>
        <v/>
      </c>
      <c r="AC109" s="525" t="str">
        <f t="shared" si="1"/>
        <v/>
      </c>
      <c r="AD109" s="525" t="str">
        <f t="shared" si="2"/>
        <v/>
      </c>
      <c r="AE109" s="525" t="str">
        <f t="shared" si="3"/>
        <v/>
      </c>
      <c r="AF109" s="525" t="str">
        <f t="shared" si="4"/>
        <v/>
      </c>
      <c r="AG109" s="525" t="str">
        <f t="shared" si="5"/>
        <v/>
      </c>
      <c r="AH109" s="525">
        <f>E109</f>
        <v>0</v>
      </c>
      <c r="AI109" s="525">
        <f>E110</f>
        <v>0</v>
      </c>
    </row>
    <row r="110" spans="1:35" x14ac:dyDescent="0.2">
      <c r="A110" s="531"/>
      <c r="B110" s="303"/>
      <c r="C110" s="303"/>
      <c r="D110" s="303"/>
      <c r="E110" s="303"/>
      <c r="F110" s="303"/>
      <c r="G110" s="303"/>
      <c r="H110" s="303"/>
      <c r="I110" s="303"/>
      <c r="J110" s="303"/>
      <c r="K110" s="303"/>
      <c r="L110" s="303"/>
      <c r="M110" s="303"/>
      <c r="N110" s="303"/>
      <c r="O110" s="303"/>
      <c r="P110" s="303"/>
      <c r="Q110" s="303"/>
      <c r="R110" s="303"/>
      <c r="S110" s="303"/>
      <c r="T110" s="303"/>
      <c r="U110" s="303"/>
      <c r="V110" s="303"/>
      <c r="W110" s="303"/>
      <c r="X110" s="303"/>
      <c r="Y110" s="303"/>
      <c r="Z110" s="532"/>
      <c r="AA110" s="530"/>
      <c r="AB110" s="525" t="str">
        <f t="shared" si="0"/>
        <v/>
      </c>
      <c r="AC110" s="525" t="str">
        <f t="shared" si="1"/>
        <v/>
      </c>
      <c r="AD110" s="525" t="str">
        <f t="shared" si="2"/>
        <v/>
      </c>
      <c r="AE110" s="525" t="str">
        <f t="shared" si="3"/>
        <v/>
      </c>
      <c r="AF110" s="525" t="str">
        <f t="shared" si="4"/>
        <v/>
      </c>
      <c r="AG110" s="525" t="str">
        <f t="shared" si="5"/>
        <v/>
      </c>
      <c r="AH110" s="525">
        <f>E109</f>
        <v>0</v>
      </c>
      <c r="AI110" s="525">
        <f>E110</f>
        <v>0</v>
      </c>
    </row>
    <row r="111" spans="1:35" x14ac:dyDescent="0.2">
      <c r="A111" s="531"/>
      <c r="B111" s="303"/>
      <c r="C111" s="303"/>
      <c r="D111" s="303"/>
      <c r="E111" s="303"/>
      <c r="F111" s="303"/>
      <c r="G111" s="303"/>
      <c r="H111" s="303"/>
      <c r="I111" s="303"/>
      <c r="J111" s="303"/>
      <c r="K111" s="303"/>
      <c r="L111" s="303"/>
      <c r="M111" s="303"/>
      <c r="N111" s="303"/>
      <c r="O111" s="303"/>
      <c r="P111" s="303"/>
      <c r="Q111" s="303"/>
      <c r="R111" s="303"/>
      <c r="S111" s="303"/>
      <c r="T111" s="303"/>
      <c r="U111" s="303"/>
      <c r="V111" s="303"/>
      <c r="W111" s="303"/>
      <c r="X111" s="303"/>
      <c r="Y111" s="303"/>
      <c r="Z111" s="532"/>
      <c r="AA111" s="530"/>
      <c r="AB111" s="525" t="str">
        <f t="shared" si="0"/>
        <v/>
      </c>
      <c r="AC111" s="525" t="str">
        <f t="shared" si="1"/>
        <v/>
      </c>
      <c r="AD111" s="525" t="str">
        <f t="shared" si="2"/>
        <v/>
      </c>
      <c r="AE111" s="525" t="str">
        <f t="shared" si="3"/>
        <v/>
      </c>
      <c r="AF111" s="525" t="str">
        <f t="shared" si="4"/>
        <v/>
      </c>
      <c r="AG111" s="525" t="str">
        <f t="shared" si="5"/>
        <v/>
      </c>
      <c r="AH111" s="525">
        <f>E112</f>
        <v>0</v>
      </c>
      <c r="AI111" s="525">
        <f>E113</f>
        <v>0</v>
      </c>
    </row>
    <row r="112" spans="1:35" x14ac:dyDescent="0.2">
      <c r="A112" s="531"/>
      <c r="B112" s="303"/>
      <c r="C112" s="303"/>
      <c r="D112" s="303"/>
      <c r="E112" s="303"/>
      <c r="F112" s="303"/>
      <c r="G112" s="303"/>
      <c r="H112" s="303"/>
      <c r="I112" s="303"/>
      <c r="J112" s="303"/>
      <c r="K112" s="303"/>
      <c r="L112" s="303"/>
      <c r="M112" s="303"/>
      <c r="N112" s="303"/>
      <c r="O112" s="303"/>
      <c r="P112" s="303"/>
      <c r="Q112" s="303"/>
      <c r="R112" s="303"/>
      <c r="S112" s="303"/>
      <c r="T112" s="303"/>
      <c r="U112" s="303"/>
      <c r="V112" s="303"/>
      <c r="W112" s="303"/>
      <c r="X112" s="303"/>
      <c r="Y112" s="303"/>
      <c r="Z112" s="532"/>
      <c r="AA112" s="530"/>
      <c r="AB112" s="525" t="str">
        <f t="shared" si="0"/>
        <v/>
      </c>
      <c r="AC112" s="525" t="str">
        <f t="shared" si="1"/>
        <v/>
      </c>
      <c r="AD112" s="525" t="str">
        <f t="shared" si="2"/>
        <v/>
      </c>
      <c r="AE112" s="525" t="str">
        <f t="shared" si="3"/>
        <v/>
      </c>
      <c r="AF112" s="525" t="str">
        <f t="shared" si="4"/>
        <v/>
      </c>
      <c r="AG112" s="525" t="str">
        <f t="shared" si="5"/>
        <v/>
      </c>
      <c r="AH112" s="525">
        <f>E112</f>
        <v>0</v>
      </c>
      <c r="AI112" s="525">
        <f>E113</f>
        <v>0</v>
      </c>
    </row>
    <row r="113" spans="1:35" x14ac:dyDescent="0.2">
      <c r="A113" s="531"/>
      <c r="B113" s="303"/>
      <c r="C113" s="303"/>
      <c r="D113" s="303"/>
      <c r="E113" s="303"/>
      <c r="F113" s="303"/>
      <c r="G113" s="303"/>
      <c r="H113" s="303"/>
      <c r="I113" s="303"/>
      <c r="J113" s="303"/>
      <c r="K113" s="303"/>
      <c r="L113" s="303"/>
      <c r="M113" s="303"/>
      <c r="N113" s="303"/>
      <c r="O113" s="303"/>
      <c r="P113" s="303"/>
      <c r="Q113" s="303"/>
      <c r="R113" s="303"/>
      <c r="S113" s="303"/>
      <c r="T113" s="303"/>
      <c r="U113" s="303"/>
      <c r="V113" s="303"/>
      <c r="W113" s="303"/>
      <c r="X113" s="303"/>
      <c r="Y113" s="303"/>
      <c r="Z113" s="532"/>
      <c r="AA113" s="530"/>
      <c r="AB113" s="525" t="str">
        <f t="shared" si="0"/>
        <v/>
      </c>
      <c r="AC113" s="525" t="str">
        <f t="shared" si="1"/>
        <v/>
      </c>
      <c r="AD113" s="525" t="str">
        <f t="shared" si="2"/>
        <v/>
      </c>
      <c r="AE113" s="525" t="str">
        <f t="shared" si="3"/>
        <v/>
      </c>
      <c r="AF113" s="525" t="str">
        <f t="shared" si="4"/>
        <v/>
      </c>
      <c r="AG113" s="525" t="str">
        <f t="shared" si="5"/>
        <v/>
      </c>
      <c r="AH113" s="525">
        <f>E112</f>
        <v>0</v>
      </c>
      <c r="AI113" s="525">
        <f>E113</f>
        <v>0</v>
      </c>
    </row>
    <row r="114" spans="1:35" x14ac:dyDescent="0.2">
      <c r="A114" s="531"/>
      <c r="B114" s="303"/>
      <c r="C114" s="303"/>
      <c r="D114" s="303"/>
      <c r="E114" s="303"/>
      <c r="F114" s="303"/>
      <c r="G114" s="303"/>
      <c r="H114" s="303"/>
      <c r="I114" s="303"/>
      <c r="J114" s="303"/>
      <c r="K114" s="303"/>
      <c r="L114" s="303"/>
      <c r="M114" s="303"/>
      <c r="N114" s="303"/>
      <c r="O114" s="303"/>
      <c r="P114" s="303"/>
      <c r="Q114" s="303"/>
      <c r="R114" s="303"/>
      <c r="S114" s="303"/>
      <c r="T114" s="303"/>
      <c r="U114" s="303"/>
      <c r="V114" s="303"/>
      <c r="W114" s="303"/>
      <c r="X114" s="303"/>
      <c r="Y114" s="303"/>
      <c r="Z114" s="532"/>
      <c r="AA114" s="530"/>
      <c r="AB114" s="525" t="str">
        <f t="shared" si="0"/>
        <v/>
      </c>
      <c r="AC114" s="525" t="str">
        <f t="shared" si="1"/>
        <v/>
      </c>
      <c r="AD114" s="525" t="str">
        <f t="shared" si="2"/>
        <v/>
      </c>
      <c r="AE114" s="525" t="str">
        <f t="shared" si="3"/>
        <v/>
      </c>
      <c r="AF114" s="525" t="str">
        <f t="shared" si="4"/>
        <v/>
      </c>
      <c r="AG114" s="525" t="str">
        <f t="shared" si="5"/>
        <v/>
      </c>
      <c r="AH114" s="525">
        <f>E115</f>
        <v>0</v>
      </c>
      <c r="AI114" s="525">
        <f>E116</f>
        <v>0</v>
      </c>
    </row>
    <row r="115" spans="1:35" x14ac:dyDescent="0.2">
      <c r="A115" s="531"/>
      <c r="B115" s="303"/>
      <c r="C115" s="303"/>
      <c r="D115" s="303"/>
      <c r="E115" s="303"/>
      <c r="F115" s="303"/>
      <c r="G115" s="303"/>
      <c r="H115" s="303"/>
      <c r="I115" s="303"/>
      <c r="J115" s="303"/>
      <c r="K115" s="303"/>
      <c r="L115" s="303"/>
      <c r="M115" s="303"/>
      <c r="N115" s="303"/>
      <c r="O115" s="303"/>
      <c r="P115" s="303"/>
      <c r="Q115" s="303"/>
      <c r="R115" s="303"/>
      <c r="S115" s="303"/>
      <c r="T115" s="303"/>
      <c r="U115" s="303"/>
      <c r="V115" s="303"/>
      <c r="W115" s="303"/>
      <c r="X115" s="303"/>
      <c r="Y115" s="303"/>
      <c r="Z115" s="532"/>
      <c r="AA115" s="530"/>
      <c r="AB115" s="525" t="str">
        <f t="shared" si="0"/>
        <v/>
      </c>
      <c r="AC115" s="525" t="str">
        <f t="shared" si="1"/>
        <v/>
      </c>
      <c r="AD115" s="525" t="str">
        <f t="shared" si="2"/>
        <v/>
      </c>
      <c r="AE115" s="525" t="str">
        <f t="shared" si="3"/>
        <v/>
      </c>
      <c r="AF115" s="525" t="str">
        <f t="shared" si="4"/>
        <v/>
      </c>
      <c r="AG115" s="525" t="str">
        <f t="shared" si="5"/>
        <v/>
      </c>
      <c r="AH115" s="525">
        <f>E115</f>
        <v>0</v>
      </c>
      <c r="AI115" s="525">
        <f>E116</f>
        <v>0</v>
      </c>
    </row>
    <row r="116" spans="1:35" x14ac:dyDescent="0.2">
      <c r="A116" s="531"/>
      <c r="B116" s="303"/>
      <c r="C116" s="303"/>
      <c r="D116" s="303"/>
      <c r="E116" s="303"/>
      <c r="F116" s="303"/>
      <c r="G116" s="303"/>
      <c r="H116" s="303"/>
      <c r="I116" s="303"/>
      <c r="J116" s="303"/>
      <c r="K116" s="303"/>
      <c r="L116" s="303"/>
      <c r="M116" s="303"/>
      <c r="N116" s="303"/>
      <c r="O116" s="303"/>
      <c r="P116" s="303"/>
      <c r="Q116" s="303"/>
      <c r="R116" s="303"/>
      <c r="S116" s="303"/>
      <c r="T116" s="303"/>
      <c r="U116" s="303"/>
      <c r="V116" s="303"/>
      <c r="W116" s="303"/>
      <c r="X116" s="303"/>
      <c r="Y116" s="303"/>
      <c r="Z116" s="532"/>
      <c r="AA116" s="530"/>
      <c r="AB116" s="525" t="str">
        <f t="shared" si="0"/>
        <v/>
      </c>
      <c r="AC116" s="525" t="str">
        <f t="shared" si="1"/>
        <v/>
      </c>
      <c r="AD116" s="525" t="str">
        <f t="shared" si="2"/>
        <v/>
      </c>
      <c r="AE116" s="525" t="str">
        <f t="shared" si="3"/>
        <v/>
      </c>
      <c r="AF116" s="525" t="str">
        <f t="shared" si="4"/>
        <v/>
      </c>
      <c r="AG116" s="525" t="str">
        <f t="shared" si="5"/>
        <v/>
      </c>
      <c r="AH116" s="525">
        <f>E115</f>
        <v>0</v>
      </c>
      <c r="AI116" s="525">
        <f>E116</f>
        <v>0</v>
      </c>
    </row>
    <row r="117" spans="1:35" x14ac:dyDescent="0.2">
      <c r="A117" s="531"/>
      <c r="B117" s="303"/>
      <c r="C117" s="303"/>
      <c r="D117" s="303"/>
      <c r="E117" s="303"/>
      <c r="F117" s="303"/>
      <c r="G117" s="303"/>
      <c r="H117" s="303"/>
      <c r="I117" s="303"/>
      <c r="J117" s="303"/>
      <c r="K117" s="303"/>
      <c r="L117" s="303"/>
      <c r="M117" s="303"/>
      <c r="N117" s="303"/>
      <c r="O117" s="303"/>
      <c r="P117" s="303"/>
      <c r="Q117" s="303"/>
      <c r="R117" s="303"/>
      <c r="S117" s="303"/>
      <c r="T117" s="303"/>
      <c r="U117" s="303"/>
      <c r="V117" s="303"/>
      <c r="W117" s="303"/>
      <c r="X117" s="303"/>
      <c r="Y117" s="303"/>
      <c r="Z117" s="532"/>
      <c r="AA117" s="530"/>
      <c r="AB117" s="525" t="str">
        <f t="shared" si="0"/>
        <v/>
      </c>
      <c r="AC117" s="525" t="str">
        <f t="shared" si="1"/>
        <v/>
      </c>
      <c r="AD117" s="525" t="str">
        <f t="shared" si="2"/>
        <v/>
      </c>
      <c r="AE117" s="525" t="str">
        <f t="shared" si="3"/>
        <v/>
      </c>
      <c r="AF117" s="525" t="str">
        <f t="shared" si="4"/>
        <v/>
      </c>
      <c r="AG117" s="525" t="str">
        <f t="shared" si="5"/>
        <v/>
      </c>
      <c r="AH117" s="525">
        <f>E118</f>
        <v>0</v>
      </c>
      <c r="AI117" s="525">
        <f>E119</f>
        <v>0</v>
      </c>
    </row>
    <row r="118" spans="1:35" x14ac:dyDescent="0.2">
      <c r="A118" s="531"/>
      <c r="B118" s="303"/>
      <c r="C118" s="303"/>
      <c r="D118" s="303"/>
      <c r="E118" s="303"/>
      <c r="F118" s="303"/>
      <c r="G118" s="303"/>
      <c r="H118" s="303"/>
      <c r="I118" s="303"/>
      <c r="J118" s="303"/>
      <c r="K118" s="303"/>
      <c r="L118" s="303"/>
      <c r="M118" s="303"/>
      <c r="N118" s="303"/>
      <c r="O118" s="303"/>
      <c r="P118" s="303"/>
      <c r="Q118" s="303"/>
      <c r="R118" s="303"/>
      <c r="S118" s="303"/>
      <c r="T118" s="303"/>
      <c r="U118" s="303"/>
      <c r="V118" s="303"/>
      <c r="W118" s="303"/>
      <c r="X118" s="303"/>
      <c r="Y118" s="303"/>
      <c r="Z118" s="532"/>
      <c r="AA118" s="530"/>
      <c r="AB118" s="525" t="str">
        <f t="shared" si="0"/>
        <v/>
      </c>
      <c r="AC118" s="525" t="str">
        <f t="shared" si="1"/>
        <v/>
      </c>
      <c r="AD118" s="525" t="str">
        <f t="shared" si="2"/>
        <v/>
      </c>
      <c r="AE118" s="525" t="str">
        <f t="shared" si="3"/>
        <v/>
      </c>
      <c r="AF118" s="525" t="str">
        <f t="shared" si="4"/>
        <v/>
      </c>
      <c r="AG118" s="525" t="str">
        <f t="shared" si="5"/>
        <v/>
      </c>
      <c r="AH118" s="525">
        <f>E118</f>
        <v>0</v>
      </c>
      <c r="AI118" s="525">
        <f>E119</f>
        <v>0</v>
      </c>
    </row>
    <row r="119" spans="1:35" x14ac:dyDescent="0.2">
      <c r="A119" s="531"/>
      <c r="B119" s="303"/>
      <c r="C119" s="303"/>
      <c r="D119" s="303"/>
      <c r="E119" s="303"/>
      <c r="F119" s="303"/>
      <c r="G119" s="303"/>
      <c r="H119" s="303"/>
      <c r="I119" s="303"/>
      <c r="J119" s="303"/>
      <c r="K119" s="303"/>
      <c r="L119" s="303"/>
      <c r="M119" s="303"/>
      <c r="N119" s="303"/>
      <c r="O119" s="303"/>
      <c r="P119" s="303"/>
      <c r="Q119" s="303"/>
      <c r="R119" s="303"/>
      <c r="S119" s="303"/>
      <c r="T119" s="303"/>
      <c r="U119" s="303"/>
      <c r="V119" s="303"/>
      <c r="W119" s="303"/>
      <c r="X119" s="303"/>
      <c r="Y119" s="303"/>
      <c r="Z119" s="532"/>
      <c r="AA119" s="530"/>
      <c r="AB119" s="525" t="str">
        <f t="shared" si="0"/>
        <v/>
      </c>
      <c r="AC119" s="525" t="str">
        <f t="shared" si="1"/>
        <v/>
      </c>
      <c r="AD119" s="525" t="str">
        <f t="shared" si="2"/>
        <v/>
      </c>
      <c r="AE119" s="525" t="str">
        <f t="shared" si="3"/>
        <v/>
      </c>
      <c r="AF119" s="525" t="str">
        <f t="shared" si="4"/>
        <v/>
      </c>
      <c r="AG119" s="525" t="str">
        <f t="shared" si="5"/>
        <v/>
      </c>
      <c r="AH119" s="525">
        <f>E118</f>
        <v>0</v>
      </c>
      <c r="AI119" s="525">
        <f>E119</f>
        <v>0</v>
      </c>
    </row>
    <row r="120" spans="1:35" x14ac:dyDescent="0.2">
      <c r="A120" s="531"/>
      <c r="B120" s="303"/>
      <c r="C120" s="303"/>
      <c r="D120" s="303"/>
      <c r="E120" s="303"/>
      <c r="F120" s="303"/>
      <c r="G120" s="303"/>
      <c r="H120" s="303"/>
      <c r="I120" s="303"/>
      <c r="J120" s="303"/>
      <c r="K120" s="303"/>
      <c r="L120" s="303"/>
      <c r="M120" s="303"/>
      <c r="N120" s="303"/>
      <c r="O120" s="303"/>
      <c r="P120" s="303"/>
      <c r="Q120" s="303"/>
      <c r="R120" s="303"/>
      <c r="S120" s="303"/>
      <c r="T120" s="303"/>
      <c r="U120" s="303"/>
      <c r="V120" s="303"/>
      <c r="W120" s="303"/>
      <c r="X120" s="303"/>
      <c r="Y120" s="303"/>
      <c r="Z120" s="532"/>
      <c r="AA120" s="530"/>
      <c r="AB120" s="525" t="str">
        <f t="shared" si="0"/>
        <v/>
      </c>
      <c r="AC120" s="525" t="str">
        <f t="shared" si="1"/>
        <v/>
      </c>
      <c r="AD120" s="525" t="str">
        <f t="shared" si="2"/>
        <v/>
      </c>
      <c r="AE120" s="525" t="str">
        <f t="shared" si="3"/>
        <v/>
      </c>
      <c r="AF120" s="525" t="str">
        <f t="shared" si="4"/>
        <v/>
      </c>
      <c r="AG120" s="525" t="str">
        <f t="shared" si="5"/>
        <v/>
      </c>
      <c r="AH120" s="525">
        <f>E121</f>
        <v>0</v>
      </c>
      <c r="AI120" s="525">
        <f>E122</f>
        <v>0</v>
      </c>
    </row>
    <row r="121" spans="1:35" x14ac:dyDescent="0.2">
      <c r="A121" s="531"/>
      <c r="B121" s="303"/>
      <c r="C121" s="303"/>
      <c r="D121" s="303"/>
      <c r="E121" s="303"/>
      <c r="F121" s="303"/>
      <c r="G121" s="303"/>
      <c r="H121" s="303"/>
      <c r="I121" s="303"/>
      <c r="J121" s="303"/>
      <c r="K121" s="303"/>
      <c r="L121" s="303"/>
      <c r="M121" s="303"/>
      <c r="N121" s="303"/>
      <c r="O121" s="303"/>
      <c r="P121" s="303"/>
      <c r="Q121" s="303"/>
      <c r="R121" s="303"/>
      <c r="S121" s="303"/>
      <c r="T121" s="303"/>
      <c r="U121" s="303"/>
      <c r="V121" s="303"/>
      <c r="W121" s="303"/>
      <c r="X121" s="303"/>
      <c r="Y121" s="303"/>
      <c r="Z121" s="532"/>
      <c r="AA121" s="530"/>
      <c r="AB121" s="525" t="str">
        <f t="shared" si="0"/>
        <v/>
      </c>
      <c r="AC121" s="525" t="str">
        <f t="shared" si="1"/>
        <v/>
      </c>
      <c r="AD121" s="525" t="str">
        <f t="shared" si="2"/>
        <v/>
      </c>
      <c r="AE121" s="525" t="str">
        <f t="shared" si="3"/>
        <v/>
      </c>
      <c r="AF121" s="525" t="str">
        <f t="shared" si="4"/>
        <v/>
      </c>
      <c r="AG121" s="525" t="str">
        <f t="shared" si="5"/>
        <v/>
      </c>
      <c r="AH121" s="525">
        <f>E121</f>
        <v>0</v>
      </c>
      <c r="AI121" s="525">
        <f>E122</f>
        <v>0</v>
      </c>
    </row>
    <row r="122" spans="1:35" x14ac:dyDescent="0.2">
      <c r="A122" s="531"/>
      <c r="B122" s="303"/>
      <c r="C122" s="303"/>
      <c r="D122" s="303"/>
      <c r="E122" s="303"/>
      <c r="F122" s="303"/>
      <c r="G122" s="303"/>
      <c r="H122" s="303"/>
      <c r="I122" s="303"/>
      <c r="J122" s="303"/>
      <c r="K122" s="303"/>
      <c r="L122" s="303"/>
      <c r="M122" s="303"/>
      <c r="N122" s="303"/>
      <c r="O122" s="303"/>
      <c r="P122" s="303"/>
      <c r="Q122" s="303"/>
      <c r="R122" s="303"/>
      <c r="S122" s="303"/>
      <c r="T122" s="303"/>
      <c r="U122" s="303"/>
      <c r="V122" s="303"/>
      <c r="W122" s="303"/>
      <c r="X122" s="303"/>
      <c r="Y122" s="303"/>
      <c r="Z122" s="532"/>
      <c r="AA122" s="530"/>
      <c r="AB122" s="525" t="str">
        <f t="shared" si="0"/>
        <v/>
      </c>
      <c r="AC122" s="525" t="str">
        <f t="shared" si="1"/>
        <v/>
      </c>
      <c r="AD122" s="525" t="str">
        <f t="shared" si="2"/>
        <v/>
      </c>
      <c r="AE122" s="525" t="str">
        <f t="shared" si="3"/>
        <v/>
      </c>
      <c r="AF122" s="525" t="str">
        <f t="shared" si="4"/>
        <v/>
      </c>
      <c r="AG122" s="525" t="str">
        <f t="shared" si="5"/>
        <v/>
      </c>
      <c r="AH122" s="525">
        <f>E121</f>
        <v>0</v>
      </c>
      <c r="AI122" s="525">
        <f>E122</f>
        <v>0</v>
      </c>
    </row>
    <row r="123" spans="1:35" x14ac:dyDescent="0.2">
      <c r="A123" s="531"/>
      <c r="B123" s="303"/>
      <c r="C123" s="303"/>
      <c r="D123" s="303"/>
      <c r="E123" s="303"/>
      <c r="F123" s="303"/>
      <c r="G123" s="303"/>
      <c r="H123" s="303"/>
      <c r="I123" s="303"/>
      <c r="J123" s="303"/>
      <c r="K123" s="303"/>
      <c r="L123" s="303"/>
      <c r="M123" s="303"/>
      <c r="N123" s="303"/>
      <c r="O123" s="303"/>
      <c r="P123" s="303"/>
      <c r="Q123" s="303"/>
      <c r="R123" s="303"/>
      <c r="S123" s="303"/>
      <c r="T123" s="303"/>
      <c r="U123" s="303"/>
      <c r="V123" s="303"/>
      <c r="W123" s="303"/>
      <c r="X123" s="303"/>
      <c r="Y123" s="303"/>
      <c r="Z123" s="532"/>
      <c r="AA123" s="530"/>
      <c r="AB123" s="525" t="str">
        <f t="shared" si="0"/>
        <v/>
      </c>
      <c r="AC123" s="525" t="str">
        <f t="shared" si="1"/>
        <v/>
      </c>
      <c r="AD123" s="525" t="str">
        <f t="shared" si="2"/>
        <v/>
      </c>
      <c r="AE123" s="525" t="str">
        <f t="shared" si="3"/>
        <v/>
      </c>
      <c r="AF123" s="525" t="str">
        <f t="shared" si="4"/>
        <v/>
      </c>
      <c r="AG123" s="525" t="str">
        <f t="shared" si="5"/>
        <v/>
      </c>
      <c r="AH123" s="525">
        <f>E124</f>
        <v>0</v>
      </c>
      <c r="AI123" s="525">
        <f>E125</f>
        <v>0</v>
      </c>
    </row>
    <row r="124" spans="1:35" x14ac:dyDescent="0.2">
      <c r="A124" s="531"/>
      <c r="B124" s="303"/>
      <c r="C124" s="303"/>
      <c r="D124" s="303"/>
      <c r="E124" s="303"/>
      <c r="F124" s="303"/>
      <c r="G124" s="303"/>
      <c r="H124" s="303"/>
      <c r="I124" s="303"/>
      <c r="J124" s="303"/>
      <c r="K124" s="303"/>
      <c r="L124" s="303"/>
      <c r="M124" s="303"/>
      <c r="N124" s="303"/>
      <c r="O124" s="303"/>
      <c r="P124" s="303"/>
      <c r="Q124" s="303"/>
      <c r="R124" s="303"/>
      <c r="S124" s="303"/>
      <c r="T124" s="303"/>
      <c r="U124" s="303"/>
      <c r="V124" s="303"/>
      <c r="W124" s="303"/>
      <c r="X124" s="303"/>
      <c r="Y124" s="303"/>
      <c r="Z124" s="532"/>
      <c r="AA124" s="530"/>
      <c r="AB124" s="525" t="str">
        <f t="shared" si="0"/>
        <v/>
      </c>
      <c r="AC124" s="525" t="str">
        <f t="shared" si="1"/>
        <v/>
      </c>
      <c r="AD124" s="525" t="str">
        <f t="shared" si="2"/>
        <v/>
      </c>
      <c r="AE124" s="525" t="str">
        <f t="shared" si="3"/>
        <v/>
      </c>
      <c r="AF124" s="525" t="str">
        <f t="shared" si="4"/>
        <v/>
      </c>
      <c r="AG124" s="525" t="str">
        <f t="shared" si="5"/>
        <v/>
      </c>
      <c r="AH124" s="525">
        <f>E124</f>
        <v>0</v>
      </c>
      <c r="AI124" s="525">
        <f>E125</f>
        <v>0</v>
      </c>
    </row>
    <row r="125" spans="1:35" x14ac:dyDescent="0.2">
      <c r="A125" s="531"/>
      <c r="B125" s="303"/>
      <c r="C125" s="303"/>
      <c r="D125" s="303"/>
      <c r="E125" s="303"/>
      <c r="F125" s="303"/>
      <c r="G125" s="303"/>
      <c r="H125" s="303"/>
      <c r="I125" s="303"/>
      <c r="J125" s="303"/>
      <c r="K125" s="303"/>
      <c r="L125" s="303"/>
      <c r="M125" s="303"/>
      <c r="N125" s="303"/>
      <c r="O125" s="303"/>
      <c r="P125" s="303"/>
      <c r="Q125" s="303"/>
      <c r="R125" s="303"/>
      <c r="S125" s="303"/>
      <c r="T125" s="303"/>
      <c r="U125" s="303"/>
      <c r="V125" s="303"/>
      <c r="W125" s="303"/>
      <c r="X125" s="303"/>
      <c r="Y125" s="303"/>
      <c r="Z125" s="532"/>
      <c r="AA125" s="530"/>
      <c r="AB125" s="525" t="str">
        <f t="shared" si="0"/>
        <v/>
      </c>
      <c r="AC125" s="525" t="str">
        <f t="shared" si="1"/>
        <v/>
      </c>
      <c r="AD125" s="525" t="str">
        <f t="shared" si="2"/>
        <v/>
      </c>
      <c r="AE125" s="525" t="str">
        <f t="shared" si="3"/>
        <v/>
      </c>
      <c r="AF125" s="525" t="str">
        <f t="shared" si="4"/>
        <v/>
      </c>
      <c r="AG125" s="525" t="str">
        <f t="shared" si="5"/>
        <v/>
      </c>
      <c r="AH125" s="525">
        <f>E124</f>
        <v>0</v>
      </c>
      <c r="AI125" s="525">
        <f>E125</f>
        <v>0</v>
      </c>
    </row>
    <row r="126" spans="1:35" x14ac:dyDescent="0.2">
      <c r="A126" s="531"/>
      <c r="B126" s="303"/>
      <c r="C126" s="303"/>
      <c r="D126" s="303"/>
      <c r="E126" s="303"/>
      <c r="F126" s="303"/>
      <c r="G126" s="303"/>
      <c r="H126" s="303"/>
      <c r="I126" s="303"/>
      <c r="J126" s="303"/>
      <c r="K126" s="303"/>
      <c r="L126" s="303"/>
      <c r="M126" s="303"/>
      <c r="N126" s="303"/>
      <c r="O126" s="303"/>
      <c r="P126" s="303"/>
      <c r="Q126" s="303"/>
      <c r="R126" s="303"/>
      <c r="S126" s="303"/>
      <c r="T126" s="303"/>
      <c r="U126" s="303"/>
      <c r="V126" s="303"/>
      <c r="W126" s="303"/>
      <c r="X126" s="303"/>
      <c r="Y126" s="303"/>
      <c r="Z126" s="532"/>
      <c r="AA126" s="530"/>
      <c r="AB126" s="525" t="str">
        <f t="shared" si="0"/>
        <v/>
      </c>
      <c r="AC126" s="525" t="str">
        <f t="shared" si="1"/>
        <v/>
      </c>
      <c r="AD126" s="525" t="str">
        <f t="shared" si="2"/>
        <v/>
      </c>
      <c r="AE126" s="525" t="str">
        <f t="shared" si="3"/>
        <v/>
      </c>
      <c r="AF126" s="525" t="str">
        <f t="shared" si="4"/>
        <v/>
      </c>
      <c r="AG126" s="525" t="str">
        <f t="shared" si="5"/>
        <v/>
      </c>
      <c r="AH126" s="525">
        <f>E127</f>
        <v>0</v>
      </c>
      <c r="AI126" s="525">
        <f>E128</f>
        <v>0</v>
      </c>
    </row>
    <row r="127" spans="1:35" x14ac:dyDescent="0.2">
      <c r="A127" s="531"/>
      <c r="B127" s="303"/>
      <c r="C127" s="303"/>
      <c r="D127" s="303"/>
      <c r="E127" s="303"/>
      <c r="F127" s="303"/>
      <c r="G127" s="303"/>
      <c r="H127" s="303"/>
      <c r="I127" s="303"/>
      <c r="J127" s="303"/>
      <c r="K127" s="303"/>
      <c r="L127" s="303"/>
      <c r="M127" s="303"/>
      <c r="N127" s="303"/>
      <c r="O127" s="303"/>
      <c r="P127" s="303"/>
      <c r="Q127" s="303"/>
      <c r="R127" s="303"/>
      <c r="S127" s="303"/>
      <c r="T127" s="303"/>
      <c r="U127" s="303"/>
      <c r="V127" s="303"/>
      <c r="W127" s="303"/>
      <c r="X127" s="303"/>
      <c r="Y127" s="303"/>
      <c r="Z127" s="532"/>
      <c r="AA127" s="530"/>
      <c r="AB127" s="525" t="str">
        <f t="shared" si="0"/>
        <v/>
      </c>
      <c r="AC127" s="525" t="str">
        <f t="shared" si="1"/>
        <v/>
      </c>
      <c r="AD127" s="525" t="str">
        <f t="shared" si="2"/>
        <v/>
      </c>
      <c r="AE127" s="525" t="str">
        <f t="shared" si="3"/>
        <v/>
      </c>
      <c r="AF127" s="525" t="str">
        <f t="shared" si="4"/>
        <v/>
      </c>
      <c r="AG127" s="525" t="str">
        <f t="shared" si="5"/>
        <v/>
      </c>
      <c r="AH127" s="525">
        <f>E127</f>
        <v>0</v>
      </c>
      <c r="AI127" s="525">
        <f>E128</f>
        <v>0</v>
      </c>
    </row>
    <row r="128" spans="1:35" x14ac:dyDescent="0.2">
      <c r="A128" s="531"/>
      <c r="B128" s="303"/>
      <c r="C128" s="303"/>
      <c r="D128" s="303"/>
      <c r="E128" s="303"/>
      <c r="F128" s="303"/>
      <c r="G128" s="303"/>
      <c r="H128" s="303"/>
      <c r="I128" s="303"/>
      <c r="J128" s="303"/>
      <c r="K128" s="303"/>
      <c r="L128" s="303"/>
      <c r="M128" s="303"/>
      <c r="N128" s="303"/>
      <c r="O128" s="303"/>
      <c r="P128" s="303"/>
      <c r="Q128" s="303"/>
      <c r="R128" s="303"/>
      <c r="S128" s="303"/>
      <c r="T128" s="303"/>
      <c r="U128" s="303"/>
      <c r="V128" s="303"/>
      <c r="W128" s="303"/>
      <c r="X128" s="303"/>
      <c r="Y128" s="303"/>
      <c r="Z128" s="532"/>
      <c r="AA128" s="530"/>
      <c r="AB128" s="525" t="str">
        <f t="shared" si="0"/>
        <v/>
      </c>
      <c r="AC128" s="525" t="str">
        <f t="shared" si="1"/>
        <v/>
      </c>
      <c r="AD128" s="525" t="str">
        <f t="shared" si="2"/>
        <v/>
      </c>
      <c r="AE128" s="525" t="str">
        <f t="shared" si="3"/>
        <v/>
      </c>
      <c r="AF128" s="525" t="str">
        <f t="shared" si="4"/>
        <v/>
      </c>
      <c r="AG128" s="525" t="str">
        <f t="shared" si="5"/>
        <v/>
      </c>
      <c r="AH128" s="525">
        <f>E127</f>
        <v>0</v>
      </c>
      <c r="AI128" s="525">
        <f>E128</f>
        <v>0</v>
      </c>
    </row>
    <row r="129" spans="1:35" x14ac:dyDescent="0.2">
      <c r="A129" s="531"/>
      <c r="B129" s="303"/>
      <c r="C129" s="303"/>
      <c r="D129" s="303"/>
      <c r="E129" s="303"/>
      <c r="F129" s="303"/>
      <c r="G129" s="303"/>
      <c r="H129" s="303"/>
      <c r="I129" s="303"/>
      <c r="J129" s="303"/>
      <c r="K129" s="303"/>
      <c r="L129" s="303"/>
      <c r="M129" s="303"/>
      <c r="N129" s="303"/>
      <c r="O129" s="303"/>
      <c r="P129" s="303"/>
      <c r="Q129" s="303"/>
      <c r="R129" s="303"/>
      <c r="S129" s="303"/>
      <c r="T129" s="303"/>
      <c r="U129" s="303"/>
      <c r="V129" s="303"/>
      <c r="W129" s="303"/>
      <c r="X129" s="303"/>
      <c r="Y129" s="303"/>
      <c r="Z129" s="532"/>
      <c r="AA129" s="530"/>
      <c r="AB129" s="525" t="str">
        <f t="shared" si="0"/>
        <v/>
      </c>
      <c r="AC129" s="525" t="str">
        <f t="shared" si="1"/>
        <v/>
      </c>
      <c r="AD129" s="525" t="str">
        <f t="shared" si="2"/>
        <v/>
      </c>
      <c r="AE129" s="525" t="str">
        <f t="shared" si="3"/>
        <v/>
      </c>
      <c r="AF129" s="525" t="str">
        <f t="shared" si="4"/>
        <v/>
      </c>
      <c r="AG129" s="525" t="str">
        <f t="shared" si="5"/>
        <v/>
      </c>
      <c r="AH129" s="525">
        <f>E130</f>
        <v>0</v>
      </c>
      <c r="AI129" s="525">
        <f>E131</f>
        <v>0</v>
      </c>
    </row>
    <row r="130" spans="1:35" x14ac:dyDescent="0.2">
      <c r="A130" s="531"/>
      <c r="B130" s="303"/>
      <c r="C130" s="303"/>
      <c r="D130" s="303"/>
      <c r="E130" s="303"/>
      <c r="F130" s="303"/>
      <c r="G130" s="303"/>
      <c r="H130" s="303"/>
      <c r="I130" s="303"/>
      <c r="J130" s="303"/>
      <c r="K130" s="303"/>
      <c r="L130" s="303"/>
      <c r="M130" s="303"/>
      <c r="N130" s="303"/>
      <c r="O130" s="303"/>
      <c r="P130" s="303"/>
      <c r="Q130" s="303"/>
      <c r="R130" s="303"/>
      <c r="S130" s="303"/>
      <c r="T130" s="303"/>
      <c r="U130" s="303"/>
      <c r="V130" s="303"/>
      <c r="W130" s="303"/>
      <c r="X130" s="303"/>
      <c r="Y130" s="303"/>
      <c r="Z130" s="532"/>
      <c r="AA130" s="530"/>
      <c r="AB130" s="525" t="str">
        <f t="shared" si="0"/>
        <v/>
      </c>
      <c r="AC130" s="525" t="str">
        <f t="shared" si="1"/>
        <v/>
      </c>
      <c r="AD130" s="525" t="str">
        <f t="shared" si="2"/>
        <v/>
      </c>
      <c r="AE130" s="525" t="str">
        <f t="shared" si="3"/>
        <v/>
      </c>
      <c r="AF130" s="525" t="str">
        <f t="shared" si="4"/>
        <v/>
      </c>
      <c r="AG130" s="525" t="str">
        <f t="shared" si="5"/>
        <v/>
      </c>
      <c r="AH130" s="525">
        <f>E130</f>
        <v>0</v>
      </c>
      <c r="AI130" s="525">
        <f>E131</f>
        <v>0</v>
      </c>
    </row>
    <row r="131" spans="1:35" x14ac:dyDescent="0.2">
      <c r="A131" s="531"/>
      <c r="B131" s="303"/>
      <c r="C131" s="303"/>
      <c r="D131" s="303"/>
      <c r="E131" s="303"/>
      <c r="F131" s="303"/>
      <c r="G131" s="303"/>
      <c r="H131" s="303"/>
      <c r="I131" s="303"/>
      <c r="J131" s="303"/>
      <c r="K131" s="303"/>
      <c r="L131" s="303"/>
      <c r="M131" s="303"/>
      <c r="N131" s="303"/>
      <c r="O131" s="303"/>
      <c r="P131" s="303"/>
      <c r="Q131" s="303"/>
      <c r="R131" s="303"/>
      <c r="S131" s="303"/>
      <c r="T131" s="303"/>
      <c r="U131" s="303"/>
      <c r="V131" s="303"/>
      <c r="W131" s="303"/>
      <c r="X131" s="303"/>
      <c r="Y131" s="303"/>
      <c r="Z131" s="532"/>
      <c r="AA131" s="530"/>
      <c r="AB131" s="525" t="str">
        <f t="shared" si="0"/>
        <v/>
      </c>
      <c r="AC131" s="525" t="str">
        <f t="shared" si="1"/>
        <v/>
      </c>
      <c r="AD131" s="525" t="str">
        <f t="shared" si="2"/>
        <v/>
      </c>
      <c r="AE131" s="525" t="str">
        <f t="shared" si="3"/>
        <v/>
      </c>
      <c r="AF131" s="525" t="str">
        <f t="shared" si="4"/>
        <v/>
      </c>
      <c r="AG131" s="525" t="str">
        <f t="shared" si="5"/>
        <v/>
      </c>
      <c r="AH131" s="525">
        <f>E130</f>
        <v>0</v>
      </c>
      <c r="AI131" s="525">
        <f>E131</f>
        <v>0</v>
      </c>
    </row>
    <row r="132" spans="1:35" x14ac:dyDescent="0.2">
      <c r="A132" s="531"/>
      <c r="B132" s="303"/>
      <c r="C132" s="303"/>
      <c r="D132" s="303"/>
      <c r="E132" s="303"/>
      <c r="F132" s="303"/>
      <c r="G132" s="303"/>
      <c r="H132" s="303"/>
      <c r="I132" s="303"/>
      <c r="J132" s="303"/>
      <c r="K132" s="303"/>
      <c r="L132" s="303"/>
      <c r="M132" s="303"/>
      <c r="N132" s="303"/>
      <c r="O132" s="303"/>
      <c r="P132" s="303"/>
      <c r="Q132" s="303"/>
      <c r="R132" s="303"/>
      <c r="S132" s="303"/>
      <c r="T132" s="303"/>
      <c r="U132" s="303"/>
      <c r="V132" s="303"/>
      <c r="W132" s="303"/>
      <c r="X132" s="303"/>
      <c r="Y132" s="303"/>
      <c r="Z132" s="532"/>
      <c r="AA132" s="530"/>
      <c r="AB132" s="525" t="str">
        <f t="shared" si="0"/>
        <v/>
      </c>
      <c r="AC132" s="525" t="str">
        <f t="shared" si="1"/>
        <v/>
      </c>
      <c r="AD132" s="525" t="str">
        <f t="shared" si="2"/>
        <v/>
      </c>
      <c r="AE132" s="525" t="str">
        <f t="shared" si="3"/>
        <v/>
      </c>
      <c r="AF132" s="525" t="str">
        <f t="shared" si="4"/>
        <v/>
      </c>
      <c r="AG132" s="525" t="str">
        <f t="shared" si="5"/>
        <v/>
      </c>
      <c r="AH132" s="525">
        <f>E133</f>
        <v>0</v>
      </c>
      <c r="AI132" s="525">
        <f>E134</f>
        <v>0</v>
      </c>
    </row>
    <row r="133" spans="1:35" x14ac:dyDescent="0.2">
      <c r="A133" s="531"/>
      <c r="B133" s="303"/>
      <c r="C133" s="303"/>
      <c r="D133" s="303"/>
      <c r="E133" s="303"/>
      <c r="F133" s="303"/>
      <c r="G133" s="303"/>
      <c r="H133" s="303"/>
      <c r="I133" s="303"/>
      <c r="J133" s="303"/>
      <c r="K133" s="303"/>
      <c r="L133" s="303"/>
      <c r="M133" s="303"/>
      <c r="N133" s="303"/>
      <c r="O133" s="303"/>
      <c r="P133" s="303"/>
      <c r="Q133" s="303"/>
      <c r="R133" s="303"/>
      <c r="S133" s="303"/>
      <c r="T133" s="303"/>
      <c r="U133" s="303"/>
      <c r="V133" s="303"/>
      <c r="W133" s="303"/>
      <c r="X133" s="303"/>
      <c r="Y133" s="303"/>
      <c r="Z133" s="532"/>
      <c r="AA133" s="530"/>
      <c r="AB133" s="525" t="str">
        <f t="shared" si="0"/>
        <v/>
      </c>
      <c r="AC133" s="525" t="str">
        <f t="shared" si="1"/>
        <v/>
      </c>
      <c r="AD133" s="525" t="str">
        <f t="shared" si="2"/>
        <v/>
      </c>
      <c r="AE133" s="525" t="str">
        <f t="shared" si="3"/>
        <v/>
      </c>
      <c r="AF133" s="525" t="str">
        <f t="shared" si="4"/>
        <v/>
      </c>
      <c r="AG133" s="525" t="str">
        <f t="shared" si="5"/>
        <v/>
      </c>
      <c r="AH133" s="525">
        <f>E133</f>
        <v>0</v>
      </c>
      <c r="AI133" s="525">
        <f>E134</f>
        <v>0</v>
      </c>
    </row>
    <row r="134" spans="1:35" x14ac:dyDescent="0.2">
      <c r="A134" s="531"/>
      <c r="B134" s="303"/>
      <c r="C134" s="303"/>
      <c r="D134" s="303"/>
      <c r="E134" s="303"/>
      <c r="F134" s="303"/>
      <c r="G134" s="303"/>
      <c r="H134" s="303"/>
      <c r="I134" s="303"/>
      <c r="J134" s="303"/>
      <c r="K134" s="303"/>
      <c r="L134" s="303"/>
      <c r="M134" s="303"/>
      <c r="N134" s="303"/>
      <c r="O134" s="303"/>
      <c r="P134" s="303"/>
      <c r="Q134" s="303"/>
      <c r="R134" s="303"/>
      <c r="S134" s="303"/>
      <c r="T134" s="303"/>
      <c r="U134" s="303"/>
      <c r="V134" s="303"/>
      <c r="W134" s="303"/>
      <c r="X134" s="303"/>
      <c r="Y134" s="303"/>
      <c r="Z134" s="532"/>
      <c r="AA134" s="530"/>
      <c r="AB134" s="525" t="str">
        <f t="shared" si="0"/>
        <v/>
      </c>
      <c r="AC134" s="525" t="str">
        <f t="shared" si="1"/>
        <v/>
      </c>
      <c r="AD134" s="525" t="str">
        <f t="shared" si="2"/>
        <v/>
      </c>
      <c r="AE134" s="525" t="str">
        <f t="shared" si="3"/>
        <v/>
      </c>
      <c r="AF134" s="525" t="str">
        <f t="shared" si="4"/>
        <v/>
      </c>
      <c r="AG134" s="525" t="str">
        <f t="shared" si="5"/>
        <v/>
      </c>
      <c r="AH134" s="525">
        <f>E133</f>
        <v>0</v>
      </c>
      <c r="AI134" s="525">
        <f>E134</f>
        <v>0</v>
      </c>
    </row>
    <row r="135" spans="1:35" x14ac:dyDescent="0.2">
      <c r="A135" s="531"/>
      <c r="B135" s="303"/>
      <c r="C135" s="303"/>
      <c r="D135" s="303"/>
      <c r="E135" s="303"/>
      <c r="F135" s="303"/>
      <c r="G135" s="303"/>
      <c r="H135" s="303"/>
      <c r="I135" s="303"/>
      <c r="J135" s="303"/>
      <c r="K135" s="303"/>
      <c r="L135" s="303"/>
      <c r="M135" s="303"/>
      <c r="N135" s="303"/>
      <c r="O135" s="303"/>
      <c r="P135" s="303"/>
      <c r="Q135" s="303"/>
      <c r="R135" s="303"/>
      <c r="S135" s="303"/>
      <c r="T135" s="303"/>
      <c r="U135" s="303"/>
      <c r="V135" s="303"/>
      <c r="W135" s="303"/>
      <c r="X135" s="303"/>
      <c r="Y135" s="303"/>
      <c r="Z135" s="532"/>
      <c r="AA135" s="530"/>
      <c r="AB135" s="525" t="str">
        <f t="shared" si="0"/>
        <v/>
      </c>
      <c r="AC135" s="525" t="str">
        <f t="shared" si="1"/>
        <v/>
      </c>
      <c r="AD135" s="525" t="str">
        <f t="shared" si="2"/>
        <v/>
      </c>
      <c r="AE135" s="525" t="str">
        <f t="shared" si="3"/>
        <v/>
      </c>
      <c r="AF135" s="525" t="str">
        <f t="shared" si="4"/>
        <v/>
      </c>
      <c r="AG135" s="525" t="str">
        <f t="shared" si="5"/>
        <v/>
      </c>
      <c r="AH135" s="525">
        <f>E136</f>
        <v>0</v>
      </c>
      <c r="AI135" s="525">
        <f>E137</f>
        <v>0</v>
      </c>
    </row>
    <row r="136" spans="1:35" x14ac:dyDescent="0.2">
      <c r="A136" s="531"/>
      <c r="B136" s="303"/>
      <c r="C136" s="303"/>
      <c r="D136" s="303"/>
      <c r="E136" s="303"/>
      <c r="F136" s="303"/>
      <c r="G136" s="303"/>
      <c r="H136" s="303"/>
      <c r="I136" s="303"/>
      <c r="J136" s="303"/>
      <c r="K136" s="303"/>
      <c r="L136" s="303"/>
      <c r="M136" s="303"/>
      <c r="N136" s="303"/>
      <c r="O136" s="303"/>
      <c r="P136" s="303"/>
      <c r="Q136" s="303"/>
      <c r="R136" s="303"/>
      <c r="S136" s="303"/>
      <c r="T136" s="303"/>
      <c r="U136" s="303"/>
      <c r="V136" s="303"/>
      <c r="W136" s="303"/>
      <c r="X136" s="303"/>
      <c r="Y136" s="303"/>
      <c r="Z136" s="532"/>
      <c r="AA136" s="530"/>
      <c r="AB136" s="525" t="str">
        <f t="shared" si="0"/>
        <v/>
      </c>
      <c r="AC136" s="525" t="str">
        <f t="shared" si="1"/>
        <v/>
      </c>
      <c r="AD136" s="525" t="str">
        <f t="shared" si="2"/>
        <v/>
      </c>
      <c r="AE136" s="525" t="str">
        <f t="shared" si="3"/>
        <v/>
      </c>
      <c r="AF136" s="525" t="str">
        <f t="shared" si="4"/>
        <v/>
      </c>
      <c r="AG136" s="525" t="str">
        <f t="shared" si="5"/>
        <v/>
      </c>
      <c r="AH136" s="525">
        <f>E136</f>
        <v>0</v>
      </c>
      <c r="AI136" s="525">
        <f>E137</f>
        <v>0</v>
      </c>
    </row>
    <row r="137" spans="1:35" x14ac:dyDescent="0.2">
      <c r="A137" s="531"/>
      <c r="B137" s="303"/>
      <c r="C137" s="303"/>
      <c r="D137" s="303"/>
      <c r="E137" s="303"/>
      <c r="F137" s="303"/>
      <c r="G137" s="303"/>
      <c r="H137" s="303"/>
      <c r="I137" s="303"/>
      <c r="J137" s="303"/>
      <c r="K137" s="303"/>
      <c r="L137" s="303"/>
      <c r="M137" s="303"/>
      <c r="N137" s="303"/>
      <c r="O137" s="303"/>
      <c r="P137" s="303"/>
      <c r="Q137" s="303"/>
      <c r="R137" s="303"/>
      <c r="S137" s="303"/>
      <c r="T137" s="303"/>
      <c r="U137" s="303"/>
      <c r="V137" s="303"/>
      <c r="W137" s="303"/>
      <c r="X137" s="303"/>
      <c r="Y137" s="303"/>
      <c r="Z137" s="532"/>
      <c r="AA137" s="530"/>
      <c r="AB137" s="525" t="str">
        <f t="shared" si="0"/>
        <v/>
      </c>
      <c r="AC137" s="525" t="str">
        <f t="shared" si="1"/>
        <v/>
      </c>
      <c r="AD137" s="525" t="str">
        <f t="shared" si="2"/>
        <v/>
      </c>
      <c r="AE137" s="525" t="str">
        <f t="shared" si="3"/>
        <v/>
      </c>
      <c r="AF137" s="525" t="str">
        <f t="shared" si="4"/>
        <v/>
      </c>
      <c r="AG137" s="525" t="str">
        <f t="shared" si="5"/>
        <v/>
      </c>
      <c r="AH137" s="525">
        <f>E136</f>
        <v>0</v>
      </c>
      <c r="AI137" s="525">
        <f>E137</f>
        <v>0</v>
      </c>
    </row>
    <row r="138" spans="1:35" x14ac:dyDescent="0.2">
      <c r="A138" s="531"/>
      <c r="B138" s="303"/>
      <c r="C138" s="303"/>
      <c r="D138" s="303"/>
      <c r="E138" s="303"/>
      <c r="F138" s="303"/>
      <c r="G138" s="303"/>
      <c r="H138" s="303"/>
      <c r="I138" s="303"/>
      <c r="J138" s="303"/>
      <c r="K138" s="303"/>
      <c r="L138" s="303"/>
      <c r="M138" s="303"/>
      <c r="N138" s="303"/>
      <c r="O138" s="303"/>
      <c r="P138" s="303"/>
      <c r="Q138" s="303"/>
      <c r="R138" s="303"/>
      <c r="S138" s="303"/>
      <c r="T138" s="303"/>
      <c r="U138" s="303"/>
      <c r="V138" s="303"/>
      <c r="W138" s="303"/>
      <c r="X138" s="303"/>
      <c r="Y138" s="303"/>
      <c r="Z138" s="532"/>
      <c r="AA138" s="530"/>
      <c r="AB138" s="525" t="str">
        <f t="shared" si="0"/>
        <v/>
      </c>
      <c r="AC138" s="525" t="str">
        <f t="shared" si="1"/>
        <v/>
      </c>
      <c r="AD138" s="525" t="str">
        <f t="shared" si="2"/>
        <v/>
      </c>
      <c r="AE138" s="525" t="str">
        <f t="shared" si="3"/>
        <v/>
      </c>
      <c r="AF138" s="525" t="str">
        <f t="shared" si="4"/>
        <v/>
      </c>
      <c r="AG138" s="525" t="str">
        <f t="shared" si="5"/>
        <v/>
      </c>
      <c r="AH138" s="525">
        <f>E139</f>
        <v>0</v>
      </c>
      <c r="AI138" s="525">
        <f>E140</f>
        <v>0</v>
      </c>
    </row>
    <row r="139" spans="1:35" x14ac:dyDescent="0.2">
      <c r="A139" s="531"/>
      <c r="B139" s="303"/>
      <c r="C139" s="303"/>
      <c r="D139" s="303"/>
      <c r="E139" s="303"/>
      <c r="F139" s="303"/>
      <c r="G139" s="303"/>
      <c r="H139" s="303"/>
      <c r="I139" s="303"/>
      <c r="J139" s="303"/>
      <c r="K139" s="303"/>
      <c r="L139" s="303"/>
      <c r="M139" s="303"/>
      <c r="N139" s="303"/>
      <c r="O139" s="303"/>
      <c r="P139" s="303"/>
      <c r="Q139" s="303"/>
      <c r="R139" s="303"/>
      <c r="S139" s="303"/>
      <c r="T139" s="303"/>
      <c r="U139" s="303"/>
      <c r="V139" s="303"/>
      <c r="W139" s="303"/>
      <c r="X139" s="303"/>
      <c r="Y139" s="303"/>
      <c r="Z139" s="532"/>
      <c r="AA139" s="530"/>
      <c r="AB139" s="525" t="str">
        <f t="shared" si="0"/>
        <v/>
      </c>
      <c r="AC139" s="525" t="str">
        <f t="shared" si="1"/>
        <v/>
      </c>
      <c r="AD139" s="525" t="str">
        <f t="shared" si="2"/>
        <v/>
      </c>
      <c r="AE139" s="525" t="str">
        <f t="shared" si="3"/>
        <v/>
      </c>
      <c r="AF139" s="525" t="str">
        <f t="shared" si="4"/>
        <v/>
      </c>
      <c r="AG139" s="525" t="str">
        <f t="shared" si="5"/>
        <v/>
      </c>
      <c r="AH139" s="525">
        <f>E139</f>
        <v>0</v>
      </c>
      <c r="AI139" s="525">
        <f>E140</f>
        <v>0</v>
      </c>
    </row>
    <row r="140" spans="1:35" x14ac:dyDescent="0.2">
      <c r="A140" s="531"/>
      <c r="B140" s="303"/>
      <c r="C140" s="303"/>
      <c r="D140" s="303"/>
      <c r="E140" s="303"/>
      <c r="F140" s="303"/>
      <c r="G140" s="303"/>
      <c r="H140" s="303"/>
      <c r="I140" s="303"/>
      <c r="J140" s="303"/>
      <c r="K140" s="303"/>
      <c r="L140" s="303"/>
      <c r="M140" s="303"/>
      <c r="N140" s="303"/>
      <c r="O140" s="303"/>
      <c r="P140" s="303"/>
      <c r="Q140" s="303"/>
      <c r="R140" s="303"/>
      <c r="S140" s="303"/>
      <c r="T140" s="303"/>
      <c r="U140" s="303"/>
      <c r="V140" s="303"/>
      <c r="W140" s="303"/>
      <c r="X140" s="303"/>
      <c r="Y140" s="303"/>
      <c r="Z140" s="532"/>
      <c r="AA140" s="530"/>
      <c r="AB140" s="525" t="str">
        <f t="shared" si="0"/>
        <v/>
      </c>
      <c r="AC140" s="525" t="str">
        <f t="shared" si="1"/>
        <v/>
      </c>
      <c r="AD140" s="525" t="str">
        <f t="shared" si="2"/>
        <v/>
      </c>
      <c r="AE140" s="525" t="str">
        <f t="shared" si="3"/>
        <v/>
      </c>
      <c r="AF140" s="525" t="str">
        <f t="shared" si="4"/>
        <v/>
      </c>
      <c r="AG140" s="525" t="str">
        <f t="shared" si="5"/>
        <v/>
      </c>
      <c r="AH140" s="525">
        <f>E139</f>
        <v>0</v>
      </c>
      <c r="AI140" s="525">
        <f>E140</f>
        <v>0</v>
      </c>
    </row>
    <row r="141" spans="1:35" x14ac:dyDescent="0.2">
      <c r="A141" s="531"/>
      <c r="B141" s="303"/>
      <c r="C141" s="303"/>
      <c r="D141" s="303"/>
      <c r="E141" s="303"/>
      <c r="F141" s="303"/>
      <c r="G141" s="303"/>
      <c r="H141" s="303"/>
      <c r="I141" s="303"/>
      <c r="J141" s="303"/>
      <c r="K141" s="303"/>
      <c r="L141" s="303"/>
      <c r="M141" s="303"/>
      <c r="N141" s="303"/>
      <c r="O141" s="303"/>
      <c r="P141" s="303"/>
      <c r="Q141" s="303"/>
      <c r="R141" s="303"/>
      <c r="S141" s="303"/>
      <c r="T141" s="303"/>
      <c r="U141" s="303"/>
      <c r="V141" s="303"/>
      <c r="W141" s="303"/>
      <c r="X141" s="303"/>
      <c r="Y141" s="303"/>
      <c r="Z141" s="532"/>
      <c r="AA141" s="530"/>
      <c r="AB141" s="525" t="str">
        <f t="shared" si="0"/>
        <v/>
      </c>
      <c r="AC141" s="525" t="str">
        <f t="shared" si="1"/>
        <v/>
      </c>
      <c r="AD141" s="525" t="str">
        <f t="shared" si="2"/>
        <v/>
      </c>
      <c r="AE141" s="525" t="str">
        <f t="shared" si="3"/>
        <v/>
      </c>
      <c r="AF141" s="525" t="str">
        <f t="shared" si="4"/>
        <v/>
      </c>
      <c r="AG141" s="525" t="str">
        <f t="shared" si="5"/>
        <v/>
      </c>
      <c r="AH141" s="525">
        <f>E142</f>
        <v>0</v>
      </c>
      <c r="AI141" s="525">
        <f>E143</f>
        <v>0</v>
      </c>
    </row>
    <row r="142" spans="1:35" x14ac:dyDescent="0.2">
      <c r="A142" s="531"/>
      <c r="B142" s="303"/>
      <c r="C142" s="303"/>
      <c r="D142" s="303"/>
      <c r="E142" s="303"/>
      <c r="F142" s="303"/>
      <c r="G142" s="303"/>
      <c r="H142" s="303"/>
      <c r="I142" s="303"/>
      <c r="J142" s="303"/>
      <c r="K142" s="303"/>
      <c r="L142" s="303"/>
      <c r="M142" s="303"/>
      <c r="N142" s="303"/>
      <c r="O142" s="303"/>
      <c r="P142" s="303"/>
      <c r="Q142" s="303"/>
      <c r="R142" s="303"/>
      <c r="S142" s="303"/>
      <c r="T142" s="303"/>
      <c r="U142" s="303"/>
      <c r="V142" s="303"/>
      <c r="W142" s="303"/>
      <c r="X142" s="303"/>
      <c r="Y142" s="303"/>
      <c r="Z142" s="532"/>
      <c r="AA142" s="530"/>
      <c r="AB142" s="525" t="str">
        <f t="shared" si="0"/>
        <v/>
      </c>
      <c r="AC142" s="525" t="str">
        <f t="shared" si="1"/>
        <v/>
      </c>
      <c r="AD142" s="525" t="str">
        <f t="shared" si="2"/>
        <v/>
      </c>
      <c r="AE142" s="525" t="str">
        <f t="shared" si="3"/>
        <v/>
      </c>
      <c r="AF142" s="525" t="str">
        <f t="shared" si="4"/>
        <v/>
      </c>
      <c r="AG142" s="525" t="str">
        <f t="shared" si="5"/>
        <v/>
      </c>
      <c r="AH142" s="525">
        <f>E142</f>
        <v>0</v>
      </c>
      <c r="AI142" s="525">
        <f>E143</f>
        <v>0</v>
      </c>
    </row>
    <row r="143" spans="1:35" x14ac:dyDescent="0.2">
      <c r="A143" s="531"/>
      <c r="B143" s="303"/>
      <c r="C143" s="303"/>
      <c r="D143" s="303"/>
      <c r="E143" s="303"/>
      <c r="F143" s="303"/>
      <c r="G143" s="303"/>
      <c r="H143" s="303"/>
      <c r="I143" s="303"/>
      <c r="J143" s="303"/>
      <c r="K143" s="303"/>
      <c r="L143" s="303"/>
      <c r="M143" s="303"/>
      <c r="N143" s="303"/>
      <c r="O143" s="303"/>
      <c r="P143" s="303"/>
      <c r="Q143" s="303"/>
      <c r="R143" s="303"/>
      <c r="S143" s="303"/>
      <c r="T143" s="303"/>
      <c r="U143" s="303"/>
      <c r="V143" s="303"/>
      <c r="W143" s="303"/>
      <c r="X143" s="303"/>
      <c r="Y143" s="303"/>
      <c r="Z143" s="532"/>
      <c r="AA143" s="530"/>
      <c r="AB143" s="525" t="str">
        <f t="shared" si="0"/>
        <v/>
      </c>
      <c r="AC143" s="525" t="str">
        <f t="shared" si="1"/>
        <v/>
      </c>
      <c r="AD143" s="525" t="str">
        <f t="shared" si="2"/>
        <v/>
      </c>
      <c r="AE143" s="525" t="str">
        <f t="shared" si="3"/>
        <v/>
      </c>
      <c r="AF143" s="525" t="str">
        <f t="shared" si="4"/>
        <v/>
      </c>
      <c r="AG143" s="525" t="str">
        <f t="shared" si="5"/>
        <v/>
      </c>
      <c r="AH143" s="525">
        <f>E142</f>
        <v>0</v>
      </c>
      <c r="AI143" s="525">
        <f>E143</f>
        <v>0</v>
      </c>
    </row>
    <row r="144" spans="1:35" x14ac:dyDescent="0.2">
      <c r="A144" s="531"/>
      <c r="B144" s="303"/>
      <c r="C144" s="303"/>
      <c r="D144" s="303"/>
      <c r="E144" s="303"/>
      <c r="F144" s="303"/>
      <c r="G144" s="303"/>
      <c r="H144" s="303"/>
      <c r="I144" s="303"/>
      <c r="J144" s="303"/>
      <c r="K144" s="303"/>
      <c r="L144" s="303"/>
      <c r="M144" s="303"/>
      <c r="N144" s="303"/>
      <c r="O144" s="303"/>
      <c r="P144" s="303"/>
      <c r="Q144" s="303"/>
      <c r="R144" s="303"/>
      <c r="S144" s="303"/>
      <c r="T144" s="303"/>
      <c r="U144" s="303"/>
      <c r="V144" s="303"/>
      <c r="W144" s="303"/>
      <c r="X144" s="303"/>
      <c r="Y144" s="303"/>
      <c r="Z144" s="532"/>
      <c r="AA144" s="530"/>
      <c r="AB144" s="525" t="str">
        <f t="shared" si="0"/>
        <v/>
      </c>
      <c r="AC144" s="525" t="str">
        <f t="shared" si="1"/>
        <v/>
      </c>
      <c r="AD144" s="525" t="str">
        <f t="shared" si="2"/>
        <v/>
      </c>
      <c r="AE144" s="525" t="str">
        <f t="shared" si="3"/>
        <v/>
      </c>
      <c r="AF144" s="525" t="str">
        <f t="shared" si="4"/>
        <v/>
      </c>
      <c r="AG144" s="525" t="str">
        <f t="shared" si="5"/>
        <v/>
      </c>
      <c r="AH144" s="525">
        <f>E145</f>
        <v>0</v>
      </c>
      <c r="AI144" s="525">
        <f>E146</f>
        <v>0</v>
      </c>
    </row>
    <row r="145" spans="1:35" x14ac:dyDescent="0.2">
      <c r="A145" s="531"/>
      <c r="B145" s="303"/>
      <c r="C145" s="303"/>
      <c r="D145" s="303"/>
      <c r="E145" s="303"/>
      <c r="F145" s="303"/>
      <c r="G145" s="303"/>
      <c r="H145" s="303"/>
      <c r="I145" s="303"/>
      <c r="J145" s="303"/>
      <c r="K145" s="303"/>
      <c r="L145" s="303"/>
      <c r="M145" s="303"/>
      <c r="N145" s="303"/>
      <c r="O145" s="303"/>
      <c r="P145" s="303"/>
      <c r="Q145" s="303"/>
      <c r="R145" s="303"/>
      <c r="S145" s="303"/>
      <c r="T145" s="303"/>
      <c r="U145" s="303"/>
      <c r="V145" s="303"/>
      <c r="W145" s="303"/>
      <c r="X145" s="303"/>
      <c r="Y145" s="303"/>
      <c r="Z145" s="532"/>
      <c r="AA145" s="530"/>
      <c r="AB145" s="525" t="str">
        <f t="shared" si="0"/>
        <v/>
      </c>
      <c r="AC145" s="525" t="str">
        <f t="shared" si="1"/>
        <v/>
      </c>
      <c r="AD145" s="525" t="str">
        <f t="shared" si="2"/>
        <v/>
      </c>
      <c r="AE145" s="525" t="str">
        <f t="shared" si="3"/>
        <v/>
      </c>
      <c r="AF145" s="525" t="str">
        <f t="shared" si="4"/>
        <v/>
      </c>
      <c r="AG145" s="525" t="str">
        <f t="shared" si="5"/>
        <v/>
      </c>
      <c r="AH145" s="525">
        <f>E145</f>
        <v>0</v>
      </c>
      <c r="AI145" s="525">
        <f>E146</f>
        <v>0</v>
      </c>
    </row>
    <row r="146" spans="1:35" x14ac:dyDescent="0.2">
      <c r="A146" s="531"/>
      <c r="B146" s="303"/>
      <c r="C146" s="303"/>
      <c r="D146" s="303"/>
      <c r="E146" s="303"/>
      <c r="F146" s="303"/>
      <c r="G146" s="303"/>
      <c r="H146" s="303"/>
      <c r="I146" s="303"/>
      <c r="J146" s="303"/>
      <c r="K146" s="303"/>
      <c r="L146" s="303"/>
      <c r="M146" s="303"/>
      <c r="N146" s="303"/>
      <c r="O146" s="303"/>
      <c r="P146" s="303"/>
      <c r="Q146" s="303"/>
      <c r="R146" s="303"/>
      <c r="S146" s="303"/>
      <c r="T146" s="303"/>
      <c r="U146" s="303"/>
      <c r="V146" s="303"/>
      <c r="W146" s="303"/>
      <c r="X146" s="303"/>
      <c r="Y146" s="303"/>
      <c r="Z146" s="532"/>
      <c r="AA146" s="530"/>
      <c r="AB146" s="525" t="str">
        <f t="shared" si="0"/>
        <v/>
      </c>
      <c r="AC146" s="525" t="str">
        <f t="shared" si="1"/>
        <v/>
      </c>
      <c r="AD146" s="525" t="str">
        <f t="shared" si="2"/>
        <v/>
      </c>
      <c r="AE146" s="525" t="str">
        <f t="shared" si="3"/>
        <v/>
      </c>
      <c r="AF146" s="525" t="str">
        <f t="shared" si="4"/>
        <v/>
      </c>
      <c r="AG146" s="525" t="str">
        <f t="shared" si="5"/>
        <v/>
      </c>
      <c r="AH146" s="525">
        <f>E145</f>
        <v>0</v>
      </c>
      <c r="AI146" s="525">
        <f>E146</f>
        <v>0</v>
      </c>
    </row>
    <row r="147" spans="1:35" x14ac:dyDescent="0.2">
      <c r="A147" s="531"/>
      <c r="B147" s="303"/>
      <c r="C147" s="303"/>
      <c r="D147" s="303"/>
      <c r="E147" s="303"/>
      <c r="F147" s="303"/>
      <c r="G147" s="303"/>
      <c r="H147" s="303"/>
      <c r="I147" s="303"/>
      <c r="J147" s="303"/>
      <c r="K147" s="303"/>
      <c r="L147" s="303"/>
      <c r="M147" s="303"/>
      <c r="N147" s="303"/>
      <c r="O147" s="303"/>
      <c r="P147" s="303"/>
      <c r="Q147" s="303"/>
      <c r="R147" s="303"/>
      <c r="S147" s="303"/>
      <c r="T147" s="303"/>
      <c r="U147" s="303"/>
      <c r="V147" s="303"/>
      <c r="W147" s="303"/>
      <c r="X147" s="303"/>
      <c r="Y147" s="303"/>
      <c r="Z147" s="532"/>
      <c r="AA147" s="530"/>
      <c r="AB147" s="525" t="str">
        <f t="shared" si="0"/>
        <v/>
      </c>
      <c r="AC147" s="525" t="str">
        <f t="shared" si="1"/>
        <v/>
      </c>
      <c r="AD147" s="525" t="str">
        <f t="shared" si="2"/>
        <v/>
      </c>
      <c r="AE147" s="525" t="str">
        <f t="shared" si="3"/>
        <v/>
      </c>
      <c r="AF147" s="525" t="str">
        <f t="shared" si="4"/>
        <v/>
      </c>
      <c r="AG147" s="525" t="str">
        <f t="shared" si="5"/>
        <v/>
      </c>
      <c r="AH147" s="525">
        <f>E148</f>
        <v>0</v>
      </c>
      <c r="AI147" s="525">
        <f>E149</f>
        <v>0</v>
      </c>
    </row>
    <row r="148" spans="1:35" x14ac:dyDescent="0.2">
      <c r="A148" s="531"/>
      <c r="B148" s="303"/>
      <c r="C148" s="303"/>
      <c r="D148" s="303"/>
      <c r="E148" s="303"/>
      <c r="F148" s="303"/>
      <c r="G148" s="303"/>
      <c r="H148" s="303"/>
      <c r="I148" s="303"/>
      <c r="J148" s="303"/>
      <c r="K148" s="303"/>
      <c r="L148" s="303"/>
      <c r="M148" s="303"/>
      <c r="N148" s="303"/>
      <c r="O148" s="303"/>
      <c r="P148" s="303"/>
      <c r="Q148" s="303"/>
      <c r="R148" s="303"/>
      <c r="S148" s="303"/>
      <c r="T148" s="303"/>
      <c r="U148" s="303"/>
      <c r="V148" s="303"/>
      <c r="W148" s="303"/>
      <c r="X148" s="303"/>
      <c r="Y148" s="303"/>
      <c r="Z148" s="532"/>
      <c r="AA148" s="530"/>
      <c r="AB148" s="525" t="str">
        <f t="shared" si="0"/>
        <v/>
      </c>
      <c r="AC148" s="525" t="str">
        <f t="shared" si="1"/>
        <v/>
      </c>
      <c r="AD148" s="525" t="str">
        <f t="shared" si="2"/>
        <v/>
      </c>
      <c r="AE148" s="525" t="str">
        <f t="shared" si="3"/>
        <v/>
      </c>
      <c r="AF148" s="525" t="str">
        <f t="shared" si="4"/>
        <v/>
      </c>
      <c r="AG148" s="525" t="str">
        <f t="shared" si="5"/>
        <v/>
      </c>
      <c r="AH148" s="525">
        <f>E148</f>
        <v>0</v>
      </c>
      <c r="AI148" s="525">
        <f>E149</f>
        <v>0</v>
      </c>
    </row>
    <row r="149" spans="1:35" x14ac:dyDescent="0.2">
      <c r="A149" s="531"/>
      <c r="B149" s="303"/>
      <c r="C149" s="303"/>
      <c r="D149" s="303"/>
      <c r="E149" s="303"/>
      <c r="F149" s="303"/>
      <c r="G149" s="303"/>
      <c r="H149" s="303"/>
      <c r="I149" s="303"/>
      <c r="J149" s="303"/>
      <c r="K149" s="303"/>
      <c r="L149" s="303"/>
      <c r="M149" s="303"/>
      <c r="N149" s="303"/>
      <c r="O149" s="303"/>
      <c r="P149" s="303"/>
      <c r="Q149" s="303"/>
      <c r="R149" s="303"/>
      <c r="S149" s="303"/>
      <c r="T149" s="303"/>
      <c r="U149" s="303"/>
      <c r="V149" s="303"/>
      <c r="W149" s="303"/>
      <c r="X149" s="303"/>
      <c r="Y149" s="303"/>
      <c r="Z149" s="532"/>
      <c r="AA149" s="530"/>
      <c r="AB149" s="525" t="str">
        <f t="shared" si="0"/>
        <v/>
      </c>
      <c r="AC149" s="525" t="str">
        <f t="shared" si="1"/>
        <v/>
      </c>
      <c r="AD149" s="525" t="str">
        <f t="shared" si="2"/>
        <v/>
      </c>
      <c r="AE149" s="525" t="str">
        <f t="shared" si="3"/>
        <v/>
      </c>
      <c r="AF149" s="525" t="str">
        <f t="shared" si="4"/>
        <v/>
      </c>
      <c r="AG149" s="525" t="str">
        <f t="shared" si="5"/>
        <v/>
      </c>
      <c r="AH149" s="525">
        <f>E148</f>
        <v>0</v>
      </c>
      <c r="AI149" s="525">
        <f>E149</f>
        <v>0</v>
      </c>
    </row>
    <row r="150" spans="1:35" x14ac:dyDescent="0.2">
      <c r="A150" s="531"/>
      <c r="B150" s="303"/>
      <c r="C150" s="303"/>
      <c r="D150" s="303"/>
      <c r="E150" s="303"/>
      <c r="F150" s="303"/>
      <c r="G150" s="303"/>
      <c r="H150" s="303"/>
      <c r="I150" s="303"/>
      <c r="J150" s="303"/>
      <c r="K150" s="303"/>
      <c r="L150" s="303"/>
      <c r="M150" s="303"/>
      <c r="N150" s="303"/>
      <c r="O150" s="303"/>
      <c r="P150" s="303"/>
      <c r="Q150" s="303"/>
      <c r="R150" s="303"/>
      <c r="S150" s="303"/>
      <c r="T150" s="303"/>
      <c r="U150" s="303"/>
      <c r="V150" s="303"/>
      <c r="W150" s="303"/>
      <c r="X150" s="303"/>
      <c r="Y150" s="303"/>
      <c r="Z150" s="532"/>
      <c r="AA150" s="530"/>
      <c r="AB150" s="525" t="str">
        <f t="shared" si="0"/>
        <v/>
      </c>
      <c r="AC150" s="525" t="str">
        <f t="shared" si="1"/>
        <v/>
      </c>
      <c r="AD150" s="525" t="str">
        <f t="shared" si="2"/>
        <v/>
      </c>
      <c r="AE150" s="525" t="str">
        <f t="shared" si="3"/>
        <v/>
      </c>
      <c r="AF150" s="525" t="str">
        <f t="shared" si="4"/>
        <v/>
      </c>
      <c r="AG150" s="525" t="str">
        <f t="shared" si="5"/>
        <v/>
      </c>
      <c r="AH150" s="525">
        <f>E151</f>
        <v>0</v>
      </c>
      <c r="AI150" s="525">
        <f>E152</f>
        <v>0</v>
      </c>
    </row>
    <row r="151" spans="1:35" x14ac:dyDescent="0.2">
      <c r="A151" s="531"/>
      <c r="B151" s="303"/>
      <c r="C151" s="303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  <c r="N151" s="303"/>
      <c r="O151" s="303"/>
      <c r="P151" s="303"/>
      <c r="Q151" s="303"/>
      <c r="R151" s="303"/>
      <c r="S151" s="303"/>
      <c r="T151" s="303"/>
      <c r="U151" s="303"/>
      <c r="V151" s="303"/>
      <c r="W151" s="303"/>
      <c r="X151" s="303"/>
      <c r="Y151" s="303"/>
      <c r="Z151" s="532"/>
      <c r="AA151" s="530"/>
      <c r="AB151" s="525" t="str">
        <f t="shared" si="0"/>
        <v/>
      </c>
      <c r="AC151" s="525" t="str">
        <f t="shared" si="1"/>
        <v/>
      </c>
      <c r="AD151" s="525" t="str">
        <f t="shared" si="2"/>
        <v/>
      </c>
      <c r="AE151" s="525" t="str">
        <f t="shared" si="3"/>
        <v/>
      </c>
      <c r="AF151" s="525" t="str">
        <f t="shared" si="4"/>
        <v/>
      </c>
      <c r="AG151" s="525" t="str">
        <f t="shared" si="5"/>
        <v/>
      </c>
      <c r="AH151" s="525">
        <f>E151</f>
        <v>0</v>
      </c>
      <c r="AI151" s="525">
        <f>E152</f>
        <v>0</v>
      </c>
    </row>
    <row r="152" spans="1:35" x14ac:dyDescent="0.2">
      <c r="A152" s="531"/>
      <c r="B152" s="303"/>
      <c r="C152" s="303"/>
      <c r="D152" s="303"/>
      <c r="E152" s="303"/>
      <c r="F152" s="303"/>
      <c r="G152" s="303"/>
      <c r="H152" s="303"/>
      <c r="I152" s="303"/>
      <c r="J152" s="303"/>
      <c r="K152" s="303"/>
      <c r="L152" s="303"/>
      <c r="M152" s="303"/>
      <c r="N152" s="303"/>
      <c r="O152" s="303"/>
      <c r="P152" s="303"/>
      <c r="Q152" s="303"/>
      <c r="R152" s="303"/>
      <c r="S152" s="303"/>
      <c r="T152" s="303"/>
      <c r="U152" s="303"/>
      <c r="V152" s="303"/>
      <c r="W152" s="303"/>
      <c r="X152" s="303"/>
      <c r="Y152" s="303"/>
      <c r="Z152" s="532"/>
      <c r="AA152" s="530"/>
      <c r="AB152" s="525" t="str">
        <f t="shared" si="0"/>
        <v/>
      </c>
      <c r="AC152" s="525" t="str">
        <f t="shared" si="1"/>
        <v/>
      </c>
      <c r="AD152" s="525" t="str">
        <f t="shared" si="2"/>
        <v/>
      </c>
      <c r="AE152" s="525" t="str">
        <f t="shared" si="3"/>
        <v/>
      </c>
      <c r="AF152" s="525" t="str">
        <f t="shared" si="4"/>
        <v/>
      </c>
      <c r="AG152" s="525" t="str">
        <f t="shared" si="5"/>
        <v/>
      </c>
      <c r="AH152" s="525">
        <f>E151</f>
        <v>0</v>
      </c>
      <c r="AI152" s="525">
        <f>E152</f>
        <v>0</v>
      </c>
    </row>
    <row r="153" spans="1:35" x14ac:dyDescent="0.2">
      <c r="A153" s="531"/>
      <c r="B153" s="303"/>
      <c r="C153" s="303"/>
      <c r="D153" s="303"/>
      <c r="E153" s="303"/>
      <c r="F153" s="303"/>
      <c r="G153" s="303"/>
      <c r="H153" s="303"/>
      <c r="I153" s="303"/>
      <c r="J153" s="303"/>
      <c r="K153" s="303"/>
      <c r="L153" s="303"/>
      <c r="M153" s="303"/>
      <c r="N153" s="303"/>
      <c r="O153" s="303"/>
      <c r="P153" s="303"/>
      <c r="Q153" s="303"/>
      <c r="R153" s="303"/>
      <c r="S153" s="303"/>
      <c r="T153" s="303"/>
      <c r="U153" s="303"/>
      <c r="V153" s="303"/>
      <c r="W153" s="303"/>
      <c r="X153" s="303"/>
      <c r="Y153" s="303"/>
      <c r="Z153" s="532"/>
      <c r="AA153" s="530"/>
      <c r="AB153" s="525" t="str">
        <f t="shared" si="0"/>
        <v/>
      </c>
      <c r="AC153" s="525" t="str">
        <f t="shared" si="1"/>
        <v/>
      </c>
      <c r="AD153" s="525" t="str">
        <f t="shared" si="2"/>
        <v/>
      </c>
      <c r="AE153" s="525" t="str">
        <f t="shared" si="3"/>
        <v/>
      </c>
      <c r="AF153" s="525" t="str">
        <f t="shared" si="4"/>
        <v/>
      </c>
      <c r="AG153" s="525" t="str">
        <f t="shared" si="5"/>
        <v/>
      </c>
      <c r="AH153" s="525">
        <f>E154</f>
        <v>0</v>
      </c>
      <c r="AI153" s="525">
        <f>E155</f>
        <v>0</v>
      </c>
    </row>
    <row r="154" spans="1:35" x14ac:dyDescent="0.2">
      <c r="A154" s="531"/>
      <c r="B154" s="303"/>
      <c r="C154" s="303"/>
      <c r="D154" s="303"/>
      <c r="E154" s="303"/>
      <c r="F154" s="303"/>
      <c r="G154" s="303"/>
      <c r="H154" s="303"/>
      <c r="I154" s="303"/>
      <c r="J154" s="303"/>
      <c r="K154" s="303"/>
      <c r="L154" s="303"/>
      <c r="M154" s="303"/>
      <c r="N154" s="303"/>
      <c r="O154" s="303"/>
      <c r="P154" s="303"/>
      <c r="Q154" s="303"/>
      <c r="R154" s="303"/>
      <c r="S154" s="303"/>
      <c r="T154" s="303"/>
      <c r="U154" s="303"/>
      <c r="V154" s="303"/>
      <c r="W154" s="303"/>
      <c r="X154" s="303"/>
      <c r="Y154" s="303"/>
      <c r="Z154" s="532"/>
      <c r="AA154" s="530"/>
      <c r="AB154" s="525" t="str">
        <f t="shared" si="0"/>
        <v/>
      </c>
      <c r="AC154" s="525" t="str">
        <f t="shared" si="1"/>
        <v/>
      </c>
      <c r="AD154" s="525" t="str">
        <f t="shared" si="2"/>
        <v/>
      </c>
      <c r="AE154" s="525" t="str">
        <f t="shared" si="3"/>
        <v/>
      </c>
      <c r="AF154" s="525" t="str">
        <f t="shared" si="4"/>
        <v/>
      </c>
      <c r="AG154" s="525" t="str">
        <f t="shared" si="5"/>
        <v/>
      </c>
      <c r="AH154" s="525">
        <f>E154</f>
        <v>0</v>
      </c>
      <c r="AI154" s="525">
        <f>E155</f>
        <v>0</v>
      </c>
    </row>
    <row r="155" spans="1:35" x14ac:dyDescent="0.2">
      <c r="A155" s="531"/>
      <c r="B155" s="303"/>
      <c r="C155" s="303"/>
      <c r="D155" s="303"/>
      <c r="E155" s="303"/>
      <c r="F155" s="303"/>
      <c r="G155" s="303"/>
      <c r="H155" s="303"/>
      <c r="I155" s="303"/>
      <c r="J155" s="303"/>
      <c r="K155" s="303"/>
      <c r="L155" s="303"/>
      <c r="M155" s="303"/>
      <c r="N155" s="303"/>
      <c r="O155" s="303"/>
      <c r="P155" s="303"/>
      <c r="Q155" s="303"/>
      <c r="R155" s="303"/>
      <c r="S155" s="303"/>
      <c r="T155" s="303"/>
      <c r="U155" s="303"/>
      <c r="V155" s="303"/>
      <c r="W155" s="303"/>
      <c r="X155" s="303"/>
      <c r="Y155" s="303"/>
      <c r="Z155" s="532"/>
      <c r="AA155" s="530"/>
      <c r="AB155" s="525" t="str">
        <f t="shared" si="0"/>
        <v/>
      </c>
      <c r="AC155" s="525" t="str">
        <f t="shared" si="1"/>
        <v/>
      </c>
      <c r="AD155" s="525" t="str">
        <f t="shared" si="2"/>
        <v/>
      </c>
      <c r="AE155" s="525" t="str">
        <f t="shared" si="3"/>
        <v/>
      </c>
      <c r="AF155" s="525" t="str">
        <f t="shared" si="4"/>
        <v/>
      </c>
      <c r="AG155" s="525" t="str">
        <f t="shared" si="5"/>
        <v/>
      </c>
      <c r="AH155" s="525">
        <f>E154</f>
        <v>0</v>
      </c>
      <c r="AI155" s="525">
        <f>E155</f>
        <v>0</v>
      </c>
    </row>
    <row r="156" spans="1:35" x14ac:dyDescent="0.2">
      <c r="A156" s="531"/>
      <c r="B156" s="303"/>
      <c r="C156" s="303"/>
      <c r="D156" s="303"/>
      <c r="E156" s="303"/>
      <c r="F156" s="303"/>
      <c r="G156" s="303"/>
      <c r="H156" s="303"/>
      <c r="I156" s="303"/>
      <c r="J156" s="303"/>
      <c r="K156" s="303"/>
      <c r="L156" s="303"/>
      <c r="M156" s="303"/>
      <c r="N156" s="303"/>
      <c r="O156" s="303"/>
      <c r="P156" s="303"/>
      <c r="Q156" s="303"/>
      <c r="R156" s="303"/>
      <c r="S156" s="303"/>
      <c r="T156" s="303"/>
      <c r="U156" s="303"/>
      <c r="V156" s="303"/>
      <c r="W156" s="303"/>
      <c r="X156" s="303"/>
      <c r="Y156" s="303"/>
      <c r="Z156" s="532"/>
      <c r="AA156" s="530"/>
      <c r="AB156" s="525" t="str">
        <f t="shared" si="0"/>
        <v/>
      </c>
      <c r="AC156" s="525" t="str">
        <f t="shared" si="1"/>
        <v/>
      </c>
      <c r="AD156" s="525" t="str">
        <f t="shared" si="2"/>
        <v/>
      </c>
      <c r="AE156" s="525" t="str">
        <f t="shared" si="3"/>
        <v/>
      </c>
      <c r="AF156" s="525" t="str">
        <f t="shared" si="4"/>
        <v/>
      </c>
      <c r="AG156" s="525" t="str">
        <f t="shared" si="5"/>
        <v/>
      </c>
      <c r="AH156" s="525">
        <f>E157</f>
        <v>0</v>
      </c>
      <c r="AI156" s="525">
        <f>E158</f>
        <v>0</v>
      </c>
    </row>
    <row r="157" spans="1:35" x14ac:dyDescent="0.2">
      <c r="A157" s="531"/>
      <c r="B157" s="303"/>
      <c r="C157" s="303"/>
      <c r="D157" s="303"/>
      <c r="E157" s="303"/>
      <c r="F157" s="303"/>
      <c r="G157" s="303"/>
      <c r="H157" s="303"/>
      <c r="I157" s="303"/>
      <c r="J157" s="303"/>
      <c r="K157" s="303"/>
      <c r="L157" s="303"/>
      <c r="M157" s="303"/>
      <c r="N157" s="303"/>
      <c r="O157" s="303"/>
      <c r="P157" s="303"/>
      <c r="Q157" s="303"/>
      <c r="R157" s="303"/>
      <c r="S157" s="303"/>
      <c r="T157" s="303"/>
      <c r="U157" s="303"/>
      <c r="V157" s="303"/>
      <c r="W157" s="303"/>
      <c r="X157" s="303"/>
      <c r="Y157" s="303"/>
      <c r="Z157" s="532"/>
      <c r="AA157" s="530"/>
      <c r="AB157" s="525" t="str">
        <f t="shared" si="0"/>
        <v/>
      </c>
      <c r="AC157" s="525" t="str">
        <f t="shared" si="1"/>
        <v/>
      </c>
      <c r="AD157" s="525" t="str">
        <f t="shared" si="2"/>
        <v/>
      </c>
      <c r="AE157" s="525" t="str">
        <f t="shared" si="3"/>
        <v/>
      </c>
      <c r="AF157" s="525" t="str">
        <f t="shared" si="4"/>
        <v/>
      </c>
      <c r="AG157" s="525" t="str">
        <f t="shared" si="5"/>
        <v/>
      </c>
      <c r="AH157" s="525">
        <f>E157</f>
        <v>0</v>
      </c>
      <c r="AI157" s="525">
        <f>E158</f>
        <v>0</v>
      </c>
    </row>
    <row r="158" spans="1:35" x14ac:dyDescent="0.2">
      <c r="A158" s="531"/>
      <c r="B158" s="303"/>
      <c r="C158" s="303"/>
      <c r="D158" s="303"/>
      <c r="E158" s="303"/>
      <c r="F158" s="303"/>
      <c r="G158" s="303"/>
      <c r="H158" s="303"/>
      <c r="I158" s="303"/>
      <c r="J158" s="303"/>
      <c r="K158" s="303"/>
      <c r="L158" s="303"/>
      <c r="M158" s="303"/>
      <c r="N158" s="303"/>
      <c r="O158" s="303"/>
      <c r="P158" s="303"/>
      <c r="Q158" s="303"/>
      <c r="R158" s="303"/>
      <c r="S158" s="303"/>
      <c r="T158" s="303"/>
      <c r="U158" s="303"/>
      <c r="V158" s="303"/>
      <c r="W158" s="303"/>
      <c r="X158" s="303"/>
      <c r="Y158" s="303"/>
      <c r="Z158" s="532"/>
      <c r="AA158" s="530"/>
      <c r="AB158" s="525" t="str">
        <f t="shared" si="0"/>
        <v/>
      </c>
      <c r="AC158" s="525" t="str">
        <f t="shared" si="1"/>
        <v/>
      </c>
      <c r="AD158" s="525" t="str">
        <f t="shared" si="2"/>
        <v/>
      </c>
      <c r="AE158" s="525" t="str">
        <f t="shared" si="3"/>
        <v/>
      </c>
      <c r="AF158" s="525" t="str">
        <f t="shared" si="4"/>
        <v/>
      </c>
      <c r="AG158" s="525" t="str">
        <f t="shared" si="5"/>
        <v/>
      </c>
      <c r="AH158" s="525">
        <f>E157</f>
        <v>0</v>
      </c>
      <c r="AI158" s="525">
        <f>E158</f>
        <v>0</v>
      </c>
    </row>
    <row r="159" spans="1:35" x14ac:dyDescent="0.2">
      <c r="A159" s="531"/>
      <c r="B159" s="303"/>
      <c r="C159" s="303"/>
      <c r="D159" s="303"/>
      <c r="E159" s="303"/>
      <c r="F159" s="303"/>
      <c r="G159" s="303"/>
      <c r="H159" s="303"/>
      <c r="I159" s="303"/>
      <c r="J159" s="303"/>
      <c r="K159" s="303"/>
      <c r="L159" s="303"/>
      <c r="M159" s="303"/>
      <c r="N159" s="303"/>
      <c r="O159" s="303"/>
      <c r="P159" s="303"/>
      <c r="Q159" s="303"/>
      <c r="R159" s="303"/>
      <c r="S159" s="303"/>
      <c r="T159" s="303"/>
      <c r="U159" s="303"/>
      <c r="V159" s="303"/>
      <c r="W159" s="303"/>
      <c r="X159" s="303"/>
      <c r="Y159" s="303"/>
      <c r="Z159" s="532"/>
      <c r="AA159" s="530"/>
      <c r="AB159" s="525" t="str">
        <f t="shared" si="0"/>
        <v/>
      </c>
      <c r="AC159" s="525" t="str">
        <f t="shared" si="1"/>
        <v/>
      </c>
      <c r="AD159" s="525" t="str">
        <f t="shared" si="2"/>
        <v/>
      </c>
      <c r="AE159" s="525" t="str">
        <f t="shared" si="3"/>
        <v/>
      </c>
      <c r="AF159" s="525" t="str">
        <f t="shared" si="4"/>
        <v/>
      </c>
      <c r="AG159" s="525" t="str">
        <f t="shared" si="5"/>
        <v/>
      </c>
      <c r="AH159" s="525">
        <f>E160</f>
        <v>0</v>
      </c>
      <c r="AI159" s="525">
        <f>E161</f>
        <v>0</v>
      </c>
    </row>
    <row r="160" spans="1:35" x14ac:dyDescent="0.2">
      <c r="A160" s="531"/>
      <c r="B160" s="303"/>
      <c r="C160" s="303"/>
      <c r="D160" s="303"/>
      <c r="E160" s="303"/>
      <c r="F160" s="303"/>
      <c r="G160" s="303"/>
      <c r="H160" s="303"/>
      <c r="I160" s="303"/>
      <c r="J160" s="303"/>
      <c r="K160" s="303"/>
      <c r="L160" s="303"/>
      <c r="M160" s="303"/>
      <c r="N160" s="303"/>
      <c r="O160" s="303"/>
      <c r="P160" s="303"/>
      <c r="Q160" s="303"/>
      <c r="R160" s="303"/>
      <c r="S160" s="303"/>
      <c r="T160" s="303"/>
      <c r="U160" s="303"/>
      <c r="V160" s="303"/>
      <c r="W160" s="303"/>
      <c r="X160" s="303"/>
      <c r="Y160" s="303"/>
      <c r="Z160" s="532"/>
      <c r="AA160" s="530"/>
      <c r="AB160" s="525" t="str">
        <f t="shared" si="0"/>
        <v/>
      </c>
      <c r="AC160" s="525" t="str">
        <f t="shared" si="1"/>
        <v/>
      </c>
      <c r="AD160" s="525" t="str">
        <f t="shared" si="2"/>
        <v/>
      </c>
      <c r="AE160" s="525" t="str">
        <f t="shared" si="3"/>
        <v/>
      </c>
      <c r="AF160" s="525" t="str">
        <f t="shared" si="4"/>
        <v/>
      </c>
      <c r="AG160" s="525" t="str">
        <f t="shared" si="5"/>
        <v/>
      </c>
      <c r="AH160" s="525">
        <f>E160</f>
        <v>0</v>
      </c>
      <c r="AI160" s="525">
        <f>E161</f>
        <v>0</v>
      </c>
    </row>
    <row r="161" spans="1:35" x14ac:dyDescent="0.2">
      <c r="A161" s="531"/>
      <c r="B161" s="303"/>
      <c r="C161" s="303"/>
      <c r="D161" s="303"/>
      <c r="E161" s="303"/>
      <c r="F161" s="303"/>
      <c r="G161" s="303"/>
      <c r="H161" s="303"/>
      <c r="I161" s="303"/>
      <c r="J161" s="303"/>
      <c r="K161" s="303"/>
      <c r="L161" s="303"/>
      <c r="M161" s="303"/>
      <c r="N161" s="303"/>
      <c r="O161" s="303"/>
      <c r="P161" s="303"/>
      <c r="Q161" s="303"/>
      <c r="R161" s="303"/>
      <c r="S161" s="303"/>
      <c r="T161" s="303"/>
      <c r="U161" s="303"/>
      <c r="V161" s="303"/>
      <c r="W161" s="303"/>
      <c r="X161" s="303"/>
      <c r="Y161" s="303"/>
      <c r="Z161" s="532"/>
      <c r="AA161" s="530"/>
      <c r="AB161" s="525" t="str">
        <f t="shared" si="0"/>
        <v/>
      </c>
      <c r="AC161" s="525" t="str">
        <f t="shared" si="1"/>
        <v/>
      </c>
      <c r="AD161" s="525" t="str">
        <f t="shared" si="2"/>
        <v/>
      </c>
      <c r="AE161" s="525" t="str">
        <f t="shared" si="3"/>
        <v/>
      </c>
      <c r="AF161" s="525" t="str">
        <f t="shared" si="4"/>
        <v/>
      </c>
      <c r="AG161" s="525" t="str">
        <f t="shared" si="5"/>
        <v/>
      </c>
      <c r="AH161" s="525">
        <f>E160</f>
        <v>0</v>
      </c>
      <c r="AI161" s="525">
        <f>E161</f>
        <v>0</v>
      </c>
    </row>
    <row r="162" spans="1:35" x14ac:dyDescent="0.2">
      <c r="A162" s="531"/>
      <c r="B162" s="303"/>
      <c r="C162" s="303"/>
      <c r="D162" s="303"/>
      <c r="E162" s="303"/>
      <c r="F162" s="303"/>
      <c r="G162" s="303"/>
      <c r="H162" s="303"/>
      <c r="I162" s="303"/>
      <c r="J162" s="303"/>
      <c r="K162" s="303"/>
      <c r="L162" s="303"/>
      <c r="M162" s="303"/>
      <c r="N162" s="303"/>
      <c r="O162" s="303"/>
      <c r="P162" s="303"/>
      <c r="Q162" s="303"/>
      <c r="R162" s="303"/>
      <c r="S162" s="303"/>
      <c r="T162" s="303"/>
      <c r="U162" s="303"/>
      <c r="V162" s="303"/>
      <c r="W162" s="303"/>
      <c r="X162" s="303"/>
      <c r="Y162" s="303"/>
      <c r="Z162" s="532"/>
      <c r="AA162" s="530"/>
      <c r="AB162" s="525" t="str">
        <f t="shared" si="0"/>
        <v/>
      </c>
      <c r="AC162" s="525" t="str">
        <f t="shared" si="1"/>
        <v/>
      </c>
      <c r="AD162" s="525" t="str">
        <f t="shared" si="2"/>
        <v/>
      </c>
      <c r="AE162" s="525" t="str">
        <f t="shared" si="3"/>
        <v/>
      </c>
      <c r="AF162" s="525" t="str">
        <f t="shared" si="4"/>
        <v/>
      </c>
      <c r="AG162" s="525" t="str">
        <f t="shared" si="5"/>
        <v/>
      </c>
      <c r="AH162" s="525">
        <f>E163</f>
        <v>0</v>
      </c>
      <c r="AI162" s="525">
        <f>E164</f>
        <v>0</v>
      </c>
    </row>
    <row r="163" spans="1:35" x14ac:dyDescent="0.2">
      <c r="A163" s="531"/>
      <c r="B163" s="303"/>
      <c r="C163" s="303"/>
      <c r="D163" s="303"/>
      <c r="E163" s="303"/>
      <c r="F163" s="303"/>
      <c r="G163" s="303"/>
      <c r="H163" s="303"/>
      <c r="I163" s="303"/>
      <c r="J163" s="303"/>
      <c r="K163" s="303"/>
      <c r="L163" s="303"/>
      <c r="M163" s="303"/>
      <c r="N163" s="303"/>
      <c r="O163" s="303"/>
      <c r="P163" s="303"/>
      <c r="Q163" s="303"/>
      <c r="R163" s="303"/>
      <c r="S163" s="303"/>
      <c r="T163" s="303"/>
      <c r="U163" s="303"/>
      <c r="V163" s="303"/>
      <c r="W163" s="303"/>
      <c r="X163" s="303"/>
      <c r="Y163" s="303"/>
      <c r="Z163" s="532"/>
      <c r="AA163" s="530"/>
      <c r="AB163" s="525" t="str">
        <f t="shared" si="0"/>
        <v/>
      </c>
      <c r="AC163" s="525" t="str">
        <f t="shared" si="1"/>
        <v/>
      </c>
      <c r="AD163" s="525" t="str">
        <f t="shared" si="2"/>
        <v/>
      </c>
      <c r="AE163" s="525" t="str">
        <f t="shared" si="3"/>
        <v/>
      </c>
      <c r="AF163" s="525" t="str">
        <f t="shared" si="4"/>
        <v/>
      </c>
      <c r="AG163" s="525" t="str">
        <f t="shared" si="5"/>
        <v/>
      </c>
      <c r="AH163" s="525">
        <f>E163</f>
        <v>0</v>
      </c>
      <c r="AI163" s="525">
        <f>E164</f>
        <v>0</v>
      </c>
    </row>
    <row r="164" spans="1:35" x14ac:dyDescent="0.2">
      <c r="A164" s="531"/>
      <c r="B164" s="303"/>
      <c r="C164" s="303"/>
      <c r="D164" s="303"/>
      <c r="E164" s="303"/>
      <c r="F164" s="303"/>
      <c r="G164" s="303"/>
      <c r="H164" s="303"/>
      <c r="I164" s="303"/>
      <c r="J164" s="303"/>
      <c r="K164" s="303"/>
      <c r="L164" s="303"/>
      <c r="M164" s="303"/>
      <c r="N164" s="303"/>
      <c r="O164" s="303"/>
      <c r="P164" s="303"/>
      <c r="Q164" s="303"/>
      <c r="R164" s="303"/>
      <c r="S164" s="303"/>
      <c r="T164" s="303"/>
      <c r="U164" s="303"/>
      <c r="V164" s="303"/>
      <c r="W164" s="303"/>
      <c r="X164" s="303"/>
      <c r="Y164" s="303"/>
      <c r="Z164" s="532"/>
      <c r="AA164" s="530"/>
      <c r="AB164" s="525" t="str">
        <f t="shared" si="0"/>
        <v/>
      </c>
      <c r="AC164" s="525" t="str">
        <f t="shared" si="1"/>
        <v/>
      </c>
      <c r="AD164" s="525" t="str">
        <f t="shared" si="2"/>
        <v/>
      </c>
      <c r="AE164" s="525" t="str">
        <f t="shared" si="3"/>
        <v/>
      </c>
      <c r="AF164" s="525" t="str">
        <f t="shared" si="4"/>
        <v/>
      </c>
      <c r="AG164" s="525" t="str">
        <f t="shared" si="5"/>
        <v/>
      </c>
      <c r="AH164" s="525">
        <f>E163</f>
        <v>0</v>
      </c>
      <c r="AI164" s="525">
        <f>E164</f>
        <v>0</v>
      </c>
    </row>
    <row r="165" spans="1:35" x14ac:dyDescent="0.2">
      <c r="A165" s="531"/>
      <c r="B165" s="303"/>
      <c r="C165" s="303"/>
      <c r="D165" s="303"/>
      <c r="E165" s="303"/>
      <c r="F165" s="303"/>
      <c r="G165" s="303"/>
      <c r="H165" s="303"/>
      <c r="I165" s="303"/>
      <c r="J165" s="303"/>
      <c r="K165" s="303"/>
      <c r="L165" s="303"/>
      <c r="M165" s="303"/>
      <c r="N165" s="303"/>
      <c r="O165" s="303"/>
      <c r="P165" s="303"/>
      <c r="Q165" s="303"/>
      <c r="R165" s="303"/>
      <c r="S165" s="303"/>
      <c r="T165" s="303"/>
      <c r="U165" s="303"/>
      <c r="V165" s="303"/>
      <c r="W165" s="303"/>
      <c r="X165" s="303"/>
      <c r="Y165" s="303"/>
      <c r="Z165" s="532"/>
      <c r="AA165" s="530"/>
      <c r="AB165" s="525" t="str">
        <f t="shared" si="0"/>
        <v/>
      </c>
      <c r="AC165" s="525" t="str">
        <f t="shared" si="1"/>
        <v/>
      </c>
      <c r="AD165" s="525" t="str">
        <f t="shared" si="2"/>
        <v/>
      </c>
      <c r="AE165" s="525" t="str">
        <f t="shared" si="3"/>
        <v/>
      </c>
      <c r="AF165" s="525" t="str">
        <f t="shared" si="4"/>
        <v/>
      </c>
      <c r="AG165" s="525" t="str">
        <f t="shared" si="5"/>
        <v/>
      </c>
      <c r="AH165" s="525">
        <f>E166</f>
        <v>0</v>
      </c>
      <c r="AI165" s="525">
        <f>E167</f>
        <v>0</v>
      </c>
    </row>
    <row r="166" spans="1:35" x14ac:dyDescent="0.2">
      <c r="A166" s="531"/>
      <c r="B166" s="303"/>
      <c r="C166" s="303"/>
      <c r="D166" s="303"/>
      <c r="E166" s="303"/>
      <c r="F166" s="303"/>
      <c r="G166" s="303"/>
      <c r="H166" s="303"/>
      <c r="I166" s="303"/>
      <c r="J166" s="303"/>
      <c r="K166" s="303"/>
      <c r="L166" s="303"/>
      <c r="M166" s="303"/>
      <c r="N166" s="303"/>
      <c r="O166" s="303"/>
      <c r="P166" s="303"/>
      <c r="Q166" s="303"/>
      <c r="R166" s="303"/>
      <c r="S166" s="303"/>
      <c r="T166" s="303"/>
      <c r="U166" s="303"/>
      <c r="V166" s="303"/>
      <c r="W166" s="303"/>
      <c r="X166" s="303"/>
      <c r="Y166" s="303"/>
      <c r="Z166" s="532"/>
      <c r="AA166" s="530"/>
      <c r="AB166" s="525" t="str">
        <f t="shared" si="0"/>
        <v/>
      </c>
      <c r="AC166" s="525" t="str">
        <f t="shared" si="1"/>
        <v/>
      </c>
      <c r="AD166" s="525" t="str">
        <f t="shared" si="2"/>
        <v/>
      </c>
      <c r="AE166" s="525" t="str">
        <f t="shared" si="3"/>
        <v/>
      </c>
      <c r="AF166" s="525" t="str">
        <f t="shared" si="4"/>
        <v/>
      </c>
      <c r="AG166" s="525" t="str">
        <f t="shared" si="5"/>
        <v/>
      </c>
      <c r="AH166" s="525">
        <f>E166</f>
        <v>0</v>
      </c>
      <c r="AI166" s="525">
        <f>E167</f>
        <v>0</v>
      </c>
    </row>
    <row r="167" spans="1:35" x14ac:dyDescent="0.2">
      <c r="A167" s="531"/>
      <c r="B167" s="303"/>
      <c r="C167" s="303"/>
      <c r="D167" s="303"/>
      <c r="E167" s="303"/>
      <c r="F167" s="303"/>
      <c r="G167" s="303"/>
      <c r="H167" s="303"/>
      <c r="I167" s="303"/>
      <c r="J167" s="303"/>
      <c r="K167" s="303"/>
      <c r="L167" s="303"/>
      <c r="M167" s="303"/>
      <c r="N167" s="303"/>
      <c r="O167" s="303"/>
      <c r="P167" s="303"/>
      <c r="Q167" s="303"/>
      <c r="R167" s="303"/>
      <c r="S167" s="303"/>
      <c r="T167" s="303"/>
      <c r="U167" s="303"/>
      <c r="V167" s="303"/>
      <c r="W167" s="303"/>
      <c r="X167" s="303"/>
      <c r="Y167" s="303"/>
      <c r="Z167" s="532"/>
      <c r="AA167" s="530"/>
      <c r="AB167" s="525" t="str">
        <f t="shared" si="0"/>
        <v/>
      </c>
      <c r="AC167" s="525" t="str">
        <f t="shared" si="1"/>
        <v/>
      </c>
      <c r="AD167" s="525" t="str">
        <f t="shared" si="2"/>
        <v/>
      </c>
      <c r="AE167" s="525" t="str">
        <f t="shared" si="3"/>
        <v/>
      </c>
      <c r="AF167" s="525" t="str">
        <f t="shared" si="4"/>
        <v/>
      </c>
      <c r="AG167" s="525" t="str">
        <f t="shared" si="5"/>
        <v/>
      </c>
      <c r="AH167" s="525">
        <f>E166</f>
        <v>0</v>
      </c>
      <c r="AI167" s="525">
        <f>E167</f>
        <v>0</v>
      </c>
    </row>
    <row r="168" spans="1:35" x14ac:dyDescent="0.2">
      <c r="A168" s="531"/>
      <c r="B168" s="303"/>
      <c r="C168" s="303"/>
      <c r="D168" s="303"/>
      <c r="E168" s="303"/>
      <c r="F168" s="303"/>
      <c r="G168" s="303"/>
      <c r="H168" s="303"/>
      <c r="I168" s="303"/>
      <c r="J168" s="303"/>
      <c r="K168" s="303"/>
      <c r="L168" s="303"/>
      <c r="M168" s="303"/>
      <c r="N168" s="303"/>
      <c r="O168" s="303"/>
      <c r="P168" s="303"/>
      <c r="Q168" s="303"/>
      <c r="R168" s="303"/>
      <c r="S168" s="303"/>
      <c r="T168" s="303"/>
      <c r="U168" s="303"/>
      <c r="V168" s="303"/>
      <c r="W168" s="303"/>
      <c r="X168" s="303"/>
      <c r="Y168" s="303"/>
      <c r="Z168" s="532"/>
      <c r="AA168" s="530"/>
      <c r="AB168" s="525" t="str">
        <f t="shared" si="0"/>
        <v/>
      </c>
      <c r="AC168" s="525" t="str">
        <f t="shared" si="1"/>
        <v/>
      </c>
      <c r="AD168" s="525" t="str">
        <f t="shared" si="2"/>
        <v/>
      </c>
      <c r="AE168" s="525" t="str">
        <f t="shared" si="3"/>
        <v/>
      </c>
      <c r="AF168" s="525" t="str">
        <f t="shared" si="4"/>
        <v/>
      </c>
      <c r="AG168" s="525" t="str">
        <f t="shared" si="5"/>
        <v/>
      </c>
      <c r="AH168" s="525">
        <f>E169</f>
        <v>0</v>
      </c>
      <c r="AI168" s="525">
        <f>E170</f>
        <v>0</v>
      </c>
    </row>
    <row r="169" spans="1:35" x14ac:dyDescent="0.2">
      <c r="A169" s="531"/>
      <c r="B169" s="303"/>
      <c r="C169" s="303"/>
      <c r="D169" s="303"/>
      <c r="E169" s="303"/>
      <c r="F169" s="303"/>
      <c r="G169" s="303"/>
      <c r="H169" s="303"/>
      <c r="I169" s="303"/>
      <c r="J169" s="303"/>
      <c r="K169" s="303"/>
      <c r="L169" s="303"/>
      <c r="M169" s="303"/>
      <c r="N169" s="303"/>
      <c r="O169" s="303"/>
      <c r="P169" s="303"/>
      <c r="Q169" s="303"/>
      <c r="R169" s="303"/>
      <c r="S169" s="303"/>
      <c r="T169" s="303"/>
      <c r="U169" s="303"/>
      <c r="V169" s="303"/>
      <c r="W169" s="303"/>
      <c r="X169" s="303"/>
      <c r="Y169" s="303"/>
      <c r="Z169" s="532"/>
      <c r="AA169" s="530"/>
      <c r="AB169" s="525" t="str">
        <f t="shared" si="0"/>
        <v/>
      </c>
      <c r="AC169" s="525" t="str">
        <f t="shared" si="1"/>
        <v/>
      </c>
      <c r="AD169" s="525" t="str">
        <f t="shared" si="2"/>
        <v/>
      </c>
      <c r="AE169" s="525" t="str">
        <f t="shared" si="3"/>
        <v/>
      </c>
      <c r="AF169" s="525" t="str">
        <f t="shared" si="4"/>
        <v/>
      </c>
      <c r="AG169" s="525" t="str">
        <f t="shared" si="5"/>
        <v/>
      </c>
      <c r="AH169" s="525">
        <f>E169</f>
        <v>0</v>
      </c>
      <c r="AI169" s="525">
        <f>E170</f>
        <v>0</v>
      </c>
    </row>
    <row r="170" spans="1:35" x14ac:dyDescent="0.2">
      <c r="A170" s="531"/>
      <c r="B170" s="303"/>
      <c r="C170" s="303"/>
      <c r="D170" s="303"/>
      <c r="E170" s="303"/>
      <c r="F170" s="303"/>
      <c r="G170" s="303"/>
      <c r="H170" s="303"/>
      <c r="I170" s="303"/>
      <c r="J170" s="303"/>
      <c r="K170" s="303"/>
      <c r="L170" s="303"/>
      <c r="M170" s="303"/>
      <c r="N170" s="303"/>
      <c r="O170" s="303"/>
      <c r="P170" s="303"/>
      <c r="Q170" s="303"/>
      <c r="R170" s="303"/>
      <c r="S170" s="303"/>
      <c r="T170" s="303"/>
      <c r="U170" s="303"/>
      <c r="V170" s="303"/>
      <c r="W170" s="303"/>
      <c r="X170" s="303"/>
      <c r="Y170" s="303"/>
      <c r="Z170" s="532"/>
      <c r="AA170" s="530"/>
      <c r="AB170" s="525" t="str">
        <f t="shared" si="0"/>
        <v/>
      </c>
      <c r="AC170" s="525" t="str">
        <f t="shared" si="1"/>
        <v/>
      </c>
      <c r="AD170" s="525" t="str">
        <f t="shared" si="2"/>
        <v/>
      </c>
      <c r="AE170" s="525" t="str">
        <f t="shared" si="3"/>
        <v/>
      </c>
      <c r="AF170" s="525" t="str">
        <f t="shared" si="4"/>
        <v/>
      </c>
      <c r="AG170" s="525" t="str">
        <f t="shared" si="5"/>
        <v/>
      </c>
      <c r="AH170" s="525">
        <f>E169</f>
        <v>0</v>
      </c>
      <c r="AI170" s="525">
        <f>E170</f>
        <v>0</v>
      </c>
    </row>
    <row r="171" spans="1:35" x14ac:dyDescent="0.2">
      <c r="A171" s="531"/>
      <c r="B171" s="303"/>
      <c r="C171" s="303"/>
      <c r="D171" s="303"/>
      <c r="E171" s="303"/>
      <c r="F171" s="303"/>
      <c r="G171" s="303"/>
      <c r="H171" s="303"/>
      <c r="I171" s="303"/>
      <c r="J171" s="303"/>
      <c r="K171" s="303"/>
      <c r="L171" s="303"/>
      <c r="M171" s="303"/>
      <c r="N171" s="303"/>
      <c r="O171" s="303"/>
      <c r="P171" s="303"/>
      <c r="Q171" s="303"/>
      <c r="R171" s="303"/>
      <c r="S171" s="303"/>
      <c r="T171" s="303"/>
      <c r="U171" s="303"/>
      <c r="V171" s="303"/>
      <c r="W171" s="303"/>
      <c r="X171" s="303"/>
      <c r="Y171" s="303"/>
      <c r="Z171" s="532"/>
      <c r="AA171" s="530"/>
      <c r="AB171" s="525" t="str">
        <f t="shared" si="0"/>
        <v/>
      </c>
      <c r="AC171" s="525" t="str">
        <f t="shared" si="1"/>
        <v/>
      </c>
      <c r="AD171" s="525" t="str">
        <f t="shared" si="2"/>
        <v/>
      </c>
      <c r="AE171" s="525" t="str">
        <f t="shared" si="3"/>
        <v/>
      </c>
      <c r="AF171" s="525" t="str">
        <f t="shared" si="4"/>
        <v/>
      </c>
      <c r="AG171" s="525" t="str">
        <f t="shared" si="5"/>
        <v/>
      </c>
      <c r="AH171" s="525">
        <f>E172</f>
        <v>0</v>
      </c>
      <c r="AI171" s="525">
        <f>E173</f>
        <v>0</v>
      </c>
    </row>
    <row r="172" spans="1:35" x14ac:dyDescent="0.2">
      <c r="A172" s="531"/>
      <c r="B172" s="303"/>
      <c r="C172" s="303"/>
      <c r="D172" s="303"/>
      <c r="E172" s="303"/>
      <c r="F172" s="303"/>
      <c r="G172" s="303"/>
      <c r="H172" s="303"/>
      <c r="I172" s="303"/>
      <c r="J172" s="303"/>
      <c r="K172" s="303"/>
      <c r="L172" s="303"/>
      <c r="M172" s="303"/>
      <c r="N172" s="303"/>
      <c r="O172" s="303"/>
      <c r="P172" s="303"/>
      <c r="Q172" s="303"/>
      <c r="R172" s="303"/>
      <c r="S172" s="303"/>
      <c r="T172" s="303"/>
      <c r="U172" s="303"/>
      <c r="V172" s="303"/>
      <c r="W172" s="303"/>
      <c r="X172" s="303"/>
      <c r="Y172" s="303"/>
      <c r="Z172" s="532"/>
      <c r="AA172" s="530"/>
      <c r="AB172" s="525" t="str">
        <f t="shared" si="0"/>
        <v/>
      </c>
      <c r="AC172" s="525" t="str">
        <f t="shared" si="1"/>
        <v/>
      </c>
      <c r="AD172" s="525" t="str">
        <f t="shared" si="2"/>
        <v/>
      </c>
      <c r="AE172" s="525" t="str">
        <f t="shared" si="3"/>
        <v/>
      </c>
      <c r="AF172" s="525" t="str">
        <f t="shared" si="4"/>
        <v/>
      </c>
      <c r="AG172" s="525" t="str">
        <f t="shared" si="5"/>
        <v/>
      </c>
      <c r="AH172" s="525">
        <f>E172</f>
        <v>0</v>
      </c>
      <c r="AI172" s="525">
        <f>E173</f>
        <v>0</v>
      </c>
    </row>
    <row r="173" spans="1:35" x14ac:dyDescent="0.2">
      <c r="A173" s="531"/>
      <c r="B173" s="303"/>
      <c r="C173" s="303"/>
      <c r="D173" s="303"/>
      <c r="E173" s="303"/>
      <c r="F173" s="303"/>
      <c r="G173" s="303"/>
      <c r="H173" s="303"/>
      <c r="I173" s="303"/>
      <c r="J173" s="303"/>
      <c r="K173" s="303"/>
      <c r="L173" s="303"/>
      <c r="M173" s="303"/>
      <c r="N173" s="303"/>
      <c r="O173" s="303"/>
      <c r="P173" s="303"/>
      <c r="Q173" s="303"/>
      <c r="R173" s="303"/>
      <c r="S173" s="303"/>
      <c r="T173" s="303"/>
      <c r="U173" s="303"/>
      <c r="V173" s="303"/>
      <c r="W173" s="303"/>
      <c r="X173" s="303"/>
      <c r="Y173" s="303"/>
      <c r="Z173" s="532"/>
      <c r="AA173" s="530"/>
      <c r="AB173" s="525" t="str">
        <f t="shared" si="0"/>
        <v/>
      </c>
      <c r="AC173" s="525" t="str">
        <f t="shared" si="1"/>
        <v/>
      </c>
      <c r="AD173" s="525" t="str">
        <f t="shared" si="2"/>
        <v/>
      </c>
      <c r="AE173" s="525" t="str">
        <f t="shared" si="3"/>
        <v/>
      </c>
      <c r="AF173" s="525" t="str">
        <f t="shared" si="4"/>
        <v/>
      </c>
      <c r="AG173" s="525" t="str">
        <f t="shared" si="5"/>
        <v/>
      </c>
      <c r="AH173" s="525">
        <f>E172</f>
        <v>0</v>
      </c>
      <c r="AI173" s="525">
        <f>E173</f>
        <v>0</v>
      </c>
    </row>
    <row r="174" spans="1:35" x14ac:dyDescent="0.2">
      <c r="A174" s="531"/>
      <c r="B174" s="303"/>
      <c r="C174" s="303"/>
      <c r="D174" s="303"/>
      <c r="E174" s="303"/>
      <c r="F174" s="303"/>
      <c r="G174" s="303"/>
      <c r="H174" s="303"/>
      <c r="I174" s="303"/>
      <c r="J174" s="303"/>
      <c r="K174" s="303"/>
      <c r="L174" s="303"/>
      <c r="M174" s="303"/>
      <c r="N174" s="303"/>
      <c r="O174" s="303"/>
      <c r="P174" s="303"/>
      <c r="Q174" s="303"/>
      <c r="R174" s="303"/>
      <c r="S174" s="303"/>
      <c r="T174" s="303"/>
      <c r="U174" s="303"/>
      <c r="V174" s="303"/>
      <c r="W174" s="303"/>
      <c r="X174" s="303"/>
      <c r="Y174" s="303"/>
      <c r="Z174" s="532"/>
      <c r="AA174" s="530"/>
      <c r="AB174" s="525" t="str">
        <f t="shared" si="0"/>
        <v/>
      </c>
      <c r="AC174" s="525" t="str">
        <f t="shared" si="1"/>
        <v/>
      </c>
      <c r="AD174" s="525" t="str">
        <f t="shared" si="2"/>
        <v/>
      </c>
      <c r="AE174" s="525" t="str">
        <f t="shared" si="3"/>
        <v/>
      </c>
      <c r="AF174" s="525" t="str">
        <f t="shared" si="4"/>
        <v/>
      </c>
      <c r="AG174" s="525" t="str">
        <f t="shared" si="5"/>
        <v/>
      </c>
      <c r="AH174" s="525">
        <f>E175</f>
        <v>0</v>
      </c>
      <c r="AI174" s="525">
        <f>E176</f>
        <v>0</v>
      </c>
    </row>
    <row r="175" spans="1:35" x14ac:dyDescent="0.2">
      <c r="A175" s="531"/>
      <c r="B175" s="303"/>
      <c r="C175" s="303"/>
      <c r="D175" s="303"/>
      <c r="E175" s="303"/>
      <c r="F175" s="303"/>
      <c r="G175" s="303"/>
      <c r="H175" s="303"/>
      <c r="I175" s="303"/>
      <c r="J175" s="303"/>
      <c r="K175" s="303"/>
      <c r="L175" s="303"/>
      <c r="M175" s="303"/>
      <c r="N175" s="303"/>
      <c r="O175" s="303"/>
      <c r="P175" s="303"/>
      <c r="Q175" s="303"/>
      <c r="R175" s="303"/>
      <c r="S175" s="303"/>
      <c r="T175" s="303"/>
      <c r="U175" s="303"/>
      <c r="V175" s="303"/>
      <c r="W175" s="303"/>
      <c r="X175" s="303"/>
      <c r="Y175" s="303"/>
      <c r="Z175" s="532"/>
      <c r="AA175" s="530"/>
      <c r="AB175" s="525" t="str">
        <f t="shared" si="0"/>
        <v/>
      </c>
      <c r="AC175" s="525" t="str">
        <f t="shared" si="1"/>
        <v/>
      </c>
      <c r="AD175" s="525" t="str">
        <f t="shared" si="2"/>
        <v/>
      </c>
      <c r="AE175" s="525" t="str">
        <f t="shared" si="3"/>
        <v/>
      </c>
      <c r="AF175" s="525" t="str">
        <f t="shared" si="4"/>
        <v/>
      </c>
      <c r="AG175" s="525" t="str">
        <f t="shared" si="5"/>
        <v/>
      </c>
      <c r="AH175" s="525">
        <f>E175</f>
        <v>0</v>
      </c>
      <c r="AI175" s="525">
        <f>E176</f>
        <v>0</v>
      </c>
    </row>
    <row r="176" spans="1:35" x14ac:dyDescent="0.2">
      <c r="A176" s="531"/>
      <c r="B176" s="303"/>
      <c r="C176" s="303"/>
      <c r="D176" s="303"/>
      <c r="E176" s="303"/>
      <c r="F176" s="303"/>
      <c r="G176" s="303"/>
      <c r="H176" s="303"/>
      <c r="I176" s="303"/>
      <c r="J176" s="303"/>
      <c r="K176" s="303"/>
      <c r="L176" s="303"/>
      <c r="M176" s="303"/>
      <c r="N176" s="303"/>
      <c r="O176" s="303"/>
      <c r="P176" s="303"/>
      <c r="Q176" s="303"/>
      <c r="R176" s="303"/>
      <c r="S176" s="303"/>
      <c r="T176" s="303"/>
      <c r="U176" s="303"/>
      <c r="V176" s="303"/>
      <c r="W176" s="303"/>
      <c r="X176" s="303"/>
      <c r="Y176" s="303"/>
      <c r="Z176" s="532"/>
      <c r="AA176" s="530"/>
      <c r="AB176" s="525" t="str">
        <f t="shared" si="0"/>
        <v/>
      </c>
      <c r="AC176" s="525" t="str">
        <f t="shared" si="1"/>
        <v/>
      </c>
      <c r="AD176" s="525" t="str">
        <f t="shared" si="2"/>
        <v/>
      </c>
      <c r="AE176" s="525" t="str">
        <f t="shared" si="3"/>
        <v/>
      </c>
      <c r="AF176" s="525" t="str">
        <f t="shared" si="4"/>
        <v/>
      </c>
      <c r="AG176" s="525" t="str">
        <f t="shared" si="5"/>
        <v/>
      </c>
      <c r="AH176" s="525">
        <f>E175</f>
        <v>0</v>
      </c>
      <c r="AI176" s="525">
        <f>E176</f>
        <v>0</v>
      </c>
    </row>
    <row r="177" spans="1:35" x14ac:dyDescent="0.2">
      <c r="A177" s="531"/>
      <c r="B177" s="303"/>
      <c r="C177" s="303"/>
      <c r="D177" s="303"/>
      <c r="E177" s="303"/>
      <c r="F177" s="303"/>
      <c r="G177" s="303"/>
      <c r="H177" s="303"/>
      <c r="I177" s="303"/>
      <c r="J177" s="303"/>
      <c r="K177" s="303"/>
      <c r="L177" s="303"/>
      <c r="M177" s="303"/>
      <c r="N177" s="303"/>
      <c r="O177" s="303"/>
      <c r="P177" s="303"/>
      <c r="Q177" s="303"/>
      <c r="R177" s="303"/>
      <c r="S177" s="303"/>
      <c r="T177" s="303"/>
      <c r="U177" s="303"/>
      <c r="V177" s="303"/>
      <c r="W177" s="303"/>
      <c r="X177" s="303"/>
      <c r="Y177" s="303"/>
      <c r="Z177" s="532"/>
      <c r="AA177" s="530"/>
      <c r="AB177" s="525" t="str">
        <f t="shared" si="0"/>
        <v/>
      </c>
      <c r="AC177" s="525" t="str">
        <f t="shared" si="1"/>
        <v/>
      </c>
      <c r="AD177" s="525" t="str">
        <f t="shared" si="2"/>
        <v/>
      </c>
      <c r="AE177" s="525" t="str">
        <f t="shared" si="3"/>
        <v/>
      </c>
      <c r="AF177" s="525" t="str">
        <f t="shared" si="4"/>
        <v/>
      </c>
      <c r="AG177" s="525" t="str">
        <f t="shared" si="5"/>
        <v/>
      </c>
      <c r="AH177" s="525">
        <f>E178</f>
        <v>0</v>
      </c>
      <c r="AI177" s="525">
        <f>E179</f>
        <v>0</v>
      </c>
    </row>
    <row r="178" spans="1:35" x14ac:dyDescent="0.2">
      <c r="A178" s="531"/>
      <c r="B178" s="303"/>
      <c r="C178" s="303"/>
      <c r="D178" s="303"/>
      <c r="E178" s="303"/>
      <c r="F178" s="303"/>
      <c r="G178" s="303"/>
      <c r="H178" s="303"/>
      <c r="I178" s="303"/>
      <c r="J178" s="303"/>
      <c r="K178" s="303"/>
      <c r="L178" s="303"/>
      <c r="M178" s="303"/>
      <c r="N178" s="303"/>
      <c r="O178" s="303"/>
      <c r="P178" s="303"/>
      <c r="Q178" s="303"/>
      <c r="R178" s="303"/>
      <c r="S178" s="303"/>
      <c r="T178" s="303"/>
      <c r="U178" s="303"/>
      <c r="V178" s="303"/>
      <c r="W178" s="303"/>
      <c r="X178" s="303"/>
      <c r="Y178" s="303"/>
      <c r="Z178" s="532"/>
      <c r="AA178" s="530"/>
      <c r="AB178" s="525" t="str">
        <f t="shared" si="0"/>
        <v/>
      </c>
      <c r="AC178" s="525" t="str">
        <f t="shared" si="1"/>
        <v/>
      </c>
      <c r="AD178" s="525" t="str">
        <f t="shared" si="2"/>
        <v/>
      </c>
      <c r="AE178" s="525" t="str">
        <f t="shared" si="3"/>
        <v/>
      </c>
      <c r="AF178" s="525" t="str">
        <f t="shared" si="4"/>
        <v/>
      </c>
      <c r="AG178" s="525" t="str">
        <f t="shared" si="5"/>
        <v/>
      </c>
      <c r="AH178" s="525">
        <f>E178</f>
        <v>0</v>
      </c>
      <c r="AI178" s="525">
        <f>E179</f>
        <v>0</v>
      </c>
    </row>
    <row r="179" spans="1:35" x14ac:dyDescent="0.2">
      <c r="A179" s="531"/>
      <c r="B179" s="303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  <c r="N179" s="303"/>
      <c r="O179" s="303"/>
      <c r="P179" s="303"/>
      <c r="Q179" s="303"/>
      <c r="R179" s="303"/>
      <c r="S179" s="303"/>
      <c r="T179" s="303"/>
      <c r="U179" s="303"/>
      <c r="V179" s="303"/>
      <c r="W179" s="303"/>
      <c r="X179" s="303"/>
      <c r="Y179" s="303"/>
      <c r="Z179" s="532"/>
      <c r="AA179" s="530"/>
      <c r="AB179" s="525" t="str">
        <f t="shared" si="0"/>
        <v/>
      </c>
      <c r="AC179" s="525" t="str">
        <f t="shared" si="1"/>
        <v/>
      </c>
      <c r="AD179" s="525" t="str">
        <f t="shared" si="2"/>
        <v/>
      </c>
      <c r="AE179" s="525" t="str">
        <f t="shared" si="3"/>
        <v/>
      </c>
      <c r="AF179" s="525" t="str">
        <f t="shared" si="4"/>
        <v/>
      </c>
      <c r="AG179" s="525" t="str">
        <f t="shared" si="5"/>
        <v/>
      </c>
      <c r="AH179" s="525">
        <f>E178</f>
        <v>0</v>
      </c>
      <c r="AI179" s="525">
        <f>E179</f>
        <v>0</v>
      </c>
    </row>
    <row r="180" spans="1:35" x14ac:dyDescent="0.2">
      <c r="A180" s="531"/>
      <c r="B180" s="303"/>
      <c r="C180" s="303"/>
      <c r="D180" s="303"/>
      <c r="E180" s="303"/>
      <c r="F180" s="303"/>
      <c r="G180" s="303"/>
      <c r="H180" s="303"/>
      <c r="I180" s="303"/>
      <c r="J180" s="303"/>
      <c r="K180" s="303"/>
      <c r="L180" s="303"/>
      <c r="M180" s="303"/>
      <c r="N180" s="303"/>
      <c r="O180" s="303"/>
      <c r="P180" s="303"/>
      <c r="Q180" s="303"/>
      <c r="R180" s="303"/>
      <c r="S180" s="303"/>
      <c r="T180" s="303"/>
      <c r="U180" s="303"/>
      <c r="V180" s="303"/>
      <c r="W180" s="303"/>
      <c r="X180" s="303"/>
      <c r="Y180" s="303"/>
      <c r="Z180" s="532"/>
      <c r="AA180" s="530"/>
      <c r="AB180" s="525" t="str">
        <f t="shared" si="0"/>
        <v/>
      </c>
      <c r="AC180" s="525" t="str">
        <f t="shared" si="1"/>
        <v/>
      </c>
      <c r="AD180" s="525" t="str">
        <f t="shared" si="2"/>
        <v/>
      </c>
      <c r="AE180" s="525" t="str">
        <f t="shared" si="3"/>
        <v/>
      </c>
      <c r="AF180" s="525" t="str">
        <f t="shared" si="4"/>
        <v/>
      </c>
      <c r="AG180" s="525" t="str">
        <f t="shared" si="5"/>
        <v/>
      </c>
      <c r="AH180" s="525">
        <f>E181</f>
        <v>0</v>
      </c>
      <c r="AI180" s="525">
        <f>E182</f>
        <v>0</v>
      </c>
    </row>
    <row r="181" spans="1:35" x14ac:dyDescent="0.2">
      <c r="A181" s="531"/>
      <c r="B181" s="303"/>
      <c r="C181" s="303"/>
      <c r="D181" s="303"/>
      <c r="E181" s="303"/>
      <c r="F181" s="303"/>
      <c r="G181" s="303"/>
      <c r="H181" s="303"/>
      <c r="I181" s="303"/>
      <c r="J181" s="303"/>
      <c r="K181" s="303"/>
      <c r="L181" s="303"/>
      <c r="M181" s="303"/>
      <c r="N181" s="303"/>
      <c r="O181" s="303"/>
      <c r="P181" s="303"/>
      <c r="Q181" s="303"/>
      <c r="R181" s="303"/>
      <c r="S181" s="303"/>
      <c r="T181" s="303"/>
      <c r="U181" s="303"/>
      <c r="V181" s="303"/>
      <c r="W181" s="303"/>
      <c r="X181" s="303"/>
      <c r="Y181" s="303"/>
      <c r="Z181" s="532"/>
      <c r="AA181" s="530"/>
      <c r="AB181" s="525" t="str">
        <f t="shared" si="0"/>
        <v/>
      </c>
      <c r="AC181" s="525" t="str">
        <f t="shared" si="1"/>
        <v/>
      </c>
      <c r="AD181" s="525" t="str">
        <f t="shared" si="2"/>
        <v/>
      </c>
      <c r="AE181" s="525" t="str">
        <f t="shared" si="3"/>
        <v/>
      </c>
      <c r="AF181" s="525" t="str">
        <f t="shared" si="4"/>
        <v/>
      </c>
      <c r="AG181" s="525" t="str">
        <f t="shared" si="5"/>
        <v/>
      </c>
      <c r="AH181" s="525">
        <f>E181</f>
        <v>0</v>
      </c>
      <c r="AI181" s="525">
        <f>E182</f>
        <v>0</v>
      </c>
    </row>
    <row r="182" spans="1:35" x14ac:dyDescent="0.2">
      <c r="A182" s="531"/>
      <c r="B182" s="303"/>
      <c r="C182" s="303"/>
      <c r="D182" s="303"/>
      <c r="E182" s="303"/>
      <c r="F182" s="303"/>
      <c r="G182" s="303"/>
      <c r="H182" s="303"/>
      <c r="I182" s="303"/>
      <c r="J182" s="303"/>
      <c r="K182" s="303"/>
      <c r="L182" s="303"/>
      <c r="M182" s="303"/>
      <c r="N182" s="303"/>
      <c r="O182" s="303"/>
      <c r="P182" s="303"/>
      <c r="Q182" s="303"/>
      <c r="R182" s="303"/>
      <c r="S182" s="303"/>
      <c r="T182" s="303"/>
      <c r="U182" s="303"/>
      <c r="V182" s="303"/>
      <c r="W182" s="303"/>
      <c r="X182" s="303"/>
      <c r="Y182" s="303"/>
      <c r="Z182" s="532"/>
      <c r="AA182" s="530"/>
      <c r="AB182" s="525" t="str">
        <f t="shared" si="0"/>
        <v/>
      </c>
      <c r="AC182" s="525" t="str">
        <f t="shared" si="1"/>
        <v/>
      </c>
      <c r="AD182" s="525" t="str">
        <f t="shared" si="2"/>
        <v/>
      </c>
      <c r="AE182" s="525" t="str">
        <f t="shared" si="3"/>
        <v/>
      </c>
      <c r="AF182" s="525" t="str">
        <f t="shared" si="4"/>
        <v/>
      </c>
      <c r="AG182" s="525" t="str">
        <f t="shared" si="5"/>
        <v/>
      </c>
      <c r="AH182" s="525">
        <f>E181</f>
        <v>0</v>
      </c>
      <c r="AI182" s="525">
        <f>E182</f>
        <v>0</v>
      </c>
    </row>
    <row r="183" spans="1:35" x14ac:dyDescent="0.2">
      <c r="A183" s="531"/>
      <c r="B183" s="303"/>
      <c r="C183" s="303"/>
      <c r="D183" s="303"/>
      <c r="E183" s="303"/>
      <c r="F183" s="303"/>
      <c r="G183" s="303"/>
      <c r="H183" s="303"/>
      <c r="I183" s="303"/>
      <c r="J183" s="303"/>
      <c r="K183" s="303"/>
      <c r="L183" s="303"/>
      <c r="M183" s="303"/>
      <c r="N183" s="303"/>
      <c r="O183" s="303"/>
      <c r="P183" s="303"/>
      <c r="Q183" s="303"/>
      <c r="R183" s="303"/>
      <c r="S183" s="303"/>
      <c r="T183" s="303"/>
      <c r="U183" s="303"/>
      <c r="V183" s="303"/>
      <c r="W183" s="303"/>
      <c r="X183" s="303"/>
      <c r="Y183" s="303"/>
      <c r="Z183" s="532"/>
      <c r="AA183" s="530"/>
      <c r="AB183" s="525" t="str">
        <f t="shared" si="0"/>
        <v/>
      </c>
      <c r="AC183" s="525" t="str">
        <f t="shared" si="1"/>
        <v/>
      </c>
      <c r="AD183" s="525" t="str">
        <f t="shared" si="2"/>
        <v/>
      </c>
      <c r="AE183" s="525" t="str">
        <f t="shared" si="3"/>
        <v/>
      </c>
      <c r="AF183" s="525" t="str">
        <f t="shared" si="4"/>
        <v/>
      </c>
      <c r="AG183" s="525" t="str">
        <f t="shared" si="5"/>
        <v/>
      </c>
      <c r="AH183" s="525">
        <f>E184</f>
        <v>0</v>
      </c>
      <c r="AI183" s="525">
        <f>E185</f>
        <v>0</v>
      </c>
    </row>
    <row r="184" spans="1:35" x14ac:dyDescent="0.2">
      <c r="A184" s="531"/>
      <c r="B184" s="303"/>
      <c r="C184" s="303"/>
      <c r="D184" s="303"/>
      <c r="E184" s="303"/>
      <c r="F184" s="303"/>
      <c r="G184" s="303"/>
      <c r="H184" s="303"/>
      <c r="I184" s="303"/>
      <c r="J184" s="303"/>
      <c r="K184" s="303"/>
      <c r="L184" s="303"/>
      <c r="M184" s="303"/>
      <c r="N184" s="303"/>
      <c r="O184" s="303"/>
      <c r="P184" s="303"/>
      <c r="Q184" s="303"/>
      <c r="R184" s="303"/>
      <c r="S184" s="303"/>
      <c r="T184" s="303"/>
      <c r="U184" s="303"/>
      <c r="V184" s="303"/>
      <c r="W184" s="303"/>
      <c r="X184" s="303"/>
      <c r="Y184" s="303"/>
      <c r="Z184" s="532"/>
      <c r="AA184" s="530"/>
      <c r="AB184" s="525" t="str">
        <f t="shared" si="0"/>
        <v/>
      </c>
      <c r="AC184" s="525" t="str">
        <f t="shared" si="1"/>
        <v/>
      </c>
      <c r="AD184" s="525" t="str">
        <f t="shared" si="2"/>
        <v/>
      </c>
      <c r="AE184" s="525" t="str">
        <f t="shared" si="3"/>
        <v/>
      </c>
      <c r="AF184" s="525" t="str">
        <f t="shared" si="4"/>
        <v/>
      </c>
      <c r="AG184" s="525" t="str">
        <f t="shared" si="5"/>
        <v/>
      </c>
      <c r="AH184" s="525">
        <f>E184</f>
        <v>0</v>
      </c>
      <c r="AI184" s="525">
        <f>E185</f>
        <v>0</v>
      </c>
    </row>
    <row r="185" spans="1:35" x14ac:dyDescent="0.2">
      <c r="A185" s="531"/>
      <c r="B185" s="303"/>
      <c r="C185" s="303"/>
      <c r="D185" s="303"/>
      <c r="E185" s="303"/>
      <c r="F185" s="303"/>
      <c r="G185" s="303"/>
      <c r="H185" s="303"/>
      <c r="I185" s="303"/>
      <c r="J185" s="303"/>
      <c r="K185" s="303"/>
      <c r="L185" s="303"/>
      <c r="M185" s="303"/>
      <c r="N185" s="303"/>
      <c r="O185" s="303"/>
      <c r="P185" s="303"/>
      <c r="Q185" s="303"/>
      <c r="R185" s="303"/>
      <c r="S185" s="303"/>
      <c r="T185" s="303"/>
      <c r="U185" s="303"/>
      <c r="V185" s="303"/>
      <c r="W185" s="303"/>
      <c r="X185" s="303"/>
      <c r="Y185" s="303"/>
      <c r="Z185" s="532"/>
      <c r="AA185" s="530"/>
      <c r="AB185" s="525" t="str">
        <f t="shared" si="0"/>
        <v/>
      </c>
      <c r="AC185" s="525" t="str">
        <f t="shared" si="1"/>
        <v/>
      </c>
      <c r="AD185" s="525" t="str">
        <f t="shared" si="2"/>
        <v/>
      </c>
      <c r="AE185" s="525" t="str">
        <f t="shared" si="3"/>
        <v/>
      </c>
      <c r="AF185" s="525" t="str">
        <f t="shared" si="4"/>
        <v/>
      </c>
      <c r="AG185" s="525" t="str">
        <f t="shared" si="5"/>
        <v/>
      </c>
      <c r="AH185" s="525">
        <f>E184</f>
        <v>0</v>
      </c>
      <c r="AI185" s="525">
        <f>E185</f>
        <v>0</v>
      </c>
    </row>
    <row r="186" spans="1:35" x14ac:dyDescent="0.2">
      <c r="A186" s="531"/>
      <c r="B186" s="303"/>
      <c r="C186" s="303"/>
      <c r="D186" s="303"/>
      <c r="E186" s="303"/>
      <c r="F186" s="303"/>
      <c r="G186" s="303"/>
      <c r="H186" s="303"/>
      <c r="I186" s="303"/>
      <c r="J186" s="303"/>
      <c r="K186" s="303"/>
      <c r="L186" s="303"/>
      <c r="M186" s="303"/>
      <c r="N186" s="303"/>
      <c r="O186" s="303"/>
      <c r="P186" s="303"/>
      <c r="Q186" s="303"/>
      <c r="R186" s="303"/>
      <c r="S186" s="303"/>
      <c r="T186" s="303"/>
      <c r="U186" s="303"/>
      <c r="V186" s="303"/>
      <c r="W186" s="303"/>
      <c r="X186" s="303"/>
      <c r="Y186" s="303"/>
      <c r="Z186" s="532"/>
      <c r="AA186" s="530"/>
      <c r="AB186" s="525" t="str">
        <f t="shared" si="0"/>
        <v/>
      </c>
      <c r="AC186" s="525" t="str">
        <f t="shared" si="1"/>
        <v/>
      </c>
      <c r="AD186" s="525" t="str">
        <f t="shared" si="2"/>
        <v/>
      </c>
      <c r="AE186" s="525" t="str">
        <f t="shared" si="3"/>
        <v/>
      </c>
      <c r="AF186" s="525" t="str">
        <f t="shared" si="4"/>
        <v/>
      </c>
      <c r="AG186" s="525" t="str">
        <f t="shared" si="5"/>
        <v/>
      </c>
      <c r="AH186" s="525">
        <f>E187</f>
        <v>0</v>
      </c>
      <c r="AI186" s="525">
        <f>E188</f>
        <v>0</v>
      </c>
    </row>
    <row r="187" spans="1:35" x14ac:dyDescent="0.2">
      <c r="A187" s="531"/>
      <c r="B187" s="303"/>
      <c r="C187" s="303"/>
      <c r="D187" s="303"/>
      <c r="E187" s="303"/>
      <c r="F187" s="303"/>
      <c r="G187" s="303"/>
      <c r="H187" s="303"/>
      <c r="I187" s="303"/>
      <c r="J187" s="303"/>
      <c r="K187" s="303"/>
      <c r="L187" s="303"/>
      <c r="M187" s="303"/>
      <c r="N187" s="303"/>
      <c r="O187" s="303"/>
      <c r="P187" s="303"/>
      <c r="Q187" s="303"/>
      <c r="R187" s="303"/>
      <c r="S187" s="303"/>
      <c r="T187" s="303"/>
      <c r="U187" s="303"/>
      <c r="V187" s="303"/>
      <c r="W187" s="303"/>
      <c r="X187" s="303"/>
      <c r="Y187" s="303"/>
      <c r="Z187" s="532"/>
      <c r="AA187" s="530"/>
      <c r="AB187" s="525" t="str">
        <f t="shared" si="0"/>
        <v/>
      </c>
      <c r="AC187" s="525" t="str">
        <f t="shared" si="1"/>
        <v/>
      </c>
      <c r="AD187" s="525" t="str">
        <f t="shared" si="2"/>
        <v/>
      </c>
      <c r="AE187" s="525" t="str">
        <f t="shared" si="3"/>
        <v/>
      </c>
      <c r="AF187" s="525" t="str">
        <f t="shared" si="4"/>
        <v/>
      </c>
      <c r="AG187" s="525" t="str">
        <f t="shared" si="5"/>
        <v/>
      </c>
      <c r="AH187" s="525">
        <f>E187</f>
        <v>0</v>
      </c>
      <c r="AI187" s="525">
        <f>E188</f>
        <v>0</v>
      </c>
    </row>
    <row r="188" spans="1:35" x14ac:dyDescent="0.2">
      <c r="A188" s="531"/>
      <c r="B188" s="303"/>
      <c r="C188" s="303"/>
      <c r="D188" s="303"/>
      <c r="E188" s="303"/>
      <c r="F188" s="303"/>
      <c r="G188" s="303"/>
      <c r="H188" s="303"/>
      <c r="I188" s="303"/>
      <c r="J188" s="303"/>
      <c r="K188" s="303"/>
      <c r="L188" s="303"/>
      <c r="M188" s="303"/>
      <c r="N188" s="303"/>
      <c r="O188" s="303"/>
      <c r="P188" s="303"/>
      <c r="Q188" s="303"/>
      <c r="R188" s="303"/>
      <c r="S188" s="303"/>
      <c r="T188" s="303"/>
      <c r="U188" s="303"/>
      <c r="V188" s="303"/>
      <c r="W188" s="303"/>
      <c r="X188" s="303"/>
      <c r="Y188" s="303"/>
      <c r="Z188" s="532"/>
      <c r="AA188" s="530"/>
      <c r="AB188" s="525" t="str">
        <f t="shared" si="0"/>
        <v/>
      </c>
      <c r="AC188" s="525" t="str">
        <f t="shared" si="1"/>
        <v/>
      </c>
      <c r="AD188" s="525" t="str">
        <f t="shared" si="2"/>
        <v/>
      </c>
      <c r="AE188" s="525" t="str">
        <f t="shared" si="3"/>
        <v/>
      </c>
      <c r="AF188" s="525" t="str">
        <f t="shared" si="4"/>
        <v/>
      </c>
      <c r="AG188" s="525" t="str">
        <f t="shared" si="5"/>
        <v/>
      </c>
      <c r="AH188" s="525">
        <f>E187</f>
        <v>0</v>
      </c>
      <c r="AI188" s="525">
        <f>E188</f>
        <v>0</v>
      </c>
    </row>
    <row r="189" spans="1:35" x14ac:dyDescent="0.2">
      <c r="A189" s="531"/>
      <c r="B189" s="303"/>
      <c r="C189" s="303"/>
      <c r="D189" s="303"/>
      <c r="E189" s="303"/>
      <c r="F189" s="303"/>
      <c r="G189" s="303"/>
      <c r="H189" s="303"/>
      <c r="I189" s="303"/>
      <c r="J189" s="303"/>
      <c r="K189" s="303"/>
      <c r="L189" s="303"/>
      <c r="M189" s="303"/>
      <c r="N189" s="303"/>
      <c r="O189" s="303"/>
      <c r="P189" s="303"/>
      <c r="Q189" s="303"/>
      <c r="R189" s="303"/>
      <c r="S189" s="303"/>
      <c r="T189" s="303"/>
      <c r="U189" s="303"/>
      <c r="V189" s="303"/>
      <c r="W189" s="303"/>
      <c r="X189" s="303"/>
      <c r="Y189" s="303"/>
      <c r="Z189" s="532"/>
      <c r="AA189" s="530"/>
      <c r="AB189" s="525" t="str">
        <f t="shared" si="0"/>
        <v/>
      </c>
      <c r="AC189" s="525" t="str">
        <f t="shared" si="1"/>
        <v/>
      </c>
      <c r="AD189" s="525" t="str">
        <f t="shared" si="2"/>
        <v/>
      </c>
      <c r="AE189" s="525" t="str">
        <f t="shared" si="3"/>
        <v/>
      </c>
      <c r="AF189" s="525" t="str">
        <f t="shared" si="4"/>
        <v/>
      </c>
      <c r="AG189" s="525" t="str">
        <f t="shared" si="5"/>
        <v/>
      </c>
      <c r="AH189" s="525">
        <f>E190</f>
        <v>0</v>
      </c>
      <c r="AI189" s="525">
        <f>E191</f>
        <v>0</v>
      </c>
    </row>
    <row r="190" spans="1:35" x14ac:dyDescent="0.2">
      <c r="A190" s="531"/>
      <c r="B190" s="303"/>
      <c r="C190" s="303"/>
      <c r="D190" s="303"/>
      <c r="E190" s="303"/>
      <c r="F190" s="303"/>
      <c r="G190" s="303"/>
      <c r="H190" s="303"/>
      <c r="I190" s="303"/>
      <c r="J190" s="303"/>
      <c r="K190" s="303"/>
      <c r="L190" s="303"/>
      <c r="M190" s="303"/>
      <c r="N190" s="303"/>
      <c r="O190" s="303"/>
      <c r="P190" s="303"/>
      <c r="Q190" s="303"/>
      <c r="R190" s="303"/>
      <c r="S190" s="303"/>
      <c r="T190" s="303"/>
      <c r="U190" s="303"/>
      <c r="V190" s="303"/>
      <c r="W190" s="303"/>
      <c r="X190" s="303"/>
      <c r="Y190" s="303"/>
      <c r="Z190" s="532"/>
      <c r="AA190" s="530"/>
      <c r="AB190" s="525" t="str">
        <f t="shared" si="0"/>
        <v/>
      </c>
      <c r="AC190" s="525" t="str">
        <f t="shared" si="1"/>
        <v/>
      </c>
      <c r="AD190" s="525" t="str">
        <f t="shared" si="2"/>
        <v/>
      </c>
      <c r="AE190" s="525" t="str">
        <f t="shared" si="3"/>
        <v/>
      </c>
      <c r="AF190" s="525" t="str">
        <f t="shared" si="4"/>
        <v/>
      </c>
      <c r="AG190" s="525" t="str">
        <f t="shared" si="5"/>
        <v/>
      </c>
      <c r="AH190" s="525">
        <f>E190</f>
        <v>0</v>
      </c>
      <c r="AI190" s="525">
        <f>E191</f>
        <v>0</v>
      </c>
    </row>
    <row r="191" spans="1:35" x14ac:dyDescent="0.2">
      <c r="A191" s="531"/>
      <c r="B191" s="303"/>
      <c r="C191" s="303"/>
      <c r="D191" s="303"/>
      <c r="E191" s="303"/>
      <c r="F191" s="303"/>
      <c r="G191" s="303"/>
      <c r="H191" s="303"/>
      <c r="I191" s="303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3"/>
      <c r="U191" s="303"/>
      <c r="V191" s="303"/>
      <c r="W191" s="303"/>
      <c r="X191" s="303"/>
      <c r="Y191" s="303"/>
      <c r="Z191" s="532"/>
      <c r="AA191" s="530"/>
      <c r="AB191" s="525" t="str">
        <f t="shared" si="0"/>
        <v/>
      </c>
      <c r="AC191" s="525" t="str">
        <f t="shared" si="1"/>
        <v/>
      </c>
      <c r="AD191" s="525" t="str">
        <f t="shared" si="2"/>
        <v/>
      </c>
      <c r="AE191" s="525" t="str">
        <f t="shared" si="3"/>
        <v/>
      </c>
      <c r="AF191" s="525" t="str">
        <f t="shared" si="4"/>
        <v/>
      </c>
      <c r="AG191" s="525" t="str">
        <f t="shared" si="5"/>
        <v/>
      </c>
      <c r="AH191" s="525">
        <f>E190</f>
        <v>0</v>
      </c>
      <c r="AI191" s="525">
        <f>E191</f>
        <v>0</v>
      </c>
    </row>
    <row r="192" spans="1:35" x14ac:dyDescent="0.2">
      <c r="A192" s="531"/>
      <c r="B192" s="303"/>
      <c r="C192" s="303"/>
      <c r="D192" s="303"/>
      <c r="E192" s="303"/>
      <c r="F192" s="303"/>
      <c r="G192" s="303"/>
      <c r="H192" s="303"/>
      <c r="I192" s="303"/>
      <c r="J192" s="303"/>
      <c r="K192" s="303"/>
      <c r="L192" s="303"/>
      <c r="M192" s="303"/>
      <c r="N192" s="303"/>
      <c r="O192" s="303"/>
      <c r="P192" s="303"/>
      <c r="Q192" s="303"/>
      <c r="R192" s="303"/>
      <c r="S192" s="303"/>
      <c r="T192" s="303"/>
      <c r="U192" s="303"/>
      <c r="V192" s="303"/>
      <c r="W192" s="303"/>
      <c r="X192" s="303"/>
      <c r="Y192" s="303"/>
      <c r="Z192" s="532"/>
      <c r="AA192" s="530"/>
      <c r="AB192" s="525" t="str">
        <f t="shared" si="0"/>
        <v/>
      </c>
      <c r="AC192" s="525" t="str">
        <f t="shared" si="1"/>
        <v/>
      </c>
      <c r="AD192" s="525" t="str">
        <f t="shared" si="2"/>
        <v/>
      </c>
      <c r="AE192" s="525" t="str">
        <f t="shared" si="3"/>
        <v/>
      </c>
      <c r="AF192" s="525" t="str">
        <f t="shared" si="4"/>
        <v/>
      </c>
      <c r="AG192" s="525" t="str">
        <f t="shared" si="5"/>
        <v/>
      </c>
      <c r="AH192" s="525">
        <f>E193</f>
        <v>0</v>
      </c>
      <c r="AI192" s="525">
        <f>E194</f>
        <v>0</v>
      </c>
    </row>
    <row r="193" spans="1:35" x14ac:dyDescent="0.2">
      <c r="A193" s="531"/>
      <c r="B193" s="303"/>
      <c r="C193" s="303"/>
      <c r="D193" s="303"/>
      <c r="E193" s="303"/>
      <c r="F193" s="303"/>
      <c r="G193" s="303"/>
      <c r="H193" s="303"/>
      <c r="I193" s="303"/>
      <c r="J193" s="303"/>
      <c r="K193" s="303"/>
      <c r="L193" s="303"/>
      <c r="M193" s="303"/>
      <c r="N193" s="303"/>
      <c r="O193" s="303"/>
      <c r="P193" s="303"/>
      <c r="Q193" s="303"/>
      <c r="R193" s="303"/>
      <c r="S193" s="303"/>
      <c r="T193" s="303"/>
      <c r="U193" s="303"/>
      <c r="V193" s="303"/>
      <c r="W193" s="303"/>
      <c r="X193" s="303"/>
      <c r="Y193" s="303"/>
      <c r="Z193" s="532"/>
      <c r="AA193" s="530"/>
      <c r="AB193" s="525" t="str">
        <f t="shared" si="0"/>
        <v/>
      </c>
      <c r="AC193" s="525" t="str">
        <f t="shared" si="1"/>
        <v/>
      </c>
      <c r="AD193" s="525" t="str">
        <f t="shared" si="2"/>
        <v/>
      </c>
      <c r="AE193" s="525" t="str">
        <f t="shared" si="3"/>
        <v/>
      </c>
      <c r="AF193" s="525" t="str">
        <f t="shared" si="4"/>
        <v/>
      </c>
      <c r="AG193" s="525" t="str">
        <f t="shared" si="5"/>
        <v/>
      </c>
      <c r="AH193" s="525">
        <f>E193</f>
        <v>0</v>
      </c>
      <c r="AI193" s="525">
        <f>E194</f>
        <v>0</v>
      </c>
    </row>
    <row r="194" spans="1:35" x14ac:dyDescent="0.2">
      <c r="A194" s="531"/>
      <c r="B194" s="303"/>
      <c r="C194" s="303"/>
      <c r="D194" s="303"/>
      <c r="E194" s="303"/>
      <c r="F194" s="303"/>
      <c r="G194" s="303"/>
      <c r="H194" s="303"/>
      <c r="I194" s="303"/>
      <c r="J194" s="303"/>
      <c r="K194" s="303"/>
      <c r="L194" s="303"/>
      <c r="M194" s="303"/>
      <c r="N194" s="303"/>
      <c r="O194" s="303"/>
      <c r="P194" s="303"/>
      <c r="Q194" s="303"/>
      <c r="R194" s="303"/>
      <c r="S194" s="303"/>
      <c r="T194" s="303"/>
      <c r="U194" s="303"/>
      <c r="V194" s="303"/>
      <c r="W194" s="303"/>
      <c r="X194" s="303"/>
      <c r="Y194" s="303"/>
      <c r="Z194" s="532"/>
      <c r="AA194" s="530"/>
      <c r="AB194" s="525" t="str">
        <f t="shared" si="0"/>
        <v/>
      </c>
      <c r="AC194" s="525" t="str">
        <f t="shared" si="1"/>
        <v/>
      </c>
      <c r="AD194" s="525" t="str">
        <f t="shared" si="2"/>
        <v/>
      </c>
      <c r="AE194" s="525" t="str">
        <f t="shared" si="3"/>
        <v/>
      </c>
      <c r="AF194" s="525" t="str">
        <f t="shared" si="4"/>
        <v/>
      </c>
      <c r="AG194" s="525" t="str">
        <f t="shared" si="5"/>
        <v/>
      </c>
      <c r="AH194" s="525">
        <f>E193</f>
        <v>0</v>
      </c>
      <c r="AI194" s="525">
        <f>E194</f>
        <v>0</v>
      </c>
    </row>
    <row r="195" spans="1:35" x14ac:dyDescent="0.2">
      <c r="A195" s="531"/>
      <c r="B195" s="303"/>
      <c r="C195" s="303"/>
      <c r="D195" s="303"/>
      <c r="E195" s="303"/>
      <c r="F195" s="303"/>
      <c r="G195" s="303"/>
      <c r="H195" s="303"/>
      <c r="I195" s="303"/>
      <c r="J195" s="303"/>
      <c r="K195" s="303"/>
      <c r="L195" s="303"/>
      <c r="M195" s="303"/>
      <c r="N195" s="303"/>
      <c r="O195" s="303"/>
      <c r="P195" s="303"/>
      <c r="Q195" s="303"/>
      <c r="R195" s="303"/>
      <c r="S195" s="303"/>
      <c r="T195" s="303"/>
      <c r="U195" s="303"/>
      <c r="V195" s="303"/>
      <c r="W195" s="303"/>
      <c r="X195" s="303"/>
      <c r="Y195" s="303"/>
      <c r="Z195" s="532"/>
      <c r="AA195" s="530"/>
      <c r="AB195" s="525" t="str">
        <f t="shared" si="0"/>
        <v/>
      </c>
      <c r="AC195" s="525" t="str">
        <f t="shared" si="1"/>
        <v/>
      </c>
      <c r="AD195" s="525" t="str">
        <f t="shared" si="2"/>
        <v/>
      </c>
      <c r="AE195" s="525" t="str">
        <f t="shared" si="3"/>
        <v/>
      </c>
      <c r="AF195" s="525" t="str">
        <f t="shared" si="4"/>
        <v/>
      </c>
      <c r="AG195" s="525" t="str">
        <f t="shared" si="5"/>
        <v/>
      </c>
      <c r="AH195" s="525">
        <f>E196</f>
        <v>0</v>
      </c>
      <c r="AI195" s="525">
        <f>E197</f>
        <v>0</v>
      </c>
    </row>
    <row r="196" spans="1:35" x14ac:dyDescent="0.2">
      <c r="A196" s="531"/>
      <c r="B196" s="303"/>
      <c r="C196" s="303"/>
      <c r="D196" s="303"/>
      <c r="E196" s="303"/>
      <c r="F196" s="303"/>
      <c r="G196" s="303"/>
      <c r="H196" s="303"/>
      <c r="I196" s="303"/>
      <c r="J196" s="303"/>
      <c r="K196" s="303"/>
      <c r="L196" s="303"/>
      <c r="M196" s="303"/>
      <c r="N196" s="303"/>
      <c r="O196" s="303"/>
      <c r="P196" s="303"/>
      <c r="Q196" s="303"/>
      <c r="R196" s="303"/>
      <c r="S196" s="303"/>
      <c r="T196" s="303"/>
      <c r="U196" s="303"/>
      <c r="V196" s="303"/>
      <c r="W196" s="303"/>
      <c r="X196" s="303"/>
      <c r="Y196" s="303"/>
      <c r="Z196" s="532"/>
      <c r="AA196" s="530"/>
      <c r="AB196" s="525" t="str">
        <f t="shared" si="0"/>
        <v/>
      </c>
      <c r="AC196" s="525" t="str">
        <f t="shared" si="1"/>
        <v/>
      </c>
      <c r="AD196" s="525" t="str">
        <f t="shared" si="2"/>
        <v/>
      </c>
      <c r="AE196" s="525" t="str">
        <f t="shared" si="3"/>
        <v/>
      </c>
      <c r="AF196" s="525" t="str">
        <f t="shared" si="4"/>
        <v/>
      </c>
      <c r="AG196" s="525" t="str">
        <f t="shared" si="5"/>
        <v/>
      </c>
      <c r="AH196" s="525">
        <f>E196</f>
        <v>0</v>
      </c>
      <c r="AI196" s="525">
        <f>E197</f>
        <v>0</v>
      </c>
    </row>
    <row r="197" spans="1:35" x14ac:dyDescent="0.2">
      <c r="A197" s="531"/>
      <c r="B197" s="303"/>
      <c r="C197" s="303"/>
      <c r="D197" s="303"/>
      <c r="E197" s="303"/>
      <c r="F197" s="303"/>
      <c r="G197" s="303"/>
      <c r="H197" s="303"/>
      <c r="I197" s="303"/>
      <c r="J197" s="303"/>
      <c r="K197" s="303"/>
      <c r="L197" s="303"/>
      <c r="M197" s="303"/>
      <c r="N197" s="303"/>
      <c r="O197" s="303"/>
      <c r="P197" s="303"/>
      <c r="Q197" s="303"/>
      <c r="R197" s="303"/>
      <c r="S197" s="303"/>
      <c r="T197" s="303"/>
      <c r="U197" s="303"/>
      <c r="V197" s="303"/>
      <c r="W197" s="303"/>
      <c r="X197" s="303"/>
      <c r="Y197" s="303"/>
      <c r="Z197" s="532"/>
      <c r="AA197" s="530"/>
      <c r="AB197" s="525" t="str">
        <f t="shared" si="0"/>
        <v/>
      </c>
      <c r="AC197" s="525" t="str">
        <f t="shared" si="1"/>
        <v/>
      </c>
      <c r="AD197" s="525" t="str">
        <f t="shared" si="2"/>
        <v/>
      </c>
      <c r="AE197" s="525" t="str">
        <f t="shared" si="3"/>
        <v/>
      </c>
      <c r="AF197" s="525" t="str">
        <f t="shared" si="4"/>
        <v/>
      </c>
      <c r="AG197" s="525" t="str">
        <f t="shared" si="5"/>
        <v/>
      </c>
      <c r="AH197" s="525">
        <f>E196</f>
        <v>0</v>
      </c>
      <c r="AI197" s="525">
        <f>E197</f>
        <v>0</v>
      </c>
    </row>
    <row r="198" spans="1:35" x14ac:dyDescent="0.2">
      <c r="A198" s="531"/>
      <c r="B198" s="303"/>
      <c r="C198" s="303"/>
      <c r="D198" s="303"/>
      <c r="E198" s="303"/>
      <c r="F198" s="303"/>
      <c r="G198" s="303"/>
      <c r="H198" s="303"/>
      <c r="I198" s="303"/>
      <c r="J198" s="303"/>
      <c r="K198" s="303"/>
      <c r="L198" s="303"/>
      <c r="M198" s="303"/>
      <c r="N198" s="303"/>
      <c r="O198" s="303"/>
      <c r="P198" s="303"/>
      <c r="Q198" s="303"/>
      <c r="R198" s="303"/>
      <c r="S198" s="303"/>
      <c r="T198" s="303"/>
      <c r="U198" s="303"/>
      <c r="V198" s="303"/>
      <c r="W198" s="303"/>
      <c r="X198" s="303"/>
      <c r="Y198" s="303"/>
      <c r="Z198" s="532"/>
      <c r="AA198" s="530"/>
      <c r="AB198" s="525" t="str">
        <f t="shared" si="0"/>
        <v/>
      </c>
      <c r="AC198" s="525" t="str">
        <f t="shared" si="1"/>
        <v/>
      </c>
      <c r="AD198" s="525" t="str">
        <f t="shared" si="2"/>
        <v/>
      </c>
      <c r="AE198" s="525" t="str">
        <f t="shared" si="3"/>
        <v/>
      </c>
      <c r="AF198" s="525" t="str">
        <f t="shared" si="4"/>
        <v/>
      </c>
      <c r="AG198" s="525" t="str">
        <f t="shared" si="5"/>
        <v/>
      </c>
      <c r="AH198" s="525">
        <f>E199</f>
        <v>0</v>
      </c>
      <c r="AI198" s="525">
        <f>E200</f>
        <v>0</v>
      </c>
    </row>
    <row r="199" spans="1:35" x14ac:dyDescent="0.2">
      <c r="A199" s="531"/>
      <c r="B199" s="303"/>
      <c r="C199" s="303"/>
      <c r="D199" s="303"/>
      <c r="E199" s="303"/>
      <c r="F199" s="303"/>
      <c r="G199" s="303"/>
      <c r="H199" s="303"/>
      <c r="I199" s="303"/>
      <c r="J199" s="303"/>
      <c r="K199" s="303"/>
      <c r="L199" s="303"/>
      <c r="M199" s="303"/>
      <c r="N199" s="303"/>
      <c r="O199" s="303"/>
      <c r="P199" s="303"/>
      <c r="Q199" s="303"/>
      <c r="R199" s="303"/>
      <c r="S199" s="303"/>
      <c r="T199" s="303"/>
      <c r="U199" s="303"/>
      <c r="V199" s="303"/>
      <c r="W199" s="303"/>
      <c r="X199" s="303"/>
      <c r="Y199" s="303"/>
      <c r="Z199" s="532"/>
      <c r="AA199" s="530"/>
      <c r="AB199" s="525" t="str">
        <f t="shared" si="0"/>
        <v/>
      </c>
      <c r="AC199" s="525" t="str">
        <f t="shared" si="1"/>
        <v/>
      </c>
      <c r="AD199" s="525" t="str">
        <f t="shared" si="2"/>
        <v/>
      </c>
      <c r="AE199" s="525" t="str">
        <f t="shared" si="3"/>
        <v/>
      </c>
      <c r="AF199" s="525" t="str">
        <f t="shared" si="4"/>
        <v/>
      </c>
      <c r="AG199" s="525" t="str">
        <f t="shared" si="5"/>
        <v/>
      </c>
      <c r="AH199" s="525">
        <f>E199</f>
        <v>0</v>
      </c>
      <c r="AI199" s="525">
        <f>E200</f>
        <v>0</v>
      </c>
    </row>
    <row r="200" spans="1:35" x14ac:dyDescent="0.2">
      <c r="A200" s="531"/>
      <c r="B200" s="303"/>
      <c r="C200" s="303"/>
      <c r="D200" s="303"/>
      <c r="E200" s="303"/>
      <c r="F200" s="303"/>
      <c r="G200" s="303"/>
      <c r="H200" s="303"/>
      <c r="I200" s="303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3"/>
      <c r="U200" s="303"/>
      <c r="V200" s="303"/>
      <c r="W200" s="303"/>
      <c r="X200" s="303"/>
      <c r="Y200" s="303"/>
      <c r="Z200" s="532"/>
      <c r="AA200" s="530"/>
      <c r="AB200" s="525" t="str">
        <f t="shared" si="0"/>
        <v/>
      </c>
      <c r="AC200" s="525" t="str">
        <f t="shared" si="1"/>
        <v/>
      </c>
      <c r="AD200" s="525" t="str">
        <f t="shared" si="2"/>
        <v/>
      </c>
      <c r="AE200" s="525" t="str">
        <f t="shared" si="3"/>
        <v/>
      </c>
      <c r="AF200" s="525" t="str">
        <f t="shared" si="4"/>
        <v/>
      </c>
      <c r="AG200" s="525" t="str">
        <f t="shared" si="5"/>
        <v/>
      </c>
      <c r="AH200" s="525">
        <f>E199</f>
        <v>0</v>
      </c>
      <c r="AI200" s="525">
        <f>E200</f>
        <v>0</v>
      </c>
    </row>
    <row r="201" spans="1:35" x14ac:dyDescent="0.2">
      <c r="A201" s="531"/>
      <c r="B201" s="303"/>
      <c r="C201" s="303"/>
      <c r="D201" s="303"/>
      <c r="E201" s="303"/>
      <c r="F201" s="303"/>
      <c r="G201" s="303"/>
      <c r="H201" s="303"/>
      <c r="I201" s="303"/>
      <c r="J201" s="303"/>
      <c r="K201" s="303"/>
      <c r="L201" s="303"/>
      <c r="M201" s="303"/>
      <c r="N201" s="303"/>
      <c r="O201" s="303"/>
      <c r="P201" s="303"/>
      <c r="Q201" s="303"/>
      <c r="R201" s="303"/>
      <c r="S201" s="303"/>
      <c r="T201" s="303"/>
      <c r="U201" s="303"/>
      <c r="V201" s="303"/>
      <c r="W201" s="303"/>
      <c r="X201" s="303"/>
      <c r="Y201" s="303"/>
      <c r="Z201" s="532"/>
      <c r="AA201" s="530"/>
      <c r="AB201" s="525" t="str">
        <f t="shared" si="0"/>
        <v/>
      </c>
      <c r="AC201" s="525" t="str">
        <f t="shared" si="1"/>
        <v/>
      </c>
      <c r="AD201" s="525" t="str">
        <f t="shared" si="2"/>
        <v/>
      </c>
      <c r="AE201" s="525" t="str">
        <f t="shared" si="3"/>
        <v/>
      </c>
      <c r="AF201" s="525" t="str">
        <f t="shared" si="4"/>
        <v/>
      </c>
      <c r="AG201" s="525" t="str">
        <f t="shared" si="5"/>
        <v/>
      </c>
      <c r="AH201" s="525">
        <f>E202</f>
        <v>0</v>
      </c>
      <c r="AI201" s="525">
        <f>E203</f>
        <v>0</v>
      </c>
    </row>
    <row r="202" spans="1:35" x14ac:dyDescent="0.2">
      <c r="A202" s="531"/>
      <c r="B202" s="303"/>
      <c r="C202" s="303"/>
      <c r="D202" s="303"/>
      <c r="E202" s="303"/>
      <c r="F202" s="303"/>
      <c r="G202" s="303"/>
      <c r="H202" s="303"/>
      <c r="I202" s="303"/>
      <c r="J202" s="303"/>
      <c r="K202" s="303"/>
      <c r="L202" s="303"/>
      <c r="M202" s="303"/>
      <c r="N202" s="303"/>
      <c r="O202" s="303"/>
      <c r="P202" s="303"/>
      <c r="Q202" s="303"/>
      <c r="R202" s="303"/>
      <c r="S202" s="303"/>
      <c r="T202" s="303"/>
      <c r="U202" s="303"/>
      <c r="V202" s="303"/>
      <c r="W202" s="303"/>
      <c r="X202" s="303"/>
      <c r="Y202" s="303"/>
      <c r="Z202" s="532"/>
      <c r="AA202" s="530"/>
      <c r="AB202" s="525" t="str">
        <f t="shared" si="0"/>
        <v/>
      </c>
      <c r="AC202" s="525" t="str">
        <f t="shared" si="1"/>
        <v/>
      </c>
      <c r="AD202" s="525" t="str">
        <f t="shared" si="2"/>
        <v/>
      </c>
      <c r="AE202" s="525" t="str">
        <f t="shared" si="3"/>
        <v/>
      </c>
      <c r="AF202" s="525" t="str">
        <f t="shared" si="4"/>
        <v/>
      </c>
      <c r="AG202" s="525" t="str">
        <f t="shared" si="5"/>
        <v/>
      </c>
      <c r="AH202" s="525">
        <f>E202</f>
        <v>0</v>
      </c>
      <c r="AI202" s="525">
        <f>E203</f>
        <v>0</v>
      </c>
    </row>
    <row r="203" spans="1:35" x14ac:dyDescent="0.2">
      <c r="A203" s="531"/>
      <c r="B203" s="303"/>
      <c r="C203" s="303"/>
      <c r="D203" s="303"/>
      <c r="E203" s="303"/>
      <c r="F203" s="303"/>
      <c r="G203" s="303"/>
      <c r="H203" s="303"/>
      <c r="I203" s="303"/>
      <c r="J203" s="303"/>
      <c r="K203" s="303"/>
      <c r="L203" s="303"/>
      <c r="M203" s="303"/>
      <c r="N203" s="303"/>
      <c r="O203" s="303"/>
      <c r="P203" s="303"/>
      <c r="Q203" s="303"/>
      <c r="R203" s="303"/>
      <c r="S203" s="303"/>
      <c r="T203" s="303"/>
      <c r="U203" s="303"/>
      <c r="V203" s="303"/>
      <c r="W203" s="303"/>
      <c r="X203" s="303"/>
      <c r="Y203" s="303"/>
      <c r="Z203" s="532"/>
      <c r="AA203" s="530"/>
      <c r="AB203" s="525" t="str">
        <f t="shared" si="0"/>
        <v/>
      </c>
      <c r="AC203" s="525" t="str">
        <f t="shared" si="1"/>
        <v/>
      </c>
      <c r="AD203" s="525" t="str">
        <f t="shared" si="2"/>
        <v/>
      </c>
      <c r="AE203" s="525" t="str">
        <f t="shared" si="3"/>
        <v/>
      </c>
      <c r="AF203" s="525" t="str">
        <f t="shared" si="4"/>
        <v/>
      </c>
      <c r="AG203" s="525" t="str">
        <f t="shared" si="5"/>
        <v/>
      </c>
      <c r="AH203" s="525">
        <f>E202</f>
        <v>0</v>
      </c>
      <c r="AI203" s="525">
        <f>E203</f>
        <v>0</v>
      </c>
    </row>
    <row r="204" spans="1:35" x14ac:dyDescent="0.2">
      <c r="A204" s="531"/>
      <c r="B204" s="303"/>
      <c r="C204" s="303"/>
      <c r="D204" s="303"/>
      <c r="E204" s="303"/>
      <c r="F204" s="303"/>
      <c r="G204" s="303"/>
      <c r="H204" s="303"/>
      <c r="I204" s="303"/>
      <c r="J204" s="303"/>
      <c r="K204" s="303"/>
      <c r="L204" s="303"/>
      <c r="M204" s="303"/>
      <c r="N204" s="303"/>
      <c r="O204" s="303"/>
      <c r="P204" s="303"/>
      <c r="Q204" s="303"/>
      <c r="R204" s="303"/>
      <c r="S204" s="303"/>
      <c r="T204" s="303"/>
      <c r="U204" s="303"/>
      <c r="V204" s="303"/>
      <c r="W204" s="303"/>
      <c r="X204" s="303"/>
      <c r="Y204" s="303"/>
      <c r="Z204" s="532"/>
      <c r="AA204" s="530"/>
      <c r="AB204" s="525" t="str">
        <f t="shared" si="0"/>
        <v/>
      </c>
      <c r="AC204" s="525" t="str">
        <f t="shared" si="1"/>
        <v/>
      </c>
      <c r="AD204" s="525" t="str">
        <f t="shared" si="2"/>
        <v/>
      </c>
      <c r="AE204" s="525" t="str">
        <f t="shared" si="3"/>
        <v/>
      </c>
      <c r="AF204" s="525" t="str">
        <f t="shared" si="4"/>
        <v/>
      </c>
      <c r="AG204" s="525" t="str">
        <f t="shared" si="5"/>
        <v/>
      </c>
      <c r="AH204" s="525">
        <f>E205</f>
        <v>0</v>
      </c>
      <c r="AI204" s="525">
        <f>E206</f>
        <v>0</v>
      </c>
    </row>
    <row r="205" spans="1:35" x14ac:dyDescent="0.2">
      <c r="A205" s="531"/>
      <c r="B205" s="303"/>
      <c r="C205" s="303"/>
      <c r="D205" s="303"/>
      <c r="E205" s="303"/>
      <c r="F205" s="303"/>
      <c r="G205" s="303"/>
      <c r="H205" s="303"/>
      <c r="I205" s="303"/>
      <c r="J205" s="303"/>
      <c r="K205" s="303"/>
      <c r="L205" s="303"/>
      <c r="M205" s="303"/>
      <c r="N205" s="303"/>
      <c r="O205" s="303"/>
      <c r="P205" s="303"/>
      <c r="Q205" s="303"/>
      <c r="R205" s="303"/>
      <c r="S205" s="303"/>
      <c r="T205" s="303"/>
      <c r="U205" s="303"/>
      <c r="V205" s="303"/>
      <c r="W205" s="303"/>
      <c r="X205" s="303"/>
      <c r="Y205" s="303"/>
      <c r="Z205" s="532"/>
      <c r="AA205" s="530"/>
      <c r="AB205" s="525" t="str">
        <f t="shared" si="0"/>
        <v/>
      </c>
      <c r="AC205" s="525" t="str">
        <f t="shared" si="1"/>
        <v/>
      </c>
      <c r="AD205" s="525" t="str">
        <f t="shared" si="2"/>
        <v/>
      </c>
      <c r="AE205" s="525" t="str">
        <f t="shared" si="3"/>
        <v/>
      </c>
      <c r="AF205" s="525" t="str">
        <f t="shared" si="4"/>
        <v/>
      </c>
      <c r="AG205" s="525" t="str">
        <f t="shared" si="5"/>
        <v/>
      </c>
      <c r="AH205" s="525">
        <f>E205</f>
        <v>0</v>
      </c>
      <c r="AI205" s="525">
        <f>E206</f>
        <v>0</v>
      </c>
    </row>
    <row r="206" spans="1:35" x14ac:dyDescent="0.2">
      <c r="A206" s="531"/>
      <c r="B206" s="303"/>
      <c r="C206" s="303"/>
      <c r="D206" s="303"/>
      <c r="E206" s="303"/>
      <c r="F206" s="303"/>
      <c r="G206" s="303"/>
      <c r="H206" s="303"/>
      <c r="I206" s="303"/>
      <c r="J206" s="303"/>
      <c r="K206" s="303"/>
      <c r="L206" s="303"/>
      <c r="M206" s="303"/>
      <c r="N206" s="303"/>
      <c r="O206" s="303"/>
      <c r="P206" s="303"/>
      <c r="Q206" s="303"/>
      <c r="R206" s="303"/>
      <c r="S206" s="303"/>
      <c r="T206" s="303"/>
      <c r="U206" s="303"/>
      <c r="V206" s="303"/>
      <c r="W206" s="303"/>
      <c r="X206" s="303"/>
      <c r="Y206" s="303"/>
      <c r="Z206" s="532"/>
      <c r="AA206" s="530"/>
      <c r="AB206" s="525" t="str">
        <f t="shared" si="0"/>
        <v/>
      </c>
      <c r="AC206" s="525" t="str">
        <f t="shared" si="1"/>
        <v/>
      </c>
      <c r="AD206" s="525" t="str">
        <f t="shared" si="2"/>
        <v/>
      </c>
      <c r="AE206" s="525" t="str">
        <f t="shared" si="3"/>
        <v/>
      </c>
      <c r="AF206" s="525" t="str">
        <f t="shared" si="4"/>
        <v/>
      </c>
      <c r="AG206" s="525" t="str">
        <f t="shared" si="5"/>
        <v/>
      </c>
      <c r="AH206" s="525">
        <f>E205</f>
        <v>0</v>
      </c>
      <c r="AI206" s="525">
        <f>E206</f>
        <v>0</v>
      </c>
    </row>
    <row r="207" spans="1:35" x14ac:dyDescent="0.2">
      <c r="A207" s="531"/>
      <c r="B207" s="303"/>
      <c r="C207" s="303"/>
      <c r="D207" s="303"/>
      <c r="E207" s="303"/>
      <c r="F207" s="303"/>
      <c r="G207" s="303"/>
      <c r="H207" s="303"/>
      <c r="I207" s="303"/>
      <c r="J207" s="303"/>
      <c r="K207" s="303"/>
      <c r="L207" s="303"/>
      <c r="M207" s="303"/>
      <c r="N207" s="303"/>
      <c r="O207" s="303"/>
      <c r="P207" s="303"/>
      <c r="Q207" s="303"/>
      <c r="R207" s="303"/>
      <c r="S207" s="303"/>
      <c r="T207" s="303"/>
      <c r="U207" s="303"/>
      <c r="V207" s="303"/>
      <c r="W207" s="303"/>
      <c r="X207" s="303"/>
      <c r="Y207" s="303"/>
      <c r="Z207" s="532"/>
      <c r="AA207" s="530"/>
      <c r="AB207" s="525" t="str">
        <f t="shared" si="0"/>
        <v/>
      </c>
      <c r="AC207" s="525" t="str">
        <f t="shared" si="1"/>
        <v/>
      </c>
      <c r="AD207" s="525" t="str">
        <f t="shared" si="2"/>
        <v/>
      </c>
      <c r="AE207" s="525" t="str">
        <f t="shared" si="3"/>
        <v/>
      </c>
      <c r="AF207" s="525" t="str">
        <f t="shared" si="4"/>
        <v/>
      </c>
      <c r="AG207" s="525" t="str">
        <f t="shared" si="5"/>
        <v/>
      </c>
      <c r="AH207" s="525">
        <f>E208</f>
        <v>0</v>
      </c>
      <c r="AI207" s="525">
        <f>E209</f>
        <v>0</v>
      </c>
    </row>
    <row r="208" spans="1:35" x14ac:dyDescent="0.2">
      <c r="A208" s="531"/>
      <c r="B208" s="303"/>
      <c r="C208" s="303"/>
      <c r="D208" s="303"/>
      <c r="E208" s="303"/>
      <c r="F208" s="303"/>
      <c r="G208" s="303"/>
      <c r="H208" s="303"/>
      <c r="I208" s="303"/>
      <c r="J208" s="303"/>
      <c r="K208" s="303"/>
      <c r="L208" s="303"/>
      <c r="M208" s="303"/>
      <c r="N208" s="303"/>
      <c r="O208" s="303"/>
      <c r="P208" s="303"/>
      <c r="Q208" s="303"/>
      <c r="R208" s="303"/>
      <c r="S208" s="303"/>
      <c r="T208" s="303"/>
      <c r="U208" s="303"/>
      <c r="V208" s="303"/>
      <c r="W208" s="303"/>
      <c r="X208" s="303"/>
      <c r="Y208" s="303"/>
      <c r="Z208" s="532"/>
      <c r="AA208" s="530"/>
      <c r="AB208" s="525" t="str">
        <f t="shared" si="0"/>
        <v/>
      </c>
      <c r="AC208" s="525" t="str">
        <f t="shared" si="1"/>
        <v/>
      </c>
      <c r="AD208" s="525" t="str">
        <f t="shared" si="2"/>
        <v/>
      </c>
      <c r="AE208" s="525" t="str">
        <f t="shared" si="3"/>
        <v/>
      </c>
      <c r="AF208" s="525" t="str">
        <f t="shared" si="4"/>
        <v/>
      </c>
      <c r="AG208" s="525" t="str">
        <f t="shared" si="5"/>
        <v/>
      </c>
      <c r="AH208" s="525">
        <f>E208</f>
        <v>0</v>
      </c>
      <c r="AI208" s="525">
        <f>E209</f>
        <v>0</v>
      </c>
    </row>
    <row r="209" spans="1:35" x14ac:dyDescent="0.2">
      <c r="A209" s="531"/>
      <c r="B209" s="303"/>
      <c r="C209" s="303"/>
      <c r="D209" s="303"/>
      <c r="E209" s="303"/>
      <c r="F209" s="303"/>
      <c r="G209" s="303"/>
      <c r="H209" s="303"/>
      <c r="I209" s="303"/>
      <c r="J209" s="303"/>
      <c r="K209" s="303"/>
      <c r="L209" s="303"/>
      <c r="M209" s="303"/>
      <c r="N209" s="303"/>
      <c r="O209" s="303"/>
      <c r="P209" s="303"/>
      <c r="Q209" s="303"/>
      <c r="R209" s="303"/>
      <c r="S209" s="303"/>
      <c r="T209" s="303"/>
      <c r="U209" s="303"/>
      <c r="V209" s="303"/>
      <c r="W209" s="303"/>
      <c r="X209" s="303"/>
      <c r="Y209" s="303"/>
      <c r="Z209" s="532"/>
      <c r="AA209" s="530"/>
      <c r="AB209" s="525" t="str">
        <f t="shared" si="0"/>
        <v/>
      </c>
      <c r="AC209" s="525" t="str">
        <f t="shared" si="1"/>
        <v/>
      </c>
      <c r="AD209" s="525" t="str">
        <f t="shared" si="2"/>
        <v/>
      </c>
      <c r="AE209" s="525" t="str">
        <f t="shared" si="3"/>
        <v/>
      </c>
      <c r="AF209" s="525" t="str">
        <f t="shared" si="4"/>
        <v/>
      </c>
      <c r="AG209" s="525" t="str">
        <f t="shared" si="5"/>
        <v/>
      </c>
      <c r="AH209" s="525">
        <f>E208</f>
        <v>0</v>
      </c>
      <c r="AI209" s="525">
        <f>E209</f>
        <v>0</v>
      </c>
    </row>
    <row r="210" spans="1:35" x14ac:dyDescent="0.2">
      <c r="A210" s="531"/>
      <c r="B210" s="303"/>
      <c r="C210" s="303"/>
      <c r="D210" s="303"/>
      <c r="E210" s="303"/>
      <c r="F210" s="303"/>
      <c r="G210" s="303"/>
      <c r="H210" s="303"/>
      <c r="I210" s="303"/>
      <c r="J210" s="303"/>
      <c r="K210" s="303"/>
      <c r="L210" s="303"/>
      <c r="M210" s="303"/>
      <c r="N210" s="303"/>
      <c r="O210" s="303"/>
      <c r="P210" s="303"/>
      <c r="Q210" s="303"/>
      <c r="R210" s="303"/>
      <c r="S210" s="303"/>
      <c r="T210" s="303"/>
      <c r="U210" s="303"/>
      <c r="V210" s="303"/>
      <c r="W210" s="303"/>
      <c r="X210" s="303"/>
      <c r="Y210" s="303"/>
      <c r="Z210" s="532"/>
      <c r="AA210" s="530"/>
      <c r="AB210" s="525" t="str">
        <f t="shared" si="0"/>
        <v/>
      </c>
      <c r="AC210" s="525" t="str">
        <f t="shared" si="1"/>
        <v/>
      </c>
      <c r="AD210" s="525" t="str">
        <f t="shared" si="2"/>
        <v/>
      </c>
      <c r="AE210" s="525" t="str">
        <f t="shared" si="3"/>
        <v/>
      </c>
      <c r="AF210" s="525" t="str">
        <f t="shared" si="4"/>
        <v/>
      </c>
      <c r="AG210" s="525" t="str">
        <f t="shared" si="5"/>
        <v/>
      </c>
      <c r="AH210" s="525">
        <f>E211</f>
        <v>0</v>
      </c>
      <c r="AI210" s="525">
        <f>E212</f>
        <v>0</v>
      </c>
    </row>
    <row r="211" spans="1:35" x14ac:dyDescent="0.2">
      <c r="A211" s="531"/>
      <c r="B211" s="303"/>
      <c r="C211" s="303"/>
      <c r="D211" s="303"/>
      <c r="E211" s="303"/>
      <c r="F211" s="303"/>
      <c r="G211" s="303"/>
      <c r="H211" s="303"/>
      <c r="I211" s="303"/>
      <c r="J211" s="303"/>
      <c r="K211" s="303"/>
      <c r="L211" s="303"/>
      <c r="M211" s="303"/>
      <c r="N211" s="303"/>
      <c r="O211" s="303"/>
      <c r="P211" s="303"/>
      <c r="Q211" s="303"/>
      <c r="R211" s="303"/>
      <c r="S211" s="303"/>
      <c r="T211" s="303"/>
      <c r="U211" s="303"/>
      <c r="V211" s="303"/>
      <c r="W211" s="303"/>
      <c r="X211" s="303"/>
      <c r="Y211" s="303"/>
      <c r="Z211" s="532"/>
      <c r="AA211" s="530"/>
      <c r="AB211" s="525" t="str">
        <f t="shared" si="0"/>
        <v/>
      </c>
      <c r="AC211" s="525" t="str">
        <f t="shared" si="1"/>
        <v/>
      </c>
      <c r="AD211" s="525" t="str">
        <f t="shared" si="2"/>
        <v/>
      </c>
      <c r="AE211" s="525" t="str">
        <f t="shared" si="3"/>
        <v/>
      </c>
      <c r="AF211" s="525" t="str">
        <f t="shared" si="4"/>
        <v/>
      </c>
      <c r="AG211" s="525" t="str">
        <f t="shared" si="5"/>
        <v/>
      </c>
      <c r="AH211" s="525">
        <f>E211</f>
        <v>0</v>
      </c>
      <c r="AI211" s="525">
        <f>E212</f>
        <v>0</v>
      </c>
    </row>
    <row r="212" spans="1:35" x14ac:dyDescent="0.2">
      <c r="A212" s="531"/>
      <c r="B212" s="303"/>
      <c r="C212" s="303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532"/>
      <c r="AA212" s="530"/>
      <c r="AB212" s="525" t="str">
        <f t="shared" si="0"/>
        <v/>
      </c>
      <c r="AC212" s="525" t="str">
        <f t="shared" si="1"/>
        <v/>
      </c>
      <c r="AD212" s="525" t="str">
        <f t="shared" si="2"/>
        <v/>
      </c>
      <c r="AE212" s="525" t="str">
        <f t="shared" si="3"/>
        <v/>
      </c>
      <c r="AF212" s="525" t="str">
        <f t="shared" si="4"/>
        <v/>
      </c>
      <c r="AG212" s="525" t="str">
        <f t="shared" si="5"/>
        <v/>
      </c>
      <c r="AH212" s="525">
        <f>E211</f>
        <v>0</v>
      </c>
      <c r="AI212" s="525">
        <f>E212</f>
        <v>0</v>
      </c>
    </row>
    <row r="213" spans="1:35" x14ac:dyDescent="0.2">
      <c r="A213" s="531"/>
      <c r="B213" s="303"/>
      <c r="C213" s="303"/>
      <c r="D213" s="303"/>
      <c r="E213" s="303"/>
      <c r="F213" s="303"/>
      <c r="G213" s="303"/>
      <c r="H213" s="303"/>
      <c r="I213" s="303"/>
      <c r="J213" s="303"/>
      <c r="K213" s="303"/>
      <c r="L213" s="303"/>
      <c r="M213" s="303"/>
      <c r="N213" s="303"/>
      <c r="O213" s="303"/>
      <c r="P213" s="303"/>
      <c r="Q213" s="303"/>
      <c r="R213" s="303"/>
      <c r="S213" s="303"/>
      <c r="T213" s="303"/>
      <c r="U213" s="303"/>
      <c r="V213" s="303"/>
      <c r="W213" s="303"/>
      <c r="X213" s="303"/>
      <c r="Y213" s="303"/>
      <c r="Z213" s="532"/>
      <c r="AA213" s="530"/>
      <c r="AB213" s="525" t="str">
        <f t="shared" si="0"/>
        <v/>
      </c>
      <c r="AC213" s="525" t="str">
        <f t="shared" si="1"/>
        <v/>
      </c>
      <c r="AD213" s="525" t="str">
        <f t="shared" si="2"/>
        <v/>
      </c>
      <c r="AE213" s="525" t="str">
        <f t="shared" si="3"/>
        <v/>
      </c>
      <c r="AF213" s="525" t="str">
        <f t="shared" si="4"/>
        <v/>
      </c>
      <c r="AG213" s="525" t="str">
        <f t="shared" si="5"/>
        <v/>
      </c>
      <c r="AH213" s="525">
        <f>E214</f>
        <v>0</v>
      </c>
      <c r="AI213" s="525">
        <f>E215</f>
        <v>0</v>
      </c>
    </row>
    <row r="214" spans="1:35" x14ac:dyDescent="0.2">
      <c r="A214" s="531"/>
      <c r="B214" s="303"/>
      <c r="C214" s="303"/>
      <c r="D214" s="303"/>
      <c r="E214" s="303"/>
      <c r="F214" s="303"/>
      <c r="G214" s="303"/>
      <c r="H214" s="303"/>
      <c r="I214" s="303"/>
      <c r="J214" s="303"/>
      <c r="K214" s="303"/>
      <c r="L214" s="303"/>
      <c r="M214" s="303"/>
      <c r="N214" s="303"/>
      <c r="O214" s="303"/>
      <c r="P214" s="303"/>
      <c r="Q214" s="303"/>
      <c r="R214" s="303"/>
      <c r="S214" s="303"/>
      <c r="T214" s="303"/>
      <c r="U214" s="303"/>
      <c r="V214" s="303"/>
      <c r="W214" s="303"/>
      <c r="X214" s="303"/>
      <c r="Y214" s="303"/>
      <c r="Z214" s="532"/>
      <c r="AA214" s="530"/>
      <c r="AB214" s="525" t="str">
        <f t="shared" si="0"/>
        <v/>
      </c>
      <c r="AC214" s="525" t="str">
        <f t="shared" si="1"/>
        <v/>
      </c>
      <c r="AD214" s="525" t="str">
        <f t="shared" si="2"/>
        <v/>
      </c>
      <c r="AE214" s="525" t="str">
        <f t="shared" si="3"/>
        <v/>
      </c>
      <c r="AF214" s="525" t="str">
        <f t="shared" si="4"/>
        <v/>
      </c>
      <c r="AG214" s="525" t="str">
        <f t="shared" si="5"/>
        <v/>
      </c>
      <c r="AH214" s="525">
        <f>E214</f>
        <v>0</v>
      </c>
      <c r="AI214" s="525">
        <f>E215</f>
        <v>0</v>
      </c>
    </row>
    <row r="215" spans="1:35" x14ac:dyDescent="0.2">
      <c r="A215" s="531"/>
      <c r="B215" s="303"/>
      <c r="C215" s="303"/>
      <c r="D215" s="303"/>
      <c r="E215" s="303"/>
      <c r="F215" s="303"/>
      <c r="G215" s="303"/>
      <c r="H215" s="303"/>
      <c r="I215" s="303"/>
      <c r="J215" s="303"/>
      <c r="K215" s="303"/>
      <c r="L215" s="303"/>
      <c r="M215" s="303"/>
      <c r="N215" s="303"/>
      <c r="O215" s="303"/>
      <c r="P215" s="303"/>
      <c r="Q215" s="303"/>
      <c r="R215" s="303"/>
      <c r="S215" s="303"/>
      <c r="T215" s="303"/>
      <c r="U215" s="303"/>
      <c r="V215" s="303"/>
      <c r="W215" s="303"/>
      <c r="X215" s="303"/>
      <c r="Y215" s="303"/>
      <c r="Z215" s="532"/>
      <c r="AA215" s="530"/>
      <c r="AB215" s="525" t="str">
        <f t="shared" si="0"/>
        <v/>
      </c>
      <c r="AC215" s="525" t="str">
        <f t="shared" si="1"/>
        <v/>
      </c>
      <c r="AD215" s="525" t="str">
        <f t="shared" si="2"/>
        <v/>
      </c>
      <c r="AE215" s="525" t="str">
        <f t="shared" si="3"/>
        <v/>
      </c>
      <c r="AF215" s="525" t="str">
        <f t="shared" si="4"/>
        <v/>
      </c>
      <c r="AG215" s="525" t="str">
        <f t="shared" si="5"/>
        <v/>
      </c>
      <c r="AH215" s="525">
        <f>E214</f>
        <v>0</v>
      </c>
      <c r="AI215" s="525">
        <f>E215</f>
        <v>0</v>
      </c>
    </row>
    <row r="216" spans="1:35" x14ac:dyDescent="0.2">
      <c r="A216" s="531"/>
      <c r="B216" s="303"/>
      <c r="C216" s="303"/>
      <c r="D216" s="303"/>
      <c r="E216" s="303"/>
      <c r="F216" s="303"/>
      <c r="G216" s="303"/>
      <c r="H216" s="303"/>
      <c r="I216" s="303"/>
      <c r="J216" s="303"/>
      <c r="K216" s="303"/>
      <c r="L216" s="303"/>
      <c r="M216" s="303"/>
      <c r="N216" s="303"/>
      <c r="O216" s="303"/>
      <c r="P216" s="303"/>
      <c r="Q216" s="303"/>
      <c r="R216" s="303"/>
      <c r="S216" s="303"/>
      <c r="T216" s="303"/>
      <c r="U216" s="303"/>
      <c r="V216" s="303"/>
      <c r="W216" s="303"/>
      <c r="X216" s="303"/>
      <c r="Y216" s="303"/>
      <c r="Z216" s="532"/>
      <c r="AA216" s="530"/>
      <c r="AB216" s="525" t="str">
        <f t="shared" si="0"/>
        <v/>
      </c>
      <c r="AC216" s="525" t="str">
        <f t="shared" si="1"/>
        <v/>
      </c>
      <c r="AD216" s="525" t="str">
        <f t="shared" si="2"/>
        <v/>
      </c>
      <c r="AE216" s="525" t="str">
        <f t="shared" si="3"/>
        <v/>
      </c>
      <c r="AF216" s="525" t="str">
        <f t="shared" si="4"/>
        <v/>
      </c>
      <c r="AG216" s="525" t="str">
        <f t="shared" si="5"/>
        <v/>
      </c>
      <c r="AH216" s="525">
        <f>E217</f>
        <v>0</v>
      </c>
      <c r="AI216" s="525">
        <f>E218</f>
        <v>0</v>
      </c>
    </row>
    <row r="217" spans="1:35" x14ac:dyDescent="0.2">
      <c r="A217" s="531"/>
      <c r="B217" s="303"/>
      <c r="C217" s="303"/>
      <c r="D217" s="303"/>
      <c r="E217" s="303"/>
      <c r="F217" s="303"/>
      <c r="G217" s="303"/>
      <c r="H217" s="303"/>
      <c r="I217" s="303"/>
      <c r="J217" s="303"/>
      <c r="K217" s="303"/>
      <c r="L217" s="303"/>
      <c r="M217" s="303"/>
      <c r="N217" s="303"/>
      <c r="O217" s="303"/>
      <c r="P217" s="303"/>
      <c r="Q217" s="303"/>
      <c r="R217" s="303"/>
      <c r="S217" s="303"/>
      <c r="T217" s="303"/>
      <c r="U217" s="303"/>
      <c r="V217" s="303"/>
      <c r="W217" s="303"/>
      <c r="X217" s="303"/>
      <c r="Y217" s="303"/>
      <c r="Z217" s="532"/>
      <c r="AA217" s="530"/>
      <c r="AB217" s="525" t="str">
        <f t="shared" si="0"/>
        <v/>
      </c>
      <c r="AC217" s="525" t="str">
        <f t="shared" si="1"/>
        <v/>
      </c>
      <c r="AD217" s="525" t="str">
        <f t="shared" si="2"/>
        <v/>
      </c>
      <c r="AE217" s="525" t="str">
        <f t="shared" si="3"/>
        <v/>
      </c>
      <c r="AF217" s="525" t="str">
        <f t="shared" si="4"/>
        <v/>
      </c>
      <c r="AG217" s="525" t="str">
        <f t="shared" si="5"/>
        <v/>
      </c>
      <c r="AH217" s="525">
        <f>E217</f>
        <v>0</v>
      </c>
      <c r="AI217" s="525">
        <f>E218</f>
        <v>0</v>
      </c>
    </row>
    <row r="218" spans="1:35" x14ac:dyDescent="0.2">
      <c r="A218" s="531"/>
      <c r="B218" s="303"/>
      <c r="C218" s="303"/>
      <c r="D218" s="303"/>
      <c r="E218" s="303"/>
      <c r="F218" s="303"/>
      <c r="G218" s="303"/>
      <c r="H218" s="303"/>
      <c r="I218" s="303"/>
      <c r="J218" s="303"/>
      <c r="K218" s="303"/>
      <c r="L218" s="303"/>
      <c r="M218" s="303"/>
      <c r="N218" s="303"/>
      <c r="O218" s="303"/>
      <c r="P218" s="303"/>
      <c r="Q218" s="303"/>
      <c r="R218" s="303"/>
      <c r="S218" s="303"/>
      <c r="T218" s="303"/>
      <c r="U218" s="303"/>
      <c r="V218" s="303"/>
      <c r="W218" s="303"/>
      <c r="X218" s="303"/>
      <c r="Y218" s="303"/>
      <c r="Z218" s="532"/>
      <c r="AA218" s="530"/>
      <c r="AB218" s="525" t="str">
        <f t="shared" si="0"/>
        <v/>
      </c>
      <c r="AC218" s="525" t="str">
        <f t="shared" si="1"/>
        <v/>
      </c>
      <c r="AD218" s="525" t="str">
        <f t="shared" si="2"/>
        <v/>
      </c>
      <c r="AE218" s="525" t="str">
        <f t="shared" si="3"/>
        <v/>
      </c>
      <c r="AF218" s="525" t="str">
        <f t="shared" si="4"/>
        <v/>
      </c>
      <c r="AG218" s="525" t="str">
        <f t="shared" si="5"/>
        <v/>
      </c>
      <c r="AH218" s="525">
        <f>E217</f>
        <v>0</v>
      </c>
      <c r="AI218" s="525">
        <f>E218</f>
        <v>0</v>
      </c>
    </row>
    <row r="219" spans="1:35" x14ac:dyDescent="0.2">
      <c r="A219" s="531"/>
      <c r="B219" s="303"/>
      <c r="C219" s="303"/>
      <c r="D219" s="303"/>
      <c r="E219" s="303"/>
      <c r="F219" s="303"/>
      <c r="G219" s="303"/>
      <c r="H219" s="303"/>
      <c r="I219" s="303"/>
      <c r="J219" s="303"/>
      <c r="K219" s="303"/>
      <c r="L219" s="303"/>
      <c r="M219" s="303"/>
      <c r="N219" s="303"/>
      <c r="O219" s="303"/>
      <c r="P219" s="303"/>
      <c r="Q219" s="303"/>
      <c r="R219" s="303"/>
      <c r="S219" s="303"/>
      <c r="T219" s="303"/>
      <c r="U219" s="303"/>
      <c r="V219" s="303"/>
      <c r="W219" s="303"/>
      <c r="X219" s="303"/>
      <c r="Y219" s="303"/>
      <c r="Z219" s="532"/>
      <c r="AA219" s="530"/>
      <c r="AB219" s="525" t="str">
        <f t="shared" si="0"/>
        <v/>
      </c>
      <c r="AC219" s="525" t="str">
        <f t="shared" si="1"/>
        <v/>
      </c>
      <c r="AD219" s="525" t="str">
        <f t="shared" si="2"/>
        <v/>
      </c>
      <c r="AE219" s="525" t="str">
        <f t="shared" si="3"/>
        <v/>
      </c>
      <c r="AF219" s="525" t="str">
        <f t="shared" si="4"/>
        <v/>
      </c>
      <c r="AG219" s="525" t="str">
        <f t="shared" si="5"/>
        <v/>
      </c>
      <c r="AH219" s="525">
        <f>E220</f>
        <v>0</v>
      </c>
      <c r="AI219" s="525">
        <f>E221</f>
        <v>0</v>
      </c>
    </row>
    <row r="220" spans="1:35" x14ac:dyDescent="0.2">
      <c r="A220" s="531"/>
      <c r="B220" s="303"/>
      <c r="C220" s="303"/>
      <c r="D220" s="303"/>
      <c r="E220" s="303"/>
      <c r="F220" s="303"/>
      <c r="G220" s="303"/>
      <c r="H220" s="303"/>
      <c r="I220" s="303"/>
      <c r="J220" s="303"/>
      <c r="K220" s="303"/>
      <c r="L220" s="303"/>
      <c r="M220" s="303"/>
      <c r="N220" s="303"/>
      <c r="O220" s="303"/>
      <c r="P220" s="303"/>
      <c r="Q220" s="303"/>
      <c r="R220" s="303"/>
      <c r="S220" s="303"/>
      <c r="T220" s="303"/>
      <c r="U220" s="303"/>
      <c r="V220" s="303"/>
      <c r="W220" s="303"/>
      <c r="X220" s="303"/>
      <c r="Y220" s="303"/>
      <c r="Z220" s="532"/>
      <c r="AA220" s="530"/>
      <c r="AB220" s="525" t="str">
        <f t="shared" si="0"/>
        <v/>
      </c>
      <c r="AC220" s="525" t="str">
        <f t="shared" si="1"/>
        <v/>
      </c>
      <c r="AD220" s="525" t="str">
        <f t="shared" si="2"/>
        <v/>
      </c>
      <c r="AE220" s="525" t="str">
        <f t="shared" si="3"/>
        <v/>
      </c>
      <c r="AF220" s="525" t="str">
        <f t="shared" si="4"/>
        <v/>
      </c>
      <c r="AG220" s="525" t="str">
        <f t="shared" si="5"/>
        <v/>
      </c>
      <c r="AH220" s="525">
        <f>E220</f>
        <v>0</v>
      </c>
      <c r="AI220" s="525">
        <f>E221</f>
        <v>0</v>
      </c>
    </row>
    <row r="221" spans="1:35" x14ac:dyDescent="0.2">
      <c r="A221" s="531"/>
      <c r="B221" s="303"/>
      <c r="C221" s="303"/>
      <c r="D221" s="303"/>
      <c r="E221" s="303"/>
      <c r="F221" s="303"/>
      <c r="G221" s="303"/>
      <c r="H221" s="303"/>
      <c r="I221" s="303"/>
      <c r="J221" s="303"/>
      <c r="K221" s="303"/>
      <c r="L221" s="303"/>
      <c r="M221" s="303"/>
      <c r="N221" s="303"/>
      <c r="O221" s="303"/>
      <c r="P221" s="303"/>
      <c r="Q221" s="303"/>
      <c r="R221" s="303"/>
      <c r="S221" s="303"/>
      <c r="T221" s="303"/>
      <c r="U221" s="303"/>
      <c r="V221" s="303"/>
      <c r="W221" s="303"/>
      <c r="X221" s="303"/>
      <c r="Y221" s="303"/>
      <c r="Z221" s="532"/>
      <c r="AA221" s="530"/>
      <c r="AB221" s="525" t="str">
        <f t="shared" si="0"/>
        <v/>
      </c>
      <c r="AC221" s="525" t="str">
        <f t="shared" si="1"/>
        <v/>
      </c>
      <c r="AD221" s="525" t="str">
        <f t="shared" si="2"/>
        <v/>
      </c>
      <c r="AE221" s="525" t="str">
        <f t="shared" si="3"/>
        <v/>
      </c>
      <c r="AF221" s="525" t="str">
        <f t="shared" si="4"/>
        <v/>
      </c>
      <c r="AG221" s="525" t="str">
        <f t="shared" si="5"/>
        <v/>
      </c>
      <c r="AH221" s="525">
        <f>E220</f>
        <v>0</v>
      </c>
      <c r="AI221" s="525">
        <f>E221</f>
        <v>0</v>
      </c>
    </row>
    <row r="222" spans="1:35" x14ac:dyDescent="0.2">
      <c r="A222" s="531"/>
      <c r="B222" s="303"/>
      <c r="C222" s="303"/>
      <c r="D222" s="303"/>
      <c r="E222" s="303"/>
      <c r="F222" s="303"/>
      <c r="G222" s="303"/>
      <c r="H222" s="303"/>
      <c r="I222" s="303"/>
      <c r="J222" s="303"/>
      <c r="K222" s="303"/>
      <c r="L222" s="303"/>
      <c r="M222" s="303"/>
      <c r="N222" s="303"/>
      <c r="O222" s="303"/>
      <c r="P222" s="303"/>
      <c r="Q222" s="303"/>
      <c r="R222" s="303"/>
      <c r="S222" s="303"/>
      <c r="T222" s="303"/>
      <c r="U222" s="303"/>
      <c r="V222" s="303"/>
      <c r="W222" s="303"/>
      <c r="X222" s="303"/>
      <c r="Y222" s="303"/>
      <c r="Z222" s="532"/>
      <c r="AA222" s="530"/>
      <c r="AB222" s="525" t="str">
        <f t="shared" si="0"/>
        <v/>
      </c>
      <c r="AC222" s="525" t="str">
        <f t="shared" si="1"/>
        <v/>
      </c>
      <c r="AD222" s="525" t="str">
        <f t="shared" si="2"/>
        <v/>
      </c>
      <c r="AE222" s="525" t="str">
        <f t="shared" si="3"/>
        <v/>
      </c>
      <c r="AF222" s="525" t="str">
        <f t="shared" si="4"/>
        <v/>
      </c>
      <c r="AG222" s="525" t="str">
        <f t="shared" si="5"/>
        <v/>
      </c>
      <c r="AH222" s="525">
        <f>E223</f>
        <v>0</v>
      </c>
      <c r="AI222" s="525">
        <f>E224</f>
        <v>0</v>
      </c>
    </row>
    <row r="223" spans="1:35" x14ac:dyDescent="0.2">
      <c r="A223" s="531"/>
      <c r="B223" s="303"/>
      <c r="C223" s="303"/>
      <c r="D223" s="303"/>
      <c r="E223" s="303"/>
      <c r="F223" s="303"/>
      <c r="G223" s="303"/>
      <c r="H223" s="303"/>
      <c r="I223" s="303"/>
      <c r="J223" s="303"/>
      <c r="K223" s="303"/>
      <c r="L223" s="303"/>
      <c r="M223" s="303"/>
      <c r="N223" s="303"/>
      <c r="O223" s="303"/>
      <c r="P223" s="303"/>
      <c r="Q223" s="303"/>
      <c r="R223" s="303"/>
      <c r="S223" s="303"/>
      <c r="T223" s="303"/>
      <c r="U223" s="303"/>
      <c r="V223" s="303"/>
      <c r="W223" s="303"/>
      <c r="X223" s="303"/>
      <c r="Y223" s="303"/>
      <c r="Z223" s="532"/>
      <c r="AA223" s="530"/>
      <c r="AB223" s="525" t="str">
        <f t="shared" si="0"/>
        <v/>
      </c>
      <c r="AC223" s="525" t="str">
        <f t="shared" si="1"/>
        <v/>
      </c>
      <c r="AD223" s="525" t="str">
        <f t="shared" si="2"/>
        <v/>
      </c>
      <c r="AE223" s="525" t="str">
        <f t="shared" si="3"/>
        <v/>
      </c>
      <c r="AF223" s="525" t="str">
        <f t="shared" si="4"/>
        <v/>
      </c>
      <c r="AG223" s="525" t="str">
        <f t="shared" si="5"/>
        <v/>
      </c>
      <c r="AH223" s="525">
        <f>E223</f>
        <v>0</v>
      </c>
      <c r="AI223" s="525">
        <f>E224</f>
        <v>0</v>
      </c>
    </row>
    <row r="224" spans="1:35" x14ac:dyDescent="0.2">
      <c r="A224" s="531"/>
      <c r="B224" s="303"/>
      <c r="C224" s="303"/>
      <c r="D224" s="303"/>
      <c r="E224" s="303"/>
      <c r="F224" s="303"/>
      <c r="G224" s="303"/>
      <c r="H224" s="303"/>
      <c r="I224" s="303"/>
      <c r="J224" s="303"/>
      <c r="K224" s="303"/>
      <c r="L224" s="303"/>
      <c r="M224" s="303"/>
      <c r="N224" s="303"/>
      <c r="O224" s="303"/>
      <c r="P224" s="303"/>
      <c r="Q224" s="303"/>
      <c r="R224" s="303"/>
      <c r="S224" s="303"/>
      <c r="T224" s="303"/>
      <c r="U224" s="303"/>
      <c r="V224" s="303"/>
      <c r="W224" s="303"/>
      <c r="X224" s="303"/>
      <c r="Y224" s="303"/>
      <c r="Z224" s="532"/>
      <c r="AA224" s="530"/>
      <c r="AB224" s="525" t="str">
        <f t="shared" si="0"/>
        <v/>
      </c>
      <c r="AC224" s="525" t="str">
        <f t="shared" si="1"/>
        <v/>
      </c>
      <c r="AD224" s="525" t="str">
        <f t="shared" si="2"/>
        <v/>
      </c>
      <c r="AE224" s="525" t="str">
        <f t="shared" si="3"/>
        <v/>
      </c>
      <c r="AF224" s="525" t="str">
        <f t="shared" si="4"/>
        <v/>
      </c>
      <c r="AG224" s="525" t="str">
        <f t="shared" si="5"/>
        <v/>
      </c>
      <c r="AH224" s="525">
        <f>E223</f>
        <v>0</v>
      </c>
      <c r="AI224" s="525">
        <f>E224</f>
        <v>0</v>
      </c>
    </row>
    <row r="225" spans="1:35" x14ac:dyDescent="0.2">
      <c r="A225" s="531"/>
      <c r="B225" s="303"/>
      <c r="C225" s="303"/>
      <c r="D225" s="303"/>
      <c r="E225" s="303"/>
      <c r="F225" s="303"/>
      <c r="G225" s="303"/>
      <c r="H225" s="303"/>
      <c r="I225" s="303"/>
      <c r="J225" s="303"/>
      <c r="K225" s="303"/>
      <c r="L225" s="303"/>
      <c r="M225" s="303"/>
      <c r="N225" s="303"/>
      <c r="O225" s="303"/>
      <c r="P225" s="303"/>
      <c r="Q225" s="303"/>
      <c r="R225" s="303"/>
      <c r="S225" s="303"/>
      <c r="T225" s="303"/>
      <c r="U225" s="303"/>
      <c r="V225" s="303"/>
      <c r="W225" s="303"/>
      <c r="X225" s="303"/>
      <c r="Y225" s="303"/>
      <c r="Z225" s="532"/>
      <c r="AA225" s="530"/>
      <c r="AB225" s="525" t="str">
        <f t="shared" si="0"/>
        <v/>
      </c>
      <c r="AC225" s="525" t="str">
        <f t="shared" si="1"/>
        <v/>
      </c>
      <c r="AD225" s="525" t="str">
        <f t="shared" si="2"/>
        <v/>
      </c>
      <c r="AE225" s="525" t="str">
        <f t="shared" si="3"/>
        <v/>
      </c>
      <c r="AF225" s="525" t="str">
        <f t="shared" si="4"/>
        <v/>
      </c>
      <c r="AG225" s="525" t="str">
        <f t="shared" si="5"/>
        <v/>
      </c>
      <c r="AH225" s="525">
        <f>E226</f>
        <v>0</v>
      </c>
      <c r="AI225" s="525">
        <f>E227</f>
        <v>0</v>
      </c>
    </row>
    <row r="226" spans="1:35" x14ac:dyDescent="0.2">
      <c r="A226" s="531"/>
      <c r="B226" s="303"/>
      <c r="C226" s="303"/>
      <c r="D226" s="303"/>
      <c r="E226" s="303"/>
      <c r="F226" s="303"/>
      <c r="G226" s="303"/>
      <c r="H226" s="303"/>
      <c r="I226" s="303"/>
      <c r="J226" s="303"/>
      <c r="K226" s="303"/>
      <c r="L226" s="303"/>
      <c r="M226" s="303"/>
      <c r="N226" s="303"/>
      <c r="O226" s="303"/>
      <c r="P226" s="303"/>
      <c r="Q226" s="303"/>
      <c r="R226" s="303"/>
      <c r="S226" s="303"/>
      <c r="T226" s="303"/>
      <c r="U226" s="303"/>
      <c r="V226" s="303"/>
      <c r="W226" s="303"/>
      <c r="X226" s="303"/>
      <c r="Y226" s="303"/>
      <c r="Z226" s="532"/>
      <c r="AA226" s="530"/>
      <c r="AB226" s="525" t="str">
        <f t="shared" si="0"/>
        <v/>
      </c>
      <c r="AC226" s="525" t="str">
        <f t="shared" si="1"/>
        <v/>
      </c>
      <c r="AD226" s="525" t="str">
        <f t="shared" si="2"/>
        <v/>
      </c>
      <c r="AE226" s="525" t="str">
        <f t="shared" si="3"/>
        <v/>
      </c>
      <c r="AF226" s="525" t="str">
        <f t="shared" si="4"/>
        <v/>
      </c>
      <c r="AG226" s="525" t="str">
        <f t="shared" si="5"/>
        <v/>
      </c>
      <c r="AH226" s="525">
        <f>E226</f>
        <v>0</v>
      </c>
      <c r="AI226" s="525">
        <f>E227</f>
        <v>0</v>
      </c>
    </row>
    <row r="227" spans="1:35" x14ac:dyDescent="0.2">
      <c r="A227" s="531"/>
      <c r="B227" s="303"/>
      <c r="C227" s="303"/>
      <c r="D227" s="303"/>
      <c r="E227" s="303"/>
      <c r="F227" s="303"/>
      <c r="G227" s="303"/>
      <c r="H227" s="303"/>
      <c r="I227" s="303"/>
      <c r="J227" s="303"/>
      <c r="K227" s="303"/>
      <c r="L227" s="303"/>
      <c r="M227" s="303"/>
      <c r="N227" s="303"/>
      <c r="O227" s="303"/>
      <c r="P227" s="303"/>
      <c r="Q227" s="303"/>
      <c r="R227" s="303"/>
      <c r="S227" s="303"/>
      <c r="T227" s="303"/>
      <c r="U227" s="303"/>
      <c r="V227" s="303"/>
      <c r="W227" s="303"/>
      <c r="X227" s="303"/>
      <c r="Y227" s="303"/>
      <c r="Z227" s="532"/>
      <c r="AA227" s="530"/>
      <c r="AB227" s="525" t="str">
        <f t="shared" si="0"/>
        <v/>
      </c>
      <c r="AC227" s="525" t="str">
        <f t="shared" si="1"/>
        <v/>
      </c>
      <c r="AD227" s="525" t="str">
        <f t="shared" si="2"/>
        <v/>
      </c>
      <c r="AE227" s="525" t="str">
        <f t="shared" si="3"/>
        <v/>
      </c>
      <c r="AF227" s="525" t="str">
        <f t="shared" si="4"/>
        <v/>
      </c>
      <c r="AG227" s="525" t="str">
        <f t="shared" si="5"/>
        <v/>
      </c>
      <c r="AH227" s="525">
        <f>E226</f>
        <v>0</v>
      </c>
      <c r="AI227" s="525">
        <f>E227</f>
        <v>0</v>
      </c>
    </row>
    <row r="228" spans="1:35" x14ac:dyDescent="0.2">
      <c r="A228" s="531"/>
      <c r="B228" s="303"/>
      <c r="C228" s="303"/>
      <c r="D228" s="303"/>
      <c r="E228" s="303"/>
      <c r="F228" s="303"/>
      <c r="G228" s="303"/>
      <c r="H228" s="303"/>
      <c r="I228" s="303"/>
      <c r="J228" s="303"/>
      <c r="K228" s="303"/>
      <c r="L228" s="303"/>
      <c r="M228" s="303"/>
      <c r="N228" s="303"/>
      <c r="O228" s="303"/>
      <c r="P228" s="303"/>
      <c r="Q228" s="303"/>
      <c r="R228" s="303"/>
      <c r="S228" s="303"/>
      <c r="T228" s="303"/>
      <c r="U228" s="303"/>
      <c r="V228" s="303"/>
      <c r="W228" s="303"/>
      <c r="X228" s="303"/>
      <c r="Y228" s="303"/>
      <c r="Z228" s="532"/>
      <c r="AA228" s="530"/>
      <c r="AB228" s="525" t="str">
        <f t="shared" si="0"/>
        <v/>
      </c>
      <c r="AC228" s="525" t="str">
        <f t="shared" si="1"/>
        <v/>
      </c>
      <c r="AD228" s="525" t="str">
        <f t="shared" si="2"/>
        <v/>
      </c>
      <c r="AE228" s="525" t="str">
        <f t="shared" si="3"/>
        <v/>
      </c>
      <c r="AF228" s="525" t="str">
        <f t="shared" si="4"/>
        <v/>
      </c>
      <c r="AG228" s="525" t="str">
        <f t="shared" si="5"/>
        <v/>
      </c>
      <c r="AH228" s="525">
        <f>E229</f>
        <v>0</v>
      </c>
      <c r="AI228" s="525">
        <f>E230</f>
        <v>0</v>
      </c>
    </row>
    <row r="229" spans="1:35" x14ac:dyDescent="0.2">
      <c r="A229" s="531"/>
      <c r="B229" s="303"/>
      <c r="C229" s="303"/>
      <c r="D229" s="303"/>
      <c r="E229" s="303"/>
      <c r="F229" s="303"/>
      <c r="G229" s="303"/>
      <c r="H229" s="303"/>
      <c r="I229" s="303"/>
      <c r="J229" s="303"/>
      <c r="K229" s="303"/>
      <c r="L229" s="303"/>
      <c r="M229" s="303"/>
      <c r="N229" s="303"/>
      <c r="O229" s="303"/>
      <c r="P229" s="303"/>
      <c r="Q229" s="303"/>
      <c r="R229" s="303"/>
      <c r="S229" s="303"/>
      <c r="T229" s="303"/>
      <c r="U229" s="303"/>
      <c r="V229" s="303"/>
      <c r="W229" s="303"/>
      <c r="X229" s="303"/>
      <c r="Y229" s="303"/>
      <c r="Z229" s="532"/>
      <c r="AA229" s="530"/>
      <c r="AB229" s="525" t="str">
        <f t="shared" si="0"/>
        <v/>
      </c>
      <c r="AC229" s="525" t="str">
        <f t="shared" si="1"/>
        <v/>
      </c>
      <c r="AD229" s="525" t="str">
        <f t="shared" si="2"/>
        <v/>
      </c>
      <c r="AE229" s="525" t="str">
        <f t="shared" si="3"/>
        <v/>
      </c>
      <c r="AF229" s="525" t="str">
        <f t="shared" si="4"/>
        <v/>
      </c>
      <c r="AG229" s="525" t="str">
        <f t="shared" si="5"/>
        <v/>
      </c>
      <c r="AH229" s="525">
        <f>E229</f>
        <v>0</v>
      </c>
      <c r="AI229" s="525">
        <f>E230</f>
        <v>0</v>
      </c>
    </row>
    <row r="230" spans="1:35" x14ac:dyDescent="0.2">
      <c r="A230" s="531"/>
      <c r="B230" s="303"/>
      <c r="C230" s="303"/>
      <c r="D230" s="303"/>
      <c r="E230" s="303"/>
      <c r="F230" s="303"/>
      <c r="G230" s="303"/>
      <c r="H230" s="303"/>
      <c r="I230" s="303"/>
      <c r="J230" s="303"/>
      <c r="K230" s="303"/>
      <c r="L230" s="303"/>
      <c r="M230" s="303"/>
      <c r="N230" s="303"/>
      <c r="O230" s="303"/>
      <c r="P230" s="303"/>
      <c r="Q230" s="303"/>
      <c r="R230" s="303"/>
      <c r="S230" s="303"/>
      <c r="T230" s="303"/>
      <c r="U230" s="303"/>
      <c r="V230" s="303"/>
      <c r="W230" s="303"/>
      <c r="X230" s="303"/>
      <c r="Y230" s="303"/>
      <c r="Z230" s="532"/>
      <c r="AA230" s="530"/>
      <c r="AB230" s="525" t="str">
        <f t="shared" si="0"/>
        <v/>
      </c>
      <c r="AC230" s="525" t="str">
        <f t="shared" si="1"/>
        <v/>
      </c>
      <c r="AD230" s="525" t="str">
        <f t="shared" si="2"/>
        <v/>
      </c>
      <c r="AE230" s="525" t="str">
        <f t="shared" si="3"/>
        <v/>
      </c>
      <c r="AF230" s="525" t="str">
        <f t="shared" si="4"/>
        <v/>
      </c>
      <c r="AG230" s="525" t="str">
        <f t="shared" si="5"/>
        <v/>
      </c>
      <c r="AH230" s="525">
        <f>E229</f>
        <v>0</v>
      </c>
      <c r="AI230" s="525">
        <f>E230</f>
        <v>0</v>
      </c>
    </row>
    <row r="231" spans="1:35" x14ac:dyDescent="0.2">
      <c r="A231" s="531"/>
      <c r="B231" s="303"/>
      <c r="C231" s="303"/>
      <c r="D231" s="303"/>
      <c r="E231" s="303"/>
      <c r="F231" s="303"/>
      <c r="G231" s="303"/>
      <c r="H231" s="303"/>
      <c r="I231" s="303"/>
      <c r="J231" s="303"/>
      <c r="K231" s="303"/>
      <c r="L231" s="303"/>
      <c r="M231" s="303"/>
      <c r="N231" s="303"/>
      <c r="O231" s="303"/>
      <c r="P231" s="303"/>
      <c r="Q231" s="303"/>
      <c r="R231" s="303"/>
      <c r="S231" s="303"/>
      <c r="T231" s="303"/>
      <c r="U231" s="303"/>
      <c r="V231" s="303"/>
      <c r="W231" s="303"/>
      <c r="X231" s="303"/>
      <c r="Y231" s="303"/>
      <c r="Z231" s="532"/>
      <c r="AA231" s="530"/>
      <c r="AB231" s="525" t="str">
        <f t="shared" si="0"/>
        <v/>
      </c>
      <c r="AC231" s="525" t="str">
        <f t="shared" si="1"/>
        <v/>
      </c>
      <c r="AD231" s="525" t="str">
        <f t="shared" si="2"/>
        <v/>
      </c>
      <c r="AE231" s="525" t="str">
        <f t="shared" si="3"/>
        <v/>
      </c>
      <c r="AF231" s="525" t="str">
        <f t="shared" si="4"/>
        <v/>
      </c>
      <c r="AG231" s="525" t="str">
        <f t="shared" si="5"/>
        <v/>
      </c>
      <c r="AH231" s="525">
        <f>E232</f>
        <v>0</v>
      </c>
      <c r="AI231" s="525">
        <f>E233</f>
        <v>0</v>
      </c>
    </row>
    <row r="232" spans="1:35" x14ac:dyDescent="0.2">
      <c r="A232" s="531"/>
      <c r="B232" s="303"/>
      <c r="C232" s="303"/>
      <c r="D232" s="303"/>
      <c r="E232" s="303"/>
      <c r="F232" s="303"/>
      <c r="G232" s="303"/>
      <c r="H232" s="303"/>
      <c r="I232" s="303"/>
      <c r="J232" s="303"/>
      <c r="K232" s="303"/>
      <c r="L232" s="303"/>
      <c r="M232" s="303"/>
      <c r="N232" s="303"/>
      <c r="O232" s="303"/>
      <c r="P232" s="303"/>
      <c r="Q232" s="303"/>
      <c r="R232" s="303"/>
      <c r="S232" s="303"/>
      <c r="T232" s="303"/>
      <c r="U232" s="303"/>
      <c r="V232" s="303"/>
      <c r="W232" s="303"/>
      <c r="X232" s="303"/>
      <c r="Y232" s="303"/>
      <c r="Z232" s="532"/>
      <c r="AA232" s="530"/>
      <c r="AB232" s="525" t="str">
        <f t="shared" si="0"/>
        <v/>
      </c>
      <c r="AC232" s="525" t="str">
        <f t="shared" si="1"/>
        <v/>
      </c>
      <c r="AD232" s="525" t="str">
        <f t="shared" si="2"/>
        <v/>
      </c>
      <c r="AE232" s="525" t="str">
        <f t="shared" si="3"/>
        <v/>
      </c>
      <c r="AF232" s="525" t="str">
        <f t="shared" si="4"/>
        <v/>
      </c>
      <c r="AG232" s="525" t="str">
        <f t="shared" si="5"/>
        <v/>
      </c>
      <c r="AH232" s="525">
        <f>E232</f>
        <v>0</v>
      </c>
      <c r="AI232" s="525">
        <f>E233</f>
        <v>0</v>
      </c>
    </row>
    <row r="233" spans="1:35" x14ac:dyDescent="0.2">
      <c r="A233" s="531"/>
      <c r="B233" s="303"/>
      <c r="C233" s="303"/>
      <c r="D233" s="303"/>
      <c r="E233" s="303"/>
      <c r="F233" s="303"/>
      <c r="G233" s="303"/>
      <c r="H233" s="303"/>
      <c r="I233" s="303"/>
      <c r="J233" s="303"/>
      <c r="K233" s="303"/>
      <c r="L233" s="303"/>
      <c r="M233" s="303"/>
      <c r="N233" s="303"/>
      <c r="O233" s="303"/>
      <c r="P233" s="303"/>
      <c r="Q233" s="303"/>
      <c r="R233" s="303"/>
      <c r="S233" s="303"/>
      <c r="T233" s="303"/>
      <c r="U233" s="303"/>
      <c r="V233" s="303"/>
      <c r="W233" s="303"/>
      <c r="X233" s="303"/>
      <c r="Y233" s="303"/>
      <c r="Z233" s="532"/>
      <c r="AA233" s="530"/>
      <c r="AB233" s="525" t="str">
        <f t="shared" si="0"/>
        <v/>
      </c>
      <c r="AC233" s="525" t="str">
        <f t="shared" si="1"/>
        <v/>
      </c>
      <c r="AD233" s="525" t="str">
        <f t="shared" si="2"/>
        <v/>
      </c>
      <c r="AE233" s="525" t="str">
        <f t="shared" si="3"/>
        <v/>
      </c>
      <c r="AF233" s="525" t="str">
        <f t="shared" si="4"/>
        <v/>
      </c>
      <c r="AG233" s="525" t="str">
        <f t="shared" si="5"/>
        <v/>
      </c>
      <c r="AH233" s="525">
        <f>E232</f>
        <v>0</v>
      </c>
      <c r="AI233" s="525">
        <f>E233</f>
        <v>0</v>
      </c>
    </row>
    <row r="234" spans="1:35" x14ac:dyDescent="0.2">
      <c r="A234" s="531"/>
      <c r="B234" s="303"/>
      <c r="C234" s="303"/>
      <c r="D234" s="303"/>
      <c r="E234" s="303"/>
      <c r="F234" s="303"/>
      <c r="G234" s="303"/>
      <c r="H234" s="303"/>
      <c r="I234" s="303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3"/>
      <c r="U234" s="303"/>
      <c r="V234" s="303"/>
      <c r="W234" s="303"/>
      <c r="X234" s="303"/>
      <c r="Y234" s="303"/>
      <c r="Z234" s="532"/>
      <c r="AA234" s="530"/>
      <c r="AB234" s="525" t="str">
        <f t="shared" si="0"/>
        <v/>
      </c>
      <c r="AC234" s="525" t="str">
        <f t="shared" si="1"/>
        <v/>
      </c>
      <c r="AD234" s="525" t="str">
        <f t="shared" si="2"/>
        <v/>
      </c>
      <c r="AE234" s="525" t="str">
        <f t="shared" si="3"/>
        <v/>
      </c>
      <c r="AF234" s="525" t="str">
        <f t="shared" si="4"/>
        <v/>
      </c>
      <c r="AG234" s="525" t="str">
        <f t="shared" si="5"/>
        <v/>
      </c>
      <c r="AH234" s="525">
        <f>E235</f>
        <v>0</v>
      </c>
      <c r="AI234" s="525">
        <f>E236</f>
        <v>0</v>
      </c>
    </row>
    <row r="235" spans="1:35" x14ac:dyDescent="0.2">
      <c r="A235" s="531"/>
      <c r="B235" s="303"/>
      <c r="C235" s="303"/>
      <c r="D235" s="303"/>
      <c r="E235" s="303"/>
      <c r="F235" s="303"/>
      <c r="G235" s="303"/>
      <c r="H235" s="303"/>
      <c r="I235" s="303"/>
      <c r="J235" s="303"/>
      <c r="K235" s="303"/>
      <c r="L235" s="303"/>
      <c r="M235" s="303"/>
      <c r="N235" s="303"/>
      <c r="O235" s="303"/>
      <c r="P235" s="303"/>
      <c r="Q235" s="303"/>
      <c r="R235" s="303"/>
      <c r="S235" s="303"/>
      <c r="T235" s="303"/>
      <c r="U235" s="303"/>
      <c r="V235" s="303"/>
      <c r="W235" s="303"/>
      <c r="X235" s="303"/>
      <c r="Y235" s="303"/>
      <c r="Z235" s="532"/>
      <c r="AA235" s="530"/>
      <c r="AB235" s="525" t="str">
        <f t="shared" si="0"/>
        <v/>
      </c>
      <c r="AC235" s="525" t="str">
        <f t="shared" si="1"/>
        <v/>
      </c>
      <c r="AD235" s="525" t="str">
        <f t="shared" si="2"/>
        <v/>
      </c>
      <c r="AE235" s="525" t="str">
        <f t="shared" si="3"/>
        <v/>
      </c>
      <c r="AF235" s="525" t="str">
        <f t="shared" si="4"/>
        <v/>
      </c>
      <c r="AG235" s="525" t="str">
        <f t="shared" si="5"/>
        <v/>
      </c>
      <c r="AH235" s="525">
        <f>E235</f>
        <v>0</v>
      </c>
      <c r="AI235" s="525">
        <f>E236</f>
        <v>0</v>
      </c>
    </row>
    <row r="236" spans="1:35" x14ac:dyDescent="0.2">
      <c r="A236" s="531"/>
      <c r="B236" s="303"/>
      <c r="C236" s="303"/>
      <c r="D236" s="303"/>
      <c r="E236" s="303"/>
      <c r="F236" s="303"/>
      <c r="G236" s="303"/>
      <c r="H236" s="303"/>
      <c r="I236" s="303"/>
      <c r="J236" s="303"/>
      <c r="K236" s="303"/>
      <c r="L236" s="303"/>
      <c r="M236" s="303"/>
      <c r="N236" s="303"/>
      <c r="O236" s="303"/>
      <c r="P236" s="303"/>
      <c r="Q236" s="303"/>
      <c r="R236" s="303"/>
      <c r="S236" s="303"/>
      <c r="T236" s="303"/>
      <c r="U236" s="303"/>
      <c r="V236" s="303"/>
      <c r="W236" s="303"/>
      <c r="X236" s="303"/>
      <c r="Y236" s="303"/>
      <c r="Z236" s="532"/>
      <c r="AA236" s="530"/>
      <c r="AB236" s="525" t="str">
        <f t="shared" si="0"/>
        <v/>
      </c>
      <c r="AC236" s="525" t="str">
        <f t="shared" si="1"/>
        <v/>
      </c>
      <c r="AD236" s="525" t="str">
        <f t="shared" si="2"/>
        <v/>
      </c>
      <c r="AE236" s="525" t="str">
        <f t="shared" si="3"/>
        <v/>
      </c>
      <c r="AF236" s="525" t="str">
        <f t="shared" si="4"/>
        <v/>
      </c>
      <c r="AG236" s="525" t="str">
        <f t="shared" si="5"/>
        <v/>
      </c>
      <c r="AH236" s="525">
        <f>E235</f>
        <v>0</v>
      </c>
      <c r="AI236" s="525">
        <f>E236</f>
        <v>0</v>
      </c>
    </row>
    <row r="237" spans="1:35" x14ac:dyDescent="0.2">
      <c r="A237" s="531"/>
      <c r="B237" s="303"/>
      <c r="C237" s="303"/>
      <c r="D237" s="303"/>
      <c r="E237" s="303"/>
      <c r="F237" s="303"/>
      <c r="G237" s="303"/>
      <c r="H237" s="303"/>
      <c r="I237" s="303"/>
      <c r="J237" s="303"/>
      <c r="K237" s="303"/>
      <c r="L237" s="303"/>
      <c r="M237" s="303"/>
      <c r="N237" s="303"/>
      <c r="O237" s="303"/>
      <c r="P237" s="303"/>
      <c r="Q237" s="303"/>
      <c r="R237" s="303"/>
      <c r="S237" s="303"/>
      <c r="T237" s="303"/>
      <c r="U237" s="303"/>
      <c r="V237" s="303"/>
      <c r="W237" s="303"/>
      <c r="X237" s="303"/>
      <c r="Y237" s="303"/>
      <c r="Z237" s="532"/>
      <c r="AA237" s="530"/>
      <c r="AB237" s="525" t="str">
        <f t="shared" si="0"/>
        <v/>
      </c>
      <c r="AC237" s="525" t="str">
        <f t="shared" si="1"/>
        <v/>
      </c>
      <c r="AD237" s="525" t="str">
        <f t="shared" si="2"/>
        <v/>
      </c>
      <c r="AE237" s="525" t="str">
        <f t="shared" si="3"/>
        <v/>
      </c>
      <c r="AF237" s="525" t="str">
        <f t="shared" si="4"/>
        <v/>
      </c>
      <c r="AG237" s="525" t="str">
        <f t="shared" si="5"/>
        <v/>
      </c>
      <c r="AH237" s="525">
        <f>E238</f>
        <v>0</v>
      </c>
      <c r="AI237" s="525">
        <f>E239</f>
        <v>0</v>
      </c>
    </row>
    <row r="238" spans="1:35" x14ac:dyDescent="0.2">
      <c r="A238" s="531"/>
      <c r="B238" s="303"/>
      <c r="C238" s="303"/>
      <c r="D238" s="303"/>
      <c r="E238" s="303"/>
      <c r="F238" s="303"/>
      <c r="G238" s="303"/>
      <c r="H238" s="303"/>
      <c r="I238" s="303"/>
      <c r="J238" s="303"/>
      <c r="K238" s="303"/>
      <c r="L238" s="303"/>
      <c r="M238" s="303"/>
      <c r="N238" s="303"/>
      <c r="O238" s="303"/>
      <c r="P238" s="303"/>
      <c r="Q238" s="303"/>
      <c r="R238" s="303"/>
      <c r="S238" s="303"/>
      <c r="T238" s="303"/>
      <c r="U238" s="303"/>
      <c r="V238" s="303"/>
      <c r="W238" s="303"/>
      <c r="X238" s="303"/>
      <c r="Y238" s="303"/>
      <c r="Z238" s="532"/>
      <c r="AA238" s="530"/>
      <c r="AB238" s="525" t="str">
        <f t="shared" si="0"/>
        <v/>
      </c>
      <c r="AC238" s="525" t="str">
        <f t="shared" si="1"/>
        <v/>
      </c>
      <c r="AD238" s="525" t="str">
        <f t="shared" si="2"/>
        <v/>
      </c>
      <c r="AE238" s="525" t="str">
        <f t="shared" si="3"/>
        <v/>
      </c>
      <c r="AF238" s="525" t="str">
        <f t="shared" si="4"/>
        <v/>
      </c>
      <c r="AG238" s="525" t="str">
        <f t="shared" si="5"/>
        <v/>
      </c>
      <c r="AH238" s="525">
        <f>E238</f>
        <v>0</v>
      </c>
      <c r="AI238" s="525">
        <f>E239</f>
        <v>0</v>
      </c>
    </row>
    <row r="239" spans="1:35" x14ac:dyDescent="0.2">
      <c r="A239" s="531"/>
      <c r="B239" s="303"/>
      <c r="C239" s="303"/>
      <c r="D239" s="303"/>
      <c r="E239" s="303"/>
      <c r="F239" s="303"/>
      <c r="G239" s="303"/>
      <c r="H239" s="303"/>
      <c r="I239" s="303"/>
      <c r="J239" s="303"/>
      <c r="K239" s="303"/>
      <c r="L239" s="303"/>
      <c r="M239" s="303"/>
      <c r="N239" s="303"/>
      <c r="O239" s="303"/>
      <c r="P239" s="303"/>
      <c r="Q239" s="303"/>
      <c r="R239" s="303"/>
      <c r="S239" s="303"/>
      <c r="T239" s="303"/>
      <c r="U239" s="303"/>
      <c r="V239" s="303"/>
      <c r="W239" s="303"/>
      <c r="X239" s="303"/>
      <c r="Y239" s="303"/>
      <c r="Z239" s="532"/>
      <c r="AA239" s="530"/>
      <c r="AB239" s="525" t="str">
        <f t="shared" si="0"/>
        <v/>
      </c>
      <c r="AC239" s="525" t="str">
        <f t="shared" si="1"/>
        <v/>
      </c>
      <c r="AD239" s="525" t="str">
        <f t="shared" si="2"/>
        <v/>
      </c>
      <c r="AE239" s="525" t="str">
        <f t="shared" si="3"/>
        <v/>
      </c>
      <c r="AF239" s="525" t="str">
        <f t="shared" si="4"/>
        <v/>
      </c>
      <c r="AG239" s="525" t="str">
        <f t="shared" si="5"/>
        <v/>
      </c>
      <c r="AH239" s="525">
        <f>E238</f>
        <v>0</v>
      </c>
      <c r="AI239" s="525">
        <f>E239</f>
        <v>0</v>
      </c>
    </row>
    <row r="240" spans="1:35" x14ac:dyDescent="0.2">
      <c r="A240" s="531"/>
      <c r="B240" s="303"/>
      <c r="C240" s="303"/>
      <c r="D240" s="303"/>
      <c r="E240" s="303"/>
      <c r="F240" s="303"/>
      <c r="G240" s="303"/>
      <c r="H240" s="303"/>
      <c r="I240" s="303"/>
      <c r="J240" s="303"/>
      <c r="K240" s="303"/>
      <c r="L240" s="303"/>
      <c r="M240" s="303"/>
      <c r="N240" s="303"/>
      <c r="O240" s="303"/>
      <c r="P240" s="303"/>
      <c r="Q240" s="303"/>
      <c r="R240" s="303"/>
      <c r="S240" s="303"/>
      <c r="T240" s="303"/>
      <c r="U240" s="303"/>
      <c r="V240" s="303"/>
      <c r="W240" s="303"/>
      <c r="X240" s="303"/>
      <c r="Y240" s="303"/>
      <c r="Z240" s="532"/>
      <c r="AA240" s="530"/>
      <c r="AB240" s="525" t="str">
        <f t="shared" si="0"/>
        <v/>
      </c>
      <c r="AC240" s="525" t="str">
        <f t="shared" si="1"/>
        <v/>
      </c>
      <c r="AD240" s="525" t="str">
        <f t="shared" si="2"/>
        <v/>
      </c>
      <c r="AE240" s="525" t="str">
        <f t="shared" si="3"/>
        <v/>
      </c>
      <c r="AF240" s="525" t="str">
        <f t="shared" si="4"/>
        <v/>
      </c>
      <c r="AG240" s="525" t="str">
        <f t="shared" si="5"/>
        <v/>
      </c>
      <c r="AH240" s="525">
        <f>E241</f>
        <v>0</v>
      </c>
      <c r="AI240" s="525">
        <f>E242</f>
        <v>0</v>
      </c>
    </row>
    <row r="241" spans="1:35" x14ac:dyDescent="0.2">
      <c r="A241" s="531"/>
      <c r="B241" s="303"/>
      <c r="C241" s="303"/>
      <c r="D241" s="303"/>
      <c r="E241" s="303"/>
      <c r="F241" s="303"/>
      <c r="G241" s="303"/>
      <c r="H241" s="303"/>
      <c r="I241" s="303"/>
      <c r="J241" s="303"/>
      <c r="K241" s="303"/>
      <c r="L241" s="303"/>
      <c r="M241" s="303"/>
      <c r="N241" s="303"/>
      <c r="O241" s="303"/>
      <c r="P241" s="303"/>
      <c r="Q241" s="303"/>
      <c r="R241" s="303"/>
      <c r="S241" s="303"/>
      <c r="T241" s="303"/>
      <c r="U241" s="303"/>
      <c r="V241" s="303"/>
      <c r="W241" s="303"/>
      <c r="X241" s="303"/>
      <c r="Y241" s="303"/>
      <c r="Z241" s="532"/>
      <c r="AA241" s="530"/>
      <c r="AB241" s="525" t="str">
        <f t="shared" si="0"/>
        <v/>
      </c>
      <c r="AC241" s="525" t="str">
        <f t="shared" si="1"/>
        <v/>
      </c>
      <c r="AD241" s="525" t="str">
        <f t="shared" si="2"/>
        <v/>
      </c>
      <c r="AE241" s="525" t="str">
        <f t="shared" si="3"/>
        <v/>
      </c>
      <c r="AF241" s="525" t="str">
        <f t="shared" si="4"/>
        <v/>
      </c>
      <c r="AG241" s="525" t="str">
        <f t="shared" si="5"/>
        <v/>
      </c>
      <c r="AH241" s="525">
        <f>E241</f>
        <v>0</v>
      </c>
      <c r="AI241" s="525">
        <f>E242</f>
        <v>0</v>
      </c>
    </row>
    <row r="242" spans="1:35" x14ac:dyDescent="0.2">
      <c r="A242" s="531"/>
      <c r="B242" s="303"/>
      <c r="C242" s="303"/>
      <c r="D242" s="303"/>
      <c r="E242" s="303"/>
      <c r="F242" s="303"/>
      <c r="G242" s="303"/>
      <c r="H242" s="303"/>
      <c r="I242" s="303"/>
      <c r="J242" s="303"/>
      <c r="K242" s="303"/>
      <c r="L242" s="303"/>
      <c r="M242" s="303"/>
      <c r="N242" s="303"/>
      <c r="O242" s="303"/>
      <c r="P242" s="303"/>
      <c r="Q242" s="303"/>
      <c r="R242" s="303"/>
      <c r="S242" s="303"/>
      <c r="T242" s="303"/>
      <c r="U242" s="303"/>
      <c r="V242" s="303"/>
      <c r="W242" s="303"/>
      <c r="X242" s="303"/>
      <c r="Y242" s="303"/>
      <c r="Z242" s="532"/>
      <c r="AA242" s="530"/>
      <c r="AB242" s="525" t="str">
        <f t="shared" si="0"/>
        <v/>
      </c>
      <c r="AC242" s="525" t="str">
        <f t="shared" si="1"/>
        <v/>
      </c>
      <c r="AD242" s="525" t="str">
        <f t="shared" si="2"/>
        <v/>
      </c>
      <c r="AE242" s="525" t="str">
        <f t="shared" si="3"/>
        <v/>
      </c>
      <c r="AF242" s="525" t="str">
        <f t="shared" si="4"/>
        <v/>
      </c>
      <c r="AG242" s="525" t="str">
        <f t="shared" si="5"/>
        <v/>
      </c>
      <c r="AH242" s="525">
        <f>E241</f>
        <v>0</v>
      </c>
      <c r="AI242" s="525">
        <f>E242</f>
        <v>0</v>
      </c>
    </row>
    <row r="243" spans="1:35" x14ac:dyDescent="0.2">
      <c r="A243" s="531"/>
      <c r="B243" s="303"/>
      <c r="C243" s="303"/>
      <c r="D243" s="303"/>
      <c r="E243" s="303"/>
      <c r="F243" s="303"/>
      <c r="G243" s="303"/>
      <c r="H243" s="303"/>
      <c r="I243" s="303"/>
      <c r="J243" s="303"/>
      <c r="K243" s="303"/>
      <c r="L243" s="303"/>
      <c r="M243" s="303"/>
      <c r="N243" s="303"/>
      <c r="O243" s="303"/>
      <c r="P243" s="303"/>
      <c r="Q243" s="303"/>
      <c r="R243" s="303"/>
      <c r="S243" s="303"/>
      <c r="T243" s="303"/>
      <c r="U243" s="303"/>
      <c r="V243" s="303"/>
      <c r="W243" s="303"/>
      <c r="X243" s="303"/>
      <c r="Y243" s="303"/>
      <c r="Z243" s="532"/>
      <c r="AA243" s="530"/>
      <c r="AB243" s="525" t="str">
        <f t="shared" si="0"/>
        <v/>
      </c>
      <c r="AC243" s="525" t="str">
        <f t="shared" si="1"/>
        <v/>
      </c>
      <c r="AD243" s="525" t="str">
        <f t="shared" si="2"/>
        <v/>
      </c>
      <c r="AE243" s="525" t="str">
        <f t="shared" si="3"/>
        <v/>
      </c>
      <c r="AF243" s="525" t="str">
        <f t="shared" si="4"/>
        <v/>
      </c>
      <c r="AG243" s="525" t="str">
        <f t="shared" si="5"/>
        <v/>
      </c>
      <c r="AH243" s="525">
        <f>E244</f>
        <v>0</v>
      </c>
      <c r="AI243" s="525">
        <f>E245</f>
        <v>0</v>
      </c>
    </row>
    <row r="244" spans="1:35" x14ac:dyDescent="0.2">
      <c r="A244" s="531"/>
      <c r="B244" s="303"/>
      <c r="C244" s="303"/>
      <c r="D244" s="303"/>
      <c r="E244" s="303"/>
      <c r="F244" s="303"/>
      <c r="G244" s="303"/>
      <c r="H244" s="303"/>
      <c r="I244" s="303"/>
      <c r="J244" s="303"/>
      <c r="K244" s="303"/>
      <c r="L244" s="303"/>
      <c r="M244" s="303"/>
      <c r="N244" s="303"/>
      <c r="O244" s="303"/>
      <c r="P244" s="303"/>
      <c r="Q244" s="303"/>
      <c r="R244" s="303"/>
      <c r="S244" s="303"/>
      <c r="T244" s="303"/>
      <c r="U244" s="303"/>
      <c r="V244" s="303"/>
      <c r="W244" s="303"/>
      <c r="X244" s="303"/>
      <c r="Y244" s="303"/>
      <c r="Z244" s="532"/>
      <c r="AA244" s="530"/>
      <c r="AB244" s="525" t="str">
        <f t="shared" si="0"/>
        <v/>
      </c>
      <c r="AC244" s="525" t="str">
        <f t="shared" si="1"/>
        <v/>
      </c>
      <c r="AD244" s="525" t="str">
        <f t="shared" si="2"/>
        <v/>
      </c>
      <c r="AE244" s="525" t="str">
        <f t="shared" si="3"/>
        <v/>
      </c>
      <c r="AF244" s="525" t="str">
        <f t="shared" si="4"/>
        <v/>
      </c>
      <c r="AG244" s="525" t="str">
        <f t="shared" si="5"/>
        <v/>
      </c>
      <c r="AH244" s="525">
        <f>E244</f>
        <v>0</v>
      </c>
      <c r="AI244" s="525">
        <f>E245</f>
        <v>0</v>
      </c>
    </row>
    <row r="245" spans="1:35" x14ac:dyDescent="0.2">
      <c r="A245" s="531"/>
      <c r="B245" s="303"/>
      <c r="C245" s="303"/>
      <c r="D245" s="303"/>
      <c r="E245" s="303"/>
      <c r="F245" s="303"/>
      <c r="G245" s="303"/>
      <c r="H245" s="303"/>
      <c r="I245" s="303"/>
      <c r="J245" s="303"/>
      <c r="K245" s="303"/>
      <c r="L245" s="303"/>
      <c r="M245" s="303"/>
      <c r="N245" s="303"/>
      <c r="O245" s="303"/>
      <c r="P245" s="303"/>
      <c r="Q245" s="303"/>
      <c r="R245" s="303"/>
      <c r="S245" s="303"/>
      <c r="T245" s="303"/>
      <c r="U245" s="303"/>
      <c r="V245" s="303"/>
      <c r="W245" s="303"/>
      <c r="X245" s="303"/>
      <c r="Y245" s="303"/>
      <c r="Z245" s="532"/>
      <c r="AA245" s="530"/>
      <c r="AB245" s="525" t="str">
        <f t="shared" si="0"/>
        <v/>
      </c>
      <c r="AC245" s="525" t="str">
        <f t="shared" si="1"/>
        <v/>
      </c>
      <c r="AD245" s="525" t="str">
        <f t="shared" si="2"/>
        <v/>
      </c>
      <c r="AE245" s="525" t="str">
        <f t="shared" si="3"/>
        <v/>
      </c>
      <c r="AF245" s="525" t="str">
        <f t="shared" si="4"/>
        <v/>
      </c>
      <c r="AG245" s="525" t="str">
        <f t="shared" si="5"/>
        <v/>
      </c>
      <c r="AH245" s="525">
        <f>E244</f>
        <v>0</v>
      </c>
      <c r="AI245" s="525">
        <f>E245</f>
        <v>0</v>
      </c>
    </row>
    <row r="246" spans="1:35" x14ac:dyDescent="0.2">
      <c r="A246" s="531"/>
      <c r="B246" s="303"/>
      <c r="C246" s="303"/>
      <c r="D246" s="303"/>
      <c r="E246" s="303"/>
      <c r="F246" s="303"/>
      <c r="G246" s="303"/>
      <c r="H246" s="303"/>
      <c r="I246" s="303"/>
      <c r="J246" s="303"/>
      <c r="K246" s="303"/>
      <c r="L246" s="303"/>
      <c r="M246" s="303"/>
      <c r="N246" s="303"/>
      <c r="O246" s="303"/>
      <c r="P246" s="303"/>
      <c r="Q246" s="303"/>
      <c r="R246" s="303"/>
      <c r="S246" s="303"/>
      <c r="T246" s="303"/>
      <c r="U246" s="303"/>
      <c r="V246" s="303"/>
      <c r="W246" s="303"/>
      <c r="X246" s="303"/>
      <c r="Y246" s="303"/>
      <c r="Z246" s="532"/>
      <c r="AA246" s="530"/>
      <c r="AB246" s="525" t="str">
        <f t="shared" si="0"/>
        <v/>
      </c>
      <c r="AC246" s="525" t="str">
        <f t="shared" si="1"/>
        <v/>
      </c>
      <c r="AD246" s="525" t="str">
        <f t="shared" si="2"/>
        <v/>
      </c>
      <c r="AE246" s="525" t="str">
        <f t="shared" si="3"/>
        <v/>
      </c>
      <c r="AF246" s="525" t="str">
        <f t="shared" si="4"/>
        <v/>
      </c>
      <c r="AG246" s="525" t="str">
        <f t="shared" si="5"/>
        <v/>
      </c>
      <c r="AH246" s="525">
        <f>E247</f>
        <v>0</v>
      </c>
      <c r="AI246" s="525">
        <f>E248</f>
        <v>0</v>
      </c>
    </row>
    <row r="247" spans="1:35" x14ac:dyDescent="0.2">
      <c r="A247" s="531"/>
      <c r="B247" s="303"/>
      <c r="C247" s="303"/>
      <c r="D247" s="303"/>
      <c r="E247" s="303"/>
      <c r="F247" s="303"/>
      <c r="G247" s="303"/>
      <c r="H247" s="303"/>
      <c r="I247" s="303"/>
      <c r="J247" s="303"/>
      <c r="K247" s="303"/>
      <c r="L247" s="303"/>
      <c r="M247" s="303"/>
      <c r="N247" s="303"/>
      <c r="O247" s="303"/>
      <c r="P247" s="303"/>
      <c r="Q247" s="303"/>
      <c r="R247" s="303"/>
      <c r="S247" s="303"/>
      <c r="T247" s="303"/>
      <c r="U247" s="303"/>
      <c r="V247" s="303"/>
      <c r="W247" s="303"/>
      <c r="X247" s="303"/>
      <c r="Y247" s="303"/>
      <c r="Z247" s="532"/>
      <c r="AA247" s="530"/>
      <c r="AB247" s="525" t="str">
        <f t="shared" si="0"/>
        <v/>
      </c>
      <c r="AC247" s="525" t="str">
        <f t="shared" si="1"/>
        <v/>
      </c>
      <c r="AD247" s="525" t="str">
        <f t="shared" si="2"/>
        <v/>
      </c>
      <c r="AE247" s="525" t="str">
        <f t="shared" si="3"/>
        <v/>
      </c>
      <c r="AF247" s="525" t="str">
        <f t="shared" si="4"/>
        <v/>
      </c>
      <c r="AG247" s="525" t="str">
        <f t="shared" si="5"/>
        <v/>
      </c>
      <c r="AH247" s="525">
        <f>E247</f>
        <v>0</v>
      </c>
      <c r="AI247" s="525">
        <f>E248</f>
        <v>0</v>
      </c>
    </row>
    <row r="248" spans="1:35" x14ac:dyDescent="0.2">
      <c r="A248" s="531"/>
      <c r="B248" s="303"/>
      <c r="C248" s="303"/>
      <c r="D248" s="303"/>
      <c r="E248" s="303"/>
      <c r="F248" s="303"/>
      <c r="G248" s="303"/>
      <c r="H248" s="303"/>
      <c r="I248" s="303"/>
      <c r="J248" s="303"/>
      <c r="K248" s="303"/>
      <c r="L248" s="303"/>
      <c r="M248" s="303"/>
      <c r="N248" s="303"/>
      <c r="O248" s="303"/>
      <c r="P248" s="303"/>
      <c r="Q248" s="303"/>
      <c r="R248" s="303"/>
      <c r="S248" s="303"/>
      <c r="T248" s="303"/>
      <c r="U248" s="303"/>
      <c r="V248" s="303"/>
      <c r="W248" s="303"/>
      <c r="X248" s="303"/>
      <c r="Y248" s="303"/>
      <c r="Z248" s="532"/>
      <c r="AA248" s="530"/>
      <c r="AB248" s="525" t="str">
        <f t="shared" si="0"/>
        <v/>
      </c>
      <c r="AC248" s="525" t="str">
        <f t="shared" si="1"/>
        <v/>
      </c>
      <c r="AD248" s="525" t="str">
        <f t="shared" si="2"/>
        <v/>
      </c>
      <c r="AE248" s="525" t="str">
        <f t="shared" si="3"/>
        <v/>
      </c>
      <c r="AF248" s="525" t="str">
        <f t="shared" si="4"/>
        <v/>
      </c>
      <c r="AG248" s="525" t="str">
        <f t="shared" si="5"/>
        <v/>
      </c>
      <c r="AH248" s="525">
        <f>E247</f>
        <v>0</v>
      </c>
      <c r="AI248" s="525">
        <f>E248</f>
        <v>0</v>
      </c>
    </row>
    <row r="249" spans="1:35" x14ac:dyDescent="0.2">
      <c r="A249" s="531"/>
      <c r="B249" s="303"/>
      <c r="C249" s="303"/>
      <c r="D249" s="303"/>
      <c r="E249" s="303"/>
      <c r="F249" s="303"/>
      <c r="G249" s="303"/>
      <c r="H249" s="303"/>
      <c r="I249" s="303"/>
      <c r="J249" s="303"/>
      <c r="K249" s="303"/>
      <c r="L249" s="303"/>
      <c r="M249" s="303"/>
      <c r="N249" s="303"/>
      <c r="O249" s="303"/>
      <c r="P249" s="303"/>
      <c r="Q249" s="303"/>
      <c r="R249" s="303"/>
      <c r="S249" s="303"/>
      <c r="T249" s="303"/>
      <c r="U249" s="303"/>
      <c r="V249" s="303"/>
      <c r="W249" s="303"/>
      <c r="X249" s="303"/>
      <c r="Y249" s="303"/>
      <c r="Z249" s="532"/>
      <c r="AA249" s="530"/>
      <c r="AB249" s="525" t="str">
        <f t="shared" si="0"/>
        <v/>
      </c>
      <c r="AC249" s="525" t="str">
        <f t="shared" si="1"/>
        <v/>
      </c>
      <c r="AD249" s="525" t="str">
        <f t="shared" si="2"/>
        <v/>
      </c>
      <c r="AE249" s="525" t="str">
        <f t="shared" si="3"/>
        <v/>
      </c>
      <c r="AF249" s="525" t="str">
        <f t="shared" si="4"/>
        <v/>
      </c>
      <c r="AG249" s="525" t="str">
        <f t="shared" si="5"/>
        <v/>
      </c>
      <c r="AH249" s="525">
        <f>E250</f>
        <v>0</v>
      </c>
      <c r="AI249" s="525">
        <f>E251</f>
        <v>0</v>
      </c>
    </row>
    <row r="250" spans="1:35" x14ac:dyDescent="0.2">
      <c r="A250" s="531"/>
      <c r="B250" s="303"/>
      <c r="C250" s="303"/>
      <c r="D250" s="303"/>
      <c r="E250" s="303"/>
      <c r="F250" s="303"/>
      <c r="G250" s="303"/>
      <c r="H250" s="303"/>
      <c r="I250" s="303"/>
      <c r="J250" s="303"/>
      <c r="K250" s="303"/>
      <c r="L250" s="303"/>
      <c r="M250" s="303"/>
      <c r="N250" s="303"/>
      <c r="O250" s="303"/>
      <c r="P250" s="303"/>
      <c r="Q250" s="303"/>
      <c r="R250" s="303"/>
      <c r="S250" s="303"/>
      <c r="T250" s="303"/>
      <c r="U250" s="303"/>
      <c r="V250" s="303"/>
      <c r="W250" s="303"/>
      <c r="X250" s="303"/>
      <c r="Y250" s="303"/>
      <c r="Z250" s="532"/>
      <c r="AA250" s="530"/>
      <c r="AB250" s="525" t="str">
        <f t="shared" si="0"/>
        <v/>
      </c>
      <c r="AC250" s="525" t="str">
        <f t="shared" si="1"/>
        <v/>
      </c>
      <c r="AD250" s="525" t="str">
        <f t="shared" si="2"/>
        <v/>
      </c>
      <c r="AE250" s="525" t="str">
        <f t="shared" si="3"/>
        <v/>
      </c>
      <c r="AF250" s="525" t="str">
        <f t="shared" si="4"/>
        <v/>
      </c>
      <c r="AG250" s="525" t="str">
        <f t="shared" si="5"/>
        <v/>
      </c>
      <c r="AH250" s="525">
        <f>E250</f>
        <v>0</v>
      </c>
      <c r="AI250" s="525">
        <f>E251</f>
        <v>0</v>
      </c>
    </row>
    <row r="251" spans="1:35" x14ac:dyDescent="0.2">
      <c r="A251" s="531"/>
      <c r="B251" s="303"/>
      <c r="C251" s="303"/>
      <c r="D251" s="303"/>
      <c r="E251" s="303"/>
      <c r="F251" s="303"/>
      <c r="G251" s="303"/>
      <c r="H251" s="303"/>
      <c r="I251" s="303"/>
      <c r="J251" s="303"/>
      <c r="K251" s="303"/>
      <c r="L251" s="303"/>
      <c r="M251" s="303"/>
      <c r="N251" s="303"/>
      <c r="O251" s="303"/>
      <c r="P251" s="303"/>
      <c r="Q251" s="303"/>
      <c r="R251" s="303"/>
      <c r="S251" s="303"/>
      <c r="T251" s="303"/>
      <c r="U251" s="303"/>
      <c r="V251" s="303"/>
      <c r="W251" s="303"/>
      <c r="X251" s="303"/>
      <c r="Y251" s="303"/>
      <c r="Z251" s="532"/>
      <c r="AA251" s="530"/>
      <c r="AB251" s="525" t="str">
        <f t="shared" si="0"/>
        <v/>
      </c>
      <c r="AC251" s="525" t="str">
        <f t="shared" si="1"/>
        <v/>
      </c>
      <c r="AD251" s="525" t="str">
        <f t="shared" si="2"/>
        <v/>
      </c>
      <c r="AE251" s="525" t="str">
        <f t="shared" si="3"/>
        <v/>
      </c>
      <c r="AF251" s="525" t="str">
        <f t="shared" si="4"/>
        <v/>
      </c>
      <c r="AG251" s="525" t="str">
        <f t="shared" si="5"/>
        <v/>
      </c>
      <c r="AH251" s="525">
        <f>E250</f>
        <v>0</v>
      </c>
      <c r="AI251" s="525">
        <f>E251</f>
        <v>0</v>
      </c>
    </row>
    <row r="252" spans="1:35" x14ac:dyDescent="0.2">
      <c r="A252" s="531"/>
      <c r="B252" s="303"/>
      <c r="C252" s="303"/>
      <c r="D252" s="303"/>
      <c r="E252" s="303"/>
      <c r="F252" s="303"/>
      <c r="G252" s="303"/>
      <c r="H252" s="303"/>
      <c r="I252" s="303"/>
      <c r="J252" s="303"/>
      <c r="K252" s="303"/>
      <c r="L252" s="303"/>
      <c r="M252" s="303"/>
      <c r="N252" s="303"/>
      <c r="O252" s="303"/>
      <c r="P252" s="303"/>
      <c r="Q252" s="303"/>
      <c r="R252" s="303"/>
      <c r="S252" s="303"/>
      <c r="T252" s="303"/>
      <c r="U252" s="303"/>
      <c r="V252" s="303"/>
      <c r="W252" s="303"/>
      <c r="X252" s="303"/>
      <c r="Y252" s="303"/>
      <c r="Z252" s="532"/>
      <c r="AA252" s="530"/>
      <c r="AB252" s="525" t="str">
        <f t="shared" si="0"/>
        <v/>
      </c>
      <c r="AC252" s="525" t="str">
        <f t="shared" si="1"/>
        <v/>
      </c>
      <c r="AD252" s="525" t="str">
        <f t="shared" si="2"/>
        <v/>
      </c>
      <c r="AE252" s="525" t="str">
        <f t="shared" si="3"/>
        <v/>
      </c>
      <c r="AF252" s="525" t="str">
        <f t="shared" si="4"/>
        <v/>
      </c>
      <c r="AG252" s="525" t="str">
        <f t="shared" si="5"/>
        <v/>
      </c>
      <c r="AH252" s="525">
        <f>E253</f>
        <v>0</v>
      </c>
      <c r="AI252" s="525">
        <f>E254</f>
        <v>0</v>
      </c>
    </row>
    <row r="253" spans="1:35" x14ac:dyDescent="0.2">
      <c r="A253" s="531"/>
      <c r="B253" s="303"/>
      <c r="C253" s="303"/>
      <c r="D253" s="303"/>
      <c r="E253" s="303"/>
      <c r="F253" s="303"/>
      <c r="G253" s="303"/>
      <c r="H253" s="303"/>
      <c r="I253" s="303"/>
      <c r="J253" s="303"/>
      <c r="K253" s="303"/>
      <c r="L253" s="303"/>
      <c r="M253" s="303"/>
      <c r="N253" s="303"/>
      <c r="O253" s="303"/>
      <c r="P253" s="303"/>
      <c r="Q253" s="303"/>
      <c r="R253" s="303"/>
      <c r="S253" s="303"/>
      <c r="T253" s="303"/>
      <c r="U253" s="303"/>
      <c r="V253" s="303"/>
      <c r="W253" s="303"/>
      <c r="X253" s="303"/>
      <c r="Y253" s="303"/>
      <c r="Z253" s="532"/>
      <c r="AA253" s="530"/>
      <c r="AB253" s="525" t="str">
        <f t="shared" si="0"/>
        <v/>
      </c>
      <c r="AC253" s="525" t="str">
        <f t="shared" si="1"/>
        <v/>
      </c>
      <c r="AD253" s="525" t="str">
        <f t="shared" si="2"/>
        <v/>
      </c>
      <c r="AE253" s="525" t="str">
        <f t="shared" si="3"/>
        <v/>
      </c>
      <c r="AF253" s="525" t="str">
        <f t="shared" si="4"/>
        <v/>
      </c>
      <c r="AG253" s="525" t="str">
        <f t="shared" si="5"/>
        <v/>
      </c>
      <c r="AH253" s="525">
        <f>E253</f>
        <v>0</v>
      </c>
      <c r="AI253" s="525">
        <f>E254</f>
        <v>0</v>
      </c>
    </row>
    <row r="254" spans="1:35" x14ac:dyDescent="0.2">
      <c r="A254" s="531"/>
      <c r="B254" s="303"/>
      <c r="C254" s="303"/>
      <c r="D254" s="303"/>
      <c r="E254" s="303"/>
      <c r="F254" s="303"/>
      <c r="G254" s="303"/>
      <c r="H254" s="303"/>
      <c r="I254" s="303"/>
      <c r="J254" s="303"/>
      <c r="K254" s="303"/>
      <c r="L254" s="303"/>
      <c r="M254" s="303"/>
      <c r="N254" s="303"/>
      <c r="O254" s="303"/>
      <c r="P254" s="303"/>
      <c r="Q254" s="303"/>
      <c r="R254" s="303"/>
      <c r="S254" s="303"/>
      <c r="T254" s="303"/>
      <c r="U254" s="303"/>
      <c r="V254" s="303"/>
      <c r="W254" s="303"/>
      <c r="X254" s="303"/>
      <c r="Y254" s="303"/>
      <c r="Z254" s="532"/>
      <c r="AA254" s="530"/>
      <c r="AB254" s="525" t="str">
        <f t="shared" si="0"/>
        <v/>
      </c>
      <c r="AC254" s="525" t="str">
        <f t="shared" si="1"/>
        <v/>
      </c>
      <c r="AD254" s="525" t="str">
        <f t="shared" si="2"/>
        <v/>
      </c>
      <c r="AE254" s="525" t="str">
        <f t="shared" si="3"/>
        <v/>
      </c>
      <c r="AF254" s="525" t="str">
        <f t="shared" si="4"/>
        <v/>
      </c>
      <c r="AG254" s="525" t="str">
        <f t="shared" si="5"/>
        <v/>
      </c>
      <c r="AH254" s="525">
        <f>E253</f>
        <v>0</v>
      </c>
      <c r="AI254" s="525">
        <f>E254</f>
        <v>0</v>
      </c>
    </row>
    <row r="255" spans="1:35" x14ac:dyDescent="0.2">
      <c r="A255" s="531"/>
      <c r="B255" s="303"/>
      <c r="C255" s="303"/>
      <c r="D255" s="303"/>
      <c r="E255" s="303"/>
      <c r="F255" s="303"/>
      <c r="G255" s="303"/>
      <c r="H255" s="303"/>
      <c r="I255" s="303"/>
      <c r="J255" s="303"/>
      <c r="K255" s="303"/>
      <c r="L255" s="303"/>
      <c r="M255" s="303"/>
      <c r="N255" s="303"/>
      <c r="O255" s="303"/>
      <c r="P255" s="303"/>
      <c r="Q255" s="303"/>
      <c r="R255" s="303"/>
      <c r="S255" s="303"/>
      <c r="T255" s="303"/>
      <c r="U255" s="303"/>
      <c r="V255" s="303"/>
      <c r="W255" s="303"/>
      <c r="X255" s="303"/>
      <c r="Y255" s="303"/>
      <c r="Z255" s="532"/>
      <c r="AA255" s="530"/>
      <c r="AB255" s="525" t="str">
        <f t="shared" si="0"/>
        <v/>
      </c>
      <c r="AC255" s="525" t="str">
        <f t="shared" si="1"/>
        <v/>
      </c>
      <c r="AD255" s="525" t="str">
        <f t="shared" si="2"/>
        <v/>
      </c>
      <c r="AE255" s="525" t="str">
        <f t="shared" si="3"/>
        <v/>
      </c>
      <c r="AF255" s="525" t="str">
        <f t="shared" si="4"/>
        <v/>
      </c>
      <c r="AG255" s="525" t="str">
        <f t="shared" si="5"/>
        <v/>
      </c>
      <c r="AH255" s="525">
        <f>E256</f>
        <v>0</v>
      </c>
      <c r="AI255" s="525">
        <f>E257</f>
        <v>0</v>
      </c>
    </row>
    <row r="256" spans="1:35" x14ac:dyDescent="0.2">
      <c r="A256" s="531"/>
      <c r="B256" s="303"/>
      <c r="C256" s="303"/>
      <c r="D256" s="303"/>
      <c r="E256" s="303"/>
      <c r="F256" s="303"/>
      <c r="G256" s="303"/>
      <c r="H256" s="303"/>
      <c r="I256" s="303"/>
      <c r="J256" s="303"/>
      <c r="K256" s="303"/>
      <c r="L256" s="303"/>
      <c r="M256" s="303"/>
      <c r="N256" s="303"/>
      <c r="O256" s="303"/>
      <c r="P256" s="303"/>
      <c r="Q256" s="303"/>
      <c r="R256" s="303"/>
      <c r="S256" s="303"/>
      <c r="T256" s="303"/>
      <c r="U256" s="303"/>
      <c r="V256" s="303"/>
      <c r="W256" s="303"/>
      <c r="X256" s="303"/>
      <c r="Y256" s="303"/>
      <c r="Z256" s="532"/>
      <c r="AA256" s="530"/>
      <c r="AB256" s="525" t="str">
        <f t="shared" si="0"/>
        <v/>
      </c>
      <c r="AC256" s="525" t="str">
        <f t="shared" si="1"/>
        <v/>
      </c>
      <c r="AD256" s="525" t="str">
        <f t="shared" si="2"/>
        <v/>
      </c>
      <c r="AE256" s="525" t="str">
        <f t="shared" si="3"/>
        <v/>
      </c>
      <c r="AF256" s="525" t="str">
        <f t="shared" si="4"/>
        <v/>
      </c>
      <c r="AG256" s="525" t="str">
        <f t="shared" si="5"/>
        <v/>
      </c>
      <c r="AH256" s="525">
        <f>E256</f>
        <v>0</v>
      </c>
      <c r="AI256" s="525">
        <f>E257</f>
        <v>0</v>
      </c>
    </row>
    <row r="257" spans="1:35" x14ac:dyDescent="0.2">
      <c r="A257" s="531"/>
      <c r="B257" s="303"/>
      <c r="C257" s="303"/>
      <c r="D257" s="303"/>
      <c r="E257" s="303"/>
      <c r="F257" s="303"/>
      <c r="G257" s="303"/>
      <c r="H257" s="303"/>
      <c r="I257" s="303"/>
      <c r="J257" s="303"/>
      <c r="K257" s="303"/>
      <c r="L257" s="303"/>
      <c r="M257" s="303"/>
      <c r="N257" s="303"/>
      <c r="O257" s="303"/>
      <c r="P257" s="303"/>
      <c r="Q257" s="303"/>
      <c r="R257" s="303"/>
      <c r="S257" s="303"/>
      <c r="T257" s="303"/>
      <c r="U257" s="303"/>
      <c r="V257" s="303"/>
      <c r="W257" s="303"/>
      <c r="X257" s="303"/>
      <c r="Y257" s="303"/>
      <c r="Z257" s="532"/>
      <c r="AA257" s="530"/>
      <c r="AB257" s="525" t="str">
        <f t="shared" si="0"/>
        <v/>
      </c>
      <c r="AC257" s="525" t="str">
        <f t="shared" si="1"/>
        <v/>
      </c>
      <c r="AD257" s="525" t="str">
        <f t="shared" si="2"/>
        <v/>
      </c>
      <c r="AE257" s="525" t="str">
        <f t="shared" si="3"/>
        <v/>
      </c>
      <c r="AF257" s="525" t="str">
        <f t="shared" si="4"/>
        <v/>
      </c>
      <c r="AG257" s="525" t="str">
        <f t="shared" si="5"/>
        <v/>
      </c>
      <c r="AH257" s="525">
        <f>E256</f>
        <v>0</v>
      </c>
      <c r="AI257" s="525">
        <f>E257</f>
        <v>0</v>
      </c>
    </row>
    <row r="258" spans="1:35" x14ac:dyDescent="0.2">
      <c r="A258" s="531"/>
      <c r="B258" s="303"/>
      <c r="C258" s="303"/>
      <c r="D258" s="303"/>
      <c r="E258" s="303"/>
      <c r="F258" s="303"/>
      <c r="G258" s="303"/>
      <c r="H258" s="303"/>
      <c r="I258" s="303"/>
      <c r="J258" s="303"/>
      <c r="K258" s="303"/>
      <c r="L258" s="303"/>
      <c r="M258" s="303"/>
      <c r="N258" s="303"/>
      <c r="O258" s="303"/>
      <c r="P258" s="303"/>
      <c r="Q258" s="303"/>
      <c r="R258" s="303"/>
      <c r="S258" s="303"/>
      <c r="T258" s="303"/>
      <c r="U258" s="303"/>
      <c r="V258" s="303"/>
      <c r="W258" s="303"/>
      <c r="X258" s="303"/>
      <c r="Y258" s="303"/>
      <c r="Z258" s="532"/>
      <c r="AA258" s="530"/>
      <c r="AB258" s="525" t="str">
        <f t="shared" ref="AB258:AB512" si="6">IF(S258=TRUE,"Fire","")</f>
        <v/>
      </c>
      <c r="AC258" s="525" t="str">
        <f t="shared" ref="AC258:AC512" si="7">IF(T258=TRUE,"Water","")</f>
        <v/>
      </c>
      <c r="AD258" s="525" t="str">
        <f t="shared" ref="AD258:AD512" si="8">IF(U258=TRUE,"Air","")</f>
        <v/>
      </c>
      <c r="AE258" s="525" t="str">
        <f t="shared" ref="AE258:AE512" si="9">IF(V258=TRUE,"Earth","")</f>
        <v/>
      </c>
      <c r="AF258" s="525" t="str">
        <f t="shared" ref="AF258:AF512" si="10">IF(W258=TRUE,"Shadow","")</f>
        <v/>
      </c>
      <c r="AG258" s="525" t="str">
        <f t="shared" ref="AG258:AG512" si="11">IF(X258=TRUE,"Light","")</f>
        <v/>
      </c>
      <c r="AH258" s="525">
        <f>E259</f>
        <v>0</v>
      </c>
      <c r="AI258" s="525">
        <f>E260</f>
        <v>0</v>
      </c>
    </row>
    <row r="259" spans="1:35" x14ac:dyDescent="0.2">
      <c r="A259" s="531"/>
      <c r="B259" s="303"/>
      <c r="C259" s="303"/>
      <c r="D259" s="303"/>
      <c r="E259" s="303"/>
      <c r="F259" s="303"/>
      <c r="G259" s="303"/>
      <c r="H259" s="303"/>
      <c r="I259" s="303"/>
      <c r="J259" s="303"/>
      <c r="K259" s="303"/>
      <c r="L259" s="303"/>
      <c r="M259" s="303"/>
      <c r="N259" s="303"/>
      <c r="O259" s="303"/>
      <c r="P259" s="303"/>
      <c r="Q259" s="303"/>
      <c r="R259" s="303"/>
      <c r="S259" s="303"/>
      <c r="T259" s="303"/>
      <c r="U259" s="303"/>
      <c r="V259" s="303"/>
      <c r="W259" s="303"/>
      <c r="X259" s="303"/>
      <c r="Y259" s="303"/>
      <c r="Z259" s="532"/>
      <c r="AA259" s="530"/>
      <c r="AB259" s="525" t="str">
        <f t="shared" si="6"/>
        <v/>
      </c>
      <c r="AC259" s="525" t="str">
        <f t="shared" si="7"/>
        <v/>
      </c>
      <c r="AD259" s="525" t="str">
        <f t="shared" si="8"/>
        <v/>
      </c>
      <c r="AE259" s="525" t="str">
        <f t="shared" si="9"/>
        <v/>
      </c>
      <c r="AF259" s="525" t="str">
        <f t="shared" si="10"/>
        <v/>
      </c>
      <c r="AG259" s="525" t="str">
        <f t="shared" si="11"/>
        <v/>
      </c>
      <c r="AH259" s="525">
        <f>E259</f>
        <v>0</v>
      </c>
      <c r="AI259" s="525">
        <f>E260</f>
        <v>0</v>
      </c>
    </row>
    <row r="260" spans="1:35" x14ac:dyDescent="0.2">
      <c r="A260" s="531"/>
      <c r="B260" s="303"/>
      <c r="C260" s="303"/>
      <c r="D260" s="303"/>
      <c r="E260" s="303"/>
      <c r="F260" s="303"/>
      <c r="G260" s="303"/>
      <c r="H260" s="303"/>
      <c r="I260" s="303"/>
      <c r="J260" s="303"/>
      <c r="K260" s="303"/>
      <c r="L260" s="303"/>
      <c r="M260" s="303"/>
      <c r="N260" s="303"/>
      <c r="O260" s="303"/>
      <c r="P260" s="303"/>
      <c r="Q260" s="303"/>
      <c r="R260" s="303"/>
      <c r="S260" s="303"/>
      <c r="T260" s="303"/>
      <c r="U260" s="303"/>
      <c r="V260" s="303"/>
      <c r="W260" s="303"/>
      <c r="X260" s="303"/>
      <c r="Y260" s="303"/>
      <c r="Z260" s="532"/>
      <c r="AA260" s="530"/>
      <c r="AB260" s="525" t="str">
        <f t="shared" si="6"/>
        <v/>
      </c>
      <c r="AC260" s="525" t="str">
        <f t="shared" si="7"/>
        <v/>
      </c>
      <c r="AD260" s="525" t="str">
        <f t="shared" si="8"/>
        <v/>
      </c>
      <c r="AE260" s="525" t="str">
        <f t="shared" si="9"/>
        <v/>
      </c>
      <c r="AF260" s="525" t="str">
        <f t="shared" si="10"/>
        <v/>
      </c>
      <c r="AG260" s="525" t="str">
        <f t="shared" si="11"/>
        <v/>
      </c>
      <c r="AH260" s="525">
        <f>E259</f>
        <v>0</v>
      </c>
      <c r="AI260" s="525">
        <f>E260</f>
        <v>0</v>
      </c>
    </row>
    <row r="261" spans="1:35" x14ac:dyDescent="0.2">
      <c r="A261" s="531"/>
      <c r="B261" s="303"/>
      <c r="C261" s="303"/>
      <c r="D261" s="303"/>
      <c r="E261" s="303"/>
      <c r="F261" s="303"/>
      <c r="G261" s="303"/>
      <c r="H261" s="303"/>
      <c r="I261" s="303"/>
      <c r="J261" s="303"/>
      <c r="K261" s="303"/>
      <c r="L261" s="303"/>
      <c r="M261" s="303"/>
      <c r="N261" s="303"/>
      <c r="O261" s="303"/>
      <c r="P261" s="303"/>
      <c r="Q261" s="303"/>
      <c r="R261" s="303"/>
      <c r="S261" s="303"/>
      <c r="T261" s="303"/>
      <c r="U261" s="303"/>
      <c r="V261" s="303"/>
      <c r="W261" s="303"/>
      <c r="X261" s="303"/>
      <c r="Y261" s="303"/>
      <c r="Z261" s="532"/>
      <c r="AA261" s="530"/>
      <c r="AB261" s="525" t="str">
        <f t="shared" si="6"/>
        <v/>
      </c>
      <c r="AC261" s="525" t="str">
        <f t="shared" si="7"/>
        <v/>
      </c>
      <c r="AD261" s="525" t="str">
        <f t="shared" si="8"/>
        <v/>
      </c>
      <c r="AE261" s="525" t="str">
        <f t="shared" si="9"/>
        <v/>
      </c>
      <c r="AF261" s="525" t="str">
        <f t="shared" si="10"/>
        <v/>
      </c>
      <c r="AG261" s="525" t="str">
        <f t="shared" si="11"/>
        <v/>
      </c>
      <c r="AH261" s="525">
        <f>E262</f>
        <v>0</v>
      </c>
      <c r="AI261" s="525">
        <f>E263</f>
        <v>0</v>
      </c>
    </row>
    <row r="262" spans="1:35" x14ac:dyDescent="0.2">
      <c r="A262" s="531"/>
      <c r="B262" s="303"/>
      <c r="C262" s="303"/>
      <c r="D262" s="303"/>
      <c r="E262" s="303"/>
      <c r="F262" s="303"/>
      <c r="G262" s="303"/>
      <c r="H262" s="303"/>
      <c r="I262" s="303"/>
      <c r="J262" s="303"/>
      <c r="K262" s="303"/>
      <c r="L262" s="303"/>
      <c r="M262" s="303"/>
      <c r="N262" s="303"/>
      <c r="O262" s="303"/>
      <c r="P262" s="303"/>
      <c r="Q262" s="303"/>
      <c r="R262" s="303"/>
      <c r="S262" s="303"/>
      <c r="T262" s="303"/>
      <c r="U262" s="303"/>
      <c r="V262" s="303"/>
      <c r="W262" s="303"/>
      <c r="X262" s="303"/>
      <c r="Y262" s="303"/>
      <c r="Z262" s="532"/>
      <c r="AA262" s="530"/>
      <c r="AB262" s="525" t="str">
        <f t="shared" si="6"/>
        <v/>
      </c>
      <c r="AC262" s="525" t="str">
        <f t="shared" si="7"/>
        <v/>
      </c>
      <c r="AD262" s="525" t="str">
        <f t="shared" si="8"/>
        <v/>
      </c>
      <c r="AE262" s="525" t="str">
        <f t="shared" si="9"/>
        <v/>
      </c>
      <c r="AF262" s="525" t="str">
        <f t="shared" si="10"/>
        <v/>
      </c>
      <c r="AG262" s="525" t="str">
        <f t="shared" si="11"/>
        <v/>
      </c>
      <c r="AH262" s="525">
        <f>E262</f>
        <v>0</v>
      </c>
      <c r="AI262" s="525">
        <f>E263</f>
        <v>0</v>
      </c>
    </row>
    <row r="263" spans="1:35" x14ac:dyDescent="0.2">
      <c r="A263" s="531"/>
      <c r="B263" s="303"/>
      <c r="C263" s="303"/>
      <c r="D263" s="303"/>
      <c r="E263" s="303"/>
      <c r="F263" s="303"/>
      <c r="G263" s="303"/>
      <c r="H263" s="303"/>
      <c r="I263" s="303"/>
      <c r="J263" s="303"/>
      <c r="K263" s="303"/>
      <c r="L263" s="303"/>
      <c r="M263" s="303"/>
      <c r="N263" s="303"/>
      <c r="O263" s="303"/>
      <c r="P263" s="303"/>
      <c r="Q263" s="303"/>
      <c r="R263" s="303"/>
      <c r="S263" s="303"/>
      <c r="T263" s="303"/>
      <c r="U263" s="303"/>
      <c r="V263" s="303"/>
      <c r="W263" s="303"/>
      <c r="X263" s="303"/>
      <c r="Y263" s="303"/>
      <c r="Z263" s="532"/>
      <c r="AA263" s="530"/>
      <c r="AB263" s="525" t="str">
        <f t="shared" si="6"/>
        <v/>
      </c>
      <c r="AC263" s="525" t="str">
        <f t="shared" si="7"/>
        <v/>
      </c>
      <c r="AD263" s="525" t="str">
        <f t="shared" si="8"/>
        <v/>
      </c>
      <c r="AE263" s="525" t="str">
        <f t="shared" si="9"/>
        <v/>
      </c>
      <c r="AF263" s="525" t="str">
        <f t="shared" si="10"/>
        <v/>
      </c>
      <c r="AG263" s="525" t="str">
        <f t="shared" si="11"/>
        <v/>
      </c>
      <c r="AH263" s="525">
        <f>E262</f>
        <v>0</v>
      </c>
      <c r="AI263" s="525">
        <f>E263</f>
        <v>0</v>
      </c>
    </row>
    <row r="264" spans="1:35" x14ac:dyDescent="0.2">
      <c r="A264" s="531"/>
      <c r="B264" s="303"/>
      <c r="C264" s="303"/>
      <c r="D264" s="303"/>
      <c r="E264" s="303"/>
      <c r="F264" s="303"/>
      <c r="G264" s="303"/>
      <c r="H264" s="303"/>
      <c r="I264" s="303"/>
      <c r="J264" s="303"/>
      <c r="K264" s="303"/>
      <c r="L264" s="303"/>
      <c r="M264" s="303"/>
      <c r="N264" s="303"/>
      <c r="O264" s="303"/>
      <c r="P264" s="303"/>
      <c r="Q264" s="303"/>
      <c r="R264" s="303"/>
      <c r="S264" s="303"/>
      <c r="T264" s="303"/>
      <c r="U264" s="303"/>
      <c r="V264" s="303"/>
      <c r="W264" s="303"/>
      <c r="X264" s="303"/>
      <c r="Y264" s="303"/>
      <c r="Z264" s="532"/>
      <c r="AA264" s="530"/>
      <c r="AB264" s="525" t="str">
        <f t="shared" si="6"/>
        <v/>
      </c>
      <c r="AC264" s="525" t="str">
        <f t="shared" si="7"/>
        <v/>
      </c>
      <c r="AD264" s="525" t="str">
        <f t="shared" si="8"/>
        <v/>
      </c>
      <c r="AE264" s="525" t="str">
        <f t="shared" si="9"/>
        <v/>
      </c>
      <c r="AF264" s="525" t="str">
        <f t="shared" si="10"/>
        <v/>
      </c>
      <c r="AG264" s="525" t="str">
        <f t="shared" si="11"/>
        <v/>
      </c>
      <c r="AH264" s="525">
        <f>E265</f>
        <v>0</v>
      </c>
      <c r="AI264" s="525">
        <f>E266</f>
        <v>0</v>
      </c>
    </row>
    <row r="265" spans="1:35" x14ac:dyDescent="0.2">
      <c r="A265" s="531"/>
      <c r="B265" s="303"/>
      <c r="C265" s="303"/>
      <c r="D265" s="303"/>
      <c r="E265" s="303"/>
      <c r="F265" s="303"/>
      <c r="G265" s="303"/>
      <c r="H265" s="303"/>
      <c r="I265" s="303"/>
      <c r="J265" s="303"/>
      <c r="K265" s="303"/>
      <c r="L265" s="303"/>
      <c r="M265" s="303"/>
      <c r="N265" s="303"/>
      <c r="O265" s="303"/>
      <c r="P265" s="303"/>
      <c r="Q265" s="303"/>
      <c r="R265" s="303"/>
      <c r="S265" s="303"/>
      <c r="T265" s="303"/>
      <c r="U265" s="303"/>
      <c r="V265" s="303"/>
      <c r="W265" s="303"/>
      <c r="X265" s="303"/>
      <c r="Y265" s="303"/>
      <c r="Z265" s="532"/>
      <c r="AA265" s="530"/>
      <c r="AB265" s="525" t="str">
        <f t="shared" si="6"/>
        <v/>
      </c>
      <c r="AC265" s="525" t="str">
        <f t="shared" si="7"/>
        <v/>
      </c>
      <c r="AD265" s="525" t="str">
        <f t="shared" si="8"/>
        <v/>
      </c>
      <c r="AE265" s="525" t="str">
        <f t="shared" si="9"/>
        <v/>
      </c>
      <c r="AF265" s="525" t="str">
        <f t="shared" si="10"/>
        <v/>
      </c>
      <c r="AG265" s="525" t="str">
        <f t="shared" si="11"/>
        <v/>
      </c>
      <c r="AH265" s="525">
        <f>E265</f>
        <v>0</v>
      </c>
      <c r="AI265" s="525">
        <f>E266</f>
        <v>0</v>
      </c>
    </row>
    <row r="266" spans="1:35" x14ac:dyDescent="0.2">
      <c r="A266" s="531"/>
      <c r="B266" s="303"/>
      <c r="C266" s="303"/>
      <c r="D266" s="303"/>
      <c r="E266" s="303"/>
      <c r="F266" s="303"/>
      <c r="G266" s="303"/>
      <c r="H266" s="303"/>
      <c r="I266" s="303"/>
      <c r="J266" s="303"/>
      <c r="K266" s="303"/>
      <c r="L266" s="303"/>
      <c r="M266" s="303"/>
      <c r="N266" s="303"/>
      <c r="O266" s="303"/>
      <c r="P266" s="303"/>
      <c r="Q266" s="303"/>
      <c r="R266" s="303"/>
      <c r="S266" s="303"/>
      <c r="T266" s="303"/>
      <c r="U266" s="303"/>
      <c r="V266" s="303"/>
      <c r="W266" s="303"/>
      <c r="X266" s="303"/>
      <c r="Y266" s="303"/>
      <c r="Z266" s="532"/>
      <c r="AA266" s="530"/>
      <c r="AB266" s="525" t="str">
        <f t="shared" si="6"/>
        <v/>
      </c>
      <c r="AC266" s="525" t="str">
        <f t="shared" si="7"/>
        <v/>
      </c>
      <c r="AD266" s="525" t="str">
        <f t="shared" si="8"/>
        <v/>
      </c>
      <c r="AE266" s="525" t="str">
        <f t="shared" si="9"/>
        <v/>
      </c>
      <c r="AF266" s="525" t="str">
        <f t="shared" si="10"/>
        <v/>
      </c>
      <c r="AG266" s="525" t="str">
        <f t="shared" si="11"/>
        <v/>
      </c>
      <c r="AH266" s="525">
        <f>E265</f>
        <v>0</v>
      </c>
      <c r="AI266" s="525">
        <f>E266</f>
        <v>0</v>
      </c>
    </row>
    <row r="267" spans="1:35" x14ac:dyDescent="0.2">
      <c r="A267" s="531"/>
      <c r="B267" s="303"/>
      <c r="C267" s="303"/>
      <c r="D267" s="303"/>
      <c r="E267" s="303"/>
      <c r="F267" s="303"/>
      <c r="G267" s="303"/>
      <c r="H267" s="303"/>
      <c r="I267" s="303"/>
      <c r="J267" s="303"/>
      <c r="K267" s="303"/>
      <c r="L267" s="303"/>
      <c r="M267" s="303"/>
      <c r="N267" s="303"/>
      <c r="O267" s="303"/>
      <c r="P267" s="303"/>
      <c r="Q267" s="303"/>
      <c r="R267" s="303"/>
      <c r="S267" s="303"/>
      <c r="T267" s="303"/>
      <c r="U267" s="303"/>
      <c r="V267" s="303"/>
      <c r="W267" s="303"/>
      <c r="X267" s="303"/>
      <c r="Y267" s="303"/>
      <c r="Z267" s="532"/>
      <c r="AA267" s="530"/>
      <c r="AB267" s="525" t="str">
        <f t="shared" si="6"/>
        <v/>
      </c>
      <c r="AC267" s="525" t="str">
        <f t="shared" si="7"/>
        <v/>
      </c>
      <c r="AD267" s="525" t="str">
        <f t="shared" si="8"/>
        <v/>
      </c>
      <c r="AE267" s="525" t="str">
        <f t="shared" si="9"/>
        <v/>
      </c>
      <c r="AF267" s="525" t="str">
        <f t="shared" si="10"/>
        <v/>
      </c>
      <c r="AG267" s="525" t="str">
        <f t="shared" si="11"/>
        <v/>
      </c>
      <c r="AH267" s="525">
        <f>E268</f>
        <v>0</v>
      </c>
      <c r="AI267" s="525">
        <f>E269</f>
        <v>0</v>
      </c>
    </row>
    <row r="268" spans="1:35" x14ac:dyDescent="0.2">
      <c r="A268" s="531"/>
      <c r="B268" s="303"/>
      <c r="C268" s="303"/>
      <c r="D268" s="303"/>
      <c r="E268" s="303"/>
      <c r="F268" s="303"/>
      <c r="G268" s="303"/>
      <c r="H268" s="303"/>
      <c r="I268" s="303"/>
      <c r="J268" s="303"/>
      <c r="K268" s="303"/>
      <c r="L268" s="303"/>
      <c r="M268" s="303"/>
      <c r="N268" s="303"/>
      <c r="O268" s="303"/>
      <c r="P268" s="303"/>
      <c r="Q268" s="303"/>
      <c r="R268" s="303"/>
      <c r="S268" s="303"/>
      <c r="T268" s="303"/>
      <c r="U268" s="303"/>
      <c r="V268" s="303"/>
      <c r="W268" s="303"/>
      <c r="X268" s="303"/>
      <c r="Y268" s="303"/>
      <c r="Z268" s="532"/>
      <c r="AA268" s="530"/>
      <c r="AB268" s="525" t="str">
        <f t="shared" si="6"/>
        <v/>
      </c>
      <c r="AC268" s="525" t="str">
        <f t="shared" si="7"/>
        <v/>
      </c>
      <c r="AD268" s="525" t="str">
        <f t="shared" si="8"/>
        <v/>
      </c>
      <c r="AE268" s="525" t="str">
        <f t="shared" si="9"/>
        <v/>
      </c>
      <c r="AF268" s="525" t="str">
        <f t="shared" si="10"/>
        <v/>
      </c>
      <c r="AG268" s="525" t="str">
        <f t="shared" si="11"/>
        <v/>
      </c>
      <c r="AH268" s="525">
        <f>E268</f>
        <v>0</v>
      </c>
      <c r="AI268" s="525">
        <f>E269</f>
        <v>0</v>
      </c>
    </row>
    <row r="269" spans="1:35" x14ac:dyDescent="0.2">
      <c r="A269" s="531"/>
      <c r="B269" s="303"/>
      <c r="C269" s="303"/>
      <c r="D269" s="303"/>
      <c r="E269" s="303"/>
      <c r="F269" s="303"/>
      <c r="G269" s="303"/>
      <c r="H269" s="303"/>
      <c r="I269" s="303"/>
      <c r="J269" s="303"/>
      <c r="K269" s="303"/>
      <c r="L269" s="303"/>
      <c r="M269" s="303"/>
      <c r="N269" s="303"/>
      <c r="O269" s="303"/>
      <c r="P269" s="303"/>
      <c r="Q269" s="303"/>
      <c r="R269" s="303"/>
      <c r="S269" s="303"/>
      <c r="T269" s="303"/>
      <c r="U269" s="303"/>
      <c r="V269" s="303"/>
      <c r="W269" s="303"/>
      <c r="X269" s="303"/>
      <c r="Y269" s="303"/>
      <c r="Z269" s="532"/>
      <c r="AA269" s="530"/>
      <c r="AB269" s="525" t="str">
        <f t="shared" si="6"/>
        <v/>
      </c>
      <c r="AC269" s="525" t="str">
        <f t="shared" si="7"/>
        <v/>
      </c>
      <c r="AD269" s="525" t="str">
        <f t="shared" si="8"/>
        <v/>
      </c>
      <c r="AE269" s="525" t="str">
        <f t="shared" si="9"/>
        <v/>
      </c>
      <c r="AF269" s="525" t="str">
        <f t="shared" si="10"/>
        <v/>
      </c>
      <c r="AG269" s="525" t="str">
        <f t="shared" si="11"/>
        <v/>
      </c>
      <c r="AH269" s="525">
        <f>E268</f>
        <v>0</v>
      </c>
      <c r="AI269" s="525">
        <f>E269</f>
        <v>0</v>
      </c>
    </row>
    <row r="270" spans="1:35" x14ac:dyDescent="0.2">
      <c r="A270" s="531"/>
      <c r="B270" s="303"/>
      <c r="C270" s="303"/>
      <c r="D270" s="303"/>
      <c r="E270" s="303"/>
      <c r="F270" s="303"/>
      <c r="G270" s="303"/>
      <c r="H270" s="303"/>
      <c r="I270" s="303"/>
      <c r="J270" s="303"/>
      <c r="K270" s="303"/>
      <c r="L270" s="303"/>
      <c r="M270" s="303"/>
      <c r="N270" s="303"/>
      <c r="O270" s="303"/>
      <c r="P270" s="303"/>
      <c r="Q270" s="303"/>
      <c r="R270" s="303"/>
      <c r="S270" s="303"/>
      <c r="T270" s="303"/>
      <c r="U270" s="303"/>
      <c r="V270" s="303"/>
      <c r="W270" s="303"/>
      <c r="X270" s="303"/>
      <c r="Y270" s="303"/>
      <c r="Z270" s="532"/>
      <c r="AA270" s="530"/>
      <c r="AB270" s="525" t="str">
        <f t="shared" si="6"/>
        <v/>
      </c>
      <c r="AC270" s="525" t="str">
        <f t="shared" si="7"/>
        <v/>
      </c>
      <c r="AD270" s="525" t="str">
        <f t="shared" si="8"/>
        <v/>
      </c>
      <c r="AE270" s="525" t="str">
        <f t="shared" si="9"/>
        <v/>
      </c>
      <c r="AF270" s="525" t="str">
        <f t="shared" si="10"/>
        <v/>
      </c>
      <c r="AG270" s="525" t="str">
        <f t="shared" si="11"/>
        <v/>
      </c>
      <c r="AH270" s="525">
        <f>E271</f>
        <v>0</v>
      </c>
      <c r="AI270" s="525">
        <f>E272</f>
        <v>0</v>
      </c>
    </row>
    <row r="271" spans="1:35" x14ac:dyDescent="0.2">
      <c r="A271" s="531"/>
      <c r="B271" s="303"/>
      <c r="C271" s="303"/>
      <c r="D271" s="303"/>
      <c r="E271" s="303"/>
      <c r="F271" s="303"/>
      <c r="G271" s="303"/>
      <c r="H271" s="303"/>
      <c r="I271" s="303"/>
      <c r="J271" s="303"/>
      <c r="K271" s="303"/>
      <c r="L271" s="303"/>
      <c r="M271" s="303"/>
      <c r="N271" s="303"/>
      <c r="O271" s="303"/>
      <c r="P271" s="303"/>
      <c r="Q271" s="303"/>
      <c r="R271" s="303"/>
      <c r="S271" s="303"/>
      <c r="T271" s="303"/>
      <c r="U271" s="303"/>
      <c r="V271" s="303"/>
      <c r="W271" s="303"/>
      <c r="X271" s="303"/>
      <c r="Y271" s="303"/>
      <c r="Z271" s="532"/>
      <c r="AA271" s="530"/>
      <c r="AB271" s="525" t="str">
        <f t="shared" si="6"/>
        <v/>
      </c>
      <c r="AC271" s="525" t="str">
        <f t="shared" si="7"/>
        <v/>
      </c>
      <c r="AD271" s="525" t="str">
        <f t="shared" si="8"/>
        <v/>
      </c>
      <c r="AE271" s="525" t="str">
        <f t="shared" si="9"/>
        <v/>
      </c>
      <c r="AF271" s="525" t="str">
        <f t="shared" si="10"/>
        <v/>
      </c>
      <c r="AG271" s="525" t="str">
        <f t="shared" si="11"/>
        <v/>
      </c>
      <c r="AH271" s="525">
        <f>E271</f>
        <v>0</v>
      </c>
      <c r="AI271" s="525">
        <f>E272</f>
        <v>0</v>
      </c>
    </row>
    <row r="272" spans="1:35" x14ac:dyDescent="0.2">
      <c r="A272" s="531"/>
      <c r="B272" s="303"/>
      <c r="C272" s="303"/>
      <c r="D272" s="303"/>
      <c r="E272" s="303"/>
      <c r="F272" s="303"/>
      <c r="G272" s="303"/>
      <c r="H272" s="303"/>
      <c r="I272" s="303"/>
      <c r="J272" s="303"/>
      <c r="K272" s="303"/>
      <c r="L272" s="303"/>
      <c r="M272" s="303"/>
      <c r="N272" s="303"/>
      <c r="O272" s="303"/>
      <c r="P272" s="303"/>
      <c r="Q272" s="303"/>
      <c r="R272" s="303"/>
      <c r="S272" s="303"/>
      <c r="T272" s="303"/>
      <c r="U272" s="303"/>
      <c r="V272" s="303"/>
      <c r="W272" s="303"/>
      <c r="X272" s="303"/>
      <c r="Y272" s="303"/>
      <c r="Z272" s="532"/>
      <c r="AA272" s="530"/>
      <c r="AB272" s="525" t="str">
        <f t="shared" si="6"/>
        <v/>
      </c>
      <c r="AC272" s="525" t="str">
        <f t="shared" si="7"/>
        <v/>
      </c>
      <c r="AD272" s="525" t="str">
        <f t="shared" si="8"/>
        <v/>
      </c>
      <c r="AE272" s="525" t="str">
        <f t="shared" si="9"/>
        <v/>
      </c>
      <c r="AF272" s="525" t="str">
        <f t="shared" si="10"/>
        <v/>
      </c>
      <c r="AG272" s="525" t="str">
        <f t="shared" si="11"/>
        <v/>
      </c>
      <c r="AH272" s="525">
        <f>E271</f>
        <v>0</v>
      </c>
      <c r="AI272" s="525">
        <f>E272</f>
        <v>0</v>
      </c>
    </row>
    <row r="273" spans="1:35" x14ac:dyDescent="0.2">
      <c r="A273" s="531"/>
      <c r="B273" s="303"/>
      <c r="C273" s="303"/>
      <c r="D273" s="303"/>
      <c r="E273" s="303"/>
      <c r="F273" s="303"/>
      <c r="G273" s="303"/>
      <c r="H273" s="303"/>
      <c r="I273" s="303"/>
      <c r="J273" s="303"/>
      <c r="K273" s="303"/>
      <c r="L273" s="303"/>
      <c r="M273" s="303"/>
      <c r="N273" s="303"/>
      <c r="O273" s="303"/>
      <c r="P273" s="303"/>
      <c r="Q273" s="303"/>
      <c r="R273" s="303"/>
      <c r="S273" s="303"/>
      <c r="T273" s="303"/>
      <c r="U273" s="303"/>
      <c r="V273" s="303"/>
      <c r="W273" s="303"/>
      <c r="X273" s="303"/>
      <c r="Y273" s="303"/>
      <c r="Z273" s="532"/>
      <c r="AA273" s="530"/>
      <c r="AB273" s="525" t="str">
        <f t="shared" si="6"/>
        <v/>
      </c>
      <c r="AC273" s="525" t="str">
        <f t="shared" si="7"/>
        <v/>
      </c>
      <c r="AD273" s="525" t="str">
        <f t="shared" si="8"/>
        <v/>
      </c>
      <c r="AE273" s="525" t="str">
        <f t="shared" si="9"/>
        <v/>
      </c>
      <c r="AF273" s="525" t="str">
        <f t="shared" si="10"/>
        <v/>
      </c>
      <c r="AG273" s="525" t="str">
        <f t="shared" si="11"/>
        <v/>
      </c>
      <c r="AH273" s="525">
        <f>E274</f>
        <v>0</v>
      </c>
      <c r="AI273" s="525">
        <f>E275</f>
        <v>0</v>
      </c>
    </row>
    <row r="274" spans="1:35" x14ac:dyDescent="0.2">
      <c r="A274" s="531"/>
      <c r="B274" s="303"/>
      <c r="C274" s="303"/>
      <c r="D274" s="303"/>
      <c r="E274" s="303"/>
      <c r="F274" s="303"/>
      <c r="G274" s="303"/>
      <c r="H274" s="303"/>
      <c r="I274" s="303"/>
      <c r="J274" s="303"/>
      <c r="K274" s="303"/>
      <c r="L274" s="303"/>
      <c r="M274" s="303"/>
      <c r="N274" s="303"/>
      <c r="O274" s="303"/>
      <c r="P274" s="303"/>
      <c r="Q274" s="303"/>
      <c r="R274" s="303"/>
      <c r="S274" s="303"/>
      <c r="T274" s="303"/>
      <c r="U274" s="303"/>
      <c r="V274" s="303"/>
      <c r="W274" s="303"/>
      <c r="X274" s="303"/>
      <c r="Y274" s="303"/>
      <c r="Z274" s="532"/>
      <c r="AA274" s="530"/>
      <c r="AB274" s="525" t="str">
        <f t="shared" si="6"/>
        <v/>
      </c>
      <c r="AC274" s="525" t="str">
        <f t="shared" si="7"/>
        <v/>
      </c>
      <c r="AD274" s="525" t="str">
        <f t="shared" si="8"/>
        <v/>
      </c>
      <c r="AE274" s="525" t="str">
        <f t="shared" si="9"/>
        <v/>
      </c>
      <c r="AF274" s="525" t="str">
        <f t="shared" si="10"/>
        <v/>
      </c>
      <c r="AG274" s="525" t="str">
        <f t="shared" si="11"/>
        <v/>
      </c>
      <c r="AH274" s="525">
        <f>E274</f>
        <v>0</v>
      </c>
      <c r="AI274" s="525">
        <f>E275</f>
        <v>0</v>
      </c>
    </row>
    <row r="275" spans="1:35" x14ac:dyDescent="0.2">
      <c r="A275" s="531"/>
      <c r="B275" s="303"/>
      <c r="C275" s="303"/>
      <c r="D275" s="303"/>
      <c r="E275" s="303"/>
      <c r="F275" s="303"/>
      <c r="G275" s="303"/>
      <c r="H275" s="303"/>
      <c r="I275" s="303"/>
      <c r="J275" s="303"/>
      <c r="K275" s="303"/>
      <c r="L275" s="303"/>
      <c r="M275" s="303"/>
      <c r="N275" s="303"/>
      <c r="O275" s="303"/>
      <c r="P275" s="303"/>
      <c r="Q275" s="303"/>
      <c r="R275" s="303"/>
      <c r="S275" s="303"/>
      <c r="T275" s="303"/>
      <c r="U275" s="303"/>
      <c r="V275" s="303"/>
      <c r="W275" s="303"/>
      <c r="X275" s="303"/>
      <c r="Y275" s="303"/>
      <c r="Z275" s="532"/>
      <c r="AA275" s="530"/>
      <c r="AB275" s="525" t="str">
        <f t="shared" si="6"/>
        <v/>
      </c>
      <c r="AC275" s="525" t="str">
        <f t="shared" si="7"/>
        <v/>
      </c>
      <c r="AD275" s="525" t="str">
        <f t="shared" si="8"/>
        <v/>
      </c>
      <c r="AE275" s="525" t="str">
        <f t="shared" si="9"/>
        <v/>
      </c>
      <c r="AF275" s="525" t="str">
        <f t="shared" si="10"/>
        <v/>
      </c>
      <c r="AG275" s="525" t="str">
        <f t="shared" si="11"/>
        <v/>
      </c>
      <c r="AH275" s="525">
        <f>E274</f>
        <v>0</v>
      </c>
      <c r="AI275" s="525">
        <f>E275</f>
        <v>0</v>
      </c>
    </row>
    <row r="276" spans="1:35" x14ac:dyDescent="0.2">
      <c r="A276" s="531"/>
      <c r="B276" s="303"/>
      <c r="C276" s="303"/>
      <c r="D276" s="303"/>
      <c r="E276" s="303"/>
      <c r="F276" s="303"/>
      <c r="G276" s="303"/>
      <c r="H276" s="303"/>
      <c r="I276" s="303"/>
      <c r="J276" s="303"/>
      <c r="K276" s="303"/>
      <c r="L276" s="303"/>
      <c r="M276" s="303"/>
      <c r="N276" s="303"/>
      <c r="O276" s="303"/>
      <c r="P276" s="303"/>
      <c r="Q276" s="303"/>
      <c r="R276" s="303"/>
      <c r="S276" s="303"/>
      <c r="T276" s="303"/>
      <c r="U276" s="303"/>
      <c r="V276" s="303"/>
      <c r="W276" s="303"/>
      <c r="X276" s="303"/>
      <c r="Y276" s="303"/>
      <c r="Z276" s="532"/>
      <c r="AA276" s="530"/>
      <c r="AB276" s="525" t="str">
        <f t="shared" si="6"/>
        <v/>
      </c>
      <c r="AC276" s="525" t="str">
        <f t="shared" si="7"/>
        <v/>
      </c>
      <c r="AD276" s="525" t="str">
        <f t="shared" si="8"/>
        <v/>
      </c>
      <c r="AE276" s="525" t="str">
        <f t="shared" si="9"/>
        <v/>
      </c>
      <c r="AF276" s="525" t="str">
        <f t="shared" si="10"/>
        <v/>
      </c>
      <c r="AG276" s="525" t="str">
        <f t="shared" si="11"/>
        <v/>
      </c>
      <c r="AH276" s="525">
        <f>E277</f>
        <v>0</v>
      </c>
      <c r="AI276" s="525">
        <f>E278</f>
        <v>0</v>
      </c>
    </row>
    <row r="277" spans="1:35" x14ac:dyDescent="0.2">
      <c r="A277" s="531"/>
      <c r="B277" s="303"/>
      <c r="C277" s="303"/>
      <c r="D277" s="303"/>
      <c r="E277" s="303"/>
      <c r="F277" s="303"/>
      <c r="G277" s="303"/>
      <c r="H277" s="303"/>
      <c r="I277" s="303"/>
      <c r="J277" s="303"/>
      <c r="K277" s="303"/>
      <c r="L277" s="303"/>
      <c r="M277" s="303"/>
      <c r="N277" s="303"/>
      <c r="O277" s="303"/>
      <c r="P277" s="303"/>
      <c r="Q277" s="303"/>
      <c r="R277" s="303"/>
      <c r="S277" s="303"/>
      <c r="T277" s="303"/>
      <c r="U277" s="303"/>
      <c r="V277" s="303"/>
      <c r="W277" s="303"/>
      <c r="X277" s="303"/>
      <c r="Y277" s="303"/>
      <c r="Z277" s="532"/>
      <c r="AA277" s="530"/>
      <c r="AB277" s="525" t="str">
        <f t="shared" si="6"/>
        <v/>
      </c>
      <c r="AC277" s="525" t="str">
        <f t="shared" si="7"/>
        <v/>
      </c>
      <c r="AD277" s="525" t="str">
        <f t="shared" si="8"/>
        <v/>
      </c>
      <c r="AE277" s="525" t="str">
        <f t="shared" si="9"/>
        <v/>
      </c>
      <c r="AF277" s="525" t="str">
        <f t="shared" si="10"/>
        <v/>
      </c>
      <c r="AG277" s="525" t="str">
        <f t="shared" si="11"/>
        <v/>
      </c>
      <c r="AH277" s="525">
        <f>E277</f>
        <v>0</v>
      </c>
      <c r="AI277" s="525">
        <f>E278</f>
        <v>0</v>
      </c>
    </row>
    <row r="278" spans="1:35" x14ac:dyDescent="0.2">
      <c r="A278" s="531"/>
      <c r="B278" s="303"/>
      <c r="C278" s="303"/>
      <c r="D278" s="303"/>
      <c r="E278" s="303"/>
      <c r="F278" s="303"/>
      <c r="G278" s="303"/>
      <c r="H278" s="303"/>
      <c r="I278" s="303"/>
      <c r="J278" s="303"/>
      <c r="K278" s="303"/>
      <c r="L278" s="303"/>
      <c r="M278" s="303"/>
      <c r="N278" s="303"/>
      <c r="O278" s="303"/>
      <c r="P278" s="303"/>
      <c r="Q278" s="303"/>
      <c r="R278" s="303"/>
      <c r="S278" s="303"/>
      <c r="T278" s="303"/>
      <c r="U278" s="303"/>
      <c r="V278" s="303"/>
      <c r="W278" s="303"/>
      <c r="X278" s="303"/>
      <c r="Y278" s="303"/>
      <c r="Z278" s="532"/>
      <c r="AA278" s="530"/>
      <c r="AB278" s="525" t="str">
        <f t="shared" si="6"/>
        <v/>
      </c>
      <c r="AC278" s="525" t="str">
        <f t="shared" si="7"/>
        <v/>
      </c>
      <c r="AD278" s="525" t="str">
        <f t="shared" si="8"/>
        <v/>
      </c>
      <c r="AE278" s="525" t="str">
        <f t="shared" si="9"/>
        <v/>
      </c>
      <c r="AF278" s="525" t="str">
        <f t="shared" si="10"/>
        <v/>
      </c>
      <c r="AG278" s="525" t="str">
        <f t="shared" si="11"/>
        <v/>
      </c>
      <c r="AH278" s="525">
        <f>E277</f>
        <v>0</v>
      </c>
      <c r="AI278" s="525">
        <f>E278</f>
        <v>0</v>
      </c>
    </row>
    <row r="279" spans="1:35" x14ac:dyDescent="0.2">
      <c r="A279" s="531"/>
      <c r="B279" s="303"/>
      <c r="C279" s="303"/>
      <c r="D279" s="303"/>
      <c r="E279" s="303"/>
      <c r="F279" s="303"/>
      <c r="G279" s="303"/>
      <c r="H279" s="303"/>
      <c r="I279" s="303"/>
      <c r="J279" s="303"/>
      <c r="K279" s="303"/>
      <c r="L279" s="303"/>
      <c r="M279" s="303"/>
      <c r="N279" s="303"/>
      <c r="O279" s="303"/>
      <c r="P279" s="303"/>
      <c r="Q279" s="303"/>
      <c r="R279" s="303"/>
      <c r="S279" s="303"/>
      <c r="T279" s="303"/>
      <c r="U279" s="303"/>
      <c r="V279" s="303"/>
      <c r="W279" s="303"/>
      <c r="X279" s="303"/>
      <c r="Y279" s="303"/>
      <c r="Z279" s="532"/>
      <c r="AA279" s="530"/>
      <c r="AB279" s="525" t="str">
        <f t="shared" si="6"/>
        <v/>
      </c>
      <c r="AC279" s="525" t="str">
        <f t="shared" si="7"/>
        <v/>
      </c>
      <c r="AD279" s="525" t="str">
        <f t="shared" si="8"/>
        <v/>
      </c>
      <c r="AE279" s="525" t="str">
        <f t="shared" si="9"/>
        <v/>
      </c>
      <c r="AF279" s="525" t="str">
        <f t="shared" si="10"/>
        <v/>
      </c>
      <c r="AG279" s="525" t="str">
        <f t="shared" si="11"/>
        <v/>
      </c>
      <c r="AH279" s="525">
        <f>E280</f>
        <v>0</v>
      </c>
      <c r="AI279" s="525">
        <f>E281</f>
        <v>0</v>
      </c>
    </row>
    <row r="280" spans="1:35" x14ac:dyDescent="0.2">
      <c r="A280" s="531"/>
      <c r="B280" s="303"/>
      <c r="C280" s="303"/>
      <c r="D280" s="303"/>
      <c r="E280" s="303"/>
      <c r="F280" s="303"/>
      <c r="G280" s="303"/>
      <c r="H280" s="303"/>
      <c r="I280" s="303"/>
      <c r="J280" s="303"/>
      <c r="K280" s="303"/>
      <c r="L280" s="303"/>
      <c r="M280" s="303"/>
      <c r="N280" s="303"/>
      <c r="O280" s="303"/>
      <c r="P280" s="303"/>
      <c r="Q280" s="303"/>
      <c r="R280" s="303"/>
      <c r="S280" s="303"/>
      <c r="T280" s="303"/>
      <c r="U280" s="303"/>
      <c r="V280" s="303"/>
      <c r="W280" s="303"/>
      <c r="X280" s="303"/>
      <c r="Y280" s="303"/>
      <c r="Z280" s="532"/>
      <c r="AA280" s="530"/>
      <c r="AB280" s="525" t="str">
        <f t="shared" si="6"/>
        <v/>
      </c>
      <c r="AC280" s="525" t="str">
        <f t="shared" si="7"/>
        <v/>
      </c>
      <c r="AD280" s="525" t="str">
        <f t="shared" si="8"/>
        <v/>
      </c>
      <c r="AE280" s="525" t="str">
        <f t="shared" si="9"/>
        <v/>
      </c>
      <c r="AF280" s="525" t="str">
        <f t="shared" si="10"/>
        <v/>
      </c>
      <c r="AG280" s="525" t="str">
        <f t="shared" si="11"/>
        <v/>
      </c>
      <c r="AH280" s="525">
        <f>E280</f>
        <v>0</v>
      </c>
      <c r="AI280" s="525">
        <f>E281</f>
        <v>0</v>
      </c>
    </row>
    <row r="281" spans="1:35" x14ac:dyDescent="0.2">
      <c r="A281" s="531"/>
      <c r="B281" s="303"/>
      <c r="C281" s="303"/>
      <c r="D281" s="303"/>
      <c r="E281" s="303"/>
      <c r="F281" s="303"/>
      <c r="G281" s="303"/>
      <c r="H281" s="303"/>
      <c r="I281" s="303"/>
      <c r="J281" s="303"/>
      <c r="K281" s="303"/>
      <c r="L281" s="303"/>
      <c r="M281" s="303"/>
      <c r="N281" s="303"/>
      <c r="O281" s="303"/>
      <c r="P281" s="303"/>
      <c r="Q281" s="303"/>
      <c r="R281" s="303"/>
      <c r="S281" s="303"/>
      <c r="T281" s="303"/>
      <c r="U281" s="303"/>
      <c r="V281" s="303"/>
      <c r="W281" s="303"/>
      <c r="X281" s="303"/>
      <c r="Y281" s="303"/>
      <c r="Z281" s="532"/>
      <c r="AA281" s="530"/>
      <c r="AB281" s="525" t="str">
        <f t="shared" si="6"/>
        <v/>
      </c>
      <c r="AC281" s="525" t="str">
        <f t="shared" si="7"/>
        <v/>
      </c>
      <c r="AD281" s="525" t="str">
        <f t="shared" si="8"/>
        <v/>
      </c>
      <c r="AE281" s="525" t="str">
        <f t="shared" si="9"/>
        <v/>
      </c>
      <c r="AF281" s="525" t="str">
        <f t="shared" si="10"/>
        <v/>
      </c>
      <c r="AG281" s="525" t="str">
        <f t="shared" si="11"/>
        <v/>
      </c>
      <c r="AH281" s="525">
        <f>E280</f>
        <v>0</v>
      </c>
      <c r="AI281" s="525">
        <f>E281</f>
        <v>0</v>
      </c>
    </row>
    <row r="282" spans="1:35" x14ac:dyDescent="0.2">
      <c r="A282" s="531"/>
      <c r="B282" s="303"/>
      <c r="C282" s="303"/>
      <c r="D282" s="303"/>
      <c r="E282" s="303"/>
      <c r="F282" s="303"/>
      <c r="G282" s="303"/>
      <c r="H282" s="303"/>
      <c r="I282" s="303"/>
      <c r="J282" s="303"/>
      <c r="K282" s="303"/>
      <c r="L282" s="303"/>
      <c r="M282" s="303"/>
      <c r="N282" s="303"/>
      <c r="O282" s="303"/>
      <c r="P282" s="303"/>
      <c r="Q282" s="303"/>
      <c r="R282" s="303"/>
      <c r="S282" s="303"/>
      <c r="T282" s="303"/>
      <c r="U282" s="303"/>
      <c r="V282" s="303"/>
      <c r="W282" s="303"/>
      <c r="X282" s="303"/>
      <c r="Y282" s="303"/>
      <c r="Z282" s="532"/>
      <c r="AA282" s="530"/>
      <c r="AB282" s="525" t="str">
        <f t="shared" si="6"/>
        <v/>
      </c>
      <c r="AC282" s="525" t="str">
        <f t="shared" si="7"/>
        <v/>
      </c>
      <c r="AD282" s="525" t="str">
        <f t="shared" si="8"/>
        <v/>
      </c>
      <c r="AE282" s="525" t="str">
        <f t="shared" si="9"/>
        <v/>
      </c>
      <c r="AF282" s="525" t="str">
        <f t="shared" si="10"/>
        <v/>
      </c>
      <c r="AG282" s="525" t="str">
        <f t="shared" si="11"/>
        <v/>
      </c>
      <c r="AH282" s="525">
        <f>E283</f>
        <v>0</v>
      </c>
      <c r="AI282" s="525">
        <f>E284</f>
        <v>0</v>
      </c>
    </row>
    <row r="283" spans="1:35" x14ac:dyDescent="0.2">
      <c r="A283" s="531"/>
      <c r="B283" s="303"/>
      <c r="C283" s="303"/>
      <c r="D283" s="303"/>
      <c r="E283" s="303"/>
      <c r="F283" s="303"/>
      <c r="G283" s="303"/>
      <c r="H283" s="303"/>
      <c r="I283" s="303"/>
      <c r="J283" s="303"/>
      <c r="K283" s="303"/>
      <c r="L283" s="303"/>
      <c r="M283" s="303"/>
      <c r="N283" s="303"/>
      <c r="O283" s="303"/>
      <c r="P283" s="303"/>
      <c r="Q283" s="303"/>
      <c r="R283" s="303"/>
      <c r="S283" s="303"/>
      <c r="T283" s="303"/>
      <c r="U283" s="303"/>
      <c r="V283" s="303"/>
      <c r="W283" s="303"/>
      <c r="X283" s="303"/>
      <c r="Y283" s="303"/>
      <c r="Z283" s="532"/>
      <c r="AA283" s="530"/>
      <c r="AB283" s="525" t="str">
        <f t="shared" si="6"/>
        <v/>
      </c>
      <c r="AC283" s="525" t="str">
        <f t="shared" si="7"/>
        <v/>
      </c>
      <c r="AD283" s="525" t="str">
        <f t="shared" si="8"/>
        <v/>
      </c>
      <c r="AE283" s="525" t="str">
        <f t="shared" si="9"/>
        <v/>
      </c>
      <c r="AF283" s="525" t="str">
        <f t="shared" si="10"/>
        <v/>
      </c>
      <c r="AG283" s="525" t="str">
        <f t="shared" si="11"/>
        <v/>
      </c>
      <c r="AH283" s="525">
        <f>E283</f>
        <v>0</v>
      </c>
      <c r="AI283" s="525">
        <f>E284</f>
        <v>0</v>
      </c>
    </row>
    <row r="284" spans="1:35" x14ac:dyDescent="0.2">
      <c r="A284" s="531"/>
      <c r="B284" s="303"/>
      <c r="C284" s="303"/>
      <c r="D284" s="303"/>
      <c r="E284" s="303"/>
      <c r="F284" s="303"/>
      <c r="G284" s="303"/>
      <c r="H284" s="303"/>
      <c r="I284" s="303"/>
      <c r="J284" s="303"/>
      <c r="K284" s="303"/>
      <c r="L284" s="303"/>
      <c r="M284" s="303"/>
      <c r="N284" s="303"/>
      <c r="O284" s="303"/>
      <c r="P284" s="303"/>
      <c r="Q284" s="303"/>
      <c r="R284" s="303"/>
      <c r="S284" s="303"/>
      <c r="T284" s="303"/>
      <c r="U284" s="303"/>
      <c r="V284" s="303"/>
      <c r="W284" s="303"/>
      <c r="X284" s="303"/>
      <c r="Y284" s="303"/>
      <c r="Z284" s="532"/>
      <c r="AA284" s="530"/>
      <c r="AB284" s="525" t="str">
        <f t="shared" si="6"/>
        <v/>
      </c>
      <c r="AC284" s="525" t="str">
        <f t="shared" si="7"/>
        <v/>
      </c>
      <c r="AD284" s="525" t="str">
        <f t="shared" si="8"/>
        <v/>
      </c>
      <c r="AE284" s="525" t="str">
        <f t="shared" si="9"/>
        <v/>
      </c>
      <c r="AF284" s="525" t="str">
        <f t="shared" si="10"/>
        <v/>
      </c>
      <c r="AG284" s="525" t="str">
        <f t="shared" si="11"/>
        <v/>
      </c>
      <c r="AH284" s="525">
        <f>E283</f>
        <v>0</v>
      </c>
      <c r="AI284" s="525">
        <f>E284</f>
        <v>0</v>
      </c>
    </row>
    <row r="285" spans="1:35" x14ac:dyDescent="0.2">
      <c r="A285" s="531"/>
      <c r="B285" s="303"/>
      <c r="C285" s="303"/>
      <c r="D285" s="303"/>
      <c r="E285" s="303"/>
      <c r="F285" s="303"/>
      <c r="G285" s="303"/>
      <c r="H285" s="303"/>
      <c r="I285" s="303"/>
      <c r="J285" s="303"/>
      <c r="K285" s="303"/>
      <c r="L285" s="303"/>
      <c r="M285" s="303"/>
      <c r="N285" s="303"/>
      <c r="O285" s="303"/>
      <c r="P285" s="303"/>
      <c r="Q285" s="303"/>
      <c r="R285" s="303"/>
      <c r="S285" s="303"/>
      <c r="T285" s="303"/>
      <c r="U285" s="303"/>
      <c r="V285" s="303"/>
      <c r="W285" s="303"/>
      <c r="X285" s="303"/>
      <c r="Y285" s="303"/>
      <c r="Z285" s="532"/>
      <c r="AA285" s="530"/>
      <c r="AB285" s="525" t="str">
        <f t="shared" si="6"/>
        <v/>
      </c>
      <c r="AC285" s="525" t="str">
        <f t="shared" si="7"/>
        <v/>
      </c>
      <c r="AD285" s="525" t="str">
        <f t="shared" si="8"/>
        <v/>
      </c>
      <c r="AE285" s="525" t="str">
        <f t="shared" si="9"/>
        <v/>
      </c>
      <c r="AF285" s="525" t="str">
        <f t="shared" si="10"/>
        <v/>
      </c>
      <c r="AG285" s="525" t="str">
        <f t="shared" si="11"/>
        <v/>
      </c>
      <c r="AH285" s="525">
        <f>E286</f>
        <v>0</v>
      </c>
      <c r="AI285" s="525">
        <f>E287</f>
        <v>0</v>
      </c>
    </row>
    <row r="286" spans="1:35" x14ac:dyDescent="0.2">
      <c r="A286" s="531"/>
      <c r="B286" s="303"/>
      <c r="C286" s="303"/>
      <c r="D286" s="303"/>
      <c r="E286" s="303"/>
      <c r="F286" s="303"/>
      <c r="G286" s="303"/>
      <c r="H286" s="303"/>
      <c r="I286" s="303"/>
      <c r="J286" s="303"/>
      <c r="K286" s="303"/>
      <c r="L286" s="303"/>
      <c r="M286" s="303"/>
      <c r="N286" s="303"/>
      <c r="O286" s="303"/>
      <c r="P286" s="303"/>
      <c r="Q286" s="303"/>
      <c r="R286" s="303"/>
      <c r="S286" s="303"/>
      <c r="T286" s="303"/>
      <c r="U286" s="303"/>
      <c r="V286" s="303"/>
      <c r="W286" s="303"/>
      <c r="X286" s="303"/>
      <c r="Y286" s="303"/>
      <c r="Z286" s="532"/>
      <c r="AA286" s="530"/>
      <c r="AB286" s="525" t="str">
        <f t="shared" si="6"/>
        <v/>
      </c>
      <c r="AC286" s="525" t="str">
        <f t="shared" si="7"/>
        <v/>
      </c>
      <c r="AD286" s="525" t="str">
        <f t="shared" si="8"/>
        <v/>
      </c>
      <c r="AE286" s="525" t="str">
        <f t="shared" si="9"/>
        <v/>
      </c>
      <c r="AF286" s="525" t="str">
        <f t="shared" si="10"/>
        <v/>
      </c>
      <c r="AG286" s="525" t="str">
        <f t="shared" si="11"/>
        <v/>
      </c>
      <c r="AH286" s="525">
        <f>E286</f>
        <v>0</v>
      </c>
      <c r="AI286" s="525">
        <f>E287</f>
        <v>0</v>
      </c>
    </row>
    <row r="287" spans="1:35" x14ac:dyDescent="0.2">
      <c r="A287" s="531"/>
      <c r="B287" s="303"/>
      <c r="C287" s="303"/>
      <c r="D287" s="303"/>
      <c r="E287" s="303"/>
      <c r="F287" s="303"/>
      <c r="G287" s="303"/>
      <c r="H287" s="303"/>
      <c r="I287" s="303"/>
      <c r="J287" s="303"/>
      <c r="K287" s="303"/>
      <c r="L287" s="303"/>
      <c r="M287" s="303"/>
      <c r="N287" s="303"/>
      <c r="O287" s="303"/>
      <c r="P287" s="303"/>
      <c r="Q287" s="303"/>
      <c r="R287" s="303"/>
      <c r="S287" s="303"/>
      <c r="T287" s="303"/>
      <c r="U287" s="303"/>
      <c r="V287" s="303"/>
      <c r="W287" s="303"/>
      <c r="X287" s="303"/>
      <c r="Y287" s="303"/>
      <c r="Z287" s="532"/>
      <c r="AA287" s="530"/>
      <c r="AB287" s="525" t="str">
        <f t="shared" si="6"/>
        <v/>
      </c>
      <c r="AC287" s="525" t="str">
        <f t="shared" si="7"/>
        <v/>
      </c>
      <c r="AD287" s="525" t="str">
        <f t="shared" si="8"/>
        <v/>
      </c>
      <c r="AE287" s="525" t="str">
        <f t="shared" si="9"/>
        <v/>
      </c>
      <c r="AF287" s="525" t="str">
        <f t="shared" si="10"/>
        <v/>
      </c>
      <c r="AG287" s="525" t="str">
        <f t="shared" si="11"/>
        <v/>
      </c>
      <c r="AH287" s="525">
        <f>E286</f>
        <v>0</v>
      </c>
      <c r="AI287" s="525">
        <f>E287</f>
        <v>0</v>
      </c>
    </row>
    <row r="288" spans="1:35" x14ac:dyDescent="0.2">
      <c r="A288" s="531"/>
      <c r="B288" s="303"/>
      <c r="C288" s="303"/>
      <c r="D288" s="303"/>
      <c r="E288" s="303"/>
      <c r="F288" s="303"/>
      <c r="G288" s="303"/>
      <c r="H288" s="303"/>
      <c r="I288" s="303"/>
      <c r="J288" s="303"/>
      <c r="K288" s="303"/>
      <c r="L288" s="303"/>
      <c r="M288" s="303"/>
      <c r="N288" s="303"/>
      <c r="O288" s="303"/>
      <c r="P288" s="303"/>
      <c r="Q288" s="303"/>
      <c r="R288" s="303"/>
      <c r="S288" s="303"/>
      <c r="T288" s="303"/>
      <c r="U288" s="303"/>
      <c r="V288" s="303"/>
      <c r="W288" s="303"/>
      <c r="X288" s="303"/>
      <c r="Y288" s="303"/>
      <c r="Z288" s="532"/>
      <c r="AA288" s="530"/>
      <c r="AB288" s="525" t="str">
        <f t="shared" si="6"/>
        <v/>
      </c>
      <c r="AC288" s="525" t="str">
        <f t="shared" si="7"/>
        <v/>
      </c>
      <c r="AD288" s="525" t="str">
        <f t="shared" si="8"/>
        <v/>
      </c>
      <c r="AE288" s="525" t="str">
        <f t="shared" si="9"/>
        <v/>
      </c>
      <c r="AF288" s="525" t="str">
        <f t="shared" si="10"/>
        <v/>
      </c>
      <c r="AG288" s="525" t="str">
        <f t="shared" si="11"/>
        <v/>
      </c>
      <c r="AH288" s="525">
        <f>E289</f>
        <v>0</v>
      </c>
      <c r="AI288" s="525">
        <f>E290</f>
        <v>0</v>
      </c>
    </row>
    <row r="289" spans="1:35" x14ac:dyDescent="0.2">
      <c r="A289" s="531"/>
      <c r="B289" s="303"/>
      <c r="C289" s="303"/>
      <c r="D289" s="303"/>
      <c r="E289" s="303"/>
      <c r="F289" s="303"/>
      <c r="G289" s="303"/>
      <c r="H289" s="303"/>
      <c r="I289" s="303"/>
      <c r="J289" s="303"/>
      <c r="K289" s="303"/>
      <c r="L289" s="303"/>
      <c r="M289" s="303"/>
      <c r="N289" s="303"/>
      <c r="O289" s="303"/>
      <c r="P289" s="303"/>
      <c r="Q289" s="303"/>
      <c r="R289" s="303"/>
      <c r="S289" s="303"/>
      <c r="T289" s="303"/>
      <c r="U289" s="303"/>
      <c r="V289" s="303"/>
      <c r="W289" s="303"/>
      <c r="X289" s="303"/>
      <c r="Y289" s="303"/>
      <c r="Z289" s="532"/>
      <c r="AA289" s="530"/>
      <c r="AB289" s="525" t="str">
        <f t="shared" si="6"/>
        <v/>
      </c>
      <c r="AC289" s="525" t="str">
        <f t="shared" si="7"/>
        <v/>
      </c>
      <c r="AD289" s="525" t="str">
        <f t="shared" si="8"/>
        <v/>
      </c>
      <c r="AE289" s="525" t="str">
        <f t="shared" si="9"/>
        <v/>
      </c>
      <c r="AF289" s="525" t="str">
        <f t="shared" si="10"/>
        <v/>
      </c>
      <c r="AG289" s="525" t="str">
        <f t="shared" si="11"/>
        <v/>
      </c>
      <c r="AH289" s="525">
        <f>E289</f>
        <v>0</v>
      </c>
      <c r="AI289" s="525">
        <f>E290</f>
        <v>0</v>
      </c>
    </row>
    <row r="290" spans="1:35" x14ac:dyDescent="0.2">
      <c r="A290" s="531"/>
      <c r="B290" s="303"/>
      <c r="C290" s="303"/>
      <c r="D290" s="303"/>
      <c r="E290" s="303"/>
      <c r="F290" s="303"/>
      <c r="G290" s="303"/>
      <c r="H290" s="303"/>
      <c r="I290" s="303"/>
      <c r="J290" s="303"/>
      <c r="K290" s="303"/>
      <c r="L290" s="303"/>
      <c r="M290" s="303"/>
      <c r="N290" s="303"/>
      <c r="O290" s="303"/>
      <c r="P290" s="303"/>
      <c r="Q290" s="303"/>
      <c r="R290" s="303"/>
      <c r="S290" s="303"/>
      <c r="T290" s="303"/>
      <c r="U290" s="303"/>
      <c r="V290" s="303"/>
      <c r="W290" s="303"/>
      <c r="X290" s="303"/>
      <c r="Y290" s="303"/>
      <c r="Z290" s="532"/>
      <c r="AA290" s="530"/>
      <c r="AB290" s="525" t="str">
        <f t="shared" si="6"/>
        <v/>
      </c>
      <c r="AC290" s="525" t="str">
        <f t="shared" si="7"/>
        <v/>
      </c>
      <c r="AD290" s="525" t="str">
        <f t="shared" si="8"/>
        <v/>
      </c>
      <c r="AE290" s="525" t="str">
        <f t="shared" si="9"/>
        <v/>
      </c>
      <c r="AF290" s="525" t="str">
        <f t="shared" si="10"/>
        <v/>
      </c>
      <c r="AG290" s="525" t="str">
        <f t="shared" si="11"/>
        <v/>
      </c>
      <c r="AH290" s="525">
        <f>E289</f>
        <v>0</v>
      </c>
      <c r="AI290" s="525">
        <f>E290</f>
        <v>0</v>
      </c>
    </row>
    <row r="291" spans="1:35" x14ac:dyDescent="0.2">
      <c r="A291" s="531"/>
      <c r="B291" s="303"/>
      <c r="C291" s="303"/>
      <c r="D291" s="303"/>
      <c r="E291" s="303"/>
      <c r="F291" s="303"/>
      <c r="G291" s="303"/>
      <c r="H291" s="303"/>
      <c r="I291" s="303"/>
      <c r="J291" s="303"/>
      <c r="K291" s="303"/>
      <c r="L291" s="303"/>
      <c r="M291" s="303"/>
      <c r="N291" s="303"/>
      <c r="O291" s="303"/>
      <c r="P291" s="303"/>
      <c r="Q291" s="303"/>
      <c r="R291" s="303"/>
      <c r="S291" s="303"/>
      <c r="T291" s="303"/>
      <c r="U291" s="303"/>
      <c r="V291" s="303"/>
      <c r="W291" s="303"/>
      <c r="X291" s="303"/>
      <c r="Y291" s="303"/>
      <c r="Z291" s="532"/>
      <c r="AA291" s="530"/>
      <c r="AB291" s="525" t="str">
        <f t="shared" si="6"/>
        <v/>
      </c>
      <c r="AC291" s="525" t="str">
        <f t="shared" si="7"/>
        <v/>
      </c>
      <c r="AD291" s="525" t="str">
        <f t="shared" si="8"/>
        <v/>
      </c>
      <c r="AE291" s="525" t="str">
        <f t="shared" si="9"/>
        <v/>
      </c>
      <c r="AF291" s="525" t="str">
        <f t="shared" si="10"/>
        <v/>
      </c>
      <c r="AG291" s="525" t="str">
        <f t="shared" si="11"/>
        <v/>
      </c>
      <c r="AH291" s="525">
        <f>E292</f>
        <v>0</v>
      </c>
      <c r="AI291" s="525">
        <f>E293</f>
        <v>0</v>
      </c>
    </row>
    <row r="292" spans="1:35" x14ac:dyDescent="0.2">
      <c r="A292" s="531"/>
      <c r="B292" s="303"/>
      <c r="C292" s="303"/>
      <c r="D292" s="303"/>
      <c r="E292" s="303"/>
      <c r="F292" s="303"/>
      <c r="G292" s="303"/>
      <c r="H292" s="303"/>
      <c r="I292" s="303"/>
      <c r="J292" s="303"/>
      <c r="K292" s="303"/>
      <c r="L292" s="303"/>
      <c r="M292" s="303"/>
      <c r="N292" s="303"/>
      <c r="O292" s="303"/>
      <c r="P292" s="303"/>
      <c r="Q292" s="303"/>
      <c r="R292" s="303"/>
      <c r="S292" s="303"/>
      <c r="T292" s="303"/>
      <c r="U292" s="303"/>
      <c r="V292" s="303"/>
      <c r="W292" s="303"/>
      <c r="X292" s="303"/>
      <c r="Y292" s="303"/>
      <c r="Z292" s="532"/>
      <c r="AA292" s="530"/>
      <c r="AB292" s="525" t="str">
        <f t="shared" si="6"/>
        <v/>
      </c>
      <c r="AC292" s="525" t="str">
        <f t="shared" si="7"/>
        <v/>
      </c>
      <c r="AD292" s="525" t="str">
        <f t="shared" si="8"/>
        <v/>
      </c>
      <c r="AE292" s="525" t="str">
        <f t="shared" si="9"/>
        <v/>
      </c>
      <c r="AF292" s="525" t="str">
        <f t="shared" si="10"/>
        <v/>
      </c>
      <c r="AG292" s="525" t="str">
        <f t="shared" si="11"/>
        <v/>
      </c>
      <c r="AH292" s="525">
        <f>E292</f>
        <v>0</v>
      </c>
      <c r="AI292" s="525">
        <f>E293</f>
        <v>0</v>
      </c>
    </row>
    <row r="293" spans="1:35" x14ac:dyDescent="0.2">
      <c r="A293" s="531"/>
      <c r="B293" s="303"/>
      <c r="C293" s="303"/>
      <c r="D293" s="303"/>
      <c r="E293" s="303"/>
      <c r="F293" s="303"/>
      <c r="G293" s="303"/>
      <c r="H293" s="303"/>
      <c r="I293" s="303"/>
      <c r="J293" s="303"/>
      <c r="K293" s="303"/>
      <c r="L293" s="303"/>
      <c r="M293" s="303"/>
      <c r="N293" s="303"/>
      <c r="O293" s="303"/>
      <c r="P293" s="303"/>
      <c r="Q293" s="303"/>
      <c r="R293" s="303"/>
      <c r="S293" s="303"/>
      <c r="T293" s="303"/>
      <c r="U293" s="303"/>
      <c r="V293" s="303"/>
      <c r="W293" s="303"/>
      <c r="X293" s="303"/>
      <c r="Y293" s="303"/>
      <c r="Z293" s="532"/>
      <c r="AA293" s="530"/>
      <c r="AB293" s="525" t="str">
        <f t="shared" si="6"/>
        <v/>
      </c>
      <c r="AC293" s="525" t="str">
        <f t="shared" si="7"/>
        <v/>
      </c>
      <c r="AD293" s="525" t="str">
        <f t="shared" si="8"/>
        <v/>
      </c>
      <c r="AE293" s="525" t="str">
        <f t="shared" si="9"/>
        <v/>
      </c>
      <c r="AF293" s="525" t="str">
        <f t="shared" si="10"/>
        <v/>
      </c>
      <c r="AG293" s="525" t="str">
        <f t="shared" si="11"/>
        <v/>
      </c>
      <c r="AH293" s="525">
        <f>E292</f>
        <v>0</v>
      </c>
      <c r="AI293" s="525">
        <f>E293</f>
        <v>0</v>
      </c>
    </row>
    <row r="294" spans="1:35" x14ac:dyDescent="0.2">
      <c r="A294" s="531"/>
      <c r="B294" s="303"/>
      <c r="C294" s="303"/>
      <c r="D294" s="303"/>
      <c r="E294" s="303"/>
      <c r="F294" s="303"/>
      <c r="G294" s="303"/>
      <c r="H294" s="303"/>
      <c r="I294" s="303"/>
      <c r="J294" s="303"/>
      <c r="K294" s="303"/>
      <c r="L294" s="303"/>
      <c r="M294" s="303"/>
      <c r="N294" s="303"/>
      <c r="O294" s="303"/>
      <c r="P294" s="303"/>
      <c r="Q294" s="303"/>
      <c r="R294" s="303"/>
      <c r="S294" s="303"/>
      <c r="T294" s="303"/>
      <c r="U294" s="303"/>
      <c r="V294" s="303"/>
      <c r="W294" s="303"/>
      <c r="X294" s="303"/>
      <c r="Y294" s="303"/>
      <c r="Z294" s="532"/>
      <c r="AA294" s="530"/>
      <c r="AB294" s="525" t="str">
        <f t="shared" si="6"/>
        <v/>
      </c>
      <c r="AC294" s="525" t="str">
        <f t="shared" si="7"/>
        <v/>
      </c>
      <c r="AD294" s="525" t="str">
        <f t="shared" si="8"/>
        <v/>
      </c>
      <c r="AE294" s="525" t="str">
        <f t="shared" si="9"/>
        <v/>
      </c>
      <c r="AF294" s="525" t="str">
        <f t="shared" si="10"/>
        <v/>
      </c>
      <c r="AG294" s="525" t="str">
        <f t="shared" si="11"/>
        <v/>
      </c>
      <c r="AH294" s="525">
        <f>E295</f>
        <v>0</v>
      </c>
      <c r="AI294" s="525">
        <f>E296</f>
        <v>0</v>
      </c>
    </row>
    <row r="295" spans="1:35" x14ac:dyDescent="0.2">
      <c r="A295" s="531"/>
      <c r="B295" s="303"/>
      <c r="C295" s="303"/>
      <c r="D295" s="303"/>
      <c r="E295" s="303"/>
      <c r="F295" s="303"/>
      <c r="G295" s="303"/>
      <c r="H295" s="303"/>
      <c r="I295" s="303"/>
      <c r="J295" s="303"/>
      <c r="K295" s="303"/>
      <c r="L295" s="303"/>
      <c r="M295" s="303"/>
      <c r="N295" s="303"/>
      <c r="O295" s="303"/>
      <c r="P295" s="303"/>
      <c r="Q295" s="303"/>
      <c r="R295" s="303"/>
      <c r="S295" s="303"/>
      <c r="T295" s="303"/>
      <c r="U295" s="303"/>
      <c r="V295" s="303"/>
      <c r="W295" s="303"/>
      <c r="X295" s="303"/>
      <c r="Y295" s="303"/>
      <c r="Z295" s="532"/>
      <c r="AA295" s="530"/>
      <c r="AB295" s="525" t="str">
        <f t="shared" si="6"/>
        <v/>
      </c>
      <c r="AC295" s="525" t="str">
        <f t="shared" si="7"/>
        <v/>
      </c>
      <c r="AD295" s="525" t="str">
        <f t="shared" si="8"/>
        <v/>
      </c>
      <c r="AE295" s="525" t="str">
        <f t="shared" si="9"/>
        <v/>
      </c>
      <c r="AF295" s="525" t="str">
        <f t="shared" si="10"/>
        <v/>
      </c>
      <c r="AG295" s="525" t="str">
        <f t="shared" si="11"/>
        <v/>
      </c>
      <c r="AH295" s="525">
        <f>E295</f>
        <v>0</v>
      </c>
      <c r="AI295" s="525">
        <f>E296</f>
        <v>0</v>
      </c>
    </row>
    <row r="296" spans="1:35" x14ac:dyDescent="0.2">
      <c r="A296" s="531"/>
      <c r="B296" s="303"/>
      <c r="C296" s="303"/>
      <c r="D296" s="303"/>
      <c r="E296" s="303"/>
      <c r="F296" s="303"/>
      <c r="G296" s="303"/>
      <c r="H296" s="303"/>
      <c r="I296" s="303"/>
      <c r="J296" s="303"/>
      <c r="K296" s="303"/>
      <c r="L296" s="303"/>
      <c r="M296" s="303"/>
      <c r="N296" s="303"/>
      <c r="O296" s="303"/>
      <c r="P296" s="303"/>
      <c r="Q296" s="303"/>
      <c r="R296" s="303"/>
      <c r="S296" s="303"/>
      <c r="T296" s="303"/>
      <c r="U296" s="303"/>
      <c r="V296" s="303"/>
      <c r="W296" s="303"/>
      <c r="X296" s="303"/>
      <c r="Y296" s="303"/>
      <c r="Z296" s="532"/>
      <c r="AA296" s="530"/>
      <c r="AB296" s="525" t="str">
        <f t="shared" si="6"/>
        <v/>
      </c>
      <c r="AC296" s="525" t="str">
        <f t="shared" si="7"/>
        <v/>
      </c>
      <c r="AD296" s="525" t="str">
        <f t="shared" si="8"/>
        <v/>
      </c>
      <c r="AE296" s="525" t="str">
        <f t="shared" si="9"/>
        <v/>
      </c>
      <c r="AF296" s="525" t="str">
        <f t="shared" si="10"/>
        <v/>
      </c>
      <c r="AG296" s="525" t="str">
        <f t="shared" si="11"/>
        <v/>
      </c>
      <c r="AH296" s="525">
        <f>E295</f>
        <v>0</v>
      </c>
      <c r="AI296" s="525">
        <f>E296</f>
        <v>0</v>
      </c>
    </row>
    <row r="297" spans="1:35" x14ac:dyDescent="0.2">
      <c r="A297" s="531"/>
      <c r="B297" s="303"/>
      <c r="C297" s="303"/>
      <c r="D297" s="303"/>
      <c r="E297" s="303"/>
      <c r="F297" s="303"/>
      <c r="G297" s="303"/>
      <c r="H297" s="303"/>
      <c r="I297" s="303"/>
      <c r="J297" s="303"/>
      <c r="K297" s="303"/>
      <c r="L297" s="303"/>
      <c r="M297" s="303"/>
      <c r="N297" s="303"/>
      <c r="O297" s="303"/>
      <c r="P297" s="303"/>
      <c r="Q297" s="303"/>
      <c r="R297" s="303"/>
      <c r="S297" s="303"/>
      <c r="T297" s="303"/>
      <c r="U297" s="303"/>
      <c r="V297" s="303"/>
      <c r="W297" s="303"/>
      <c r="X297" s="303"/>
      <c r="Y297" s="303"/>
      <c r="Z297" s="532"/>
      <c r="AA297" s="530"/>
      <c r="AB297" s="525" t="str">
        <f t="shared" si="6"/>
        <v/>
      </c>
      <c r="AC297" s="525" t="str">
        <f t="shared" si="7"/>
        <v/>
      </c>
      <c r="AD297" s="525" t="str">
        <f t="shared" si="8"/>
        <v/>
      </c>
      <c r="AE297" s="525" t="str">
        <f t="shared" si="9"/>
        <v/>
      </c>
      <c r="AF297" s="525" t="str">
        <f t="shared" si="10"/>
        <v/>
      </c>
      <c r="AG297" s="525" t="str">
        <f t="shared" si="11"/>
        <v/>
      </c>
      <c r="AH297" s="525">
        <f>E298</f>
        <v>0</v>
      </c>
      <c r="AI297" s="525">
        <f>E299</f>
        <v>0</v>
      </c>
    </row>
    <row r="298" spans="1:35" x14ac:dyDescent="0.2">
      <c r="A298" s="531"/>
      <c r="B298" s="303"/>
      <c r="C298" s="303"/>
      <c r="D298" s="303"/>
      <c r="E298" s="303"/>
      <c r="F298" s="303"/>
      <c r="G298" s="303"/>
      <c r="H298" s="303"/>
      <c r="I298" s="303"/>
      <c r="J298" s="303"/>
      <c r="K298" s="303"/>
      <c r="L298" s="303"/>
      <c r="M298" s="303"/>
      <c r="N298" s="303"/>
      <c r="O298" s="303"/>
      <c r="P298" s="303"/>
      <c r="Q298" s="303"/>
      <c r="R298" s="303"/>
      <c r="S298" s="303"/>
      <c r="T298" s="303"/>
      <c r="U298" s="303"/>
      <c r="V298" s="303"/>
      <c r="W298" s="303"/>
      <c r="X298" s="303"/>
      <c r="Y298" s="303"/>
      <c r="Z298" s="532"/>
      <c r="AA298" s="530"/>
      <c r="AB298" s="525" t="str">
        <f t="shared" si="6"/>
        <v/>
      </c>
      <c r="AC298" s="525" t="str">
        <f t="shared" si="7"/>
        <v/>
      </c>
      <c r="AD298" s="525" t="str">
        <f t="shared" si="8"/>
        <v/>
      </c>
      <c r="AE298" s="525" t="str">
        <f t="shared" si="9"/>
        <v/>
      </c>
      <c r="AF298" s="525" t="str">
        <f t="shared" si="10"/>
        <v/>
      </c>
      <c r="AG298" s="525" t="str">
        <f t="shared" si="11"/>
        <v/>
      </c>
      <c r="AH298" s="525">
        <f>E298</f>
        <v>0</v>
      </c>
      <c r="AI298" s="525">
        <f>E299</f>
        <v>0</v>
      </c>
    </row>
    <row r="299" spans="1:35" x14ac:dyDescent="0.2">
      <c r="A299" s="531"/>
      <c r="B299" s="303"/>
      <c r="C299" s="303"/>
      <c r="D299" s="303"/>
      <c r="E299" s="303"/>
      <c r="F299" s="303"/>
      <c r="G299" s="303"/>
      <c r="H299" s="303"/>
      <c r="I299" s="303"/>
      <c r="J299" s="303"/>
      <c r="K299" s="303"/>
      <c r="L299" s="303"/>
      <c r="M299" s="303"/>
      <c r="N299" s="303"/>
      <c r="O299" s="303"/>
      <c r="P299" s="303"/>
      <c r="Q299" s="303"/>
      <c r="R299" s="303"/>
      <c r="S299" s="303"/>
      <c r="T299" s="303"/>
      <c r="U299" s="303"/>
      <c r="V299" s="303"/>
      <c r="W299" s="303"/>
      <c r="X299" s="303"/>
      <c r="Y299" s="303"/>
      <c r="Z299" s="532"/>
      <c r="AA299" s="530"/>
      <c r="AB299" s="525" t="str">
        <f t="shared" si="6"/>
        <v/>
      </c>
      <c r="AC299" s="525" t="str">
        <f t="shared" si="7"/>
        <v/>
      </c>
      <c r="AD299" s="525" t="str">
        <f t="shared" si="8"/>
        <v/>
      </c>
      <c r="AE299" s="525" t="str">
        <f t="shared" si="9"/>
        <v/>
      </c>
      <c r="AF299" s="525" t="str">
        <f t="shared" si="10"/>
        <v/>
      </c>
      <c r="AG299" s="525" t="str">
        <f t="shared" si="11"/>
        <v/>
      </c>
      <c r="AH299" s="525">
        <f>E298</f>
        <v>0</v>
      </c>
      <c r="AI299" s="525">
        <f>E299</f>
        <v>0</v>
      </c>
    </row>
    <row r="300" spans="1:35" x14ac:dyDescent="0.2">
      <c r="A300" s="531"/>
      <c r="B300" s="303"/>
      <c r="C300" s="303"/>
      <c r="D300" s="303"/>
      <c r="E300" s="303"/>
      <c r="F300" s="303"/>
      <c r="G300" s="303"/>
      <c r="H300" s="303"/>
      <c r="I300" s="303"/>
      <c r="J300" s="303"/>
      <c r="K300" s="303"/>
      <c r="L300" s="303"/>
      <c r="M300" s="303"/>
      <c r="N300" s="303"/>
      <c r="O300" s="303"/>
      <c r="P300" s="303"/>
      <c r="Q300" s="303"/>
      <c r="R300" s="303"/>
      <c r="S300" s="303"/>
      <c r="T300" s="303"/>
      <c r="U300" s="303"/>
      <c r="V300" s="303"/>
      <c r="W300" s="303"/>
      <c r="X300" s="303"/>
      <c r="Y300" s="303"/>
      <c r="Z300" s="532"/>
      <c r="AA300" s="530"/>
      <c r="AB300" s="525" t="str">
        <f t="shared" si="6"/>
        <v/>
      </c>
      <c r="AC300" s="525" t="str">
        <f t="shared" si="7"/>
        <v/>
      </c>
      <c r="AD300" s="525" t="str">
        <f t="shared" si="8"/>
        <v/>
      </c>
      <c r="AE300" s="525" t="str">
        <f t="shared" si="9"/>
        <v/>
      </c>
      <c r="AF300" s="525" t="str">
        <f t="shared" si="10"/>
        <v/>
      </c>
      <c r="AG300" s="525" t="str">
        <f t="shared" si="11"/>
        <v/>
      </c>
      <c r="AH300" s="525">
        <f>E301</f>
        <v>0</v>
      </c>
      <c r="AI300" s="525">
        <f>E302</f>
        <v>0</v>
      </c>
    </row>
    <row r="301" spans="1:35" x14ac:dyDescent="0.2">
      <c r="A301" s="531"/>
      <c r="B301" s="303"/>
      <c r="C301" s="303"/>
      <c r="D301" s="303"/>
      <c r="E301" s="303"/>
      <c r="F301" s="303"/>
      <c r="G301" s="303"/>
      <c r="H301" s="303"/>
      <c r="I301" s="303"/>
      <c r="J301" s="303"/>
      <c r="K301" s="303"/>
      <c r="L301" s="303"/>
      <c r="M301" s="303"/>
      <c r="N301" s="303"/>
      <c r="O301" s="303"/>
      <c r="P301" s="303"/>
      <c r="Q301" s="303"/>
      <c r="R301" s="303"/>
      <c r="S301" s="303"/>
      <c r="T301" s="303"/>
      <c r="U301" s="303"/>
      <c r="V301" s="303"/>
      <c r="W301" s="303"/>
      <c r="X301" s="303"/>
      <c r="Y301" s="303"/>
      <c r="Z301" s="532"/>
      <c r="AA301" s="530"/>
      <c r="AB301" s="525" t="str">
        <f t="shared" si="6"/>
        <v/>
      </c>
      <c r="AC301" s="525" t="str">
        <f t="shared" si="7"/>
        <v/>
      </c>
      <c r="AD301" s="525" t="str">
        <f t="shared" si="8"/>
        <v/>
      </c>
      <c r="AE301" s="525" t="str">
        <f t="shared" si="9"/>
        <v/>
      </c>
      <c r="AF301" s="525" t="str">
        <f t="shared" si="10"/>
        <v/>
      </c>
      <c r="AG301" s="525" t="str">
        <f t="shared" si="11"/>
        <v/>
      </c>
      <c r="AH301" s="525">
        <f>E301</f>
        <v>0</v>
      </c>
      <c r="AI301" s="525">
        <f>E302</f>
        <v>0</v>
      </c>
    </row>
    <row r="302" spans="1:35" x14ac:dyDescent="0.2">
      <c r="A302" s="531"/>
      <c r="B302" s="303"/>
      <c r="C302" s="303"/>
      <c r="D302" s="303"/>
      <c r="E302" s="303"/>
      <c r="F302" s="303"/>
      <c r="G302" s="303"/>
      <c r="H302" s="303"/>
      <c r="I302" s="303"/>
      <c r="J302" s="303"/>
      <c r="K302" s="303"/>
      <c r="L302" s="303"/>
      <c r="M302" s="303"/>
      <c r="N302" s="303"/>
      <c r="O302" s="303"/>
      <c r="P302" s="303"/>
      <c r="Q302" s="303"/>
      <c r="R302" s="303"/>
      <c r="S302" s="303"/>
      <c r="T302" s="303"/>
      <c r="U302" s="303"/>
      <c r="V302" s="303"/>
      <c r="W302" s="303"/>
      <c r="X302" s="303"/>
      <c r="Y302" s="303"/>
      <c r="Z302" s="532"/>
      <c r="AA302" s="530"/>
      <c r="AB302" s="525" t="str">
        <f t="shared" si="6"/>
        <v/>
      </c>
      <c r="AC302" s="525" t="str">
        <f t="shared" si="7"/>
        <v/>
      </c>
      <c r="AD302" s="525" t="str">
        <f t="shared" si="8"/>
        <v/>
      </c>
      <c r="AE302" s="525" t="str">
        <f t="shared" si="9"/>
        <v/>
      </c>
      <c r="AF302" s="525" t="str">
        <f t="shared" si="10"/>
        <v/>
      </c>
      <c r="AG302" s="525" t="str">
        <f t="shared" si="11"/>
        <v/>
      </c>
      <c r="AH302" s="525">
        <f>E301</f>
        <v>0</v>
      </c>
      <c r="AI302" s="525">
        <f>E302</f>
        <v>0</v>
      </c>
    </row>
    <row r="303" spans="1:35" x14ac:dyDescent="0.2">
      <c r="A303" s="531"/>
      <c r="B303" s="303"/>
      <c r="C303" s="303"/>
      <c r="D303" s="303"/>
      <c r="E303" s="303"/>
      <c r="F303" s="303"/>
      <c r="G303" s="303"/>
      <c r="H303" s="303"/>
      <c r="I303" s="303"/>
      <c r="J303" s="303"/>
      <c r="K303" s="303"/>
      <c r="L303" s="303"/>
      <c r="M303" s="303"/>
      <c r="N303" s="303"/>
      <c r="O303" s="303"/>
      <c r="P303" s="303"/>
      <c r="Q303" s="303"/>
      <c r="R303" s="303"/>
      <c r="S303" s="303"/>
      <c r="T303" s="303"/>
      <c r="U303" s="303"/>
      <c r="V303" s="303"/>
      <c r="W303" s="303"/>
      <c r="X303" s="303"/>
      <c r="Y303" s="303"/>
      <c r="Z303" s="532"/>
      <c r="AA303" s="530"/>
      <c r="AB303" s="525" t="str">
        <f t="shared" si="6"/>
        <v/>
      </c>
      <c r="AC303" s="525" t="str">
        <f t="shared" si="7"/>
        <v/>
      </c>
      <c r="AD303" s="525" t="str">
        <f t="shared" si="8"/>
        <v/>
      </c>
      <c r="AE303" s="525" t="str">
        <f t="shared" si="9"/>
        <v/>
      </c>
      <c r="AF303" s="525" t="str">
        <f t="shared" si="10"/>
        <v/>
      </c>
      <c r="AG303" s="525" t="str">
        <f t="shared" si="11"/>
        <v/>
      </c>
      <c r="AH303" s="525">
        <f>E304</f>
        <v>0</v>
      </c>
      <c r="AI303" s="525">
        <f>E305</f>
        <v>0</v>
      </c>
    </row>
    <row r="304" spans="1:35" x14ac:dyDescent="0.2">
      <c r="A304" s="531"/>
      <c r="B304" s="303"/>
      <c r="C304" s="303"/>
      <c r="D304" s="303"/>
      <c r="E304" s="303"/>
      <c r="F304" s="303"/>
      <c r="G304" s="303"/>
      <c r="H304" s="303"/>
      <c r="I304" s="303"/>
      <c r="J304" s="303"/>
      <c r="K304" s="303"/>
      <c r="L304" s="303"/>
      <c r="M304" s="303"/>
      <c r="N304" s="303"/>
      <c r="O304" s="303"/>
      <c r="P304" s="303"/>
      <c r="Q304" s="303"/>
      <c r="R304" s="303"/>
      <c r="S304" s="303"/>
      <c r="T304" s="303"/>
      <c r="U304" s="303"/>
      <c r="V304" s="303"/>
      <c r="W304" s="303"/>
      <c r="X304" s="303"/>
      <c r="Y304" s="303"/>
      <c r="Z304" s="532"/>
      <c r="AA304" s="530"/>
      <c r="AB304" s="525" t="str">
        <f t="shared" si="6"/>
        <v/>
      </c>
      <c r="AC304" s="525" t="str">
        <f t="shared" si="7"/>
        <v/>
      </c>
      <c r="AD304" s="525" t="str">
        <f t="shared" si="8"/>
        <v/>
      </c>
      <c r="AE304" s="525" t="str">
        <f t="shared" si="9"/>
        <v/>
      </c>
      <c r="AF304" s="525" t="str">
        <f t="shared" si="10"/>
        <v/>
      </c>
      <c r="AG304" s="525" t="str">
        <f t="shared" si="11"/>
        <v/>
      </c>
      <c r="AH304" s="525">
        <f>E304</f>
        <v>0</v>
      </c>
      <c r="AI304" s="525">
        <f>E305</f>
        <v>0</v>
      </c>
    </row>
    <row r="305" spans="1:35" x14ac:dyDescent="0.2">
      <c r="A305" s="531"/>
      <c r="B305" s="303"/>
      <c r="C305" s="303"/>
      <c r="D305" s="303"/>
      <c r="E305" s="303"/>
      <c r="F305" s="303"/>
      <c r="G305" s="303"/>
      <c r="H305" s="303"/>
      <c r="I305" s="303"/>
      <c r="J305" s="303"/>
      <c r="K305" s="303"/>
      <c r="L305" s="303"/>
      <c r="M305" s="303"/>
      <c r="N305" s="303"/>
      <c r="O305" s="303"/>
      <c r="P305" s="303"/>
      <c r="Q305" s="303"/>
      <c r="R305" s="303"/>
      <c r="S305" s="303"/>
      <c r="T305" s="303"/>
      <c r="U305" s="303"/>
      <c r="V305" s="303"/>
      <c r="W305" s="303"/>
      <c r="X305" s="303"/>
      <c r="Y305" s="303"/>
      <c r="Z305" s="532"/>
      <c r="AA305" s="530"/>
      <c r="AB305" s="525" t="str">
        <f t="shared" si="6"/>
        <v/>
      </c>
      <c r="AC305" s="525" t="str">
        <f t="shared" si="7"/>
        <v/>
      </c>
      <c r="AD305" s="525" t="str">
        <f t="shared" si="8"/>
        <v/>
      </c>
      <c r="AE305" s="525" t="str">
        <f t="shared" si="9"/>
        <v/>
      </c>
      <c r="AF305" s="525" t="str">
        <f t="shared" si="10"/>
        <v/>
      </c>
      <c r="AG305" s="525" t="str">
        <f t="shared" si="11"/>
        <v/>
      </c>
      <c r="AH305" s="525">
        <f>E304</f>
        <v>0</v>
      </c>
      <c r="AI305" s="525">
        <f>E305</f>
        <v>0</v>
      </c>
    </row>
    <row r="306" spans="1:35" x14ac:dyDescent="0.2">
      <c r="A306" s="531"/>
      <c r="B306" s="303"/>
      <c r="C306" s="303"/>
      <c r="D306" s="303"/>
      <c r="E306" s="303"/>
      <c r="F306" s="303"/>
      <c r="G306" s="303"/>
      <c r="H306" s="303"/>
      <c r="I306" s="303"/>
      <c r="J306" s="303"/>
      <c r="K306" s="303"/>
      <c r="L306" s="303"/>
      <c r="M306" s="303"/>
      <c r="N306" s="303"/>
      <c r="O306" s="303"/>
      <c r="P306" s="303"/>
      <c r="Q306" s="303"/>
      <c r="R306" s="303"/>
      <c r="S306" s="303"/>
      <c r="T306" s="303"/>
      <c r="U306" s="303"/>
      <c r="V306" s="303"/>
      <c r="W306" s="303"/>
      <c r="X306" s="303"/>
      <c r="Y306" s="303"/>
      <c r="Z306" s="532"/>
      <c r="AA306" s="530"/>
      <c r="AB306" s="525" t="str">
        <f t="shared" si="6"/>
        <v/>
      </c>
      <c r="AC306" s="525" t="str">
        <f t="shared" si="7"/>
        <v/>
      </c>
      <c r="AD306" s="525" t="str">
        <f t="shared" si="8"/>
        <v/>
      </c>
      <c r="AE306" s="525" t="str">
        <f t="shared" si="9"/>
        <v/>
      </c>
      <c r="AF306" s="525" t="str">
        <f t="shared" si="10"/>
        <v/>
      </c>
      <c r="AG306" s="525" t="str">
        <f t="shared" si="11"/>
        <v/>
      </c>
      <c r="AH306" s="525">
        <f>E307</f>
        <v>0</v>
      </c>
      <c r="AI306" s="525">
        <f>E308</f>
        <v>0</v>
      </c>
    </row>
    <row r="307" spans="1:35" x14ac:dyDescent="0.2">
      <c r="A307" s="531"/>
      <c r="B307" s="303"/>
      <c r="C307" s="303"/>
      <c r="D307" s="303"/>
      <c r="E307" s="303"/>
      <c r="F307" s="303"/>
      <c r="G307" s="303"/>
      <c r="H307" s="303"/>
      <c r="I307" s="303"/>
      <c r="J307" s="303"/>
      <c r="K307" s="303"/>
      <c r="L307" s="303"/>
      <c r="M307" s="303"/>
      <c r="N307" s="303"/>
      <c r="O307" s="303"/>
      <c r="P307" s="303"/>
      <c r="Q307" s="303"/>
      <c r="R307" s="303"/>
      <c r="S307" s="303"/>
      <c r="T307" s="303"/>
      <c r="U307" s="303"/>
      <c r="V307" s="303"/>
      <c r="W307" s="303"/>
      <c r="X307" s="303"/>
      <c r="Y307" s="303"/>
      <c r="Z307" s="532"/>
      <c r="AA307" s="530"/>
      <c r="AB307" s="525" t="str">
        <f t="shared" si="6"/>
        <v/>
      </c>
      <c r="AC307" s="525" t="str">
        <f t="shared" si="7"/>
        <v/>
      </c>
      <c r="AD307" s="525" t="str">
        <f t="shared" si="8"/>
        <v/>
      </c>
      <c r="AE307" s="525" t="str">
        <f t="shared" si="9"/>
        <v/>
      </c>
      <c r="AF307" s="525" t="str">
        <f t="shared" si="10"/>
        <v/>
      </c>
      <c r="AG307" s="525" t="str">
        <f t="shared" si="11"/>
        <v/>
      </c>
      <c r="AH307" s="525">
        <f>E307</f>
        <v>0</v>
      </c>
      <c r="AI307" s="525">
        <f>E308</f>
        <v>0</v>
      </c>
    </row>
    <row r="308" spans="1:35" x14ac:dyDescent="0.2">
      <c r="A308" s="531"/>
      <c r="B308" s="303"/>
      <c r="C308" s="303"/>
      <c r="D308" s="303"/>
      <c r="E308" s="303"/>
      <c r="F308" s="303"/>
      <c r="G308" s="303"/>
      <c r="H308" s="303"/>
      <c r="I308" s="303"/>
      <c r="J308" s="303"/>
      <c r="K308" s="303"/>
      <c r="L308" s="303"/>
      <c r="M308" s="303"/>
      <c r="N308" s="303"/>
      <c r="O308" s="303"/>
      <c r="P308" s="303"/>
      <c r="Q308" s="303"/>
      <c r="R308" s="303"/>
      <c r="S308" s="303"/>
      <c r="T308" s="303"/>
      <c r="U308" s="303"/>
      <c r="V308" s="303"/>
      <c r="W308" s="303"/>
      <c r="X308" s="303"/>
      <c r="Y308" s="303"/>
      <c r="Z308" s="532"/>
      <c r="AA308" s="530"/>
      <c r="AB308" s="525" t="str">
        <f t="shared" si="6"/>
        <v/>
      </c>
      <c r="AC308" s="525" t="str">
        <f t="shared" si="7"/>
        <v/>
      </c>
      <c r="AD308" s="525" t="str">
        <f t="shared" si="8"/>
        <v/>
      </c>
      <c r="AE308" s="525" t="str">
        <f t="shared" si="9"/>
        <v/>
      </c>
      <c r="AF308" s="525" t="str">
        <f t="shared" si="10"/>
        <v/>
      </c>
      <c r="AG308" s="525" t="str">
        <f t="shared" si="11"/>
        <v/>
      </c>
      <c r="AH308" s="525">
        <f>E307</f>
        <v>0</v>
      </c>
      <c r="AI308" s="525">
        <f>E308</f>
        <v>0</v>
      </c>
    </row>
    <row r="309" spans="1:35" x14ac:dyDescent="0.2">
      <c r="A309" s="531"/>
      <c r="B309" s="303"/>
      <c r="C309" s="303"/>
      <c r="D309" s="303"/>
      <c r="E309" s="303"/>
      <c r="F309" s="303"/>
      <c r="G309" s="303"/>
      <c r="H309" s="303"/>
      <c r="I309" s="303"/>
      <c r="J309" s="303"/>
      <c r="K309" s="303"/>
      <c r="L309" s="303"/>
      <c r="M309" s="303"/>
      <c r="N309" s="303"/>
      <c r="O309" s="303"/>
      <c r="P309" s="303"/>
      <c r="Q309" s="303"/>
      <c r="R309" s="303"/>
      <c r="S309" s="303"/>
      <c r="T309" s="303"/>
      <c r="U309" s="303"/>
      <c r="V309" s="303"/>
      <c r="W309" s="303"/>
      <c r="X309" s="303"/>
      <c r="Y309" s="303"/>
      <c r="Z309" s="532"/>
      <c r="AA309" s="530"/>
      <c r="AB309" s="525" t="str">
        <f t="shared" si="6"/>
        <v/>
      </c>
      <c r="AC309" s="525" t="str">
        <f t="shared" si="7"/>
        <v/>
      </c>
      <c r="AD309" s="525" t="str">
        <f t="shared" si="8"/>
        <v/>
      </c>
      <c r="AE309" s="525" t="str">
        <f t="shared" si="9"/>
        <v/>
      </c>
      <c r="AF309" s="525" t="str">
        <f t="shared" si="10"/>
        <v/>
      </c>
      <c r="AG309" s="525" t="str">
        <f t="shared" si="11"/>
        <v/>
      </c>
      <c r="AH309" s="525">
        <f>E310</f>
        <v>0</v>
      </c>
      <c r="AI309" s="525">
        <f>E311</f>
        <v>0</v>
      </c>
    </row>
    <row r="310" spans="1:35" x14ac:dyDescent="0.2">
      <c r="A310" s="531"/>
      <c r="B310" s="303"/>
      <c r="C310" s="303"/>
      <c r="D310" s="303"/>
      <c r="E310" s="303"/>
      <c r="F310" s="303"/>
      <c r="G310" s="303"/>
      <c r="H310" s="303"/>
      <c r="I310" s="303"/>
      <c r="J310" s="303"/>
      <c r="K310" s="303"/>
      <c r="L310" s="303"/>
      <c r="M310" s="303"/>
      <c r="N310" s="303"/>
      <c r="O310" s="303"/>
      <c r="P310" s="303"/>
      <c r="Q310" s="303"/>
      <c r="R310" s="303"/>
      <c r="S310" s="303"/>
      <c r="T310" s="303"/>
      <c r="U310" s="303"/>
      <c r="V310" s="303"/>
      <c r="W310" s="303"/>
      <c r="X310" s="303"/>
      <c r="Y310" s="303"/>
      <c r="Z310" s="532"/>
      <c r="AA310" s="530"/>
      <c r="AB310" s="525" t="str">
        <f t="shared" si="6"/>
        <v/>
      </c>
      <c r="AC310" s="525" t="str">
        <f t="shared" si="7"/>
        <v/>
      </c>
      <c r="AD310" s="525" t="str">
        <f t="shared" si="8"/>
        <v/>
      </c>
      <c r="AE310" s="525" t="str">
        <f t="shared" si="9"/>
        <v/>
      </c>
      <c r="AF310" s="525" t="str">
        <f t="shared" si="10"/>
        <v/>
      </c>
      <c r="AG310" s="525" t="str">
        <f t="shared" si="11"/>
        <v/>
      </c>
      <c r="AH310" s="525">
        <f>E310</f>
        <v>0</v>
      </c>
      <c r="AI310" s="525">
        <f>E311</f>
        <v>0</v>
      </c>
    </row>
    <row r="311" spans="1:35" x14ac:dyDescent="0.2">
      <c r="A311" s="531"/>
      <c r="B311" s="303"/>
      <c r="C311" s="303"/>
      <c r="D311" s="303"/>
      <c r="E311" s="303"/>
      <c r="F311" s="303"/>
      <c r="G311" s="303"/>
      <c r="H311" s="303"/>
      <c r="I311" s="303"/>
      <c r="J311" s="303"/>
      <c r="K311" s="303"/>
      <c r="L311" s="303"/>
      <c r="M311" s="303"/>
      <c r="N311" s="303"/>
      <c r="O311" s="303"/>
      <c r="P311" s="303"/>
      <c r="Q311" s="303"/>
      <c r="R311" s="303"/>
      <c r="S311" s="303"/>
      <c r="T311" s="303"/>
      <c r="U311" s="303"/>
      <c r="V311" s="303"/>
      <c r="W311" s="303"/>
      <c r="X311" s="303"/>
      <c r="Y311" s="303"/>
      <c r="Z311" s="532"/>
      <c r="AA311" s="530"/>
      <c r="AB311" s="525" t="str">
        <f t="shared" si="6"/>
        <v/>
      </c>
      <c r="AC311" s="525" t="str">
        <f t="shared" si="7"/>
        <v/>
      </c>
      <c r="AD311" s="525" t="str">
        <f t="shared" si="8"/>
        <v/>
      </c>
      <c r="AE311" s="525" t="str">
        <f t="shared" si="9"/>
        <v/>
      </c>
      <c r="AF311" s="525" t="str">
        <f t="shared" si="10"/>
        <v/>
      </c>
      <c r="AG311" s="525" t="str">
        <f t="shared" si="11"/>
        <v/>
      </c>
      <c r="AH311" s="525">
        <f>E310</f>
        <v>0</v>
      </c>
      <c r="AI311" s="525">
        <f>E311</f>
        <v>0</v>
      </c>
    </row>
    <row r="312" spans="1:35" x14ac:dyDescent="0.2">
      <c r="A312" s="531"/>
      <c r="B312" s="303"/>
      <c r="C312" s="303"/>
      <c r="D312" s="303"/>
      <c r="E312" s="303"/>
      <c r="F312" s="303"/>
      <c r="G312" s="303"/>
      <c r="H312" s="303"/>
      <c r="I312" s="303"/>
      <c r="J312" s="303"/>
      <c r="K312" s="303"/>
      <c r="L312" s="303"/>
      <c r="M312" s="303"/>
      <c r="N312" s="303"/>
      <c r="O312" s="303"/>
      <c r="P312" s="303"/>
      <c r="Q312" s="303"/>
      <c r="R312" s="303"/>
      <c r="S312" s="303"/>
      <c r="T312" s="303"/>
      <c r="U312" s="303"/>
      <c r="V312" s="303"/>
      <c r="W312" s="303"/>
      <c r="X312" s="303"/>
      <c r="Y312" s="303"/>
      <c r="Z312" s="532"/>
      <c r="AA312" s="530"/>
      <c r="AB312" s="525" t="str">
        <f t="shared" si="6"/>
        <v/>
      </c>
      <c r="AC312" s="525" t="str">
        <f t="shared" si="7"/>
        <v/>
      </c>
      <c r="AD312" s="525" t="str">
        <f t="shared" si="8"/>
        <v/>
      </c>
      <c r="AE312" s="525" t="str">
        <f t="shared" si="9"/>
        <v/>
      </c>
      <c r="AF312" s="525" t="str">
        <f t="shared" si="10"/>
        <v/>
      </c>
      <c r="AG312" s="525" t="str">
        <f t="shared" si="11"/>
        <v/>
      </c>
      <c r="AH312" s="525">
        <f>E313</f>
        <v>0</v>
      </c>
      <c r="AI312" s="525">
        <f>E314</f>
        <v>0</v>
      </c>
    </row>
    <row r="313" spans="1:35" x14ac:dyDescent="0.2">
      <c r="A313" s="531"/>
      <c r="B313" s="303"/>
      <c r="C313" s="303"/>
      <c r="D313" s="303"/>
      <c r="E313" s="303"/>
      <c r="F313" s="303"/>
      <c r="G313" s="303"/>
      <c r="H313" s="303"/>
      <c r="I313" s="303"/>
      <c r="J313" s="303"/>
      <c r="K313" s="303"/>
      <c r="L313" s="303"/>
      <c r="M313" s="303"/>
      <c r="N313" s="303"/>
      <c r="O313" s="303"/>
      <c r="P313" s="303"/>
      <c r="Q313" s="303"/>
      <c r="R313" s="303"/>
      <c r="S313" s="303"/>
      <c r="T313" s="303"/>
      <c r="U313" s="303"/>
      <c r="V313" s="303"/>
      <c r="W313" s="303"/>
      <c r="X313" s="303"/>
      <c r="Y313" s="303"/>
      <c r="Z313" s="532"/>
      <c r="AA313" s="530"/>
      <c r="AB313" s="525" t="str">
        <f t="shared" si="6"/>
        <v/>
      </c>
      <c r="AC313" s="525" t="str">
        <f t="shared" si="7"/>
        <v/>
      </c>
      <c r="AD313" s="525" t="str">
        <f t="shared" si="8"/>
        <v/>
      </c>
      <c r="AE313" s="525" t="str">
        <f t="shared" si="9"/>
        <v/>
      </c>
      <c r="AF313" s="525" t="str">
        <f t="shared" si="10"/>
        <v/>
      </c>
      <c r="AG313" s="525" t="str">
        <f t="shared" si="11"/>
        <v/>
      </c>
      <c r="AH313" s="525">
        <f>E313</f>
        <v>0</v>
      </c>
      <c r="AI313" s="525">
        <f>E314</f>
        <v>0</v>
      </c>
    </row>
    <row r="314" spans="1:35" x14ac:dyDescent="0.2">
      <c r="A314" s="531"/>
      <c r="B314" s="303"/>
      <c r="C314" s="303"/>
      <c r="D314" s="303"/>
      <c r="E314" s="303"/>
      <c r="F314" s="303"/>
      <c r="G314" s="303"/>
      <c r="H314" s="303"/>
      <c r="I314" s="303"/>
      <c r="J314" s="303"/>
      <c r="K314" s="303"/>
      <c r="L314" s="303"/>
      <c r="M314" s="303"/>
      <c r="N314" s="303"/>
      <c r="O314" s="303"/>
      <c r="P314" s="303"/>
      <c r="Q314" s="303"/>
      <c r="R314" s="303"/>
      <c r="S314" s="303"/>
      <c r="T314" s="303"/>
      <c r="U314" s="303"/>
      <c r="V314" s="303"/>
      <c r="W314" s="303"/>
      <c r="X314" s="303"/>
      <c r="Y314" s="303"/>
      <c r="Z314" s="532"/>
      <c r="AA314" s="530"/>
      <c r="AB314" s="525" t="str">
        <f t="shared" si="6"/>
        <v/>
      </c>
      <c r="AC314" s="525" t="str">
        <f t="shared" si="7"/>
        <v/>
      </c>
      <c r="AD314" s="525" t="str">
        <f t="shared" si="8"/>
        <v/>
      </c>
      <c r="AE314" s="525" t="str">
        <f t="shared" si="9"/>
        <v/>
      </c>
      <c r="AF314" s="525" t="str">
        <f t="shared" si="10"/>
        <v/>
      </c>
      <c r="AG314" s="525" t="str">
        <f t="shared" si="11"/>
        <v/>
      </c>
      <c r="AH314" s="525">
        <f>E313</f>
        <v>0</v>
      </c>
      <c r="AI314" s="525">
        <f>E314</f>
        <v>0</v>
      </c>
    </row>
    <row r="315" spans="1:35" x14ac:dyDescent="0.2">
      <c r="A315" s="531"/>
      <c r="B315" s="303"/>
      <c r="C315" s="303"/>
      <c r="D315" s="303"/>
      <c r="E315" s="303"/>
      <c r="F315" s="303"/>
      <c r="G315" s="303"/>
      <c r="H315" s="303"/>
      <c r="I315" s="303"/>
      <c r="J315" s="303"/>
      <c r="K315" s="303"/>
      <c r="L315" s="303"/>
      <c r="M315" s="303"/>
      <c r="N315" s="303"/>
      <c r="O315" s="303"/>
      <c r="P315" s="303"/>
      <c r="Q315" s="303"/>
      <c r="R315" s="303"/>
      <c r="S315" s="303"/>
      <c r="T315" s="303"/>
      <c r="U315" s="303"/>
      <c r="V315" s="303"/>
      <c r="W315" s="303"/>
      <c r="X315" s="303"/>
      <c r="Y315" s="303"/>
      <c r="Z315" s="532"/>
      <c r="AA315" s="530"/>
      <c r="AB315" s="525" t="str">
        <f t="shared" si="6"/>
        <v/>
      </c>
      <c r="AC315" s="525" t="str">
        <f t="shared" si="7"/>
        <v/>
      </c>
      <c r="AD315" s="525" t="str">
        <f t="shared" si="8"/>
        <v/>
      </c>
      <c r="AE315" s="525" t="str">
        <f t="shared" si="9"/>
        <v/>
      </c>
      <c r="AF315" s="525" t="str">
        <f t="shared" si="10"/>
        <v/>
      </c>
      <c r="AG315" s="525" t="str">
        <f t="shared" si="11"/>
        <v/>
      </c>
      <c r="AH315" s="525">
        <f>E316</f>
        <v>0</v>
      </c>
      <c r="AI315" s="525">
        <f>E317</f>
        <v>0</v>
      </c>
    </row>
    <row r="316" spans="1:35" x14ac:dyDescent="0.2">
      <c r="A316" s="531"/>
      <c r="B316" s="303"/>
      <c r="C316" s="303"/>
      <c r="D316" s="303"/>
      <c r="E316" s="303"/>
      <c r="F316" s="303"/>
      <c r="G316" s="303"/>
      <c r="H316" s="303"/>
      <c r="I316" s="303"/>
      <c r="J316" s="303"/>
      <c r="K316" s="303"/>
      <c r="L316" s="303"/>
      <c r="M316" s="303"/>
      <c r="N316" s="303"/>
      <c r="O316" s="303"/>
      <c r="P316" s="303"/>
      <c r="Q316" s="303"/>
      <c r="R316" s="303"/>
      <c r="S316" s="303"/>
      <c r="T316" s="303"/>
      <c r="U316" s="303"/>
      <c r="V316" s="303"/>
      <c r="W316" s="303"/>
      <c r="X316" s="303"/>
      <c r="Y316" s="303"/>
      <c r="Z316" s="532"/>
      <c r="AA316" s="530"/>
      <c r="AB316" s="525" t="str">
        <f t="shared" si="6"/>
        <v/>
      </c>
      <c r="AC316" s="525" t="str">
        <f t="shared" si="7"/>
        <v/>
      </c>
      <c r="AD316" s="525" t="str">
        <f t="shared" si="8"/>
        <v/>
      </c>
      <c r="AE316" s="525" t="str">
        <f t="shared" si="9"/>
        <v/>
      </c>
      <c r="AF316" s="525" t="str">
        <f t="shared" si="10"/>
        <v/>
      </c>
      <c r="AG316" s="525" t="str">
        <f t="shared" si="11"/>
        <v/>
      </c>
      <c r="AH316" s="525">
        <f>E316</f>
        <v>0</v>
      </c>
      <c r="AI316" s="525">
        <f>E317</f>
        <v>0</v>
      </c>
    </row>
    <row r="317" spans="1:35" x14ac:dyDescent="0.2">
      <c r="A317" s="531"/>
      <c r="B317" s="303"/>
      <c r="C317" s="303"/>
      <c r="D317" s="303"/>
      <c r="E317" s="303"/>
      <c r="F317" s="303"/>
      <c r="G317" s="303"/>
      <c r="H317" s="303"/>
      <c r="I317" s="303"/>
      <c r="J317" s="303"/>
      <c r="K317" s="303"/>
      <c r="L317" s="303"/>
      <c r="M317" s="303"/>
      <c r="N317" s="303"/>
      <c r="O317" s="303"/>
      <c r="P317" s="303"/>
      <c r="Q317" s="303"/>
      <c r="R317" s="303"/>
      <c r="S317" s="303"/>
      <c r="T317" s="303"/>
      <c r="U317" s="303"/>
      <c r="V317" s="303"/>
      <c r="W317" s="303"/>
      <c r="X317" s="303"/>
      <c r="Y317" s="303"/>
      <c r="Z317" s="532"/>
      <c r="AA317" s="530"/>
      <c r="AB317" s="525" t="str">
        <f t="shared" si="6"/>
        <v/>
      </c>
      <c r="AC317" s="525" t="str">
        <f t="shared" si="7"/>
        <v/>
      </c>
      <c r="AD317" s="525" t="str">
        <f t="shared" si="8"/>
        <v/>
      </c>
      <c r="AE317" s="525" t="str">
        <f t="shared" si="9"/>
        <v/>
      </c>
      <c r="AF317" s="525" t="str">
        <f t="shared" si="10"/>
        <v/>
      </c>
      <c r="AG317" s="525" t="str">
        <f t="shared" si="11"/>
        <v/>
      </c>
      <c r="AH317" s="525">
        <f>E316</f>
        <v>0</v>
      </c>
      <c r="AI317" s="525">
        <f>E317</f>
        <v>0</v>
      </c>
    </row>
    <row r="318" spans="1:35" x14ac:dyDescent="0.2">
      <c r="A318" s="531"/>
      <c r="B318" s="303"/>
      <c r="C318" s="303"/>
      <c r="D318" s="303"/>
      <c r="E318" s="303"/>
      <c r="F318" s="303"/>
      <c r="G318" s="303"/>
      <c r="H318" s="303"/>
      <c r="I318" s="303"/>
      <c r="J318" s="303"/>
      <c r="K318" s="303"/>
      <c r="L318" s="303"/>
      <c r="M318" s="303"/>
      <c r="N318" s="303"/>
      <c r="O318" s="303"/>
      <c r="P318" s="303"/>
      <c r="Q318" s="303"/>
      <c r="R318" s="303"/>
      <c r="S318" s="303"/>
      <c r="T318" s="303"/>
      <c r="U318" s="303"/>
      <c r="V318" s="303"/>
      <c r="W318" s="303"/>
      <c r="X318" s="303"/>
      <c r="Y318" s="303"/>
      <c r="Z318" s="532"/>
      <c r="AA318" s="530"/>
      <c r="AB318" s="525" t="str">
        <f t="shared" si="6"/>
        <v/>
      </c>
      <c r="AC318" s="525" t="str">
        <f t="shared" si="7"/>
        <v/>
      </c>
      <c r="AD318" s="525" t="str">
        <f t="shared" si="8"/>
        <v/>
      </c>
      <c r="AE318" s="525" t="str">
        <f t="shared" si="9"/>
        <v/>
      </c>
      <c r="AF318" s="525" t="str">
        <f t="shared" si="10"/>
        <v/>
      </c>
      <c r="AG318" s="525" t="str">
        <f t="shared" si="11"/>
        <v/>
      </c>
      <c r="AH318" s="525">
        <f>E319</f>
        <v>0</v>
      </c>
      <c r="AI318" s="525">
        <f>E320</f>
        <v>0</v>
      </c>
    </row>
    <row r="319" spans="1:35" x14ac:dyDescent="0.2">
      <c r="A319" s="531"/>
      <c r="B319" s="303"/>
      <c r="C319" s="303"/>
      <c r="D319" s="303"/>
      <c r="E319" s="303"/>
      <c r="F319" s="303"/>
      <c r="G319" s="303"/>
      <c r="H319" s="303"/>
      <c r="I319" s="303"/>
      <c r="J319" s="303"/>
      <c r="K319" s="303"/>
      <c r="L319" s="303"/>
      <c r="M319" s="303"/>
      <c r="N319" s="303"/>
      <c r="O319" s="303"/>
      <c r="P319" s="303"/>
      <c r="Q319" s="303"/>
      <c r="R319" s="303"/>
      <c r="S319" s="303"/>
      <c r="T319" s="303"/>
      <c r="U319" s="303"/>
      <c r="V319" s="303"/>
      <c r="W319" s="303"/>
      <c r="X319" s="303"/>
      <c r="Y319" s="303"/>
      <c r="Z319" s="532"/>
      <c r="AA319" s="530"/>
      <c r="AB319" s="525" t="str">
        <f t="shared" si="6"/>
        <v/>
      </c>
      <c r="AC319" s="525" t="str">
        <f t="shared" si="7"/>
        <v/>
      </c>
      <c r="AD319" s="525" t="str">
        <f t="shared" si="8"/>
        <v/>
      </c>
      <c r="AE319" s="525" t="str">
        <f t="shared" si="9"/>
        <v/>
      </c>
      <c r="AF319" s="525" t="str">
        <f t="shared" si="10"/>
        <v/>
      </c>
      <c r="AG319" s="525" t="str">
        <f t="shared" si="11"/>
        <v/>
      </c>
      <c r="AH319" s="525">
        <f>E319</f>
        <v>0</v>
      </c>
      <c r="AI319" s="525">
        <f>E320</f>
        <v>0</v>
      </c>
    </row>
    <row r="320" spans="1:35" x14ac:dyDescent="0.2">
      <c r="A320" s="531"/>
      <c r="B320" s="303"/>
      <c r="C320" s="303"/>
      <c r="D320" s="303"/>
      <c r="E320" s="303"/>
      <c r="F320" s="303"/>
      <c r="G320" s="303"/>
      <c r="H320" s="303"/>
      <c r="I320" s="303"/>
      <c r="J320" s="303"/>
      <c r="K320" s="303"/>
      <c r="L320" s="303"/>
      <c r="M320" s="303"/>
      <c r="N320" s="303"/>
      <c r="O320" s="303"/>
      <c r="P320" s="303"/>
      <c r="Q320" s="303"/>
      <c r="R320" s="303"/>
      <c r="S320" s="303"/>
      <c r="T320" s="303"/>
      <c r="U320" s="303"/>
      <c r="V320" s="303"/>
      <c r="W320" s="303"/>
      <c r="X320" s="303"/>
      <c r="Y320" s="303"/>
      <c r="Z320" s="532"/>
      <c r="AA320" s="530"/>
      <c r="AB320" s="525" t="str">
        <f t="shared" si="6"/>
        <v/>
      </c>
      <c r="AC320" s="525" t="str">
        <f t="shared" si="7"/>
        <v/>
      </c>
      <c r="AD320" s="525" t="str">
        <f t="shared" si="8"/>
        <v/>
      </c>
      <c r="AE320" s="525" t="str">
        <f t="shared" si="9"/>
        <v/>
      </c>
      <c r="AF320" s="525" t="str">
        <f t="shared" si="10"/>
        <v/>
      </c>
      <c r="AG320" s="525" t="str">
        <f t="shared" si="11"/>
        <v/>
      </c>
      <c r="AH320" s="525">
        <f>E319</f>
        <v>0</v>
      </c>
      <c r="AI320" s="525">
        <f>E320</f>
        <v>0</v>
      </c>
    </row>
    <row r="321" spans="1:35" x14ac:dyDescent="0.2">
      <c r="A321" s="531"/>
      <c r="B321" s="303"/>
      <c r="C321" s="303"/>
      <c r="D321" s="303"/>
      <c r="E321" s="303"/>
      <c r="F321" s="303"/>
      <c r="G321" s="303"/>
      <c r="H321" s="303"/>
      <c r="I321" s="303"/>
      <c r="J321" s="303"/>
      <c r="K321" s="303"/>
      <c r="L321" s="303"/>
      <c r="M321" s="303"/>
      <c r="N321" s="303"/>
      <c r="O321" s="303"/>
      <c r="P321" s="303"/>
      <c r="Q321" s="303"/>
      <c r="R321" s="303"/>
      <c r="S321" s="303"/>
      <c r="T321" s="303"/>
      <c r="U321" s="303"/>
      <c r="V321" s="303"/>
      <c r="W321" s="303"/>
      <c r="X321" s="303"/>
      <c r="Y321" s="303"/>
      <c r="Z321" s="532"/>
      <c r="AA321" s="530"/>
      <c r="AB321" s="525" t="str">
        <f t="shared" si="6"/>
        <v/>
      </c>
      <c r="AC321" s="525" t="str">
        <f t="shared" si="7"/>
        <v/>
      </c>
      <c r="AD321" s="525" t="str">
        <f t="shared" si="8"/>
        <v/>
      </c>
      <c r="AE321" s="525" t="str">
        <f t="shared" si="9"/>
        <v/>
      </c>
      <c r="AF321" s="525" t="str">
        <f t="shared" si="10"/>
        <v/>
      </c>
      <c r="AG321" s="525" t="str">
        <f t="shared" si="11"/>
        <v/>
      </c>
      <c r="AH321" s="525">
        <f>E322</f>
        <v>0</v>
      </c>
      <c r="AI321" s="525">
        <f>E323</f>
        <v>0</v>
      </c>
    </row>
    <row r="322" spans="1:35" x14ac:dyDescent="0.2">
      <c r="A322" s="531"/>
      <c r="B322" s="303"/>
      <c r="C322" s="303"/>
      <c r="D322" s="303"/>
      <c r="E322" s="303"/>
      <c r="F322" s="303"/>
      <c r="G322" s="303"/>
      <c r="H322" s="303"/>
      <c r="I322" s="303"/>
      <c r="J322" s="303"/>
      <c r="K322" s="303"/>
      <c r="L322" s="303"/>
      <c r="M322" s="303"/>
      <c r="N322" s="303"/>
      <c r="O322" s="303"/>
      <c r="P322" s="303"/>
      <c r="Q322" s="303"/>
      <c r="R322" s="303"/>
      <c r="S322" s="303"/>
      <c r="T322" s="303"/>
      <c r="U322" s="303"/>
      <c r="V322" s="303"/>
      <c r="W322" s="303"/>
      <c r="X322" s="303"/>
      <c r="Y322" s="303"/>
      <c r="Z322" s="532"/>
      <c r="AA322" s="530"/>
      <c r="AB322" s="525" t="str">
        <f t="shared" si="6"/>
        <v/>
      </c>
      <c r="AC322" s="525" t="str">
        <f t="shared" si="7"/>
        <v/>
      </c>
      <c r="AD322" s="525" t="str">
        <f t="shared" si="8"/>
        <v/>
      </c>
      <c r="AE322" s="525" t="str">
        <f t="shared" si="9"/>
        <v/>
      </c>
      <c r="AF322" s="525" t="str">
        <f t="shared" si="10"/>
        <v/>
      </c>
      <c r="AG322" s="525" t="str">
        <f t="shared" si="11"/>
        <v/>
      </c>
      <c r="AH322" s="525">
        <f>E322</f>
        <v>0</v>
      </c>
      <c r="AI322" s="525">
        <f>E323</f>
        <v>0</v>
      </c>
    </row>
    <row r="323" spans="1:35" x14ac:dyDescent="0.2">
      <c r="A323" s="531"/>
      <c r="B323" s="303"/>
      <c r="C323" s="303"/>
      <c r="D323" s="303"/>
      <c r="E323" s="303"/>
      <c r="F323" s="303"/>
      <c r="G323" s="303"/>
      <c r="H323" s="303"/>
      <c r="I323" s="303"/>
      <c r="J323" s="303"/>
      <c r="K323" s="303"/>
      <c r="L323" s="303"/>
      <c r="M323" s="303"/>
      <c r="N323" s="303"/>
      <c r="O323" s="303"/>
      <c r="P323" s="303"/>
      <c r="Q323" s="303"/>
      <c r="R323" s="303"/>
      <c r="S323" s="303"/>
      <c r="T323" s="303"/>
      <c r="U323" s="303"/>
      <c r="V323" s="303"/>
      <c r="W323" s="303"/>
      <c r="X323" s="303"/>
      <c r="Y323" s="303"/>
      <c r="Z323" s="532"/>
      <c r="AA323" s="530"/>
      <c r="AB323" s="525" t="str">
        <f t="shared" si="6"/>
        <v/>
      </c>
      <c r="AC323" s="525" t="str">
        <f t="shared" si="7"/>
        <v/>
      </c>
      <c r="AD323" s="525" t="str">
        <f t="shared" si="8"/>
        <v/>
      </c>
      <c r="AE323" s="525" t="str">
        <f t="shared" si="9"/>
        <v/>
      </c>
      <c r="AF323" s="525" t="str">
        <f t="shared" si="10"/>
        <v/>
      </c>
      <c r="AG323" s="525" t="str">
        <f t="shared" si="11"/>
        <v/>
      </c>
      <c r="AH323" s="525">
        <f>E322</f>
        <v>0</v>
      </c>
      <c r="AI323" s="525">
        <f>E323</f>
        <v>0</v>
      </c>
    </row>
    <row r="324" spans="1:35" x14ac:dyDescent="0.2">
      <c r="A324" s="531"/>
      <c r="B324" s="303"/>
      <c r="C324" s="303"/>
      <c r="D324" s="303"/>
      <c r="E324" s="303"/>
      <c r="F324" s="303"/>
      <c r="G324" s="303"/>
      <c r="H324" s="303"/>
      <c r="I324" s="303"/>
      <c r="J324" s="303"/>
      <c r="K324" s="303"/>
      <c r="L324" s="303"/>
      <c r="M324" s="303"/>
      <c r="N324" s="303"/>
      <c r="O324" s="303"/>
      <c r="P324" s="303"/>
      <c r="Q324" s="303"/>
      <c r="R324" s="303"/>
      <c r="S324" s="303"/>
      <c r="T324" s="303"/>
      <c r="U324" s="303"/>
      <c r="V324" s="303"/>
      <c r="W324" s="303"/>
      <c r="X324" s="303"/>
      <c r="Y324" s="303"/>
      <c r="Z324" s="532"/>
      <c r="AA324" s="530"/>
      <c r="AB324" s="525" t="str">
        <f t="shared" si="6"/>
        <v/>
      </c>
      <c r="AC324" s="525" t="str">
        <f t="shared" si="7"/>
        <v/>
      </c>
      <c r="AD324" s="525" t="str">
        <f t="shared" si="8"/>
        <v/>
      </c>
      <c r="AE324" s="525" t="str">
        <f t="shared" si="9"/>
        <v/>
      </c>
      <c r="AF324" s="525" t="str">
        <f t="shared" si="10"/>
        <v/>
      </c>
      <c r="AG324" s="525" t="str">
        <f t="shared" si="11"/>
        <v/>
      </c>
      <c r="AH324" s="525">
        <f>E325</f>
        <v>0</v>
      </c>
      <c r="AI324" s="525">
        <f>E326</f>
        <v>0</v>
      </c>
    </row>
    <row r="325" spans="1:35" x14ac:dyDescent="0.2">
      <c r="A325" s="531"/>
      <c r="B325" s="303"/>
      <c r="C325" s="303"/>
      <c r="D325" s="303"/>
      <c r="E325" s="303"/>
      <c r="F325" s="303"/>
      <c r="G325" s="303"/>
      <c r="H325" s="303"/>
      <c r="I325" s="303"/>
      <c r="J325" s="303"/>
      <c r="K325" s="303"/>
      <c r="L325" s="303"/>
      <c r="M325" s="303"/>
      <c r="N325" s="303"/>
      <c r="O325" s="303"/>
      <c r="P325" s="303"/>
      <c r="Q325" s="303"/>
      <c r="R325" s="303"/>
      <c r="S325" s="303"/>
      <c r="T325" s="303"/>
      <c r="U325" s="303"/>
      <c r="V325" s="303"/>
      <c r="W325" s="303"/>
      <c r="X325" s="303"/>
      <c r="Y325" s="303"/>
      <c r="Z325" s="532"/>
      <c r="AA325" s="530"/>
      <c r="AB325" s="525" t="str">
        <f t="shared" si="6"/>
        <v/>
      </c>
      <c r="AC325" s="525" t="str">
        <f t="shared" si="7"/>
        <v/>
      </c>
      <c r="AD325" s="525" t="str">
        <f t="shared" si="8"/>
        <v/>
      </c>
      <c r="AE325" s="525" t="str">
        <f t="shared" si="9"/>
        <v/>
      </c>
      <c r="AF325" s="525" t="str">
        <f t="shared" si="10"/>
        <v/>
      </c>
      <c r="AG325" s="525" t="str">
        <f t="shared" si="11"/>
        <v/>
      </c>
      <c r="AH325" s="525">
        <f>E325</f>
        <v>0</v>
      </c>
      <c r="AI325" s="525">
        <f>E326</f>
        <v>0</v>
      </c>
    </row>
    <row r="326" spans="1:35" x14ac:dyDescent="0.2">
      <c r="A326" s="531"/>
      <c r="B326" s="303"/>
      <c r="C326" s="303"/>
      <c r="D326" s="303"/>
      <c r="E326" s="303"/>
      <c r="F326" s="303"/>
      <c r="G326" s="303"/>
      <c r="H326" s="303"/>
      <c r="I326" s="303"/>
      <c r="J326" s="303"/>
      <c r="K326" s="303"/>
      <c r="L326" s="303"/>
      <c r="M326" s="303"/>
      <c r="N326" s="303"/>
      <c r="O326" s="303"/>
      <c r="P326" s="303"/>
      <c r="Q326" s="303"/>
      <c r="R326" s="303"/>
      <c r="S326" s="303"/>
      <c r="T326" s="303"/>
      <c r="U326" s="303"/>
      <c r="V326" s="303"/>
      <c r="W326" s="303"/>
      <c r="X326" s="303"/>
      <c r="Y326" s="303"/>
      <c r="Z326" s="532"/>
      <c r="AA326" s="530"/>
      <c r="AB326" s="525" t="str">
        <f t="shared" si="6"/>
        <v/>
      </c>
      <c r="AC326" s="525" t="str">
        <f t="shared" si="7"/>
        <v/>
      </c>
      <c r="AD326" s="525" t="str">
        <f t="shared" si="8"/>
        <v/>
      </c>
      <c r="AE326" s="525" t="str">
        <f t="shared" si="9"/>
        <v/>
      </c>
      <c r="AF326" s="525" t="str">
        <f t="shared" si="10"/>
        <v/>
      </c>
      <c r="AG326" s="525" t="str">
        <f t="shared" si="11"/>
        <v/>
      </c>
      <c r="AH326" s="525">
        <f>E325</f>
        <v>0</v>
      </c>
      <c r="AI326" s="525">
        <f>E326</f>
        <v>0</v>
      </c>
    </row>
    <row r="327" spans="1:35" x14ac:dyDescent="0.2">
      <c r="A327" s="531"/>
      <c r="B327" s="303"/>
      <c r="C327" s="303"/>
      <c r="D327" s="303"/>
      <c r="E327" s="303"/>
      <c r="F327" s="303"/>
      <c r="G327" s="303"/>
      <c r="H327" s="303"/>
      <c r="I327" s="303"/>
      <c r="J327" s="303"/>
      <c r="K327" s="303"/>
      <c r="L327" s="303"/>
      <c r="M327" s="303"/>
      <c r="N327" s="303"/>
      <c r="O327" s="303"/>
      <c r="P327" s="303"/>
      <c r="Q327" s="303"/>
      <c r="R327" s="303"/>
      <c r="S327" s="303"/>
      <c r="T327" s="303"/>
      <c r="U327" s="303"/>
      <c r="V327" s="303"/>
      <c r="W327" s="303"/>
      <c r="X327" s="303"/>
      <c r="Y327" s="303"/>
      <c r="Z327" s="532"/>
      <c r="AA327" s="530"/>
      <c r="AB327" s="525" t="str">
        <f t="shared" si="6"/>
        <v/>
      </c>
      <c r="AC327" s="525" t="str">
        <f t="shared" si="7"/>
        <v/>
      </c>
      <c r="AD327" s="525" t="str">
        <f t="shared" si="8"/>
        <v/>
      </c>
      <c r="AE327" s="525" t="str">
        <f t="shared" si="9"/>
        <v/>
      </c>
      <c r="AF327" s="525" t="str">
        <f t="shared" si="10"/>
        <v/>
      </c>
      <c r="AG327" s="525" t="str">
        <f t="shared" si="11"/>
        <v/>
      </c>
      <c r="AH327" s="525">
        <f>E328</f>
        <v>0</v>
      </c>
      <c r="AI327" s="525">
        <f>E329</f>
        <v>0</v>
      </c>
    </row>
    <row r="328" spans="1:35" x14ac:dyDescent="0.2">
      <c r="A328" s="531"/>
      <c r="B328" s="303"/>
      <c r="C328" s="303"/>
      <c r="D328" s="303"/>
      <c r="E328" s="303"/>
      <c r="F328" s="303"/>
      <c r="G328" s="303"/>
      <c r="H328" s="303"/>
      <c r="I328" s="303"/>
      <c r="J328" s="303"/>
      <c r="K328" s="303"/>
      <c r="L328" s="303"/>
      <c r="M328" s="303"/>
      <c r="N328" s="303"/>
      <c r="O328" s="303"/>
      <c r="P328" s="303"/>
      <c r="Q328" s="303"/>
      <c r="R328" s="303"/>
      <c r="S328" s="303"/>
      <c r="T328" s="303"/>
      <c r="U328" s="303"/>
      <c r="V328" s="303"/>
      <c r="W328" s="303"/>
      <c r="X328" s="303"/>
      <c r="Y328" s="303"/>
      <c r="Z328" s="532"/>
      <c r="AA328" s="530"/>
      <c r="AB328" s="525" t="str">
        <f t="shared" si="6"/>
        <v/>
      </c>
      <c r="AC328" s="525" t="str">
        <f t="shared" si="7"/>
        <v/>
      </c>
      <c r="AD328" s="525" t="str">
        <f t="shared" si="8"/>
        <v/>
      </c>
      <c r="AE328" s="525" t="str">
        <f t="shared" si="9"/>
        <v/>
      </c>
      <c r="AF328" s="525" t="str">
        <f t="shared" si="10"/>
        <v/>
      </c>
      <c r="AG328" s="525" t="str">
        <f t="shared" si="11"/>
        <v/>
      </c>
      <c r="AH328" s="525">
        <f>E328</f>
        <v>0</v>
      </c>
      <c r="AI328" s="525">
        <f>E329</f>
        <v>0</v>
      </c>
    </row>
    <row r="329" spans="1:35" x14ac:dyDescent="0.2">
      <c r="A329" s="531"/>
      <c r="B329" s="303"/>
      <c r="C329" s="303"/>
      <c r="D329" s="303"/>
      <c r="E329" s="303"/>
      <c r="F329" s="303"/>
      <c r="G329" s="303"/>
      <c r="H329" s="303"/>
      <c r="I329" s="303"/>
      <c r="J329" s="303"/>
      <c r="K329" s="303"/>
      <c r="L329" s="303"/>
      <c r="M329" s="303"/>
      <c r="N329" s="303"/>
      <c r="O329" s="303"/>
      <c r="P329" s="303"/>
      <c r="Q329" s="303"/>
      <c r="R329" s="303"/>
      <c r="S329" s="303"/>
      <c r="T329" s="303"/>
      <c r="U329" s="303"/>
      <c r="V329" s="303"/>
      <c r="W329" s="303"/>
      <c r="X329" s="303"/>
      <c r="Y329" s="303"/>
      <c r="Z329" s="532"/>
      <c r="AA329" s="530"/>
      <c r="AB329" s="525" t="str">
        <f t="shared" si="6"/>
        <v/>
      </c>
      <c r="AC329" s="525" t="str">
        <f t="shared" si="7"/>
        <v/>
      </c>
      <c r="AD329" s="525" t="str">
        <f t="shared" si="8"/>
        <v/>
      </c>
      <c r="AE329" s="525" t="str">
        <f t="shared" si="9"/>
        <v/>
      </c>
      <c r="AF329" s="525" t="str">
        <f t="shared" si="10"/>
        <v/>
      </c>
      <c r="AG329" s="525" t="str">
        <f t="shared" si="11"/>
        <v/>
      </c>
      <c r="AH329" s="525">
        <f>E328</f>
        <v>0</v>
      </c>
      <c r="AI329" s="525">
        <f>E329</f>
        <v>0</v>
      </c>
    </row>
    <row r="330" spans="1:35" x14ac:dyDescent="0.2">
      <c r="A330" s="531"/>
      <c r="B330" s="303"/>
      <c r="C330" s="303"/>
      <c r="D330" s="303"/>
      <c r="E330" s="303"/>
      <c r="F330" s="303"/>
      <c r="G330" s="303"/>
      <c r="H330" s="303"/>
      <c r="I330" s="303"/>
      <c r="J330" s="303"/>
      <c r="K330" s="303"/>
      <c r="L330" s="303"/>
      <c r="M330" s="303"/>
      <c r="N330" s="303"/>
      <c r="O330" s="303"/>
      <c r="P330" s="303"/>
      <c r="Q330" s="303"/>
      <c r="R330" s="303"/>
      <c r="S330" s="303"/>
      <c r="T330" s="303"/>
      <c r="U330" s="303"/>
      <c r="V330" s="303"/>
      <c r="W330" s="303"/>
      <c r="X330" s="303"/>
      <c r="Y330" s="303"/>
      <c r="Z330" s="532"/>
      <c r="AA330" s="530"/>
      <c r="AB330" s="525" t="str">
        <f t="shared" si="6"/>
        <v/>
      </c>
      <c r="AC330" s="525" t="str">
        <f t="shared" si="7"/>
        <v/>
      </c>
      <c r="AD330" s="525" t="str">
        <f t="shared" si="8"/>
        <v/>
      </c>
      <c r="AE330" s="525" t="str">
        <f t="shared" si="9"/>
        <v/>
      </c>
      <c r="AF330" s="525" t="str">
        <f t="shared" si="10"/>
        <v/>
      </c>
      <c r="AG330" s="525" t="str">
        <f t="shared" si="11"/>
        <v/>
      </c>
      <c r="AH330" s="525">
        <f>E331</f>
        <v>0</v>
      </c>
      <c r="AI330" s="525">
        <f>E332</f>
        <v>0</v>
      </c>
    </row>
    <row r="331" spans="1:35" x14ac:dyDescent="0.2">
      <c r="A331" s="531"/>
      <c r="B331" s="303"/>
      <c r="C331" s="303"/>
      <c r="D331" s="303"/>
      <c r="E331" s="303"/>
      <c r="F331" s="303"/>
      <c r="G331" s="303"/>
      <c r="H331" s="303"/>
      <c r="I331" s="303"/>
      <c r="J331" s="303"/>
      <c r="K331" s="303"/>
      <c r="L331" s="303"/>
      <c r="M331" s="303"/>
      <c r="N331" s="303"/>
      <c r="O331" s="303"/>
      <c r="P331" s="303"/>
      <c r="Q331" s="303"/>
      <c r="R331" s="303"/>
      <c r="S331" s="303"/>
      <c r="T331" s="303"/>
      <c r="U331" s="303"/>
      <c r="V331" s="303"/>
      <c r="W331" s="303"/>
      <c r="X331" s="303"/>
      <c r="Y331" s="303"/>
      <c r="Z331" s="532"/>
      <c r="AA331" s="530"/>
      <c r="AB331" s="525" t="str">
        <f t="shared" si="6"/>
        <v/>
      </c>
      <c r="AC331" s="525" t="str">
        <f t="shared" si="7"/>
        <v/>
      </c>
      <c r="AD331" s="525" t="str">
        <f t="shared" si="8"/>
        <v/>
      </c>
      <c r="AE331" s="525" t="str">
        <f t="shared" si="9"/>
        <v/>
      </c>
      <c r="AF331" s="525" t="str">
        <f t="shared" si="10"/>
        <v/>
      </c>
      <c r="AG331" s="525" t="str">
        <f t="shared" si="11"/>
        <v/>
      </c>
      <c r="AH331" s="525">
        <f>E331</f>
        <v>0</v>
      </c>
      <c r="AI331" s="525">
        <f>E332</f>
        <v>0</v>
      </c>
    </row>
    <row r="332" spans="1:35" x14ac:dyDescent="0.2">
      <c r="A332" s="531"/>
      <c r="B332" s="303"/>
      <c r="C332" s="303"/>
      <c r="D332" s="303"/>
      <c r="E332" s="303"/>
      <c r="F332" s="303"/>
      <c r="G332" s="303"/>
      <c r="H332" s="303"/>
      <c r="I332" s="303"/>
      <c r="J332" s="303"/>
      <c r="K332" s="303"/>
      <c r="L332" s="303"/>
      <c r="M332" s="303"/>
      <c r="N332" s="303"/>
      <c r="O332" s="303"/>
      <c r="P332" s="303"/>
      <c r="Q332" s="303"/>
      <c r="R332" s="303"/>
      <c r="S332" s="303"/>
      <c r="T332" s="303"/>
      <c r="U332" s="303"/>
      <c r="V332" s="303"/>
      <c r="W332" s="303"/>
      <c r="X332" s="303"/>
      <c r="Y332" s="303"/>
      <c r="Z332" s="532"/>
      <c r="AA332" s="530"/>
      <c r="AB332" s="525" t="str">
        <f t="shared" si="6"/>
        <v/>
      </c>
      <c r="AC332" s="525" t="str">
        <f t="shared" si="7"/>
        <v/>
      </c>
      <c r="AD332" s="525" t="str">
        <f t="shared" si="8"/>
        <v/>
      </c>
      <c r="AE332" s="525" t="str">
        <f t="shared" si="9"/>
        <v/>
      </c>
      <c r="AF332" s="525" t="str">
        <f t="shared" si="10"/>
        <v/>
      </c>
      <c r="AG332" s="525" t="str">
        <f t="shared" si="11"/>
        <v/>
      </c>
      <c r="AH332" s="525">
        <f>E331</f>
        <v>0</v>
      </c>
      <c r="AI332" s="525">
        <f>E332</f>
        <v>0</v>
      </c>
    </row>
    <row r="333" spans="1:35" x14ac:dyDescent="0.2">
      <c r="A333" s="531"/>
      <c r="B333" s="303"/>
      <c r="C333" s="303"/>
      <c r="D333" s="303"/>
      <c r="E333" s="303"/>
      <c r="F333" s="303"/>
      <c r="G333" s="303"/>
      <c r="H333" s="303"/>
      <c r="I333" s="303"/>
      <c r="J333" s="303"/>
      <c r="K333" s="303"/>
      <c r="L333" s="303"/>
      <c r="M333" s="303"/>
      <c r="N333" s="303"/>
      <c r="O333" s="303"/>
      <c r="P333" s="303"/>
      <c r="Q333" s="303"/>
      <c r="R333" s="303"/>
      <c r="S333" s="303"/>
      <c r="T333" s="303"/>
      <c r="U333" s="303"/>
      <c r="V333" s="303"/>
      <c r="W333" s="303"/>
      <c r="X333" s="303"/>
      <c r="Y333" s="303"/>
      <c r="Z333" s="532"/>
      <c r="AA333" s="530"/>
      <c r="AB333" s="525" t="str">
        <f t="shared" si="6"/>
        <v/>
      </c>
      <c r="AC333" s="525" t="str">
        <f t="shared" si="7"/>
        <v/>
      </c>
      <c r="AD333" s="525" t="str">
        <f t="shared" si="8"/>
        <v/>
      </c>
      <c r="AE333" s="525" t="str">
        <f t="shared" si="9"/>
        <v/>
      </c>
      <c r="AF333" s="525" t="str">
        <f t="shared" si="10"/>
        <v/>
      </c>
      <c r="AG333" s="525" t="str">
        <f t="shared" si="11"/>
        <v/>
      </c>
      <c r="AH333" s="525">
        <f>E334</f>
        <v>0</v>
      </c>
      <c r="AI333" s="525">
        <f>E335</f>
        <v>0</v>
      </c>
    </row>
    <row r="334" spans="1:35" x14ac:dyDescent="0.2">
      <c r="A334" s="531"/>
      <c r="B334" s="303"/>
      <c r="C334" s="303"/>
      <c r="D334" s="303"/>
      <c r="E334" s="303"/>
      <c r="F334" s="303"/>
      <c r="G334" s="303"/>
      <c r="H334" s="303"/>
      <c r="I334" s="303"/>
      <c r="J334" s="303"/>
      <c r="K334" s="303"/>
      <c r="L334" s="303"/>
      <c r="M334" s="303"/>
      <c r="N334" s="303"/>
      <c r="O334" s="303"/>
      <c r="P334" s="303"/>
      <c r="Q334" s="303"/>
      <c r="R334" s="303"/>
      <c r="S334" s="303"/>
      <c r="T334" s="303"/>
      <c r="U334" s="303"/>
      <c r="V334" s="303"/>
      <c r="W334" s="303"/>
      <c r="X334" s="303"/>
      <c r="Y334" s="303"/>
      <c r="Z334" s="532"/>
      <c r="AA334" s="530"/>
      <c r="AB334" s="525" t="str">
        <f t="shared" si="6"/>
        <v/>
      </c>
      <c r="AC334" s="525" t="str">
        <f t="shared" si="7"/>
        <v/>
      </c>
      <c r="AD334" s="525" t="str">
        <f t="shared" si="8"/>
        <v/>
      </c>
      <c r="AE334" s="525" t="str">
        <f t="shared" si="9"/>
        <v/>
      </c>
      <c r="AF334" s="525" t="str">
        <f t="shared" si="10"/>
        <v/>
      </c>
      <c r="AG334" s="525" t="str">
        <f t="shared" si="11"/>
        <v/>
      </c>
      <c r="AH334" s="525">
        <f>E334</f>
        <v>0</v>
      </c>
      <c r="AI334" s="525">
        <f>E335</f>
        <v>0</v>
      </c>
    </row>
    <row r="335" spans="1:35" x14ac:dyDescent="0.2">
      <c r="A335" s="531"/>
      <c r="B335" s="303"/>
      <c r="C335" s="303"/>
      <c r="D335" s="303"/>
      <c r="E335" s="303"/>
      <c r="F335" s="303"/>
      <c r="G335" s="303"/>
      <c r="H335" s="303"/>
      <c r="I335" s="303"/>
      <c r="J335" s="303"/>
      <c r="K335" s="303"/>
      <c r="L335" s="303"/>
      <c r="M335" s="303"/>
      <c r="N335" s="303"/>
      <c r="O335" s="303"/>
      <c r="P335" s="303"/>
      <c r="Q335" s="303"/>
      <c r="R335" s="303"/>
      <c r="S335" s="303"/>
      <c r="T335" s="303"/>
      <c r="U335" s="303"/>
      <c r="V335" s="303"/>
      <c r="W335" s="303"/>
      <c r="X335" s="303"/>
      <c r="Y335" s="303"/>
      <c r="Z335" s="532"/>
      <c r="AA335" s="530"/>
      <c r="AB335" s="525" t="str">
        <f t="shared" si="6"/>
        <v/>
      </c>
      <c r="AC335" s="525" t="str">
        <f t="shared" si="7"/>
        <v/>
      </c>
      <c r="AD335" s="525" t="str">
        <f t="shared" si="8"/>
        <v/>
      </c>
      <c r="AE335" s="525" t="str">
        <f t="shared" si="9"/>
        <v/>
      </c>
      <c r="AF335" s="525" t="str">
        <f t="shared" si="10"/>
        <v/>
      </c>
      <c r="AG335" s="525" t="str">
        <f t="shared" si="11"/>
        <v/>
      </c>
      <c r="AH335" s="525">
        <f>E334</f>
        <v>0</v>
      </c>
      <c r="AI335" s="525">
        <f>E335</f>
        <v>0</v>
      </c>
    </row>
    <row r="336" spans="1:35" x14ac:dyDescent="0.2">
      <c r="A336" s="531"/>
      <c r="B336" s="303"/>
      <c r="C336" s="303"/>
      <c r="D336" s="303"/>
      <c r="E336" s="303"/>
      <c r="F336" s="303"/>
      <c r="G336" s="303"/>
      <c r="H336" s="303"/>
      <c r="I336" s="303"/>
      <c r="J336" s="303"/>
      <c r="K336" s="303"/>
      <c r="L336" s="303"/>
      <c r="M336" s="303"/>
      <c r="N336" s="303"/>
      <c r="O336" s="303"/>
      <c r="P336" s="303"/>
      <c r="Q336" s="303"/>
      <c r="R336" s="303"/>
      <c r="S336" s="303"/>
      <c r="T336" s="303"/>
      <c r="U336" s="303"/>
      <c r="V336" s="303"/>
      <c r="W336" s="303"/>
      <c r="X336" s="303"/>
      <c r="Y336" s="303"/>
      <c r="Z336" s="532"/>
      <c r="AA336" s="530"/>
      <c r="AB336" s="525" t="str">
        <f t="shared" si="6"/>
        <v/>
      </c>
      <c r="AC336" s="525" t="str">
        <f t="shared" si="7"/>
        <v/>
      </c>
      <c r="AD336" s="525" t="str">
        <f t="shared" si="8"/>
        <v/>
      </c>
      <c r="AE336" s="525" t="str">
        <f t="shared" si="9"/>
        <v/>
      </c>
      <c r="AF336" s="525" t="str">
        <f t="shared" si="10"/>
        <v/>
      </c>
      <c r="AG336" s="525" t="str">
        <f t="shared" si="11"/>
        <v/>
      </c>
      <c r="AH336" s="525">
        <f>E337</f>
        <v>0</v>
      </c>
      <c r="AI336" s="525">
        <f>E338</f>
        <v>0</v>
      </c>
    </row>
    <row r="337" spans="1:35" x14ac:dyDescent="0.2">
      <c r="A337" s="531"/>
      <c r="B337" s="303"/>
      <c r="C337" s="303"/>
      <c r="D337" s="303"/>
      <c r="E337" s="303"/>
      <c r="F337" s="303"/>
      <c r="G337" s="303"/>
      <c r="H337" s="303"/>
      <c r="I337" s="303"/>
      <c r="J337" s="303"/>
      <c r="K337" s="303"/>
      <c r="L337" s="303"/>
      <c r="M337" s="303"/>
      <c r="N337" s="303"/>
      <c r="O337" s="303"/>
      <c r="P337" s="303"/>
      <c r="Q337" s="303"/>
      <c r="R337" s="303"/>
      <c r="S337" s="303"/>
      <c r="T337" s="303"/>
      <c r="U337" s="303"/>
      <c r="V337" s="303"/>
      <c r="W337" s="303"/>
      <c r="X337" s="303"/>
      <c r="Y337" s="303"/>
      <c r="Z337" s="532"/>
      <c r="AA337" s="530"/>
      <c r="AB337" s="525" t="str">
        <f t="shared" si="6"/>
        <v/>
      </c>
      <c r="AC337" s="525" t="str">
        <f t="shared" si="7"/>
        <v/>
      </c>
      <c r="AD337" s="525" t="str">
        <f t="shared" si="8"/>
        <v/>
      </c>
      <c r="AE337" s="525" t="str">
        <f t="shared" si="9"/>
        <v/>
      </c>
      <c r="AF337" s="525" t="str">
        <f t="shared" si="10"/>
        <v/>
      </c>
      <c r="AG337" s="525" t="str">
        <f t="shared" si="11"/>
        <v/>
      </c>
      <c r="AH337" s="525">
        <f>E337</f>
        <v>0</v>
      </c>
      <c r="AI337" s="525">
        <f>E338</f>
        <v>0</v>
      </c>
    </row>
    <row r="338" spans="1:35" x14ac:dyDescent="0.2">
      <c r="A338" s="531"/>
      <c r="B338" s="303"/>
      <c r="C338" s="303"/>
      <c r="D338" s="303"/>
      <c r="E338" s="303"/>
      <c r="F338" s="303"/>
      <c r="G338" s="303"/>
      <c r="H338" s="303"/>
      <c r="I338" s="303"/>
      <c r="J338" s="303"/>
      <c r="K338" s="303"/>
      <c r="L338" s="303"/>
      <c r="M338" s="303"/>
      <c r="N338" s="303"/>
      <c r="O338" s="303"/>
      <c r="P338" s="303"/>
      <c r="Q338" s="303"/>
      <c r="R338" s="303"/>
      <c r="S338" s="303"/>
      <c r="T338" s="303"/>
      <c r="U338" s="303"/>
      <c r="V338" s="303"/>
      <c r="W338" s="303"/>
      <c r="X338" s="303"/>
      <c r="Y338" s="303"/>
      <c r="Z338" s="532"/>
      <c r="AA338" s="530"/>
      <c r="AB338" s="525" t="str">
        <f t="shared" si="6"/>
        <v/>
      </c>
      <c r="AC338" s="525" t="str">
        <f t="shared" si="7"/>
        <v/>
      </c>
      <c r="AD338" s="525" t="str">
        <f t="shared" si="8"/>
        <v/>
      </c>
      <c r="AE338" s="525" t="str">
        <f t="shared" si="9"/>
        <v/>
      </c>
      <c r="AF338" s="525" t="str">
        <f t="shared" si="10"/>
        <v/>
      </c>
      <c r="AG338" s="525" t="str">
        <f t="shared" si="11"/>
        <v/>
      </c>
      <c r="AH338" s="525">
        <f>E337</f>
        <v>0</v>
      </c>
      <c r="AI338" s="525">
        <f>E338</f>
        <v>0</v>
      </c>
    </row>
    <row r="339" spans="1:35" x14ac:dyDescent="0.2">
      <c r="A339" s="531"/>
      <c r="B339" s="303"/>
      <c r="C339" s="303"/>
      <c r="D339" s="303"/>
      <c r="E339" s="303"/>
      <c r="F339" s="303"/>
      <c r="G339" s="303"/>
      <c r="H339" s="303"/>
      <c r="I339" s="303"/>
      <c r="J339" s="303"/>
      <c r="K339" s="303"/>
      <c r="L339" s="303"/>
      <c r="M339" s="303"/>
      <c r="N339" s="303"/>
      <c r="O339" s="303"/>
      <c r="P339" s="303"/>
      <c r="Q339" s="303"/>
      <c r="R339" s="303"/>
      <c r="S339" s="303"/>
      <c r="T339" s="303"/>
      <c r="U339" s="303"/>
      <c r="V339" s="303"/>
      <c r="W339" s="303"/>
      <c r="X339" s="303"/>
      <c r="Y339" s="303"/>
      <c r="Z339" s="532"/>
      <c r="AA339" s="530"/>
      <c r="AB339" s="525" t="str">
        <f t="shared" si="6"/>
        <v/>
      </c>
      <c r="AC339" s="525" t="str">
        <f t="shared" si="7"/>
        <v/>
      </c>
      <c r="AD339" s="525" t="str">
        <f t="shared" si="8"/>
        <v/>
      </c>
      <c r="AE339" s="525" t="str">
        <f t="shared" si="9"/>
        <v/>
      </c>
      <c r="AF339" s="525" t="str">
        <f t="shared" si="10"/>
        <v/>
      </c>
      <c r="AG339" s="525" t="str">
        <f t="shared" si="11"/>
        <v/>
      </c>
      <c r="AH339" s="525">
        <f>E340</f>
        <v>0</v>
      </c>
      <c r="AI339" s="525">
        <f>E341</f>
        <v>0</v>
      </c>
    </row>
    <row r="340" spans="1:35" x14ac:dyDescent="0.2">
      <c r="A340" s="531"/>
      <c r="B340" s="303"/>
      <c r="C340" s="303"/>
      <c r="D340" s="303"/>
      <c r="E340" s="303"/>
      <c r="F340" s="303"/>
      <c r="G340" s="303"/>
      <c r="H340" s="303"/>
      <c r="I340" s="303"/>
      <c r="J340" s="303"/>
      <c r="K340" s="303"/>
      <c r="L340" s="303"/>
      <c r="M340" s="303"/>
      <c r="N340" s="303"/>
      <c r="O340" s="303"/>
      <c r="P340" s="303"/>
      <c r="Q340" s="303"/>
      <c r="R340" s="303"/>
      <c r="S340" s="303"/>
      <c r="T340" s="303"/>
      <c r="U340" s="303"/>
      <c r="V340" s="303"/>
      <c r="W340" s="303"/>
      <c r="X340" s="303"/>
      <c r="Y340" s="303"/>
      <c r="Z340" s="532"/>
      <c r="AA340" s="530"/>
      <c r="AB340" s="525" t="str">
        <f t="shared" si="6"/>
        <v/>
      </c>
      <c r="AC340" s="525" t="str">
        <f t="shared" si="7"/>
        <v/>
      </c>
      <c r="AD340" s="525" t="str">
        <f t="shared" si="8"/>
        <v/>
      </c>
      <c r="AE340" s="525" t="str">
        <f t="shared" si="9"/>
        <v/>
      </c>
      <c r="AF340" s="525" t="str">
        <f t="shared" si="10"/>
        <v/>
      </c>
      <c r="AG340" s="525" t="str">
        <f t="shared" si="11"/>
        <v/>
      </c>
      <c r="AH340" s="525">
        <f>E340</f>
        <v>0</v>
      </c>
      <c r="AI340" s="525">
        <f>E341</f>
        <v>0</v>
      </c>
    </row>
    <row r="341" spans="1:35" x14ac:dyDescent="0.2">
      <c r="A341" s="531"/>
      <c r="B341" s="303"/>
      <c r="C341" s="303"/>
      <c r="D341" s="303"/>
      <c r="E341" s="303"/>
      <c r="F341" s="303"/>
      <c r="G341" s="303"/>
      <c r="H341" s="303"/>
      <c r="I341" s="303"/>
      <c r="J341" s="303"/>
      <c r="K341" s="303"/>
      <c r="L341" s="303"/>
      <c r="M341" s="303"/>
      <c r="N341" s="303"/>
      <c r="O341" s="303"/>
      <c r="P341" s="303"/>
      <c r="Q341" s="303"/>
      <c r="R341" s="303"/>
      <c r="S341" s="303"/>
      <c r="T341" s="303"/>
      <c r="U341" s="303"/>
      <c r="V341" s="303"/>
      <c r="W341" s="303"/>
      <c r="X341" s="303"/>
      <c r="Y341" s="303"/>
      <c r="Z341" s="532"/>
      <c r="AA341" s="530"/>
      <c r="AB341" s="525" t="str">
        <f t="shared" si="6"/>
        <v/>
      </c>
      <c r="AC341" s="525" t="str">
        <f t="shared" si="7"/>
        <v/>
      </c>
      <c r="AD341" s="525" t="str">
        <f t="shared" si="8"/>
        <v/>
      </c>
      <c r="AE341" s="525" t="str">
        <f t="shared" si="9"/>
        <v/>
      </c>
      <c r="AF341" s="525" t="str">
        <f t="shared" si="10"/>
        <v/>
      </c>
      <c r="AG341" s="525" t="str">
        <f t="shared" si="11"/>
        <v/>
      </c>
      <c r="AH341" s="525">
        <f>E340</f>
        <v>0</v>
      </c>
      <c r="AI341" s="525">
        <f>E341</f>
        <v>0</v>
      </c>
    </row>
    <row r="342" spans="1:35" x14ac:dyDescent="0.2">
      <c r="A342" s="531"/>
      <c r="B342" s="303"/>
      <c r="C342" s="303"/>
      <c r="D342" s="303"/>
      <c r="E342" s="303"/>
      <c r="F342" s="303"/>
      <c r="G342" s="303"/>
      <c r="H342" s="303"/>
      <c r="I342" s="303"/>
      <c r="J342" s="303"/>
      <c r="K342" s="303"/>
      <c r="L342" s="303"/>
      <c r="M342" s="303"/>
      <c r="N342" s="303"/>
      <c r="O342" s="303"/>
      <c r="P342" s="303"/>
      <c r="Q342" s="303"/>
      <c r="R342" s="303"/>
      <c r="S342" s="303"/>
      <c r="T342" s="303"/>
      <c r="U342" s="303"/>
      <c r="V342" s="303"/>
      <c r="W342" s="303"/>
      <c r="X342" s="303"/>
      <c r="Y342" s="303"/>
      <c r="Z342" s="532"/>
      <c r="AA342" s="530"/>
      <c r="AB342" s="525" t="str">
        <f t="shared" si="6"/>
        <v/>
      </c>
      <c r="AC342" s="525" t="str">
        <f t="shared" si="7"/>
        <v/>
      </c>
      <c r="AD342" s="525" t="str">
        <f t="shared" si="8"/>
        <v/>
      </c>
      <c r="AE342" s="525" t="str">
        <f t="shared" si="9"/>
        <v/>
      </c>
      <c r="AF342" s="525" t="str">
        <f t="shared" si="10"/>
        <v/>
      </c>
      <c r="AG342" s="525" t="str">
        <f t="shared" si="11"/>
        <v/>
      </c>
      <c r="AH342" s="525">
        <f>E343</f>
        <v>0</v>
      </c>
      <c r="AI342" s="525">
        <f>E344</f>
        <v>0</v>
      </c>
    </row>
    <row r="343" spans="1:35" x14ac:dyDescent="0.2">
      <c r="A343" s="531"/>
      <c r="B343" s="303"/>
      <c r="C343" s="303"/>
      <c r="D343" s="303"/>
      <c r="E343" s="303"/>
      <c r="F343" s="303"/>
      <c r="G343" s="303"/>
      <c r="H343" s="303"/>
      <c r="I343" s="303"/>
      <c r="J343" s="303"/>
      <c r="K343" s="303"/>
      <c r="L343" s="303"/>
      <c r="M343" s="303"/>
      <c r="N343" s="303"/>
      <c r="O343" s="303"/>
      <c r="P343" s="303"/>
      <c r="Q343" s="303"/>
      <c r="R343" s="303"/>
      <c r="S343" s="303"/>
      <c r="T343" s="303"/>
      <c r="U343" s="303"/>
      <c r="V343" s="303"/>
      <c r="W343" s="303"/>
      <c r="X343" s="303"/>
      <c r="Y343" s="303"/>
      <c r="Z343" s="532"/>
      <c r="AA343" s="530"/>
      <c r="AB343" s="525" t="str">
        <f t="shared" si="6"/>
        <v/>
      </c>
      <c r="AC343" s="525" t="str">
        <f t="shared" si="7"/>
        <v/>
      </c>
      <c r="AD343" s="525" t="str">
        <f t="shared" si="8"/>
        <v/>
      </c>
      <c r="AE343" s="525" t="str">
        <f t="shared" si="9"/>
        <v/>
      </c>
      <c r="AF343" s="525" t="str">
        <f t="shared" si="10"/>
        <v/>
      </c>
      <c r="AG343" s="525" t="str">
        <f t="shared" si="11"/>
        <v/>
      </c>
      <c r="AH343" s="525">
        <f>E343</f>
        <v>0</v>
      </c>
      <c r="AI343" s="525">
        <f>E344</f>
        <v>0</v>
      </c>
    </row>
    <row r="344" spans="1:35" x14ac:dyDescent="0.2">
      <c r="A344" s="531"/>
      <c r="B344" s="303"/>
      <c r="C344" s="303"/>
      <c r="D344" s="303"/>
      <c r="E344" s="303"/>
      <c r="F344" s="303"/>
      <c r="G344" s="303"/>
      <c r="H344" s="303"/>
      <c r="I344" s="303"/>
      <c r="J344" s="303"/>
      <c r="K344" s="303"/>
      <c r="L344" s="303"/>
      <c r="M344" s="303"/>
      <c r="N344" s="303"/>
      <c r="O344" s="303"/>
      <c r="P344" s="303"/>
      <c r="Q344" s="303"/>
      <c r="R344" s="303"/>
      <c r="S344" s="303"/>
      <c r="T344" s="303"/>
      <c r="U344" s="303"/>
      <c r="V344" s="303"/>
      <c r="W344" s="303"/>
      <c r="X344" s="303"/>
      <c r="Y344" s="303"/>
      <c r="Z344" s="532"/>
      <c r="AA344" s="530"/>
      <c r="AB344" s="525" t="str">
        <f t="shared" si="6"/>
        <v/>
      </c>
      <c r="AC344" s="525" t="str">
        <f t="shared" si="7"/>
        <v/>
      </c>
      <c r="AD344" s="525" t="str">
        <f t="shared" si="8"/>
        <v/>
      </c>
      <c r="AE344" s="525" t="str">
        <f t="shared" si="9"/>
        <v/>
      </c>
      <c r="AF344" s="525" t="str">
        <f t="shared" si="10"/>
        <v/>
      </c>
      <c r="AG344" s="525" t="str">
        <f t="shared" si="11"/>
        <v/>
      </c>
      <c r="AH344" s="525">
        <f>E343</f>
        <v>0</v>
      </c>
      <c r="AI344" s="525">
        <f>E344</f>
        <v>0</v>
      </c>
    </row>
    <row r="345" spans="1:35" x14ac:dyDescent="0.2">
      <c r="A345" s="531"/>
      <c r="B345" s="303"/>
      <c r="C345" s="303"/>
      <c r="D345" s="303"/>
      <c r="E345" s="303"/>
      <c r="F345" s="303"/>
      <c r="G345" s="303"/>
      <c r="H345" s="303"/>
      <c r="I345" s="303"/>
      <c r="J345" s="303"/>
      <c r="K345" s="303"/>
      <c r="L345" s="303"/>
      <c r="M345" s="303"/>
      <c r="N345" s="303"/>
      <c r="O345" s="303"/>
      <c r="P345" s="303"/>
      <c r="Q345" s="303"/>
      <c r="R345" s="303"/>
      <c r="S345" s="303"/>
      <c r="T345" s="303"/>
      <c r="U345" s="303"/>
      <c r="V345" s="303"/>
      <c r="W345" s="303"/>
      <c r="X345" s="303"/>
      <c r="Y345" s="303"/>
      <c r="Z345" s="532"/>
      <c r="AA345" s="530"/>
      <c r="AB345" s="525" t="str">
        <f t="shared" si="6"/>
        <v/>
      </c>
      <c r="AC345" s="525" t="str">
        <f t="shared" si="7"/>
        <v/>
      </c>
      <c r="AD345" s="525" t="str">
        <f t="shared" si="8"/>
        <v/>
      </c>
      <c r="AE345" s="525" t="str">
        <f t="shared" si="9"/>
        <v/>
      </c>
      <c r="AF345" s="525" t="str">
        <f t="shared" si="10"/>
        <v/>
      </c>
      <c r="AG345" s="525" t="str">
        <f t="shared" si="11"/>
        <v/>
      </c>
      <c r="AH345" s="525">
        <f>E346</f>
        <v>0</v>
      </c>
      <c r="AI345" s="525">
        <f>E347</f>
        <v>0</v>
      </c>
    </row>
    <row r="346" spans="1:35" x14ac:dyDescent="0.2">
      <c r="A346" s="531"/>
      <c r="B346" s="303"/>
      <c r="C346" s="303"/>
      <c r="D346" s="303"/>
      <c r="E346" s="303"/>
      <c r="F346" s="303"/>
      <c r="G346" s="303"/>
      <c r="H346" s="303"/>
      <c r="I346" s="303"/>
      <c r="J346" s="303"/>
      <c r="K346" s="303"/>
      <c r="L346" s="303"/>
      <c r="M346" s="303"/>
      <c r="N346" s="303"/>
      <c r="O346" s="303"/>
      <c r="P346" s="303"/>
      <c r="Q346" s="303"/>
      <c r="R346" s="303"/>
      <c r="S346" s="303"/>
      <c r="T346" s="303"/>
      <c r="U346" s="303"/>
      <c r="V346" s="303"/>
      <c r="W346" s="303"/>
      <c r="X346" s="303"/>
      <c r="Y346" s="303"/>
      <c r="Z346" s="532"/>
      <c r="AA346" s="530"/>
      <c r="AB346" s="525" t="str">
        <f t="shared" si="6"/>
        <v/>
      </c>
      <c r="AC346" s="525" t="str">
        <f t="shared" si="7"/>
        <v/>
      </c>
      <c r="AD346" s="525" t="str">
        <f t="shared" si="8"/>
        <v/>
      </c>
      <c r="AE346" s="525" t="str">
        <f t="shared" si="9"/>
        <v/>
      </c>
      <c r="AF346" s="525" t="str">
        <f t="shared" si="10"/>
        <v/>
      </c>
      <c r="AG346" s="525" t="str">
        <f t="shared" si="11"/>
        <v/>
      </c>
      <c r="AH346" s="525">
        <f>E346</f>
        <v>0</v>
      </c>
      <c r="AI346" s="525">
        <f>E347</f>
        <v>0</v>
      </c>
    </row>
    <row r="347" spans="1:35" x14ac:dyDescent="0.2">
      <c r="A347" s="531"/>
      <c r="B347" s="303"/>
      <c r="C347" s="303"/>
      <c r="D347" s="303"/>
      <c r="E347" s="303"/>
      <c r="F347" s="303"/>
      <c r="G347" s="303"/>
      <c r="H347" s="303"/>
      <c r="I347" s="303"/>
      <c r="J347" s="303"/>
      <c r="K347" s="303"/>
      <c r="L347" s="303"/>
      <c r="M347" s="303"/>
      <c r="N347" s="303"/>
      <c r="O347" s="303"/>
      <c r="P347" s="303"/>
      <c r="Q347" s="303"/>
      <c r="R347" s="303"/>
      <c r="S347" s="303"/>
      <c r="T347" s="303"/>
      <c r="U347" s="303"/>
      <c r="V347" s="303"/>
      <c r="W347" s="303"/>
      <c r="X347" s="303"/>
      <c r="Y347" s="303"/>
      <c r="Z347" s="532"/>
      <c r="AA347" s="530"/>
      <c r="AB347" s="525" t="str">
        <f t="shared" si="6"/>
        <v/>
      </c>
      <c r="AC347" s="525" t="str">
        <f t="shared" si="7"/>
        <v/>
      </c>
      <c r="AD347" s="525" t="str">
        <f t="shared" si="8"/>
        <v/>
      </c>
      <c r="AE347" s="525" t="str">
        <f t="shared" si="9"/>
        <v/>
      </c>
      <c r="AF347" s="525" t="str">
        <f t="shared" si="10"/>
        <v/>
      </c>
      <c r="AG347" s="525" t="str">
        <f t="shared" si="11"/>
        <v/>
      </c>
      <c r="AH347" s="525">
        <f>E346</f>
        <v>0</v>
      </c>
      <c r="AI347" s="525">
        <f>E347</f>
        <v>0</v>
      </c>
    </row>
    <row r="348" spans="1:35" x14ac:dyDescent="0.2">
      <c r="A348" s="531"/>
      <c r="B348" s="303"/>
      <c r="C348" s="303"/>
      <c r="D348" s="303"/>
      <c r="E348" s="303"/>
      <c r="F348" s="303"/>
      <c r="G348" s="303"/>
      <c r="H348" s="303"/>
      <c r="I348" s="303"/>
      <c r="J348" s="303"/>
      <c r="K348" s="303"/>
      <c r="L348" s="303"/>
      <c r="M348" s="303"/>
      <c r="N348" s="303"/>
      <c r="O348" s="303"/>
      <c r="P348" s="303"/>
      <c r="Q348" s="303"/>
      <c r="R348" s="303"/>
      <c r="S348" s="303"/>
      <c r="T348" s="303"/>
      <c r="U348" s="303"/>
      <c r="V348" s="303"/>
      <c r="W348" s="303"/>
      <c r="X348" s="303"/>
      <c r="Y348" s="303"/>
      <c r="Z348" s="532"/>
      <c r="AA348" s="530"/>
      <c r="AB348" s="525" t="str">
        <f t="shared" si="6"/>
        <v/>
      </c>
      <c r="AC348" s="525" t="str">
        <f t="shared" si="7"/>
        <v/>
      </c>
      <c r="AD348" s="525" t="str">
        <f t="shared" si="8"/>
        <v/>
      </c>
      <c r="AE348" s="525" t="str">
        <f t="shared" si="9"/>
        <v/>
      </c>
      <c r="AF348" s="525" t="str">
        <f t="shared" si="10"/>
        <v/>
      </c>
      <c r="AG348" s="525" t="str">
        <f t="shared" si="11"/>
        <v/>
      </c>
      <c r="AH348" s="525">
        <f>E349</f>
        <v>0</v>
      </c>
      <c r="AI348" s="525">
        <f>E350</f>
        <v>0</v>
      </c>
    </row>
    <row r="349" spans="1:35" x14ac:dyDescent="0.2">
      <c r="A349" s="531"/>
      <c r="B349" s="303"/>
      <c r="C349" s="303"/>
      <c r="D349" s="303"/>
      <c r="E349" s="303"/>
      <c r="F349" s="303"/>
      <c r="G349" s="303"/>
      <c r="H349" s="303"/>
      <c r="I349" s="303"/>
      <c r="J349" s="303"/>
      <c r="K349" s="303"/>
      <c r="L349" s="303"/>
      <c r="M349" s="303"/>
      <c r="N349" s="303"/>
      <c r="O349" s="303"/>
      <c r="P349" s="303"/>
      <c r="Q349" s="303"/>
      <c r="R349" s="303"/>
      <c r="S349" s="303"/>
      <c r="T349" s="303"/>
      <c r="U349" s="303"/>
      <c r="V349" s="303"/>
      <c r="W349" s="303"/>
      <c r="X349" s="303"/>
      <c r="Y349" s="303"/>
      <c r="Z349" s="532"/>
      <c r="AA349" s="530"/>
      <c r="AB349" s="525" t="str">
        <f t="shared" si="6"/>
        <v/>
      </c>
      <c r="AC349" s="525" t="str">
        <f t="shared" si="7"/>
        <v/>
      </c>
      <c r="AD349" s="525" t="str">
        <f t="shared" si="8"/>
        <v/>
      </c>
      <c r="AE349" s="525" t="str">
        <f t="shared" si="9"/>
        <v/>
      </c>
      <c r="AF349" s="525" t="str">
        <f t="shared" si="10"/>
        <v/>
      </c>
      <c r="AG349" s="525" t="str">
        <f t="shared" si="11"/>
        <v/>
      </c>
      <c r="AH349" s="525">
        <f>E349</f>
        <v>0</v>
      </c>
      <c r="AI349" s="525">
        <f>E350</f>
        <v>0</v>
      </c>
    </row>
    <row r="350" spans="1:35" x14ac:dyDescent="0.2">
      <c r="A350" s="531"/>
      <c r="B350" s="303"/>
      <c r="C350" s="303"/>
      <c r="D350" s="303"/>
      <c r="E350" s="303"/>
      <c r="F350" s="303"/>
      <c r="G350" s="303"/>
      <c r="H350" s="303"/>
      <c r="I350" s="303"/>
      <c r="J350" s="303"/>
      <c r="K350" s="303"/>
      <c r="L350" s="303"/>
      <c r="M350" s="303"/>
      <c r="N350" s="303"/>
      <c r="O350" s="303"/>
      <c r="P350" s="303"/>
      <c r="Q350" s="303"/>
      <c r="R350" s="303"/>
      <c r="S350" s="303"/>
      <c r="T350" s="303"/>
      <c r="U350" s="303"/>
      <c r="V350" s="303"/>
      <c r="W350" s="303"/>
      <c r="X350" s="303"/>
      <c r="Y350" s="303"/>
      <c r="Z350" s="532"/>
      <c r="AA350" s="530"/>
      <c r="AB350" s="525" t="str">
        <f t="shared" si="6"/>
        <v/>
      </c>
      <c r="AC350" s="525" t="str">
        <f t="shared" si="7"/>
        <v/>
      </c>
      <c r="AD350" s="525" t="str">
        <f t="shared" si="8"/>
        <v/>
      </c>
      <c r="AE350" s="525" t="str">
        <f t="shared" si="9"/>
        <v/>
      </c>
      <c r="AF350" s="525" t="str">
        <f t="shared" si="10"/>
        <v/>
      </c>
      <c r="AG350" s="525" t="str">
        <f t="shared" si="11"/>
        <v/>
      </c>
      <c r="AH350" s="525">
        <f>E349</f>
        <v>0</v>
      </c>
      <c r="AI350" s="525">
        <f>E350</f>
        <v>0</v>
      </c>
    </row>
    <row r="351" spans="1:35" x14ac:dyDescent="0.2">
      <c r="A351" s="531"/>
      <c r="B351" s="303"/>
      <c r="C351" s="303"/>
      <c r="D351" s="303"/>
      <c r="E351" s="303"/>
      <c r="F351" s="303"/>
      <c r="G351" s="303"/>
      <c r="H351" s="303"/>
      <c r="I351" s="303"/>
      <c r="J351" s="303"/>
      <c r="K351" s="303"/>
      <c r="L351" s="303"/>
      <c r="M351" s="303"/>
      <c r="N351" s="303"/>
      <c r="O351" s="303"/>
      <c r="P351" s="303"/>
      <c r="Q351" s="303"/>
      <c r="R351" s="303"/>
      <c r="S351" s="303"/>
      <c r="T351" s="303"/>
      <c r="U351" s="303"/>
      <c r="V351" s="303"/>
      <c r="W351" s="303"/>
      <c r="X351" s="303"/>
      <c r="Y351" s="303"/>
      <c r="Z351" s="532"/>
      <c r="AA351" s="530"/>
      <c r="AB351" s="525" t="str">
        <f t="shared" si="6"/>
        <v/>
      </c>
      <c r="AC351" s="525" t="str">
        <f t="shared" si="7"/>
        <v/>
      </c>
      <c r="AD351" s="525" t="str">
        <f t="shared" si="8"/>
        <v/>
      </c>
      <c r="AE351" s="525" t="str">
        <f t="shared" si="9"/>
        <v/>
      </c>
      <c r="AF351" s="525" t="str">
        <f t="shared" si="10"/>
        <v/>
      </c>
      <c r="AG351" s="525" t="str">
        <f t="shared" si="11"/>
        <v/>
      </c>
      <c r="AH351" s="525">
        <f>E352</f>
        <v>0</v>
      </c>
      <c r="AI351" s="525">
        <f>E353</f>
        <v>0</v>
      </c>
    </row>
    <row r="352" spans="1:35" x14ac:dyDescent="0.2">
      <c r="A352" s="531"/>
      <c r="B352" s="303"/>
      <c r="C352" s="303"/>
      <c r="D352" s="303"/>
      <c r="E352" s="303"/>
      <c r="F352" s="303"/>
      <c r="G352" s="303"/>
      <c r="H352" s="303"/>
      <c r="I352" s="303"/>
      <c r="J352" s="303"/>
      <c r="K352" s="303"/>
      <c r="L352" s="303"/>
      <c r="M352" s="303"/>
      <c r="N352" s="303"/>
      <c r="O352" s="303"/>
      <c r="P352" s="303"/>
      <c r="Q352" s="303"/>
      <c r="R352" s="303"/>
      <c r="S352" s="303"/>
      <c r="T352" s="303"/>
      <c r="U352" s="303"/>
      <c r="V352" s="303"/>
      <c r="W352" s="303"/>
      <c r="X352" s="303"/>
      <c r="Y352" s="303"/>
      <c r="Z352" s="532"/>
      <c r="AA352" s="530"/>
      <c r="AB352" s="525" t="str">
        <f t="shared" si="6"/>
        <v/>
      </c>
      <c r="AC352" s="525" t="str">
        <f t="shared" si="7"/>
        <v/>
      </c>
      <c r="AD352" s="525" t="str">
        <f t="shared" si="8"/>
        <v/>
      </c>
      <c r="AE352" s="525" t="str">
        <f t="shared" si="9"/>
        <v/>
      </c>
      <c r="AF352" s="525" t="str">
        <f t="shared" si="10"/>
        <v/>
      </c>
      <c r="AG352" s="525" t="str">
        <f t="shared" si="11"/>
        <v/>
      </c>
      <c r="AH352" s="525">
        <f>E352</f>
        <v>0</v>
      </c>
      <c r="AI352" s="525">
        <f>E353</f>
        <v>0</v>
      </c>
    </row>
    <row r="353" spans="1:35" x14ac:dyDescent="0.2">
      <c r="A353" s="531"/>
      <c r="B353" s="303"/>
      <c r="C353" s="303"/>
      <c r="D353" s="303"/>
      <c r="E353" s="303"/>
      <c r="F353" s="303"/>
      <c r="G353" s="303"/>
      <c r="H353" s="303"/>
      <c r="I353" s="303"/>
      <c r="J353" s="303"/>
      <c r="K353" s="303"/>
      <c r="L353" s="303"/>
      <c r="M353" s="303"/>
      <c r="N353" s="303"/>
      <c r="O353" s="303"/>
      <c r="P353" s="303"/>
      <c r="Q353" s="303"/>
      <c r="R353" s="303"/>
      <c r="S353" s="303"/>
      <c r="T353" s="303"/>
      <c r="U353" s="303"/>
      <c r="V353" s="303"/>
      <c r="W353" s="303"/>
      <c r="X353" s="303"/>
      <c r="Y353" s="303"/>
      <c r="Z353" s="532"/>
      <c r="AA353" s="530"/>
      <c r="AB353" s="525" t="str">
        <f t="shared" si="6"/>
        <v/>
      </c>
      <c r="AC353" s="525" t="str">
        <f t="shared" si="7"/>
        <v/>
      </c>
      <c r="AD353" s="525" t="str">
        <f t="shared" si="8"/>
        <v/>
      </c>
      <c r="AE353" s="525" t="str">
        <f t="shared" si="9"/>
        <v/>
      </c>
      <c r="AF353" s="525" t="str">
        <f t="shared" si="10"/>
        <v/>
      </c>
      <c r="AG353" s="525" t="str">
        <f t="shared" si="11"/>
        <v/>
      </c>
      <c r="AH353" s="525">
        <f>E352</f>
        <v>0</v>
      </c>
      <c r="AI353" s="525">
        <f>E353</f>
        <v>0</v>
      </c>
    </row>
    <row r="354" spans="1:35" x14ac:dyDescent="0.2">
      <c r="A354" s="531"/>
      <c r="B354" s="303"/>
      <c r="C354" s="303"/>
      <c r="D354" s="303"/>
      <c r="E354" s="303"/>
      <c r="F354" s="303"/>
      <c r="G354" s="303"/>
      <c r="H354" s="303"/>
      <c r="I354" s="303"/>
      <c r="J354" s="303"/>
      <c r="K354" s="303"/>
      <c r="L354" s="303"/>
      <c r="M354" s="303"/>
      <c r="N354" s="303"/>
      <c r="O354" s="303"/>
      <c r="P354" s="303"/>
      <c r="Q354" s="303"/>
      <c r="R354" s="303"/>
      <c r="S354" s="303"/>
      <c r="T354" s="303"/>
      <c r="U354" s="303"/>
      <c r="V354" s="303"/>
      <c r="W354" s="303"/>
      <c r="X354" s="303"/>
      <c r="Y354" s="303"/>
      <c r="Z354" s="532"/>
      <c r="AA354" s="530"/>
      <c r="AB354" s="525" t="str">
        <f t="shared" si="6"/>
        <v/>
      </c>
      <c r="AC354" s="525" t="str">
        <f t="shared" si="7"/>
        <v/>
      </c>
      <c r="AD354" s="525" t="str">
        <f t="shared" si="8"/>
        <v/>
      </c>
      <c r="AE354" s="525" t="str">
        <f t="shared" si="9"/>
        <v/>
      </c>
      <c r="AF354" s="525" t="str">
        <f t="shared" si="10"/>
        <v/>
      </c>
      <c r="AG354" s="525" t="str">
        <f t="shared" si="11"/>
        <v/>
      </c>
      <c r="AH354" s="525">
        <f>E355</f>
        <v>0</v>
      </c>
      <c r="AI354" s="525">
        <f>E356</f>
        <v>0</v>
      </c>
    </row>
    <row r="355" spans="1:35" x14ac:dyDescent="0.2">
      <c r="A355" s="531"/>
      <c r="B355" s="303"/>
      <c r="C355" s="303"/>
      <c r="D355" s="303"/>
      <c r="E355" s="303"/>
      <c r="F355" s="303"/>
      <c r="G355" s="303"/>
      <c r="H355" s="303"/>
      <c r="I355" s="303"/>
      <c r="J355" s="303"/>
      <c r="K355" s="303"/>
      <c r="L355" s="303"/>
      <c r="M355" s="303"/>
      <c r="N355" s="303"/>
      <c r="O355" s="303"/>
      <c r="P355" s="303"/>
      <c r="Q355" s="303"/>
      <c r="R355" s="303"/>
      <c r="S355" s="303"/>
      <c r="T355" s="303"/>
      <c r="U355" s="303"/>
      <c r="V355" s="303"/>
      <c r="W355" s="303"/>
      <c r="X355" s="303"/>
      <c r="Y355" s="303"/>
      <c r="Z355" s="532"/>
      <c r="AA355" s="530"/>
      <c r="AB355" s="525" t="str">
        <f t="shared" si="6"/>
        <v/>
      </c>
      <c r="AC355" s="525" t="str">
        <f t="shared" si="7"/>
        <v/>
      </c>
      <c r="AD355" s="525" t="str">
        <f t="shared" si="8"/>
        <v/>
      </c>
      <c r="AE355" s="525" t="str">
        <f t="shared" si="9"/>
        <v/>
      </c>
      <c r="AF355" s="525" t="str">
        <f t="shared" si="10"/>
        <v/>
      </c>
      <c r="AG355" s="525" t="str">
        <f t="shared" si="11"/>
        <v/>
      </c>
      <c r="AH355" s="525">
        <f>E355</f>
        <v>0</v>
      </c>
      <c r="AI355" s="525">
        <f>E356</f>
        <v>0</v>
      </c>
    </row>
    <row r="356" spans="1:35" x14ac:dyDescent="0.2">
      <c r="A356" s="531"/>
      <c r="B356" s="303"/>
      <c r="C356" s="303"/>
      <c r="D356" s="303"/>
      <c r="E356" s="303"/>
      <c r="F356" s="303"/>
      <c r="G356" s="303"/>
      <c r="H356" s="303"/>
      <c r="I356" s="303"/>
      <c r="J356" s="303"/>
      <c r="K356" s="303"/>
      <c r="L356" s="303"/>
      <c r="M356" s="303"/>
      <c r="N356" s="303"/>
      <c r="O356" s="303"/>
      <c r="P356" s="303"/>
      <c r="Q356" s="303"/>
      <c r="R356" s="303"/>
      <c r="S356" s="303"/>
      <c r="T356" s="303"/>
      <c r="U356" s="303"/>
      <c r="V356" s="303"/>
      <c r="W356" s="303"/>
      <c r="X356" s="303"/>
      <c r="Y356" s="303"/>
      <c r="Z356" s="532"/>
      <c r="AA356" s="530"/>
      <c r="AB356" s="525" t="str">
        <f t="shared" si="6"/>
        <v/>
      </c>
      <c r="AC356" s="525" t="str">
        <f t="shared" si="7"/>
        <v/>
      </c>
      <c r="AD356" s="525" t="str">
        <f t="shared" si="8"/>
        <v/>
      </c>
      <c r="AE356" s="525" t="str">
        <f t="shared" si="9"/>
        <v/>
      </c>
      <c r="AF356" s="525" t="str">
        <f t="shared" si="10"/>
        <v/>
      </c>
      <c r="AG356" s="525" t="str">
        <f t="shared" si="11"/>
        <v/>
      </c>
      <c r="AH356" s="525">
        <f>E355</f>
        <v>0</v>
      </c>
      <c r="AI356" s="525">
        <f>E356</f>
        <v>0</v>
      </c>
    </row>
    <row r="357" spans="1:35" x14ac:dyDescent="0.2">
      <c r="A357" s="531"/>
      <c r="B357" s="303"/>
      <c r="C357" s="303"/>
      <c r="D357" s="303"/>
      <c r="E357" s="303"/>
      <c r="F357" s="303"/>
      <c r="G357" s="303"/>
      <c r="H357" s="303"/>
      <c r="I357" s="303"/>
      <c r="J357" s="303"/>
      <c r="K357" s="303"/>
      <c r="L357" s="303"/>
      <c r="M357" s="303"/>
      <c r="N357" s="303"/>
      <c r="O357" s="303"/>
      <c r="P357" s="303"/>
      <c r="Q357" s="303"/>
      <c r="R357" s="303"/>
      <c r="S357" s="303"/>
      <c r="T357" s="303"/>
      <c r="U357" s="303"/>
      <c r="V357" s="303"/>
      <c r="W357" s="303"/>
      <c r="X357" s="303"/>
      <c r="Y357" s="303"/>
      <c r="Z357" s="532"/>
      <c r="AA357" s="530"/>
      <c r="AB357" s="525" t="str">
        <f t="shared" si="6"/>
        <v/>
      </c>
      <c r="AC357" s="525" t="str">
        <f t="shared" si="7"/>
        <v/>
      </c>
      <c r="AD357" s="525" t="str">
        <f t="shared" si="8"/>
        <v/>
      </c>
      <c r="AE357" s="525" t="str">
        <f t="shared" si="9"/>
        <v/>
      </c>
      <c r="AF357" s="525" t="str">
        <f t="shared" si="10"/>
        <v/>
      </c>
      <c r="AG357" s="525" t="str">
        <f t="shared" si="11"/>
        <v/>
      </c>
      <c r="AH357" s="525">
        <f>E358</f>
        <v>0</v>
      </c>
      <c r="AI357" s="525">
        <f>E359</f>
        <v>0</v>
      </c>
    </row>
    <row r="358" spans="1:35" x14ac:dyDescent="0.2">
      <c r="A358" s="531"/>
      <c r="B358" s="303"/>
      <c r="C358" s="303"/>
      <c r="D358" s="303"/>
      <c r="E358" s="303"/>
      <c r="F358" s="303"/>
      <c r="G358" s="303"/>
      <c r="H358" s="303"/>
      <c r="I358" s="303"/>
      <c r="J358" s="303"/>
      <c r="K358" s="303"/>
      <c r="L358" s="303"/>
      <c r="M358" s="303"/>
      <c r="N358" s="303"/>
      <c r="O358" s="303"/>
      <c r="P358" s="303"/>
      <c r="Q358" s="303"/>
      <c r="R358" s="303"/>
      <c r="S358" s="303"/>
      <c r="T358" s="303"/>
      <c r="U358" s="303"/>
      <c r="V358" s="303"/>
      <c r="W358" s="303"/>
      <c r="X358" s="303"/>
      <c r="Y358" s="303"/>
      <c r="Z358" s="532"/>
      <c r="AA358" s="530"/>
      <c r="AB358" s="525" t="str">
        <f t="shared" si="6"/>
        <v/>
      </c>
      <c r="AC358" s="525" t="str">
        <f t="shared" si="7"/>
        <v/>
      </c>
      <c r="AD358" s="525" t="str">
        <f t="shared" si="8"/>
        <v/>
      </c>
      <c r="AE358" s="525" t="str">
        <f t="shared" si="9"/>
        <v/>
      </c>
      <c r="AF358" s="525" t="str">
        <f t="shared" si="10"/>
        <v/>
      </c>
      <c r="AG358" s="525" t="str">
        <f t="shared" si="11"/>
        <v/>
      </c>
      <c r="AH358" s="525">
        <f>E358</f>
        <v>0</v>
      </c>
      <c r="AI358" s="525">
        <f>E359</f>
        <v>0</v>
      </c>
    </row>
    <row r="359" spans="1:35" x14ac:dyDescent="0.2">
      <c r="A359" s="531"/>
      <c r="B359" s="303"/>
      <c r="C359" s="303"/>
      <c r="D359" s="303"/>
      <c r="E359" s="303"/>
      <c r="F359" s="303"/>
      <c r="G359" s="303"/>
      <c r="H359" s="303"/>
      <c r="I359" s="303"/>
      <c r="J359" s="303"/>
      <c r="K359" s="303"/>
      <c r="L359" s="303"/>
      <c r="M359" s="303"/>
      <c r="N359" s="303"/>
      <c r="O359" s="303"/>
      <c r="P359" s="303"/>
      <c r="Q359" s="303"/>
      <c r="R359" s="303"/>
      <c r="S359" s="303"/>
      <c r="T359" s="303"/>
      <c r="U359" s="303"/>
      <c r="V359" s="303"/>
      <c r="W359" s="303"/>
      <c r="X359" s="303"/>
      <c r="Y359" s="303"/>
      <c r="Z359" s="532"/>
      <c r="AA359" s="530"/>
      <c r="AB359" s="525" t="str">
        <f t="shared" si="6"/>
        <v/>
      </c>
      <c r="AC359" s="525" t="str">
        <f t="shared" si="7"/>
        <v/>
      </c>
      <c r="AD359" s="525" t="str">
        <f t="shared" si="8"/>
        <v/>
      </c>
      <c r="AE359" s="525" t="str">
        <f t="shared" si="9"/>
        <v/>
      </c>
      <c r="AF359" s="525" t="str">
        <f t="shared" si="10"/>
        <v/>
      </c>
      <c r="AG359" s="525" t="str">
        <f t="shared" si="11"/>
        <v/>
      </c>
      <c r="AH359" s="525">
        <f>E358</f>
        <v>0</v>
      </c>
      <c r="AI359" s="525">
        <f>E359</f>
        <v>0</v>
      </c>
    </row>
    <row r="360" spans="1:35" x14ac:dyDescent="0.2">
      <c r="A360" s="531"/>
      <c r="B360" s="303"/>
      <c r="C360" s="303"/>
      <c r="D360" s="303"/>
      <c r="E360" s="303"/>
      <c r="F360" s="303"/>
      <c r="G360" s="303"/>
      <c r="H360" s="303"/>
      <c r="I360" s="303"/>
      <c r="J360" s="303"/>
      <c r="K360" s="303"/>
      <c r="L360" s="303"/>
      <c r="M360" s="303"/>
      <c r="N360" s="303"/>
      <c r="O360" s="303"/>
      <c r="P360" s="303"/>
      <c r="Q360" s="303"/>
      <c r="R360" s="303"/>
      <c r="S360" s="303"/>
      <c r="T360" s="303"/>
      <c r="U360" s="303"/>
      <c r="V360" s="303"/>
      <c r="W360" s="303"/>
      <c r="X360" s="303"/>
      <c r="Y360" s="303"/>
      <c r="Z360" s="532"/>
      <c r="AA360" s="530"/>
      <c r="AB360" s="525" t="str">
        <f t="shared" si="6"/>
        <v/>
      </c>
      <c r="AC360" s="525" t="str">
        <f t="shared" si="7"/>
        <v/>
      </c>
      <c r="AD360" s="525" t="str">
        <f t="shared" si="8"/>
        <v/>
      </c>
      <c r="AE360" s="525" t="str">
        <f t="shared" si="9"/>
        <v/>
      </c>
      <c r="AF360" s="525" t="str">
        <f t="shared" si="10"/>
        <v/>
      </c>
      <c r="AG360" s="525" t="str">
        <f t="shared" si="11"/>
        <v/>
      </c>
      <c r="AH360" s="525">
        <f>E361</f>
        <v>0</v>
      </c>
      <c r="AI360" s="525">
        <f>E362</f>
        <v>0</v>
      </c>
    </row>
    <row r="361" spans="1:35" x14ac:dyDescent="0.2">
      <c r="A361" s="531"/>
      <c r="B361" s="303"/>
      <c r="C361" s="303"/>
      <c r="D361" s="303"/>
      <c r="E361" s="303"/>
      <c r="F361" s="303"/>
      <c r="G361" s="303"/>
      <c r="H361" s="303"/>
      <c r="I361" s="303"/>
      <c r="J361" s="303"/>
      <c r="K361" s="303"/>
      <c r="L361" s="303"/>
      <c r="M361" s="303"/>
      <c r="N361" s="303"/>
      <c r="O361" s="303"/>
      <c r="P361" s="303"/>
      <c r="Q361" s="303"/>
      <c r="R361" s="303"/>
      <c r="S361" s="303"/>
      <c r="T361" s="303"/>
      <c r="U361" s="303"/>
      <c r="V361" s="303"/>
      <c r="W361" s="303"/>
      <c r="X361" s="303"/>
      <c r="Y361" s="303"/>
      <c r="Z361" s="532"/>
      <c r="AA361" s="530"/>
      <c r="AB361" s="525" t="str">
        <f t="shared" si="6"/>
        <v/>
      </c>
      <c r="AC361" s="525" t="str">
        <f t="shared" si="7"/>
        <v/>
      </c>
      <c r="AD361" s="525" t="str">
        <f t="shared" si="8"/>
        <v/>
      </c>
      <c r="AE361" s="525" t="str">
        <f t="shared" si="9"/>
        <v/>
      </c>
      <c r="AF361" s="525" t="str">
        <f t="shared" si="10"/>
        <v/>
      </c>
      <c r="AG361" s="525" t="str">
        <f t="shared" si="11"/>
        <v/>
      </c>
      <c r="AH361" s="525">
        <f>E361</f>
        <v>0</v>
      </c>
      <c r="AI361" s="525">
        <f>E362</f>
        <v>0</v>
      </c>
    </row>
    <row r="362" spans="1:35" x14ac:dyDescent="0.2">
      <c r="A362" s="531"/>
      <c r="B362" s="303"/>
      <c r="C362" s="303"/>
      <c r="D362" s="303"/>
      <c r="E362" s="303"/>
      <c r="F362" s="303"/>
      <c r="G362" s="303"/>
      <c r="H362" s="303"/>
      <c r="I362" s="303"/>
      <c r="J362" s="303"/>
      <c r="K362" s="303"/>
      <c r="L362" s="303"/>
      <c r="M362" s="303"/>
      <c r="N362" s="303"/>
      <c r="O362" s="303"/>
      <c r="P362" s="303"/>
      <c r="Q362" s="303"/>
      <c r="R362" s="303"/>
      <c r="S362" s="303"/>
      <c r="T362" s="303"/>
      <c r="U362" s="303"/>
      <c r="V362" s="303"/>
      <c r="W362" s="303"/>
      <c r="X362" s="303"/>
      <c r="Y362" s="303"/>
      <c r="Z362" s="532"/>
      <c r="AA362" s="530"/>
      <c r="AB362" s="525" t="str">
        <f t="shared" si="6"/>
        <v/>
      </c>
      <c r="AC362" s="525" t="str">
        <f t="shared" si="7"/>
        <v/>
      </c>
      <c r="AD362" s="525" t="str">
        <f t="shared" si="8"/>
        <v/>
      </c>
      <c r="AE362" s="525" t="str">
        <f t="shared" si="9"/>
        <v/>
      </c>
      <c r="AF362" s="525" t="str">
        <f t="shared" si="10"/>
        <v/>
      </c>
      <c r="AG362" s="525" t="str">
        <f t="shared" si="11"/>
        <v/>
      </c>
      <c r="AH362" s="525">
        <f>E361</f>
        <v>0</v>
      </c>
      <c r="AI362" s="525">
        <f>E362</f>
        <v>0</v>
      </c>
    </row>
    <row r="363" spans="1:35" x14ac:dyDescent="0.2">
      <c r="A363" s="531"/>
      <c r="B363" s="303"/>
      <c r="C363" s="303"/>
      <c r="D363" s="303"/>
      <c r="E363" s="303"/>
      <c r="F363" s="303"/>
      <c r="G363" s="303"/>
      <c r="H363" s="303"/>
      <c r="I363" s="303"/>
      <c r="J363" s="303"/>
      <c r="K363" s="303"/>
      <c r="L363" s="303"/>
      <c r="M363" s="303"/>
      <c r="N363" s="303"/>
      <c r="O363" s="303"/>
      <c r="P363" s="303"/>
      <c r="Q363" s="303"/>
      <c r="R363" s="303"/>
      <c r="S363" s="303"/>
      <c r="T363" s="303"/>
      <c r="U363" s="303"/>
      <c r="V363" s="303"/>
      <c r="W363" s="303"/>
      <c r="X363" s="303"/>
      <c r="Y363" s="303"/>
      <c r="Z363" s="532"/>
      <c r="AA363" s="530"/>
      <c r="AB363" s="525" t="str">
        <f t="shared" si="6"/>
        <v/>
      </c>
      <c r="AC363" s="525" t="str">
        <f t="shared" si="7"/>
        <v/>
      </c>
      <c r="AD363" s="525" t="str">
        <f t="shared" si="8"/>
        <v/>
      </c>
      <c r="AE363" s="525" t="str">
        <f t="shared" si="9"/>
        <v/>
      </c>
      <c r="AF363" s="525" t="str">
        <f t="shared" si="10"/>
        <v/>
      </c>
      <c r="AG363" s="525" t="str">
        <f t="shared" si="11"/>
        <v/>
      </c>
      <c r="AH363" s="525">
        <f>E364</f>
        <v>0</v>
      </c>
      <c r="AI363" s="525">
        <f>E365</f>
        <v>0</v>
      </c>
    </row>
    <row r="364" spans="1:35" x14ac:dyDescent="0.2">
      <c r="A364" s="531"/>
      <c r="B364" s="303"/>
      <c r="C364" s="303"/>
      <c r="D364" s="303"/>
      <c r="E364" s="303"/>
      <c r="F364" s="303"/>
      <c r="G364" s="303"/>
      <c r="H364" s="303"/>
      <c r="I364" s="303"/>
      <c r="J364" s="303"/>
      <c r="K364" s="303"/>
      <c r="L364" s="303"/>
      <c r="M364" s="303"/>
      <c r="N364" s="303"/>
      <c r="O364" s="303"/>
      <c r="P364" s="303"/>
      <c r="Q364" s="303"/>
      <c r="R364" s="303"/>
      <c r="S364" s="303"/>
      <c r="T364" s="303"/>
      <c r="U364" s="303"/>
      <c r="V364" s="303"/>
      <c r="W364" s="303"/>
      <c r="X364" s="303"/>
      <c r="Y364" s="303"/>
      <c r="Z364" s="532"/>
      <c r="AA364" s="530"/>
      <c r="AB364" s="525" t="str">
        <f t="shared" si="6"/>
        <v/>
      </c>
      <c r="AC364" s="525" t="str">
        <f t="shared" si="7"/>
        <v/>
      </c>
      <c r="AD364" s="525" t="str">
        <f t="shared" si="8"/>
        <v/>
      </c>
      <c r="AE364" s="525" t="str">
        <f t="shared" si="9"/>
        <v/>
      </c>
      <c r="AF364" s="525" t="str">
        <f t="shared" si="10"/>
        <v/>
      </c>
      <c r="AG364" s="525" t="str">
        <f t="shared" si="11"/>
        <v/>
      </c>
      <c r="AH364" s="525">
        <f>E364</f>
        <v>0</v>
      </c>
      <c r="AI364" s="525">
        <f>E365</f>
        <v>0</v>
      </c>
    </row>
    <row r="365" spans="1:35" x14ac:dyDescent="0.2">
      <c r="A365" s="531"/>
      <c r="B365" s="303"/>
      <c r="C365" s="303"/>
      <c r="D365" s="303"/>
      <c r="E365" s="303"/>
      <c r="F365" s="303"/>
      <c r="G365" s="303"/>
      <c r="H365" s="303"/>
      <c r="I365" s="303"/>
      <c r="J365" s="303"/>
      <c r="K365" s="303"/>
      <c r="L365" s="303"/>
      <c r="M365" s="303"/>
      <c r="N365" s="303"/>
      <c r="O365" s="303"/>
      <c r="P365" s="303"/>
      <c r="Q365" s="303"/>
      <c r="R365" s="303"/>
      <c r="S365" s="303"/>
      <c r="T365" s="303"/>
      <c r="U365" s="303"/>
      <c r="V365" s="303"/>
      <c r="W365" s="303"/>
      <c r="X365" s="303"/>
      <c r="Y365" s="303"/>
      <c r="Z365" s="532"/>
      <c r="AA365" s="530"/>
      <c r="AB365" s="525" t="str">
        <f t="shared" si="6"/>
        <v/>
      </c>
      <c r="AC365" s="525" t="str">
        <f t="shared" si="7"/>
        <v/>
      </c>
      <c r="AD365" s="525" t="str">
        <f t="shared" si="8"/>
        <v/>
      </c>
      <c r="AE365" s="525" t="str">
        <f t="shared" si="9"/>
        <v/>
      </c>
      <c r="AF365" s="525" t="str">
        <f t="shared" si="10"/>
        <v/>
      </c>
      <c r="AG365" s="525" t="str">
        <f t="shared" si="11"/>
        <v/>
      </c>
      <c r="AH365" s="525">
        <f>E364</f>
        <v>0</v>
      </c>
      <c r="AI365" s="525">
        <f>E365</f>
        <v>0</v>
      </c>
    </row>
    <row r="366" spans="1:35" x14ac:dyDescent="0.2">
      <c r="A366" s="531"/>
      <c r="B366" s="303"/>
      <c r="C366" s="303"/>
      <c r="D366" s="303"/>
      <c r="E366" s="303"/>
      <c r="F366" s="303"/>
      <c r="G366" s="303"/>
      <c r="H366" s="303"/>
      <c r="I366" s="303"/>
      <c r="J366" s="303"/>
      <c r="K366" s="303"/>
      <c r="L366" s="303"/>
      <c r="M366" s="303"/>
      <c r="N366" s="303"/>
      <c r="O366" s="303"/>
      <c r="P366" s="303"/>
      <c r="Q366" s="303"/>
      <c r="R366" s="303"/>
      <c r="S366" s="303"/>
      <c r="T366" s="303"/>
      <c r="U366" s="303"/>
      <c r="V366" s="303"/>
      <c r="W366" s="303"/>
      <c r="X366" s="303"/>
      <c r="Y366" s="303"/>
      <c r="Z366" s="532"/>
      <c r="AA366" s="530"/>
      <c r="AB366" s="525" t="str">
        <f t="shared" si="6"/>
        <v/>
      </c>
      <c r="AC366" s="525" t="str">
        <f t="shared" si="7"/>
        <v/>
      </c>
      <c r="AD366" s="525" t="str">
        <f t="shared" si="8"/>
        <v/>
      </c>
      <c r="AE366" s="525" t="str">
        <f t="shared" si="9"/>
        <v/>
      </c>
      <c r="AF366" s="525" t="str">
        <f t="shared" si="10"/>
        <v/>
      </c>
      <c r="AG366" s="525" t="str">
        <f t="shared" si="11"/>
        <v/>
      </c>
      <c r="AH366" s="525">
        <f>E367</f>
        <v>0</v>
      </c>
      <c r="AI366" s="525">
        <f>E368</f>
        <v>0</v>
      </c>
    </row>
    <row r="367" spans="1:35" x14ac:dyDescent="0.2">
      <c r="A367" s="531"/>
      <c r="B367" s="303"/>
      <c r="C367" s="303"/>
      <c r="D367" s="303"/>
      <c r="E367" s="303"/>
      <c r="F367" s="303"/>
      <c r="G367" s="303"/>
      <c r="H367" s="303"/>
      <c r="I367" s="303"/>
      <c r="J367" s="303"/>
      <c r="K367" s="303"/>
      <c r="L367" s="303"/>
      <c r="M367" s="303"/>
      <c r="N367" s="303"/>
      <c r="O367" s="303"/>
      <c r="P367" s="303"/>
      <c r="Q367" s="303"/>
      <c r="R367" s="303"/>
      <c r="S367" s="303"/>
      <c r="T367" s="303"/>
      <c r="U367" s="303"/>
      <c r="V367" s="303"/>
      <c r="W367" s="303"/>
      <c r="X367" s="303"/>
      <c r="Y367" s="303"/>
      <c r="Z367" s="532"/>
      <c r="AA367" s="530"/>
      <c r="AB367" s="525" t="str">
        <f t="shared" si="6"/>
        <v/>
      </c>
      <c r="AC367" s="525" t="str">
        <f t="shared" si="7"/>
        <v/>
      </c>
      <c r="AD367" s="525" t="str">
        <f t="shared" si="8"/>
        <v/>
      </c>
      <c r="AE367" s="525" t="str">
        <f t="shared" si="9"/>
        <v/>
      </c>
      <c r="AF367" s="525" t="str">
        <f t="shared" si="10"/>
        <v/>
      </c>
      <c r="AG367" s="525" t="str">
        <f t="shared" si="11"/>
        <v/>
      </c>
      <c r="AH367" s="525">
        <f>E367</f>
        <v>0</v>
      </c>
      <c r="AI367" s="525">
        <f>E368</f>
        <v>0</v>
      </c>
    </row>
    <row r="368" spans="1:35" x14ac:dyDescent="0.2">
      <c r="A368" s="531"/>
      <c r="B368" s="303"/>
      <c r="C368" s="303"/>
      <c r="D368" s="303"/>
      <c r="E368" s="303"/>
      <c r="F368" s="303"/>
      <c r="G368" s="303"/>
      <c r="H368" s="303"/>
      <c r="I368" s="303"/>
      <c r="J368" s="303"/>
      <c r="K368" s="303"/>
      <c r="L368" s="303"/>
      <c r="M368" s="303"/>
      <c r="N368" s="303"/>
      <c r="O368" s="303"/>
      <c r="P368" s="303"/>
      <c r="Q368" s="303"/>
      <c r="R368" s="303"/>
      <c r="S368" s="303"/>
      <c r="T368" s="303"/>
      <c r="U368" s="303"/>
      <c r="V368" s="303"/>
      <c r="W368" s="303"/>
      <c r="X368" s="303"/>
      <c r="Y368" s="303"/>
      <c r="Z368" s="532"/>
      <c r="AA368" s="530"/>
      <c r="AB368" s="525" t="str">
        <f t="shared" si="6"/>
        <v/>
      </c>
      <c r="AC368" s="525" t="str">
        <f t="shared" si="7"/>
        <v/>
      </c>
      <c r="AD368" s="525" t="str">
        <f t="shared" si="8"/>
        <v/>
      </c>
      <c r="AE368" s="525" t="str">
        <f t="shared" si="9"/>
        <v/>
      </c>
      <c r="AF368" s="525" t="str">
        <f t="shared" si="10"/>
        <v/>
      </c>
      <c r="AG368" s="525" t="str">
        <f t="shared" si="11"/>
        <v/>
      </c>
      <c r="AH368" s="525">
        <f>E367</f>
        <v>0</v>
      </c>
      <c r="AI368" s="525">
        <f>E368</f>
        <v>0</v>
      </c>
    </row>
    <row r="369" spans="1:35" x14ac:dyDescent="0.2">
      <c r="A369" s="531"/>
      <c r="B369" s="303"/>
      <c r="C369" s="303"/>
      <c r="D369" s="303"/>
      <c r="E369" s="303"/>
      <c r="F369" s="303"/>
      <c r="G369" s="303"/>
      <c r="H369" s="303"/>
      <c r="I369" s="303"/>
      <c r="J369" s="303"/>
      <c r="K369" s="303"/>
      <c r="L369" s="303"/>
      <c r="M369" s="303"/>
      <c r="N369" s="303"/>
      <c r="O369" s="303"/>
      <c r="P369" s="303"/>
      <c r="Q369" s="303"/>
      <c r="R369" s="303"/>
      <c r="S369" s="303"/>
      <c r="T369" s="303"/>
      <c r="U369" s="303"/>
      <c r="V369" s="303"/>
      <c r="W369" s="303"/>
      <c r="X369" s="303"/>
      <c r="Y369" s="303"/>
      <c r="Z369" s="532"/>
      <c r="AA369" s="530"/>
      <c r="AB369" s="525" t="str">
        <f t="shared" si="6"/>
        <v/>
      </c>
      <c r="AC369" s="525" t="str">
        <f t="shared" si="7"/>
        <v/>
      </c>
      <c r="AD369" s="525" t="str">
        <f t="shared" si="8"/>
        <v/>
      </c>
      <c r="AE369" s="525" t="str">
        <f t="shared" si="9"/>
        <v/>
      </c>
      <c r="AF369" s="525" t="str">
        <f t="shared" si="10"/>
        <v/>
      </c>
      <c r="AG369" s="525" t="str">
        <f t="shared" si="11"/>
        <v/>
      </c>
      <c r="AH369" s="525">
        <f>E370</f>
        <v>0</v>
      </c>
      <c r="AI369" s="525">
        <f>E371</f>
        <v>0</v>
      </c>
    </row>
    <row r="370" spans="1:35" x14ac:dyDescent="0.2">
      <c r="A370" s="531"/>
      <c r="B370" s="303"/>
      <c r="C370" s="303"/>
      <c r="D370" s="303"/>
      <c r="E370" s="303"/>
      <c r="F370" s="303"/>
      <c r="G370" s="303"/>
      <c r="H370" s="303"/>
      <c r="I370" s="303"/>
      <c r="J370" s="303"/>
      <c r="K370" s="303"/>
      <c r="L370" s="303"/>
      <c r="M370" s="303"/>
      <c r="N370" s="303"/>
      <c r="O370" s="303"/>
      <c r="P370" s="303"/>
      <c r="Q370" s="303"/>
      <c r="R370" s="303"/>
      <c r="S370" s="303"/>
      <c r="T370" s="303"/>
      <c r="U370" s="303"/>
      <c r="V370" s="303"/>
      <c r="W370" s="303"/>
      <c r="X370" s="303"/>
      <c r="Y370" s="303"/>
      <c r="Z370" s="532"/>
      <c r="AA370" s="530"/>
      <c r="AB370" s="525" t="str">
        <f t="shared" si="6"/>
        <v/>
      </c>
      <c r="AC370" s="525" t="str">
        <f t="shared" si="7"/>
        <v/>
      </c>
      <c r="AD370" s="525" t="str">
        <f t="shared" si="8"/>
        <v/>
      </c>
      <c r="AE370" s="525" t="str">
        <f t="shared" si="9"/>
        <v/>
      </c>
      <c r="AF370" s="525" t="str">
        <f t="shared" si="10"/>
        <v/>
      </c>
      <c r="AG370" s="525" t="str">
        <f t="shared" si="11"/>
        <v/>
      </c>
      <c r="AH370" s="525">
        <f>E370</f>
        <v>0</v>
      </c>
      <c r="AI370" s="525">
        <f>E371</f>
        <v>0</v>
      </c>
    </row>
    <row r="371" spans="1:35" x14ac:dyDescent="0.2">
      <c r="A371" s="531"/>
      <c r="B371" s="303"/>
      <c r="C371" s="303"/>
      <c r="D371" s="303"/>
      <c r="E371" s="303"/>
      <c r="F371" s="303"/>
      <c r="G371" s="303"/>
      <c r="H371" s="303"/>
      <c r="I371" s="303"/>
      <c r="J371" s="303"/>
      <c r="K371" s="303"/>
      <c r="L371" s="303"/>
      <c r="M371" s="303"/>
      <c r="N371" s="303"/>
      <c r="O371" s="303"/>
      <c r="P371" s="303"/>
      <c r="Q371" s="303"/>
      <c r="R371" s="303"/>
      <c r="S371" s="303"/>
      <c r="T371" s="303"/>
      <c r="U371" s="303"/>
      <c r="V371" s="303"/>
      <c r="W371" s="303"/>
      <c r="X371" s="303"/>
      <c r="Y371" s="303"/>
      <c r="Z371" s="532"/>
      <c r="AA371" s="530"/>
      <c r="AB371" s="525" t="str">
        <f t="shared" si="6"/>
        <v/>
      </c>
      <c r="AC371" s="525" t="str">
        <f t="shared" si="7"/>
        <v/>
      </c>
      <c r="AD371" s="525" t="str">
        <f t="shared" si="8"/>
        <v/>
      </c>
      <c r="AE371" s="525" t="str">
        <f t="shared" si="9"/>
        <v/>
      </c>
      <c r="AF371" s="525" t="str">
        <f t="shared" si="10"/>
        <v/>
      </c>
      <c r="AG371" s="525" t="str">
        <f t="shared" si="11"/>
        <v/>
      </c>
      <c r="AH371" s="525">
        <f>E370</f>
        <v>0</v>
      </c>
      <c r="AI371" s="525">
        <f>E371</f>
        <v>0</v>
      </c>
    </row>
    <row r="372" spans="1:35" x14ac:dyDescent="0.2">
      <c r="A372" s="531"/>
      <c r="B372" s="303"/>
      <c r="C372" s="303"/>
      <c r="D372" s="303"/>
      <c r="E372" s="303"/>
      <c r="F372" s="303"/>
      <c r="G372" s="303"/>
      <c r="H372" s="303"/>
      <c r="I372" s="303"/>
      <c r="J372" s="303"/>
      <c r="K372" s="303"/>
      <c r="L372" s="303"/>
      <c r="M372" s="303"/>
      <c r="N372" s="303"/>
      <c r="O372" s="303"/>
      <c r="P372" s="303"/>
      <c r="Q372" s="303"/>
      <c r="R372" s="303"/>
      <c r="S372" s="303"/>
      <c r="T372" s="303"/>
      <c r="U372" s="303"/>
      <c r="V372" s="303"/>
      <c r="W372" s="303"/>
      <c r="X372" s="303"/>
      <c r="Y372" s="303"/>
      <c r="Z372" s="532"/>
      <c r="AA372" s="530"/>
      <c r="AB372" s="525" t="str">
        <f t="shared" si="6"/>
        <v/>
      </c>
      <c r="AC372" s="525" t="str">
        <f t="shared" si="7"/>
        <v/>
      </c>
      <c r="AD372" s="525" t="str">
        <f t="shared" si="8"/>
        <v/>
      </c>
      <c r="AE372" s="525" t="str">
        <f t="shared" si="9"/>
        <v/>
      </c>
      <c r="AF372" s="525" t="str">
        <f t="shared" si="10"/>
        <v/>
      </c>
      <c r="AG372" s="525" t="str">
        <f t="shared" si="11"/>
        <v/>
      </c>
      <c r="AH372" s="525">
        <f>E373</f>
        <v>0</v>
      </c>
      <c r="AI372" s="525">
        <f>E374</f>
        <v>0</v>
      </c>
    </row>
    <row r="373" spans="1:35" x14ac:dyDescent="0.2">
      <c r="A373" s="531"/>
      <c r="B373" s="303"/>
      <c r="C373" s="303"/>
      <c r="D373" s="303"/>
      <c r="E373" s="303"/>
      <c r="F373" s="303"/>
      <c r="G373" s="303"/>
      <c r="H373" s="303"/>
      <c r="I373" s="303"/>
      <c r="J373" s="303"/>
      <c r="K373" s="303"/>
      <c r="L373" s="303"/>
      <c r="M373" s="303"/>
      <c r="N373" s="303"/>
      <c r="O373" s="303"/>
      <c r="P373" s="303"/>
      <c r="Q373" s="303"/>
      <c r="R373" s="303"/>
      <c r="S373" s="303"/>
      <c r="T373" s="303"/>
      <c r="U373" s="303"/>
      <c r="V373" s="303"/>
      <c r="W373" s="303"/>
      <c r="X373" s="303"/>
      <c r="Y373" s="303"/>
      <c r="Z373" s="532"/>
      <c r="AA373" s="530"/>
      <c r="AB373" s="525" t="str">
        <f t="shared" si="6"/>
        <v/>
      </c>
      <c r="AC373" s="525" t="str">
        <f t="shared" si="7"/>
        <v/>
      </c>
      <c r="AD373" s="525" t="str">
        <f t="shared" si="8"/>
        <v/>
      </c>
      <c r="AE373" s="525" t="str">
        <f t="shared" si="9"/>
        <v/>
      </c>
      <c r="AF373" s="525" t="str">
        <f t="shared" si="10"/>
        <v/>
      </c>
      <c r="AG373" s="525" t="str">
        <f t="shared" si="11"/>
        <v/>
      </c>
      <c r="AH373" s="525">
        <f>E373</f>
        <v>0</v>
      </c>
      <c r="AI373" s="525">
        <f>E374</f>
        <v>0</v>
      </c>
    </row>
    <row r="374" spans="1:35" x14ac:dyDescent="0.2">
      <c r="A374" s="531"/>
      <c r="B374" s="303"/>
      <c r="C374" s="303"/>
      <c r="D374" s="303"/>
      <c r="E374" s="303"/>
      <c r="F374" s="303"/>
      <c r="G374" s="303"/>
      <c r="H374" s="303"/>
      <c r="I374" s="303"/>
      <c r="J374" s="303"/>
      <c r="K374" s="303"/>
      <c r="L374" s="303"/>
      <c r="M374" s="303"/>
      <c r="N374" s="303"/>
      <c r="O374" s="303"/>
      <c r="P374" s="303"/>
      <c r="Q374" s="303"/>
      <c r="R374" s="303"/>
      <c r="S374" s="303"/>
      <c r="T374" s="303"/>
      <c r="U374" s="303"/>
      <c r="V374" s="303"/>
      <c r="W374" s="303"/>
      <c r="X374" s="303"/>
      <c r="Y374" s="303"/>
      <c r="Z374" s="532"/>
      <c r="AA374" s="530"/>
      <c r="AB374" s="525" t="str">
        <f t="shared" si="6"/>
        <v/>
      </c>
      <c r="AC374" s="525" t="str">
        <f t="shared" si="7"/>
        <v/>
      </c>
      <c r="AD374" s="525" t="str">
        <f t="shared" si="8"/>
        <v/>
      </c>
      <c r="AE374" s="525" t="str">
        <f t="shared" si="9"/>
        <v/>
      </c>
      <c r="AF374" s="525" t="str">
        <f t="shared" si="10"/>
        <v/>
      </c>
      <c r="AG374" s="525" t="str">
        <f t="shared" si="11"/>
        <v/>
      </c>
      <c r="AH374" s="525">
        <f>E373</f>
        <v>0</v>
      </c>
      <c r="AI374" s="525">
        <f>E374</f>
        <v>0</v>
      </c>
    </row>
    <row r="375" spans="1:35" x14ac:dyDescent="0.2">
      <c r="A375" s="531"/>
      <c r="B375" s="303"/>
      <c r="C375" s="303"/>
      <c r="D375" s="303"/>
      <c r="E375" s="303"/>
      <c r="F375" s="303"/>
      <c r="G375" s="303"/>
      <c r="H375" s="303"/>
      <c r="I375" s="303"/>
      <c r="J375" s="303"/>
      <c r="K375" s="303"/>
      <c r="L375" s="303"/>
      <c r="M375" s="303"/>
      <c r="N375" s="303"/>
      <c r="O375" s="303"/>
      <c r="P375" s="303"/>
      <c r="Q375" s="303"/>
      <c r="R375" s="303"/>
      <c r="S375" s="303"/>
      <c r="T375" s="303"/>
      <c r="U375" s="303"/>
      <c r="V375" s="303"/>
      <c r="W375" s="303"/>
      <c r="X375" s="303"/>
      <c r="Y375" s="303"/>
      <c r="Z375" s="532"/>
      <c r="AA375" s="530"/>
      <c r="AB375" s="525" t="str">
        <f t="shared" si="6"/>
        <v/>
      </c>
      <c r="AC375" s="525" t="str">
        <f t="shared" si="7"/>
        <v/>
      </c>
      <c r="AD375" s="525" t="str">
        <f t="shared" si="8"/>
        <v/>
      </c>
      <c r="AE375" s="525" t="str">
        <f t="shared" si="9"/>
        <v/>
      </c>
      <c r="AF375" s="525" t="str">
        <f t="shared" si="10"/>
        <v/>
      </c>
      <c r="AG375" s="525" t="str">
        <f t="shared" si="11"/>
        <v/>
      </c>
      <c r="AH375" s="525">
        <f>E376</f>
        <v>0</v>
      </c>
      <c r="AI375" s="525">
        <f>E377</f>
        <v>0</v>
      </c>
    </row>
    <row r="376" spans="1:35" x14ac:dyDescent="0.2">
      <c r="A376" s="531"/>
      <c r="B376" s="303"/>
      <c r="C376" s="303"/>
      <c r="D376" s="303"/>
      <c r="E376" s="303"/>
      <c r="F376" s="303"/>
      <c r="G376" s="303"/>
      <c r="H376" s="303"/>
      <c r="I376" s="303"/>
      <c r="J376" s="303"/>
      <c r="K376" s="303"/>
      <c r="L376" s="303"/>
      <c r="M376" s="303"/>
      <c r="N376" s="303"/>
      <c r="O376" s="303"/>
      <c r="P376" s="303"/>
      <c r="Q376" s="303"/>
      <c r="R376" s="303"/>
      <c r="S376" s="303"/>
      <c r="T376" s="303"/>
      <c r="U376" s="303"/>
      <c r="V376" s="303"/>
      <c r="W376" s="303"/>
      <c r="X376" s="303"/>
      <c r="Y376" s="303"/>
      <c r="Z376" s="532"/>
      <c r="AA376" s="530"/>
      <c r="AB376" s="525" t="str">
        <f t="shared" si="6"/>
        <v/>
      </c>
      <c r="AC376" s="525" t="str">
        <f t="shared" si="7"/>
        <v/>
      </c>
      <c r="AD376" s="525" t="str">
        <f t="shared" si="8"/>
        <v/>
      </c>
      <c r="AE376" s="525" t="str">
        <f t="shared" si="9"/>
        <v/>
      </c>
      <c r="AF376" s="525" t="str">
        <f t="shared" si="10"/>
        <v/>
      </c>
      <c r="AG376" s="525" t="str">
        <f t="shared" si="11"/>
        <v/>
      </c>
      <c r="AH376" s="525">
        <f>E376</f>
        <v>0</v>
      </c>
      <c r="AI376" s="525">
        <f>E377</f>
        <v>0</v>
      </c>
    </row>
    <row r="377" spans="1:35" x14ac:dyDescent="0.2">
      <c r="A377" s="531"/>
      <c r="B377" s="303"/>
      <c r="C377" s="303"/>
      <c r="D377" s="303"/>
      <c r="E377" s="303"/>
      <c r="F377" s="303"/>
      <c r="G377" s="303"/>
      <c r="H377" s="303"/>
      <c r="I377" s="303"/>
      <c r="J377" s="303"/>
      <c r="K377" s="303"/>
      <c r="L377" s="303"/>
      <c r="M377" s="303"/>
      <c r="N377" s="303"/>
      <c r="O377" s="303"/>
      <c r="P377" s="303"/>
      <c r="Q377" s="303"/>
      <c r="R377" s="303"/>
      <c r="S377" s="303"/>
      <c r="T377" s="303"/>
      <c r="U377" s="303"/>
      <c r="V377" s="303"/>
      <c r="W377" s="303"/>
      <c r="X377" s="303"/>
      <c r="Y377" s="303"/>
      <c r="Z377" s="532"/>
      <c r="AA377" s="530"/>
      <c r="AB377" s="525" t="str">
        <f t="shared" si="6"/>
        <v/>
      </c>
      <c r="AC377" s="525" t="str">
        <f t="shared" si="7"/>
        <v/>
      </c>
      <c r="AD377" s="525" t="str">
        <f t="shared" si="8"/>
        <v/>
      </c>
      <c r="AE377" s="525" t="str">
        <f t="shared" si="9"/>
        <v/>
      </c>
      <c r="AF377" s="525" t="str">
        <f t="shared" si="10"/>
        <v/>
      </c>
      <c r="AG377" s="525" t="str">
        <f t="shared" si="11"/>
        <v/>
      </c>
      <c r="AH377" s="525">
        <f>E376</f>
        <v>0</v>
      </c>
      <c r="AI377" s="525">
        <f>E377</f>
        <v>0</v>
      </c>
    </row>
    <row r="378" spans="1:35" x14ac:dyDescent="0.2">
      <c r="A378" s="531"/>
      <c r="B378" s="303"/>
      <c r="C378" s="303"/>
      <c r="D378" s="303"/>
      <c r="E378" s="303"/>
      <c r="F378" s="303"/>
      <c r="G378" s="303"/>
      <c r="H378" s="303"/>
      <c r="I378" s="303"/>
      <c r="J378" s="303"/>
      <c r="K378" s="303"/>
      <c r="L378" s="303"/>
      <c r="M378" s="303"/>
      <c r="N378" s="303"/>
      <c r="O378" s="303"/>
      <c r="P378" s="303"/>
      <c r="Q378" s="303"/>
      <c r="R378" s="303"/>
      <c r="S378" s="303"/>
      <c r="T378" s="303"/>
      <c r="U378" s="303"/>
      <c r="V378" s="303"/>
      <c r="W378" s="303"/>
      <c r="X378" s="303"/>
      <c r="Y378" s="303"/>
      <c r="Z378" s="532"/>
      <c r="AA378" s="530"/>
      <c r="AB378" s="525" t="str">
        <f t="shared" si="6"/>
        <v/>
      </c>
      <c r="AC378" s="525" t="str">
        <f t="shared" si="7"/>
        <v/>
      </c>
      <c r="AD378" s="525" t="str">
        <f t="shared" si="8"/>
        <v/>
      </c>
      <c r="AE378" s="525" t="str">
        <f t="shared" si="9"/>
        <v/>
      </c>
      <c r="AF378" s="525" t="str">
        <f t="shared" si="10"/>
        <v/>
      </c>
      <c r="AG378" s="525" t="str">
        <f t="shared" si="11"/>
        <v/>
      </c>
      <c r="AH378" s="525">
        <f>E379</f>
        <v>0</v>
      </c>
      <c r="AI378" s="525">
        <f>E380</f>
        <v>0</v>
      </c>
    </row>
    <row r="379" spans="1:35" x14ac:dyDescent="0.2">
      <c r="A379" s="531"/>
      <c r="B379" s="303"/>
      <c r="C379" s="303"/>
      <c r="D379" s="303"/>
      <c r="E379" s="303"/>
      <c r="F379" s="303"/>
      <c r="G379" s="303"/>
      <c r="H379" s="303"/>
      <c r="I379" s="303"/>
      <c r="J379" s="303"/>
      <c r="K379" s="303"/>
      <c r="L379" s="303"/>
      <c r="M379" s="303"/>
      <c r="N379" s="303"/>
      <c r="O379" s="303"/>
      <c r="P379" s="303"/>
      <c r="Q379" s="303"/>
      <c r="R379" s="303"/>
      <c r="S379" s="303"/>
      <c r="T379" s="303"/>
      <c r="U379" s="303"/>
      <c r="V379" s="303"/>
      <c r="W379" s="303"/>
      <c r="X379" s="303"/>
      <c r="Y379" s="303"/>
      <c r="Z379" s="532"/>
      <c r="AA379" s="530"/>
      <c r="AB379" s="525" t="str">
        <f t="shared" si="6"/>
        <v/>
      </c>
      <c r="AC379" s="525" t="str">
        <f t="shared" si="7"/>
        <v/>
      </c>
      <c r="AD379" s="525" t="str">
        <f t="shared" si="8"/>
        <v/>
      </c>
      <c r="AE379" s="525" t="str">
        <f t="shared" si="9"/>
        <v/>
      </c>
      <c r="AF379" s="525" t="str">
        <f t="shared" si="10"/>
        <v/>
      </c>
      <c r="AG379" s="525" t="str">
        <f t="shared" si="11"/>
        <v/>
      </c>
      <c r="AH379" s="525">
        <f>E379</f>
        <v>0</v>
      </c>
      <c r="AI379" s="525">
        <f>E380</f>
        <v>0</v>
      </c>
    </row>
    <row r="380" spans="1:35" x14ac:dyDescent="0.2">
      <c r="A380" s="531"/>
      <c r="B380" s="303"/>
      <c r="C380" s="303"/>
      <c r="D380" s="303"/>
      <c r="E380" s="303"/>
      <c r="F380" s="303"/>
      <c r="G380" s="303"/>
      <c r="H380" s="303"/>
      <c r="I380" s="303"/>
      <c r="J380" s="303"/>
      <c r="K380" s="303"/>
      <c r="L380" s="303"/>
      <c r="M380" s="303"/>
      <c r="N380" s="303"/>
      <c r="O380" s="303"/>
      <c r="P380" s="303"/>
      <c r="Q380" s="303"/>
      <c r="R380" s="303"/>
      <c r="S380" s="303"/>
      <c r="T380" s="303"/>
      <c r="U380" s="303"/>
      <c r="V380" s="303"/>
      <c r="W380" s="303"/>
      <c r="X380" s="303"/>
      <c r="Y380" s="303"/>
      <c r="Z380" s="532"/>
      <c r="AA380" s="530"/>
      <c r="AB380" s="525" t="str">
        <f t="shared" si="6"/>
        <v/>
      </c>
      <c r="AC380" s="525" t="str">
        <f t="shared" si="7"/>
        <v/>
      </c>
      <c r="AD380" s="525" t="str">
        <f t="shared" si="8"/>
        <v/>
      </c>
      <c r="AE380" s="525" t="str">
        <f t="shared" si="9"/>
        <v/>
      </c>
      <c r="AF380" s="525" t="str">
        <f t="shared" si="10"/>
        <v/>
      </c>
      <c r="AG380" s="525" t="str">
        <f t="shared" si="11"/>
        <v/>
      </c>
      <c r="AH380" s="525">
        <f>E379</f>
        <v>0</v>
      </c>
      <c r="AI380" s="525">
        <f>E380</f>
        <v>0</v>
      </c>
    </row>
    <row r="381" spans="1:35" x14ac:dyDescent="0.2">
      <c r="A381" s="531"/>
      <c r="B381" s="303"/>
      <c r="C381" s="303"/>
      <c r="D381" s="303"/>
      <c r="E381" s="303"/>
      <c r="F381" s="303"/>
      <c r="G381" s="303"/>
      <c r="H381" s="303"/>
      <c r="I381" s="303"/>
      <c r="J381" s="303"/>
      <c r="K381" s="303"/>
      <c r="L381" s="303"/>
      <c r="M381" s="303"/>
      <c r="N381" s="303"/>
      <c r="O381" s="303"/>
      <c r="P381" s="303"/>
      <c r="Q381" s="303"/>
      <c r="R381" s="303"/>
      <c r="S381" s="303"/>
      <c r="T381" s="303"/>
      <c r="U381" s="303"/>
      <c r="V381" s="303"/>
      <c r="W381" s="303"/>
      <c r="X381" s="303"/>
      <c r="Y381" s="303"/>
      <c r="Z381" s="532"/>
      <c r="AA381" s="530"/>
      <c r="AB381" s="525" t="str">
        <f t="shared" si="6"/>
        <v/>
      </c>
      <c r="AC381" s="525" t="str">
        <f t="shared" si="7"/>
        <v/>
      </c>
      <c r="AD381" s="525" t="str">
        <f t="shared" si="8"/>
        <v/>
      </c>
      <c r="AE381" s="525" t="str">
        <f t="shared" si="9"/>
        <v/>
      </c>
      <c r="AF381" s="525" t="str">
        <f t="shared" si="10"/>
        <v/>
      </c>
      <c r="AG381" s="525" t="str">
        <f t="shared" si="11"/>
        <v/>
      </c>
      <c r="AH381" s="525">
        <f>E382</f>
        <v>0</v>
      </c>
      <c r="AI381" s="525">
        <f>E383</f>
        <v>0</v>
      </c>
    </row>
    <row r="382" spans="1:35" x14ac:dyDescent="0.2">
      <c r="A382" s="531"/>
      <c r="B382" s="303"/>
      <c r="C382" s="303"/>
      <c r="D382" s="303"/>
      <c r="E382" s="303"/>
      <c r="F382" s="303"/>
      <c r="G382" s="303"/>
      <c r="H382" s="303"/>
      <c r="I382" s="303"/>
      <c r="J382" s="303"/>
      <c r="K382" s="303"/>
      <c r="L382" s="303"/>
      <c r="M382" s="303"/>
      <c r="N382" s="303"/>
      <c r="O382" s="303"/>
      <c r="P382" s="303"/>
      <c r="Q382" s="303"/>
      <c r="R382" s="303"/>
      <c r="S382" s="303"/>
      <c r="T382" s="303"/>
      <c r="U382" s="303"/>
      <c r="V382" s="303"/>
      <c r="W382" s="303"/>
      <c r="X382" s="303"/>
      <c r="Y382" s="303"/>
      <c r="Z382" s="532"/>
      <c r="AA382" s="530"/>
      <c r="AB382" s="525" t="str">
        <f t="shared" si="6"/>
        <v/>
      </c>
      <c r="AC382" s="525" t="str">
        <f t="shared" si="7"/>
        <v/>
      </c>
      <c r="AD382" s="525" t="str">
        <f t="shared" si="8"/>
        <v/>
      </c>
      <c r="AE382" s="525" t="str">
        <f t="shared" si="9"/>
        <v/>
      </c>
      <c r="AF382" s="525" t="str">
        <f t="shared" si="10"/>
        <v/>
      </c>
      <c r="AG382" s="525" t="str">
        <f t="shared" si="11"/>
        <v/>
      </c>
      <c r="AH382" s="525">
        <f>E382</f>
        <v>0</v>
      </c>
      <c r="AI382" s="525">
        <f>E383</f>
        <v>0</v>
      </c>
    </row>
    <row r="383" spans="1:35" x14ac:dyDescent="0.2">
      <c r="A383" s="531"/>
      <c r="B383" s="303"/>
      <c r="C383" s="303"/>
      <c r="D383" s="303"/>
      <c r="E383" s="303"/>
      <c r="F383" s="303"/>
      <c r="G383" s="303"/>
      <c r="H383" s="303"/>
      <c r="I383" s="303"/>
      <c r="J383" s="303"/>
      <c r="K383" s="303"/>
      <c r="L383" s="303"/>
      <c r="M383" s="303"/>
      <c r="N383" s="303"/>
      <c r="O383" s="303"/>
      <c r="P383" s="303"/>
      <c r="Q383" s="303"/>
      <c r="R383" s="303"/>
      <c r="S383" s="303"/>
      <c r="T383" s="303"/>
      <c r="U383" s="303"/>
      <c r="V383" s="303"/>
      <c r="W383" s="303"/>
      <c r="X383" s="303"/>
      <c r="Y383" s="303"/>
      <c r="Z383" s="532"/>
      <c r="AA383" s="530"/>
      <c r="AB383" s="525" t="str">
        <f t="shared" si="6"/>
        <v/>
      </c>
      <c r="AC383" s="525" t="str">
        <f t="shared" si="7"/>
        <v/>
      </c>
      <c r="AD383" s="525" t="str">
        <f t="shared" si="8"/>
        <v/>
      </c>
      <c r="AE383" s="525" t="str">
        <f t="shared" si="9"/>
        <v/>
      </c>
      <c r="AF383" s="525" t="str">
        <f t="shared" si="10"/>
        <v/>
      </c>
      <c r="AG383" s="525" t="str">
        <f t="shared" si="11"/>
        <v/>
      </c>
      <c r="AH383" s="525">
        <f>E382</f>
        <v>0</v>
      </c>
      <c r="AI383" s="525">
        <f>E383</f>
        <v>0</v>
      </c>
    </row>
    <row r="384" spans="1:35" x14ac:dyDescent="0.2">
      <c r="A384" s="531"/>
      <c r="B384" s="303"/>
      <c r="C384" s="303"/>
      <c r="D384" s="303"/>
      <c r="E384" s="303"/>
      <c r="F384" s="303"/>
      <c r="G384" s="303"/>
      <c r="H384" s="303"/>
      <c r="I384" s="303"/>
      <c r="J384" s="303"/>
      <c r="K384" s="303"/>
      <c r="L384" s="303"/>
      <c r="M384" s="303"/>
      <c r="N384" s="303"/>
      <c r="O384" s="303"/>
      <c r="P384" s="303"/>
      <c r="Q384" s="303"/>
      <c r="R384" s="303"/>
      <c r="S384" s="303"/>
      <c r="T384" s="303"/>
      <c r="U384" s="303"/>
      <c r="V384" s="303"/>
      <c r="W384" s="303"/>
      <c r="X384" s="303"/>
      <c r="Y384" s="303"/>
      <c r="Z384" s="532"/>
      <c r="AA384" s="530"/>
      <c r="AB384" s="525" t="str">
        <f t="shared" si="6"/>
        <v/>
      </c>
      <c r="AC384" s="525" t="str">
        <f t="shared" si="7"/>
        <v/>
      </c>
      <c r="AD384" s="525" t="str">
        <f t="shared" si="8"/>
        <v/>
      </c>
      <c r="AE384" s="525" t="str">
        <f t="shared" si="9"/>
        <v/>
      </c>
      <c r="AF384" s="525" t="str">
        <f t="shared" si="10"/>
        <v/>
      </c>
      <c r="AG384" s="525" t="str">
        <f t="shared" si="11"/>
        <v/>
      </c>
      <c r="AH384" s="525">
        <f>E385</f>
        <v>0</v>
      </c>
      <c r="AI384" s="525">
        <f>E386</f>
        <v>0</v>
      </c>
    </row>
    <row r="385" spans="1:35" x14ac:dyDescent="0.2">
      <c r="A385" s="531"/>
      <c r="B385" s="303"/>
      <c r="C385" s="303"/>
      <c r="D385" s="303"/>
      <c r="E385" s="303"/>
      <c r="F385" s="303"/>
      <c r="G385" s="303"/>
      <c r="H385" s="303"/>
      <c r="I385" s="303"/>
      <c r="J385" s="303"/>
      <c r="K385" s="303"/>
      <c r="L385" s="303"/>
      <c r="M385" s="303"/>
      <c r="N385" s="303"/>
      <c r="O385" s="303"/>
      <c r="P385" s="303"/>
      <c r="Q385" s="303"/>
      <c r="R385" s="303"/>
      <c r="S385" s="303"/>
      <c r="T385" s="303"/>
      <c r="U385" s="303"/>
      <c r="V385" s="303"/>
      <c r="W385" s="303"/>
      <c r="X385" s="303"/>
      <c r="Y385" s="303"/>
      <c r="Z385" s="532"/>
      <c r="AA385" s="530"/>
      <c r="AB385" s="525" t="str">
        <f t="shared" si="6"/>
        <v/>
      </c>
      <c r="AC385" s="525" t="str">
        <f t="shared" si="7"/>
        <v/>
      </c>
      <c r="AD385" s="525" t="str">
        <f t="shared" si="8"/>
        <v/>
      </c>
      <c r="AE385" s="525" t="str">
        <f t="shared" si="9"/>
        <v/>
      </c>
      <c r="AF385" s="525" t="str">
        <f t="shared" si="10"/>
        <v/>
      </c>
      <c r="AG385" s="525" t="str">
        <f t="shared" si="11"/>
        <v/>
      </c>
      <c r="AH385" s="525">
        <f>E385</f>
        <v>0</v>
      </c>
      <c r="AI385" s="525">
        <f>E386</f>
        <v>0</v>
      </c>
    </row>
    <row r="386" spans="1:35" x14ac:dyDescent="0.2">
      <c r="A386" s="531"/>
      <c r="B386" s="303"/>
      <c r="C386" s="303"/>
      <c r="D386" s="303"/>
      <c r="E386" s="303"/>
      <c r="F386" s="303"/>
      <c r="G386" s="303"/>
      <c r="H386" s="303"/>
      <c r="I386" s="303"/>
      <c r="J386" s="303"/>
      <c r="K386" s="303"/>
      <c r="L386" s="303"/>
      <c r="M386" s="303"/>
      <c r="N386" s="303"/>
      <c r="O386" s="303"/>
      <c r="P386" s="303"/>
      <c r="Q386" s="303"/>
      <c r="R386" s="303"/>
      <c r="S386" s="303"/>
      <c r="T386" s="303"/>
      <c r="U386" s="303"/>
      <c r="V386" s="303"/>
      <c r="W386" s="303"/>
      <c r="X386" s="303"/>
      <c r="Y386" s="303"/>
      <c r="Z386" s="532"/>
      <c r="AA386" s="530"/>
      <c r="AB386" s="525" t="str">
        <f t="shared" si="6"/>
        <v/>
      </c>
      <c r="AC386" s="525" t="str">
        <f t="shared" si="7"/>
        <v/>
      </c>
      <c r="AD386" s="525" t="str">
        <f t="shared" si="8"/>
        <v/>
      </c>
      <c r="AE386" s="525" t="str">
        <f t="shared" si="9"/>
        <v/>
      </c>
      <c r="AF386" s="525" t="str">
        <f t="shared" si="10"/>
        <v/>
      </c>
      <c r="AG386" s="525" t="str">
        <f t="shared" si="11"/>
        <v/>
      </c>
      <c r="AH386" s="525">
        <f>E385</f>
        <v>0</v>
      </c>
      <c r="AI386" s="525">
        <f>E386</f>
        <v>0</v>
      </c>
    </row>
    <row r="387" spans="1:35" x14ac:dyDescent="0.2">
      <c r="A387" s="531"/>
      <c r="B387" s="303"/>
      <c r="C387" s="303"/>
      <c r="D387" s="303"/>
      <c r="E387" s="303"/>
      <c r="F387" s="303"/>
      <c r="G387" s="303"/>
      <c r="H387" s="303"/>
      <c r="I387" s="303"/>
      <c r="J387" s="303"/>
      <c r="K387" s="303"/>
      <c r="L387" s="303"/>
      <c r="M387" s="303"/>
      <c r="N387" s="303"/>
      <c r="O387" s="303"/>
      <c r="P387" s="303"/>
      <c r="Q387" s="303"/>
      <c r="R387" s="303"/>
      <c r="S387" s="303"/>
      <c r="T387" s="303"/>
      <c r="U387" s="303"/>
      <c r="V387" s="303"/>
      <c r="W387" s="303"/>
      <c r="X387" s="303"/>
      <c r="Y387" s="303"/>
      <c r="Z387" s="532"/>
      <c r="AA387" s="530"/>
      <c r="AB387" s="525" t="str">
        <f t="shared" si="6"/>
        <v/>
      </c>
      <c r="AC387" s="525" t="str">
        <f t="shared" si="7"/>
        <v/>
      </c>
      <c r="AD387" s="525" t="str">
        <f t="shared" si="8"/>
        <v/>
      </c>
      <c r="AE387" s="525" t="str">
        <f t="shared" si="9"/>
        <v/>
      </c>
      <c r="AF387" s="525" t="str">
        <f t="shared" si="10"/>
        <v/>
      </c>
      <c r="AG387" s="525" t="str">
        <f t="shared" si="11"/>
        <v/>
      </c>
      <c r="AH387" s="525">
        <f>E388</f>
        <v>0</v>
      </c>
      <c r="AI387" s="525">
        <f>E389</f>
        <v>0</v>
      </c>
    </row>
    <row r="388" spans="1:35" x14ac:dyDescent="0.2">
      <c r="A388" s="531"/>
      <c r="B388" s="303"/>
      <c r="C388" s="303"/>
      <c r="D388" s="303"/>
      <c r="E388" s="303"/>
      <c r="F388" s="303"/>
      <c r="G388" s="303"/>
      <c r="H388" s="303"/>
      <c r="I388" s="303"/>
      <c r="J388" s="303"/>
      <c r="K388" s="303"/>
      <c r="L388" s="303"/>
      <c r="M388" s="303"/>
      <c r="N388" s="303"/>
      <c r="O388" s="303"/>
      <c r="P388" s="303"/>
      <c r="Q388" s="303"/>
      <c r="R388" s="303"/>
      <c r="S388" s="303"/>
      <c r="T388" s="303"/>
      <c r="U388" s="303"/>
      <c r="V388" s="303"/>
      <c r="W388" s="303"/>
      <c r="X388" s="303"/>
      <c r="Y388" s="303"/>
      <c r="Z388" s="532"/>
      <c r="AA388" s="530"/>
      <c r="AB388" s="525" t="str">
        <f t="shared" si="6"/>
        <v/>
      </c>
      <c r="AC388" s="525" t="str">
        <f t="shared" si="7"/>
        <v/>
      </c>
      <c r="AD388" s="525" t="str">
        <f t="shared" si="8"/>
        <v/>
      </c>
      <c r="AE388" s="525" t="str">
        <f t="shared" si="9"/>
        <v/>
      </c>
      <c r="AF388" s="525" t="str">
        <f t="shared" si="10"/>
        <v/>
      </c>
      <c r="AG388" s="525" t="str">
        <f t="shared" si="11"/>
        <v/>
      </c>
      <c r="AH388" s="525">
        <f>E388</f>
        <v>0</v>
      </c>
      <c r="AI388" s="525">
        <f>E389</f>
        <v>0</v>
      </c>
    </row>
    <row r="389" spans="1:35" x14ac:dyDescent="0.2">
      <c r="A389" s="531"/>
      <c r="B389" s="303"/>
      <c r="C389" s="303"/>
      <c r="D389" s="303"/>
      <c r="E389" s="303"/>
      <c r="F389" s="303"/>
      <c r="G389" s="303"/>
      <c r="H389" s="303"/>
      <c r="I389" s="303"/>
      <c r="J389" s="303"/>
      <c r="K389" s="303"/>
      <c r="L389" s="303"/>
      <c r="M389" s="303"/>
      <c r="N389" s="303"/>
      <c r="O389" s="303"/>
      <c r="P389" s="303"/>
      <c r="Q389" s="303"/>
      <c r="R389" s="303"/>
      <c r="S389" s="303"/>
      <c r="T389" s="303"/>
      <c r="U389" s="303"/>
      <c r="V389" s="303"/>
      <c r="W389" s="303"/>
      <c r="X389" s="303"/>
      <c r="Y389" s="303"/>
      <c r="Z389" s="532"/>
      <c r="AA389" s="530"/>
      <c r="AB389" s="525" t="str">
        <f t="shared" si="6"/>
        <v/>
      </c>
      <c r="AC389" s="525" t="str">
        <f t="shared" si="7"/>
        <v/>
      </c>
      <c r="AD389" s="525" t="str">
        <f t="shared" si="8"/>
        <v/>
      </c>
      <c r="AE389" s="525" t="str">
        <f t="shared" si="9"/>
        <v/>
      </c>
      <c r="AF389" s="525" t="str">
        <f t="shared" si="10"/>
        <v/>
      </c>
      <c r="AG389" s="525" t="str">
        <f t="shared" si="11"/>
        <v/>
      </c>
      <c r="AH389" s="525">
        <f>E388</f>
        <v>0</v>
      </c>
      <c r="AI389" s="525">
        <f>E389</f>
        <v>0</v>
      </c>
    </row>
    <row r="390" spans="1:35" x14ac:dyDescent="0.2">
      <c r="A390" s="531"/>
      <c r="B390" s="303"/>
      <c r="C390" s="303"/>
      <c r="D390" s="303"/>
      <c r="E390" s="303"/>
      <c r="F390" s="303"/>
      <c r="G390" s="303"/>
      <c r="H390" s="303"/>
      <c r="I390" s="303"/>
      <c r="J390" s="303"/>
      <c r="K390" s="303"/>
      <c r="L390" s="303"/>
      <c r="M390" s="303"/>
      <c r="N390" s="303"/>
      <c r="O390" s="303"/>
      <c r="P390" s="303"/>
      <c r="Q390" s="303"/>
      <c r="R390" s="303"/>
      <c r="S390" s="303"/>
      <c r="T390" s="303"/>
      <c r="U390" s="303"/>
      <c r="V390" s="303"/>
      <c r="W390" s="303"/>
      <c r="X390" s="303"/>
      <c r="Y390" s="303"/>
      <c r="Z390" s="532"/>
      <c r="AA390" s="530"/>
      <c r="AB390" s="525" t="str">
        <f t="shared" si="6"/>
        <v/>
      </c>
      <c r="AC390" s="525" t="str">
        <f t="shared" si="7"/>
        <v/>
      </c>
      <c r="AD390" s="525" t="str">
        <f t="shared" si="8"/>
        <v/>
      </c>
      <c r="AE390" s="525" t="str">
        <f t="shared" si="9"/>
        <v/>
      </c>
      <c r="AF390" s="525" t="str">
        <f t="shared" si="10"/>
        <v/>
      </c>
      <c r="AG390" s="525" t="str">
        <f t="shared" si="11"/>
        <v/>
      </c>
      <c r="AH390" s="525">
        <f>E391</f>
        <v>0</v>
      </c>
      <c r="AI390" s="525">
        <f>E392</f>
        <v>0</v>
      </c>
    </row>
    <row r="391" spans="1:35" x14ac:dyDescent="0.2">
      <c r="A391" s="531"/>
      <c r="B391" s="303"/>
      <c r="C391" s="303"/>
      <c r="D391" s="303"/>
      <c r="E391" s="303"/>
      <c r="F391" s="303"/>
      <c r="G391" s="303"/>
      <c r="H391" s="303"/>
      <c r="I391" s="303"/>
      <c r="J391" s="303"/>
      <c r="K391" s="303"/>
      <c r="L391" s="303"/>
      <c r="M391" s="303"/>
      <c r="N391" s="303"/>
      <c r="O391" s="303"/>
      <c r="P391" s="303"/>
      <c r="Q391" s="303"/>
      <c r="R391" s="303"/>
      <c r="S391" s="303"/>
      <c r="T391" s="303"/>
      <c r="U391" s="303"/>
      <c r="V391" s="303"/>
      <c r="W391" s="303"/>
      <c r="X391" s="303"/>
      <c r="Y391" s="303"/>
      <c r="Z391" s="532"/>
      <c r="AA391" s="530"/>
      <c r="AB391" s="525" t="str">
        <f t="shared" si="6"/>
        <v/>
      </c>
      <c r="AC391" s="525" t="str">
        <f t="shared" si="7"/>
        <v/>
      </c>
      <c r="AD391" s="525" t="str">
        <f t="shared" si="8"/>
        <v/>
      </c>
      <c r="AE391" s="525" t="str">
        <f t="shared" si="9"/>
        <v/>
      </c>
      <c r="AF391" s="525" t="str">
        <f t="shared" si="10"/>
        <v/>
      </c>
      <c r="AG391" s="525" t="str">
        <f t="shared" si="11"/>
        <v/>
      </c>
      <c r="AH391" s="525">
        <f>E391</f>
        <v>0</v>
      </c>
      <c r="AI391" s="525">
        <f>E392</f>
        <v>0</v>
      </c>
    </row>
    <row r="392" spans="1:35" x14ac:dyDescent="0.2">
      <c r="A392" s="531"/>
      <c r="B392" s="303"/>
      <c r="C392" s="303"/>
      <c r="D392" s="303"/>
      <c r="E392" s="303"/>
      <c r="F392" s="303"/>
      <c r="G392" s="303"/>
      <c r="H392" s="303"/>
      <c r="I392" s="303"/>
      <c r="J392" s="303"/>
      <c r="K392" s="303"/>
      <c r="L392" s="303"/>
      <c r="M392" s="303"/>
      <c r="N392" s="303"/>
      <c r="O392" s="303"/>
      <c r="P392" s="303"/>
      <c r="Q392" s="303"/>
      <c r="R392" s="303"/>
      <c r="S392" s="303"/>
      <c r="T392" s="303"/>
      <c r="U392" s="303"/>
      <c r="V392" s="303"/>
      <c r="W392" s="303"/>
      <c r="X392" s="303"/>
      <c r="Y392" s="303"/>
      <c r="Z392" s="532"/>
      <c r="AA392" s="530"/>
      <c r="AB392" s="525" t="str">
        <f t="shared" si="6"/>
        <v/>
      </c>
      <c r="AC392" s="525" t="str">
        <f t="shared" si="7"/>
        <v/>
      </c>
      <c r="AD392" s="525" t="str">
        <f t="shared" si="8"/>
        <v/>
      </c>
      <c r="AE392" s="525" t="str">
        <f t="shared" si="9"/>
        <v/>
      </c>
      <c r="AF392" s="525" t="str">
        <f t="shared" si="10"/>
        <v/>
      </c>
      <c r="AG392" s="525" t="str">
        <f t="shared" si="11"/>
        <v/>
      </c>
      <c r="AH392" s="525">
        <f>E391</f>
        <v>0</v>
      </c>
      <c r="AI392" s="525">
        <f>E392</f>
        <v>0</v>
      </c>
    </row>
    <row r="393" spans="1:35" x14ac:dyDescent="0.2">
      <c r="A393" s="531"/>
      <c r="B393" s="303"/>
      <c r="C393" s="303"/>
      <c r="D393" s="303"/>
      <c r="E393" s="303"/>
      <c r="F393" s="303"/>
      <c r="G393" s="303"/>
      <c r="H393" s="303"/>
      <c r="I393" s="303"/>
      <c r="J393" s="303"/>
      <c r="K393" s="303"/>
      <c r="L393" s="303"/>
      <c r="M393" s="303"/>
      <c r="N393" s="303"/>
      <c r="O393" s="303"/>
      <c r="P393" s="303"/>
      <c r="Q393" s="303"/>
      <c r="R393" s="303"/>
      <c r="S393" s="303"/>
      <c r="T393" s="303"/>
      <c r="U393" s="303"/>
      <c r="V393" s="303"/>
      <c r="W393" s="303"/>
      <c r="X393" s="303"/>
      <c r="Y393" s="303"/>
      <c r="Z393" s="532"/>
      <c r="AA393" s="530"/>
      <c r="AB393" s="525" t="str">
        <f t="shared" si="6"/>
        <v/>
      </c>
      <c r="AC393" s="525" t="str">
        <f t="shared" si="7"/>
        <v/>
      </c>
      <c r="AD393" s="525" t="str">
        <f t="shared" si="8"/>
        <v/>
      </c>
      <c r="AE393" s="525" t="str">
        <f t="shared" si="9"/>
        <v/>
      </c>
      <c r="AF393" s="525" t="str">
        <f t="shared" si="10"/>
        <v/>
      </c>
      <c r="AG393" s="525" t="str">
        <f t="shared" si="11"/>
        <v/>
      </c>
      <c r="AH393" s="525">
        <f>E394</f>
        <v>0</v>
      </c>
      <c r="AI393" s="525">
        <f>E395</f>
        <v>0</v>
      </c>
    </row>
    <row r="394" spans="1:35" x14ac:dyDescent="0.2">
      <c r="A394" s="531"/>
      <c r="B394" s="303"/>
      <c r="C394" s="303"/>
      <c r="D394" s="303"/>
      <c r="E394" s="303"/>
      <c r="F394" s="303"/>
      <c r="G394" s="303"/>
      <c r="H394" s="303"/>
      <c r="I394" s="303"/>
      <c r="J394" s="303"/>
      <c r="K394" s="303"/>
      <c r="L394" s="303"/>
      <c r="M394" s="303"/>
      <c r="N394" s="303"/>
      <c r="O394" s="303"/>
      <c r="P394" s="303"/>
      <c r="Q394" s="303"/>
      <c r="R394" s="303"/>
      <c r="S394" s="303"/>
      <c r="T394" s="303"/>
      <c r="U394" s="303"/>
      <c r="V394" s="303"/>
      <c r="W394" s="303"/>
      <c r="X394" s="303"/>
      <c r="Y394" s="303"/>
      <c r="Z394" s="532"/>
      <c r="AA394" s="530"/>
      <c r="AB394" s="525" t="str">
        <f t="shared" si="6"/>
        <v/>
      </c>
      <c r="AC394" s="525" t="str">
        <f t="shared" si="7"/>
        <v/>
      </c>
      <c r="AD394" s="525" t="str">
        <f t="shared" si="8"/>
        <v/>
      </c>
      <c r="AE394" s="525" t="str">
        <f t="shared" si="9"/>
        <v/>
      </c>
      <c r="AF394" s="525" t="str">
        <f t="shared" si="10"/>
        <v/>
      </c>
      <c r="AG394" s="525" t="str">
        <f t="shared" si="11"/>
        <v/>
      </c>
      <c r="AH394" s="525">
        <f>E394</f>
        <v>0</v>
      </c>
      <c r="AI394" s="525">
        <f>E395</f>
        <v>0</v>
      </c>
    </row>
    <row r="395" spans="1:35" x14ac:dyDescent="0.2">
      <c r="A395" s="531"/>
      <c r="B395" s="303"/>
      <c r="C395" s="303"/>
      <c r="D395" s="303"/>
      <c r="E395" s="303"/>
      <c r="F395" s="303"/>
      <c r="G395" s="303"/>
      <c r="H395" s="303"/>
      <c r="I395" s="303"/>
      <c r="J395" s="303"/>
      <c r="K395" s="303"/>
      <c r="L395" s="303"/>
      <c r="M395" s="303"/>
      <c r="N395" s="303"/>
      <c r="O395" s="303"/>
      <c r="P395" s="303"/>
      <c r="Q395" s="303"/>
      <c r="R395" s="303"/>
      <c r="S395" s="303"/>
      <c r="T395" s="303"/>
      <c r="U395" s="303"/>
      <c r="V395" s="303"/>
      <c r="W395" s="303"/>
      <c r="X395" s="303"/>
      <c r="Y395" s="303"/>
      <c r="Z395" s="532"/>
      <c r="AA395" s="530"/>
      <c r="AB395" s="525" t="str">
        <f t="shared" si="6"/>
        <v/>
      </c>
      <c r="AC395" s="525" t="str">
        <f t="shared" si="7"/>
        <v/>
      </c>
      <c r="AD395" s="525" t="str">
        <f t="shared" si="8"/>
        <v/>
      </c>
      <c r="AE395" s="525" t="str">
        <f t="shared" si="9"/>
        <v/>
      </c>
      <c r="AF395" s="525" t="str">
        <f t="shared" si="10"/>
        <v/>
      </c>
      <c r="AG395" s="525" t="str">
        <f t="shared" si="11"/>
        <v/>
      </c>
      <c r="AH395" s="525">
        <f>E394</f>
        <v>0</v>
      </c>
      <c r="AI395" s="525">
        <f>E395</f>
        <v>0</v>
      </c>
    </row>
    <row r="396" spans="1:35" x14ac:dyDescent="0.2">
      <c r="A396" s="531"/>
      <c r="B396" s="303"/>
      <c r="C396" s="303"/>
      <c r="D396" s="303"/>
      <c r="E396" s="303"/>
      <c r="F396" s="303"/>
      <c r="G396" s="303"/>
      <c r="H396" s="303"/>
      <c r="I396" s="303"/>
      <c r="J396" s="303"/>
      <c r="K396" s="303"/>
      <c r="L396" s="303"/>
      <c r="M396" s="303"/>
      <c r="N396" s="303"/>
      <c r="O396" s="303"/>
      <c r="P396" s="303"/>
      <c r="Q396" s="303"/>
      <c r="R396" s="303"/>
      <c r="S396" s="303"/>
      <c r="T396" s="303"/>
      <c r="U396" s="303"/>
      <c r="V396" s="303"/>
      <c r="W396" s="303"/>
      <c r="X396" s="303"/>
      <c r="Y396" s="303"/>
      <c r="Z396" s="532"/>
      <c r="AA396" s="530"/>
      <c r="AB396" s="525" t="str">
        <f t="shared" si="6"/>
        <v/>
      </c>
      <c r="AC396" s="525" t="str">
        <f t="shared" si="7"/>
        <v/>
      </c>
      <c r="AD396" s="525" t="str">
        <f t="shared" si="8"/>
        <v/>
      </c>
      <c r="AE396" s="525" t="str">
        <f t="shared" si="9"/>
        <v/>
      </c>
      <c r="AF396" s="525" t="str">
        <f t="shared" si="10"/>
        <v/>
      </c>
      <c r="AG396" s="525" t="str">
        <f t="shared" si="11"/>
        <v/>
      </c>
      <c r="AH396" s="525">
        <f>E397</f>
        <v>0</v>
      </c>
      <c r="AI396" s="525">
        <f>E398</f>
        <v>0</v>
      </c>
    </row>
    <row r="397" spans="1:35" x14ac:dyDescent="0.2">
      <c r="A397" s="531"/>
      <c r="B397" s="303"/>
      <c r="C397" s="303"/>
      <c r="D397" s="303"/>
      <c r="E397" s="303"/>
      <c r="F397" s="303"/>
      <c r="G397" s="303"/>
      <c r="H397" s="303"/>
      <c r="I397" s="303"/>
      <c r="J397" s="303"/>
      <c r="K397" s="303"/>
      <c r="L397" s="303"/>
      <c r="M397" s="303"/>
      <c r="N397" s="303"/>
      <c r="O397" s="303"/>
      <c r="P397" s="303"/>
      <c r="Q397" s="303"/>
      <c r="R397" s="303"/>
      <c r="S397" s="303"/>
      <c r="T397" s="303"/>
      <c r="U397" s="303"/>
      <c r="V397" s="303"/>
      <c r="W397" s="303"/>
      <c r="X397" s="303"/>
      <c r="Y397" s="303"/>
      <c r="Z397" s="532"/>
      <c r="AA397" s="530"/>
      <c r="AB397" s="525" t="str">
        <f t="shared" si="6"/>
        <v/>
      </c>
      <c r="AC397" s="525" t="str">
        <f t="shared" si="7"/>
        <v/>
      </c>
      <c r="AD397" s="525" t="str">
        <f t="shared" si="8"/>
        <v/>
      </c>
      <c r="AE397" s="525" t="str">
        <f t="shared" si="9"/>
        <v/>
      </c>
      <c r="AF397" s="525" t="str">
        <f t="shared" si="10"/>
        <v/>
      </c>
      <c r="AG397" s="525" t="str">
        <f t="shared" si="11"/>
        <v/>
      </c>
      <c r="AH397" s="525">
        <f>E397</f>
        <v>0</v>
      </c>
      <c r="AI397" s="525">
        <f>E398</f>
        <v>0</v>
      </c>
    </row>
    <row r="398" spans="1:35" x14ac:dyDescent="0.2">
      <c r="A398" s="531"/>
      <c r="B398" s="303"/>
      <c r="C398" s="303"/>
      <c r="D398" s="303"/>
      <c r="E398" s="303"/>
      <c r="F398" s="303"/>
      <c r="G398" s="303"/>
      <c r="H398" s="303"/>
      <c r="I398" s="303"/>
      <c r="J398" s="303"/>
      <c r="K398" s="303"/>
      <c r="L398" s="303"/>
      <c r="M398" s="303"/>
      <c r="N398" s="303"/>
      <c r="O398" s="303"/>
      <c r="P398" s="303"/>
      <c r="Q398" s="303"/>
      <c r="R398" s="303"/>
      <c r="S398" s="303"/>
      <c r="T398" s="303"/>
      <c r="U398" s="303"/>
      <c r="V398" s="303"/>
      <c r="W398" s="303"/>
      <c r="X398" s="303"/>
      <c r="Y398" s="303"/>
      <c r="Z398" s="532"/>
      <c r="AA398" s="530"/>
      <c r="AB398" s="525" t="str">
        <f t="shared" si="6"/>
        <v/>
      </c>
      <c r="AC398" s="525" t="str">
        <f t="shared" si="7"/>
        <v/>
      </c>
      <c r="AD398" s="525" t="str">
        <f t="shared" si="8"/>
        <v/>
      </c>
      <c r="AE398" s="525" t="str">
        <f t="shared" si="9"/>
        <v/>
      </c>
      <c r="AF398" s="525" t="str">
        <f t="shared" si="10"/>
        <v/>
      </c>
      <c r="AG398" s="525" t="str">
        <f t="shared" si="11"/>
        <v/>
      </c>
      <c r="AH398" s="525">
        <f>E397</f>
        <v>0</v>
      </c>
      <c r="AI398" s="525">
        <f>E398</f>
        <v>0</v>
      </c>
    </row>
    <row r="399" spans="1:35" x14ac:dyDescent="0.2">
      <c r="A399" s="531"/>
      <c r="B399" s="303"/>
      <c r="C399" s="303"/>
      <c r="D399" s="303"/>
      <c r="E399" s="303"/>
      <c r="F399" s="303"/>
      <c r="G399" s="303"/>
      <c r="H399" s="303"/>
      <c r="I399" s="303"/>
      <c r="J399" s="303"/>
      <c r="K399" s="303"/>
      <c r="L399" s="303"/>
      <c r="M399" s="303"/>
      <c r="N399" s="303"/>
      <c r="O399" s="303"/>
      <c r="P399" s="303"/>
      <c r="Q399" s="303"/>
      <c r="R399" s="303"/>
      <c r="S399" s="303"/>
      <c r="T399" s="303"/>
      <c r="U399" s="303"/>
      <c r="V399" s="303"/>
      <c r="W399" s="303"/>
      <c r="X399" s="303"/>
      <c r="Y399" s="303"/>
      <c r="Z399" s="532"/>
      <c r="AA399" s="530"/>
      <c r="AB399" s="525" t="str">
        <f t="shared" si="6"/>
        <v/>
      </c>
      <c r="AC399" s="525" t="str">
        <f t="shared" si="7"/>
        <v/>
      </c>
      <c r="AD399" s="525" t="str">
        <f t="shared" si="8"/>
        <v/>
      </c>
      <c r="AE399" s="525" t="str">
        <f t="shared" si="9"/>
        <v/>
      </c>
      <c r="AF399" s="525" t="str">
        <f t="shared" si="10"/>
        <v/>
      </c>
      <c r="AG399" s="525" t="str">
        <f t="shared" si="11"/>
        <v/>
      </c>
      <c r="AH399" s="525">
        <f>E400</f>
        <v>0</v>
      </c>
      <c r="AI399" s="525">
        <f>E401</f>
        <v>0</v>
      </c>
    </row>
    <row r="400" spans="1:35" x14ac:dyDescent="0.2">
      <c r="A400" s="531"/>
      <c r="B400" s="303"/>
      <c r="C400" s="303"/>
      <c r="D400" s="303"/>
      <c r="E400" s="303"/>
      <c r="F400" s="303"/>
      <c r="G400" s="303"/>
      <c r="H400" s="303"/>
      <c r="I400" s="303"/>
      <c r="J400" s="303"/>
      <c r="K400" s="303"/>
      <c r="L400" s="303"/>
      <c r="M400" s="303"/>
      <c r="N400" s="303"/>
      <c r="O400" s="303"/>
      <c r="P400" s="303"/>
      <c r="Q400" s="303"/>
      <c r="R400" s="303"/>
      <c r="S400" s="303"/>
      <c r="T400" s="303"/>
      <c r="U400" s="303"/>
      <c r="V400" s="303"/>
      <c r="W400" s="303"/>
      <c r="X400" s="303"/>
      <c r="Y400" s="303"/>
      <c r="Z400" s="532"/>
      <c r="AA400" s="530"/>
      <c r="AB400" s="525" t="str">
        <f t="shared" si="6"/>
        <v/>
      </c>
      <c r="AC400" s="525" t="str">
        <f t="shared" si="7"/>
        <v/>
      </c>
      <c r="AD400" s="525" t="str">
        <f t="shared" si="8"/>
        <v/>
      </c>
      <c r="AE400" s="525" t="str">
        <f t="shared" si="9"/>
        <v/>
      </c>
      <c r="AF400" s="525" t="str">
        <f t="shared" si="10"/>
        <v/>
      </c>
      <c r="AG400" s="525" t="str">
        <f t="shared" si="11"/>
        <v/>
      </c>
      <c r="AH400" s="525">
        <f>E400</f>
        <v>0</v>
      </c>
      <c r="AI400" s="525">
        <f>E401</f>
        <v>0</v>
      </c>
    </row>
    <row r="401" spans="1:35" x14ac:dyDescent="0.2">
      <c r="A401" s="531"/>
      <c r="B401" s="303"/>
      <c r="C401" s="303"/>
      <c r="D401" s="303"/>
      <c r="E401" s="303"/>
      <c r="F401" s="303"/>
      <c r="G401" s="303"/>
      <c r="H401" s="303"/>
      <c r="I401" s="303"/>
      <c r="J401" s="303"/>
      <c r="K401" s="303"/>
      <c r="L401" s="303"/>
      <c r="M401" s="303"/>
      <c r="N401" s="303"/>
      <c r="O401" s="303"/>
      <c r="P401" s="303"/>
      <c r="Q401" s="303"/>
      <c r="R401" s="303"/>
      <c r="S401" s="303"/>
      <c r="T401" s="303"/>
      <c r="U401" s="303"/>
      <c r="V401" s="303"/>
      <c r="W401" s="303"/>
      <c r="X401" s="303"/>
      <c r="Y401" s="303"/>
      <c r="Z401" s="532"/>
      <c r="AA401" s="530"/>
      <c r="AB401" s="525" t="str">
        <f t="shared" si="6"/>
        <v/>
      </c>
      <c r="AC401" s="525" t="str">
        <f t="shared" si="7"/>
        <v/>
      </c>
      <c r="AD401" s="525" t="str">
        <f t="shared" si="8"/>
        <v/>
      </c>
      <c r="AE401" s="525" t="str">
        <f t="shared" si="9"/>
        <v/>
      </c>
      <c r="AF401" s="525" t="str">
        <f t="shared" si="10"/>
        <v/>
      </c>
      <c r="AG401" s="525" t="str">
        <f t="shared" si="11"/>
        <v/>
      </c>
      <c r="AH401" s="525">
        <f>E400</f>
        <v>0</v>
      </c>
      <c r="AI401" s="525">
        <f>E401</f>
        <v>0</v>
      </c>
    </row>
    <row r="402" spans="1:35" x14ac:dyDescent="0.2">
      <c r="A402" s="531"/>
      <c r="B402" s="303"/>
      <c r="C402" s="303"/>
      <c r="D402" s="303"/>
      <c r="E402" s="303"/>
      <c r="F402" s="303"/>
      <c r="G402" s="303"/>
      <c r="H402" s="303"/>
      <c r="I402" s="303"/>
      <c r="J402" s="303"/>
      <c r="K402" s="303"/>
      <c r="L402" s="303"/>
      <c r="M402" s="303"/>
      <c r="N402" s="303"/>
      <c r="O402" s="303"/>
      <c r="P402" s="303"/>
      <c r="Q402" s="303"/>
      <c r="R402" s="303"/>
      <c r="S402" s="303"/>
      <c r="T402" s="303"/>
      <c r="U402" s="303"/>
      <c r="V402" s="303"/>
      <c r="W402" s="303"/>
      <c r="X402" s="303"/>
      <c r="Y402" s="303"/>
      <c r="Z402" s="532"/>
      <c r="AA402" s="530"/>
      <c r="AB402" s="525" t="str">
        <f t="shared" si="6"/>
        <v/>
      </c>
      <c r="AC402" s="525" t="str">
        <f t="shared" si="7"/>
        <v/>
      </c>
      <c r="AD402" s="525" t="str">
        <f t="shared" si="8"/>
        <v/>
      </c>
      <c r="AE402" s="525" t="str">
        <f t="shared" si="9"/>
        <v/>
      </c>
      <c r="AF402" s="525" t="str">
        <f t="shared" si="10"/>
        <v/>
      </c>
      <c r="AG402" s="525" t="str">
        <f t="shared" si="11"/>
        <v/>
      </c>
      <c r="AH402" s="525">
        <f>E403</f>
        <v>0</v>
      </c>
      <c r="AI402" s="525">
        <f>E404</f>
        <v>0</v>
      </c>
    </row>
    <row r="403" spans="1:35" x14ac:dyDescent="0.2">
      <c r="A403" s="531"/>
      <c r="B403" s="303"/>
      <c r="C403" s="303"/>
      <c r="D403" s="303"/>
      <c r="E403" s="303"/>
      <c r="F403" s="303"/>
      <c r="G403" s="303"/>
      <c r="H403" s="303"/>
      <c r="I403" s="303"/>
      <c r="J403" s="303"/>
      <c r="K403" s="303"/>
      <c r="L403" s="303"/>
      <c r="M403" s="303"/>
      <c r="N403" s="303"/>
      <c r="O403" s="303"/>
      <c r="P403" s="303"/>
      <c r="Q403" s="303"/>
      <c r="R403" s="303"/>
      <c r="S403" s="303"/>
      <c r="T403" s="303"/>
      <c r="U403" s="303"/>
      <c r="V403" s="303"/>
      <c r="W403" s="303"/>
      <c r="X403" s="303"/>
      <c r="Y403" s="303"/>
      <c r="Z403" s="532"/>
      <c r="AA403" s="530"/>
      <c r="AB403" s="525" t="str">
        <f t="shared" si="6"/>
        <v/>
      </c>
      <c r="AC403" s="525" t="str">
        <f t="shared" si="7"/>
        <v/>
      </c>
      <c r="AD403" s="525" t="str">
        <f t="shared" si="8"/>
        <v/>
      </c>
      <c r="AE403" s="525" t="str">
        <f t="shared" si="9"/>
        <v/>
      </c>
      <c r="AF403" s="525" t="str">
        <f t="shared" si="10"/>
        <v/>
      </c>
      <c r="AG403" s="525" t="str">
        <f t="shared" si="11"/>
        <v/>
      </c>
      <c r="AH403" s="525">
        <f>E403</f>
        <v>0</v>
      </c>
      <c r="AI403" s="525">
        <f>E404</f>
        <v>0</v>
      </c>
    </row>
    <row r="404" spans="1:35" x14ac:dyDescent="0.2">
      <c r="A404" s="531"/>
      <c r="B404" s="303"/>
      <c r="C404" s="303"/>
      <c r="D404" s="303"/>
      <c r="E404" s="303"/>
      <c r="F404" s="303"/>
      <c r="G404" s="303"/>
      <c r="H404" s="303"/>
      <c r="I404" s="303"/>
      <c r="J404" s="303"/>
      <c r="K404" s="303"/>
      <c r="L404" s="303"/>
      <c r="M404" s="303"/>
      <c r="N404" s="303"/>
      <c r="O404" s="303"/>
      <c r="P404" s="303"/>
      <c r="Q404" s="303"/>
      <c r="R404" s="303"/>
      <c r="S404" s="303"/>
      <c r="T404" s="303"/>
      <c r="U404" s="303"/>
      <c r="V404" s="303"/>
      <c r="W404" s="303"/>
      <c r="X404" s="303"/>
      <c r="Y404" s="303"/>
      <c r="Z404" s="532"/>
      <c r="AA404" s="530"/>
      <c r="AB404" s="525" t="str">
        <f t="shared" si="6"/>
        <v/>
      </c>
      <c r="AC404" s="525" t="str">
        <f t="shared" si="7"/>
        <v/>
      </c>
      <c r="AD404" s="525" t="str">
        <f t="shared" si="8"/>
        <v/>
      </c>
      <c r="AE404" s="525" t="str">
        <f t="shared" si="9"/>
        <v/>
      </c>
      <c r="AF404" s="525" t="str">
        <f t="shared" si="10"/>
        <v/>
      </c>
      <c r="AG404" s="525" t="str">
        <f t="shared" si="11"/>
        <v/>
      </c>
      <c r="AH404" s="525">
        <f>E403</f>
        <v>0</v>
      </c>
      <c r="AI404" s="525">
        <f>E404</f>
        <v>0</v>
      </c>
    </row>
    <row r="405" spans="1:35" x14ac:dyDescent="0.2">
      <c r="A405" s="531"/>
      <c r="B405" s="303"/>
      <c r="C405" s="303"/>
      <c r="D405" s="303"/>
      <c r="E405" s="303"/>
      <c r="F405" s="303"/>
      <c r="G405" s="303"/>
      <c r="H405" s="303"/>
      <c r="I405" s="303"/>
      <c r="J405" s="303"/>
      <c r="K405" s="303"/>
      <c r="L405" s="303"/>
      <c r="M405" s="303"/>
      <c r="N405" s="303"/>
      <c r="O405" s="303"/>
      <c r="P405" s="303"/>
      <c r="Q405" s="303"/>
      <c r="R405" s="303"/>
      <c r="S405" s="303"/>
      <c r="T405" s="303"/>
      <c r="U405" s="303"/>
      <c r="V405" s="303"/>
      <c r="W405" s="303"/>
      <c r="X405" s="303"/>
      <c r="Y405" s="303"/>
      <c r="Z405" s="532"/>
      <c r="AA405" s="530"/>
      <c r="AB405" s="525" t="str">
        <f t="shared" si="6"/>
        <v/>
      </c>
      <c r="AC405" s="525" t="str">
        <f t="shared" si="7"/>
        <v/>
      </c>
      <c r="AD405" s="525" t="str">
        <f t="shared" si="8"/>
        <v/>
      </c>
      <c r="AE405" s="525" t="str">
        <f t="shared" si="9"/>
        <v/>
      </c>
      <c r="AF405" s="525" t="str">
        <f t="shared" si="10"/>
        <v/>
      </c>
      <c r="AG405" s="525" t="str">
        <f t="shared" si="11"/>
        <v/>
      </c>
      <c r="AH405" s="525">
        <f>E406</f>
        <v>0</v>
      </c>
      <c r="AI405" s="525">
        <f>E407</f>
        <v>0</v>
      </c>
    </row>
    <row r="406" spans="1:35" x14ac:dyDescent="0.2">
      <c r="A406" s="531"/>
      <c r="B406" s="303"/>
      <c r="C406" s="303"/>
      <c r="D406" s="303"/>
      <c r="E406" s="303"/>
      <c r="F406" s="303"/>
      <c r="G406" s="303"/>
      <c r="H406" s="303"/>
      <c r="I406" s="303"/>
      <c r="J406" s="303"/>
      <c r="K406" s="303"/>
      <c r="L406" s="303"/>
      <c r="M406" s="303"/>
      <c r="N406" s="303"/>
      <c r="O406" s="303"/>
      <c r="P406" s="303"/>
      <c r="Q406" s="303"/>
      <c r="R406" s="303"/>
      <c r="S406" s="303"/>
      <c r="T406" s="303"/>
      <c r="U406" s="303"/>
      <c r="V406" s="303"/>
      <c r="W406" s="303"/>
      <c r="X406" s="303"/>
      <c r="Y406" s="303"/>
      <c r="Z406" s="532"/>
      <c r="AA406" s="530"/>
      <c r="AB406" s="525" t="str">
        <f t="shared" si="6"/>
        <v/>
      </c>
      <c r="AC406" s="525" t="str">
        <f t="shared" si="7"/>
        <v/>
      </c>
      <c r="AD406" s="525" t="str">
        <f t="shared" si="8"/>
        <v/>
      </c>
      <c r="AE406" s="525" t="str">
        <f t="shared" si="9"/>
        <v/>
      </c>
      <c r="AF406" s="525" t="str">
        <f t="shared" si="10"/>
        <v/>
      </c>
      <c r="AG406" s="525" t="str">
        <f t="shared" si="11"/>
        <v/>
      </c>
      <c r="AH406" s="525">
        <f>E406</f>
        <v>0</v>
      </c>
      <c r="AI406" s="525">
        <f>E407</f>
        <v>0</v>
      </c>
    </row>
    <row r="407" spans="1:35" x14ac:dyDescent="0.2">
      <c r="A407" s="531"/>
      <c r="B407" s="303"/>
      <c r="C407" s="303"/>
      <c r="D407" s="303"/>
      <c r="E407" s="303"/>
      <c r="F407" s="303"/>
      <c r="G407" s="303"/>
      <c r="H407" s="303"/>
      <c r="I407" s="303"/>
      <c r="J407" s="303"/>
      <c r="K407" s="303"/>
      <c r="L407" s="303"/>
      <c r="M407" s="303"/>
      <c r="N407" s="303"/>
      <c r="O407" s="303"/>
      <c r="P407" s="303"/>
      <c r="Q407" s="303"/>
      <c r="R407" s="303"/>
      <c r="S407" s="303"/>
      <c r="T407" s="303"/>
      <c r="U407" s="303"/>
      <c r="V407" s="303"/>
      <c r="W407" s="303"/>
      <c r="X407" s="303"/>
      <c r="Y407" s="303"/>
      <c r="Z407" s="532"/>
      <c r="AA407" s="530"/>
      <c r="AB407" s="525" t="str">
        <f t="shared" si="6"/>
        <v/>
      </c>
      <c r="AC407" s="525" t="str">
        <f t="shared" si="7"/>
        <v/>
      </c>
      <c r="AD407" s="525" t="str">
        <f t="shared" si="8"/>
        <v/>
      </c>
      <c r="AE407" s="525" t="str">
        <f t="shared" si="9"/>
        <v/>
      </c>
      <c r="AF407" s="525" t="str">
        <f t="shared" si="10"/>
        <v/>
      </c>
      <c r="AG407" s="525" t="str">
        <f t="shared" si="11"/>
        <v/>
      </c>
      <c r="AH407" s="525">
        <f>E406</f>
        <v>0</v>
      </c>
      <c r="AI407" s="525">
        <f>E407</f>
        <v>0</v>
      </c>
    </row>
    <row r="408" spans="1:35" x14ac:dyDescent="0.2">
      <c r="A408" s="531"/>
      <c r="B408" s="303"/>
      <c r="C408" s="303"/>
      <c r="D408" s="303"/>
      <c r="E408" s="303"/>
      <c r="F408" s="303"/>
      <c r="G408" s="303"/>
      <c r="H408" s="303"/>
      <c r="I408" s="303"/>
      <c r="J408" s="303"/>
      <c r="K408" s="303"/>
      <c r="L408" s="303"/>
      <c r="M408" s="303"/>
      <c r="N408" s="303"/>
      <c r="O408" s="303"/>
      <c r="P408" s="303"/>
      <c r="Q408" s="303"/>
      <c r="R408" s="303"/>
      <c r="S408" s="303"/>
      <c r="T408" s="303"/>
      <c r="U408" s="303"/>
      <c r="V408" s="303"/>
      <c r="W408" s="303"/>
      <c r="X408" s="303"/>
      <c r="Y408" s="303"/>
      <c r="Z408" s="532"/>
      <c r="AA408" s="530"/>
      <c r="AB408" s="525" t="str">
        <f t="shared" si="6"/>
        <v/>
      </c>
      <c r="AC408" s="525" t="str">
        <f t="shared" si="7"/>
        <v/>
      </c>
      <c r="AD408" s="525" t="str">
        <f t="shared" si="8"/>
        <v/>
      </c>
      <c r="AE408" s="525" t="str">
        <f t="shared" si="9"/>
        <v/>
      </c>
      <c r="AF408" s="525" t="str">
        <f t="shared" si="10"/>
        <v/>
      </c>
      <c r="AG408" s="525" t="str">
        <f t="shared" si="11"/>
        <v/>
      </c>
      <c r="AH408" s="525">
        <f>E409</f>
        <v>0</v>
      </c>
      <c r="AI408" s="525">
        <f>E410</f>
        <v>0</v>
      </c>
    </row>
    <row r="409" spans="1:35" x14ac:dyDescent="0.2">
      <c r="A409" s="531"/>
      <c r="B409" s="303"/>
      <c r="C409" s="303"/>
      <c r="D409" s="303"/>
      <c r="E409" s="303"/>
      <c r="F409" s="303"/>
      <c r="G409" s="303"/>
      <c r="H409" s="303"/>
      <c r="I409" s="303"/>
      <c r="J409" s="303"/>
      <c r="K409" s="303"/>
      <c r="L409" s="303"/>
      <c r="M409" s="303"/>
      <c r="N409" s="303"/>
      <c r="O409" s="303"/>
      <c r="P409" s="303"/>
      <c r="Q409" s="303"/>
      <c r="R409" s="303"/>
      <c r="S409" s="303"/>
      <c r="T409" s="303"/>
      <c r="U409" s="303"/>
      <c r="V409" s="303"/>
      <c r="W409" s="303"/>
      <c r="X409" s="303"/>
      <c r="Y409" s="303"/>
      <c r="Z409" s="532"/>
      <c r="AA409" s="530"/>
      <c r="AB409" s="525" t="str">
        <f t="shared" si="6"/>
        <v/>
      </c>
      <c r="AC409" s="525" t="str">
        <f t="shared" si="7"/>
        <v/>
      </c>
      <c r="AD409" s="525" t="str">
        <f t="shared" si="8"/>
        <v/>
      </c>
      <c r="AE409" s="525" t="str">
        <f t="shared" si="9"/>
        <v/>
      </c>
      <c r="AF409" s="525" t="str">
        <f t="shared" si="10"/>
        <v/>
      </c>
      <c r="AG409" s="525" t="str">
        <f t="shared" si="11"/>
        <v/>
      </c>
      <c r="AH409" s="525">
        <f>E409</f>
        <v>0</v>
      </c>
      <c r="AI409" s="525">
        <f>E410</f>
        <v>0</v>
      </c>
    </row>
    <row r="410" spans="1:35" x14ac:dyDescent="0.2">
      <c r="A410" s="531"/>
      <c r="B410" s="303"/>
      <c r="C410" s="303"/>
      <c r="D410" s="303"/>
      <c r="E410" s="303"/>
      <c r="F410" s="303"/>
      <c r="G410" s="303"/>
      <c r="H410" s="303"/>
      <c r="I410" s="303"/>
      <c r="J410" s="303"/>
      <c r="K410" s="303"/>
      <c r="L410" s="303"/>
      <c r="M410" s="303"/>
      <c r="N410" s="303"/>
      <c r="O410" s="303"/>
      <c r="P410" s="303"/>
      <c r="Q410" s="303"/>
      <c r="R410" s="303"/>
      <c r="S410" s="303"/>
      <c r="T410" s="303"/>
      <c r="U410" s="303"/>
      <c r="V410" s="303"/>
      <c r="W410" s="303"/>
      <c r="X410" s="303"/>
      <c r="Y410" s="303"/>
      <c r="Z410" s="532"/>
      <c r="AA410" s="530"/>
      <c r="AB410" s="525" t="str">
        <f t="shared" si="6"/>
        <v/>
      </c>
      <c r="AC410" s="525" t="str">
        <f t="shared" si="7"/>
        <v/>
      </c>
      <c r="AD410" s="525" t="str">
        <f t="shared" si="8"/>
        <v/>
      </c>
      <c r="AE410" s="525" t="str">
        <f t="shared" si="9"/>
        <v/>
      </c>
      <c r="AF410" s="525" t="str">
        <f t="shared" si="10"/>
        <v/>
      </c>
      <c r="AG410" s="525" t="str">
        <f t="shared" si="11"/>
        <v/>
      </c>
      <c r="AH410" s="525">
        <f>E409</f>
        <v>0</v>
      </c>
      <c r="AI410" s="525">
        <f>E410</f>
        <v>0</v>
      </c>
    </row>
    <row r="411" spans="1:35" x14ac:dyDescent="0.2">
      <c r="A411" s="531"/>
      <c r="B411" s="303"/>
      <c r="C411" s="303"/>
      <c r="D411" s="303"/>
      <c r="E411" s="303"/>
      <c r="F411" s="303"/>
      <c r="G411" s="303"/>
      <c r="H411" s="303"/>
      <c r="I411" s="303"/>
      <c r="J411" s="303"/>
      <c r="K411" s="303"/>
      <c r="L411" s="303"/>
      <c r="M411" s="303"/>
      <c r="N411" s="303"/>
      <c r="O411" s="303"/>
      <c r="P411" s="303"/>
      <c r="Q411" s="303"/>
      <c r="R411" s="303"/>
      <c r="S411" s="303"/>
      <c r="T411" s="303"/>
      <c r="U411" s="303"/>
      <c r="V411" s="303"/>
      <c r="W411" s="303"/>
      <c r="X411" s="303"/>
      <c r="Y411" s="303"/>
      <c r="Z411" s="532"/>
      <c r="AA411" s="530"/>
      <c r="AB411" s="525" t="str">
        <f t="shared" si="6"/>
        <v/>
      </c>
      <c r="AC411" s="525" t="str">
        <f t="shared" si="7"/>
        <v/>
      </c>
      <c r="AD411" s="525" t="str">
        <f t="shared" si="8"/>
        <v/>
      </c>
      <c r="AE411" s="525" t="str">
        <f t="shared" si="9"/>
        <v/>
      </c>
      <c r="AF411" s="525" t="str">
        <f t="shared" si="10"/>
        <v/>
      </c>
      <c r="AG411" s="525" t="str">
        <f t="shared" si="11"/>
        <v/>
      </c>
      <c r="AH411" s="525">
        <f>E412</f>
        <v>0</v>
      </c>
      <c r="AI411" s="525">
        <f>E413</f>
        <v>0</v>
      </c>
    </row>
    <row r="412" spans="1:35" x14ac:dyDescent="0.2">
      <c r="A412" s="531"/>
      <c r="B412" s="303"/>
      <c r="C412" s="303"/>
      <c r="D412" s="303"/>
      <c r="E412" s="303"/>
      <c r="F412" s="303"/>
      <c r="G412" s="303"/>
      <c r="H412" s="303"/>
      <c r="I412" s="303"/>
      <c r="J412" s="303"/>
      <c r="K412" s="303"/>
      <c r="L412" s="303"/>
      <c r="M412" s="303"/>
      <c r="N412" s="303"/>
      <c r="O412" s="303"/>
      <c r="P412" s="303"/>
      <c r="Q412" s="303"/>
      <c r="R412" s="303"/>
      <c r="S412" s="303"/>
      <c r="T412" s="303"/>
      <c r="U412" s="303"/>
      <c r="V412" s="303"/>
      <c r="W412" s="303"/>
      <c r="X412" s="303"/>
      <c r="Y412" s="303"/>
      <c r="Z412" s="532"/>
      <c r="AA412" s="530"/>
      <c r="AB412" s="525" t="str">
        <f t="shared" si="6"/>
        <v/>
      </c>
      <c r="AC412" s="525" t="str">
        <f t="shared" si="7"/>
        <v/>
      </c>
      <c r="AD412" s="525" t="str">
        <f t="shared" si="8"/>
        <v/>
      </c>
      <c r="AE412" s="525" t="str">
        <f t="shared" si="9"/>
        <v/>
      </c>
      <c r="AF412" s="525" t="str">
        <f t="shared" si="10"/>
        <v/>
      </c>
      <c r="AG412" s="525" t="str">
        <f t="shared" si="11"/>
        <v/>
      </c>
      <c r="AH412" s="525">
        <f>E412</f>
        <v>0</v>
      </c>
      <c r="AI412" s="525">
        <f>E413</f>
        <v>0</v>
      </c>
    </row>
    <row r="413" spans="1:35" x14ac:dyDescent="0.2">
      <c r="A413" s="531"/>
      <c r="B413" s="303"/>
      <c r="C413" s="303"/>
      <c r="D413" s="303"/>
      <c r="E413" s="303"/>
      <c r="F413" s="303"/>
      <c r="G413" s="303"/>
      <c r="H413" s="303"/>
      <c r="I413" s="303"/>
      <c r="J413" s="303"/>
      <c r="K413" s="303"/>
      <c r="L413" s="303"/>
      <c r="M413" s="303"/>
      <c r="N413" s="303"/>
      <c r="O413" s="303"/>
      <c r="P413" s="303"/>
      <c r="Q413" s="303"/>
      <c r="R413" s="303"/>
      <c r="S413" s="303"/>
      <c r="T413" s="303"/>
      <c r="U413" s="303"/>
      <c r="V413" s="303"/>
      <c r="W413" s="303"/>
      <c r="X413" s="303"/>
      <c r="Y413" s="303"/>
      <c r="Z413" s="532"/>
      <c r="AA413" s="530"/>
      <c r="AB413" s="525" t="str">
        <f t="shared" si="6"/>
        <v/>
      </c>
      <c r="AC413" s="525" t="str">
        <f t="shared" si="7"/>
        <v/>
      </c>
      <c r="AD413" s="525" t="str">
        <f t="shared" si="8"/>
        <v/>
      </c>
      <c r="AE413" s="525" t="str">
        <f t="shared" si="9"/>
        <v/>
      </c>
      <c r="AF413" s="525" t="str">
        <f t="shared" si="10"/>
        <v/>
      </c>
      <c r="AG413" s="525" t="str">
        <f t="shared" si="11"/>
        <v/>
      </c>
      <c r="AH413" s="525">
        <f>E412</f>
        <v>0</v>
      </c>
      <c r="AI413" s="525">
        <f>E413</f>
        <v>0</v>
      </c>
    </row>
    <row r="414" spans="1:35" x14ac:dyDescent="0.2">
      <c r="A414" s="531"/>
      <c r="B414" s="303"/>
      <c r="C414" s="303"/>
      <c r="D414" s="303"/>
      <c r="E414" s="303"/>
      <c r="F414" s="303"/>
      <c r="G414" s="303"/>
      <c r="H414" s="303"/>
      <c r="I414" s="303"/>
      <c r="J414" s="303"/>
      <c r="K414" s="303"/>
      <c r="L414" s="303"/>
      <c r="M414" s="303"/>
      <c r="N414" s="303"/>
      <c r="O414" s="303"/>
      <c r="P414" s="303"/>
      <c r="Q414" s="303"/>
      <c r="R414" s="303"/>
      <c r="S414" s="303"/>
      <c r="T414" s="303"/>
      <c r="U414" s="303"/>
      <c r="V414" s="303"/>
      <c r="W414" s="303"/>
      <c r="X414" s="303"/>
      <c r="Y414" s="303"/>
      <c r="Z414" s="532"/>
      <c r="AA414" s="530"/>
      <c r="AB414" s="525" t="str">
        <f t="shared" si="6"/>
        <v/>
      </c>
      <c r="AC414" s="525" t="str">
        <f t="shared" si="7"/>
        <v/>
      </c>
      <c r="AD414" s="525" t="str">
        <f t="shared" si="8"/>
        <v/>
      </c>
      <c r="AE414" s="525" t="str">
        <f t="shared" si="9"/>
        <v/>
      </c>
      <c r="AF414" s="525" t="str">
        <f t="shared" si="10"/>
        <v/>
      </c>
      <c r="AG414" s="525" t="str">
        <f t="shared" si="11"/>
        <v/>
      </c>
      <c r="AH414" s="525">
        <f>E415</f>
        <v>0</v>
      </c>
      <c r="AI414" s="525">
        <f>E416</f>
        <v>0</v>
      </c>
    </row>
    <row r="415" spans="1:35" x14ac:dyDescent="0.2">
      <c r="A415" s="531"/>
      <c r="B415" s="303"/>
      <c r="C415" s="303"/>
      <c r="D415" s="303"/>
      <c r="E415" s="303"/>
      <c r="F415" s="303"/>
      <c r="G415" s="303"/>
      <c r="H415" s="303"/>
      <c r="I415" s="303"/>
      <c r="J415" s="303"/>
      <c r="K415" s="303"/>
      <c r="L415" s="303"/>
      <c r="M415" s="303"/>
      <c r="N415" s="303"/>
      <c r="O415" s="303"/>
      <c r="P415" s="303"/>
      <c r="Q415" s="303"/>
      <c r="R415" s="303"/>
      <c r="S415" s="303"/>
      <c r="T415" s="303"/>
      <c r="U415" s="303"/>
      <c r="V415" s="303"/>
      <c r="W415" s="303"/>
      <c r="X415" s="303"/>
      <c r="Y415" s="303"/>
      <c r="Z415" s="532"/>
      <c r="AA415" s="530"/>
      <c r="AB415" s="525" t="str">
        <f t="shared" si="6"/>
        <v/>
      </c>
      <c r="AC415" s="525" t="str">
        <f t="shared" si="7"/>
        <v/>
      </c>
      <c r="AD415" s="525" t="str">
        <f t="shared" si="8"/>
        <v/>
      </c>
      <c r="AE415" s="525" t="str">
        <f t="shared" si="9"/>
        <v/>
      </c>
      <c r="AF415" s="525" t="str">
        <f t="shared" si="10"/>
        <v/>
      </c>
      <c r="AG415" s="525" t="str">
        <f t="shared" si="11"/>
        <v/>
      </c>
      <c r="AH415" s="525">
        <f>E415</f>
        <v>0</v>
      </c>
      <c r="AI415" s="525">
        <f>E416</f>
        <v>0</v>
      </c>
    </row>
    <row r="416" spans="1:35" x14ac:dyDescent="0.2">
      <c r="A416" s="531"/>
      <c r="B416" s="303"/>
      <c r="C416" s="303"/>
      <c r="D416" s="303"/>
      <c r="E416" s="303"/>
      <c r="F416" s="303"/>
      <c r="G416" s="303"/>
      <c r="H416" s="303"/>
      <c r="I416" s="303"/>
      <c r="J416" s="303"/>
      <c r="K416" s="303"/>
      <c r="L416" s="303"/>
      <c r="M416" s="303"/>
      <c r="N416" s="303"/>
      <c r="O416" s="303"/>
      <c r="P416" s="303"/>
      <c r="Q416" s="303"/>
      <c r="R416" s="303"/>
      <c r="S416" s="303"/>
      <c r="T416" s="303"/>
      <c r="U416" s="303"/>
      <c r="V416" s="303"/>
      <c r="W416" s="303"/>
      <c r="X416" s="303"/>
      <c r="Y416" s="303"/>
      <c r="Z416" s="532"/>
      <c r="AA416" s="530"/>
      <c r="AB416" s="525" t="str">
        <f t="shared" si="6"/>
        <v/>
      </c>
      <c r="AC416" s="525" t="str">
        <f t="shared" si="7"/>
        <v/>
      </c>
      <c r="AD416" s="525" t="str">
        <f t="shared" si="8"/>
        <v/>
      </c>
      <c r="AE416" s="525" t="str">
        <f t="shared" si="9"/>
        <v/>
      </c>
      <c r="AF416" s="525" t="str">
        <f t="shared" si="10"/>
        <v/>
      </c>
      <c r="AG416" s="525" t="str">
        <f t="shared" si="11"/>
        <v/>
      </c>
      <c r="AH416" s="525">
        <f>E415</f>
        <v>0</v>
      </c>
      <c r="AI416" s="525">
        <f>E416</f>
        <v>0</v>
      </c>
    </row>
    <row r="417" spans="1:35" x14ac:dyDescent="0.2">
      <c r="A417" s="531"/>
      <c r="B417" s="303"/>
      <c r="C417" s="303"/>
      <c r="D417" s="303"/>
      <c r="E417" s="303"/>
      <c r="F417" s="303"/>
      <c r="G417" s="303"/>
      <c r="H417" s="303"/>
      <c r="I417" s="303"/>
      <c r="J417" s="303"/>
      <c r="K417" s="303"/>
      <c r="L417" s="303"/>
      <c r="M417" s="303"/>
      <c r="N417" s="303"/>
      <c r="O417" s="303"/>
      <c r="P417" s="303"/>
      <c r="Q417" s="303"/>
      <c r="R417" s="303"/>
      <c r="S417" s="303"/>
      <c r="T417" s="303"/>
      <c r="U417" s="303"/>
      <c r="V417" s="303"/>
      <c r="W417" s="303"/>
      <c r="X417" s="303"/>
      <c r="Y417" s="303"/>
      <c r="Z417" s="532"/>
      <c r="AA417" s="530"/>
      <c r="AB417" s="525" t="str">
        <f t="shared" si="6"/>
        <v/>
      </c>
      <c r="AC417" s="525" t="str">
        <f t="shared" si="7"/>
        <v/>
      </c>
      <c r="AD417" s="525" t="str">
        <f t="shared" si="8"/>
        <v/>
      </c>
      <c r="AE417" s="525" t="str">
        <f t="shared" si="9"/>
        <v/>
      </c>
      <c r="AF417" s="525" t="str">
        <f t="shared" si="10"/>
        <v/>
      </c>
      <c r="AG417" s="525" t="str">
        <f t="shared" si="11"/>
        <v/>
      </c>
      <c r="AH417" s="525">
        <f>E418</f>
        <v>0</v>
      </c>
      <c r="AI417" s="525">
        <f>E419</f>
        <v>0</v>
      </c>
    </row>
    <row r="418" spans="1:35" x14ac:dyDescent="0.2">
      <c r="A418" s="531"/>
      <c r="B418" s="303"/>
      <c r="C418" s="303"/>
      <c r="D418" s="303"/>
      <c r="E418" s="303"/>
      <c r="F418" s="303"/>
      <c r="G418" s="303"/>
      <c r="H418" s="303"/>
      <c r="I418" s="303"/>
      <c r="J418" s="303"/>
      <c r="K418" s="303"/>
      <c r="L418" s="303"/>
      <c r="M418" s="303"/>
      <c r="N418" s="303"/>
      <c r="O418" s="303"/>
      <c r="P418" s="303"/>
      <c r="Q418" s="303"/>
      <c r="R418" s="303"/>
      <c r="S418" s="303"/>
      <c r="T418" s="303"/>
      <c r="U418" s="303"/>
      <c r="V418" s="303"/>
      <c r="W418" s="303"/>
      <c r="X418" s="303"/>
      <c r="Y418" s="303"/>
      <c r="Z418" s="532"/>
      <c r="AA418" s="530"/>
      <c r="AB418" s="525" t="str">
        <f t="shared" si="6"/>
        <v/>
      </c>
      <c r="AC418" s="525" t="str">
        <f t="shared" si="7"/>
        <v/>
      </c>
      <c r="AD418" s="525" t="str">
        <f t="shared" si="8"/>
        <v/>
      </c>
      <c r="AE418" s="525" t="str">
        <f t="shared" si="9"/>
        <v/>
      </c>
      <c r="AF418" s="525" t="str">
        <f t="shared" si="10"/>
        <v/>
      </c>
      <c r="AG418" s="525" t="str">
        <f t="shared" si="11"/>
        <v/>
      </c>
      <c r="AH418" s="525">
        <f>E418</f>
        <v>0</v>
      </c>
      <c r="AI418" s="525">
        <f>E419</f>
        <v>0</v>
      </c>
    </row>
    <row r="419" spans="1:35" x14ac:dyDescent="0.2">
      <c r="A419" s="531"/>
      <c r="B419" s="303"/>
      <c r="C419" s="303"/>
      <c r="D419" s="303"/>
      <c r="E419" s="303"/>
      <c r="F419" s="303"/>
      <c r="G419" s="303"/>
      <c r="H419" s="303"/>
      <c r="I419" s="303"/>
      <c r="J419" s="303"/>
      <c r="K419" s="303"/>
      <c r="L419" s="303"/>
      <c r="M419" s="303"/>
      <c r="N419" s="303"/>
      <c r="O419" s="303"/>
      <c r="P419" s="303"/>
      <c r="Q419" s="303"/>
      <c r="R419" s="303"/>
      <c r="S419" s="303"/>
      <c r="T419" s="303"/>
      <c r="U419" s="303"/>
      <c r="V419" s="303"/>
      <c r="W419" s="303"/>
      <c r="X419" s="303"/>
      <c r="Y419" s="303"/>
      <c r="Z419" s="532"/>
      <c r="AA419" s="530"/>
      <c r="AB419" s="525" t="str">
        <f t="shared" si="6"/>
        <v/>
      </c>
      <c r="AC419" s="525" t="str">
        <f t="shared" si="7"/>
        <v/>
      </c>
      <c r="AD419" s="525" t="str">
        <f t="shared" si="8"/>
        <v/>
      </c>
      <c r="AE419" s="525" t="str">
        <f t="shared" si="9"/>
        <v/>
      </c>
      <c r="AF419" s="525" t="str">
        <f t="shared" si="10"/>
        <v/>
      </c>
      <c r="AG419" s="525" t="str">
        <f t="shared" si="11"/>
        <v/>
      </c>
      <c r="AH419" s="525">
        <f>E418</f>
        <v>0</v>
      </c>
      <c r="AI419" s="525">
        <f>E419</f>
        <v>0</v>
      </c>
    </row>
    <row r="420" spans="1:35" x14ac:dyDescent="0.2">
      <c r="A420" s="531"/>
      <c r="B420" s="303"/>
      <c r="C420" s="303"/>
      <c r="D420" s="303"/>
      <c r="E420" s="303"/>
      <c r="F420" s="303"/>
      <c r="G420" s="303"/>
      <c r="H420" s="303"/>
      <c r="I420" s="303"/>
      <c r="J420" s="303"/>
      <c r="K420" s="303"/>
      <c r="L420" s="303"/>
      <c r="M420" s="303"/>
      <c r="N420" s="303"/>
      <c r="O420" s="303"/>
      <c r="P420" s="303"/>
      <c r="Q420" s="303"/>
      <c r="R420" s="303"/>
      <c r="S420" s="303"/>
      <c r="T420" s="303"/>
      <c r="U420" s="303"/>
      <c r="V420" s="303"/>
      <c r="W420" s="303"/>
      <c r="X420" s="303"/>
      <c r="Y420" s="303"/>
      <c r="Z420" s="532"/>
      <c r="AA420" s="530"/>
      <c r="AB420" s="525" t="str">
        <f t="shared" si="6"/>
        <v/>
      </c>
      <c r="AC420" s="525" t="str">
        <f t="shared" si="7"/>
        <v/>
      </c>
      <c r="AD420" s="525" t="str">
        <f t="shared" si="8"/>
        <v/>
      </c>
      <c r="AE420" s="525" t="str">
        <f t="shared" si="9"/>
        <v/>
      </c>
      <c r="AF420" s="525" t="str">
        <f t="shared" si="10"/>
        <v/>
      </c>
      <c r="AG420" s="525" t="str">
        <f t="shared" si="11"/>
        <v/>
      </c>
      <c r="AH420" s="525">
        <f>E421</f>
        <v>0</v>
      </c>
      <c r="AI420" s="525">
        <f>E422</f>
        <v>0</v>
      </c>
    </row>
    <row r="421" spans="1:35" x14ac:dyDescent="0.2">
      <c r="A421" s="531"/>
      <c r="B421" s="303"/>
      <c r="C421" s="303"/>
      <c r="D421" s="303"/>
      <c r="E421" s="303"/>
      <c r="F421" s="303"/>
      <c r="G421" s="303"/>
      <c r="H421" s="303"/>
      <c r="I421" s="303"/>
      <c r="J421" s="303"/>
      <c r="K421" s="303"/>
      <c r="L421" s="303"/>
      <c r="M421" s="303"/>
      <c r="N421" s="303"/>
      <c r="O421" s="303"/>
      <c r="P421" s="303"/>
      <c r="Q421" s="303"/>
      <c r="R421" s="303"/>
      <c r="S421" s="303"/>
      <c r="T421" s="303"/>
      <c r="U421" s="303"/>
      <c r="V421" s="303"/>
      <c r="W421" s="303"/>
      <c r="X421" s="303"/>
      <c r="Y421" s="303"/>
      <c r="Z421" s="532"/>
      <c r="AA421" s="530"/>
      <c r="AB421" s="525" t="str">
        <f t="shared" si="6"/>
        <v/>
      </c>
      <c r="AC421" s="525" t="str">
        <f t="shared" si="7"/>
        <v/>
      </c>
      <c r="AD421" s="525" t="str">
        <f t="shared" si="8"/>
        <v/>
      </c>
      <c r="AE421" s="525" t="str">
        <f t="shared" si="9"/>
        <v/>
      </c>
      <c r="AF421" s="525" t="str">
        <f t="shared" si="10"/>
        <v/>
      </c>
      <c r="AG421" s="525" t="str">
        <f t="shared" si="11"/>
        <v/>
      </c>
      <c r="AH421" s="525">
        <f>E421</f>
        <v>0</v>
      </c>
      <c r="AI421" s="525">
        <f>E422</f>
        <v>0</v>
      </c>
    </row>
    <row r="422" spans="1:35" x14ac:dyDescent="0.2">
      <c r="A422" s="531"/>
      <c r="B422" s="303"/>
      <c r="C422" s="303"/>
      <c r="D422" s="303"/>
      <c r="E422" s="303"/>
      <c r="F422" s="303"/>
      <c r="G422" s="303"/>
      <c r="H422" s="303"/>
      <c r="I422" s="303"/>
      <c r="J422" s="303"/>
      <c r="K422" s="303"/>
      <c r="L422" s="303"/>
      <c r="M422" s="303"/>
      <c r="N422" s="303"/>
      <c r="O422" s="303"/>
      <c r="P422" s="303"/>
      <c r="Q422" s="303"/>
      <c r="R422" s="303"/>
      <c r="S422" s="303"/>
      <c r="T422" s="303"/>
      <c r="U422" s="303"/>
      <c r="V422" s="303"/>
      <c r="W422" s="303"/>
      <c r="X422" s="303"/>
      <c r="Y422" s="303"/>
      <c r="Z422" s="532"/>
      <c r="AA422" s="530"/>
      <c r="AB422" s="525" t="str">
        <f t="shared" si="6"/>
        <v/>
      </c>
      <c r="AC422" s="525" t="str">
        <f t="shared" si="7"/>
        <v/>
      </c>
      <c r="AD422" s="525" t="str">
        <f t="shared" si="8"/>
        <v/>
      </c>
      <c r="AE422" s="525" t="str">
        <f t="shared" si="9"/>
        <v/>
      </c>
      <c r="AF422" s="525" t="str">
        <f t="shared" si="10"/>
        <v/>
      </c>
      <c r="AG422" s="525" t="str">
        <f t="shared" si="11"/>
        <v/>
      </c>
      <c r="AH422" s="525">
        <f>E421</f>
        <v>0</v>
      </c>
      <c r="AI422" s="525">
        <f>E422</f>
        <v>0</v>
      </c>
    </row>
    <row r="423" spans="1:35" x14ac:dyDescent="0.2">
      <c r="A423" s="531"/>
      <c r="B423" s="303"/>
      <c r="C423" s="303"/>
      <c r="D423" s="303"/>
      <c r="E423" s="303"/>
      <c r="F423" s="303"/>
      <c r="G423" s="303"/>
      <c r="H423" s="303"/>
      <c r="I423" s="303"/>
      <c r="J423" s="303"/>
      <c r="K423" s="303"/>
      <c r="L423" s="303"/>
      <c r="M423" s="303"/>
      <c r="N423" s="303"/>
      <c r="O423" s="303"/>
      <c r="P423" s="303"/>
      <c r="Q423" s="303"/>
      <c r="R423" s="303"/>
      <c r="S423" s="303"/>
      <c r="T423" s="303"/>
      <c r="U423" s="303"/>
      <c r="V423" s="303"/>
      <c r="W423" s="303"/>
      <c r="X423" s="303"/>
      <c r="Y423" s="303"/>
      <c r="Z423" s="532"/>
      <c r="AA423" s="530"/>
      <c r="AB423" s="525" t="str">
        <f t="shared" si="6"/>
        <v/>
      </c>
      <c r="AC423" s="525" t="str">
        <f t="shared" si="7"/>
        <v/>
      </c>
      <c r="AD423" s="525" t="str">
        <f t="shared" si="8"/>
        <v/>
      </c>
      <c r="AE423" s="525" t="str">
        <f t="shared" si="9"/>
        <v/>
      </c>
      <c r="AF423" s="525" t="str">
        <f t="shared" si="10"/>
        <v/>
      </c>
      <c r="AG423" s="525" t="str">
        <f t="shared" si="11"/>
        <v/>
      </c>
      <c r="AH423" s="525">
        <f>E424</f>
        <v>0</v>
      </c>
      <c r="AI423" s="525">
        <f>E425</f>
        <v>0</v>
      </c>
    </row>
    <row r="424" spans="1:35" x14ac:dyDescent="0.2">
      <c r="A424" s="531"/>
      <c r="B424" s="303"/>
      <c r="C424" s="303"/>
      <c r="D424" s="303"/>
      <c r="E424" s="303"/>
      <c r="F424" s="303"/>
      <c r="G424" s="303"/>
      <c r="H424" s="303"/>
      <c r="I424" s="303"/>
      <c r="J424" s="303"/>
      <c r="K424" s="303"/>
      <c r="L424" s="303"/>
      <c r="M424" s="303"/>
      <c r="N424" s="303"/>
      <c r="O424" s="303"/>
      <c r="P424" s="303"/>
      <c r="Q424" s="303"/>
      <c r="R424" s="303"/>
      <c r="S424" s="303"/>
      <c r="T424" s="303"/>
      <c r="U424" s="303"/>
      <c r="V424" s="303"/>
      <c r="W424" s="303"/>
      <c r="X424" s="303"/>
      <c r="Y424" s="303"/>
      <c r="Z424" s="532"/>
      <c r="AA424" s="530"/>
      <c r="AB424" s="525" t="str">
        <f t="shared" si="6"/>
        <v/>
      </c>
      <c r="AC424" s="525" t="str">
        <f t="shared" si="7"/>
        <v/>
      </c>
      <c r="AD424" s="525" t="str">
        <f t="shared" si="8"/>
        <v/>
      </c>
      <c r="AE424" s="525" t="str">
        <f t="shared" si="9"/>
        <v/>
      </c>
      <c r="AF424" s="525" t="str">
        <f t="shared" si="10"/>
        <v/>
      </c>
      <c r="AG424" s="525" t="str">
        <f t="shared" si="11"/>
        <v/>
      </c>
      <c r="AH424" s="525">
        <f>E424</f>
        <v>0</v>
      </c>
      <c r="AI424" s="525">
        <f>E425</f>
        <v>0</v>
      </c>
    </row>
    <row r="425" spans="1:35" x14ac:dyDescent="0.2">
      <c r="A425" s="531"/>
      <c r="B425" s="303"/>
      <c r="C425" s="303"/>
      <c r="D425" s="303"/>
      <c r="E425" s="303"/>
      <c r="F425" s="303"/>
      <c r="G425" s="303"/>
      <c r="H425" s="303"/>
      <c r="I425" s="303"/>
      <c r="J425" s="303"/>
      <c r="K425" s="303"/>
      <c r="L425" s="303"/>
      <c r="M425" s="303"/>
      <c r="N425" s="303"/>
      <c r="O425" s="303"/>
      <c r="P425" s="303"/>
      <c r="Q425" s="303"/>
      <c r="R425" s="303"/>
      <c r="S425" s="303"/>
      <c r="T425" s="303"/>
      <c r="U425" s="303"/>
      <c r="V425" s="303"/>
      <c r="W425" s="303"/>
      <c r="X425" s="303"/>
      <c r="Y425" s="303"/>
      <c r="Z425" s="532"/>
      <c r="AA425" s="530"/>
      <c r="AB425" s="525" t="str">
        <f t="shared" si="6"/>
        <v/>
      </c>
      <c r="AC425" s="525" t="str">
        <f t="shared" si="7"/>
        <v/>
      </c>
      <c r="AD425" s="525" t="str">
        <f t="shared" si="8"/>
        <v/>
      </c>
      <c r="AE425" s="525" t="str">
        <f t="shared" si="9"/>
        <v/>
      </c>
      <c r="AF425" s="525" t="str">
        <f t="shared" si="10"/>
        <v/>
      </c>
      <c r="AG425" s="525" t="str">
        <f t="shared" si="11"/>
        <v/>
      </c>
      <c r="AH425" s="525">
        <f>E424</f>
        <v>0</v>
      </c>
      <c r="AI425" s="525">
        <f>E425</f>
        <v>0</v>
      </c>
    </row>
    <row r="426" spans="1:35" x14ac:dyDescent="0.2">
      <c r="A426" s="531"/>
      <c r="B426" s="303"/>
      <c r="C426" s="303"/>
      <c r="D426" s="303"/>
      <c r="E426" s="303"/>
      <c r="F426" s="303"/>
      <c r="G426" s="303"/>
      <c r="H426" s="303"/>
      <c r="I426" s="303"/>
      <c r="J426" s="303"/>
      <c r="K426" s="303"/>
      <c r="L426" s="303"/>
      <c r="M426" s="303"/>
      <c r="N426" s="303"/>
      <c r="O426" s="303"/>
      <c r="P426" s="303"/>
      <c r="Q426" s="303"/>
      <c r="R426" s="303"/>
      <c r="S426" s="303"/>
      <c r="T426" s="303"/>
      <c r="U426" s="303"/>
      <c r="V426" s="303"/>
      <c r="W426" s="303"/>
      <c r="X426" s="303"/>
      <c r="Y426" s="303"/>
      <c r="Z426" s="532"/>
      <c r="AA426" s="530"/>
      <c r="AB426" s="525" t="str">
        <f t="shared" si="6"/>
        <v/>
      </c>
      <c r="AC426" s="525" t="str">
        <f t="shared" si="7"/>
        <v/>
      </c>
      <c r="AD426" s="525" t="str">
        <f t="shared" si="8"/>
        <v/>
      </c>
      <c r="AE426" s="525" t="str">
        <f t="shared" si="9"/>
        <v/>
      </c>
      <c r="AF426" s="525" t="str">
        <f t="shared" si="10"/>
        <v/>
      </c>
      <c r="AG426" s="525" t="str">
        <f t="shared" si="11"/>
        <v/>
      </c>
      <c r="AH426" s="525">
        <f>E427</f>
        <v>0</v>
      </c>
      <c r="AI426" s="525">
        <f>E428</f>
        <v>0</v>
      </c>
    </row>
    <row r="427" spans="1:35" x14ac:dyDescent="0.2">
      <c r="A427" s="531"/>
      <c r="B427" s="303"/>
      <c r="C427" s="303"/>
      <c r="D427" s="303"/>
      <c r="E427" s="303"/>
      <c r="F427" s="303"/>
      <c r="G427" s="303"/>
      <c r="H427" s="303"/>
      <c r="I427" s="303"/>
      <c r="J427" s="303"/>
      <c r="K427" s="303"/>
      <c r="L427" s="303"/>
      <c r="M427" s="303"/>
      <c r="N427" s="303"/>
      <c r="O427" s="303"/>
      <c r="P427" s="303"/>
      <c r="Q427" s="303"/>
      <c r="R427" s="303"/>
      <c r="S427" s="303"/>
      <c r="T427" s="303"/>
      <c r="U427" s="303"/>
      <c r="V427" s="303"/>
      <c r="W427" s="303"/>
      <c r="X427" s="303"/>
      <c r="Y427" s="303"/>
      <c r="Z427" s="532"/>
      <c r="AA427" s="530"/>
      <c r="AB427" s="525" t="str">
        <f t="shared" si="6"/>
        <v/>
      </c>
      <c r="AC427" s="525" t="str">
        <f t="shared" si="7"/>
        <v/>
      </c>
      <c r="AD427" s="525" t="str">
        <f t="shared" si="8"/>
        <v/>
      </c>
      <c r="AE427" s="525" t="str">
        <f t="shared" si="9"/>
        <v/>
      </c>
      <c r="AF427" s="525" t="str">
        <f t="shared" si="10"/>
        <v/>
      </c>
      <c r="AG427" s="525" t="str">
        <f t="shared" si="11"/>
        <v/>
      </c>
      <c r="AH427" s="525">
        <f>E427</f>
        <v>0</v>
      </c>
      <c r="AI427" s="525">
        <f>E428</f>
        <v>0</v>
      </c>
    </row>
    <row r="428" spans="1:35" x14ac:dyDescent="0.2">
      <c r="A428" s="531"/>
      <c r="B428" s="303"/>
      <c r="C428" s="303"/>
      <c r="D428" s="303"/>
      <c r="E428" s="303"/>
      <c r="F428" s="303"/>
      <c r="G428" s="303"/>
      <c r="H428" s="303"/>
      <c r="I428" s="303"/>
      <c r="J428" s="303"/>
      <c r="K428" s="303"/>
      <c r="L428" s="303"/>
      <c r="M428" s="303"/>
      <c r="N428" s="303"/>
      <c r="O428" s="303"/>
      <c r="P428" s="303"/>
      <c r="Q428" s="303"/>
      <c r="R428" s="303"/>
      <c r="S428" s="303"/>
      <c r="T428" s="303"/>
      <c r="U428" s="303"/>
      <c r="V428" s="303"/>
      <c r="W428" s="303"/>
      <c r="X428" s="303"/>
      <c r="Y428" s="303"/>
      <c r="Z428" s="532"/>
      <c r="AA428" s="530"/>
      <c r="AB428" s="525" t="str">
        <f t="shared" si="6"/>
        <v/>
      </c>
      <c r="AC428" s="525" t="str">
        <f t="shared" si="7"/>
        <v/>
      </c>
      <c r="AD428" s="525" t="str">
        <f t="shared" si="8"/>
        <v/>
      </c>
      <c r="AE428" s="525" t="str">
        <f t="shared" si="9"/>
        <v/>
      </c>
      <c r="AF428" s="525" t="str">
        <f t="shared" si="10"/>
        <v/>
      </c>
      <c r="AG428" s="525" t="str">
        <f t="shared" si="11"/>
        <v/>
      </c>
      <c r="AH428" s="525">
        <f>E427</f>
        <v>0</v>
      </c>
      <c r="AI428" s="525">
        <f>E428</f>
        <v>0</v>
      </c>
    </row>
    <row r="429" spans="1:35" x14ac:dyDescent="0.2">
      <c r="A429" s="531"/>
      <c r="B429" s="303"/>
      <c r="C429" s="303"/>
      <c r="D429" s="303"/>
      <c r="E429" s="303"/>
      <c r="F429" s="303"/>
      <c r="G429" s="303"/>
      <c r="H429" s="303"/>
      <c r="I429" s="303"/>
      <c r="J429" s="303"/>
      <c r="K429" s="303"/>
      <c r="L429" s="303"/>
      <c r="M429" s="303"/>
      <c r="N429" s="303"/>
      <c r="O429" s="303"/>
      <c r="P429" s="303"/>
      <c r="Q429" s="303"/>
      <c r="R429" s="303"/>
      <c r="S429" s="303"/>
      <c r="T429" s="303"/>
      <c r="U429" s="303"/>
      <c r="V429" s="303"/>
      <c r="W429" s="303"/>
      <c r="X429" s="303"/>
      <c r="Y429" s="303"/>
      <c r="Z429" s="532"/>
      <c r="AA429" s="530"/>
      <c r="AB429" s="525" t="str">
        <f t="shared" si="6"/>
        <v/>
      </c>
      <c r="AC429" s="525" t="str">
        <f t="shared" si="7"/>
        <v/>
      </c>
      <c r="AD429" s="525" t="str">
        <f t="shared" si="8"/>
        <v/>
      </c>
      <c r="AE429" s="525" t="str">
        <f t="shared" si="9"/>
        <v/>
      </c>
      <c r="AF429" s="525" t="str">
        <f t="shared" si="10"/>
        <v/>
      </c>
      <c r="AG429" s="525" t="str">
        <f t="shared" si="11"/>
        <v/>
      </c>
      <c r="AH429" s="525">
        <f>E430</f>
        <v>0</v>
      </c>
      <c r="AI429" s="525">
        <f>E431</f>
        <v>0</v>
      </c>
    </row>
    <row r="430" spans="1:35" x14ac:dyDescent="0.2">
      <c r="A430" s="531"/>
      <c r="B430" s="303"/>
      <c r="C430" s="303"/>
      <c r="D430" s="303"/>
      <c r="E430" s="303"/>
      <c r="F430" s="303"/>
      <c r="G430" s="303"/>
      <c r="H430" s="303"/>
      <c r="I430" s="303"/>
      <c r="J430" s="303"/>
      <c r="K430" s="303"/>
      <c r="L430" s="303"/>
      <c r="M430" s="303"/>
      <c r="N430" s="303"/>
      <c r="O430" s="303"/>
      <c r="P430" s="303"/>
      <c r="Q430" s="303"/>
      <c r="R430" s="303"/>
      <c r="S430" s="303"/>
      <c r="T430" s="303"/>
      <c r="U430" s="303"/>
      <c r="V430" s="303"/>
      <c r="W430" s="303"/>
      <c r="X430" s="303"/>
      <c r="Y430" s="303"/>
      <c r="Z430" s="532"/>
      <c r="AA430" s="530"/>
      <c r="AB430" s="525" t="str">
        <f t="shared" si="6"/>
        <v/>
      </c>
      <c r="AC430" s="525" t="str">
        <f t="shared" si="7"/>
        <v/>
      </c>
      <c r="AD430" s="525" t="str">
        <f t="shared" si="8"/>
        <v/>
      </c>
      <c r="AE430" s="525" t="str">
        <f t="shared" si="9"/>
        <v/>
      </c>
      <c r="AF430" s="525" t="str">
        <f t="shared" si="10"/>
        <v/>
      </c>
      <c r="AG430" s="525" t="str">
        <f t="shared" si="11"/>
        <v/>
      </c>
      <c r="AH430" s="525">
        <f>E430</f>
        <v>0</v>
      </c>
      <c r="AI430" s="525">
        <f>E431</f>
        <v>0</v>
      </c>
    </row>
    <row r="431" spans="1:35" x14ac:dyDescent="0.2">
      <c r="A431" s="531"/>
      <c r="B431" s="303"/>
      <c r="C431" s="303"/>
      <c r="D431" s="303"/>
      <c r="E431" s="303"/>
      <c r="F431" s="303"/>
      <c r="G431" s="303"/>
      <c r="H431" s="303"/>
      <c r="I431" s="303"/>
      <c r="J431" s="303"/>
      <c r="K431" s="303"/>
      <c r="L431" s="303"/>
      <c r="M431" s="303"/>
      <c r="N431" s="303"/>
      <c r="O431" s="303"/>
      <c r="P431" s="303"/>
      <c r="Q431" s="303"/>
      <c r="R431" s="303"/>
      <c r="S431" s="303"/>
      <c r="T431" s="303"/>
      <c r="U431" s="303"/>
      <c r="V431" s="303"/>
      <c r="W431" s="303"/>
      <c r="X431" s="303"/>
      <c r="Y431" s="303"/>
      <c r="Z431" s="532"/>
      <c r="AA431" s="530"/>
      <c r="AB431" s="525" t="str">
        <f t="shared" si="6"/>
        <v/>
      </c>
      <c r="AC431" s="525" t="str">
        <f t="shared" si="7"/>
        <v/>
      </c>
      <c r="AD431" s="525" t="str">
        <f t="shared" si="8"/>
        <v/>
      </c>
      <c r="AE431" s="525" t="str">
        <f t="shared" si="9"/>
        <v/>
      </c>
      <c r="AF431" s="525" t="str">
        <f t="shared" si="10"/>
        <v/>
      </c>
      <c r="AG431" s="525" t="str">
        <f t="shared" si="11"/>
        <v/>
      </c>
      <c r="AH431" s="525">
        <f>E430</f>
        <v>0</v>
      </c>
      <c r="AI431" s="525">
        <f>E431</f>
        <v>0</v>
      </c>
    </row>
    <row r="432" spans="1:35" x14ac:dyDescent="0.2">
      <c r="A432" s="531"/>
      <c r="B432" s="303"/>
      <c r="C432" s="303"/>
      <c r="D432" s="303"/>
      <c r="E432" s="303"/>
      <c r="F432" s="303"/>
      <c r="G432" s="303"/>
      <c r="H432" s="303"/>
      <c r="I432" s="303"/>
      <c r="J432" s="303"/>
      <c r="K432" s="303"/>
      <c r="L432" s="303"/>
      <c r="M432" s="303"/>
      <c r="N432" s="303"/>
      <c r="O432" s="303"/>
      <c r="P432" s="303"/>
      <c r="Q432" s="303"/>
      <c r="R432" s="303"/>
      <c r="S432" s="303"/>
      <c r="T432" s="303"/>
      <c r="U432" s="303"/>
      <c r="V432" s="303"/>
      <c r="W432" s="303"/>
      <c r="X432" s="303"/>
      <c r="Y432" s="303"/>
      <c r="Z432" s="532"/>
      <c r="AA432" s="530"/>
      <c r="AB432" s="525" t="str">
        <f t="shared" si="6"/>
        <v/>
      </c>
      <c r="AC432" s="525" t="str">
        <f t="shared" si="7"/>
        <v/>
      </c>
      <c r="AD432" s="525" t="str">
        <f t="shared" si="8"/>
        <v/>
      </c>
      <c r="AE432" s="525" t="str">
        <f t="shared" si="9"/>
        <v/>
      </c>
      <c r="AF432" s="525" t="str">
        <f t="shared" si="10"/>
        <v/>
      </c>
      <c r="AG432" s="525" t="str">
        <f t="shared" si="11"/>
        <v/>
      </c>
      <c r="AH432" s="525">
        <f>E433</f>
        <v>0</v>
      </c>
      <c r="AI432" s="525">
        <f>E434</f>
        <v>0</v>
      </c>
    </row>
    <row r="433" spans="1:35" x14ac:dyDescent="0.2">
      <c r="A433" s="531"/>
      <c r="B433" s="303"/>
      <c r="C433" s="303"/>
      <c r="D433" s="303"/>
      <c r="E433" s="303"/>
      <c r="F433" s="303"/>
      <c r="G433" s="303"/>
      <c r="H433" s="303"/>
      <c r="I433" s="303"/>
      <c r="J433" s="303"/>
      <c r="K433" s="303"/>
      <c r="L433" s="303"/>
      <c r="M433" s="303"/>
      <c r="N433" s="303"/>
      <c r="O433" s="303"/>
      <c r="P433" s="303"/>
      <c r="Q433" s="303"/>
      <c r="R433" s="303"/>
      <c r="S433" s="303"/>
      <c r="T433" s="303"/>
      <c r="U433" s="303"/>
      <c r="V433" s="303"/>
      <c r="W433" s="303"/>
      <c r="X433" s="303"/>
      <c r="Y433" s="303"/>
      <c r="Z433" s="532"/>
      <c r="AA433" s="530"/>
      <c r="AB433" s="525" t="str">
        <f t="shared" si="6"/>
        <v/>
      </c>
      <c r="AC433" s="525" t="str">
        <f t="shared" si="7"/>
        <v/>
      </c>
      <c r="AD433" s="525" t="str">
        <f t="shared" si="8"/>
        <v/>
      </c>
      <c r="AE433" s="525" t="str">
        <f t="shared" si="9"/>
        <v/>
      </c>
      <c r="AF433" s="525" t="str">
        <f t="shared" si="10"/>
        <v/>
      </c>
      <c r="AG433" s="525" t="str">
        <f t="shared" si="11"/>
        <v/>
      </c>
      <c r="AH433" s="525">
        <f>E433</f>
        <v>0</v>
      </c>
      <c r="AI433" s="525">
        <f>E434</f>
        <v>0</v>
      </c>
    </row>
    <row r="434" spans="1:35" x14ac:dyDescent="0.2">
      <c r="A434" s="531"/>
      <c r="B434" s="303"/>
      <c r="C434" s="303"/>
      <c r="D434" s="303"/>
      <c r="E434" s="303"/>
      <c r="F434" s="303"/>
      <c r="G434" s="303"/>
      <c r="H434" s="303"/>
      <c r="I434" s="303"/>
      <c r="J434" s="303"/>
      <c r="K434" s="303"/>
      <c r="L434" s="303"/>
      <c r="M434" s="303"/>
      <c r="N434" s="303"/>
      <c r="O434" s="303"/>
      <c r="P434" s="303"/>
      <c r="Q434" s="303"/>
      <c r="R434" s="303"/>
      <c r="S434" s="303"/>
      <c r="T434" s="303"/>
      <c r="U434" s="303"/>
      <c r="V434" s="303"/>
      <c r="W434" s="303"/>
      <c r="X434" s="303"/>
      <c r="Y434" s="303"/>
      <c r="Z434" s="532"/>
      <c r="AA434" s="530"/>
      <c r="AB434" s="525" t="str">
        <f t="shared" si="6"/>
        <v/>
      </c>
      <c r="AC434" s="525" t="str">
        <f t="shared" si="7"/>
        <v/>
      </c>
      <c r="AD434" s="525" t="str">
        <f t="shared" si="8"/>
        <v/>
      </c>
      <c r="AE434" s="525" t="str">
        <f t="shared" si="9"/>
        <v/>
      </c>
      <c r="AF434" s="525" t="str">
        <f t="shared" si="10"/>
        <v/>
      </c>
      <c r="AG434" s="525" t="str">
        <f t="shared" si="11"/>
        <v/>
      </c>
      <c r="AH434" s="525">
        <f>E433</f>
        <v>0</v>
      </c>
      <c r="AI434" s="525">
        <f>E434</f>
        <v>0</v>
      </c>
    </row>
    <row r="435" spans="1:35" x14ac:dyDescent="0.2">
      <c r="A435" s="531"/>
      <c r="B435" s="303"/>
      <c r="C435" s="303"/>
      <c r="D435" s="303"/>
      <c r="E435" s="303"/>
      <c r="F435" s="303"/>
      <c r="G435" s="303"/>
      <c r="H435" s="303"/>
      <c r="I435" s="303"/>
      <c r="J435" s="303"/>
      <c r="K435" s="303"/>
      <c r="L435" s="303"/>
      <c r="M435" s="303"/>
      <c r="N435" s="303"/>
      <c r="O435" s="303"/>
      <c r="P435" s="303"/>
      <c r="Q435" s="303"/>
      <c r="R435" s="303"/>
      <c r="S435" s="303"/>
      <c r="T435" s="303"/>
      <c r="U435" s="303"/>
      <c r="V435" s="303"/>
      <c r="W435" s="303"/>
      <c r="X435" s="303"/>
      <c r="Y435" s="303"/>
      <c r="Z435" s="532"/>
      <c r="AA435" s="530"/>
      <c r="AB435" s="525" t="str">
        <f t="shared" si="6"/>
        <v/>
      </c>
      <c r="AC435" s="525" t="str">
        <f t="shared" si="7"/>
        <v/>
      </c>
      <c r="AD435" s="525" t="str">
        <f t="shared" si="8"/>
        <v/>
      </c>
      <c r="AE435" s="525" t="str">
        <f t="shared" si="9"/>
        <v/>
      </c>
      <c r="AF435" s="525" t="str">
        <f t="shared" si="10"/>
        <v/>
      </c>
      <c r="AG435" s="525" t="str">
        <f t="shared" si="11"/>
        <v/>
      </c>
      <c r="AH435" s="525">
        <f>E436</f>
        <v>0</v>
      </c>
      <c r="AI435" s="525">
        <f>E437</f>
        <v>0</v>
      </c>
    </row>
    <row r="436" spans="1:35" x14ac:dyDescent="0.2">
      <c r="A436" s="531"/>
      <c r="B436" s="303"/>
      <c r="C436" s="303"/>
      <c r="D436" s="303"/>
      <c r="E436" s="303"/>
      <c r="F436" s="303"/>
      <c r="G436" s="303"/>
      <c r="H436" s="303"/>
      <c r="I436" s="303"/>
      <c r="J436" s="303"/>
      <c r="K436" s="303"/>
      <c r="L436" s="303"/>
      <c r="M436" s="303"/>
      <c r="N436" s="303"/>
      <c r="O436" s="303"/>
      <c r="P436" s="303"/>
      <c r="Q436" s="303"/>
      <c r="R436" s="303"/>
      <c r="S436" s="303"/>
      <c r="T436" s="303"/>
      <c r="U436" s="303"/>
      <c r="V436" s="303"/>
      <c r="W436" s="303"/>
      <c r="X436" s="303"/>
      <c r="Y436" s="303"/>
      <c r="Z436" s="532"/>
      <c r="AA436" s="530"/>
      <c r="AB436" s="525" t="str">
        <f t="shared" si="6"/>
        <v/>
      </c>
      <c r="AC436" s="525" t="str">
        <f t="shared" si="7"/>
        <v/>
      </c>
      <c r="AD436" s="525" t="str">
        <f t="shared" si="8"/>
        <v/>
      </c>
      <c r="AE436" s="525" t="str">
        <f t="shared" si="9"/>
        <v/>
      </c>
      <c r="AF436" s="525" t="str">
        <f t="shared" si="10"/>
        <v/>
      </c>
      <c r="AG436" s="525" t="str">
        <f t="shared" si="11"/>
        <v/>
      </c>
      <c r="AH436" s="525">
        <f>E436</f>
        <v>0</v>
      </c>
      <c r="AI436" s="525">
        <f>E437</f>
        <v>0</v>
      </c>
    </row>
    <row r="437" spans="1:35" x14ac:dyDescent="0.2">
      <c r="A437" s="531"/>
      <c r="B437" s="303"/>
      <c r="C437" s="303"/>
      <c r="D437" s="303"/>
      <c r="E437" s="303"/>
      <c r="F437" s="303"/>
      <c r="G437" s="303"/>
      <c r="H437" s="303"/>
      <c r="I437" s="303"/>
      <c r="J437" s="303"/>
      <c r="K437" s="303"/>
      <c r="L437" s="303"/>
      <c r="M437" s="303"/>
      <c r="N437" s="303"/>
      <c r="O437" s="303"/>
      <c r="P437" s="303"/>
      <c r="Q437" s="303"/>
      <c r="R437" s="303"/>
      <c r="S437" s="303"/>
      <c r="T437" s="303"/>
      <c r="U437" s="303"/>
      <c r="V437" s="303"/>
      <c r="W437" s="303"/>
      <c r="X437" s="303"/>
      <c r="Y437" s="303"/>
      <c r="Z437" s="532"/>
      <c r="AA437" s="530"/>
      <c r="AB437" s="525" t="str">
        <f t="shared" si="6"/>
        <v/>
      </c>
      <c r="AC437" s="525" t="str">
        <f t="shared" si="7"/>
        <v/>
      </c>
      <c r="AD437" s="525" t="str">
        <f t="shared" si="8"/>
        <v/>
      </c>
      <c r="AE437" s="525" t="str">
        <f t="shared" si="9"/>
        <v/>
      </c>
      <c r="AF437" s="525" t="str">
        <f t="shared" si="10"/>
        <v/>
      </c>
      <c r="AG437" s="525" t="str">
        <f t="shared" si="11"/>
        <v/>
      </c>
      <c r="AH437" s="525">
        <f>E436</f>
        <v>0</v>
      </c>
      <c r="AI437" s="525">
        <f>E437</f>
        <v>0</v>
      </c>
    </row>
    <row r="438" spans="1:35" x14ac:dyDescent="0.2">
      <c r="A438" s="531"/>
      <c r="B438" s="303"/>
      <c r="C438" s="303"/>
      <c r="D438" s="303"/>
      <c r="E438" s="303"/>
      <c r="F438" s="303"/>
      <c r="G438" s="303"/>
      <c r="H438" s="303"/>
      <c r="I438" s="303"/>
      <c r="J438" s="303"/>
      <c r="K438" s="303"/>
      <c r="L438" s="303"/>
      <c r="M438" s="303"/>
      <c r="N438" s="303"/>
      <c r="O438" s="303"/>
      <c r="P438" s="303"/>
      <c r="Q438" s="303"/>
      <c r="R438" s="303"/>
      <c r="S438" s="303"/>
      <c r="T438" s="303"/>
      <c r="U438" s="303"/>
      <c r="V438" s="303"/>
      <c r="W438" s="303"/>
      <c r="X438" s="303"/>
      <c r="Y438" s="303"/>
      <c r="Z438" s="532"/>
      <c r="AA438" s="530"/>
      <c r="AB438" s="525" t="str">
        <f t="shared" si="6"/>
        <v/>
      </c>
      <c r="AC438" s="525" t="str">
        <f t="shared" si="7"/>
        <v/>
      </c>
      <c r="AD438" s="525" t="str">
        <f t="shared" si="8"/>
        <v/>
      </c>
      <c r="AE438" s="525" t="str">
        <f t="shared" si="9"/>
        <v/>
      </c>
      <c r="AF438" s="525" t="str">
        <f t="shared" si="10"/>
        <v/>
      </c>
      <c r="AG438" s="525" t="str">
        <f t="shared" si="11"/>
        <v/>
      </c>
      <c r="AH438" s="525">
        <f>E439</f>
        <v>0</v>
      </c>
      <c r="AI438" s="525">
        <f>E440</f>
        <v>0</v>
      </c>
    </row>
    <row r="439" spans="1:35" x14ac:dyDescent="0.2">
      <c r="A439" s="531"/>
      <c r="B439" s="303"/>
      <c r="C439" s="303"/>
      <c r="D439" s="303"/>
      <c r="E439" s="303"/>
      <c r="F439" s="303"/>
      <c r="G439" s="303"/>
      <c r="H439" s="303"/>
      <c r="I439" s="303"/>
      <c r="J439" s="303"/>
      <c r="K439" s="303"/>
      <c r="L439" s="303"/>
      <c r="M439" s="303"/>
      <c r="N439" s="303"/>
      <c r="O439" s="303"/>
      <c r="P439" s="303"/>
      <c r="Q439" s="303"/>
      <c r="R439" s="303"/>
      <c r="S439" s="303"/>
      <c r="T439" s="303"/>
      <c r="U439" s="303"/>
      <c r="V439" s="303"/>
      <c r="W439" s="303"/>
      <c r="X439" s="303"/>
      <c r="Y439" s="303"/>
      <c r="Z439" s="532"/>
      <c r="AA439" s="530"/>
      <c r="AB439" s="525" t="str">
        <f t="shared" si="6"/>
        <v/>
      </c>
      <c r="AC439" s="525" t="str">
        <f t="shared" si="7"/>
        <v/>
      </c>
      <c r="AD439" s="525" t="str">
        <f t="shared" si="8"/>
        <v/>
      </c>
      <c r="AE439" s="525" t="str">
        <f t="shared" si="9"/>
        <v/>
      </c>
      <c r="AF439" s="525" t="str">
        <f t="shared" si="10"/>
        <v/>
      </c>
      <c r="AG439" s="525" t="str">
        <f t="shared" si="11"/>
        <v/>
      </c>
      <c r="AH439" s="525">
        <f>E439</f>
        <v>0</v>
      </c>
      <c r="AI439" s="525">
        <f>E440</f>
        <v>0</v>
      </c>
    </row>
    <row r="440" spans="1:35" x14ac:dyDescent="0.2">
      <c r="A440" s="531"/>
      <c r="B440" s="303"/>
      <c r="C440" s="303"/>
      <c r="D440" s="303"/>
      <c r="E440" s="303"/>
      <c r="F440" s="303"/>
      <c r="G440" s="303"/>
      <c r="H440" s="303"/>
      <c r="I440" s="303"/>
      <c r="J440" s="303"/>
      <c r="K440" s="303"/>
      <c r="L440" s="303"/>
      <c r="M440" s="303"/>
      <c r="N440" s="303"/>
      <c r="O440" s="303"/>
      <c r="P440" s="303"/>
      <c r="Q440" s="303"/>
      <c r="R440" s="303"/>
      <c r="S440" s="303"/>
      <c r="T440" s="303"/>
      <c r="U440" s="303"/>
      <c r="V440" s="303"/>
      <c r="W440" s="303"/>
      <c r="X440" s="303"/>
      <c r="Y440" s="303"/>
      <c r="Z440" s="532"/>
      <c r="AA440" s="530"/>
      <c r="AB440" s="525" t="str">
        <f t="shared" si="6"/>
        <v/>
      </c>
      <c r="AC440" s="525" t="str">
        <f t="shared" si="7"/>
        <v/>
      </c>
      <c r="AD440" s="525" t="str">
        <f t="shared" si="8"/>
        <v/>
      </c>
      <c r="AE440" s="525" t="str">
        <f t="shared" si="9"/>
        <v/>
      </c>
      <c r="AF440" s="525" t="str">
        <f t="shared" si="10"/>
        <v/>
      </c>
      <c r="AG440" s="525" t="str">
        <f t="shared" si="11"/>
        <v/>
      </c>
      <c r="AH440" s="525">
        <f>E439</f>
        <v>0</v>
      </c>
      <c r="AI440" s="525">
        <f>E440</f>
        <v>0</v>
      </c>
    </row>
    <row r="441" spans="1:35" x14ac:dyDescent="0.2">
      <c r="A441" s="531"/>
      <c r="B441" s="303"/>
      <c r="C441" s="303"/>
      <c r="D441" s="303"/>
      <c r="E441" s="303"/>
      <c r="F441" s="303"/>
      <c r="G441" s="303"/>
      <c r="H441" s="303"/>
      <c r="I441" s="303"/>
      <c r="J441" s="303"/>
      <c r="K441" s="303"/>
      <c r="L441" s="303"/>
      <c r="M441" s="303"/>
      <c r="N441" s="303"/>
      <c r="O441" s="303"/>
      <c r="P441" s="303"/>
      <c r="Q441" s="303"/>
      <c r="R441" s="303"/>
      <c r="S441" s="303"/>
      <c r="T441" s="303"/>
      <c r="U441" s="303"/>
      <c r="V441" s="303"/>
      <c r="W441" s="303"/>
      <c r="X441" s="303"/>
      <c r="Y441" s="303"/>
      <c r="Z441" s="532"/>
      <c r="AA441" s="530"/>
      <c r="AB441" s="525" t="str">
        <f t="shared" si="6"/>
        <v/>
      </c>
      <c r="AC441" s="525" t="str">
        <f t="shared" si="7"/>
        <v/>
      </c>
      <c r="AD441" s="525" t="str">
        <f t="shared" si="8"/>
        <v/>
      </c>
      <c r="AE441" s="525" t="str">
        <f t="shared" si="9"/>
        <v/>
      </c>
      <c r="AF441" s="525" t="str">
        <f t="shared" si="10"/>
        <v/>
      </c>
      <c r="AG441" s="525" t="str">
        <f t="shared" si="11"/>
        <v/>
      </c>
      <c r="AH441" s="525">
        <f>E442</f>
        <v>0</v>
      </c>
      <c r="AI441" s="525">
        <f>E443</f>
        <v>0</v>
      </c>
    </row>
    <row r="442" spans="1:35" x14ac:dyDescent="0.2">
      <c r="A442" s="531"/>
      <c r="B442" s="303"/>
      <c r="C442" s="303"/>
      <c r="D442" s="303"/>
      <c r="E442" s="303"/>
      <c r="F442" s="303"/>
      <c r="G442" s="303"/>
      <c r="H442" s="303"/>
      <c r="I442" s="303"/>
      <c r="J442" s="303"/>
      <c r="K442" s="303"/>
      <c r="L442" s="303"/>
      <c r="M442" s="303"/>
      <c r="N442" s="303"/>
      <c r="O442" s="303"/>
      <c r="P442" s="303"/>
      <c r="Q442" s="303"/>
      <c r="R442" s="303"/>
      <c r="S442" s="303"/>
      <c r="T442" s="303"/>
      <c r="U442" s="303"/>
      <c r="V442" s="303"/>
      <c r="W442" s="303"/>
      <c r="X442" s="303"/>
      <c r="Y442" s="303"/>
      <c r="Z442" s="532"/>
      <c r="AA442" s="530"/>
      <c r="AB442" s="525" t="str">
        <f t="shared" si="6"/>
        <v/>
      </c>
      <c r="AC442" s="525" t="str">
        <f t="shared" si="7"/>
        <v/>
      </c>
      <c r="AD442" s="525" t="str">
        <f t="shared" si="8"/>
        <v/>
      </c>
      <c r="AE442" s="525" t="str">
        <f t="shared" si="9"/>
        <v/>
      </c>
      <c r="AF442" s="525" t="str">
        <f t="shared" si="10"/>
        <v/>
      </c>
      <c r="AG442" s="525" t="str">
        <f t="shared" si="11"/>
        <v/>
      </c>
      <c r="AH442" s="525">
        <f>E442</f>
        <v>0</v>
      </c>
      <c r="AI442" s="525">
        <f>E443</f>
        <v>0</v>
      </c>
    </row>
    <row r="443" spans="1:35" x14ac:dyDescent="0.2">
      <c r="A443" s="531"/>
      <c r="B443" s="303"/>
      <c r="C443" s="303"/>
      <c r="D443" s="303"/>
      <c r="E443" s="303"/>
      <c r="F443" s="303"/>
      <c r="G443" s="303"/>
      <c r="H443" s="303"/>
      <c r="I443" s="303"/>
      <c r="J443" s="303"/>
      <c r="K443" s="303"/>
      <c r="L443" s="303"/>
      <c r="M443" s="303"/>
      <c r="N443" s="303"/>
      <c r="O443" s="303"/>
      <c r="P443" s="303"/>
      <c r="Q443" s="303"/>
      <c r="R443" s="303"/>
      <c r="S443" s="303"/>
      <c r="T443" s="303"/>
      <c r="U443" s="303"/>
      <c r="V443" s="303"/>
      <c r="W443" s="303"/>
      <c r="X443" s="303"/>
      <c r="Y443" s="303"/>
      <c r="Z443" s="532"/>
      <c r="AA443" s="530"/>
      <c r="AB443" s="525" t="str">
        <f t="shared" si="6"/>
        <v/>
      </c>
      <c r="AC443" s="525" t="str">
        <f t="shared" si="7"/>
        <v/>
      </c>
      <c r="AD443" s="525" t="str">
        <f t="shared" si="8"/>
        <v/>
      </c>
      <c r="AE443" s="525" t="str">
        <f t="shared" si="9"/>
        <v/>
      </c>
      <c r="AF443" s="525" t="str">
        <f t="shared" si="10"/>
        <v/>
      </c>
      <c r="AG443" s="525" t="str">
        <f t="shared" si="11"/>
        <v/>
      </c>
      <c r="AH443" s="525">
        <f>E442</f>
        <v>0</v>
      </c>
      <c r="AI443" s="525">
        <f>E443</f>
        <v>0</v>
      </c>
    </row>
    <row r="444" spans="1:35" x14ac:dyDescent="0.2">
      <c r="A444" s="531"/>
      <c r="B444" s="303"/>
      <c r="C444" s="303"/>
      <c r="D444" s="303"/>
      <c r="E444" s="303"/>
      <c r="F444" s="303"/>
      <c r="G444" s="303"/>
      <c r="H444" s="303"/>
      <c r="I444" s="303"/>
      <c r="J444" s="303"/>
      <c r="K444" s="303"/>
      <c r="L444" s="303"/>
      <c r="M444" s="303"/>
      <c r="N444" s="303"/>
      <c r="O444" s="303"/>
      <c r="P444" s="303"/>
      <c r="Q444" s="303"/>
      <c r="R444" s="303"/>
      <c r="S444" s="303"/>
      <c r="T444" s="303"/>
      <c r="U444" s="303"/>
      <c r="V444" s="303"/>
      <c r="W444" s="303"/>
      <c r="X444" s="303"/>
      <c r="Y444" s="303"/>
      <c r="Z444" s="532"/>
      <c r="AA444" s="530"/>
      <c r="AB444" s="525" t="str">
        <f t="shared" si="6"/>
        <v/>
      </c>
      <c r="AC444" s="525" t="str">
        <f t="shared" si="7"/>
        <v/>
      </c>
      <c r="AD444" s="525" t="str">
        <f t="shared" si="8"/>
        <v/>
      </c>
      <c r="AE444" s="525" t="str">
        <f t="shared" si="9"/>
        <v/>
      </c>
      <c r="AF444" s="525" t="str">
        <f t="shared" si="10"/>
        <v/>
      </c>
      <c r="AG444" s="525" t="str">
        <f t="shared" si="11"/>
        <v/>
      </c>
      <c r="AH444" s="525">
        <f>E445</f>
        <v>0</v>
      </c>
      <c r="AI444" s="525">
        <f>E446</f>
        <v>0</v>
      </c>
    </row>
    <row r="445" spans="1:35" x14ac:dyDescent="0.2">
      <c r="A445" s="531"/>
      <c r="B445" s="303"/>
      <c r="C445" s="303"/>
      <c r="D445" s="303"/>
      <c r="E445" s="303"/>
      <c r="F445" s="303"/>
      <c r="G445" s="303"/>
      <c r="H445" s="303"/>
      <c r="I445" s="303"/>
      <c r="J445" s="303"/>
      <c r="K445" s="303"/>
      <c r="L445" s="303"/>
      <c r="M445" s="303"/>
      <c r="N445" s="303"/>
      <c r="O445" s="303"/>
      <c r="P445" s="303"/>
      <c r="Q445" s="303"/>
      <c r="R445" s="303"/>
      <c r="S445" s="303"/>
      <c r="T445" s="303"/>
      <c r="U445" s="303"/>
      <c r="V445" s="303"/>
      <c r="W445" s="303"/>
      <c r="X445" s="303"/>
      <c r="Y445" s="303"/>
      <c r="Z445" s="532"/>
      <c r="AA445" s="530"/>
      <c r="AB445" s="525" t="str">
        <f t="shared" si="6"/>
        <v/>
      </c>
      <c r="AC445" s="525" t="str">
        <f t="shared" si="7"/>
        <v/>
      </c>
      <c r="AD445" s="525" t="str">
        <f t="shared" si="8"/>
        <v/>
      </c>
      <c r="AE445" s="525" t="str">
        <f t="shared" si="9"/>
        <v/>
      </c>
      <c r="AF445" s="525" t="str">
        <f t="shared" si="10"/>
        <v/>
      </c>
      <c r="AG445" s="525" t="str">
        <f t="shared" si="11"/>
        <v/>
      </c>
      <c r="AH445" s="525">
        <f>E445</f>
        <v>0</v>
      </c>
      <c r="AI445" s="525">
        <f>E446</f>
        <v>0</v>
      </c>
    </row>
    <row r="446" spans="1:35" x14ac:dyDescent="0.2">
      <c r="A446" s="531"/>
      <c r="B446" s="303"/>
      <c r="C446" s="303"/>
      <c r="D446" s="303"/>
      <c r="E446" s="303"/>
      <c r="F446" s="303"/>
      <c r="G446" s="303"/>
      <c r="H446" s="303"/>
      <c r="I446" s="303"/>
      <c r="J446" s="303"/>
      <c r="K446" s="303"/>
      <c r="L446" s="303"/>
      <c r="M446" s="303"/>
      <c r="N446" s="303"/>
      <c r="O446" s="303"/>
      <c r="P446" s="303"/>
      <c r="Q446" s="303"/>
      <c r="R446" s="303"/>
      <c r="S446" s="303"/>
      <c r="T446" s="303"/>
      <c r="U446" s="303"/>
      <c r="V446" s="303"/>
      <c r="W446" s="303"/>
      <c r="X446" s="303"/>
      <c r="Y446" s="303"/>
      <c r="Z446" s="532"/>
      <c r="AA446" s="530"/>
      <c r="AB446" s="525" t="str">
        <f t="shared" si="6"/>
        <v/>
      </c>
      <c r="AC446" s="525" t="str">
        <f t="shared" si="7"/>
        <v/>
      </c>
      <c r="AD446" s="525" t="str">
        <f t="shared" si="8"/>
        <v/>
      </c>
      <c r="AE446" s="525" t="str">
        <f t="shared" si="9"/>
        <v/>
      </c>
      <c r="AF446" s="525" t="str">
        <f t="shared" si="10"/>
        <v/>
      </c>
      <c r="AG446" s="525" t="str">
        <f t="shared" si="11"/>
        <v/>
      </c>
      <c r="AH446" s="525">
        <f>E445</f>
        <v>0</v>
      </c>
      <c r="AI446" s="525">
        <f>E446</f>
        <v>0</v>
      </c>
    </row>
    <row r="447" spans="1:35" x14ac:dyDescent="0.2">
      <c r="A447" s="531"/>
      <c r="B447" s="303"/>
      <c r="C447" s="303"/>
      <c r="D447" s="303"/>
      <c r="E447" s="303"/>
      <c r="F447" s="303"/>
      <c r="G447" s="303"/>
      <c r="H447" s="303"/>
      <c r="I447" s="303"/>
      <c r="J447" s="303"/>
      <c r="K447" s="303"/>
      <c r="L447" s="303"/>
      <c r="M447" s="303"/>
      <c r="N447" s="303"/>
      <c r="O447" s="303"/>
      <c r="P447" s="303"/>
      <c r="Q447" s="303"/>
      <c r="R447" s="303"/>
      <c r="S447" s="303"/>
      <c r="T447" s="303"/>
      <c r="U447" s="303"/>
      <c r="V447" s="303"/>
      <c r="W447" s="303"/>
      <c r="X447" s="303"/>
      <c r="Y447" s="303"/>
      <c r="Z447" s="532"/>
      <c r="AA447" s="530"/>
      <c r="AB447" s="525" t="str">
        <f t="shared" si="6"/>
        <v/>
      </c>
      <c r="AC447" s="525" t="str">
        <f t="shared" si="7"/>
        <v/>
      </c>
      <c r="AD447" s="525" t="str">
        <f t="shared" si="8"/>
        <v/>
      </c>
      <c r="AE447" s="525" t="str">
        <f t="shared" si="9"/>
        <v/>
      </c>
      <c r="AF447" s="525" t="str">
        <f t="shared" si="10"/>
        <v/>
      </c>
      <c r="AG447" s="525" t="str">
        <f t="shared" si="11"/>
        <v/>
      </c>
      <c r="AH447" s="525">
        <f>E448</f>
        <v>0</v>
      </c>
      <c r="AI447" s="525">
        <f>E449</f>
        <v>0</v>
      </c>
    </row>
    <row r="448" spans="1:35" x14ac:dyDescent="0.2">
      <c r="A448" s="531"/>
      <c r="B448" s="303"/>
      <c r="C448" s="303"/>
      <c r="D448" s="303"/>
      <c r="E448" s="303"/>
      <c r="F448" s="303"/>
      <c r="G448" s="303"/>
      <c r="H448" s="303"/>
      <c r="I448" s="303"/>
      <c r="J448" s="303"/>
      <c r="K448" s="303"/>
      <c r="L448" s="303"/>
      <c r="M448" s="303"/>
      <c r="N448" s="303"/>
      <c r="O448" s="303"/>
      <c r="P448" s="303"/>
      <c r="Q448" s="303"/>
      <c r="R448" s="303"/>
      <c r="S448" s="303"/>
      <c r="T448" s="303"/>
      <c r="U448" s="303"/>
      <c r="V448" s="303"/>
      <c r="W448" s="303"/>
      <c r="X448" s="303"/>
      <c r="Y448" s="303"/>
      <c r="Z448" s="532"/>
      <c r="AA448" s="530"/>
      <c r="AB448" s="525" t="str">
        <f t="shared" si="6"/>
        <v/>
      </c>
      <c r="AC448" s="525" t="str">
        <f t="shared" si="7"/>
        <v/>
      </c>
      <c r="AD448" s="525" t="str">
        <f t="shared" si="8"/>
        <v/>
      </c>
      <c r="AE448" s="525" t="str">
        <f t="shared" si="9"/>
        <v/>
      </c>
      <c r="AF448" s="525" t="str">
        <f t="shared" si="10"/>
        <v/>
      </c>
      <c r="AG448" s="525" t="str">
        <f t="shared" si="11"/>
        <v/>
      </c>
      <c r="AH448" s="525">
        <f>E448</f>
        <v>0</v>
      </c>
      <c r="AI448" s="525">
        <f>E449</f>
        <v>0</v>
      </c>
    </row>
    <row r="449" spans="1:35" x14ac:dyDescent="0.2">
      <c r="A449" s="531"/>
      <c r="B449" s="303"/>
      <c r="C449" s="303"/>
      <c r="D449" s="303"/>
      <c r="E449" s="303"/>
      <c r="F449" s="303"/>
      <c r="G449" s="303"/>
      <c r="H449" s="303"/>
      <c r="I449" s="303"/>
      <c r="J449" s="303"/>
      <c r="K449" s="303"/>
      <c r="L449" s="303"/>
      <c r="M449" s="303"/>
      <c r="N449" s="303"/>
      <c r="O449" s="303"/>
      <c r="P449" s="303"/>
      <c r="Q449" s="303"/>
      <c r="R449" s="303"/>
      <c r="S449" s="303"/>
      <c r="T449" s="303"/>
      <c r="U449" s="303"/>
      <c r="V449" s="303"/>
      <c r="W449" s="303"/>
      <c r="X449" s="303"/>
      <c r="Y449" s="303"/>
      <c r="Z449" s="532"/>
      <c r="AA449" s="530"/>
      <c r="AB449" s="525" t="str">
        <f t="shared" si="6"/>
        <v/>
      </c>
      <c r="AC449" s="525" t="str">
        <f t="shared" si="7"/>
        <v/>
      </c>
      <c r="AD449" s="525" t="str">
        <f t="shared" si="8"/>
        <v/>
      </c>
      <c r="AE449" s="525" t="str">
        <f t="shared" si="9"/>
        <v/>
      </c>
      <c r="AF449" s="525" t="str">
        <f t="shared" si="10"/>
        <v/>
      </c>
      <c r="AG449" s="525" t="str">
        <f t="shared" si="11"/>
        <v/>
      </c>
      <c r="AH449" s="525">
        <f>E448</f>
        <v>0</v>
      </c>
      <c r="AI449" s="525">
        <f>E449</f>
        <v>0</v>
      </c>
    </row>
    <row r="450" spans="1:35" x14ac:dyDescent="0.2">
      <c r="A450" s="531"/>
      <c r="B450" s="303"/>
      <c r="C450" s="303"/>
      <c r="D450" s="303"/>
      <c r="E450" s="303"/>
      <c r="F450" s="303"/>
      <c r="G450" s="303"/>
      <c r="H450" s="303"/>
      <c r="I450" s="303"/>
      <c r="J450" s="303"/>
      <c r="K450" s="303"/>
      <c r="L450" s="303"/>
      <c r="M450" s="303"/>
      <c r="N450" s="303"/>
      <c r="O450" s="303"/>
      <c r="P450" s="303"/>
      <c r="Q450" s="303"/>
      <c r="R450" s="303"/>
      <c r="S450" s="303"/>
      <c r="T450" s="303"/>
      <c r="U450" s="303"/>
      <c r="V450" s="303"/>
      <c r="W450" s="303"/>
      <c r="X450" s="303"/>
      <c r="Y450" s="303"/>
      <c r="Z450" s="532"/>
      <c r="AA450" s="530"/>
      <c r="AB450" s="525" t="str">
        <f t="shared" si="6"/>
        <v/>
      </c>
      <c r="AC450" s="525" t="str">
        <f t="shared" si="7"/>
        <v/>
      </c>
      <c r="AD450" s="525" t="str">
        <f t="shared" si="8"/>
        <v/>
      </c>
      <c r="AE450" s="525" t="str">
        <f t="shared" si="9"/>
        <v/>
      </c>
      <c r="AF450" s="525" t="str">
        <f t="shared" si="10"/>
        <v/>
      </c>
      <c r="AG450" s="525" t="str">
        <f t="shared" si="11"/>
        <v/>
      </c>
      <c r="AH450" s="525">
        <f>E451</f>
        <v>0</v>
      </c>
      <c r="AI450" s="525">
        <f>E452</f>
        <v>0</v>
      </c>
    </row>
    <row r="451" spans="1:35" x14ac:dyDescent="0.2">
      <c r="A451" s="531"/>
      <c r="B451" s="303"/>
      <c r="C451" s="303"/>
      <c r="D451" s="303"/>
      <c r="E451" s="303"/>
      <c r="F451" s="303"/>
      <c r="G451" s="303"/>
      <c r="H451" s="303"/>
      <c r="I451" s="303"/>
      <c r="J451" s="303"/>
      <c r="K451" s="303"/>
      <c r="L451" s="303"/>
      <c r="M451" s="303"/>
      <c r="N451" s="303"/>
      <c r="O451" s="303"/>
      <c r="P451" s="303"/>
      <c r="Q451" s="303"/>
      <c r="R451" s="303"/>
      <c r="S451" s="303"/>
      <c r="T451" s="303"/>
      <c r="U451" s="303"/>
      <c r="V451" s="303"/>
      <c r="W451" s="303"/>
      <c r="X451" s="303"/>
      <c r="Y451" s="303"/>
      <c r="Z451" s="532"/>
      <c r="AA451" s="530"/>
      <c r="AB451" s="525" t="str">
        <f t="shared" si="6"/>
        <v/>
      </c>
      <c r="AC451" s="525" t="str">
        <f t="shared" si="7"/>
        <v/>
      </c>
      <c r="AD451" s="525" t="str">
        <f t="shared" si="8"/>
        <v/>
      </c>
      <c r="AE451" s="525" t="str">
        <f t="shared" si="9"/>
        <v/>
      </c>
      <c r="AF451" s="525" t="str">
        <f t="shared" si="10"/>
        <v/>
      </c>
      <c r="AG451" s="525" t="str">
        <f t="shared" si="11"/>
        <v/>
      </c>
      <c r="AH451" s="525">
        <f>E451</f>
        <v>0</v>
      </c>
      <c r="AI451" s="525">
        <f>E452</f>
        <v>0</v>
      </c>
    </row>
    <row r="452" spans="1:35" x14ac:dyDescent="0.2">
      <c r="A452" s="531"/>
      <c r="B452" s="303"/>
      <c r="C452" s="303"/>
      <c r="D452" s="303"/>
      <c r="E452" s="303"/>
      <c r="F452" s="303"/>
      <c r="G452" s="303"/>
      <c r="H452" s="303"/>
      <c r="I452" s="303"/>
      <c r="J452" s="303"/>
      <c r="K452" s="303"/>
      <c r="L452" s="303"/>
      <c r="M452" s="303"/>
      <c r="N452" s="303"/>
      <c r="O452" s="303"/>
      <c r="P452" s="303"/>
      <c r="Q452" s="303"/>
      <c r="R452" s="303"/>
      <c r="S452" s="303"/>
      <c r="T452" s="303"/>
      <c r="U452" s="303"/>
      <c r="V452" s="303"/>
      <c r="W452" s="303"/>
      <c r="X452" s="303"/>
      <c r="Y452" s="303"/>
      <c r="Z452" s="532"/>
      <c r="AA452" s="530"/>
      <c r="AB452" s="525" t="str">
        <f t="shared" si="6"/>
        <v/>
      </c>
      <c r="AC452" s="525" t="str">
        <f t="shared" si="7"/>
        <v/>
      </c>
      <c r="AD452" s="525" t="str">
        <f t="shared" si="8"/>
        <v/>
      </c>
      <c r="AE452" s="525" t="str">
        <f t="shared" si="9"/>
        <v/>
      </c>
      <c r="AF452" s="525" t="str">
        <f t="shared" si="10"/>
        <v/>
      </c>
      <c r="AG452" s="525" t="str">
        <f t="shared" si="11"/>
        <v/>
      </c>
      <c r="AH452" s="525">
        <f>E451</f>
        <v>0</v>
      </c>
      <c r="AI452" s="525">
        <f>E452</f>
        <v>0</v>
      </c>
    </row>
    <row r="453" spans="1:35" x14ac:dyDescent="0.2">
      <c r="A453" s="531"/>
      <c r="B453" s="303"/>
      <c r="C453" s="303"/>
      <c r="D453" s="303"/>
      <c r="E453" s="303"/>
      <c r="F453" s="303"/>
      <c r="G453" s="303"/>
      <c r="H453" s="303"/>
      <c r="I453" s="303"/>
      <c r="J453" s="303"/>
      <c r="K453" s="303"/>
      <c r="L453" s="303"/>
      <c r="M453" s="303"/>
      <c r="N453" s="303"/>
      <c r="O453" s="303"/>
      <c r="P453" s="303"/>
      <c r="Q453" s="303"/>
      <c r="R453" s="303"/>
      <c r="S453" s="303"/>
      <c r="T453" s="303"/>
      <c r="U453" s="303"/>
      <c r="V453" s="303"/>
      <c r="W453" s="303"/>
      <c r="X453" s="303"/>
      <c r="Y453" s="303"/>
      <c r="Z453" s="532"/>
      <c r="AA453" s="530"/>
      <c r="AB453" s="525" t="str">
        <f t="shared" si="6"/>
        <v/>
      </c>
      <c r="AC453" s="525" t="str">
        <f t="shared" si="7"/>
        <v/>
      </c>
      <c r="AD453" s="525" t="str">
        <f t="shared" si="8"/>
        <v/>
      </c>
      <c r="AE453" s="525" t="str">
        <f t="shared" si="9"/>
        <v/>
      </c>
      <c r="AF453" s="525" t="str">
        <f t="shared" si="10"/>
        <v/>
      </c>
      <c r="AG453" s="525" t="str">
        <f t="shared" si="11"/>
        <v/>
      </c>
      <c r="AH453" s="525">
        <f>E454</f>
        <v>0</v>
      </c>
      <c r="AI453" s="525">
        <f>E455</f>
        <v>0</v>
      </c>
    </row>
    <row r="454" spans="1:35" x14ac:dyDescent="0.2">
      <c r="A454" s="531"/>
      <c r="B454" s="303"/>
      <c r="C454" s="303"/>
      <c r="D454" s="303"/>
      <c r="E454" s="303"/>
      <c r="F454" s="303"/>
      <c r="G454" s="303"/>
      <c r="H454" s="303"/>
      <c r="I454" s="303"/>
      <c r="J454" s="303"/>
      <c r="K454" s="303"/>
      <c r="L454" s="303"/>
      <c r="M454" s="303"/>
      <c r="N454" s="303"/>
      <c r="O454" s="303"/>
      <c r="P454" s="303"/>
      <c r="Q454" s="303"/>
      <c r="R454" s="303"/>
      <c r="S454" s="303"/>
      <c r="T454" s="303"/>
      <c r="U454" s="303"/>
      <c r="V454" s="303"/>
      <c r="W454" s="303"/>
      <c r="X454" s="303"/>
      <c r="Y454" s="303"/>
      <c r="Z454" s="532"/>
      <c r="AA454" s="530"/>
      <c r="AB454" s="525" t="str">
        <f t="shared" si="6"/>
        <v/>
      </c>
      <c r="AC454" s="525" t="str">
        <f t="shared" si="7"/>
        <v/>
      </c>
      <c r="AD454" s="525" t="str">
        <f t="shared" si="8"/>
        <v/>
      </c>
      <c r="AE454" s="525" t="str">
        <f t="shared" si="9"/>
        <v/>
      </c>
      <c r="AF454" s="525" t="str">
        <f t="shared" si="10"/>
        <v/>
      </c>
      <c r="AG454" s="525" t="str">
        <f t="shared" si="11"/>
        <v/>
      </c>
      <c r="AH454" s="525">
        <f>E454</f>
        <v>0</v>
      </c>
      <c r="AI454" s="525">
        <f>E455</f>
        <v>0</v>
      </c>
    </row>
    <row r="455" spans="1:35" x14ac:dyDescent="0.2">
      <c r="A455" s="531"/>
      <c r="B455" s="303"/>
      <c r="C455" s="303"/>
      <c r="D455" s="303"/>
      <c r="E455" s="303"/>
      <c r="F455" s="303"/>
      <c r="G455" s="303"/>
      <c r="H455" s="303"/>
      <c r="I455" s="303"/>
      <c r="J455" s="303"/>
      <c r="K455" s="303"/>
      <c r="L455" s="303"/>
      <c r="M455" s="303"/>
      <c r="N455" s="303"/>
      <c r="O455" s="303"/>
      <c r="P455" s="303"/>
      <c r="Q455" s="303"/>
      <c r="R455" s="303"/>
      <c r="S455" s="303"/>
      <c r="T455" s="303"/>
      <c r="U455" s="303"/>
      <c r="V455" s="303"/>
      <c r="W455" s="303"/>
      <c r="X455" s="303"/>
      <c r="Y455" s="303"/>
      <c r="Z455" s="532"/>
      <c r="AA455" s="530"/>
      <c r="AB455" s="525" t="str">
        <f t="shared" si="6"/>
        <v/>
      </c>
      <c r="AC455" s="525" t="str">
        <f t="shared" si="7"/>
        <v/>
      </c>
      <c r="AD455" s="525" t="str">
        <f t="shared" si="8"/>
        <v/>
      </c>
      <c r="AE455" s="525" t="str">
        <f t="shared" si="9"/>
        <v/>
      </c>
      <c r="AF455" s="525" t="str">
        <f t="shared" si="10"/>
        <v/>
      </c>
      <c r="AG455" s="525" t="str">
        <f t="shared" si="11"/>
        <v/>
      </c>
      <c r="AH455" s="525">
        <f>E454</f>
        <v>0</v>
      </c>
      <c r="AI455" s="525">
        <f>E455</f>
        <v>0</v>
      </c>
    </row>
    <row r="456" spans="1:35" x14ac:dyDescent="0.2">
      <c r="A456" s="531"/>
      <c r="B456" s="303"/>
      <c r="C456" s="303"/>
      <c r="D456" s="303"/>
      <c r="E456" s="303"/>
      <c r="F456" s="303"/>
      <c r="G456" s="303"/>
      <c r="H456" s="303"/>
      <c r="I456" s="303"/>
      <c r="J456" s="303"/>
      <c r="K456" s="303"/>
      <c r="L456" s="303"/>
      <c r="M456" s="303"/>
      <c r="N456" s="303"/>
      <c r="O456" s="303"/>
      <c r="P456" s="303"/>
      <c r="Q456" s="303"/>
      <c r="R456" s="303"/>
      <c r="S456" s="303"/>
      <c r="T456" s="303"/>
      <c r="U456" s="303"/>
      <c r="V456" s="303"/>
      <c r="W456" s="303"/>
      <c r="X456" s="303"/>
      <c r="Y456" s="303"/>
      <c r="Z456" s="532"/>
      <c r="AA456" s="530"/>
      <c r="AB456" s="525" t="str">
        <f t="shared" si="6"/>
        <v/>
      </c>
      <c r="AC456" s="525" t="str">
        <f t="shared" si="7"/>
        <v/>
      </c>
      <c r="AD456" s="525" t="str">
        <f t="shared" si="8"/>
        <v/>
      </c>
      <c r="AE456" s="525" t="str">
        <f t="shared" si="9"/>
        <v/>
      </c>
      <c r="AF456" s="525" t="str">
        <f t="shared" si="10"/>
        <v/>
      </c>
      <c r="AG456" s="525" t="str">
        <f t="shared" si="11"/>
        <v/>
      </c>
      <c r="AH456" s="525">
        <f>E457</f>
        <v>0</v>
      </c>
      <c r="AI456" s="525">
        <f>E458</f>
        <v>0</v>
      </c>
    </row>
    <row r="457" spans="1:35" x14ac:dyDescent="0.2">
      <c r="A457" s="531"/>
      <c r="B457" s="303"/>
      <c r="C457" s="303"/>
      <c r="D457" s="303"/>
      <c r="E457" s="303"/>
      <c r="F457" s="303"/>
      <c r="G457" s="303"/>
      <c r="H457" s="303"/>
      <c r="I457" s="303"/>
      <c r="J457" s="303"/>
      <c r="K457" s="303"/>
      <c r="L457" s="303"/>
      <c r="M457" s="303"/>
      <c r="N457" s="303"/>
      <c r="O457" s="303"/>
      <c r="P457" s="303"/>
      <c r="Q457" s="303"/>
      <c r="R457" s="303"/>
      <c r="S457" s="303"/>
      <c r="T457" s="303"/>
      <c r="U457" s="303"/>
      <c r="V457" s="303"/>
      <c r="W457" s="303"/>
      <c r="X457" s="303"/>
      <c r="Y457" s="303"/>
      <c r="Z457" s="532"/>
      <c r="AA457" s="530"/>
      <c r="AB457" s="525" t="str">
        <f t="shared" si="6"/>
        <v/>
      </c>
      <c r="AC457" s="525" t="str">
        <f t="shared" si="7"/>
        <v/>
      </c>
      <c r="AD457" s="525" t="str">
        <f t="shared" si="8"/>
        <v/>
      </c>
      <c r="AE457" s="525" t="str">
        <f t="shared" si="9"/>
        <v/>
      </c>
      <c r="AF457" s="525" t="str">
        <f t="shared" si="10"/>
        <v/>
      </c>
      <c r="AG457" s="525" t="str">
        <f t="shared" si="11"/>
        <v/>
      </c>
      <c r="AH457" s="525">
        <f>E457</f>
        <v>0</v>
      </c>
      <c r="AI457" s="525">
        <f>E458</f>
        <v>0</v>
      </c>
    </row>
    <row r="458" spans="1:35" x14ac:dyDescent="0.2">
      <c r="A458" s="531"/>
      <c r="B458" s="303"/>
      <c r="C458" s="303"/>
      <c r="D458" s="303"/>
      <c r="E458" s="303"/>
      <c r="F458" s="303"/>
      <c r="G458" s="303"/>
      <c r="H458" s="303"/>
      <c r="I458" s="303"/>
      <c r="J458" s="303"/>
      <c r="K458" s="303"/>
      <c r="L458" s="303"/>
      <c r="M458" s="303"/>
      <c r="N458" s="303"/>
      <c r="O458" s="303"/>
      <c r="P458" s="303"/>
      <c r="Q458" s="303"/>
      <c r="R458" s="303"/>
      <c r="S458" s="303"/>
      <c r="T458" s="303"/>
      <c r="U458" s="303"/>
      <c r="V458" s="303"/>
      <c r="W458" s="303"/>
      <c r="X458" s="303"/>
      <c r="Y458" s="303"/>
      <c r="Z458" s="532"/>
      <c r="AA458" s="530"/>
      <c r="AB458" s="525" t="str">
        <f t="shared" si="6"/>
        <v/>
      </c>
      <c r="AC458" s="525" t="str">
        <f t="shared" si="7"/>
        <v/>
      </c>
      <c r="AD458" s="525" t="str">
        <f t="shared" si="8"/>
        <v/>
      </c>
      <c r="AE458" s="525" t="str">
        <f t="shared" si="9"/>
        <v/>
      </c>
      <c r="AF458" s="525" t="str">
        <f t="shared" si="10"/>
        <v/>
      </c>
      <c r="AG458" s="525" t="str">
        <f t="shared" si="11"/>
        <v/>
      </c>
      <c r="AH458" s="525">
        <f>E457</f>
        <v>0</v>
      </c>
      <c r="AI458" s="525">
        <f>E458</f>
        <v>0</v>
      </c>
    </row>
    <row r="459" spans="1:35" x14ac:dyDescent="0.2">
      <c r="A459" s="531"/>
      <c r="B459" s="303"/>
      <c r="C459" s="303"/>
      <c r="D459" s="303"/>
      <c r="E459" s="303"/>
      <c r="F459" s="303"/>
      <c r="G459" s="303"/>
      <c r="H459" s="303"/>
      <c r="I459" s="303"/>
      <c r="J459" s="303"/>
      <c r="K459" s="303"/>
      <c r="L459" s="303"/>
      <c r="M459" s="303"/>
      <c r="N459" s="303"/>
      <c r="O459" s="303"/>
      <c r="P459" s="303"/>
      <c r="Q459" s="303"/>
      <c r="R459" s="303"/>
      <c r="S459" s="303"/>
      <c r="T459" s="303"/>
      <c r="U459" s="303"/>
      <c r="V459" s="303"/>
      <c r="W459" s="303"/>
      <c r="X459" s="303"/>
      <c r="Y459" s="303"/>
      <c r="Z459" s="532"/>
      <c r="AA459" s="530"/>
      <c r="AB459" s="525" t="str">
        <f t="shared" si="6"/>
        <v/>
      </c>
      <c r="AC459" s="525" t="str">
        <f t="shared" si="7"/>
        <v/>
      </c>
      <c r="AD459" s="525" t="str">
        <f t="shared" si="8"/>
        <v/>
      </c>
      <c r="AE459" s="525" t="str">
        <f t="shared" si="9"/>
        <v/>
      </c>
      <c r="AF459" s="525" t="str">
        <f t="shared" si="10"/>
        <v/>
      </c>
      <c r="AG459" s="525" t="str">
        <f t="shared" si="11"/>
        <v/>
      </c>
      <c r="AH459" s="525">
        <f>E460</f>
        <v>0</v>
      </c>
      <c r="AI459" s="525">
        <f>E461</f>
        <v>0</v>
      </c>
    </row>
    <row r="460" spans="1:35" x14ac:dyDescent="0.2">
      <c r="A460" s="531"/>
      <c r="B460" s="303"/>
      <c r="C460" s="303"/>
      <c r="D460" s="303"/>
      <c r="E460" s="303"/>
      <c r="F460" s="303"/>
      <c r="G460" s="303"/>
      <c r="H460" s="303"/>
      <c r="I460" s="303"/>
      <c r="J460" s="303"/>
      <c r="K460" s="303"/>
      <c r="L460" s="303"/>
      <c r="M460" s="303"/>
      <c r="N460" s="303"/>
      <c r="O460" s="303"/>
      <c r="P460" s="303"/>
      <c r="Q460" s="303"/>
      <c r="R460" s="303"/>
      <c r="S460" s="303"/>
      <c r="T460" s="303"/>
      <c r="U460" s="303"/>
      <c r="V460" s="303"/>
      <c r="W460" s="303"/>
      <c r="X460" s="303"/>
      <c r="Y460" s="303"/>
      <c r="Z460" s="532"/>
      <c r="AA460" s="530"/>
      <c r="AB460" s="525" t="str">
        <f t="shared" si="6"/>
        <v/>
      </c>
      <c r="AC460" s="525" t="str">
        <f t="shared" si="7"/>
        <v/>
      </c>
      <c r="AD460" s="525" t="str">
        <f t="shared" si="8"/>
        <v/>
      </c>
      <c r="AE460" s="525" t="str">
        <f t="shared" si="9"/>
        <v/>
      </c>
      <c r="AF460" s="525" t="str">
        <f t="shared" si="10"/>
        <v/>
      </c>
      <c r="AG460" s="525" t="str">
        <f t="shared" si="11"/>
        <v/>
      </c>
      <c r="AH460" s="525">
        <f>E460</f>
        <v>0</v>
      </c>
      <c r="AI460" s="525">
        <f>E461</f>
        <v>0</v>
      </c>
    </row>
    <row r="461" spans="1:35" x14ac:dyDescent="0.2">
      <c r="A461" s="531"/>
      <c r="B461" s="303"/>
      <c r="C461" s="303"/>
      <c r="D461" s="303"/>
      <c r="E461" s="303"/>
      <c r="F461" s="303"/>
      <c r="G461" s="303"/>
      <c r="H461" s="303"/>
      <c r="I461" s="303"/>
      <c r="J461" s="303"/>
      <c r="K461" s="303"/>
      <c r="L461" s="303"/>
      <c r="M461" s="303"/>
      <c r="N461" s="303"/>
      <c r="O461" s="303"/>
      <c r="P461" s="303"/>
      <c r="Q461" s="303"/>
      <c r="R461" s="303"/>
      <c r="S461" s="303"/>
      <c r="T461" s="303"/>
      <c r="U461" s="303"/>
      <c r="V461" s="303"/>
      <c r="W461" s="303"/>
      <c r="X461" s="303"/>
      <c r="Y461" s="303"/>
      <c r="Z461" s="532"/>
      <c r="AA461" s="530"/>
      <c r="AB461" s="525" t="str">
        <f t="shared" si="6"/>
        <v/>
      </c>
      <c r="AC461" s="525" t="str">
        <f t="shared" si="7"/>
        <v/>
      </c>
      <c r="AD461" s="525" t="str">
        <f t="shared" si="8"/>
        <v/>
      </c>
      <c r="AE461" s="525" t="str">
        <f t="shared" si="9"/>
        <v/>
      </c>
      <c r="AF461" s="525" t="str">
        <f t="shared" si="10"/>
        <v/>
      </c>
      <c r="AG461" s="525" t="str">
        <f t="shared" si="11"/>
        <v/>
      </c>
      <c r="AH461" s="525">
        <f>E460</f>
        <v>0</v>
      </c>
      <c r="AI461" s="525">
        <f>E461</f>
        <v>0</v>
      </c>
    </row>
    <row r="462" spans="1:35" x14ac:dyDescent="0.2">
      <c r="A462" s="531"/>
      <c r="B462" s="303"/>
      <c r="C462" s="303"/>
      <c r="D462" s="303"/>
      <c r="E462" s="303"/>
      <c r="F462" s="303"/>
      <c r="G462" s="303"/>
      <c r="H462" s="303"/>
      <c r="I462" s="303"/>
      <c r="J462" s="303"/>
      <c r="K462" s="303"/>
      <c r="L462" s="303"/>
      <c r="M462" s="303"/>
      <c r="N462" s="303"/>
      <c r="O462" s="303"/>
      <c r="P462" s="303"/>
      <c r="Q462" s="303"/>
      <c r="R462" s="303"/>
      <c r="S462" s="303"/>
      <c r="T462" s="303"/>
      <c r="U462" s="303"/>
      <c r="V462" s="303"/>
      <c r="W462" s="303"/>
      <c r="X462" s="303"/>
      <c r="Y462" s="303"/>
      <c r="Z462" s="532"/>
      <c r="AA462" s="530"/>
      <c r="AB462" s="525" t="str">
        <f t="shared" si="6"/>
        <v/>
      </c>
      <c r="AC462" s="525" t="str">
        <f t="shared" si="7"/>
        <v/>
      </c>
      <c r="AD462" s="525" t="str">
        <f t="shared" si="8"/>
        <v/>
      </c>
      <c r="AE462" s="525" t="str">
        <f t="shared" si="9"/>
        <v/>
      </c>
      <c r="AF462" s="525" t="str">
        <f t="shared" si="10"/>
        <v/>
      </c>
      <c r="AG462" s="525" t="str">
        <f t="shared" si="11"/>
        <v/>
      </c>
      <c r="AH462" s="525">
        <f>E463</f>
        <v>0</v>
      </c>
      <c r="AI462" s="525">
        <f>E464</f>
        <v>0</v>
      </c>
    </row>
    <row r="463" spans="1:35" x14ac:dyDescent="0.2">
      <c r="A463" s="531"/>
      <c r="B463" s="303"/>
      <c r="C463" s="303"/>
      <c r="D463" s="303"/>
      <c r="E463" s="303"/>
      <c r="F463" s="303"/>
      <c r="G463" s="303"/>
      <c r="H463" s="303"/>
      <c r="I463" s="303"/>
      <c r="J463" s="303"/>
      <c r="K463" s="303"/>
      <c r="L463" s="303"/>
      <c r="M463" s="303"/>
      <c r="N463" s="303"/>
      <c r="O463" s="303"/>
      <c r="P463" s="303"/>
      <c r="Q463" s="303"/>
      <c r="R463" s="303"/>
      <c r="S463" s="303"/>
      <c r="T463" s="303"/>
      <c r="U463" s="303"/>
      <c r="V463" s="303"/>
      <c r="W463" s="303"/>
      <c r="X463" s="303"/>
      <c r="Y463" s="303"/>
      <c r="Z463" s="532"/>
      <c r="AA463" s="530"/>
      <c r="AB463" s="525" t="str">
        <f t="shared" si="6"/>
        <v/>
      </c>
      <c r="AC463" s="525" t="str">
        <f t="shared" si="7"/>
        <v/>
      </c>
      <c r="AD463" s="525" t="str">
        <f t="shared" si="8"/>
        <v/>
      </c>
      <c r="AE463" s="525" t="str">
        <f t="shared" si="9"/>
        <v/>
      </c>
      <c r="AF463" s="525" t="str">
        <f t="shared" si="10"/>
        <v/>
      </c>
      <c r="AG463" s="525" t="str">
        <f t="shared" si="11"/>
        <v/>
      </c>
      <c r="AH463" s="525">
        <f>E463</f>
        <v>0</v>
      </c>
      <c r="AI463" s="525">
        <f>E464</f>
        <v>0</v>
      </c>
    </row>
    <row r="464" spans="1:35" x14ac:dyDescent="0.2">
      <c r="A464" s="531"/>
      <c r="B464" s="303"/>
      <c r="C464" s="303"/>
      <c r="D464" s="303"/>
      <c r="E464" s="303"/>
      <c r="F464" s="303"/>
      <c r="G464" s="303"/>
      <c r="H464" s="303"/>
      <c r="I464" s="303"/>
      <c r="J464" s="303"/>
      <c r="K464" s="303"/>
      <c r="L464" s="303"/>
      <c r="M464" s="303"/>
      <c r="N464" s="303"/>
      <c r="O464" s="303"/>
      <c r="P464" s="303"/>
      <c r="Q464" s="303"/>
      <c r="R464" s="303"/>
      <c r="S464" s="303"/>
      <c r="T464" s="303"/>
      <c r="U464" s="303"/>
      <c r="V464" s="303"/>
      <c r="W464" s="303"/>
      <c r="X464" s="303"/>
      <c r="Y464" s="303"/>
      <c r="Z464" s="532"/>
      <c r="AA464" s="530"/>
      <c r="AB464" s="525" t="str">
        <f t="shared" si="6"/>
        <v/>
      </c>
      <c r="AC464" s="525" t="str">
        <f t="shared" si="7"/>
        <v/>
      </c>
      <c r="AD464" s="525" t="str">
        <f t="shared" si="8"/>
        <v/>
      </c>
      <c r="AE464" s="525" t="str">
        <f t="shared" si="9"/>
        <v/>
      </c>
      <c r="AF464" s="525" t="str">
        <f t="shared" si="10"/>
        <v/>
      </c>
      <c r="AG464" s="525" t="str">
        <f t="shared" si="11"/>
        <v/>
      </c>
      <c r="AH464" s="525">
        <f>E463</f>
        <v>0</v>
      </c>
      <c r="AI464" s="525">
        <f>E464</f>
        <v>0</v>
      </c>
    </row>
    <row r="465" spans="1:35" x14ac:dyDescent="0.2">
      <c r="A465" s="531"/>
      <c r="B465" s="303"/>
      <c r="C465" s="303"/>
      <c r="D465" s="303"/>
      <c r="E465" s="303"/>
      <c r="F465" s="303"/>
      <c r="G465" s="303"/>
      <c r="H465" s="303"/>
      <c r="I465" s="303"/>
      <c r="J465" s="303"/>
      <c r="K465" s="303"/>
      <c r="L465" s="303"/>
      <c r="M465" s="303"/>
      <c r="N465" s="303"/>
      <c r="O465" s="303"/>
      <c r="P465" s="303"/>
      <c r="Q465" s="303"/>
      <c r="R465" s="303"/>
      <c r="S465" s="303"/>
      <c r="T465" s="303"/>
      <c r="U465" s="303"/>
      <c r="V465" s="303"/>
      <c r="W465" s="303"/>
      <c r="X465" s="303"/>
      <c r="Y465" s="303"/>
      <c r="Z465" s="532"/>
      <c r="AA465" s="530"/>
      <c r="AB465" s="525" t="str">
        <f t="shared" si="6"/>
        <v/>
      </c>
      <c r="AC465" s="525" t="str">
        <f t="shared" si="7"/>
        <v/>
      </c>
      <c r="AD465" s="525" t="str">
        <f t="shared" si="8"/>
        <v/>
      </c>
      <c r="AE465" s="525" t="str">
        <f t="shared" si="9"/>
        <v/>
      </c>
      <c r="AF465" s="525" t="str">
        <f t="shared" si="10"/>
        <v/>
      </c>
      <c r="AG465" s="525" t="str">
        <f t="shared" si="11"/>
        <v/>
      </c>
      <c r="AH465" s="525">
        <f>E466</f>
        <v>0</v>
      </c>
      <c r="AI465" s="525">
        <f>E467</f>
        <v>0</v>
      </c>
    </row>
    <row r="466" spans="1:35" x14ac:dyDescent="0.2">
      <c r="A466" s="531"/>
      <c r="B466" s="303"/>
      <c r="C466" s="303"/>
      <c r="D466" s="303"/>
      <c r="E466" s="303"/>
      <c r="F466" s="303"/>
      <c r="G466" s="303"/>
      <c r="H466" s="303"/>
      <c r="I466" s="303"/>
      <c r="J466" s="303"/>
      <c r="K466" s="303"/>
      <c r="L466" s="303"/>
      <c r="M466" s="303"/>
      <c r="N466" s="303"/>
      <c r="O466" s="303"/>
      <c r="P466" s="303"/>
      <c r="Q466" s="303"/>
      <c r="R466" s="303"/>
      <c r="S466" s="303"/>
      <c r="T466" s="303"/>
      <c r="U466" s="303"/>
      <c r="V466" s="303"/>
      <c r="W466" s="303"/>
      <c r="X466" s="303"/>
      <c r="Y466" s="303"/>
      <c r="Z466" s="532"/>
      <c r="AA466" s="530"/>
      <c r="AB466" s="525" t="str">
        <f t="shared" si="6"/>
        <v/>
      </c>
      <c r="AC466" s="525" t="str">
        <f t="shared" si="7"/>
        <v/>
      </c>
      <c r="AD466" s="525" t="str">
        <f t="shared" si="8"/>
        <v/>
      </c>
      <c r="AE466" s="525" t="str">
        <f t="shared" si="9"/>
        <v/>
      </c>
      <c r="AF466" s="525" t="str">
        <f t="shared" si="10"/>
        <v/>
      </c>
      <c r="AG466" s="525" t="str">
        <f t="shared" si="11"/>
        <v/>
      </c>
      <c r="AH466" s="525">
        <f>E466</f>
        <v>0</v>
      </c>
      <c r="AI466" s="525">
        <f>E467</f>
        <v>0</v>
      </c>
    </row>
    <row r="467" spans="1:35" x14ac:dyDescent="0.2">
      <c r="A467" s="531"/>
      <c r="B467" s="303"/>
      <c r="C467" s="303"/>
      <c r="D467" s="303"/>
      <c r="E467" s="303"/>
      <c r="F467" s="303"/>
      <c r="G467" s="303"/>
      <c r="H467" s="303"/>
      <c r="I467" s="303"/>
      <c r="J467" s="303"/>
      <c r="K467" s="303"/>
      <c r="L467" s="303"/>
      <c r="M467" s="303"/>
      <c r="N467" s="303"/>
      <c r="O467" s="303"/>
      <c r="P467" s="303"/>
      <c r="Q467" s="303"/>
      <c r="R467" s="303"/>
      <c r="S467" s="303"/>
      <c r="T467" s="303"/>
      <c r="U467" s="303"/>
      <c r="V467" s="303"/>
      <c r="W467" s="303"/>
      <c r="X467" s="303"/>
      <c r="Y467" s="303"/>
      <c r="Z467" s="532"/>
      <c r="AA467" s="530"/>
      <c r="AB467" s="525" t="str">
        <f t="shared" si="6"/>
        <v/>
      </c>
      <c r="AC467" s="525" t="str">
        <f t="shared" si="7"/>
        <v/>
      </c>
      <c r="AD467" s="525" t="str">
        <f t="shared" si="8"/>
        <v/>
      </c>
      <c r="AE467" s="525" t="str">
        <f t="shared" si="9"/>
        <v/>
      </c>
      <c r="AF467" s="525" t="str">
        <f t="shared" si="10"/>
        <v/>
      </c>
      <c r="AG467" s="525" t="str">
        <f t="shared" si="11"/>
        <v/>
      </c>
      <c r="AH467" s="525">
        <f>E466</f>
        <v>0</v>
      </c>
      <c r="AI467" s="525">
        <f>E467</f>
        <v>0</v>
      </c>
    </row>
    <row r="468" spans="1:35" x14ac:dyDescent="0.2">
      <c r="A468" s="531"/>
      <c r="B468" s="303"/>
      <c r="C468" s="303"/>
      <c r="D468" s="303"/>
      <c r="E468" s="303"/>
      <c r="F468" s="303"/>
      <c r="G468" s="303"/>
      <c r="H468" s="303"/>
      <c r="I468" s="303"/>
      <c r="J468" s="303"/>
      <c r="K468" s="303"/>
      <c r="L468" s="303"/>
      <c r="M468" s="303"/>
      <c r="N468" s="303"/>
      <c r="O468" s="303"/>
      <c r="P468" s="303"/>
      <c r="Q468" s="303"/>
      <c r="R468" s="303"/>
      <c r="S468" s="303"/>
      <c r="T468" s="303"/>
      <c r="U468" s="303"/>
      <c r="V468" s="303"/>
      <c r="W468" s="303"/>
      <c r="X468" s="303"/>
      <c r="Y468" s="303"/>
      <c r="Z468" s="532"/>
      <c r="AA468" s="530"/>
      <c r="AB468" s="525" t="str">
        <f t="shared" si="6"/>
        <v/>
      </c>
      <c r="AC468" s="525" t="str">
        <f t="shared" si="7"/>
        <v/>
      </c>
      <c r="AD468" s="525" t="str">
        <f t="shared" si="8"/>
        <v/>
      </c>
      <c r="AE468" s="525" t="str">
        <f t="shared" si="9"/>
        <v/>
      </c>
      <c r="AF468" s="525" t="str">
        <f t="shared" si="10"/>
        <v/>
      </c>
      <c r="AG468" s="525" t="str">
        <f t="shared" si="11"/>
        <v/>
      </c>
      <c r="AH468" s="525">
        <f>E469</f>
        <v>0</v>
      </c>
      <c r="AI468" s="525">
        <f>E470</f>
        <v>0</v>
      </c>
    </row>
    <row r="469" spans="1:35" x14ac:dyDescent="0.2">
      <c r="A469" s="531"/>
      <c r="B469" s="303"/>
      <c r="C469" s="303"/>
      <c r="D469" s="303"/>
      <c r="E469" s="303"/>
      <c r="F469" s="303"/>
      <c r="G469" s="303"/>
      <c r="H469" s="303"/>
      <c r="I469" s="303"/>
      <c r="J469" s="303"/>
      <c r="K469" s="303"/>
      <c r="L469" s="303"/>
      <c r="M469" s="303"/>
      <c r="N469" s="303"/>
      <c r="O469" s="303"/>
      <c r="P469" s="303"/>
      <c r="Q469" s="303"/>
      <c r="R469" s="303"/>
      <c r="S469" s="303"/>
      <c r="T469" s="303"/>
      <c r="U469" s="303"/>
      <c r="V469" s="303"/>
      <c r="W469" s="303"/>
      <c r="X469" s="303"/>
      <c r="Y469" s="303"/>
      <c r="Z469" s="532"/>
      <c r="AA469" s="530"/>
      <c r="AB469" s="525" t="str">
        <f t="shared" si="6"/>
        <v/>
      </c>
      <c r="AC469" s="525" t="str">
        <f t="shared" si="7"/>
        <v/>
      </c>
      <c r="AD469" s="525" t="str">
        <f t="shared" si="8"/>
        <v/>
      </c>
      <c r="AE469" s="525" t="str">
        <f t="shared" si="9"/>
        <v/>
      </c>
      <c r="AF469" s="525" t="str">
        <f t="shared" si="10"/>
        <v/>
      </c>
      <c r="AG469" s="525" t="str">
        <f t="shared" si="11"/>
        <v/>
      </c>
      <c r="AH469" s="525">
        <f>E469</f>
        <v>0</v>
      </c>
      <c r="AI469" s="525">
        <f>E470</f>
        <v>0</v>
      </c>
    </row>
    <row r="470" spans="1:35" x14ac:dyDescent="0.2">
      <c r="A470" s="531"/>
      <c r="B470" s="303"/>
      <c r="C470" s="303"/>
      <c r="D470" s="303"/>
      <c r="E470" s="303"/>
      <c r="F470" s="303"/>
      <c r="G470" s="303"/>
      <c r="H470" s="303"/>
      <c r="I470" s="303"/>
      <c r="J470" s="303"/>
      <c r="K470" s="303"/>
      <c r="L470" s="303"/>
      <c r="M470" s="303"/>
      <c r="N470" s="303"/>
      <c r="O470" s="303"/>
      <c r="P470" s="303"/>
      <c r="Q470" s="303"/>
      <c r="R470" s="303"/>
      <c r="S470" s="303"/>
      <c r="T470" s="303"/>
      <c r="U470" s="303"/>
      <c r="V470" s="303"/>
      <c r="W470" s="303"/>
      <c r="X470" s="303"/>
      <c r="Y470" s="303"/>
      <c r="Z470" s="532"/>
      <c r="AA470" s="530"/>
      <c r="AB470" s="525" t="str">
        <f t="shared" si="6"/>
        <v/>
      </c>
      <c r="AC470" s="525" t="str">
        <f t="shared" si="7"/>
        <v/>
      </c>
      <c r="AD470" s="525" t="str">
        <f t="shared" si="8"/>
        <v/>
      </c>
      <c r="AE470" s="525" t="str">
        <f t="shared" si="9"/>
        <v/>
      </c>
      <c r="AF470" s="525" t="str">
        <f t="shared" si="10"/>
        <v/>
      </c>
      <c r="AG470" s="525" t="str">
        <f t="shared" si="11"/>
        <v/>
      </c>
      <c r="AH470" s="525">
        <f>E469</f>
        <v>0</v>
      </c>
      <c r="AI470" s="525">
        <f>E470</f>
        <v>0</v>
      </c>
    </row>
    <row r="471" spans="1:35" x14ac:dyDescent="0.2">
      <c r="A471" s="531"/>
      <c r="B471" s="303"/>
      <c r="C471" s="303"/>
      <c r="D471" s="303"/>
      <c r="E471" s="303"/>
      <c r="F471" s="303"/>
      <c r="G471" s="303"/>
      <c r="H471" s="303"/>
      <c r="I471" s="303"/>
      <c r="J471" s="303"/>
      <c r="K471" s="303"/>
      <c r="L471" s="303"/>
      <c r="M471" s="303"/>
      <c r="N471" s="303"/>
      <c r="O471" s="303"/>
      <c r="P471" s="303"/>
      <c r="Q471" s="303"/>
      <c r="R471" s="303"/>
      <c r="S471" s="303"/>
      <c r="T471" s="303"/>
      <c r="U471" s="303"/>
      <c r="V471" s="303"/>
      <c r="W471" s="303"/>
      <c r="X471" s="303"/>
      <c r="Y471" s="303"/>
      <c r="Z471" s="532"/>
      <c r="AA471" s="530"/>
      <c r="AB471" s="525" t="str">
        <f t="shared" si="6"/>
        <v/>
      </c>
      <c r="AC471" s="525" t="str">
        <f t="shared" si="7"/>
        <v/>
      </c>
      <c r="AD471" s="525" t="str">
        <f t="shared" si="8"/>
        <v/>
      </c>
      <c r="AE471" s="525" t="str">
        <f t="shared" si="9"/>
        <v/>
      </c>
      <c r="AF471" s="525" t="str">
        <f t="shared" si="10"/>
        <v/>
      </c>
      <c r="AG471" s="525" t="str">
        <f t="shared" si="11"/>
        <v/>
      </c>
      <c r="AH471" s="525">
        <f>E472</f>
        <v>0</v>
      </c>
      <c r="AI471" s="525">
        <f>E473</f>
        <v>0</v>
      </c>
    </row>
    <row r="472" spans="1:35" x14ac:dyDescent="0.2">
      <c r="A472" s="531"/>
      <c r="B472" s="303"/>
      <c r="C472" s="303"/>
      <c r="D472" s="303"/>
      <c r="E472" s="303"/>
      <c r="F472" s="303"/>
      <c r="G472" s="303"/>
      <c r="H472" s="303"/>
      <c r="I472" s="303"/>
      <c r="J472" s="303"/>
      <c r="K472" s="303"/>
      <c r="L472" s="303"/>
      <c r="M472" s="303"/>
      <c r="N472" s="303"/>
      <c r="O472" s="303"/>
      <c r="P472" s="303"/>
      <c r="Q472" s="303"/>
      <c r="R472" s="303"/>
      <c r="S472" s="303"/>
      <c r="T472" s="303"/>
      <c r="U472" s="303"/>
      <c r="V472" s="303"/>
      <c r="W472" s="303"/>
      <c r="X472" s="303"/>
      <c r="Y472" s="303"/>
      <c r="Z472" s="532"/>
      <c r="AA472" s="530"/>
      <c r="AB472" s="525" t="str">
        <f t="shared" si="6"/>
        <v/>
      </c>
      <c r="AC472" s="525" t="str">
        <f t="shared" si="7"/>
        <v/>
      </c>
      <c r="AD472" s="525" t="str">
        <f t="shared" si="8"/>
        <v/>
      </c>
      <c r="AE472" s="525" t="str">
        <f t="shared" si="9"/>
        <v/>
      </c>
      <c r="AF472" s="525" t="str">
        <f t="shared" si="10"/>
        <v/>
      </c>
      <c r="AG472" s="525" t="str">
        <f t="shared" si="11"/>
        <v/>
      </c>
      <c r="AH472" s="525">
        <f>E472</f>
        <v>0</v>
      </c>
      <c r="AI472" s="525">
        <f>E473</f>
        <v>0</v>
      </c>
    </row>
    <row r="473" spans="1:35" x14ac:dyDescent="0.2">
      <c r="A473" s="531"/>
      <c r="B473" s="303"/>
      <c r="C473" s="303"/>
      <c r="D473" s="303"/>
      <c r="E473" s="303"/>
      <c r="F473" s="303"/>
      <c r="G473" s="303"/>
      <c r="H473" s="303"/>
      <c r="I473" s="303"/>
      <c r="J473" s="303"/>
      <c r="K473" s="303"/>
      <c r="L473" s="303"/>
      <c r="M473" s="303"/>
      <c r="N473" s="303"/>
      <c r="O473" s="303"/>
      <c r="P473" s="303"/>
      <c r="Q473" s="303"/>
      <c r="R473" s="303"/>
      <c r="S473" s="303"/>
      <c r="T473" s="303"/>
      <c r="U473" s="303"/>
      <c r="V473" s="303"/>
      <c r="W473" s="303"/>
      <c r="X473" s="303"/>
      <c r="Y473" s="303"/>
      <c r="Z473" s="532"/>
      <c r="AA473" s="530"/>
      <c r="AB473" s="525" t="str">
        <f t="shared" si="6"/>
        <v/>
      </c>
      <c r="AC473" s="525" t="str">
        <f t="shared" si="7"/>
        <v/>
      </c>
      <c r="AD473" s="525" t="str">
        <f t="shared" si="8"/>
        <v/>
      </c>
      <c r="AE473" s="525" t="str">
        <f t="shared" si="9"/>
        <v/>
      </c>
      <c r="AF473" s="525" t="str">
        <f t="shared" si="10"/>
        <v/>
      </c>
      <c r="AG473" s="525" t="str">
        <f t="shared" si="11"/>
        <v/>
      </c>
      <c r="AH473" s="525">
        <f>E472</f>
        <v>0</v>
      </c>
      <c r="AI473" s="525">
        <f>E473</f>
        <v>0</v>
      </c>
    </row>
    <row r="474" spans="1:35" x14ac:dyDescent="0.2">
      <c r="A474" s="531"/>
      <c r="B474" s="303"/>
      <c r="C474" s="303"/>
      <c r="D474" s="303"/>
      <c r="E474" s="303"/>
      <c r="F474" s="303"/>
      <c r="G474" s="303"/>
      <c r="H474" s="303"/>
      <c r="I474" s="303"/>
      <c r="J474" s="303"/>
      <c r="K474" s="303"/>
      <c r="L474" s="303"/>
      <c r="M474" s="303"/>
      <c r="N474" s="303"/>
      <c r="O474" s="303"/>
      <c r="P474" s="303"/>
      <c r="Q474" s="303"/>
      <c r="R474" s="303"/>
      <c r="S474" s="303"/>
      <c r="T474" s="303"/>
      <c r="U474" s="303"/>
      <c r="V474" s="303"/>
      <c r="W474" s="303"/>
      <c r="X474" s="303"/>
      <c r="Y474" s="303"/>
      <c r="Z474" s="532"/>
      <c r="AA474" s="530"/>
      <c r="AB474" s="525" t="str">
        <f t="shared" si="6"/>
        <v/>
      </c>
      <c r="AC474" s="525" t="str">
        <f t="shared" si="7"/>
        <v/>
      </c>
      <c r="AD474" s="525" t="str">
        <f t="shared" si="8"/>
        <v/>
      </c>
      <c r="AE474" s="525" t="str">
        <f t="shared" si="9"/>
        <v/>
      </c>
      <c r="AF474" s="525" t="str">
        <f t="shared" si="10"/>
        <v/>
      </c>
      <c r="AG474" s="525" t="str">
        <f t="shared" si="11"/>
        <v/>
      </c>
      <c r="AH474" s="525">
        <f>E475</f>
        <v>0</v>
      </c>
      <c r="AI474" s="525">
        <f>E476</f>
        <v>0</v>
      </c>
    </row>
    <row r="475" spans="1:35" x14ac:dyDescent="0.2">
      <c r="A475" s="531"/>
      <c r="B475" s="303"/>
      <c r="C475" s="303"/>
      <c r="D475" s="303"/>
      <c r="E475" s="303"/>
      <c r="F475" s="303"/>
      <c r="G475" s="303"/>
      <c r="H475" s="303"/>
      <c r="I475" s="303"/>
      <c r="J475" s="303"/>
      <c r="K475" s="303"/>
      <c r="L475" s="303"/>
      <c r="M475" s="303"/>
      <c r="N475" s="303"/>
      <c r="O475" s="303"/>
      <c r="P475" s="303"/>
      <c r="Q475" s="303"/>
      <c r="R475" s="303"/>
      <c r="S475" s="303"/>
      <c r="T475" s="303"/>
      <c r="U475" s="303"/>
      <c r="V475" s="303"/>
      <c r="W475" s="303"/>
      <c r="X475" s="303"/>
      <c r="Y475" s="303"/>
      <c r="Z475" s="532"/>
      <c r="AA475" s="530"/>
      <c r="AB475" s="525" t="str">
        <f t="shared" si="6"/>
        <v/>
      </c>
      <c r="AC475" s="525" t="str">
        <f t="shared" si="7"/>
        <v/>
      </c>
      <c r="AD475" s="525" t="str">
        <f t="shared" si="8"/>
        <v/>
      </c>
      <c r="AE475" s="525" t="str">
        <f t="shared" si="9"/>
        <v/>
      </c>
      <c r="AF475" s="525" t="str">
        <f t="shared" si="10"/>
        <v/>
      </c>
      <c r="AG475" s="525" t="str">
        <f t="shared" si="11"/>
        <v/>
      </c>
      <c r="AH475" s="525">
        <f>E475</f>
        <v>0</v>
      </c>
      <c r="AI475" s="525">
        <f>E476</f>
        <v>0</v>
      </c>
    </row>
    <row r="476" spans="1:35" x14ac:dyDescent="0.2">
      <c r="A476" s="531"/>
      <c r="B476" s="303"/>
      <c r="C476" s="303"/>
      <c r="D476" s="303"/>
      <c r="E476" s="303"/>
      <c r="F476" s="303"/>
      <c r="G476" s="303"/>
      <c r="H476" s="303"/>
      <c r="I476" s="303"/>
      <c r="J476" s="303"/>
      <c r="K476" s="303"/>
      <c r="L476" s="303"/>
      <c r="M476" s="303"/>
      <c r="N476" s="303"/>
      <c r="O476" s="303"/>
      <c r="P476" s="303"/>
      <c r="Q476" s="303"/>
      <c r="R476" s="303"/>
      <c r="S476" s="303"/>
      <c r="T476" s="303"/>
      <c r="U476" s="303"/>
      <c r="V476" s="303"/>
      <c r="W476" s="303"/>
      <c r="X476" s="303"/>
      <c r="Y476" s="303"/>
      <c r="Z476" s="532"/>
      <c r="AA476" s="530"/>
      <c r="AB476" s="525" t="str">
        <f t="shared" si="6"/>
        <v/>
      </c>
      <c r="AC476" s="525" t="str">
        <f t="shared" si="7"/>
        <v/>
      </c>
      <c r="AD476" s="525" t="str">
        <f t="shared" si="8"/>
        <v/>
      </c>
      <c r="AE476" s="525" t="str">
        <f t="shared" si="9"/>
        <v/>
      </c>
      <c r="AF476" s="525" t="str">
        <f t="shared" si="10"/>
        <v/>
      </c>
      <c r="AG476" s="525" t="str">
        <f t="shared" si="11"/>
        <v/>
      </c>
      <c r="AH476" s="525">
        <f>E475</f>
        <v>0</v>
      </c>
      <c r="AI476" s="525">
        <f>E476</f>
        <v>0</v>
      </c>
    </row>
    <row r="477" spans="1:35" x14ac:dyDescent="0.2">
      <c r="A477" s="531"/>
      <c r="B477" s="303"/>
      <c r="C477" s="303"/>
      <c r="D477" s="303"/>
      <c r="E477" s="303"/>
      <c r="F477" s="303"/>
      <c r="G477" s="303"/>
      <c r="H477" s="303"/>
      <c r="I477" s="303"/>
      <c r="J477" s="303"/>
      <c r="K477" s="303"/>
      <c r="L477" s="303"/>
      <c r="M477" s="303"/>
      <c r="N477" s="303"/>
      <c r="O477" s="303"/>
      <c r="P477" s="303"/>
      <c r="Q477" s="303"/>
      <c r="R477" s="303"/>
      <c r="S477" s="303"/>
      <c r="T477" s="303"/>
      <c r="U477" s="303"/>
      <c r="V477" s="303"/>
      <c r="W477" s="303"/>
      <c r="X477" s="303"/>
      <c r="Y477" s="303"/>
      <c r="Z477" s="532"/>
      <c r="AA477" s="530"/>
      <c r="AB477" s="525" t="str">
        <f t="shared" si="6"/>
        <v/>
      </c>
      <c r="AC477" s="525" t="str">
        <f t="shared" si="7"/>
        <v/>
      </c>
      <c r="AD477" s="525" t="str">
        <f t="shared" si="8"/>
        <v/>
      </c>
      <c r="AE477" s="525" t="str">
        <f t="shared" si="9"/>
        <v/>
      </c>
      <c r="AF477" s="525" t="str">
        <f t="shared" si="10"/>
        <v/>
      </c>
      <c r="AG477" s="525" t="str">
        <f t="shared" si="11"/>
        <v/>
      </c>
      <c r="AH477" s="525">
        <f>E478</f>
        <v>0</v>
      </c>
      <c r="AI477" s="525">
        <f>E479</f>
        <v>0</v>
      </c>
    </row>
    <row r="478" spans="1:35" x14ac:dyDescent="0.2">
      <c r="A478" s="531"/>
      <c r="B478" s="303"/>
      <c r="C478" s="303"/>
      <c r="D478" s="303"/>
      <c r="E478" s="303"/>
      <c r="F478" s="303"/>
      <c r="G478" s="303"/>
      <c r="H478" s="303"/>
      <c r="I478" s="303"/>
      <c r="J478" s="303"/>
      <c r="K478" s="303"/>
      <c r="L478" s="303"/>
      <c r="M478" s="303"/>
      <c r="N478" s="303"/>
      <c r="O478" s="303"/>
      <c r="P478" s="303"/>
      <c r="Q478" s="303"/>
      <c r="R478" s="303"/>
      <c r="S478" s="303"/>
      <c r="T478" s="303"/>
      <c r="U478" s="303"/>
      <c r="V478" s="303"/>
      <c r="W478" s="303"/>
      <c r="X478" s="303"/>
      <c r="Y478" s="303"/>
      <c r="Z478" s="532"/>
      <c r="AA478" s="530"/>
      <c r="AB478" s="525" t="str">
        <f t="shared" si="6"/>
        <v/>
      </c>
      <c r="AC478" s="525" t="str">
        <f t="shared" si="7"/>
        <v/>
      </c>
      <c r="AD478" s="525" t="str">
        <f t="shared" si="8"/>
        <v/>
      </c>
      <c r="AE478" s="525" t="str">
        <f t="shared" si="9"/>
        <v/>
      </c>
      <c r="AF478" s="525" t="str">
        <f t="shared" si="10"/>
        <v/>
      </c>
      <c r="AG478" s="525" t="str">
        <f t="shared" si="11"/>
        <v/>
      </c>
      <c r="AH478" s="525">
        <f>E478</f>
        <v>0</v>
      </c>
      <c r="AI478" s="525">
        <f>E479</f>
        <v>0</v>
      </c>
    </row>
    <row r="479" spans="1:35" x14ac:dyDescent="0.2">
      <c r="A479" s="531"/>
      <c r="B479" s="303"/>
      <c r="C479" s="303"/>
      <c r="D479" s="303"/>
      <c r="E479" s="303"/>
      <c r="F479" s="303"/>
      <c r="G479" s="303"/>
      <c r="H479" s="303"/>
      <c r="I479" s="303"/>
      <c r="J479" s="303"/>
      <c r="K479" s="303"/>
      <c r="L479" s="303"/>
      <c r="M479" s="303"/>
      <c r="N479" s="303"/>
      <c r="O479" s="303"/>
      <c r="P479" s="303"/>
      <c r="Q479" s="303"/>
      <c r="R479" s="303"/>
      <c r="S479" s="303"/>
      <c r="T479" s="303"/>
      <c r="U479" s="303"/>
      <c r="V479" s="303"/>
      <c r="W479" s="303"/>
      <c r="X479" s="303"/>
      <c r="Y479" s="303"/>
      <c r="Z479" s="532"/>
      <c r="AA479" s="530"/>
      <c r="AB479" s="525" t="str">
        <f t="shared" si="6"/>
        <v/>
      </c>
      <c r="AC479" s="525" t="str">
        <f t="shared" si="7"/>
        <v/>
      </c>
      <c r="AD479" s="525" t="str">
        <f t="shared" si="8"/>
        <v/>
      </c>
      <c r="AE479" s="525" t="str">
        <f t="shared" si="9"/>
        <v/>
      </c>
      <c r="AF479" s="525" t="str">
        <f t="shared" si="10"/>
        <v/>
      </c>
      <c r="AG479" s="525" t="str">
        <f t="shared" si="11"/>
        <v/>
      </c>
      <c r="AH479" s="525">
        <f>E478</f>
        <v>0</v>
      </c>
      <c r="AI479" s="525">
        <f>E479</f>
        <v>0</v>
      </c>
    </row>
    <row r="480" spans="1:35" x14ac:dyDescent="0.2">
      <c r="A480" s="531"/>
      <c r="B480" s="303"/>
      <c r="C480" s="303"/>
      <c r="D480" s="303"/>
      <c r="E480" s="303"/>
      <c r="F480" s="303"/>
      <c r="G480" s="303"/>
      <c r="H480" s="303"/>
      <c r="I480" s="303"/>
      <c r="J480" s="303"/>
      <c r="K480" s="303"/>
      <c r="L480" s="303"/>
      <c r="M480" s="303"/>
      <c r="N480" s="303"/>
      <c r="O480" s="303"/>
      <c r="P480" s="303"/>
      <c r="Q480" s="303"/>
      <c r="R480" s="303"/>
      <c r="S480" s="303"/>
      <c r="T480" s="303"/>
      <c r="U480" s="303"/>
      <c r="V480" s="303"/>
      <c r="W480" s="303"/>
      <c r="X480" s="303"/>
      <c r="Y480" s="303"/>
      <c r="Z480" s="532"/>
      <c r="AA480" s="530"/>
      <c r="AB480" s="525" t="str">
        <f t="shared" si="6"/>
        <v/>
      </c>
      <c r="AC480" s="525" t="str">
        <f t="shared" si="7"/>
        <v/>
      </c>
      <c r="AD480" s="525" t="str">
        <f t="shared" si="8"/>
        <v/>
      </c>
      <c r="AE480" s="525" t="str">
        <f t="shared" si="9"/>
        <v/>
      </c>
      <c r="AF480" s="525" t="str">
        <f t="shared" si="10"/>
        <v/>
      </c>
      <c r="AG480" s="525" t="str">
        <f t="shared" si="11"/>
        <v/>
      </c>
      <c r="AH480" s="525">
        <f>E481</f>
        <v>0</v>
      </c>
      <c r="AI480" s="525">
        <f>E482</f>
        <v>0</v>
      </c>
    </row>
    <row r="481" spans="1:35" x14ac:dyDescent="0.2">
      <c r="A481" s="531"/>
      <c r="B481" s="303"/>
      <c r="C481" s="303"/>
      <c r="D481" s="303"/>
      <c r="E481" s="303"/>
      <c r="F481" s="303"/>
      <c r="G481" s="303"/>
      <c r="H481" s="303"/>
      <c r="I481" s="303"/>
      <c r="J481" s="303"/>
      <c r="K481" s="303"/>
      <c r="L481" s="303"/>
      <c r="M481" s="303"/>
      <c r="N481" s="303"/>
      <c r="O481" s="303"/>
      <c r="P481" s="303"/>
      <c r="Q481" s="303"/>
      <c r="R481" s="303"/>
      <c r="S481" s="303"/>
      <c r="T481" s="303"/>
      <c r="U481" s="303"/>
      <c r="V481" s="303"/>
      <c r="W481" s="303"/>
      <c r="X481" s="303"/>
      <c r="Y481" s="303"/>
      <c r="Z481" s="532"/>
      <c r="AA481" s="530"/>
      <c r="AB481" s="525" t="str">
        <f t="shared" si="6"/>
        <v/>
      </c>
      <c r="AC481" s="525" t="str">
        <f t="shared" si="7"/>
        <v/>
      </c>
      <c r="AD481" s="525" t="str">
        <f t="shared" si="8"/>
        <v/>
      </c>
      <c r="AE481" s="525" t="str">
        <f t="shared" si="9"/>
        <v/>
      </c>
      <c r="AF481" s="525" t="str">
        <f t="shared" si="10"/>
        <v/>
      </c>
      <c r="AG481" s="525" t="str">
        <f t="shared" si="11"/>
        <v/>
      </c>
      <c r="AH481" s="525">
        <f>E481</f>
        <v>0</v>
      </c>
      <c r="AI481" s="525">
        <f>E482</f>
        <v>0</v>
      </c>
    </row>
    <row r="482" spans="1:35" x14ac:dyDescent="0.2">
      <c r="A482" s="531"/>
      <c r="B482" s="303"/>
      <c r="C482" s="303"/>
      <c r="D482" s="303"/>
      <c r="E482" s="303"/>
      <c r="F482" s="303"/>
      <c r="G482" s="303"/>
      <c r="H482" s="303"/>
      <c r="I482" s="303"/>
      <c r="J482" s="303"/>
      <c r="K482" s="303"/>
      <c r="L482" s="303"/>
      <c r="M482" s="303"/>
      <c r="N482" s="303"/>
      <c r="O482" s="303"/>
      <c r="P482" s="303"/>
      <c r="Q482" s="303"/>
      <c r="R482" s="303"/>
      <c r="S482" s="303"/>
      <c r="T482" s="303"/>
      <c r="U482" s="303"/>
      <c r="V482" s="303"/>
      <c r="W482" s="303"/>
      <c r="X482" s="303"/>
      <c r="Y482" s="303"/>
      <c r="Z482" s="532"/>
      <c r="AA482" s="530"/>
      <c r="AB482" s="525" t="str">
        <f t="shared" si="6"/>
        <v/>
      </c>
      <c r="AC482" s="525" t="str">
        <f t="shared" si="7"/>
        <v/>
      </c>
      <c r="AD482" s="525" t="str">
        <f t="shared" si="8"/>
        <v/>
      </c>
      <c r="AE482" s="525" t="str">
        <f t="shared" si="9"/>
        <v/>
      </c>
      <c r="AF482" s="525" t="str">
        <f t="shared" si="10"/>
        <v/>
      </c>
      <c r="AG482" s="525" t="str">
        <f t="shared" si="11"/>
        <v/>
      </c>
      <c r="AH482" s="525">
        <f>E481</f>
        <v>0</v>
      </c>
      <c r="AI482" s="525">
        <f>E482</f>
        <v>0</v>
      </c>
    </row>
    <row r="483" spans="1:35" x14ac:dyDescent="0.2">
      <c r="A483" s="531"/>
      <c r="B483" s="303"/>
      <c r="C483" s="303"/>
      <c r="D483" s="303"/>
      <c r="E483" s="303"/>
      <c r="F483" s="303"/>
      <c r="G483" s="303"/>
      <c r="H483" s="303"/>
      <c r="I483" s="303"/>
      <c r="J483" s="303"/>
      <c r="K483" s="303"/>
      <c r="L483" s="303"/>
      <c r="M483" s="303"/>
      <c r="N483" s="303"/>
      <c r="O483" s="303"/>
      <c r="P483" s="303"/>
      <c r="Q483" s="303"/>
      <c r="R483" s="303"/>
      <c r="S483" s="303"/>
      <c r="T483" s="303"/>
      <c r="U483" s="303"/>
      <c r="V483" s="303"/>
      <c r="W483" s="303"/>
      <c r="X483" s="303"/>
      <c r="Y483" s="303"/>
      <c r="Z483" s="532"/>
      <c r="AA483" s="530"/>
      <c r="AB483" s="525" t="str">
        <f t="shared" si="6"/>
        <v/>
      </c>
      <c r="AC483" s="525" t="str">
        <f t="shared" si="7"/>
        <v/>
      </c>
      <c r="AD483" s="525" t="str">
        <f t="shared" si="8"/>
        <v/>
      </c>
      <c r="AE483" s="525" t="str">
        <f t="shared" si="9"/>
        <v/>
      </c>
      <c r="AF483" s="525" t="str">
        <f t="shared" si="10"/>
        <v/>
      </c>
      <c r="AG483" s="525" t="str">
        <f t="shared" si="11"/>
        <v/>
      </c>
      <c r="AH483" s="525">
        <f>E484</f>
        <v>0</v>
      </c>
      <c r="AI483" s="525">
        <f>E485</f>
        <v>0</v>
      </c>
    </row>
    <row r="484" spans="1:35" x14ac:dyDescent="0.2">
      <c r="A484" s="531"/>
      <c r="B484" s="303"/>
      <c r="C484" s="303"/>
      <c r="D484" s="303"/>
      <c r="E484" s="303"/>
      <c r="F484" s="303"/>
      <c r="G484" s="303"/>
      <c r="H484" s="303"/>
      <c r="I484" s="303"/>
      <c r="J484" s="303"/>
      <c r="K484" s="303"/>
      <c r="L484" s="303"/>
      <c r="M484" s="303"/>
      <c r="N484" s="303"/>
      <c r="O484" s="303"/>
      <c r="P484" s="303"/>
      <c r="Q484" s="303"/>
      <c r="R484" s="303"/>
      <c r="S484" s="303"/>
      <c r="T484" s="303"/>
      <c r="U484" s="303"/>
      <c r="V484" s="303"/>
      <c r="W484" s="303"/>
      <c r="X484" s="303"/>
      <c r="Y484" s="303"/>
      <c r="Z484" s="532"/>
      <c r="AA484" s="530"/>
      <c r="AB484" s="525" t="str">
        <f t="shared" si="6"/>
        <v/>
      </c>
      <c r="AC484" s="525" t="str">
        <f t="shared" si="7"/>
        <v/>
      </c>
      <c r="AD484" s="525" t="str">
        <f t="shared" si="8"/>
        <v/>
      </c>
      <c r="AE484" s="525" t="str">
        <f t="shared" si="9"/>
        <v/>
      </c>
      <c r="AF484" s="525" t="str">
        <f t="shared" si="10"/>
        <v/>
      </c>
      <c r="AG484" s="525" t="str">
        <f t="shared" si="11"/>
        <v/>
      </c>
      <c r="AH484" s="525">
        <f>E484</f>
        <v>0</v>
      </c>
      <c r="AI484" s="525">
        <f>E485</f>
        <v>0</v>
      </c>
    </row>
    <row r="485" spans="1:35" x14ac:dyDescent="0.2">
      <c r="A485" s="531"/>
      <c r="B485" s="303"/>
      <c r="C485" s="303"/>
      <c r="D485" s="303"/>
      <c r="E485" s="303"/>
      <c r="F485" s="303"/>
      <c r="G485" s="303"/>
      <c r="H485" s="303"/>
      <c r="I485" s="303"/>
      <c r="J485" s="303"/>
      <c r="K485" s="303"/>
      <c r="L485" s="303"/>
      <c r="M485" s="303"/>
      <c r="N485" s="303"/>
      <c r="O485" s="303"/>
      <c r="P485" s="303"/>
      <c r="Q485" s="303"/>
      <c r="R485" s="303"/>
      <c r="S485" s="303"/>
      <c r="T485" s="303"/>
      <c r="U485" s="303"/>
      <c r="V485" s="303"/>
      <c r="W485" s="303"/>
      <c r="X485" s="303"/>
      <c r="Y485" s="303"/>
      <c r="Z485" s="532"/>
      <c r="AA485" s="530"/>
      <c r="AB485" s="525" t="str">
        <f t="shared" si="6"/>
        <v/>
      </c>
      <c r="AC485" s="525" t="str">
        <f t="shared" si="7"/>
        <v/>
      </c>
      <c r="AD485" s="525" t="str">
        <f t="shared" si="8"/>
        <v/>
      </c>
      <c r="AE485" s="525" t="str">
        <f t="shared" si="9"/>
        <v/>
      </c>
      <c r="AF485" s="525" t="str">
        <f t="shared" si="10"/>
        <v/>
      </c>
      <c r="AG485" s="525" t="str">
        <f t="shared" si="11"/>
        <v/>
      </c>
      <c r="AH485" s="525">
        <f>E484</f>
        <v>0</v>
      </c>
      <c r="AI485" s="525">
        <f>E485</f>
        <v>0</v>
      </c>
    </row>
    <row r="486" spans="1:35" x14ac:dyDescent="0.2">
      <c r="A486" s="531"/>
      <c r="B486" s="303"/>
      <c r="C486" s="303"/>
      <c r="D486" s="303"/>
      <c r="E486" s="303"/>
      <c r="F486" s="303"/>
      <c r="G486" s="303"/>
      <c r="H486" s="303"/>
      <c r="I486" s="303"/>
      <c r="J486" s="303"/>
      <c r="K486" s="303"/>
      <c r="L486" s="303"/>
      <c r="M486" s="303"/>
      <c r="N486" s="303"/>
      <c r="O486" s="303"/>
      <c r="P486" s="303"/>
      <c r="Q486" s="303"/>
      <c r="R486" s="303"/>
      <c r="S486" s="303"/>
      <c r="T486" s="303"/>
      <c r="U486" s="303"/>
      <c r="V486" s="303"/>
      <c r="W486" s="303"/>
      <c r="X486" s="303"/>
      <c r="Y486" s="303"/>
      <c r="Z486" s="532"/>
      <c r="AA486" s="530"/>
      <c r="AB486" s="525" t="str">
        <f t="shared" si="6"/>
        <v/>
      </c>
      <c r="AC486" s="525" t="str">
        <f t="shared" si="7"/>
        <v/>
      </c>
      <c r="AD486" s="525" t="str">
        <f t="shared" si="8"/>
        <v/>
      </c>
      <c r="AE486" s="525" t="str">
        <f t="shared" si="9"/>
        <v/>
      </c>
      <c r="AF486" s="525" t="str">
        <f t="shared" si="10"/>
        <v/>
      </c>
      <c r="AG486" s="525" t="str">
        <f t="shared" si="11"/>
        <v/>
      </c>
      <c r="AH486" s="525">
        <f>E487</f>
        <v>0</v>
      </c>
      <c r="AI486" s="525">
        <f>E488</f>
        <v>0</v>
      </c>
    </row>
    <row r="487" spans="1:35" x14ac:dyDescent="0.2">
      <c r="A487" s="531"/>
      <c r="B487" s="303"/>
      <c r="C487" s="303"/>
      <c r="D487" s="303"/>
      <c r="E487" s="303"/>
      <c r="F487" s="303"/>
      <c r="G487" s="303"/>
      <c r="H487" s="303"/>
      <c r="I487" s="303"/>
      <c r="J487" s="303"/>
      <c r="K487" s="303"/>
      <c r="L487" s="303"/>
      <c r="M487" s="303"/>
      <c r="N487" s="303"/>
      <c r="O487" s="303"/>
      <c r="P487" s="303"/>
      <c r="Q487" s="303"/>
      <c r="R487" s="303"/>
      <c r="S487" s="303"/>
      <c r="T487" s="303"/>
      <c r="U487" s="303"/>
      <c r="V487" s="303"/>
      <c r="W487" s="303"/>
      <c r="X487" s="303"/>
      <c r="Y487" s="303"/>
      <c r="Z487" s="532"/>
      <c r="AA487" s="530"/>
      <c r="AB487" s="525" t="str">
        <f t="shared" si="6"/>
        <v/>
      </c>
      <c r="AC487" s="525" t="str">
        <f t="shared" si="7"/>
        <v/>
      </c>
      <c r="AD487" s="525" t="str">
        <f t="shared" si="8"/>
        <v/>
      </c>
      <c r="AE487" s="525" t="str">
        <f t="shared" si="9"/>
        <v/>
      </c>
      <c r="AF487" s="525" t="str">
        <f t="shared" si="10"/>
        <v/>
      </c>
      <c r="AG487" s="525" t="str">
        <f t="shared" si="11"/>
        <v/>
      </c>
      <c r="AH487" s="525">
        <f>E487</f>
        <v>0</v>
      </c>
      <c r="AI487" s="525">
        <f>E488</f>
        <v>0</v>
      </c>
    </row>
    <row r="488" spans="1:35" x14ac:dyDescent="0.2">
      <c r="A488" s="531"/>
      <c r="B488" s="303"/>
      <c r="C488" s="303"/>
      <c r="D488" s="303"/>
      <c r="E488" s="303"/>
      <c r="F488" s="303"/>
      <c r="G488" s="303"/>
      <c r="H488" s="303"/>
      <c r="I488" s="303"/>
      <c r="J488" s="303"/>
      <c r="K488" s="303"/>
      <c r="L488" s="303"/>
      <c r="M488" s="303"/>
      <c r="N488" s="303"/>
      <c r="O488" s="303"/>
      <c r="P488" s="303"/>
      <c r="Q488" s="303"/>
      <c r="R488" s="303"/>
      <c r="S488" s="303"/>
      <c r="T488" s="303"/>
      <c r="U488" s="303"/>
      <c r="V488" s="303"/>
      <c r="W488" s="303"/>
      <c r="X488" s="303"/>
      <c r="Y488" s="303"/>
      <c r="Z488" s="532"/>
      <c r="AA488" s="530"/>
      <c r="AB488" s="525" t="str">
        <f t="shared" si="6"/>
        <v/>
      </c>
      <c r="AC488" s="525" t="str">
        <f t="shared" si="7"/>
        <v/>
      </c>
      <c r="AD488" s="525" t="str">
        <f t="shared" si="8"/>
        <v/>
      </c>
      <c r="AE488" s="525" t="str">
        <f t="shared" si="9"/>
        <v/>
      </c>
      <c r="AF488" s="525" t="str">
        <f t="shared" si="10"/>
        <v/>
      </c>
      <c r="AG488" s="525" t="str">
        <f t="shared" si="11"/>
        <v/>
      </c>
      <c r="AH488" s="525">
        <f>E487</f>
        <v>0</v>
      </c>
      <c r="AI488" s="525">
        <f>E488</f>
        <v>0</v>
      </c>
    </row>
    <row r="489" spans="1:35" x14ac:dyDescent="0.2">
      <c r="A489" s="531"/>
      <c r="B489" s="303"/>
      <c r="C489" s="303"/>
      <c r="D489" s="303"/>
      <c r="E489" s="303"/>
      <c r="F489" s="303"/>
      <c r="G489" s="303"/>
      <c r="H489" s="303"/>
      <c r="I489" s="303"/>
      <c r="J489" s="303"/>
      <c r="K489" s="303"/>
      <c r="L489" s="303"/>
      <c r="M489" s="303"/>
      <c r="N489" s="303"/>
      <c r="O489" s="303"/>
      <c r="P489" s="303"/>
      <c r="Q489" s="303"/>
      <c r="R489" s="303"/>
      <c r="S489" s="303"/>
      <c r="T489" s="303"/>
      <c r="U489" s="303"/>
      <c r="V489" s="303"/>
      <c r="W489" s="303"/>
      <c r="X489" s="303"/>
      <c r="Y489" s="303"/>
      <c r="Z489" s="532"/>
      <c r="AA489" s="530"/>
      <c r="AB489" s="525" t="str">
        <f t="shared" si="6"/>
        <v/>
      </c>
      <c r="AC489" s="525" t="str">
        <f t="shared" si="7"/>
        <v/>
      </c>
      <c r="AD489" s="525" t="str">
        <f t="shared" si="8"/>
        <v/>
      </c>
      <c r="AE489" s="525" t="str">
        <f t="shared" si="9"/>
        <v/>
      </c>
      <c r="AF489" s="525" t="str">
        <f t="shared" si="10"/>
        <v/>
      </c>
      <c r="AG489" s="525" t="str">
        <f t="shared" si="11"/>
        <v/>
      </c>
      <c r="AH489" s="525">
        <f>E490</f>
        <v>0</v>
      </c>
      <c r="AI489" s="525">
        <f>E491</f>
        <v>0</v>
      </c>
    </row>
    <row r="490" spans="1:35" x14ac:dyDescent="0.2">
      <c r="A490" s="531"/>
      <c r="B490" s="303"/>
      <c r="C490" s="303"/>
      <c r="D490" s="303"/>
      <c r="E490" s="303"/>
      <c r="F490" s="303"/>
      <c r="G490" s="303"/>
      <c r="H490" s="303"/>
      <c r="I490" s="303"/>
      <c r="J490" s="303"/>
      <c r="K490" s="303"/>
      <c r="L490" s="303"/>
      <c r="M490" s="303"/>
      <c r="N490" s="303"/>
      <c r="O490" s="303"/>
      <c r="P490" s="303"/>
      <c r="Q490" s="303"/>
      <c r="R490" s="303"/>
      <c r="S490" s="303"/>
      <c r="T490" s="303"/>
      <c r="U490" s="303"/>
      <c r="V490" s="303"/>
      <c r="W490" s="303"/>
      <c r="X490" s="303"/>
      <c r="Y490" s="303"/>
      <c r="Z490" s="532"/>
      <c r="AA490" s="530"/>
      <c r="AB490" s="525" t="str">
        <f t="shared" si="6"/>
        <v/>
      </c>
      <c r="AC490" s="525" t="str">
        <f t="shared" si="7"/>
        <v/>
      </c>
      <c r="AD490" s="525" t="str">
        <f t="shared" si="8"/>
        <v/>
      </c>
      <c r="AE490" s="525" t="str">
        <f t="shared" si="9"/>
        <v/>
      </c>
      <c r="AF490" s="525" t="str">
        <f t="shared" si="10"/>
        <v/>
      </c>
      <c r="AG490" s="525" t="str">
        <f t="shared" si="11"/>
        <v/>
      </c>
      <c r="AH490" s="525">
        <f>E490</f>
        <v>0</v>
      </c>
      <c r="AI490" s="525">
        <f>E491</f>
        <v>0</v>
      </c>
    </row>
    <row r="491" spans="1:35" x14ac:dyDescent="0.2">
      <c r="A491" s="531"/>
      <c r="B491" s="303"/>
      <c r="C491" s="303"/>
      <c r="D491" s="303"/>
      <c r="E491" s="303"/>
      <c r="F491" s="303"/>
      <c r="G491" s="303"/>
      <c r="H491" s="303"/>
      <c r="I491" s="303"/>
      <c r="J491" s="303"/>
      <c r="K491" s="303"/>
      <c r="L491" s="303"/>
      <c r="M491" s="303"/>
      <c r="N491" s="303"/>
      <c r="O491" s="303"/>
      <c r="P491" s="303"/>
      <c r="Q491" s="303"/>
      <c r="R491" s="303"/>
      <c r="S491" s="303"/>
      <c r="T491" s="303"/>
      <c r="U491" s="303"/>
      <c r="V491" s="303"/>
      <c r="W491" s="303"/>
      <c r="X491" s="303"/>
      <c r="Y491" s="303"/>
      <c r="Z491" s="532"/>
      <c r="AA491" s="530"/>
      <c r="AB491" s="525" t="str">
        <f t="shared" si="6"/>
        <v/>
      </c>
      <c r="AC491" s="525" t="str">
        <f t="shared" si="7"/>
        <v/>
      </c>
      <c r="AD491" s="525" t="str">
        <f t="shared" si="8"/>
        <v/>
      </c>
      <c r="AE491" s="525" t="str">
        <f t="shared" si="9"/>
        <v/>
      </c>
      <c r="AF491" s="525" t="str">
        <f t="shared" si="10"/>
        <v/>
      </c>
      <c r="AG491" s="525" t="str">
        <f t="shared" si="11"/>
        <v/>
      </c>
      <c r="AH491" s="525">
        <f>E490</f>
        <v>0</v>
      </c>
      <c r="AI491" s="525">
        <f>E491</f>
        <v>0</v>
      </c>
    </row>
    <row r="492" spans="1:35" x14ac:dyDescent="0.2">
      <c r="A492" s="531"/>
      <c r="B492" s="303"/>
      <c r="C492" s="303"/>
      <c r="D492" s="303"/>
      <c r="E492" s="303"/>
      <c r="F492" s="303"/>
      <c r="G492" s="303"/>
      <c r="H492" s="303"/>
      <c r="I492" s="303"/>
      <c r="J492" s="303"/>
      <c r="K492" s="303"/>
      <c r="L492" s="303"/>
      <c r="M492" s="303"/>
      <c r="N492" s="303"/>
      <c r="O492" s="303"/>
      <c r="P492" s="303"/>
      <c r="Q492" s="303"/>
      <c r="R492" s="303"/>
      <c r="S492" s="303"/>
      <c r="T492" s="303"/>
      <c r="U492" s="303"/>
      <c r="V492" s="303"/>
      <c r="W492" s="303"/>
      <c r="X492" s="303"/>
      <c r="Y492" s="303"/>
      <c r="Z492" s="532"/>
      <c r="AA492" s="530"/>
      <c r="AB492" s="525" t="str">
        <f t="shared" si="6"/>
        <v/>
      </c>
      <c r="AC492" s="525" t="str">
        <f t="shared" si="7"/>
        <v/>
      </c>
      <c r="AD492" s="525" t="str">
        <f t="shared" si="8"/>
        <v/>
      </c>
      <c r="AE492" s="525" t="str">
        <f t="shared" si="9"/>
        <v/>
      </c>
      <c r="AF492" s="525" t="str">
        <f t="shared" si="10"/>
        <v/>
      </c>
      <c r="AG492" s="525" t="str">
        <f t="shared" si="11"/>
        <v/>
      </c>
      <c r="AH492" s="525">
        <f>E493</f>
        <v>0</v>
      </c>
      <c r="AI492" s="525">
        <f>E494</f>
        <v>0</v>
      </c>
    </row>
    <row r="493" spans="1:35" x14ac:dyDescent="0.2">
      <c r="A493" s="531"/>
      <c r="B493" s="303"/>
      <c r="C493" s="303"/>
      <c r="D493" s="303"/>
      <c r="E493" s="303"/>
      <c r="F493" s="303"/>
      <c r="G493" s="303"/>
      <c r="H493" s="303"/>
      <c r="I493" s="303"/>
      <c r="J493" s="303"/>
      <c r="K493" s="303"/>
      <c r="L493" s="303"/>
      <c r="M493" s="303"/>
      <c r="N493" s="303"/>
      <c r="O493" s="303"/>
      <c r="P493" s="303"/>
      <c r="Q493" s="303"/>
      <c r="R493" s="303"/>
      <c r="S493" s="303"/>
      <c r="T493" s="303"/>
      <c r="U493" s="303"/>
      <c r="V493" s="303"/>
      <c r="W493" s="303"/>
      <c r="X493" s="303"/>
      <c r="Y493" s="303"/>
      <c r="Z493" s="532"/>
      <c r="AA493" s="530"/>
      <c r="AB493" s="525" t="str">
        <f t="shared" si="6"/>
        <v/>
      </c>
      <c r="AC493" s="525" t="str">
        <f t="shared" si="7"/>
        <v/>
      </c>
      <c r="AD493" s="525" t="str">
        <f t="shared" si="8"/>
        <v/>
      </c>
      <c r="AE493" s="525" t="str">
        <f t="shared" si="9"/>
        <v/>
      </c>
      <c r="AF493" s="525" t="str">
        <f t="shared" si="10"/>
        <v/>
      </c>
      <c r="AG493" s="525" t="str">
        <f t="shared" si="11"/>
        <v/>
      </c>
      <c r="AH493" s="525">
        <f>E493</f>
        <v>0</v>
      </c>
      <c r="AI493" s="525">
        <f>E494</f>
        <v>0</v>
      </c>
    </row>
    <row r="494" spans="1:35" x14ac:dyDescent="0.2">
      <c r="A494" s="531"/>
      <c r="B494" s="303"/>
      <c r="C494" s="303"/>
      <c r="D494" s="303"/>
      <c r="E494" s="303"/>
      <c r="F494" s="303"/>
      <c r="G494" s="303"/>
      <c r="H494" s="303"/>
      <c r="I494" s="303"/>
      <c r="J494" s="303"/>
      <c r="K494" s="303"/>
      <c r="L494" s="303"/>
      <c r="M494" s="303"/>
      <c r="N494" s="303"/>
      <c r="O494" s="303"/>
      <c r="P494" s="303"/>
      <c r="Q494" s="303"/>
      <c r="R494" s="303"/>
      <c r="S494" s="303"/>
      <c r="T494" s="303"/>
      <c r="U494" s="303"/>
      <c r="V494" s="303"/>
      <c r="W494" s="303"/>
      <c r="X494" s="303"/>
      <c r="Y494" s="303"/>
      <c r="Z494" s="532"/>
      <c r="AA494" s="530"/>
      <c r="AB494" s="525" t="str">
        <f t="shared" si="6"/>
        <v/>
      </c>
      <c r="AC494" s="525" t="str">
        <f t="shared" si="7"/>
        <v/>
      </c>
      <c r="AD494" s="525" t="str">
        <f t="shared" si="8"/>
        <v/>
      </c>
      <c r="AE494" s="525" t="str">
        <f t="shared" si="9"/>
        <v/>
      </c>
      <c r="AF494" s="525" t="str">
        <f t="shared" si="10"/>
        <v/>
      </c>
      <c r="AG494" s="525" t="str">
        <f t="shared" si="11"/>
        <v/>
      </c>
      <c r="AH494" s="525">
        <f>E493</f>
        <v>0</v>
      </c>
      <c r="AI494" s="525">
        <f>E494</f>
        <v>0</v>
      </c>
    </row>
    <row r="495" spans="1:35" x14ac:dyDescent="0.2">
      <c r="A495" s="531"/>
      <c r="B495" s="303"/>
      <c r="C495" s="303"/>
      <c r="D495" s="303"/>
      <c r="E495" s="303"/>
      <c r="F495" s="303"/>
      <c r="G495" s="303"/>
      <c r="H495" s="303"/>
      <c r="I495" s="303"/>
      <c r="J495" s="303"/>
      <c r="K495" s="303"/>
      <c r="L495" s="303"/>
      <c r="M495" s="303"/>
      <c r="N495" s="303"/>
      <c r="O495" s="303"/>
      <c r="P495" s="303"/>
      <c r="Q495" s="303"/>
      <c r="R495" s="303"/>
      <c r="S495" s="303"/>
      <c r="T495" s="303"/>
      <c r="U495" s="303"/>
      <c r="V495" s="303"/>
      <c r="W495" s="303"/>
      <c r="X495" s="303"/>
      <c r="Y495" s="303"/>
      <c r="Z495" s="532"/>
      <c r="AA495" s="530"/>
      <c r="AB495" s="525" t="str">
        <f t="shared" si="6"/>
        <v/>
      </c>
      <c r="AC495" s="525" t="str">
        <f t="shared" si="7"/>
        <v/>
      </c>
      <c r="AD495" s="525" t="str">
        <f t="shared" si="8"/>
        <v/>
      </c>
      <c r="AE495" s="525" t="str">
        <f t="shared" si="9"/>
        <v/>
      </c>
      <c r="AF495" s="525" t="str">
        <f t="shared" si="10"/>
        <v/>
      </c>
      <c r="AG495" s="525" t="str">
        <f t="shared" si="11"/>
        <v/>
      </c>
      <c r="AH495" s="525">
        <f>E496</f>
        <v>0</v>
      </c>
      <c r="AI495" s="525">
        <f>E497</f>
        <v>0</v>
      </c>
    </row>
    <row r="496" spans="1:35" x14ac:dyDescent="0.2">
      <c r="A496" s="531"/>
      <c r="B496" s="303"/>
      <c r="C496" s="303"/>
      <c r="D496" s="303"/>
      <c r="E496" s="303"/>
      <c r="F496" s="303"/>
      <c r="G496" s="303"/>
      <c r="H496" s="303"/>
      <c r="I496" s="303"/>
      <c r="J496" s="303"/>
      <c r="K496" s="303"/>
      <c r="L496" s="303"/>
      <c r="M496" s="303"/>
      <c r="N496" s="303"/>
      <c r="O496" s="303"/>
      <c r="P496" s="303"/>
      <c r="Q496" s="303"/>
      <c r="R496" s="303"/>
      <c r="S496" s="303"/>
      <c r="T496" s="303"/>
      <c r="U496" s="303"/>
      <c r="V496" s="303"/>
      <c r="W496" s="303"/>
      <c r="X496" s="303"/>
      <c r="Y496" s="303"/>
      <c r="Z496" s="532"/>
      <c r="AA496" s="530"/>
      <c r="AB496" s="525" t="str">
        <f t="shared" si="6"/>
        <v/>
      </c>
      <c r="AC496" s="525" t="str">
        <f t="shared" si="7"/>
        <v/>
      </c>
      <c r="AD496" s="525" t="str">
        <f t="shared" si="8"/>
        <v/>
      </c>
      <c r="AE496" s="525" t="str">
        <f t="shared" si="9"/>
        <v/>
      </c>
      <c r="AF496" s="525" t="str">
        <f t="shared" si="10"/>
        <v/>
      </c>
      <c r="AG496" s="525" t="str">
        <f t="shared" si="11"/>
        <v/>
      </c>
      <c r="AH496" s="525">
        <f>E496</f>
        <v>0</v>
      </c>
      <c r="AI496" s="525">
        <f>E497</f>
        <v>0</v>
      </c>
    </row>
    <row r="497" spans="1:35" x14ac:dyDescent="0.2">
      <c r="A497" s="531"/>
      <c r="B497" s="303"/>
      <c r="C497" s="303"/>
      <c r="D497" s="303"/>
      <c r="E497" s="303"/>
      <c r="F497" s="303"/>
      <c r="G497" s="303"/>
      <c r="H497" s="303"/>
      <c r="I497" s="303"/>
      <c r="J497" s="303"/>
      <c r="K497" s="303"/>
      <c r="L497" s="303"/>
      <c r="M497" s="303"/>
      <c r="N497" s="303"/>
      <c r="O497" s="303"/>
      <c r="P497" s="303"/>
      <c r="Q497" s="303"/>
      <c r="R497" s="303"/>
      <c r="S497" s="303"/>
      <c r="T497" s="303"/>
      <c r="U497" s="303"/>
      <c r="V497" s="303"/>
      <c r="W497" s="303"/>
      <c r="X497" s="303"/>
      <c r="Y497" s="303"/>
      <c r="Z497" s="532"/>
      <c r="AA497" s="530"/>
      <c r="AB497" s="525" t="str">
        <f t="shared" si="6"/>
        <v/>
      </c>
      <c r="AC497" s="525" t="str">
        <f t="shared" si="7"/>
        <v/>
      </c>
      <c r="AD497" s="525" t="str">
        <f t="shared" si="8"/>
        <v/>
      </c>
      <c r="AE497" s="525" t="str">
        <f t="shared" si="9"/>
        <v/>
      </c>
      <c r="AF497" s="525" t="str">
        <f t="shared" si="10"/>
        <v/>
      </c>
      <c r="AG497" s="525" t="str">
        <f t="shared" si="11"/>
        <v/>
      </c>
      <c r="AH497" s="525">
        <f>E496</f>
        <v>0</v>
      </c>
      <c r="AI497" s="525">
        <f>E497</f>
        <v>0</v>
      </c>
    </row>
    <row r="498" spans="1:35" x14ac:dyDescent="0.2">
      <c r="A498" s="531"/>
      <c r="B498" s="303"/>
      <c r="C498" s="303"/>
      <c r="D498" s="303"/>
      <c r="E498" s="303"/>
      <c r="F498" s="303"/>
      <c r="G498" s="303"/>
      <c r="H498" s="303"/>
      <c r="I498" s="303"/>
      <c r="J498" s="303"/>
      <c r="K498" s="303"/>
      <c r="L498" s="303"/>
      <c r="M498" s="303"/>
      <c r="N498" s="303"/>
      <c r="O498" s="303"/>
      <c r="P498" s="303"/>
      <c r="Q498" s="303"/>
      <c r="R498" s="303"/>
      <c r="S498" s="303"/>
      <c r="T498" s="303"/>
      <c r="U498" s="303"/>
      <c r="V498" s="303"/>
      <c r="W498" s="303"/>
      <c r="X498" s="303"/>
      <c r="Y498" s="303"/>
      <c r="Z498" s="532"/>
      <c r="AA498" s="530"/>
      <c r="AB498" s="525" t="str">
        <f t="shared" si="6"/>
        <v/>
      </c>
      <c r="AC498" s="525" t="str">
        <f t="shared" si="7"/>
        <v/>
      </c>
      <c r="AD498" s="525" t="str">
        <f t="shared" si="8"/>
        <v/>
      </c>
      <c r="AE498" s="525" t="str">
        <f t="shared" si="9"/>
        <v/>
      </c>
      <c r="AF498" s="525" t="str">
        <f t="shared" si="10"/>
        <v/>
      </c>
      <c r="AG498" s="525" t="str">
        <f t="shared" si="11"/>
        <v/>
      </c>
      <c r="AH498" s="525">
        <f>E499</f>
        <v>0</v>
      </c>
      <c r="AI498" s="525">
        <f>E500</f>
        <v>0</v>
      </c>
    </row>
    <row r="499" spans="1:35" x14ac:dyDescent="0.2">
      <c r="A499" s="531"/>
      <c r="B499" s="303"/>
      <c r="C499" s="303"/>
      <c r="D499" s="303"/>
      <c r="E499" s="303"/>
      <c r="F499" s="303"/>
      <c r="G499" s="303"/>
      <c r="H499" s="303"/>
      <c r="I499" s="303"/>
      <c r="J499" s="303"/>
      <c r="K499" s="303"/>
      <c r="L499" s="303"/>
      <c r="M499" s="303"/>
      <c r="N499" s="303"/>
      <c r="O499" s="303"/>
      <c r="P499" s="303"/>
      <c r="Q499" s="303"/>
      <c r="R499" s="303"/>
      <c r="S499" s="303"/>
      <c r="T499" s="303"/>
      <c r="U499" s="303"/>
      <c r="V499" s="303"/>
      <c r="W499" s="303"/>
      <c r="X499" s="303"/>
      <c r="Y499" s="303"/>
      <c r="Z499" s="532"/>
      <c r="AA499" s="530"/>
      <c r="AB499" s="525" t="str">
        <f t="shared" si="6"/>
        <v/>
      </c>
      <c r="AC499" s="525" t="str">
        <f t="shared" si="7"/>
        <v/>
      </c>
      <c r="AD499" s="525" t="str">
        <f t="shared" si="8"/>
        <v/>
      </c>
      <c r="AE499" s="525" t="str">
        <f t="shared" si="9"/>
        <v/>
      </c>
      <c r="AF499" s="525" t="str">
        <f t="shared" si="10"/>
        <v/>
      </c>
      <c r="AG499" s="525" t="str">
        <f t="shared" si="11"/>
        <v/>
      </c>
      <c r="AH499" s="525">
        <f>E499</f>
        <v>0</v>
      </c>
      <c r="AI499" s="525">
        <f>E500</f>
        <v>0</v>
      </c>
    </row>
    <row r="500" spans="1:35" x14ac:dyDescent="0.2">
      <c r="A500" s="531"/>
      <c r="B500" s="303"/>
      <c r="C500" s="303"/>
      <c r="D500" s="303"/>
      <c r="E500" s="303"/>
      <c r="F500" s="303"/>
      <c r="G500" s="303"/>
      <c r="H500" s="303"/>
      <c r="I500" s="303"/>
      <c r="J500" s="303"/>
      <c r="K500" s="303"/>
      <c r="L500" s="303"/>
      <c r="M500" s="303"/>
      <c r="N500" s="303"/>
      <c r="O500" s="303"/>
      <c r="P500" s="303"/>
      <c r="Q500" s="303"/>
      <c r="R500" s="303"/>
      <c r="S500" s="303"/>
      <c r="T500" s="303"/>
      <c r="U500" s="303"/>
      <c r="V500" s="303"/>
      <c r="W500" s="303"/>
      <c r="X500" s="303"/>
      <c r="Y500" s="303"/>
      <c r="Z500" s="532"/>
      <c r="AA500" s="530"/>
      <c r="AB500" s="525" t="str">
        <f t="shared" si="6"/>
        <v/>
      </c>
      <c r="AC500" s="525" t="str">
        <f t="shared" si="7"/>
        <v/>
      </c>
      <c r="AD500" s="525" t="str">
        <f t="shared" si="8"/>
        <v/>
      </c>
      <c r="AE500" s="525" t="str">
        <f t="shared" si="9"/>
        <v/>
      </c>
      <c r="AF500" s="525" t="str">
        <f t="shared" si="10"/>
        <v/>
      </c>
      <c r="AG500" s="525" t="str">
        <f t="shared" si="11"/>
        <v/>
      </c>
      <c r="AH500" s="525">
        <f>E499</f>
        <v>0</v>
      </c>
      <c r="AI500" s="525">
        <f>E500</f>
        <v>0</v>
      </c>
    </row>
    <row r="501" spans="1:35" x14ac:dyDescent="0.2">
      <c r="A501" s="531"/>
      <c r="B501" s="303"/>
      <c r="C501" s="303"/>
      <c r="D501" s="303"/>
      <c r="E501" s="303"/>
      <c r="F501" s="303"/>
      <c r="G501" s="303"/>
      <c r="H501" s="303"/>
      <c r="I501" s="303"/>
      <c r="J501" s="303"/>
      <c r="K501" s="303"/>
      <c r="L501" s="303"/>
      <c r="M501" s="303"/>
      <c r="N501" s="303"/>
      <c r="O501" s="303"/>
      <c r="P501" s="303"/>
      <c r="Q501" s="303"/>
      <c r="R501" s="303"/>
      <c r="S501" s="303"/>
      <c r="T501" s="303"/>
      <c r="U501" s="303"/>
      <c r="V501" s="303"/>
      <c r="W501" s="303"/>
      <c r="X501" s="303"/>
      <c r="Y501" s="303"/>
      <c r="Z501" s="532"/>
      <c r="AA501" s="530"/>
      <c r="AB501" s="525" t="str">
        <f t="shared" si="6"/>
        <v/>
      </c>
      <c r="AC501" s="525" t="str">
        <f t="shared" si="7"/>
        <v/>
      </c>
      <c r="AD501" s="525" t="str">
        <f t="shared" si="8"/>
        <v/>
      </c>
      <c r="AE501" s="525" t="str">
        <f t="shared" si="9"/>
        <v/>
      </c>
      <c r="AF501" s="525" t="str">
        <f t="shared" si="10"/>
        <v/>
      </c>
      <c r="AG501" s="525" t="str">
        <f t="shared" si="11"/>
        <v/>
      </c>
      <c r="AH501" s="525">
        <f>E502</f>
        <v>0</v>
      </c>
      <c r="AI501" s="525">
        <f>E503</f>
        <v>0</v>
      </c>
    </row>
    <row r="502" spans="1:35" x14ac:dyDescent="0.2">
      <c r="A502" s="531"/>
      <c r="B502" s="303"/>
      <c r="C502" s="303"/>
      <c r="D502" s="303"/>
      <c r="E502" s="303"/>
      <c r="F502" s="303"/>
      <c r="G502" s="303"/>
      <c r="H502" s="303"/>
      <c r="I502" s="303"/>
      <c r="J502" s="303"/>
      <c r="K502" s="303"/>
      <c r="L502" s="303"/>
      <c r="M502" s="303"/>
      <c r="N502" s="303"/>
      <c r="O502" s="303"/>
      <c r="P502" s="303"/>
      <c r="Q502" s="303"/>
      <c r="R502" s="303"/>
      <c r="S502" s="303"/>
      <c r="T502" s="303"/>
      <c r="U502" s="303"/>
      <c r="V502" s="303"/>
      <c r="W502" s="303"/>
      <c r="X502" s="303"/>
      <c r="Y502" s="303"/>
      <c r="Z502" s="532"/>
      <c r="AA502" s="530"/>
      <c r="AB502" s="525" t="str">
        <f t="shared" si="6"/>
        <v/>
      </c>
      <c r="AC502" s="525" t="str">
        <f t="shared" si="7"/>
        <v/>
      </c>
      <c r="AD502" s="525" t="str">
        <f t="shared" si="8"/>
        <v/>
      </c>
      <c r="AE502" s="525" t="str">
        <f t="shared" si="9"/>
        <v/>
      </c>
      <c r="AF502" s="525" t="str">
        <f t="shared" si="10"/>
        <v/>
      </c>
      <c r="AG502" s="525" t="str">
        <f t="shared" si="11"/>
        <v/>
      </c>
      <c r="AH502" s="525">
        <f>E502</f>
        <v>0</v>
      </c>
      <c r="AI502" s="525">
        <f>E503</f>
        <v>0</v>
      </c>
    </row>
    <row r="503" spans="1:35" x14ac:dyDescent="0.2">
      <c r="A503" s="531"/>
      <c r="B503" s="303"/>
      <c r="C503" s="303"/>
      <c r="D503" s="303"/>
      <c r="E503" s="303"/>
      <c r="F503" s="303"/>
      <c r="G503" s="303"/>
      <c r="H503" s="303"/>
      <c r="I503" s="303"/>
      <c r="J503" s="303"/>
      <c r="K503" s="303"/>
      <c r="L503" s="303"/>
      <c r="M503" s="303"/>
      <c r="N503" s="303"/>
      <c r="O503" s="303"/>
      <c r="P503" s="303"/>
      <c r="Q503" s="303"/>
      <c r="R503" s="303"/>
      <c r="S503" s="303"/>
      <c r="T503" s="303"/>
      <c r="U503" s="303"/>
      <c r="V503" s="303"/>
      <c r="W503" s="303"/>
      <c r="X503" s="303"/>
      <c r="Y503" s="303"/>
      <c r="Z503" s="532"/>
      <c r="AA503" s="530"/>
      <c r="AB503" s="525" t="str">
        <f t="shared" si="6"/>
        <v/>
      </c>
      <c r="AC503" s="525" t="str">
        <f t="shared" si="7"/>
        <v/>
      </c>
      <c r="AD503" s="525" t="str">
        <f t="shared" si="8"/>
        <v/>
      </c>
      <c r="AE503" s="525" t="str">
        <f t="shared" si="9"/>
        <v/>
      </c>
      <c r="AF503" s="525" t="str">
        <f t="shared" si="10"/>
        <v/>
      </c>
      <c r="AG503" s="525" t="str">
        <f t="shared" si="11"/>
        <v/>
      </c>
      <c r="AH503" s="525">
        <f>E502</f>
        <v>0</v>
      </c>
      <c r="AI503" s="525">
        <f>E503</f>
        <v>0</v>
      </c>
    </row>
    <row r="504" spans="1:35" x14ac:dyDescent="0.2">
      <c r="A504" s="531"/>
      <c r="B504" s="303"/>
      <c r="C504" s="303"/>
      <c r="D504" s="303"/>
      <c r="E504" s="303"/>
      <c r="F504" s="303"/>
      <c r="G504" s="303"/>
      <c r="H504" s="303"/>
      <c r="I504" s="303"/>
      <c r="J504" s="303"/>
      <c r="K504" s="303"/>
      <c r="L504" s="303"/>
      <c r="M504" s="303"/>
      <c r="N504" s="303"/>
      <c r="O504" s="303"/>
      <c r="P504" s="303"/>
      <c r="Q504" s="303"/>
      <c r="R504" s="303"/>
      <c r="S504" s="303"/>
      <c r="T504" s="303"/>
      <c r="U504" s="303"/>
      <c r="V504" s="303"/>
      <c r="W504" s="303"/>
      <c r="X504" s="303"/>
      <c r="Y504" s="303"/>
      <c r="Z504" s="532"/>
      <c r="AA504" s="530"/>
      <c r="AB504" s="525" t="str">
        <f t="shared" si="6"/>
        <v/>
      </c>
      <c r="AC504" s="525" t="str">
        <f t="shared" si="7"/>
        <v/>
      </c>
      <c r="AD504" s="525" t="str">
        <f t="shared" si="8"/>
        <v/>
      </c>
      <c r="AE504" s="525" t="str">
        <f t="shared" si="9"/>
        <v/>
      </c>
      <c r="AF504" s="525" t="str">
        <f t="shared" si="10"/>
        <v/>
      </c>
      <c r="AG504" s="525" t="str">
        <f t="shared" si="11"/>
        <v/>
      </c>
      <c r="AH504" s="525">
        <f>E505</f>
        <v>0</v>
      </c>
      <c r="AI504" s="525">
        <f>E506</f>
        <v>0</v>
      </c>
    </row>
    <row r="505" spans="1:35" x14ac:dyDescent="0.2">
      <c r="A505" s="531"/>
      <c r="B505" s="303"/>
      <c r="C505" s="303"/>
      <c r="D505" s="303"/>
      <c r="E505" s="303"/>
      <c r="F505" s="303"/>
      <c r="G505" s="303"/>
      <c r="H505" s="303"/>
      <c r="I505" s="303"/>
      <c r="J505" s="303"/>
      <c r="K505" s="303"/>
      <c r="L505" s="303"/>
      <c r="M505" s="303"/>
      <c r="N505" s="303"/>
      <c r="O505" s="303"/>
      <c r="P505" s="303"/>
      <c r="Q505" s="303"/>
      <c r="R505" s="303"/>
      <c r="S505" s="303"/>
      <c r="T505" s="303"/>
      <c r="U505" s="303"/>
      <c r="V505" s="303"/>
      <c r="W505" s="303"/>
      <c r="X505" s="303"/>
      <c r="Y505" s="303"/>
      <c r="Z505" s="532"/>
      <c r="AA505" s="530"/>
      <c r="AB505" s="525" t="str">
        <f t="shared" si="6"/>
        <v/>
      </c>
      <c r="AC505" s="525" t="str">
        <f t="shared" si="7"/>
        <v/>
      </c>
      <c r="AD505" s="525" t="str">
        <f t="shared" si="8"/>
        <v/>
      </c>
      <c r="AE505" s="525" t="str">
        <f t="shared" si="9"/>
        <v/>
      </c>
      <c r="AF505" s="525" t="str">
        <f t="shared" si="10"/>
        <v/>
      </c>
      <c r="AG505" s="525" t="str">
        <f t="shared" si="11"/>
        <v/>
      </c>
      <c r="AH505" s="525">
        <f>E505</f>
        <v>0</v>
      </c>
      <c r="AI505" s="525">
        <f>E506</f>
        <v>0</v>
      </c>
    </row>
    <row r="506" spans="1:35" x14ac:dyDescent="0.2">
      <c r="A506" s="531"/>
      <c r="B506" s="303"/>
      <c r="C506" s="303"/>
      <c r="D506" s="303"/>
      <c r="E506" s="303"/>
      <c r="F506" s="303"/>
      <c r="G506" s="303"/>
      <c r="H506" s="303"/>
      <c r="I506" s="303"/>
      <c r="J506" s="303"/>
      <c r="K506" s="303"/>
      <c r="L506" s="303"/>
      <c r="M506" s="303"/>
      <c r="N506" s="303"/>
      <c r="O506" s="303"/>
      <c r="P506" s="303"/>
      <c r="Q506" s="303"/>
      <c r="R506" s="303"/>
      <c r="S506" s="303"/>
      <c r="T506" s="303"/>
      <c r="U506" s="303"/>
      <c r="V506" s="303"/>
      <c r="W506" s="303"/>
      <c r="X506" s="303"/>
      <c r="Y506" s="303"/>
      <c r="Z506" s="532"/>
      <c r="AA506" s="530"/>
      <c r="AB506" s="525" t="str">
        <f t="shared" si="6"/>
        <v/>
      </c>
      <c r="AC506" s="525" t="str">
        <f t="shared" si="7"/>
        <v/>
      </c>
      <c r="AD506" s="525" t="str">
        <f t="shared" si="8"/>
        <v/>
      </c>
      <c r="AE506" s="525" t="str">
        <f t="shared" si="9"/>
        <v/>
      </c>
      <c r="AF506" s="525" t="str">
        <f t="shared" si="10"/>
        <v/>
      </c>
      <c r="AG506" s="525" t="str">
        <f t="shared" si="11"/>
        <v/>
      </c>
      <c r="AH506" s="525">
        <f>E505</f>
        <v>0</v>
      </c>
      <c r="AI506" s="525">
        <f>E506</f>
        <v>0</v>
      </c>
    </row>
    <row r="507" spans="1:35" x14ac:dyDescent="0.2">
      <c r="A507" s="531"/>
      <c r="B507" s="303"/>
      <c r="C507" s="303"/>
      <c r="D507" s="303"/>
      <c r="E507" s="303"/>
      <c r="F507" s="303"/>
      <c r="G507" s="303"/>
      <c r="H507" s="303"/>
      <c r="I507" s="303"/>
      <c r="J507" s="303"/>
      <c r="K507" s="303"/>
      <c r="L507" s="303"/>
      <c r="M507" s="303"/>
      <c r="N507" s="303"/>
      <c r="O507" s="303"/>
      <c r="P507" s="303"/>
      <c r="Q507" s="303"/>
      <c r="R507" s="303"/>
      <c r="S507" s="303"/>
      <c r="T507" s="303"/>
      <c r="U507" s="303"/>
      <c r="V507" s="303"/>
      <c r="W507" s="303"/>
      <c r="X507" s="303"/>
      <c r="Y507" s="303"/>
      <c r="Z507" s="532"/>
      <c r="AA507" s="530"/>
      <c r="AB507" s="525" t="str">
        <f t="shared" si="6"/>
        <v/>
      </c>
      <c r="AC507" s="525" t="str">
        <f t="shared" si="7"/>
        <v/>
      </c>
      <c r="AD507" s="525" t="str">
        <f t="shared" si="8"/>
        <v/>
      </c>
      <c r="AE507" s="525" t="str">
        <f t="shared" si="9"/>
        <v/>
      </c>
      <c r="AF507" s="525" t="str">
        <f t="shared" si="10"/>
        <v/>
      </c>
      <c r="AG507" s="525" t="str">
        <f t="shared" si="11"/>
        <v/>
      </c>
      <c r="AH507" s="525">
        <f>E508</f>
        <v>0</v>
      </c>
      <c r="AI507" s="525">
        <f>E509</f>
        <v>0</v>
      </c>
    </row>
    <row r="508" spans="1:35" x14ac:dyDescent="0.2">
      <c r="A508" s="531"/>
      <c r="B508" s="303"/>
      <c r="C508" s="303"/>
      <c r="D508" s="303"/>
      <c r="E508" s="303"/>
      <c r="F508" s="303"/>
      <c r="G508" s="303"/>
      <c r="H508" s="303"/>
      <c r="I508" s="303"/>
      <c r="J508" s="303"/>
      <c r="K508" s="303"/>
      <c r="L508" s="303"/>
      <c r="M508" s="303"/>
      <c r="N508" s="303"/>
      <c r="O508" s="303"/>
      <c r="P508" s="303"/>
      <c r="Q508" s="303"/>
      <c r="R508" s="303"/>
      <c r="S508" s="303"/>
      <c r="T508" s="303"/>
      <c r="U508" s="303"/>
      <c r="V508" s="303"/>
      <c r="W508" s="303"/>
      <c r="X508" s="303"/>
      <c r="Y508" s="303"/>
      <c r="Z508" s="532"/>
      <c r="AA508" s="530"/>
      <c r="AB508" s="525" t="str">
        <f t="shared" si="6"/>
        <v/>
      </c>
      <c r="AC508" s="525" t="str">
        <f t="shared" si="7"/>
        <v/>
      </c>
      <c r="AD508" s="525" t="str">
        <f t="shared" si="8"/>
        <v/>
      </c>
      <c r="AE508" s="525" t="str">
        <f t="shared" si="9"/>
        <v/>
      </c>
      <c r="AF508" s="525" t="str">
        <f t="shared" si="10"/>
        <v/>
      </c>
      <c r="AG508" s="525" t="str">
        <f t="shared" si="11"/>
        <v/>
      </c>
      <c r="AH508" s="525">
        <f>E508</f>
        <v>0</v>
      </c>
      <c r="AI508" s="525">
        <f>E509</f>
        <v>0</v>
      </c>
    </row>
    <row r="509" spans="1:35" x14ac:dyDescent="0.2">
      <c r="A509" s="531"/>
      <c r="B509" s="303"/>
      <c r="C509" s="303"/>
      <c r="D509" s="303"/>
      <c r="E509" s="303"/>
      <c r="F509" s="303"/>
      <c r="G509" s="303"/>
      <c r="H509" s="303"/>
      <c r="I509" s="303"/>
      <c r="J509" s="303"/>
      <c r="K509" s="303"/>
      <c r="L509" s="303"/>
      <c r="M509" s="303"/>
      <c r="N509" s="303"/>
      <c r="O509" s="303"/>
      <c r="P509" s="303"/>
      <c r="Q509" s="303"/>
      <c r="R509" s="303"/>
      <c r="S509" s="303"/>
      <c r="T509" s="303"/>
      <c r="U509" s="303"/>
      <c r="V509" s="303"/>
      <c r="W509" s="303"/>
      <c r="X509" s="303"/>
      <c r="Y509" s="303"/>
      <c r="Z509" s="532"/>
      <c r="AA509" s="530"/>
      <c r="AB509" s="525" t="str">
        <f t="shared" si="6"/>
        <v/>
      </c>
      <c r="AC509" s="525" t="str">
        <f t="shared" si="7"/>
        <v/>
      </c>
      <c r="AD509" s="525" t="str">
        <f t="shared" si="8"/>
        <v/>
      </c>
      <c r="AE509" s="525" t="str">
        <f t="shared" si="9"/>
        <v/>
      </c>
      <c r="AF509" s="525" t="str">
        <f t="shared" si="10"/>
        <v/>
      </c>
      <c r="AG509" s="525" t="str">
        <f t="shared" si="11"/>
        <v/>
      </c>
      <c r="AH509" s="525">
        <f>E508</f>
        <v>0</v>
      </c>
      <c r="AI509" s="525">
        <f>E509</f>
        <v>0</v>
      </c>
    </row>
    <row r="510" spans="1:35" x14ac:dyDescent="0.2">
      <c r="A510" s="531"/>
      <c r="B510" s="303"/>
      <c r="C510" s="303"/>
      <c r="D510" s="303"/>
      <c r="E510" s="303"/>
      <c r="F510" s="303"/>
      <c r="G510" s="303"/>
      <c r="H510" s="303"/>
      <c r="I510" s="303"/>
      <c r="J510" s="303"/>
      <c r="K510" s="303"/>
      <c r="L510" s="303"/>
      <c r="M510" s="303"/>
      <c r="N510" s="303"/>
      <c r="O510" s="303"/>
      <c r="P510" s="303"/>
      <c r="Q510" s="303"/>
      <c r="R510" s="303"/>
      <c r="S510" s="303"/>
      <c r="T510" s="303"/>
      <c r="U510" s="303"/>
      <c r="V510" s="303"/>
      <c r="W510" s="303"/>
      <c r="X510" s="303"/>
      <c r="Y510" s="303"/>
      <c r="Z510" s="532"/>
      <c r="AA510" s="530"/>
      <c r="AB510" s="525" t="str">
        <f t="shared" si="6"/>
        <v/>
      </c>
      <c r="AC510" s="525" t="str">
        <f t="shared" si="7"/>
        <v/>
      </c>
      <c r="AD510" s="525" t="str">
        <f t="shared" si="8"/>
        <v/>
      </c>
      <c r="AE510" s="525" t="str">
        <f t="shared" si="9"/>
        <v/>
      </c>
      <c r="AF510" s="525" t="str">
        <f t="shared" si="10"/>
        <v/>
      </c>
      <c r="AG510" s="525" t="str">
        <f t="shared" si="11"/>
        <v/>
      </c>
      <c r="AH510" s="525">
        <f>E511</f>
        <v>0</v>
      </c>
      <c r="AI510" s="525">
        <f>E512</f>
        <v>0</v>
      </c>
    </row>
    <row r="511" spans="1:35" x14ac:dyDescent="0.2">
      <c r="A511" s="531"/>
      <c r="B511" s="303"/>
      <c r="C511" s="303"/>
      <c r="D511" s="303"/>
      <c r="E511" s="303"/>
      <c r="F511" s="303"/>
      <c r="G511" s="303"/>
      <c r="H511" s="303"/>
      <c r="I511" s="303"/>
      <c r="J511" s="303"/>
      <c r="K511" s="303"/>
      <c r="L511" s="303"/>
      <c r="M511" s="303"/>
      <c r="N511" s="303"/>
      <c r="O511" s="303"/>
      <c r="P511" s="303"/>
      <c r="Q511" s="303"/>
      <c r="R511" s="303"/>
      <c r="S511" s="303"/>
      <c r="T511" s="303"/>
      <c r="U511" s="303"/>
      <c r="V511" s="303"/>
      <c r="W511" s="303"/>
      <c r="X511" s="303"/>
      <c r="Y511" s="303"/>
      <c r="Z511" s="532"/>
      <c r="AA511" s="530"/>
      <c r="AB511" s="525" t="str">
        <f t="shared" si="6"/>
        <v/>
      </c>
      <c r="AC511" s="525" t="str">
        <f t="shared" si="7"/>
        <v/>
      </c>
      <c r="AD511" s="525" t="str">
        <f t="shared" si="8"/>
        <v/>
      </c>
      <c r="AE511" s="525" t="str">
        <f t="shared" si="9"/>
        <v/>
      </c>
      <c r="AF511" s="525" t="str">
        <f t="shared" si="10"/>
        <v/>
      </c>
      <c r="AG511" s="525" t="str">
        <f t="shared" si="11"/>
        <v/>
      </c>
      <c r="AH511" s="525">
        <f>E511</f>
        <v>0</v>
      </c>
      <c r="AI511" s="525">
        <f>E512</f>
        <v>0</v>
      </c>
    </row>
    <row r="512" spans="1:35" x14ac:dyDescent="0.2">
      <c r="A512" s="531"/>
      <c r="B512" s="303"/>
      <c r="C512" s="303"/>
      <c r="D512" s="303"/>
      <c r="E512" s="303"/>
      <c r="F512" s="303"/>
      <c r="G512" s="303"/>
      <c r="H512" s="303"/>
      <c r="I512" s="303"/>
      <c r="J512" s="303"/>
      <c r="K512" s="303"/>
      <c r="L512" s="303"/>
      <c r="M512" s="303"/>
      <c r="N512" s="303"/>
      <c r="O512" s="303"/>
      <c r="P512" s="303"/>
      <c r="Q512" s="303"/>
      <c r="R512" s="303"/>
      <c r="S512" s="303"/>
      <c r="T512" s="303"/>
      <c r="U512" s="303"/>
      <c r="V512" s="303"/>
      <c r="W512" s="303"/>
      <c r="X512" s="303"/>
      <c r="Y512" s="303"/>
      <c r="Z512" s="532"/>
      <c r="AA512" s="530"/>
      <c r="AB512" s="525" t="str">
        <f t="shared" si="6"/>
        <v/>
      </c>
      <c r="AC512" s="525" t="str">
        <f t="shared" si="7"/>
        <v/>
      </c>
      <c r="AD512" s="525" t="str">
        <f t="shared" si="8"/>
        <v/>
      </c>
      <c r="AE512" s="525" t="str">
        <f t="shared" si="9"/>
        <v/>
      </c>
      <c r="AF512" s="525" t="str">
        <f t="shared" si="10"/>
        <v/>
      </c>
      <c r="AG512" s="525" t="str">
        <f t="shared" si="11"/>
        <v/>
      </c>
      <c r="AH512" s="525">
        <f>E511</f>
        <v>0</v>
      </c>
      <c r="AI512" s="525">
        <f>E512</f>
        <v>0</v>
      </c>
    </row>
    <row r="513" spans="1:35" x14ac:dyDescent="0.2">
      <c r="A513" s="531"/>
      <c r="B513" s="303"/>
      <c r="C513" s="303"/>
      <c r="D513" s="303"/>
      <c r="E513" s="303"/>
      <c r="F513" s="303"/>
      <c r="G513" s="303"/>
      <c r="H513" s="303"/>
      <c r="I513" s="303"/>
      <c r="J513" s="303"/>
      <c r="K513" s="303"/>
      <c r="L513" s="303"/>
      <c r="M513" s="303"/>
      <c r="N513" s="303"/>
      <c r="O513" s="303"/>
      <c r="P513" s="303"/>
      <c r="Q513" s="303"/>
      <c r="R513" s="303"/>
      <c r="S513" s="303"/>
      <c r="T513" s="303"/>
      <c r="U513" s="303"/>
      <c r="V513" s="303"/>
      <c r="W513" s="303"/>
      <c r="X513" s="303"/>
      <c r="Y513" s="303"/>
      <c r="Z513" s="532"/>
      <c r="AA513" s="530"/>
      <c r="AB513" s="525" t="str">
        <f t="shared" ref="AB513:AB767" si="12">IF(S513=TRUE,"Fire","")</f>
        <v/>
      </c>
      <c r="AC513" s="525" t="str">
        <f t="shared" ref="AC513:AC767" si="13">IF(T513=TRUE,"Water","")</f>
        <v/>
      </c>
      <c r="AD513" s="525" t="str">
        <f t="shared" ref="AD513:AD767" si="14">IF(U513=TRUE,"Air","")</f>
        <v/>
      </c>
      <c r="AE513" s="525" t="str">
        <f t="shared" ref="AE513:AE767" si="15">IF(V513=TRUE,"Earth","")</f>
        <v/>
      </c>
      <c r="AF513" s="525" t="str">
        <f t="shared" ref="AF513:AF767" si="16">IF(W513=TRUE,"Shadow","")</f>
        <v/>
      </c>
      <c r="AG513" s="525" t="str">
        <f t="shared" ref="AG513:AG767" si="17">IF(X513=TRUE,"Light","")</f>
        <v/>
      </c>
      <c r="AH513" s="525">
        <f>E514</f>
        <v>0</v>
      </c>
      <c r="AI513" s="525">
        <f>E515</f>
        <v>0</v>
      </c>
    </row>
    <row r="514" spans="1:35" x14ac:dyDescent="0.2">
      <c r="A514" s="531"/>
      <c r="B514" s="303"/>
      <c r="C514" s="303"/>
      <c r="D514" s="303"/>
      <c r="E514" s="303"/>
      <c r="F514" s="303"/>
      <c r="G514" s="303"/>
      <c r="H514" s="303"/>
      <c r="I514" s="303"/>
      <c r="J514" s="303"/>
      <c r="K514" s="303"/>
      <c r="L514" s="303"/>
      <c r="M514" s="303"/>
      <c r="N514" s="303"/>
      <c r="O514" s="303"/>
      <c r="P514" s="303"/>
      <c r="Q514" s="303"/>
      <c r="R514" s="303"/>
      <c r="S514" s="303"/>
      <c r="T514" s="303"/>
      <c r="U514" s="303"/>
      <c r="V514" s="303"/>
      <c r="W514" s="303"/>
      <c r="X514" s="303"/>
      <c r="Y514" s="303"/>
      <c r="Z514" s="532"/>
      <c r="AA514" s="530"/>
      <c r="AB514" s="525" t="str">
        <f t="shared" si="12"/>
        <v/>
      </c>
      <c r="AC514" s="525" t="str">
        <f t="shared" si="13"/>
        <v/>
      </c>
      <c r="AD514" s="525" t="str">
        <f t="shared" si="14"/>
        <v/>
      </c>
      <c r="AE514" s="525" t="str">
        <f t="shared" si="15"/>
        <v/>
      </c>
      <c r="AF514" s="525" t="str">
        <f t="shared" si="16"/>
        <v/>
      </c>
      <c r="AG514" s="525" t="str">
        <f t="shared" si="17"/>
        <v/>
      </c>
      <c r="AH514" s="525">
        <f>E514</f>
        <v>0</v>
      </c>
      <c r="AI514" s="525">
        <f>E515</f>
        <v>0</v>
      </c>
    </row>
    <row r="515" spans="1:35" x14ac:dyDescent="0.2">
      <c r="A515" s="531"/>
      <c r="B515" s="303"/>
      <c r="C515" s="303"/>
      <c r="D515" s="303"/>
      <c r="E515" s="303"/>
      <c r="F515" s="303"/>
      <c r="G515" s="303"/>
      <c r="H515" s="303"/>
      <c r="I515" s="303"/>
      <c r="J515" s="303"/>
      <c r="K515" s="303"/>
      <c r="L515" s="303"/>
      <c r="M515" s="303"/>
      <c r="N515" s="303"/>
      <c r="O515" s="303"/>
      <c r="P515" s="303"/>
      <c r="Q515" s="303"/>
      <c r="R515" s="303"/>
      <c r="S515" s="303"/>
      <c r="T515" s="303"/>
      <c r="U515" s="303"/>
      <c r="V515" s="303"/>
      <c r="W515" s="303"/>
      <c r="X515" s="303"/>
      <c r="Y515" s="303"/>
      <c r="Z515" s="532"/>
      <c r="AA515" s="530"/>
      <c r="AB515" s="525" t="str">
        <f t="shared" si="12"/>
        <v/>
      </c>
      <c r="AC515" s="525" t="str">
        <f t="shared" si="13"/>
        <v/>
      </c>
      <c r="AD515" s="525" t="str">
        <f t="shared" si="14"/>
        <v/>
      </c>
      <c r="AE515" s="525" t="str">
        <f t="shared" si="15"/>
        <v/>
      </c>
      <c r="AF515" s="525" t="str">
        <f t="shared" si="16"/>
        <v/>
      </c>
      <c r="AG515" s="525" t="str">
        <f t="shared" si="17"/>
        <v/>
      </c>
      <c r="AH515" s="525">
        <f>E514</f>
        <v>0</v>
      </c>
      <c r="AI515" s="525">
        <f>E515</f>
        <v>0</v>
      </c>
    </row>
    <row r="516" spans="1:35" x14ac:dyDescent="0.2">
      <c r="A516" s="531"/>
      <c r="B516" s="303"/>
      <c r="C516" s="303"/>
      <c r="D516" s="303"/>
      <c r="E516" s="303"/>
      <c r="F516" s="303"/>
      <c r="G516" s="303"/>
      <c r="H516" s="303"/>
      <c r="I516" s="303"/>
      <c r="J516" s="303"/>
      <c r="K516" s="303"/>
      <c r="L516" s="303"/>
      <c r="M516" s="303"/>
      <c r="N516" s="303"/>
      <c r="O516" s="303"/>
      <c r="P516" s="303"/>
      <c r="Q516" s="303"/>
      <c r="R516" s="303"/>
      <c r="S516" s="303"/>
      <c r="T516" s="303"/>
      <c r="U516" s="303"/>
      <c r="V516" s="303"/>
      <c r="W516" s="303"/>
      <c r="X516" s="303"/>
      <c r="Y516" s="303"/>
      <c r="Z516" s="532"/>
      <c r="AA516" s="530"/>
      <c r="AB516" s="525" t="str">
        <f t="shared" si="12"/>
        <v/>
      </c>
      <c r="AC516" s="525" t="str">
        <f t="shared" si="13"/>
        <v/>
      </c>
      <c r="AD516" s="525" t="str">
        <f t="shared" si="14"/>
        <v/>
      </c>
      <c r="AE516" s="525" t="str">
        <f t="shared" si="15"/>
        <v/>
      </c>
      <c r="AF516" s="525" t="str">
        <f t="shared" si="16"/>
        <v/>
      </c>
      <c r="AG516" s="525" t="str">
        <f t="shared" si="17"/>
        <v/>
      </c>
      <c r="AH516" s="525">
        <f>E517</f>
        <v>0</v>
      </c>
      <c r="AI516" s="525">
        <f>E518</f>
        <v>0</v>
      </c>
    </row>
    <row r="517" spans="1:35" x14ac:dyDescent="0.2">
      <c r="A517" s="531"/>
      <c r="B517" s="303"/>
      <c r="C517" s="303"/>
      <c r="D517" s="303"/>
      <c r="E517" s="303"/>
      <c r="F517" s="303"/>
      <c r="G517" s="303"/>
      <c r="H517" s="303"/>
      <c r="I517" s="303"/>
      <c r="J517" s="303"/>
      <c r="K517" s="303"/>
      <c r="L517" s="303"/>
      <c r="M517" s="303"/>
      <c r="N517" s="303"/>
      <c r="O517" s="303"/>
      <c r="P517" s="303"/>
      <c r="Q517" s="303"/>
      <c r="R517" s="303"/>
      <c r="S517" s="303"/>
      <c r="T517" s="303"/>
      <c r="U517" s="303"/>
      <c r="V517" s="303"/>
      <c r="W517" s="303"/>
      <c r="X517" s="303"/>
      <c r="Y517" s="303"/>
      <c r="Z517" s="532"/>
      <c r="AA517" s="530"/>
      <c r="AB517" s="525" t="str">
        <f t="shared" si="12"/>
        <v/>
      </c>
      <c r="AC517" s="525" t="str">
        <f t="shared" si="13"/>
        <v/>
      </c>
      <c r="AD517" s="525" t="str">
        <f t="shared" si="14"/>
        <v/>
      </c>
      <c r="AE517" s="525" t="str">
        <f t="shared" si="15"/>
        <v/>
      </c>
      <c r="AF517" s="525" t="str">
        <f t="shared" si="16"/>
        <v/>
      </c>
      <c r="AG517" s="525" t="str">
        <f t="shared" si="17"/>
        <v/>
      </c>
      <c r="AH517" s="525">
        <f>E517</f>
        <v>0</v>
      </c>
      <c r="AI517" s="525">
        <f>E518</f>
        <v>0</v>
      </c>
    </row>
    <row r="518" spans="1:35" x14ac:dyDescent="0.2">
      <c r="A518" s="531"/>
      <c r="B518" s="303"/>
      <c r="C518" s="303"/>
      <c r="D518" s="303"/>
      <c r="E518" s="303"/>
      <c r="F518" s="303"/>
      <c r="G518" s="303"/>
      <c r="H518" s="303"/>
      <c r="I518" s="303"/>
      <c r="J518" s="303"/>
      <c r="K518" s="303"/>
      <c r="L518" s="303"/>
      <c r="M518" s="303"/>
      <c r="N518" s="303"/>
      <c r="O518" s="303"/>
      <c r="P518" s="303"/>
      <c r="Q518" s="303"/>
      <c r="R518" s="303"/>
      <c r="S518" s="303"/>
      <c r="T518" s="303"/>
      <c r="U518" s="303"/>
      <c r="V518" s="303"/>
      <c r="W518" s="303"/>
      <c r="X518" s="303"/>
      <c r="Y518" s="303"/>
      <c r="Z518" s="532"/>
      <c r="AA518" s="530"/>
      <c r="AB518" s="525" t="str">
        <f t="shared" si="12"/>
        <v/>
      </c>
      <c r="AC518" s="525" t="str">
        <f t="shared" si="13"/>
        <v/>
      </c>
      <c r="AD518" s="525" t="str">
        <f t="shared" si="14"/>
        <v/>
      </c>
      <c r="AE518" s="525" t="str">
        <f t="shared" si="15"/>
        <v/>
      </c>
      <c r="AF518" s="525" t="str">
        <f t="shared" si="16"/>
        <v/>
      </c>
      <c r="AG518" s="525" t="str">
        <f t="shared" si="17"/>
        <v/>
      </c>
      <c r="AH518" s="525">
        <f>E517</f>
        <v>0</v>
      </c>
      <c r="AI518" s="525">
        <f>E518</f>
        <v>0</v>
      </c>
    </row>
    <row r="519" spans="1:35" x14ac:dyDescent="0.2">
      <c r="A519" s="531"/>
      <c r="B519" s="303"/>
      <c r="C519" s="303"/>
      <c r="D519" s="303"/>
      <c r="E519" s="303"/>
      <c r="F519" s="303"/>
      <c r="G519" s="303"/>
      <c r="H519" s="303"/>
      <c r="I519" s="303"/>
      <c r="J519" s="303"/>
      <c r="K519" s="303"/>
      <c r="L519" s="303"/>
      <c r="M519" s="303"/>
      <c r="N519" s="303"/>
      <c r="O519" s="303"/>
      <c r="P519" s="303"/>
      <c r="Q519" s="303"/>
      <c r="R519" s="303"/>
      <c r="S519" s="303"/>
      <c r="T519" s="303"/>
      <c r="U519" s="303"/>
      <c r="V519" s="303"/>
      <c r="W519" s="303"/>
      <c r="X519" s="303"/>
      <c r="Y519" s="303"/>
      <c r="Z519" s="532"/>
      <c r="AA519" s="530"/>
      <c r="AB519" s="525" t="str">
        <f t="shared" si="12"/>
        <v/>
      </c>
      <c r="AC519" s="525" t="str">
        <f t="shared" si="13"/>
        <v/>
      </c>
      <c r="AD519" s="525" t="str">
        <f t="shared" si="14"/>
        <v/>
      </c>
      <c r="AE519" s="525" t="str">
        <f t="shared" si="15"/>
        <v/>
      </c>
      <c r="AF519" s="525" t="str">
        <f t="shared" si="16"/>
        <v/>
      </c>
      <c r="AG519" s="525" t="str">
        <f t="shared" si="17"/>
        <v/>
      </c>
      <c r="AH519" s="525">
        <f>E520</f>
        <v>0</v>
      </c>
      <c r="AI519" s="525">
        <f>E521</f>
        <v>0</v>
      </c>
    </row>
    <row r="520" spans="1:35" x14ac:dyDescent="0.2">
      <c r="A520" s="531"/>
      <c r="B520" s="303"/>
      <c r="C520" s="303"/>
      <c r="D520" s="303"/>
      <c r="E520" s="303"/>
      <c r="F520" s="303"/>
      <c r="G520" s="303"/>
      <c r="H520" s="303"/>
      <c r="I520" s="303"/>
      <c r="J520" s="303"/>
      <c r="K520" s="303"/>
      <c r="L520" s="303"/>
      <c r="M520" s="303"/>
      <c r="N520" s="303"/>
      <c r="O520" s="303"/>
      <c r="P520" s="303"/>
      <c r="Q520" s="303"/>
      <c r="R520" s="303"/>
      <c r="S520" s="303"/>
      <c r="T520" s="303"/>
      <c r="U520" s="303"/>
      <c r="V520" s="303"/>
      <c r="W520" s="303"/>
      <c r="X520" s="303"/>
      <c r="Y520" s="303"/>
      <c r="Z520" s="532"/>
      <c r="AA520" s="530"/>
      <c r="AB520" s="525" t="str">
        <f t="shared" si="12"/>
        <v/>
      </c>
      <c r="AC520" s="525" t="str">
        <f t="shared" si="13"/>
        <v/>
      </c>
      <c r="AD520" s="525" t="str">
        <f t="shared" si="14"/>
        <v/>
      </c>
      <c r="AE520" s="525" t="str">
        <f t="shared" si="15"/>
        <v/>
      </c>
      <c r="AF520" s="525" t="str">
        <f t="shared" si="16"/>
        <v/>
      </c>
      <c r="AG520" s="525" t="str">
        <f t="shared" si="17"/>
        <v/>
      </c>
      <c r="AH520" s="525">
        <f>E520</f>
        <v>0</v>
      </c>
      <c r="AI520" s="525">
        <f>E521</f>
        <v>0</v>
      </c>
    </row>
    <row r="521" spans="1:35" x14ac:dyDescent="0.2">
      <c r="A521" s="531"/>
      <c r="B521" s="303"/>
      <c r="C521" s="303"/>
      <c r="D521" s="303"/>
      <c r="E521" s="303"/>
      <c r="F521" s="303"/>
      <c r="G521" s="303"/>
      <c r="H521" s="303"/>
      <c r="I521" s="303"/>
      <c r="J521" s="303"/>
      <c r="K521" s="303"/>
      <c r="L521" s="303"/>
      <c r="M521" s="303"/>
      <c r="N521" s="303"/>
      <c r="O521" s="303"/>
      <c r="P521" s="303"/>
      <c r="Q521" s="303"/>
      <c r="R521" s="303"/>
      <c r="S521" s="303"/>
      <c r="T521" s="303"/>
      <c r="U521" s="303"/>
      <c r="V521" s="303"/>
      <c r="W521" s="303"/>
      <c r="X521" s="303"/>
      <c r="Y521" s="303"/>
      <c r="Z521" s="532"/>
      <c r="AA521" s="530"/>
      <c r="AB521" s="525" t="str">
        <f t="shared" si="12"/>
        <v/>
      </c>
      <c r="AC521" s="525" t="str">
        <f t="shared" si="13"/>
        <v/>
      </c>
      <c r="AD521" s="525" t="str">
        <f t="shared" si="14"/>
        <v/>
      </c>
      <c r="AE521" s="525" t="str">
        <f t="shared" si="15"/>
        <v/>
      </c>
      <c r="AF521" s="525" t="str">
        <f t="shared" si="16"/>
        <v/>
      </c>
      <c r="AG521" s="525" t="str">
        <f t="shared" si="17"/>
        <v/>
      </c>
      <c r="AH521" s="525">
        <f>E520</f>
        <v>0</v>
      </c>
      <c r="AI521" s="525">
        <f>E521</f>
        <v>0</v>
      </c>
    </row>
    <row r="522" spans="1:35" x14ac:dyDescent="0.2">
      <c r="A522" s="531"/>
      <c r="B522" s="303"/>
      <c r="C522" s="303"/>
      <c r="D522" s="303"/>
      <c r="E522" s="303"/>
      <c r="F522" s="303"/>
      <c r="G522" s="303"/>
      <c r="H522" s="303"/>
      <c r="I522" s="303"/>
      <c r="J522" s="303"/>
      <c r="K522" s="303"/>
      <c r="L522" s="303"/>
      <c r="M522" s="303"/>
      <c r="N522" s="303"/>
      <c r="O522" s="303"/>
      <c r="P522" s="303"/>
      <c r="Q522" s="303"/>
      <c r="R522" s="303"/>
      <c r="S522" s="303"/>
      <c r="T522" s="303"/>
      <c r="U522" s="303"/>
      <c r="V522" s="303"/>
      <c r="W522" s="303"/>
      <c r="X522" s="303"/>
      <c r="Y522" s="303"/>
      <c r="Z522" s="532"/>
      <c r="AA522" s="530"/>
      <c r="AB522" s="525" t="str">
        <f t="shared" si="12"/>
        <v/>
      </c>
      <c r="AC522" s="525" t="str">
        <f t="shared" si="13"/>
        <v/>
      </c>
      <c r="AD522" s="525" t="str">
        <f t="shared" si="14"/>
        <v/>
      </c>
      <c r="AE522" s="525" t="str">
        <f t="shared" si="15"/>
        <v/>
      </c>
      <c r="AF522" s="525" t="str">
        <f t="shared" si="16"/>
        <v/>
      </c>
      <c r="AG522" s="525" t="str">
        <f t="shared" si="17"/>
        <v/>
      </c>
      <c r="AH522" s="525">
        <f>E523</f>
        <v>0</v>
      </c>
      <c r="AI522" s="525">
        <f>E524</f>
        <v>0</v>
      </c>
    </row>
    <row r="523" spans="1:35" x14ac:dyDescent="0.2">
      <c r="A523" s="531"/>
      <c r="B523" s="303"/>
      <c r="C523" s="303"/>
      <c r="D523" s="303"/>
      <c r="E523" s="303"/>
      <c r="F523" s="303"/>
      <c r="G523" s="303"/>
      <c r="H523" s="303"/>
      <c r="I523" s="303"/>
      <c r="J523" s="303"/>
      <c r="K523" s="303"/>
      <c r="L523" s="303"/>
      <c r="M523" s="303"/>
      <c r="N523" s="303"/>
      <c r="O523" s="303"/>
      <c r="P523" s="303"/>
      <c r="Q523" s="303"/>
      <c r="R523" s="303"/>
      <c r="S523" s="303"/>
      <c r="T523" s="303"/>
      <c r="U523" s="303"/>
      <c r="V523" s="303"/>
      <c r="W523" s="303"/>
      <c r="X523" s="303"/>
      <c r="Y523" s="303"/>
      <c r="Z523" s="532"/>
      <c r="AA523" s="530"/>
      <c r="AB523" s="525" t="str">
        <f t="shared" si="12"/>
        <v/>
      </c>
      <c r="AC523" s="525" t="str">
        <f t="shared" si="13"/>
        <v/>
      </c>
      <c r="AD523" s="525" t="str">
        <f t="shared" si="14"/>
        <v/>
      </c>
      <c r="AE523" s="525" t="str">
        <f t="shared" si="15"/>
        <v/>
      </c>
      <c r="AF523" s="525" t="str">
        <f t="shared" si="16"/>
        <v/>
      </c>
      <c r="AG523" s="525" t="str">
        <f t="shared" si="17"/>
        <v/>
      </c>
      <c r="AH523" s="525">
        <f>E523</f>
        <v>0</v>
      </c>
      <c r="AI523" s="525">
        <f>E524</f>
        <v>0</v>
      </c>
    </row>
    <row r="524" spans="1:35" x14ac:dyDescent="0.2">
      <c r="A524" s="531"/>
      <c r="B524" s="303"/>
      <c r="C524" s="303"/>
      <c r="D524" s="303"/>
      <c r="E524" s="303"/>
      <c r="F524" s="303"/>
      <c r="G524" s="303"/>
      <c r="H524" s="303"/>
      <c r="I524" s="303"/>
      <c r="J524" s="303"/>
      <c r="K524" s="303"/>
      <c r="L524" s="303"/>
      <c r="M524" s="303"/>
      <c r="N524" s="303"/>
      <c r="O524" s="303"/>
      <c r="P524" s="303"/>
      <c r="Q524" s="303"/>
      <c r="R524" s="303"/>
      <c r="S524" s="303"/>
      <c r="T524" s="303"/>
      <c r="U524" s="303"/>
      <c r="V524" s="303"/>
      <c r="W524" s="303"/>
      <c r="X524" s="303"/>
      <c r="Y524" s="303"/>
      <c r="Z524" s="532"/>
      <c r="AA524" s="530"/>
      <c r="AB524" s="525" t="str">
        <f t="shared" si="12"/>
        <v/>
      </c>
      <c r="AC524" s="525" t="str">
        <f t="shared" si="13"/>
        <v/>
      </c>
      <c r="AD524" s="525" t="str">
        <f t="shared" si="14"/>
        <v/>
      </c>
      <c r="AE524" s="525" t="str">
        <f t="shared" si="15"/>
        <v/>
      </c>
      <c r="AF524" s="525" t="str">
        <f t="shared" si="16"/>
        <v/>
      </c>
      <c r="AG524" s="525" t="str">
        <f t="shared" si="17"/>
        <v/>
      </c>
      <c r="AH524" s="525">
        <f>E523</f>
        <v>0</v>
      </c>
      <c r="AI524" s="525">
        <f>E524</f>
        <v>0</v>
      </c>
    </row>
    <row r="525" spans="1:35" x14ac:dyDescent="0.2">
      <c r="A525" s="531"/>
      <c r="B525" s="303"/>
      <c r="C525" s="303"/>
      <c r="D525" s="303"/>
      <c r="E525" s="303"/>
      <c r="F525" s="303"/>
      <c r="G525" s="303"/>
      <c r="H525" s="303"/>
      <c r="I525" s="303"/>
      <c r="J525" s="303"/>
      <c r="K525" s="303"/>
      <c r="L525" s="303"/>
      <c r="M525" s="303"/>
      <c r="N525" s="303"/>
      <c r="O525" s="303"/>
      <c r="P525" s="303"/>
      <c r="Q525" s="303"/>
      <c r="R525" s="303"/>
      <c r="S525" s="303"/>
      <c r="T525" s="303"/>
      <c r="U525" s="303"/>
      <c r="V525" s="303"/>
      <c r="W525" s="303"/>
      <c r="X525" s="303"/>
      <c r="Y525" s="303"/>
      <c r="Z525" s="532"/>
      <c r="AA525" s="530"/>
      <c r="AB525" s="525" t="str">
        <f t="shared" si="12"/>
        <v/>
      </c>
      <c r="AC525" s="525" t="str">
        <f t="shared" si="13"/>
        <v/>
      </c>
      <c r="AD525" s="525" t="str">
        <f t="shared" si="14"/>
        <v/>
      </c>
      <c r="AE525" s="525" t="str">
        <f t="shared" si="15"/>
        <v/>
      </c>
      <c r="AF525" s="525" t="str">
        <f t="shared" si="16"/>
        <v/>
      </c>
      <c r="AG525" s="525" t="str">
        <f t="shared" si="17"/>
        <v/>
      </c>
      <c r="AH525" s="525">
        <f>E526</f>
        <v>0</v>
      </c>
      <c r="AI525" s="525">
        <f>E527</f>
        <v>0</v>
      </c>
    </row>
    <row r="526" spans="1:35" x14ac:dyDescent="0.2">
      <c r="A526" s="531"/>
      <c r="B526" s="303"/>
      <c r="C526" s="303"/>
      <c r="D526" s="303"/>
      <c r="E526" s="303"/>
      <c r="F526" s="303"/>
      <c r="G526" s="303"/>
      <c r="H526" s="303"/>
      <c r="I526" s="303"/>
      <c r="J526" s="303"/>
      <c r="K526" s="303"/>
      <c r="L526" s="303"/>
      <c r="M526" s="303"/>
      <c r="N526" s="303"/>
      <c r="O526" s="303"/>
      <c r="P526" s="303"/>
      <c r="Q526" s="303"/>
      <c r="R526" s="303"/>
      <c r="S526" s="303"/>
      <c r="T526" s="303"/>
      <c r="U526" s="303"/>
      <c r="V526" s="303"/>
      <c r="W526" s="303"/>
      <c r="X526" s="303"/>
      <c r="Y526" s="303"/>
      <c r="Z526" s="532"/>
      <c r="AA526" s="530"/>
      <c r="AB526" s="525" t="str">
        <f t="shared" si="12"/>
        <v/>
      </c>
      <c r="AC526" s="525" t="str">
        <f t="shared" si="13"/>
        <v/>
      </c>
      <c r="AD526" s="525" t="str">
        <f t="shared" si="14"/>
        <v/>
      </c>
      <c r="AE526" s="525" t="str">
        <f t="shared" si="15"/>
        <v/>
      </c>
      <c r="AF526" s="525" t="str">
        <f t="shared" si="16"/>
        <v/>
      </c>
      <c r="AG526" s="525" t="str">
        <f t="shared" si="17"/>
        <v/>
      </c>
      <c r="AH526" s="525">
        <f>E526</f>
        <v>0</v>
      </c>
      <c r="AI526" s="525">
        <f>E527</f>
        <v>0</v>
      </c>
    </row>
    <row r="527" spans="1:35" x14ac:dyDescent="0.2">
      <c r="A527" s="531"/>
      <c r="B527" s="303"/>
      <c r="C527" s="303"/>
      <c r="D527" s="303"/>
      <c r="E527" s="303"/>
      <c r="F527" s="303"/>
      <c r="G527" s="303"/>
      <c r="H527" s="303"/>
      <c r="I527" s="303"/>
      <c r="J527" s="303"/>
      <c r="K527" s="303"/>
      <c r="L527" s="303"/>
      <c r="M527" s="303"/>
      <c r="N527" s="303"/>
      <c r="O527" s="303"/>
      <c r="P527" s="303"/>
      <c r="Q527" s="303"/>
      <c r="R527" s="303"/>
      <c r="S527" s="303"/>
      <c r="T527" s="303"/>
      <c r="U527" s="303"/>
      <c r="V527" s="303"/>
      <c r="W527" s="303"/>
      <c r="X527" s="303"/>
      <c r="Y527" s="303"/>
      <c r="Z527" s="532"/>
      <c r="AA527" s="530"/>
      <c r="AB527" s="525" t="str">
        <f t="shared" si="12"/>
        <v/>
      </c>
      <c r="AC527" s="525" t="str">
        <f t="shared" si="13"/>
        <v/>
      </c>
      <c r="AD527" s="525" t="str">
        <f t="shared" si="14"/>
        <v/>
      </c>
      <c r="AE527" s="525" t="str">
        <f t="shared" si="15"/>
        <v/>
      </c>
      <c r="AF527" s="525" t="str">
        <f t="shared" si="16"/>
        <v/>
      </c>
      <c r="AG527" s="525" t="str">
        <f t="shared" si="17"/>
        <v/>
      </c>
      <c r="AH527" s="525">
        <f>E526</f>
        <v>0</v>
      </c>
      <c r="AI527" s="525">
        <f>E527</f>
        <v>0</v>
      </c>
    </row>
    <row r="528" spans="1:35" x14ac:dyDescent="0.2">
      <c r="A528" s="531"/>
      <c r="B528" s="303"/>
      <c r="C528" s="303"/>
      <c r="D528" s="303"/>
      <c r="E528" s="303"/>
      <c r="F528" s="303"/>
      <c r="G528" s="303"/>
      <c r="H528" s="303"/>
      <c r="I528" s="303"/>
      <c r="J528" s="303"/>
      <c r="K528" s="303"/>
      <c r="L528" s="303"/>
      <c r="M528" s="303"/>
      <c r="N528" s="303"/>
      <c r="O528" s="303"/>
      <c r="P528" s="303"/>
      <c r="Q528" s="303"/>
      <c r="R528" s="303"/>
      <c r="S528" s="303"/>
      <c r="T528" s="303"/>
      <c r="U528" s="303"/>
      <c r="V528" s="303"/>
      <c r="W528" s="303"/>
      <c r="X528" s="303"/>
      <c r="Y528" s="303"/>
      <c r="Z528" s="532"/>
      <c r="AA528" s="530"/>
      <c r="AB528" s="525" t="str">
        <f t="shared" si="12"/>
        <v/>
      </c>
      <c r="AC528" s="525" t="str">
        <f t="shared" si="13"/>
        <v/>
      </c>
      <c r="AD528" s="525" t="str">
        <f t="shared" si="14"/>
        <v/>
      </c>
      <c r="AE528" s="525" t="str">
        <f t="shared" si="15"/>
        <v/>
      </c>
      <c r="AF528" s="525" t="str">
        <f t="shared" si="16"/>
        <v/>
      </c>
      <c r="AG528" s="525" t="str">
        <f t="shared" si="17"/>
        <v/>
      </c>
      <c r="AH528" s="525">
        <f>E529</f>
        <v>0</v>
      </c>
      <c r="AI528" s="525">
        <f>E530</f>
        <v>0</v>
      </c>
    </row>
    <row r="529" spans="1:35" x14ac:dyDescent="0.2">
      <c r="A529" s="531"/>
      <c r="B529" s="303"/>
      <c r="C529" s="303"/>
      <c r="D529" s="303"/>
      <c r="E529" s="303"/>
      <c r="F529" s="303"/>
      <c r="G529" s="303"/>
      <c r="H529" s="303"/>
      <c r="I529" s="303"/>
      <c r="J529" s="303"/>
      <c r="K529" s="303"/>
      <c r="L529" s="303"/>
      <c r="M529" s="303"/>
      <c r="N529" s="303"/>
      <c r="O529" s="303"/>
      <c r="P529" s="303"/>
      <c r="Q529" s="303"/>
      <c r="R529" s="303"/>
      <c r="S529" s="303"/>
      <c r="T529" s="303"/>
      <c r="U529" s="303"/>
      <c r="V529" s="303"/>
      <c r="W529" s="303"/>
      <c r="X529" s="303"/>
      <c r="Y529" s="303"/>
      <c r="Z529" s="532"/>
      <c r="AA529" s="530"/>
      <c r="AB529" s="525" t="str">
        <f t="shared" si="12"/>
        <v/>
      </c>
      <c r="AC529" s="525" t="str">
        <f t="shared" si="13"/>
        <v/>
      </c>
      <c r="AD529" s="525" t="str">
        <f t="shared" si="14"/>
        <v/>
      </c>
      <c r="AE529" s="525" t="str">
        <f t="shared" si="15"/>
        <v/>
      </c>
      <c r="AF529" s="525" t="str">
        <f t="shared" si="16"/>
        <v/>
      </c>
      <c r="AG529" s="525" t="str">
        <f t="shared" si="17"/>
        <v/>
      </c>
      <c r="AH529" s="525">
        <f>E529</f>
        <v>0</v>
      </c>
      <c r="AI529" s="525">
        <f>E530</f>
        <v>0</v>
      </c>
    </row>
    <row r="530" spans="1:35" x14ac:dyDescent="0.2">
      <c r="A530" s="531"/>
      <c r="B530" s="303"/>
      <c r="C530" s="303"/>
      <c r="D530" s="303"/>
      <c r="E530" s="303"/>
      <c r="F530" s="303"/>
      <c r="G530" s="303"/>
      <c r="H530" s="303"/>
      <c r="I530" s="303"/>
      <c r="J530" s="303"/>
      <c r="K530" s="303"/>
      <c r="L530" s="303"/>
      <c r="M530" s="303"/>
      <c r="N530" s="303"/>
      <c r="O530" s="303"/>
      <c r="P530" s="303"/>
      <c r="Q530" s="303"/>
      <c r="R530" s="303"/>
      <c r="S530" s="303"/>
      <c r="T530" s="303"/>
      <c r="U530" s="303"/>
      <c r="V530" s="303"/>
      <c r="W530" s="303"/>
      <c r="X530" s="303"/>
      <c r="Y530" s="303"/>
      <c r="Z530" s="532"/>
      <c r="AA530" s="530"/>
      <c r="AB530" s="525" t="str">
        <f t="shared" si="12"/>
        <v/>
      </c>
      <c r="AC530" s="525" t="str">
        <f t="shared" si="13"/>
        <v/>
      </c>
      <c r="AD530" s="525" t="str">
        <f t="shared" si="14"/>
        <v/>
      </c>
      <c r="AE530" s="525" t="str">
        <f t="shared" si="15"/>
        <v/>
      </c>
      <c r="AF530" s="525" t="str">
        <f t="shared" si="16"/>
        <v/>
      </c>
      <c r="AG530" s="525" t="str">
        <f t="shared" si="17"/>
        <v/>
      </c>
      <c r="AH530" s="525">
        <f>E529</f>
        <v>0</v>
      </c>
      <c r="AI530" s="525">
        <f>E530</f>
        <v>0</v>
      </c>
    </row>
    <row r="531" spans="1:35" x14ac:dyDescent="0.2">
      <c r="A531" s="531"/>
      <c r="B531" s="303"/>
      <c r="C531" s="303"/>
      <c r="D531" s="303"/>
      <c r="E531" s="303"/>
      <c r="F531" s="303"/>
      <c r="G531" s="303"/>
      <c r="H531" s="303"/>
      <c r="I531" s="303"/>
      <c r="J531" s="303"/>
      <c r="K531" s="303"/>
      <c r="L531" s="303"/>
      <c r="M531" s="303"/>
      <c r="N531" s="303"/>
      <c r="O531" s="303"/>
      <c r="P531" s="303"/>
      <c r="Q531" s="303"/>
      <c r="R531" s="303"/>
      <c r="S531" s="303"/>
      <c r="T531" s="303"/>
      <c r="U531" s="303"/>
      <c r="V531" s="303"/>
      <c r="W531" s="303"/>
      <c r="X531" s="303"/>
      <c r="Y531" s="303"/>
      <c r="Z531" s="532"/>
      <c r="AA531" s="530"/>
      <c r="AB531" s="525" t="str">
        <f t="shared" si="12"/>
        <v/>
      </c>
      <c r="AC531" s="525" t="str">
        <f t="shared" si="13"/>
        <v/>
      </c>
      <c r="AD531" s="525" t="str">
        <f t="shared" si="14"/>
        <v/>
      </c>
      <c r="AE531" s="525" t="str">
        <f t="shared" si="15"/>
        <v/>
      </c>
      <c r="AF531" s="525" t="str">
        <f t="shared" si="16"/>
        <v/>
      </c>
      <c r="AG531" s="525" t="str">
        <f t="shared" si="17"/>
        <v/>
      </c>
      <c r="AH531" s="525">
        <f>E532</f>
        <v>0</v>
      </c>
      <c r="AI531" s="525">
        <f>E533</f>
        <v>0</v>
      </c>
    </row>
    <row r="532" spans="1:35" x14ac:dyDescent="0.2">
      <c r="A532" s="531"/>
      <c r="B532" s="303"/>
      <c r="C532" s="303"/>
      <c r="D532" s="303"/>
      <c r="E532" s="303"/>
      <c r="F532" s="303"/>
      <c r="G532" s="303"/>
      <c r="H532" s="303"/>
      <c r="I532" s="303"/>
      <c r="J532" s="303"/>
      <c r="K532" s="303"/>
      <c r="L532" s="303"/>
      <c r="M532" s="303"/>
      <c r="N532" s="303"/>
      <c r="O532" s="303"/>
      <c r="P532" s="303"/>
      <c r="Q532" s="303"/>
      <c r="R532" s="303"/>
      <c r="S532" s="303"/>
      <c r="T532" s="303"/>
      <c r="U532" s="303"/>
      <c r="V532" s="303"/>
      <c r="W532" s="303"/>
      <c r="X532" s="303"/>
      <c r="Y532" s="303"/>
      <c r="Z532" s="532"/>
      <c r="AA532" s="530"/>
      <c r="AB532" s="525" t="str">
        <f t="shared" si="12"/>
        <v/>
      </c>
      <c r="AC532" s="525" t="str">
        <f t="shared" si="13"/>
        <v/>
      </c>
      <c r="AD532" s="525" t="str">
        <f t="shared" si="14"/>
        <v/>
      </c>
      <c r="AE532" s="525" t="str">
        <f t="shared" si="15"/>
        <v/>
      </c>
      <c r="AF532" s="525" t="str">
        <f t="shared" si="16"/>
        <v/>
      </c>
      <c r="AG532" s="525" t="str">
        <f t="shared" si="17"/>
        <v/>
      </c>
      <c r="AH532" s="525">
        <f>E532</f>
        <v>0</v>
      </c>
      <c r="AI532" s="525">
        <f>E533</f>
        <v>0</v>
      </c>
    </row>
    <row r="533" spans="1:35" x14ac:dyDescent="0.2">
      <c r="A533" s="531"/>
      <c r="B533" s="303"/>
      <c r="C533" s="303"/>
      <c r="D533" s="303"/>
      <c r="E533" s="303"/>
      <c r="F533" s="303"/>
      <c r="G533" s="303"/>
      <c r="H533" s="303"/>
      <c r="I533" s="303"/>
      <c r="J533" s="303"/>
      <c r="K533" s="303"/>
      <c r="L533" s="303"/>
      <c r="M533" s="303"/>
      <c r="N533" s="303"/>
      <c r="O533" s="303"/>
      <c r="P533" s="303"/>
      <c r="Q533" s="303"/>
      <c r="R533" s="303"/>
      <c r="S533" s="303"/>
      <c r="T533" s="303"/>
      <c r="U533" s="303"/>
      <c r="V533" s="303"/>
      <c r="W533" s="303"/>
      <c r="X533" s="303"/>
      <c r="Y533" s="303"/>
      <c r="Z533" s="532"/>
      <c r="AA533" s="530"/>
      <c r="AB533" s="525" t="str">
        <f t="shared" si="12"/>
        <v/>
      </c>
      <c r="AC533" s="525" t="str">
        <f t="shared" si="13"/>
        <v/>
      </c>
      <c r="AD533" s="525" t="str">
        <f t="shared" si="14"/>
        <v/>
      </c>
      <c r="AE533" s="525" t="str">
        <f t="shared" si="15"/>
        <v/>
      </c>
      <c r="AF533" s="525" t="str">
        <f t="shared" si="16"/>
        <v/>
      </c>
      <c r="AG533" s="525" t="str">
        <f t="shared" si="17"/>
        <v/>
      </c>
      <c r="AH533" s="525">
        <f>E532</f>
        <v>0</v>
      </c>
      <c r="AI533" s="525">
        <f>E533</f>
        <v>0</v>
      </c>
    </row>
    <row r="534" spans="1:35" x14ac:dyDescent="0.2">
      <c r="A534" s="531"/>
      <c r="B534" s="303"/>
      <c r="C534" s="303"/>
      <c r="D534" s="303"/>
      <c r="E534" s="303"/>
      <c r="F534" s="303"/>
      <c r="G534" s="303"/>
      <c r="H534" s="303"/>
      <c r="I534" s="303"/>
      <c r="J534" s="303"/>
      <c r="K534" s="303"/>
      <c r="L534" s="303"/>
      <c r="M534" s="303"/>
      <c r="N534" s="303"/>
      <c r="O534" s="303"/>
      <c r="P534" s="303"/>
      <c r="Q534" s="303"/>
      <c r="R534" s="303"/>
      <c r="S534" s="303"/>
      <c r="T534" s="303"/>
      <c r="U534" s="303"/>
      <c r="V534" s="303"/>
      <c r="W534" s="303"/>
      <c r="X534" s="303"/>
      <c r="Y534" s="303"/>
      <c r="Z534" s="532"/>
      <c r="AA534" s="530"/>
      <c r="AB534" s="525" t="str">
        <f t="shared" si="12"/>
        <v/>
      </c>
      <c r="AC534" s="525" t="str">
        <f t="shared" si="13"/>
        <v/>
      </c>
      <c r="AD534" s="525" t="str">
        <f t="shared" si="14"/>
        <v/>
      </c>
      <c r="AE534" s="525" t="str">
        <f t="shared" si="15"/>
        <v/>
      </c>
      <c r="AF534" s="525" t="str">
        <f t="shared" si="16"/>
        <v/>
      </c>
      <c r="AG534" s="525" t="str">
        <f t="shared" si="17"/>
        <v/>
      </c>
      <c r="AH534" s="525">
        <f>E535</f>
        <v>0</v>
      </c>
      <c r="AI534" s="525">
        <f>E536</f>
        <v>0</v>
      </c>
    </row>
    <row r="535" spans="1:35" x14ac:dyDescent="0.2">
      <c r="A535" s="531"/>
      <c r="B535" s="303"/>
      <c r="C535" s="303"/>
      <c r="D535" s="303"/>
      <c r="E535" s="303"/>
      <c r="F535" s="303"/>
      <c r="G535" s="303"/>
      <c r="H535" s="303"/>
      <c r="I535" s="303"/>
      <c r="J535" s="303"/>
      <c r="K535" s="303"/>
      <c r="L535" s="303"/>
      <c r="M535" s="303"/>
      <c r="N535" s="303"/>
      <c r="O535" s="303"/>
      <c r="P535" s="303"/>
      <c r="Q535" s="303"/>
      <c r="R535" s="303"/>
      <c r="S535" s="303"/>
      <c r="T535" s="303"/>
      <c r="U535" s="303"/>
      <c r="V535" s="303"/>
      <c r="W535" s="303"/>
      <c r="X535" s="303"/>
      <c r="Y535" s="303"/>
      <c r="Z535" s="532"/>
      <c r="AA535" s="530"/>
      <c r="AB535" s="525" t="str">
        <f t="shared" si="12"/>
        <v/>
      </c>
      <c r="AC535" s="525" t="str">
        <f t="shared" si="13"/>
        <v/>
      </c>
      <c r="AD535" s="525" t="str">
        <f t="shared" si="14"/>
        <v/>
      </c>
      <c r="AE535" s="525" t="str">
        <f t="shared" si="15"/>
        <v/>
      </c>
      <c r="AF535" s="525" t="str">
        <f t="shared" si="16"/>
        <v/>
      </c>
      <c r="AG535" s="525" t="str">
        <f t="shared" si="17"/>
        <v/>
      </c>
      <c r="AH535" s="525">
        <f>E535</f>
        <v>0</v>
      </c>
      <c r="AI535" s="525">
        <f>E536</f>
        <v>0</v>
      </c>
    </row>
    <row r="536" spans="1:35" x14ac:dyDescent="0.2">
      <c r="A536" s="531"/>
      <c r="B536" s="303"/>
      <c r="C536" s="303"/>
      <c r="D536" s="303"/>
      <c r="E536" s="303"/>
      <c r="F536" s="303"/>
      <c r="G536" s="303"/>
      <c r="H536" s="303"/>
      <c r="I536" s="303"/>
      <c r="J536" s="303"/>
      <c r="K536" s="303"/>
      <c r="L536" s="303"/>
      <c r="M536" s="303"/>
      <c r="N536" s="303"/>
      <c r="O536" s="303"/>
      <c r="P536" s="303"/>
      <c r="Q536" s="303"/>
      <c r="R536" s="303"/>
      <c r="S536" s="303"/>
      <c r="T536" s="303"/>
      <c r="U536" s="303"/>
      <c r="V536" s="303"/>
      <c r="W536" s="303"/>
      <c r="X536" s="303"/>
      <c r="Y536" s="303"/>
      <c r="Z536" s="532"/>
      <c r="AA536" s="530"/>
      <c r="AB536" s="525" t="str">
        <f t="shared" si="12"/>
        <v/>
      </c>
      <c r="AC536" s="525" t="str">
        <f t="shared" si="13"/>
        <v/>
      </c>
      <c r="AD536" s="525" t="str">
        <f t="shared" si="14"/>
        <v/>
      </c>
      <c r="AE536" s="525" t="str">
        <f t="shared" si="15"/>
        <v/>
      </c>
      <c r="AF536" s="525" t="str">
        <f t="shared" si="16"/>
        <v/>
      </c>
      <c r="AG536" s="525" t="str">
        <f t="shared" si="17"/>
        <v/>
      </c>
      <c r="AH536" s="525">
        <f>E535</f>
        <v>0</v>
      </c>
      <c r="AI536" s="525">
        <f>E536</f>
        <v>0</v>
      </c>
    </row>
    <row r="537" spans="1:35" x14ac:dyDescent="0.2">
      <c r="A537" s="531"/>
      <c r="B537" s="303"/>
      <c r="C537" s="303"/>
      <c r="D537" s="303"/>
      <c r="E537" s="303"/>
      <c r="F537" s="303"/>
      <c r="G537" s="303"/>
      <c r="H537" s="303"/>
      <c r="I537" s="303"/>
      <c r="J537" s="303"/>
      <c r="K537" s="303"/>
      <c r="L537" s="303"/>
      <c r="M537" s="303"/>
      <c r="N537" s="303"/>
      <c r="O537" s="303"/>
      <c r="P537" s="303"/>
      <c r="Q537" s="303"/>
      <c r="R537" s="303"/>
      <c r="S537" s="303"/>
      <c r="T537" s="303"/>
      <c r="U537" s="303"/>
      <c r="V537" s="303"/>
      <c r="W537" s="303"/>
      <c r="X537" s="303"/>
      <c r="Y537" s="303"/>
      <c r="Z537" s="532"/>
      <c r="AA537" s="530"/>
      <c r="AB537" s="525" t="str">
        <f t="shared" si="12"/>
        <v/>
      </c>
      <c r="AC537" s="525" t="str">
        <f t="shared" si="13"/>
        <v/>
      </c>
      <c r="AD537" s="525" t="str">
        <f t="shared" si="14"/>
        <v/>
      </c>
      <c r="AE537" s="525" t="str">
        <f t="shared" si="15"/>
        <v/>
      </c>
      <c r="AF537" s="525" t="str">
        <f t="shared" si="16"/>
        <v/>
      </c>
      <c r="AG537" s="525" t="str">
        <f t="shared" si="17"/>
        <v/>
      </c>
      <c r="AH537" s="525">
        <f>E538</f>
        <v>0</v>
      </c>
      <c r="AI537" s="525">
        <f>E539</f>
        <v>0</v>
      </c>
    </row>
    <row r="538" spans="1:35" x14ac:dyDescent="0.2">
      <c r="A538" s="531"/>
      <c r="B538" s="303"/>
      <c r="C538" s="303"/>
      <c r="D538" s="303"/>
      <c r="E538" s="303"/>
      <c r="F538" s="303"/>
      <c r="G538" s="303"/>
      <c r="H538" s="303"/>
      <c r="I538" s="303"/>
      <c r="J538" s="303"/>
      <c r="K538" s="303"/>
      <c r="L538" s="303"/>
      <c r="M538" s="303"/>
      <c r="N538" s="303"/>
      <c r="O538" s="303"/>
      <c r="P538" s="303"/>
      <c r="Q538" s="303"/>
      <c r="R538" s="303"/>
      <c r="S538" s="303"/>
      <c r="T538" s="303"/>
      <c r="U538" s="303"/>
      <c r="V538" s="303"/>
      <c r="W538" s="303"/>
      <c r="X538" s="303"/>
      <c r="Y538" s="303"/>
      <c r="Z538" s="532"/>
      <c r="AA538" s="530"/>
      <c r="AB538" s="525" t="str">
        <f t="shared" si="12"/>
        <v/>
      </c>
      <c r="AC538" s="525" t="str">
        <f t="shared" si="13"/>
        <v/>
      </c>
      <c r="AD538" s="525" t="str">
        <f t="shared" si="14"/>
        <v/>
      </c>
      <c r="AE538" s="525" t="str">
        <f t="shared" si="15"/>
        <v/>
      </c>
      <c r="AF538" s="525" t="str">
        <f t="shared" si="16"/>
        <v/>
      </c>
      <c r="AG538" s="525" t="str">
        <f t="shared" si="17"/>
        <v/>
      </c>
      <c r="AH538" s="525">
        <f>E538</f>
        <v>0</v>
      </c>
      <c r="AI538" s="525">
        <f>E539</f>
        <v>0</v>
      </c>
    </row>
    <row r="539" spans="1:35" x14ac:dyDescent="0.2">
      <c r="A539" s="531"/>
      <c r="B539" s="303"/>
      <c r="C539" s="303"/>
      <c r="D539" s="303"/>
      <c r="E539" s="303"/>
      <c r="F539" s="303"/>
      <c r="G539" s="303"/>
      <c r="H539" s="303"/>
      <c r="I539" s="303"/>
      <c r="J539" s="303"/>
      <c r="K539" s="303"/>
      <c r="L539" s="303"/>
      <c r="M539" s="303"/>
      <c r="N539" s="303"/>
      <c r="O539" s="303"/>
      <c r="P539" s="303"/>
      <c r="Q539" s="303"/>
      <c r="R539" s="303"/>
      <c r="S539" s="303"/>
      <c r="T539" s="303"/>
      <c r="U539" s="303"/>
      <c r="V539" s="303"/>
      <c r="W539" s="303"/>
      <c r="X539" s="303"/>
      <c r="Y539" s="303"/>
      <c r="Z539" s="532"/>
      <c r="AA539" s="530"/>
      <c r="AB539" s="525" t="str">
        <f t="shared" si="12"/>
        <v/>
      </c>
      <c r="AC539" s="525" t="str">
        <f t="shared" si="13"/>
        <v/>
      </c>
      <c r="AD539" s="525" t="str">
        <f t="shared" si="14"/>
        <v/>
      </c>
      <c r="AE539" s="525" t="str">
        <f t="shared" si="15"/>
        <v/>
      </c>
      <c r="AF539" s="525" t="str">
        <f t="shared" si="16"/>
        <v/>
      </c>
      <c r="AG539" s="525" t="str">
        <f t="shared" si="17"/>
        <v/>
      </c>
      <c r="AH539" s="525">
        <f>E538</f>
        <v>0</v>
      </c>
      <c r="AI539" s="525">
        <f>E539</f>
        <v>0</v>
      </c>
    </row>
    <row r="540" spans="1:35" x14ac:dyDescent="0.2">
      <c r="A540" s="531"/>
      <c r="B540" s="303"/>
      <c r="C540" s="303"/>
      <c r="D540" s="303"/>
      <c r="E540" s="303"/>
      <c r="F540" s="303"/>
      <c r="G540" s="303"/>
      <c r="H540" s="303"/>
      <c r="I540" s="303"/>
      <c r="J540" s="303"/>
      <c r="K540" s="303"/>
      <c r="L540" s="303"/>
      <c r="M540" s="303"/>
      <c r="N540" s="303"/>
      <c r="O540" s="303"/>
      <c r="P540" s="303"/>
      <c r="Q540" s="303"/>
      <c r="R540" s="303"/>
      <c r="S540" s="303"/>
      <c r="T540" s="303"/>
      <c r="U540" s="303"/>
      <c r="V540" s="303"/>
      <c r="W540" s="303"/>
      <c r="X540" s="303"/>
      <c r="Y540" s="303"/>
      <c r="Z540" s="532"/>
      <c r="AA540" s="530"/>
      <c r="AB540" s="525" t="str">
        <f t="shared" si="12"/>
        <v/>
      </c>
      <c r="AC540" s="525" t="str">
        <f t="shared" si="13"/>
        <v/>
      </c>
      <c r="AD540" s="525" t="str">
        <f t="shared" si="14"/>
        <v/>
      </c>
      <c r="AE540" s="525" t="str">
        <f t="shared" si="15"/>
        <v/>
      </c>
      <c r="AF540" s="525" t="str">
        <f t="shared" si="16"/>
        <v/>
      </c>
      <c r="AG540" s="525" t="str">
        <f t="shared" si="17"/>
        <v/>
      </c>
      <c r="AH540" s="525">
        <f>E541</f>
        <v>0</v>
      </c>
      <c r="AI540" s="525">
        <f>E542</f>
        <v>0</v>
      </c>
    </row>
    <row r="541" spans="1:35" x14ac:dyDescent="0.2">
      <c r="A541" s="531"/>
      <c r="B541" s="303"/>
      <c r="C541" s="303"/>
      <c r="D541" s="303"/>
      <c r="E541" s="303"/>
      <c r="F541" s="303"/>
      <c r="G541" s="303"/>
      <c r="H541" s="303"/>
      <c r="I541" s="303"/>
      <c r="J541" s="303"/>
      <c r="K541" s="303"/>
      <c r="L541" s="303"/>
      <c r="M541" s="303"/>
      <c r="N541" s="303"/>
      <c r="O541" s="303"/>
      <c r="P541" s="303"/>
      <c r="Q541" s="303"/>
      <c r="R541" s="303"/>
      <c r="S541" s="303"/>
      <c r="T541" s="303"/>
      <c r="U541" s="303"/>
      <c r="V541" s="303"/>
      <c r="W541" s="303"/>
      <c r="X541" s="303"/>
      <c r="Y541" s="303"/>
      <c r="Z541" s="532"/>
      <c r="AA541" s="530"/>
      <c r="AB541" s="525" t="str">
        <f t="shared" si="12"/>
        <v/>
      </c>
      <c r="AC541" s="525" t="str">
        <f t="shared" si="13"/>
        <v/>
      </c>
      <c r="AD541" s="525" t="str">
        <f t="shared" si="14"/>
        <v/>
      </c>
      <c r="AE541" s="525" t="str">
        <f t="shared" si="15"/>
        <v/>
      </c>
      <c r="AF541" s="525" t="str">
        <f t="shared" si="16"/>
        <v/>
      </c>
      <c r="AG541" s="525" t="str">
        <f t="shared" si="17"/>
        <v/>
      </c>
      <c r="AH541" s="525">
        <f>E541</f>
        <v>0</v>
      </c>
      <c r="AI541" s="525">
        <f>E542</f>
        <v>0</v>
      </c>
    </row>
    <row r="542" spans="1:35" x14ac:dyDescent="0.2">
      <c r="A542" s="531"/>
      <c r="B542" s="303"/>
      <c r="C542" s="303"/>
      <c r="D542" s="303"/>
      <c r="E542" s="303"/>
      <c r="F542" s="303"/>
      <c r="G542" s="303"/>
      <c r="H542" s="303"/>
      <c r="I542" s="303"/>
      <c r="J542" s="303"/>
      <c r="K542" s="303"/>
      <c r="L542" s="303"/>
      <c r="M542" s="303"/>
      <c r="N542" s="303"/>
      <c r="O542" s="303"/>
      <c r="P542" s="303"/>
      <c r="Q542" s="303"/>
      <c r="R542" s="303"/>
      <c r="S542" s="303"/>
      <c r="T542" s="303"/>
      <c r="U542" s="303"/>
      <c r="V542" s="303"/>
      <c r="W542" s="303"/>
      <c r="X542" s="303"/>
      <c r="Y542" s="303"/>
      <c r="Z542" s="532"/>
      <c r="AA542" s="530"/>
      <c r="AB542" s="525" t="str">
        <f t="shared" si="12"/>
        <v/>
      </c>
      <c r="AC542" s="525" t="str">
        <f t="shared" si="13"/>
        <v/>
      </c>
      <c r="AD542" s="525" t="str">
        <f t="shared" si="14"/>
        <v/>
      </c>
      <c r="AE542" s="525" t="str">
        <f t="shared" si="15"/>
        <v/>
      </c>
      <c r="AF542" s="525" t="str">
        <f t="shared" si="16"/>
        <v/>
      </c>
      <c r="AG542" s="525" t="str">
        <f t="shared" si="17"/>
        <v/>
      </c>
      <c r="AH542" s="525">
        <f>E541</f>
        <v>0</v>
      </c>
      <c r="AI542" s="525">
        <f>E542</f>
        <v>0</v>
      </c>
    </row>
    <row r="543" spans="1:35" x14ac:dyDescent="0.2">
      <c r="A543" s="531"/>
      <c r="B543" s="303"/>
      <c r="C543" s="303"/>
      <c r="D543" s="303"/>
      <c r="E543" s="303"/>
      <c r="F543" s="303"/>
      <c r="G543" s="303"/>
      <c r="H543" s="303"/>
      <c r="I543" s="303"/>
      <c r="J543" s="303"/>
      <c r="K543" s="303"/>
      <c r="L543" s="303"/>
      <c r="M543" s="303"/>
      <c r="N543" s="303"/>
      <c r="O543" s="303"/>
      <c r="P543" s="303"/>
      <c r="Q543" s="303"/>
      <c r="R543" s="303"/>
      <c r="S543" s="303"/>
      <c r="T543" s="303"/>
      <c r="U543" s="303"/>
      <c r="V543" s="303"/>
      <c r="W543" s="303"/>
      <c r="X543" s="303"/>
      <c r="Y543" s="303"/>
      <c r="Z543" s="532"/>
      <c r="AA543" s="530"/>
      <c r="AB543" s="525" t="str">
        <f t="shared" si="12"/>
        <v/>
      </c>
      <c r="AC543" s="525" t="str">
        <f t="shared" si="13"/>
        <v/>
      </c>
      <c r="AD543" s="525" t="str">
        <f t="shared" si="14"/>
        <v/>
      </c>
      <c r="AE543" s="525" t="str">
        <f t="shared" si="15"/>
        <v/>
      </c>
      <c r="AF543" s="525" t="str">
        <f t="shared" si="16"/>
        <v/>
      </c>
      <c r="AG543" s="525" t="str">
        <f t="shared" si="17"/>
        <v/>
      </c>
      <c r="AH543" s="525">
        <f>E544</f>
        <v>0</v>
      </c>
      <c r="AI543" s="525">
        <f>E545</f>
        <v>0</v>
      </c>
    </row>
    <row r="544" spans="1:35" x14ac:dyDescent="0.2">
      <c r="A544" s="531"/>
      <c r="B544" s="303"/>
      <c r="C544" s="303"/>
      <c r="D544" s="303"/>
      <c r="E544" s="303"/>
      <c r="F544" s="303"/>
      <c r="G544" s="303"/>
      <c r="H544" s="303"/>
      <c r="I544" s="303"/>
      <c r="J544" s="303"/>
      <c r="K544" s="303"/>
      <c r="L544" s="303"/>
      <c r="M544" s="303"/>
      <c r="N544" s="303"/>
      <c r="O544" s="303"/>
      <c r="P544" s="303"/>
      <c r="Q544" s="303"/>
      <c r="R544" s="303"/>
      <c r="S544" s="303"/>
      <c r="T544" s="303"/>
      <c r="U544" s="303"/>
      <c r="V544" s="303"/>
      <c r="W544" s="303"/>
      <c r="X544" s="303"/>
      <c r="Y544" s="303"/>
      <c r="Z544" s="532"/>
      <c r="AA544" s="530"/>
      <c r="AB544" s="525" t="str">
        <f t="shared" si="12"/>
        <v/>
      </c>
      <c r="AC544" s="525" t="str">
        <f t="shared" si="13"/>
        <v/>
      </c>
      <c r="AD544" s="525" t="str">
        <f t="shared" si="14"/>
        <v/>
      </c>
      <c r="AE544" s="525" t="str">
        <f t="shared" si="15"/>
        <v/>
      </c>
      <c r="AF544" s="525" t="str">
        <f t="shared" si="16"/>
        <v/>
      </c>
      <c r="AG544" s="525" t="str">
        <f t="shared" si="17"/>
        <v/>
      </c>
      <c r="AH544" s="525">
        <f>E544</f>
        <v>0</v>
      </c>
      <c r="AI544" s="525">
        <f>E545</f>
        <v>0</v>
      </c>
    </row>
    <row r="545" spans="1:35" x14ac:dyDescent="0.2">
      <c r="A545" s="531"/>
      <c r="B545" s="303"/>
      <c r="C545" s="303"/>
      <c r="D545" s="303"/>
      <c r="E545" s="303"/>
      <c r="F545" s="303"/>
      <c r="G545" s="303"/>
      <c r="H545" s="303"/>
      <c r="I545" s="303"/>
      <c r="J545" s="303"/>
      <c r="K545" s="303"/>
      <c r="L545" s="303"/>
      <c r="M545" s="303"/>
      <c r="N545" s="303"/>
      <c r="O545" s="303"/>
      <c r="P545" s="303"/>
      <c r="Q545" s="303"/>
      <c r="R545" s="303"/>
      <c r="S545" s="303"/>
      <c r="T545" s="303"/>
      <c r="U545" s="303"/>
      <c r="V545" s="303"/>
      <c r="W545" s="303"/>
      <c r="X545" s="303"/>
      <c r="Y545" s="303"/>
      <c r="Z545" s="532"/>
      <c r="AA545" s="530"/>
      <c r="AB545" s="525" t="str">
        <f t="shared" si="12"/>
        <v/>
      </c>
      <c r="AC545" s="525" t="str">
        <f t="shared" si="13"/>
        <v/>
      </c>
      <c r="AD545" s="525" t="str">
        <f t="shared" si="14"/>
        <v/>
      </c>
      <c r="AE545" s="525" t="str">
        <f t="shared" si="15"/>
        <v/>
      </c>
      <c r="AF545" s="525" t="str">
        <f t="shared" si="16"/>
        <v/>
      </c>
      <c r="AG545" s="525" t="str">
        <f t="shared" si="17"/>
        <v/>
      </c>
      <c r="AH545" s="525">
        <f>E544</f>
        <v>0</v>
      </c>
      <c r="AI545" s="525">
        <f>E545</f>
        <v>0</v>
      </c>
    </row>
    <row r="546" spans="1:35" x14ac:dyDescent="0.2">
      <c r="A546" s="531"/>
      <c r="B546" s="303"/>
      <c r="C546" s="303"/>
      <c r="D546" s="303"/>
      <c r="E546" s="303"/>
      <c r="F546" s="303"/>
      <c r="G546" s="303"/>
      <c r="H546" s="303"/>
      <c r="I546" s="303"/>
      <c r="J546" s="303"/>
      <c r="K546" s="303"/>
      <c r="L546" s="303"/>
      <c r="M546" s="303"/>
      <c r="N546" s="303"/>
      <c r="O546" s="303"/>
      <c r="P546" s="303"/>
      <c r="Q546" s="303"/>
      <c r="R546" s="303"/>
      <c r="S546" s="303"/>
      <c r="T546" s="303"/>
      <c r="U546" s="303"/>
      <c r="V546" s="303"/>
      <c r="W546" s="303"/>
      <c r="X546" s="303"/>
      <c r="Y546" s="303"/>
      <c r="Z546" s="532"/>
      <c r="AA546" s="530"/>
      <c r="AB546" s="525" t="str">
        <f t="shared" si="12"/>
        <v/>
      </c>
      <c r="AC546" s="525" t="str">
        <f t="shared" si="13"/>
        <v/>
      </c>
      <c r="AD546" s="525" t="str">
        <f t="shared" si="14"/>
        <v/>
      </c>
      <c r="AE546" s="525" t="str">
        <f t="shared" si="15"/>
        <v/>
      </c>
      <c r="AF546" s="525" t="str">
        <f t="shared" si="16"/>
        <v/>
      </c>
      <c r="AG546" s="525" t="str">
        <f t="shared" si="17"/>
        <v/>
      </c>
      <c r="AH546" s="525">
        <f>E547</f>
        <v>0</v>
      </c>
      <c r="AI546" s="525">
        <f>E548</f>
        <v>0</v>
      </c>
    </row>
    <row r="547" spans="1:35" x14ac:dyDescent="0.2">
      <c r="A547" s="531"/>
      <c r="B547" s="303"/>
      <c r="C547" s="303"/>
      <c r="D547" s="303"/>
      <c r="E547" s="303"/>
      <c r="F547" s="303"/>
      <c r="G547" s="303"/>
      <c r="H547" s="303"/>
      <c r="I547" s="303"/>
      <c r="J547" s="303"/>
      <c r="K547" s="303"/>
      <c r="L547" s="303"/>
      <c r="M547" s="303"/>
      <c r="N547" s="303"/>
      <c r="O547" s="303"/>
      <c r="P547" s="303"/>
      <c r="Q547" s="303"/>
      <c r="R547" s="303"/>
      <c r="S547" s="303"/>
      <c r="T547" s="303"/>
      <c r="U547" s="303"/>
      <c r="V547" s="303"/>
      <c r="W547" s="303"/>
      <c r="X547" s="303"/>
      <c r="Y547" s="303"/>
      <c r="Z547" s="532"/>
      <c r="AA547" s="530"/>
      <c r="AB547" s="525" t="str">
        <f t="shared" si="12"/>
        <v/>
      </c>
      <c r="AC547" s="525" t="str">
        <f t="shared" si="13"/>
        <v/>
      </c>
      <c r="AD547" s="525" t="str">
        <f t="shared" si="14"/>
        <v/>
      </c>
      <c r="AE547" s="525" t="str">
        <f t="shared" si="15"/>
        <v/>
      </c>
      <c r="AF547" s="525" t="str">
        <f t="shared" si="16"/>
        <v/>
      </c>
      <c r="AG547" s="525" t="str">
        <f t="shared" si="17"/>
        <v/>
      </c>
      <c r="AH547" s="525">
        <f>E547</f>
        <v>0</v>
      </c>
      <c r="AI547" s="525">
        <f>E548</f>
        <v>0</v>
      </c>
    </row>
    <row r="548" spans="1:35" x14ac:dyDescent="0.2">
      <c r="A548" s="531"/>
      <c r="B548" s="303"/>
      <c r="C548" s="303"/>
      <c r="D548" s="303"/>
      <c r="E548" s="303"/>
      <c r="F548" s="303"/>
      <c r="G548" s="303"/>
      <c r="H548" s="303"/>
      <c r="I548" s="303"/>
      <c r="J548" s="303"/>
      <c r="K548" s="303"/>
      <c r="L548" s="303"/>
      <c r="M548" s="303"/>
      <c r="N548" s="303"/>
      <c r="O548" s="303"/>
      <c r="P548" s="303"/>
      <c r="Q548" s="303"/>
      <c r="R548" s="303"/>
      <c r="S548" s="303"/>
      <c r="T548" s="303"/>
      <c r="U548" s="303"/>
      <c r="V548" s="303"/>
      <c r="W548" s="303"/>
      <c r="X548" s="303"/>
      <c r="Y548" s="303"/>
      <c r="Z548" s="532"/>
      <c r="AA548" s="530"/>
      <c r="AB548" s="525" t="str">
        <f t="shared" si="12"/>
        <v/>
      </c>
      <c r="AC548" s="525" t="str">
        <f t="shared" si="13"/>
        <v/>
      </c>
      <c r="AD548" s="525" t="str">
        <f t="shared" si="14"/>
        <v/>
      </c>
      <c r="AE548" s="525" t="str">
        <f t="shared" si="15"/>
        <v/>
      </c>
      <c r="AF548" s="525" t="str">
        <f t="shared" si="16"/>
        <v/>
      </c>
      <c r="AG548" s="525" t="str">
        <f t="shared" si="17"/>
        <v/>
      </c>
      <c r="AH548" s="525">
        <f>E547</f>
        <v>0</v>
      </c>
      <c r="AI548" s="525">
        <f>E548</f>
        <v>0</v>
      </c>
    </row>
    <row r="549" spans="1:35" x14ac:dyDescent="0.2">
      <c r="A549" s="531"/>
      <c r="B549" s="303"/>
      <c r="C549" s="303"/>
      <c r="D549" s="303"/>
      <c r="E549" s="303"/>
      <c r="F549" s="303"/>
      <c r="G549" s="303"/>
      <c r="H549" s="303"/>
      <c r="I549" s="303"/>
      <c r="J549" s="303"/>
      <c r="K549" s="303"/>
      <c r="L549" s="303"/>
      <c r="M549" s="303"/>
      <c r="N549" s="303"/>
      <c r="O549" s="303"/>
      <c r="P549" s="303"/>
      <c r="Q549" s="303"/>
      <c r="R549" s="303"/>
      <c r="S549" s="303"/>
      <c r="T549" s="303"/>
      <c r="U549" s="303"/>
      <c r="V549" s="303"/>
      <c r="W549" s="303"/>
      <c r="X549" s="303"/>
      <c r="Y549" s="303"/>
      <c r="Z549" s="532"/>
      <c r="AA549" s="530"/>
      <c r="AB549" s="525" t="str">
        <f t="shared" si="12"/>
        <v/>
      </c>
      <c r="AC549" s="525" t="str">
        <f t="shared" si="13"/>
        <v/>
      </c>
      <c r="AD549" s="525" t="str">
        <f t="shared" si="14"/>
        <v/>
      </c>
      <c r="AE549" s="525" t="str">
        <f t="shared" si="15"/>
        <v/>
      </c>
      <c r="AF549" s="525" t="str">
        <f t="shared" si="16"/>
        <v/>
      </c>
      <c r="AG549" s="525" t="str">
        <f t="shared" si="17"/>
        <v/>
      </c>
      <c r="AH549" s="525">
        <f>E550</f>
        <v>0</v>
      </c>
      <c r="AI549" s="525">
        <f>E551</f>
        <v>0</v>
      </c>
    </row>
    <row r="550" spans="1:35" x14ac:dyDescent="0.2">
      <c r="A550" s="531"/>
      <c r="B550" s="303"/>
      <c r="C550" s="303"/>
      <c r="D550" s="303"/>
      <c r="E550" s="303"/>
      <c r="F550" s="303"/>
      <c r="G550" s="303"/>
      <c r="H550" s="303"/>
      <c r="I550" s="303"/>
      <c r="J550" s="303"/>
      <c r="K550" s="303"/>
      <c r="L550" s="303"/>
      <c r="M550" s="303"/>
      <c r="N550" s="303"/>
      <c r="O550" s="303"/>
      <c r="P550" s="303"/>
      <c r="Q550" s="303"/>
      <c r="R550" s="303"/>
      <c r="S550" s="303"/>
      <c r="T550" s="303"/>
      <c r="U550" s="303"/>
      <c r="V550" s="303"/>
      <c r="W550" s="303"/>
      <c r="X550" s="303"/>
      <c r="Y550" s="303"/>
      <c r="Z550" s="532"/>
      <c r="AA550" s="530"/>
      <c r="AB550" s="525" t="str">
        <f t="shared" si="12"/>
        <v/>
      </c>
      <c r="AC550" s="525" t="str">
        <f t="shared" si="13"/>
        <v/>
      </c>
      <c r="AD550" s="525" t="str">
        <f t="shared" si="14"/>
        <v/>
      </c>
      <c r="AE550" s="525" t="str">
        <f t="shared" si="15"/>
        <v/>
      </c>
      <c r="AF550" s="525" t="str">
        <f t="shared" si="16"/>
        <v/>
      </c>
      <c r="AG550" s="525" t="str">
        <f t="shared" si="17"/>
        <v/>
      </c>
      <c r="AH550" s="525">
        <f>E550</f>
        <v>0</v>
      </c>
      <c r="AI550" s="525">
        <f>E551</f>
        <v>0</v>
      </c>
    </row>
    <row r="551" spans="1:35" x14ac:dyDescent="0.2">
      <c r="A551" s="531"/>
      <c r="B551" s="303"/>
      <c r="C551" s="303"/>
      <c r="D551" s="303"/>
      <c r="E551" s="303"/>
      <c r="F551" s="303"/>
      <c r="G551" s="303"/>
      <c r="H551" s="303"/>
      <c r="I551" s="303"/>
      <c r="J551" s="303"/>
      <c r="K551" s="303"/>
      <c r="L551" s="303"/>
      <c r="M551" s="303"/>
      <c r="N551" s="303"/>
      <c r="O551" s="303"/>
      <c r="P551" s="303"/>
      <c r="Q551" s="303"/>
      <c r="R551" s="303"/>
      <c r="S551" s="303"/>
      <c r="T551" s="303"/>
      <c r="U551" s="303"/>
      <c r="V551" s="303"/>
      <c r="W551" s="303"/>
      <c r="X551" s="303"/>
      <c r="Y551" s="303"/>
      <c r="Z551" s="532"/>
      <c r="AA551" s="530"/>
      <c r="AB551" s="525" t="str">
        <f t="shared" si="12"/>
        <v/>
      </c>
      <c r="AC551" s="525" t="str">
        <f t="shared" si="13"/>
        <v/>
      </c>
      <c r="AD551" s="525" t="str">
        <f t="shared" si="14"/>
        <v/>
      </c>
      <c r="AE551" s="525" t="str">
        <f t="shared" si="15"/>
        <v/>
      </c>
      <c r="AF551" s="525" t="str">
        <f t="shared" si="16"/>
        <v/>
      </c>
      <c r="AG551" s="525" t="str">
        <f t="shared" si="17"/>
        <v/>
      </c>
      <c r="AH551" s="525">
        <f>E550</f>
        <v>0</v>
      </c>
      <c r="AI551" s="525">
        <f>E551</f>
        <v>0</v>
      </c>
    </row>
    <row r="552" spans="1:35" x14ac:dyDescent="0.2">
      <c r="A552" s="531"/>
      <c r="B552" s="303"/>
      <c r="C552" s="303"/>
      <c r="D552" s="303"/>
      <c r="E552" s="303"/>
      <c r="F552" s="303"/>
      <c r="G552" s="303"/>
      <c r="H552" s="303"/>
      <c r="I552" s="303"/>
      <c r="J552" s="303"/>
      <c r="K552" s="303"/>
      <c r="L552" s="303"/>
      <c r="M552" s="303"/>
      <c r="N552" s="303"/>
      <c r="O552" s="303"/>
      <c r="P552" s="303"/>
      <c r="Q552" s="303"/>
      <c r="R552" s="303"/>
      <c r="S552" s="303"/>
      <c r="T552" s="303"/>
      <c r="U552" s="303"/>
      <c r="V552" s="303"/>
      <c r="W552" s="303"/>
      <c r="X552" s="303"/>
      <c r="Y552" s="303"/>
      <c r="Z552" s="532"/>
      <c r="AA552" s="530"/>
      <c r="AB552" s="525" t="str">
        <f t="shared" si="12"/>
        <v/>
      </c>
      <c r="AC552" s="525" t="str">
        <f t="shared" si="13"/>
        <v/>
      </c>
      <c r="AD552" s="525" t="str">
        <f t="shared" si="14"/>
        <v/>
      </c>
      <c r="AE552" s="525" t="str">
        <f t="shared" si="15"/>
        <v/>
      </c>
      <c r="AF552" s="525" t="str">
        <f t="shared" si="16"/>
        <v/>
      </c>
      <c r="AG552" s="525" t="str">
        <f t="shared" si="17"/>
        <v/>
      </c>
      <c r="AH552" s="525">
        <f>E553</f>
        <v>0</v>
      </c>
      <c r="AI552" s="525">
        <f>E554</f>
        <v>0</v>
      </c>
    </row>
    <row r="553" spans="1:35" x14ac:dyDescent="0.2">
      <c r="A553" s="531"/>
      <c r="B553" s="303"/>
      <c r="C553" s="303"/>
      <c r="D553" s="303"/>
      <c r="E553" s="303"/>
      <c r="F553" s="303"/>
      <c r="G553" s="303"/>
      <c r="H553" s="303"/>
      <c r="I553" s="303"/>
      <c r="J553" s="303"/>
      <c r="K553" s="303"/>
      <c r="L553" s="303"/>
      <c r="M553" s="303"/>
      <c r="N553" s="303"/>
      <c r="O553" s="303"/>
      <c r="P553" s="303"/>
      <c r="Q553" s="303"/>
      <c r="R553" s="303"/>
      <c r="S553" s="303"/>
      <c r="T553" s="303"/>
      <c r="U553" s="303"/>
      <c r="V553" s="303"/>
      <c r="W553" s="303"/>
      <c r="X553" s="303"/>
      <c r="Y553" s="303"/>
      <c r="Z553" s="532"/>
      <c r="AA553" s="530"/>
      <c r="AB553" s="525" t="str">
        <f t="shared" si="12"/>
        <v/>
      </c>
      <c r="AC553" s="525" t="str">
        <f t="shared" si="13"/>
        <v/>
      </c>
      <c r="AD553" s="525" t="str">
        <f t="shared" si="14"/>
        <v/>
      </c>
      <c r="AE553" s="525" t="str">
        <f t="shared" si="15"/>
        <v/>
      </c>
      <c r="AF553" s="525" t="str">
        <f t="shared" si="16"/>
        <v/>
      </c>
      <c r="AG553" s="525" t="str">
        <f t="shared" si="17"/>
        <v/>
      </c>
      <c r="AH553" s="525">
        <f>E553</f>
        <v>0</v>
      </c>
      <c r="AI553" s="525">
        <f>E554</f>
        <v>0</v>
      </c>
    </row>
    <row r="554" spans="1:35" x14ac:dyDescent="0.2">
      <c r="A554" s="531"/>
      <c r="B554" s="303"/>
      <c r="C554" s="303"/>
      <c r="D554" s="303"/>
      <c r="E554" s="303"/>
      <c r="F554" s="303"/>
      <c r="G554" s="303"/>
      <c r="H554" s="303"/>
      <c r="I554" s="303"/>
      <c r="J554" s="303"/>
      <c r="K554" s="303"/>
      <c r="L554" s="303"/>
      <c r="M554" s="303"/>
      <c r="N554" s="303"/>
      <c r="O554" s="303"/>
      <c r="P554" s="303"/>
      <c r="Q554" s="303"/>
      <c r="R554" s="303"/>
      <c r="S554" s="303"/>
      <c r="T554" s="303"/>
      <c r="U554" s="303"/>
      <c r="V554" s="303"/>
      <c r="W554" s="303"/>
      <c r="X554" s="303"/>
      <c r="Y554" s="303"/>
      <c r="Z554" s="532"/>
      <c r="AA554" s="530"/>
      <c r="AB554" s="525" t="str">
        <f t="shared" si="12"/>
        <v/>
      </c>
      <c r="AC554" s="525" t="str">
        <f t="shared" si="13"/>
        <v/>
      </c>
      <c r="AD554" s="525" t="str">
        <f t="shared" si="14"/>
        <v/>
      </c>
      <c r="AE554" s="525" t="str">
        <f t="shared" si="15"/>
        <v/>
      </c>
      <c r="AF554" s="525" t="str">
        <f t="shared" si="16"/>
        <v/>
      </c>
      <c r="AG554" s="525" t="str">
        <f t="shared" si="17"/>
        <v/>
      </c>
      <c r="AH554" s="525">
        <f>E553</f>
        <v>0</v>
      </c>
      <c r="AI554" s="525">
        <f>E554</f>
        <v>0</v>
      </c>
    </row>
    <row r="555" spans="1:35" x14ac:dyDescent="0.2">
      <c r="A555" s="531"/>
      <c r="B555" s="303"/>
      <c r="C555" s="303"/>
      <c r="D555" s="303"/>
      <c r="E555" s="303"/>
      <c r="F555" s="303"/>
      <c r="G555" s="303"/>
      <c r="H555" s="303"/>
      <c r="I555" s="303"/>
      <c r="J555" s="303"/>
      <c r="K555" s="303"/>
      <c r="L555" s="303"/>
      <c r="M555" s="303"/>
      <c r="N555" s="303"/>
      <c r="O555" s="303"/>
      <c r="P555" s="303"/>
      <c r="Q555" s="303"/>
      <c r="R555" s="303"/>
      <c r="S555" s="303"/>
      <c r="T555" s="303"/>
      <c r="U555" s="303"/>
      <c r="V555" s="303"/>
      <c r="W555" s="303"/>
      <c r="X555" s="303"/>
      <c r="Y555" s="303"/>
      <c r="Z555" s="532"/>
      <c r="AA555" s="530"/>
      <c r="AB555" s="525" t="str">
        <f t="shared" si="12"/>
        <v/>
      </c>
      <c r="AC555" s="525" t="str">
        <f t="shared" si="13"/>
        <v/>
      </c>
      <c r="AD555" s="525" t="str">
        <f t="shared" si="14"/>
        <v/>
      </c>
      <c r="AE555" s="525" t="str">
        <f t="shared" si="15"/>
        <v/>
      </c>
      <c r="AF555" s="525" t="str">
        <f t="shared" si="16"/>
        <v/>
      </c>
      <c r="AG555" s="525" t="str">
        <f t="shared" si="17"/>
        <v/>
      </c>
      <c r="AH555" s="525">
        <f>E556</f>
        <v>0</v>
      </c>
      <c r="AI555" s="525">
        <f>E557</f>
        <v>0</v>
      </c>
    </row>
    <row r="556" spans="1:35" x14ac:dyDescent="0.2">
      <c r="A556" s="531"/>
      <c r="B556" s="303"/>
      <c r="C556" s="303"/>
      <c r="D556" s="303"/>
      <c r="E556" s="303"/>
      <c r="F556" s="303"/>
      <c r="G556" s="303"/>
      <c r="H556" s="303"/>
      <c r="I556" s="303"/>
      <c r="J556" s="303"/>
      <c r="K556" s="303"/>
      <c r="L556" s="303"/>
      <c r="M556" s="303"/>
      <c r="N556" s="303"/>
      <c r="O556" s="303"/>
      <c r="P556" s="303"/>
      <c r="Q556" s="303"/>
      <c r="R556" s="303"/>
      <c r="S556" s="303"/>
      <c r="T556" s="303"/>
      <c r="U556" s="303"/>
      <c r="V556" s="303"/>
      <c r="W556" s="303"/>
      <c r="X556" s="303"/>
      <c r="Y556" s="303"/>
      <c r="Z556" s="532"/>
      <c r="AA556" s="530"/>
      <c r="AB556" s="525" t="str">
        <f t="shared" si="12"/>
        <v/>
      </c>
      <c r="AC556" s="525" t="str">
        <f t="shared" si="13"/>
        <v/>
      </c>
      <c r="AD556" s="525" t="str">
        <f t="shared" si="14"/>
        <v/>
      </c>
      <c r="AE556" s="525" t="str">
        <f t="shared" si="15"/>
        <v/>
      </c>
      <c r="AF556" s="525" t="str">
        <f t="shared" si="16"/>
        <v/>
      </c>
      <c r="AG556" s="525" t="str">
        <f t="shared" si="17"/>
        <v/>
      </c>
      <c r="AH556" s="525">
        <f>E556</f>
        <v>0</v>
      </c>
      <c r="AI556" s="525">
        <f>E557</f>
        <v>0</v>
      </c>
    </row>
    <row r="557" spans="1:35" x14ac:dyDescent="0.2">
      <c r="A557" s="531"/>
      <c r="B557" s="303"/>
      <c r="C557" s="303"/>
      <c r="D557" s="303"/>
      <c r="E557" s="303"/>
      <c r="F557" s="303"/>
      <c r="G557" s="303"/>
      <c r="H557" s="303"/>
      <c r="I557" s="303"/>
      <c r="J557" s="303"/>
      <c r="K557" s="303"/>
      <c r="L557" s="303"/>
      <c r="M557" s="303"/>
      <c r="N557" s="303"/>
      <c r="O557" s="303"/>
      <c r="P557" s="303"/>
      <c r="Q557" s="303"/>
      <c r="R557" s="303"/>
      <c r="S557" s="303"/>
      <c r="T557" s="303"/>
      <c r="U557" s="303"/>
      <c r="V557" s="303"/>
      <c r="W557" s="303"/>
      <c r="X557" s="303"/>
      <c r="Y557" s="303"/>
      <c r="Z557" s="532"/>
      <c r="AA557" s="530"/>
      <c r="AB557" s="525" t="str">
        <f t="shared" si="12"/>
        <v/>
      </c>
      <c r="AC557" s="525" t="str">
        <f t="shared" si="13"/>
        <v/>
      </c>
      <c r="AD557" s="525" t="str">
        <f t="shared" si="14"/>
        <v/>
      </c>
      <c r="AE557" s="525" t="str">
        <f t="shared" si="15"/>
        <v/>
      </c>
      <c r="AF557" s="525" t="str">
        <f t="shared" si="16"/>
        <v/>
      </c>
      <c r="AG557" s="525" t="str">
        <f t="shared" si="17"/>
        <v/>
      </c>
      <c r="AH557" s="525">
        <f>E556</f>
        <v>0</v>
      </c>
      <c r="AI557" s="525">
        <f>E557</f>
        <v>0</v>
      </c>
    </row>
    <row r="558" spans="1:35" x14ac:dyDescent="0.2">
      <c r="A558" s="531"/>
      <c r="B558" s="303"/>
      <c r="C558" s="303"/>
      <c r="D558" s="303"/>
      <c r="E558" s="303"/>
      <c r="F558" s="303"/>
      <c r="G558" s="303"/>
      <c r="H558" s="303"/>
      <c r="I558" s="303"/>
      <c r="J558" s="303"/>
      <c r="K558" s="303"/>
      <c r="L558" s="303"/>
      <c r="M558" s="303"/>
      <c r="N558" s="303"/>
      <c r="O558" s="303"/>
      <c r="P558" s="303"/>
      <c r="Q558" s="303"/>
      <c r="R558" s="303"/>
      <c r="S558" s="303"/>
      <c r="T558" s="303"/>
      <c r="U558" s="303"/>
      <c r="V558" s="303"/>
      <c r="W558" s="303"/>
      <c r="X558" s="303"/>
      <c r="Y558" s="303"/>
      <c r="Z558" s="532"/>
      <c r="AA558" s="530"/>
      <c r="AB558" s="525" t="str">
        <f t="shared" si="12"/>
        <v/>
      </c>
      <c r="AC558" s="525" t="str">
        <f t="shared" si="13"/>
        <v/>
      </c>
      <c r="AD558" s="525" t="str">
        <f t="shared" si="14"/>
        <v/>
      </c>
      <c r="AE558" s="525" t="str">
        <f t="shared" si="15"/>
        <v/>
      </c>
      <c r="AF558" s="525" t="str">
        <f t="shared" si="16"/>
        <v/>
      </c>
      <c r="AG558" s="525" t="str">
        <f t="shared" si="17"/>
        <v/>
      </c>
      <c r="AH558" s="525">
        <f>E559</f>
        <v>0</v>
      </c>
      <c r="AI558" s="525">
        <f>E560</f>
        <v>0</v>
      </c>
    </row>
    <row r="559" spans="1:35" x14ac:dyDescent="0.2">
      <c r="A559" s="531"/>
      <c r="B559" s="303"/>
      <c r="C559" s="303"/>
      <c r="D559" s="303"/>
      <c r="E559" s="303"/>
      <c r="F559" s="303"/>
      <c r="G559" s="303"/>
      <c r="H559" s="303"/>
      <c r="I559" s="303"/>
      <c r="J559" s="303"/>
      <c r="K559" s="303"/>
      <c r="L559" s="303"/>
      <c r="M559" s="303"/>
      <c r="N559" s="303"/>
      <c r="O559" s="303"/>
      <c r="P559" s="303"/>
      <c r="Q559" s="303"/>
      <c r="R559" s="303"/>
      <c r="S559" s="303"/>
      <c r="T559" s="303"/>
      <c r="U559" s="303"/>
      <c r="V559" s="303"/>
      <c r="W559" s="303"/>
      <c r="X559" s="303"/>
      <c r="Y559" s="303"/>
      <c r="Z559" s="532"/>
      <c r="AA559" s="530"/>
      <c r="AB559" s="525" t="str">
        <f t="shared" si="12"/>
        <v/>
      </c>
      <c r="AC559" s="525" t="str">
        <f t="shared" si="13"/>
        <v/>
      </c>
      <c r="AD559" s="525" t="str">
        <f t="shared" si="14"/>
        <v/>
      </c>
      <c r="AE559" s="525" t="str">
        <f t="shared" si="15"/>
        <v/>
      </c>
      <c r="AF559" s="525" t="str">
        <f t="shared" si="16"/>
        <v/>
      </c>
      <c r="AG559" s="525" t="str">
        <f t="shared" si="17"/>
        <v/>
      </c>
      <c r="AH559" s="525">
        <f>E559</f>
        <v>0</v>
      </c>
      <c r="AI559" s="525">
        <f>E560</f>
        <v>0</v>
      </c>
    </row>
    <row r="560" spans="1:35" x14ac:dyDescent="0.2">
      <c r="A560" s="531"/>
      <c r="B560" s="303"/>
      <c r="C560" s="303"/>
      <c r="D560" s="303"/>
      <c r="E560" s="303"/>
      <c r="F560" s="303"/>
      <c r="G560" s="303"/>
      <c r="H560" s="303"/>
      <c r="I560" s="303"/>
      <c r="J560" s="303"/>
      <c r="K560" s="303"/>
      <c r="L560" s="303"/>
      <c r="M560" s="303"/>
      <c r="N560" s="303"/>
      <c r="O560" s="303"/>
      <c r="P560" s="303"/>
      <c r="Q560" s="303"/>
      <c r="R560" s="303"/>
      <c r="S560" s="303"/>
      <c r="T560" s="303"/>
      <c r="U560" s="303"/>
      <c r="V560" s="303"/>
      <c r="W560" s="303"/>
      <c r="X560" s="303"/>
      <c r="Y560" s="303"/>
      <c r="Z560" s="532"/>
      <c r="AA560" s="530"/>
      <c r="AB560" s="525" t="str">
        <f t="shared" si="12"/>
        <v/>
      </c>
      <c r="AC560" s="525" t="str">
        <f t="shared" si="13"/>
        <v/>
      </c>
      <c r="AD560" s="525" t="str">
        <f t="shared" si="14"/>
        <v/>
      </c>
      <c r="AE560" s="525" t="str">
        <f t="shared" si="15"/>
        <v/>
      </c>
      <c r="AF560" s="525" t="str">
        <f t="shared" si="16"/>
        <v/>
      </c>
      <c r="AG560" s="525" t="str">
        <f t="shared" si="17"/>
        <v/>
      </c>
      <c r="AH560" s="525">
        <f>E559</f>
        <v>0</v>
      </c>
      <c r="AI560" s="525">
        <f>E560</f>
        <v>0</v>
      </c>
    </row>
    <row r="561" spans="1:35" x14ac:dyDescent="0.2">
      <c r="A561" s="531"/>
      <c r="B561" s="303"/>
      <c r="C561" s="303"/>
      <c r="D561" s="303"/>
      <c r="E561" s="303"/>
      <c r="F561" s="303"/>
      <c r="G561" s="303"/>
      <c r="H561" s="303"/>
      <c r="I561" s="303"/>
      <c r="J561" s="303"/>
      <c r="K561" s="303"/>
      <c r="L561" s="303"/>
      <c r="M561" s="303"/>
      <c r="N561" s="303"/>
      <c r="O561" s="303"/>
      <c r="P561" s="303"/>
      <c r="Q561" s="303"/>
      <c r="R561" s="303"/>
      <c r="S561" s="303"/>
      <c r="T561" s="303"/>
      <c r="U561" s="303"/>
      <c r="V561" s="303"/>
      <c r="W561" s="303"/>
      <c r="X561" s="303"/>
      <c r="Y561" s="303"/>
      <c r="Z561" s="532"/>
      <c r="AA561" s="530"/>
      <c r="AB561" s="525" t="str">
        <f t="shared" si="12"/>
        <v/>
      </c>
      <c r="AC561" s="525" t="str">
        <f t="shared" si="13"/>
        <v/>
      </c>
      <c r="AD561" s="525" t="str">
        <f t="shared" si="14"/>
        <v/>
      </c>
      <c r="AE561" s="525" t="str">
        <f t="shared" si="15"/>
        <v/>
      </c>
      <c r="AF561" s="525" t="str">
        <f t="shared" si="16"/>
        <v/>
      </c>
      <c r="AG561" s="525" t="str">
        <f t="shared" si="17"/>
        <v/>
      </c>
      <c r="AH561" s="525">
        <f>E562</f>
        <v>0</v>
      </c>
      <c r="AI561" s="525">
        <f>E563</f>
        <v>0</v>
      </c>
    </row>
    <row r="562" spans="1:35" x14ac:dyDescent="0.2">
      <c r="A562" s="531"/>
      <c r="B562" s="303"/>
      <c r="C562" s="303"/>
      <c r="D562" s="303"/>
      <c r="E562" s="303"/>
      <c r="F562" s="303"/>
      <c r="G562" s="303"/>
      <c r="H562" s="303"/>
      <c r="I562" s="303"/>
      <c r="J562" s="303"/>
      <c r="K562" s="303"/>
      <c r="L562" s="303"/>
      <c r="M562" s="303"/>
      <c r="N562" s="303"/>
      <c r="O562" s="303"/>
      <c r="P562" s="303"/>
      <c r="Q562" s="303"/>
      <c r="R562" s="303"/>
      <c r="S562" s="303"/>
      <c r="T562" s="303"/>
      <c r="U562" s="303"/>
      <c r="V562" s="303"/>
      <c r="W562" s="303"/>
      <c r="X562" s="303"/>
      <c r="Y562" s="303"/>
      <c r="Z562" s="532"/>
      <c r="AA562" s="530"/>
      <c r="AB562" s="525" t="str">
        <f t="shared" si="12"/>
        <v/>
      </c>
      <c r="AC562" s="525" t="str">
        <f t="shared" si="13"/>
        <v/>
      </c>
      <c r="AD562" s="525" t="str">
        <f t="shared" si="14"/>
        <v/>
      </c>
      <c r="AE562" s="525" t="str">
        <f t="shared" si="15"/>
        <v/>
      </c>
      <c r="AF562" s="525" t="str">
        <f t="shared" si="16"/>
        <v/>
      </c>
      <c r="AG562" s="525" t="str">
        <f t="shared" si="17"/>
        <v/>
      </c>
      <c r="AH562" s="525">
        <f>E562</f>
        <v>0</v>
      </c>
      <c r="AI562" s="525">
        <f>E563</f>
        <v>0</v>
      </c>
    </row>
    <row r="563" spans="1:35" x14ac:dyDescent="0.2">
      <c r="A563" s="531"/>
      <c r="B563" s="303"/>
      <c r="C563" s="303"/>
      <c r="D563" s="303"/>
      <c r="E563" s="303"/>
      <c r="F563" s="303"/>
      <c r="G563" s="303"/>
      <c r="H563" s="303"/>
      <c r="I563" s="303"/>
      <c r="J563" s="303"/>
      <c r="K563" s="303"/>
      <c r="L563" s="303"/>
      <c r="M563" s="303"/>
      <c r="N563" s="303"/>
      <c r="O563" s="303"/>
      <c r="P563" s="303"/>
      <c r="Q563" s="303"/>
      <c r="R563" s="303"/>
      <c r="S563" s="303"/>
      <c r="T563" s="303"/>
      <c r="U563" s="303"/>
      <c r="V563" s="303"/>
      <c r="W563" s="303"/>
      <c r="X563" s="303"/>
      <c r="Y563" s="303"/>
      <c r="Z563" s="532"/>
      <c r="AA563" s="530"/>
      <c r="AB563" s="525" t="str">
        <f t="shared" si="12"/>
        <v/>
      </c>
      <c r="AC563" s="525" t="str">
        <f t="shared" si="13"/>
        <v/>
      </c>
      <c r="AD563" s="525" t="str">
        <f t="shared" si="14"/>
        <v/>
      </c>
      <c r="AE563" s="525" t="str">
        <f t="shared" si="15"/>
        <v/>
      </c>
      <c r="AF563" s="525" t="str">
        <f t="shared" si="16"/>
        <v/>
      </c>
      <c r="AG563" s="525" t="str">
        <f t="shared" si="17"/>
        <v/>
      </c>
      <c r="AH563" s="525">
        <f>E562</f>
        <v>0</v>
      </c>
      <c r="AI563" s="525">
        <f>E563</f>
        <v>0</v>
      </c>
    </row>
    <row r="564" spans="1:35" x14ac:dyDescent="0.2">
      <c r="A564" s="531"/>
      <c r="B564" s="303"/>
      <c r="C564" s="303"/>
      <c r="D564" s="303"/>
      <c r="E564" s="303"/>
      <c r="F564" s="303"/>
      <c r="G564" s="303"/>
      <c r="H564" s="303"/>
      <c r="I564" s="303"/>
      <c r="J564" s="303"/>
      <c r="K564" s="303"/>
      <c r="L564" s="303"/>
      <c r="M564" s="303"/>
      <c r="N564" s="303"/>
      <c r="O564" s="303"/>
      <c r="P564" s="303"/>
      <c r="Q564" s="303"/>
      <c r="R564" s="303"/>
      <c r="S564" s="303"/>
      <c r="T564" s="303"/>
      <c r="U564" s="303"/>
      <c r="V564" s="303"/>
      <c r="W564" s="303"/>
      <c r="X564" s="303"/>
      <c r="Y564" s="303"/>
      <c r="Z564" s="532"/>
      <c r="AA564" s="530"/>
      <c r="AB564" s="525" t="str">
        <f t="shared" si="12"/>
        <v/>
      </c>
      <c r="AC564" s="525" t="str">
        <f t="shared" si="13"/>
        <v/>
      </c>
      <c r="AD564" s="525" t="str">
        <f t="shared" si="14"/>
        <v/>
      </c>
      <c r="AE564" s="525" t="str">
        <f t="shared" si="15"/>
        <v/>
      </c>
      <c r="AF564" s="525" t="str">
        <f t="shared" si="16"/>
        <v/>
      </c>
      <c r="AG564" s="525" t="str">
        <f t="shared" si="17"/>
        <v/>
      </c>
      <c r="AH564" s="525">
        <f>E565</f>
        <v>0</v>
      </c>
      <c r="AI564" s="525">
        <f>E566</f>
        <v>0</v>
      </c>
    </row>
    <row r="565" spans="1:35" x14ac:dyDescent="0.2">
      <c r="A565" s="531"/>
      <c r="B565" s="303"/>
      <c r="C565" s="303"/>
      <c r="D565" s="303"/>
      <c r="E565" s="303"/>
      <c r="F565" s="303"/>
      <c r="G565" s="303"/>
      <c r="H565" s="303"/>
      <c r="I565" s="303"/>
      <c r="J565" s="303"/>
      <c r="K565" s="303"/>
      <c r="L565" s="303"/>
      <c r="M565" s="303"/>
      <c r="N565" s="303"/>
      <c r="O565" s="303"/>
      <c r="P565" s="303"/>
      <c r="Q565" s="303"/>
      <c r="R565" s="303"/>
      <c r="S565" s="303"/>
      <c r="T565" s="303"/>
      <c r="U565" s="303"/>
      <c r="V565" s="303"/>
      <c r="W565" s="303"/>
      <c r="X565" s="303"/>
      <c r="Y565" s="303"/>
      <c r="Z565" s="532"/>
      <c r="AA565" s="530"/>
      <c r="AB565" s="525" t="str">
        <f t="shared" si="12"/>
        <v/>
      </c>
      <c r="AC565" s="525" t="str">
        <f t="shared" si="13"/>
        <v/>
      </c>
      <c r="AD565" s="525" t="str">
        <f t="shared" si="14"/>
        <v/>
      </c>
      <c r="AE565" s="525" t="str">
        <f t="shared" si="15"/>
        <v/>
      </c>
      <c r="AF565" s="525" t="str">
        <f t="shared" si="16"/>
        <v/>
      </c>
      <c r="AG565" s="525" t="str">
        <f t="shared" si="17"/>
        <v/>
      </c>
      <c r="AH565" s="525">
        <f>E565</f>
        <v>0</v>
      </c>
      <c r="AI565" s="525">
        <f>E566</f>
        <v>0</v>
      </c>
    </row>
    <row r="566" spans="1:35" x14ac:dyDescent="0.2">
      <c r="A566" s="531"/>
      <c r="B566" s="303"/>
      <c r="C566" s="303"/>
      <c r="D566" s="303"/>
      <c r="E566" s="303"/>
      <c r="F566" s="303"/>
      <c r="G566" s="303"/>
      <c r="H566" s="303"/>
      <c r="I566" s="303"/>
      <c r="J566" s="303"/>
      <c r="K566" s="303"/>
      <c r="L566" s="303"/>
      <c r="M566" s="303"/>
      <c r="N566" s="303"/>
      <c r="O566" s="303"/>
      <c r="P566" s="303"/>
      <c r="Q566" s="303"/>
      <c r="R566" s="303"/>
      <c r="S566" s="303"/>
      <c r="T566" s="303"/>
      <c r="U566" s="303"/>
      <c r="V566" s="303"/>
      <c r="W566" s="303"/>
      <c r="X566" s="303"/>
      <c r="Y566" s="303"/>
      <c r="Z566" s="532"/>
      <c r="AA566" s="530"/>
      <c r="AB566" s="525" t="str">
        <f t="shared" si="12"/>
        <v/>
      </c>
      <c r="AC566" s="525" t="str">
        <f t="shared" si="13"/>
        <v/>
      </c>
      <c r="AD566" s="525" t="str">
        <f t="shared" si="14"/>
        <v/>
      </c>
      <c r="AE566" s="525" t="str">
        <f t="shared" si="15"/>
        <v/>
      </c>
      <c r="AF566" s="525" t="str">
        <f t="shared" si="16"/>
        <v/>
      </c>
      <c r="AG566" s="525" t="str">
        <f t="shared" si="17"/>
        <v/>
      </c>
      <c r="AH566" s="525">
        <f>E565</f>
        <v>0</v>
      </c>
      <c r="AI566" s="525">
        <f>E566</f>
        <v>0</v>
      </c>
    </row>
    <row r="567" spans="1:35" x14ac:dyDescent="0.2">
      <c r="A567" s="531"/>
      <c r="B567" s="303"/>
      <c r="C567" s="303"/>
      <c r="D567" s="303"/>
      <c r="E567" s="303"/>
      <c r="F567" s="303"/>
      <c r="G567" s="303"/>
      <c r="H567" s="303"/>
      <c r="I567" s="303"/>
      <c r="J567" s="303"/>
      <c r="K567" s="303"/>
      <c r="L567" s="303"/>
      <c r="M567" s="303"/>
      <c r="N567" s="303"/>
      <c r="O567" s="303"/>
      <c r="P567" s="303"/>
      <c r="Q567" s="303"/>
      <c r="R567" s="303"/>
      <c r="S567" s="303"/>
      <c r="T567" s="303"/>
      <c r="U567" s="303"/>
      <c r="V567" s="303"/>
      <c r="W567" s="303"/>
      <c r="X567" s="303"/>
      <c r="Y567" s="303"/>
      <c r="Z567" s="532"/>
      <c r="AA567" s="530"/>
      <c r="AB567" s="525" t="str">
        <f t="shared" si="12"/>
        <v/>
      </c>
      <c r="AC567" s="525" t="str">
        <f t="shared" si="13"/>
        <v/>
      </c>
      <c r="AD567" s="525" t="str">
        <f t="shared" si="14"/>
        <v/>
      </c>
      <c r="AE567" s="525" t="str">
        <f t="shared" si="15"/>
        <v/>
      </c>
      <c r="AF567" s="525" t="str">
        <f t="shared" si="16"/>
        <v/>
      </c>
      <c r="AG567" s="525" t="str">
        <f t="shared" si="17"/>
        <v/>
      </c>
      <c r="AH567" s="525">
        <f>E568</f>
        <v>0</v>
      </c>
      <c r="AI567" s="525">
        <f>E569</f>
        <v>0</v>
      </c>
    </row>
    <row r="568" spans="1:35" x14ac:dyDescent="0.2">
      <c r="A568" s="531"/>
      <c r="B568" s="303"/>
      <c r="C568" s="303"/>
      <c r="D568" s="303"/>
      <c r="E568" s="303"/>
      <c r="F568" s="303"/>
      <c r="G568" s="303"/>
      <c r="H568" s="303"/>
      <c r="I568" s="303"/>
      <c r="J568" s="303"/>
      <c r="K568" s="303"/>
      <c r="L568" s="303"/>
      <c r="M568" s="303"/>
      <c r="N568" s="303"/>
      <c r="O568" s="303"/>
      <c r="P568" s="303"/>
      <c r="Q568" s="303"/>
      <c r="R568" s="303"/>
      <c r="S568" s="303"/>
      <c r="T568" s="303"/>
      <c r="U568" s="303"/>
      <c r="V568" s="303"/>
      <c r="W568" s="303"/>
      <c r="X568" s="303"/>
      <c r="Y568" s="303"/>
      <c r="Z568" s="532"/>
      <c r="AA568" s="530"/>
      <c r="AB568" s="525" t="str">
        <f t="shared" si="12"/>
        <v/>
      </c>
      <c r="AC568" s="525" t="str">
        <f t="shared" si="13"/>
        <v/>
      </c>
      <c r="AD568" s="525" t="str">
        <f t="shared" si="14"/>
        <v/>
      </c>
      <c r="AE568" s="525" t="str">
        <f t="shared" si="15"/>
        <v/>
      </c>
      <c r="AF568" s="525" t="str">
        <f t="shared" si="16"/>
        <v/>
      </c>
      <c r="AG568" s="525" t="str">
        <f t="shared" si="17"/>
        <v/>
      </c>
      <c r="AH568" s="525">
        <f>E568</f>
        <v>0</v>
      </c>
      <c r="AI568" s="525">
        <f>E569</f>
        <v>0</v>
      </c>
    </row>
    <row r="569" spans="1:35" x14ac:dyDescent="0.2">
      <c r="A569" s="531"/>
      <c r="B569" s="303"/>
      <c r="C569" s="303"/>
      <c r="D569" s="303"/>
      <c r="E569" s="303"/>
      <c r="F569" s="303"/>
      <c r="G569" s="303"/>
      <c r="H569" s="303"/>
      <c r="I569" s="303"/>
      <c r="J569" s="303"/>
      <c r="K569" s="303"/>
      <c r="L569" s="303"/>
      <c r="M569" s="303"/>
      <c r="N569" s="303"/>
      <c r="O569" s="303"/>
      <c r="P569" s="303"/>
      <c r="Q569" s="303"/>
      <c r="R569" s="303"/>
      <c r="S569" s="303"/>
      <c r="T569" s="303"/>
      <c r="U569" s="303"/>
      <c r="V569" s="303"/>
      <c r="W569" s="303"/>
      <c r="X569" s="303"/>
      <c r="Y569" s="303"/>
      <c r="Z569" s="532"/>
      <c r="AA569" s="530"/>
      <c r="AB569" s="525" t="str">
        <f t="shared" si="12"/>
        <v/>
      </c>
      <c r="AC569" s="525" t="str">
        <f t="shared" si="13"/>
        <v/>
      </c>
      <c r="AD569" s="525" t="str">
        <f t="shared" si="14"/>
        <v/>
      </c>
      <c r="AE569" s="525" t="str">
        <f t="shared" si="15"/>
        <v/>
      </c>
      <c r="AF569" s="525" t="str">
        <f t="shared" si="16"/>
        <v/>
      </c>
      <c r="AG569" s="525" t="str">
        <f t="shared" si="17"/>
        <v/>
      </c>
      <c r="AH569" s="525">
        <f>E568</f>
        <v>0</v>
      </c>
      <c r="AI569" s="525">
        <f>E569</f>
        <v>0</v>
      </c>
    </row>
    <row r="570" spans="1:35" x14ac:dyDescent="0.2">
      <c r="A570" s="531"/>
      <c r="B570" s="303"/>
      <c r="C570" s="303"/>
      <c r="D570" s="303"/>
      <c r="E570" s="303"/>
      <c r="F570" s="303"/>
      <c r="G570" s="303"/>
      <c r="H570" s="303"/>
      <c r="I570" s="303"/>
      <c r="J570" s="303"/>
      <c r="K570" s="303"/>
      <c r="L570" s="303"/>
      <c r="M570" s="303"/>
      <c r="N570" s="303"/>
      <c r="O570" s="303"/>
      <c r="P570" s="303"/>
      <c r="Q570" s="303"/>
      <c r="R570" s="303"/>
      <c r="S570" s="303"/>
      <c r="T570" s="303"/>
      <c r="U570" s="303"/>
      <c r="V570" s="303"/>
      <c r="W570" s="303"/>
      <c r="X570" s="303"/>
      <c r="Y570" s="303"/>
      <c r="Z570" s="532"/>
      <c r="AA570" s="530"/>
      <c r="AB570" s="525" t="str">
        <f t="shared" si="12"/>
        <v/>
      </c>
      <c r="AC570" s="525" t="str">
        <f t="shared" si="13"/>
        <v/>
      </c>
      <c r="AD570" s="525" t="str">
        <f t="shared" si="14"/>
        <v/>
      </c>
      <c r="AE570" s="525" t="str">
        <f t="shared" si="15"/>
        <v/>
      </c>
      <c r="AF570" s="525" t="str">
        <f t="shared" si="16"/>
        <v/>
      </c>
      <c r="AG570" s="525" t="str">
        <f t="shared" si="17"/>
        <v/>
      </c>
      <c r="AH570" s="525">
        <f>E571</f>
        <v>0</v>
      </c>
      <c r="AI570" s="525">
        <f>E572</f>
        <v>0</v>
      </c>
    </row>
    <row r="571" spans="1:35" x14ac:dyDescent="0.2">
      <c r="A571" s="531"/>
      <c r="B571" s="303"/>
      <c r="C571" s="303"/>
      <c r="D571" s="303"/>
      <c r="E571" s="303"/>
      <c r="F571" s="303"/>
      <c r="G571" s="303"/>
      <c r="H571" s="303"/>
      <c r="I571" s="303"/>
      <c r="J571" s="303"/>
      <c r="K571" s="303"/>
      <c r="L571" s="303"/>
      <c r="M571" s="303"/>
      <c r="N571" s="303"/>
      <c r="O571" s="303"/>
      <c r="P571" s="303"/>
      <c r="Q571" s="303"/>
      <c r="R571" s="303"/>
      <c r="S571" s="303"/>
      <c r="T571" s="303"/>
      <c r="U571" s="303"/>
      <c r="V571" s="303"/>
      <c r="W571" s="303"/>
      <c r="X571" s="303"/>
      <c r="Y571" s="303"/>
      <c r="Z571" s="532"/>
      <c r="AA571" s="530"/>
      <c r="AB571" s="525" t="str">
        <f t="shared" si="12"/>
        <v/>
      </c>
      <c r="AC571" s="525" t="str">
        <f t="shared" si="13"/>
        <v/>
      </c>
      <c r="AD571" s="525" t="str">
        <f t="shared" si="14"/>
        <v/>
      </c>
      <c r="AE571" s="525" t="str">
        <f t="shared" si="15"/>
        <v/>
      </c>
      <c r="AF571" s="525" t="str">
        <f t="shared" si="16"/>
        <v/>
      </c>
      <c r="AG571" s="525" t="str">
        <f t="shared" si="17"/>
        <v/>
      </c>
      <c r="AH571" s="525">
        <f>E571</f>
        <v>0</v>
      </c>
      <c r="AI571" s="525">
        <f>E572</f>
        <v>0</v>
      </c>
    </row>
    <row r="572" spans="1:35" x14ac:dyDescent="0.2">
      <c r="A572" s="531"/>
      <c r="B572" s="303"/>
      <c r="C572" s="303"/>
      <c r="D572" s="303"/>
      <c r="E572" s="303"/>
      <c r="F572" s="303"/>
      <c r="G572" s="303"/>
      <c r="H572" s="303"/>
      <c r="I572" s="303"/>
      <c r="J572" s="303"/>
      <c r="K572" s="303"/>
      <c r="L572" s="303"/>
      <c r="M572" s="303"/>
      <c r="N572" s="303"/>
      <c r="O572" s="303"/>
      <c r="P572" s="303"/>
      <c r="Q572" s="303"/>
      <c r="R572" s="303"/>
      <c r="S572" s="303"/>
      <c r="T572" s="303"/>
      <c r="U572" s="303"/>
      <c r="V572" s="303"/>
      <c r="W572" s="303"/>
      <c r="X572" s="303"/>
      <c r="Y572" s="303"/>
      <c r="Z572" s="532"/>
      <c r="AA572" s="530"/>
      <c r="AB572" s="525" t="str">
        <f t="shared" si="12"/>
        <v/>
      </c>
      <c r="AC572" s="525" t="str">
        <f t="shared" si="13"/>
        <v/>
      </c>
      <c r="AD572" s="525" t="str">
        <f t="shared" si="14"/>
        <v/>
      </c>
      <c r="AE572" s="525" t="str">
        <f t="shared" si="15"/>
        <v/>
      </c>
      <c r="AF572" s="525" t="str">
        <f t="shared" si="16"/>
        <v/>
      </c>
      <c r="AG572" s="525" t="str">
        <f t="shared" si="17"/>
        <v/>
      </c>
      <c r="AH572" s="525">
        <f>E571</f>
        <v>0</v>
      </c>
      <c r="AI572" s="525">
        <f>E572</f>
        <v>0</v>
      </c>
    </row>
    <row r="573" spans="1:35" x14ac:dyDescent="0.2">
      <c r="A573" s="531"/>
      <c r="B573" s="303"/>
      <c r="C573" s="303"/>
      <c r="D573" s="303"/>
      <c r="E573" s="303"/>
      <c r="F573" s="303"/>
      <c r="G573" s="303"/>
      <c r="H573" s="303"/>
      <c r="I573" s="303"/>
      <c r="J573" s="303"/>
      <c r="K573" s="303"/>
      <c r="L573" s="303"/>
      <c r="M573" s="303"/>
      <c r="N573" s="303"/>
      <c r="O573" s="303"/>
      <c r="P573" s="303"/>
      <c r="Q573" s="303"/>
      <c r="R573" s="303"/>
      <c r="S573" s="303"/>
      <c r="T573" s="303"/>
      <c r="U573" s="303"/>
      <c r="V573" s="303"/>
      <c r="W573" s="303"/>
      <c r="X573" s="303"/>
      <c r="Y573" s="303"/>
      <c r="Z573" s="532"/>
      <c r="AA573" s="530"/>
      <c r="AB573" s="525" t="str">
        <f t="shared" si="12"/>
        <v/>
      </c>
      <c r="AC573" s="525" t="str">
        <f t="shared" si="13"/>
        <v/>
      </c>
      <c r="AD573" s="525" t="str">
        <f t="shared" si="14"/>
        <v/>
      </c>
      <c r="AE573" s="525" t="str">
        <f t="shared" si="15"/>
        <v/>
      </c>
      <c r="AF573" s="525" t="str">
        <f t="shared" si="16"/>
        <v/>
      </c>
      <c r="AG573" s="525" t="str">
        <f t="shared" si="17"/>
        <v/>
      </c>
      <c r="AH573" s="525">
        <f>E574</f>
        <v>0</v>
      </c>
      <c r="AI573" s="525">
        <f>E575</f>
        <v>0</v>
      </c>
    </row>
    <row r="574" spans="1:35" x14ac:dyDescent="0.2">
      <c r="A574" s="531"/>
      <c r="B574" s="303"/>
      <c r="C574" s="303"/>
      <c r="D574" s="303"/>
      <c r="E574" s="303"/>
      <c r="F574" s="303"/>
      <c r="G574" s="303"/>
      <c r="H574" s="303"/>
      <c r="I574" s="303"/>
      <c r="J574" s="303"/>
      <c r="K574" s="303"/>
      <c r="L574" s="303"/>
      <c r="M574" s="303"/>
      <c r="N574" s="303"/>
      <c r="O574" s="303"/>
      <c r="P574" s="303"/>
      <c r="Q574" s="303"/>
      <c r="R574" s="303"/>
      <c r="S574" s="303"/>
      <c r="T574" s="303"/>
      <c r="U574" s="303"/>
      <c r="V574" s="303"/>
      <c r="W574" s="303"/>
      <c r="X574" s="303"/>
      <c r="Y574" s="303"/>
      <c r="Z574" s="532"/>
      <c r="AA574" s="530"/>
      <c r="AB574" s="525" t="str">
        <f t="shared" si="12"/>
        <v/>
      </c>
      <c r="AC574" s="525" t="str">
        <f t="shared" si="13"/>
        <v/>
      </c>
      <c r="AD574" s="525" t="str">
        <f t="shared" si="14"/>
        <v/>
      </c>
      <c r="AE574" s="525" t="str">
        <f t="shared" si="15"/>
        <v/>
      </c>
      <c r="AF574" s="525" t="str">
        <f t="shared" si="16"/>
        <v/>
      </c>
      <c r="AG574" s="525" t="str">
        <f t="shared" si="17"/>
        <v/>
      </c>
      <c r="AH574" s="525">
        <f>E574</f>
        <v>0</v>
      </c>
      <c r="AI574" s="525">
        <f>E575</f>
        <v>0</v>
      </c>
    </row>
    <row r="575" spans="1:35" x14ac:dyDescent="0.2">
      <c r="A575" s="531"/>
      <c r="B575" s="303"/>
      <c r="C575" s="303"/>
      <c r="D575" s="303"/>
      <c r="E575" s="303"/>
      <c r="F575" s="303"/>
      <c r="G575" s="303"/>
      <c r="H575" s="303"/>
      <c r="I575" s="303"/>
      <c r="J575" s="303"/>
      <c r="K575" s="303"/>
      <c r="L575" s="303"/>
      <c r="M575" s="303"/>
      <c r="N575" s="303"/>
      <c r="O575" s="303"/>
      <c r="P575" s="303"/>
      <c r="Q575" s="303"/>
      <c r="R575" s="303"/>
      <c r="S575" s="303"/>
      <c r="T575" s="303"/>
      <c r="U575" s="303"/>
      <c r="V575" s="303"/>
      <c r="W575" s="303"/>
      <c r="X575" s="303"/>
      <c r="Y575" s="303"/>
      <c r="Z575" s="532"/>
      <c r="AA575" s="530"/>
      <c r="AB575" s="525" t="str">
        <f t="shared" si="12"/>
        <v/>
      </c>
      <c r="AC575" s="525" t="str">
        <f t="shared" si="13"/>
        <v/>
      </c>
      <c r="AD575" s="525" t="str">
        <f t="shared" si="14"/>
        <v/>
      </c>
      <c r="AE575" s="525" t="str">
        <f t="shared" si="15"/>
        <v/>
      </c>
      <c r="AF575" s="525" t="str">
        <f t="shared" si="16"/>
        <v/>
      </c>
      <c r="AG575" s="525" t="str">
        <f t="shared" si="17"/>
        <v/>
      </c>
      <c r="AH575" s="525">
        <f>E574</f>
        <v>0</v>
      </c>
      <c r="AI575" s="525">
        <f>E575</f>
        <v>0</v>
      </c>
    </row>
    <row r="576" spans="1:35" x14ac:dyDescent="0.2">
      <c r="A576" s="531"/>
      <c r="B576" s="303"/>
      <c r="C576" s="303"/>
      <c r="D576" s="303"/>
      <c r="E576" s="303"/>
      <c r="F576" s="303"/>
      <c r="G576" s="303"/>
      <c r="H576" s="303"/>
      <c r="I576" s="303"/>
      <c r="J576" s="303"/>
      <c r="K576" s="303"/>
      <c r="L576" s="303"/>
      <c r="M576" s="303"/>
      <c r="N576" s="303"/>
      <c r="O576" s="303"/>
      <c r="P576" s="303"/>
      <c r="Q576" s="303"/>
      <c r="R576" s="303"/>
      <c r="S576" s="303"/>
      <c r="T576" s="303"/>
      <c r="U576" s="303"/>
      <c r="V576" s="303"/>
      <c r="W576" s="303"/>
      <c r="X576" s="303"/>
      <c r="Y576" s="303"/>
      <c r="Z576" s="532"/>
      <c r="AA576" s="530"/>
      <c r="AB576" s="525" t="str">
        <f t="shared" si="12"/>
        <v/>
      </c>
      <c r="AC576" s="525" t="str">
        <f t="shared" si="13"/>
        <v/>
      </c>
      <c r="AD576" s="525" t="str">
        <f t="shared" si="14"/>
        <v/>
      </c>
      <c r="AE576" s="525" t="str">
        <f t="shared" si="15"/>
        <v/>
      </c>
      <c r="AF576" s="525" t="str">
        <f t="shared" si="16"/>
        <v/>
      </c>
      <c r="AG576" s="525" t="str">
        <f t="shared" si="17"/>
        <v/>
      </c>
      <c r="AH576" s="525">
        <f>E577</f>
        <v>0</v>
      </c>
      <c r="AI576" s="525">
        <f>E578</f>
        <v>0</v>
      </c>
    </row>
    <row r="577" spans="1:35" x14ac:dyDescent="0.2">
      <c r="A577" s="531"/>
      <c r="B577" s="303"/>
      <c r="C577" s="303"/>
      <c r="D577" s="303"/>
      <c r="E577" s="303"/>
      <c r="F577" s="303"/>
      <c r="G577" s="303"/>
      <c r="H577" s="303"/>
      <c r="I577" s="303"/>
      <c r="J577" s="303"/>
      <c r="K577" s="303"/>
      <c r="L577" s="303"/>
      <c r="M577" s="303"/>
      <c r="N577" s="303"/>
      <c r="O577" s="303"/>
      <c r="P577" s="303"/>
      <c r="Q577" s="303"/>
      <c r="R577" s="303"/>
      <c r="S577" s="303"/>
      <c r="T577" s="303"/>
      <c r="U577" s="303"/>
      <c r="V577" s="303"/>
      <c r="W577" s="303"/>
      <c r="X577" s="303"/>
      <c r="Y577" s="303"/>
      <c r="Z577" s="532"/>
      <c r="AA577" s="530"/>
      <c r="AB577" s="525" t="str">
        <f t="shared" si="12"/>
        <v/>
      </c>
      <c r="AC577" s="525" t="str">
        <f t="shared" si="13"/>
        <v/>
      </c>
      <c r="AD577" s="525" t="str">
        <f t="shared" si="14"/>
        <v/>
      </c>
      <c r="AE577" s="525" t="str">
        <f t="shared" si="15"/>
        <v/>
      </c>
      <c r="AF577" s="525" t="str">
        <f t="shared" si="16"/>
        <v/>
      </c>
      <c r="AG577" s="525" t="str">
        <f t="shared" si="17"/>
        <v/>
      </c>
      <c r="AH577" s="525">
        <f>E577</f>
        <v>0</v>
      </c>
      <c r="AI577" s="525">
        <f>E578</f>
        <v>0</v>
      </c>
    </row>
    <row r="578" spans="1:35" x14ac:dyDescent="0.2">
      <c r="A578" s="531"/>
      <c r="B578" s="303"/>
      <c r="C578" s="303"/>
      <c r="D578" s="303"/>
      <c r="E578" s="303"/>
      <c r="F578" s="303"/>
      <c r="G578" s="303"/>
      <c r="H578" s="303"/>
      <c r="I578" s="303"/>
      <c r="J578" s="303"/>
      <c r="K578" s="303"/>
      <c r="L578" s="303"/>
      <c r="M578" s="303"/>
      <c r="N578" s="303"/>
      <c r="O578" s="303"/>
      <c r="P578" s="303"/>
      <c r="Q578" s="303"/>
      <c r="R578" s="303"/>
      <c r="S578" s="303"/>
      <c r="T578" s="303"/>
      <c r="U578" s="303"/>
      <c r="V578" s="303"/>
      <c r="W578" s="303"/>
      <c r="X578" s="303"/>
      <c r="Y578" s="303"/>
      <c r="Z578" s="532"/>
      <c r="AA578" s="530"/>
      <c r="AB578" s="525" t="str">
        <f t="shared" si="12"/>
        <v/>
      </c>
      <c r="AC578" s="525" t="str">
        <f t="shared" si="13"/>
        <v/>
      </c>
      <c r="AD578" s="525" t="str">
        <f t="shared" si="14"/>
        <v/>
      </c>
      <c r="AE578" s="525" t="str">
        <f t="shared" si="15"/>
        <v/>
      </c>
      <c r="AF578" s="525" t="str">
        <f t="shared" si="16"/>
        <v/>
      </c>
      <c r="AG578" s="525" t="str">
        <f t="shared" si="17"/>
        <v/>
      </c>
      <c r="AH578" s="525">
        <f>E577</f>
        <v>0</v>
      </c>
      <c r="AI578" s="525">
        <f>E578</f>
        <v>0</v>
      </c>
    </row>
    <row r="579" spans="1:35" x14ac:dyDescent="0.2">
      <c r="A579" s="531"/>
      <c r="B579" s="303"/>
      <c r="C579" s="303"/>
      <c r="D579" s="303"/>
      <c r="E579" s="303"/>
      <c r="F579" s="303"/>
      <c r="G579" s="303"/>
      <c r="H579" s="303"/>
      <c r="I579" s="303"/>
      <c r="J579" s="303"/>
      <c r="K579" s="303"/>
      <c r="L579" s="303"/>
      <c r="M579" s="303"/>
      <c r="N579" s="303"/>
      <c r="O579" s="303"/>
      <c r="P579" s="303"/>
      <c r="Q579" s="303"/>
      <c r="R579" s="303"/>
      <c r="S579" s="303"/>
      <c r="T579" s="303"/>
      <c r="U579" s="303"/>
      <c r="V579" s="303"/>
      <c r="W579" s="303"/>
      <c r="X579" s="303"/>
      <c r="Y579" s="303"/>
      <c r="Z579" s="532"/>
      <c r="AA579" s="530"/>
      <c r="AB579" s="525" t="str">
        <f t="shared" si="12"/>
        <v/>
      </c>
      <c r="AC579" s="525" t="str">
        <f t="shared" si="13"/>
        <v/>
      </c>
      <c r="AD579" s="525" t="str">
        <f t="shared" si="14"/>
        <v/>
      </c>
      <c r="AE579" s="525" t="str">
        <f t="shared" si="15"/>
        <v/>
      </c>
      <c r="AF579" s="525" t="str">
        <f t="shared" si="16"/>
        <v/>
      </c>
      <c r="AG579" s="525" t="str">
        <f t="shared" si="17"/>
        <v/>
      </c>
      <c r="AH579" s="525">
        <f>E580</f>
        <v>0</v>
      </c>
      <c r="AI579" s="525">
        <f>E581</f>
        <v>0</v>
      </c>
    </row>
    <row r="580" spans="1:35" x14ac:dyDescent="0.2">
      <c r="A580" s="531"/>
      <c r="B580" s="303"/>
      <c r="C580" s="303"/>
      <c r="D580" s="303"/>
      <c r="E580" s="303"/>
      <c r="F580" s="303"/>
      <c r="G580" s="303"/>
      <c r="H580" s="303"/>
      <c r="I580" s="303"/>
      <c r="J580" s="303"/>
      <c r="K580" s="303"/>
      <c r="L580" s="303"/>
      <c r="M580" s="303"/>
      <c r="N580" s="303"/>
      <c r="O580" s="303"/>
      <c r="P580" s="303"/>
      <c r="Q580" s="303"/>
      <c r="R580" s="303"/>
      <c r="S580" s="303"/>
      <c r="T580" s="303"/>
      <c r="U580" s="303"/>
      <c r="V580" s="303"/>
      <c r="W580" s="303"/>
      <c r="X580" s="303"/>
      <c r="Y580" s="303"/>
      <c r="Z580" s="532"/>
      <c r="AA580" s="530"/>
      <c r="AB580" s="525" t="str">
        <f t="shared" si="12"/>
        <v/>
      </c>
      <c r="AC580" s="525" t="str">
        <f t="shared" si="13"/>
        <v/>
      </c>
      <c r="AD580" s="525" t="str">
        <f t="shared" si="14"/>
        <v/>
      </c>
      <c r="AE580" s="525" t="str">
        <f t="shared" si="15"/>
        <v/>
      </c>
      <c r="AF580" s="525" t="str">
        <f t="shared" si="16"/>
        <v/>
      </c>
      <c r="AG580" s="525" t="str">
        <f t="shared" si="17"/>
        <v/>
      </c>
      <c r="AH580" s="525">
        <f>E580</f>
        <v>0</v>
      </c>
      <c r="AI580" s="525">
        <f>E581</f>
        <v>0</v>
      </c>
    </row>
    <row r="581" spans="1:35" x14ac:dyDescent="0.2">
      <c r="A581" s="531"/>
      <c r="B581" s="303"/>
      <c r="C581" s="303"/>
      <c r="D581" s="303"/>
      <c r="E581" s="303"/>
      <c r="F581" s="303"/>
      <c r="G581" s="303"/>
      <c r="H581" s="303"/>
      <c r="I581" s="303"/>
      <c r="J581" s="303"/>
      <c r="K581" s="303"/>
      <c r="L581" s="303"/>
      <c r="M581" s="303"/>
      <c r="N581" s="303"/>
      <c r="O581" s="303"/>
      <c r="P581" s="303"/>
      <c r="Q581" s="303"/>
      <c r="R581" s="303"/>
      <c r="S581" s="303"/>
      <c r="T581" s="303"/>
      <c r="U581" s="303"/>
      <c r="V581" s="303"/>
      <c r="W581" s="303"/>
      <c r="X581" s="303"/>
      <c r="Y581" s="303"/>
      <c r="Z581" s="532"/>
      <c r="AA581" s="530"/>
      <c r="AB581" s="525" t="str">
        <f t="shared" si="12"/>
        <v/>
      </c>
      <c r="AC581" s="525" t="str">
        <f t="shared" si="13"/>
        <v/>
      </c>
      <c r="AD581" s="525" t="str">
        <f t="shared" si="14"/>
        <v/>
      </c>
      <c r="AE581" s="525" t="str">
        <f t="shared" si="15"/>
        <v/>
      </c>
      <c r="AF581" s="525" t="str">
        <f t="shared" si="16"/>
        <v/>
      </c>
      <c r="AG581" s="525" t="str">
        <f t="shared" si="17"/>
        <v/>
      </c>
      <c r="AH581" s="525">
        <f>E580</f>
        <v>0</v>
      </c>
      <c r="AI581" s="525">
        <f>E581</f>
        <v>0</v>
      </c>
    </row>
    <row r="582" spans="1:35" x14ac:dyDescent="0.2">
      <c r="A582" s="531"/>
      <c r="B582" s="303"/>
      <c r="C582" s="303"/>
      <c r="D582" s="303"/>
      <c r="E582" s="303"/>
      <c r="F582" s="303"/>
      <c r="G582" s="303"/>
      <c r="H582" s="303"/>
      <c r="I582" s="303"/>
      <c r="J582" s="303"/>
      <c r="K582" s="303"/>
      <c r="L582" s="303"/>
      <c r="M582" s="303"/>
      <c r="N582" s="303"/>
      <c r="O582" s="303"/>
      <c r="P582" s="303"/>
      <c r="Q582" s="303"/>
      <c r="R582" s="303"/>
      <c r="S582" s="303"/>
      <c r="T582" s="303"/>
      <c r="U582" s="303"/>
      <c r="V582" s="303"/>
      <c r="W582" s="303"/>
      <c r="X582" s="303"/>
      <c r="Y582" s="303"/>
      <c r="Z582" s="532"/>
      <c r="AA582" s="530"/>
      <c r="AB582" s="525" t="str">
        <f t="shared" si="12"/>
        <v/>
      </c>
      <c r="AC582" s="525" t="str">
        <f t="shared" si="13"/>
        <v/>
      </c>
      <c r="AD582" s="525" t="str">
        <f t="shared" si="14"/>
        <v/>
      </c>
      <c r="AE582" s="525" t="str">
        <f t="shared" si="15"/>
        <v/>
      </c>
      <c r="AF582" s="525" t="str">
        <f t="shared" si="16"/>
        <v/>
      </c>
      <c r="AG582" s="525" t="str">
        <f t="shared" si="17"/>
        <v/>
      </c>
      <c r="AH582" s="525">
        <f>E583</f>
        <v>0</v>
      </c>
      <c r="AI582" s="525">
        <f>E584</f>
        <v>0</v>
      </c>
    </row>
    <row r="583" spans="1:35" x14ac:dyDescent="0.2">
      <c r="A583" s="531"/>
      <c r="B583" s="303"/>
      <c r="C583" s="303"/>
      <c r="D583" s="303"/>
      <c r="E583" s="303"/>
      <c r="F583" s="303"/>
      <c r="G583" s="303"/>
      <c r="H583" s="303"/>
      <c r="I583" s="303"/>
      <c r="J583" s="303"/>
      <c r="K583" s="303"/>
      <c r="L583" s="303"/>
      <c r="M583" s="303"/>
      <c r="N583" s="303"/>
      <c r="O583" s="303"/>
      <c r="P583" s="303"/>
      <c r="Q583" s="303"/>
      <c r="R583" s="303"/>
      <c r="S583" s="303"/>
      <c r="T583" s="303"/>
      <c r="U583" s="303"/>
      <c r="V583" s="303"/>
      <c r="W583" s="303"/>
      <c r="X583" s="303"/>
      <c r="Y583" s="303"/>
      <c r="Z583" s="532"/>
      <c r="AA583" s="530"/>
      <c r="AB583" s="525" t="str">
        <f t="shared" si="12"/>
        <v/>
      </c>
      <c r="AC583" s="525" t="str">
        <f t="shared" si="13"/>
        <v/>
      </c>
      <c r="AD583" s="525" t="str">
        <f t="shared" si="14"/>
        <v/>
      </c>
      <c r="AE583" s="525" t="str">
        <f t="shared" si="15"/>
        <v/>
      </c>
      <c r="AF583" s="525" t="str">
        <f t="shared" si="16"/>
        <v/>
      </c>
      <c r="AG583" s="525" t="str">
        <f t="shared" si="17"/>
        <v/>
      </c>
      <c r="AH583" s="525">
        <f>E583</f>
        <v>0</v>
      </c>
      <c r="AI583" s="525">
        <f>E584</f>
        <v>0</v>
      </c>
    </row>
    <row r="584" spans="1:35" x14ac:dyDescent="0.2">
      <c r="A584" s="531"/>
      <c r="B584" s="303"/>
      <c r="C584" s="303"/>
      <c r="D584" s="303"/>
      <c r="E584" s="303"/>
      <c r="F584" s="303"/>
      <c r="G584" s="303"/>
      <c r="H584" s="303"/>
      <c r="I584" s="303"/>
      <c r="J584" s="303"/>
      <c r="K584" s="303"/>
      <c r="L584" s="303"/>
      <c r="M584" s="303"/>
      <c r="N584" s="303"/>
      <c r="O584" s="303"/>
      <c r="P584" s="303"/>
      <c r="Q584" s="303"/>
      <c r="R584" s="303"/>
      <c r="S584" s="303"/>
      <c r="T584" s="303"/>
      <c r="U584" s="303"/>
      <c r="V584" s="303"/>
      <c r="W584" s="303"/>
      <c r="X584" s="303"/>
      <c r="Y584" s="303"/>
      <c r="Z584" s="532"/>
      <c r="AA584" s="530"/>
      <c r="AB584" s="525" t="str">
        <f t="shared" si="12"/>
        <v/>
      </c>
      <c r="AC584" s="525" t="str">
        <f t="shared" si="13"/>
        <v/>
      </c>
      <c r="AD584" s="525" t="str">
        <f t="shared" si="14"/>
        <v/>
      </c>
      <c r="AE584" s="525" t="str">
        <f t="shared" si="15"/>
        <v/>
      </c>
      <c r="AF584" s="525" t="str">
        <f t="shared" si="16"/>
        <v/>
      </c>
      <c r="AG584" s="525" t="str">
        <f t="shared" si="17"/>
        <v/>
      </c>
      <c r="AH584" s="525">
        <f>E583</f>
        <v>0</v>
      </c>
      <c r="AI584" s="525">
        <f>E584</f>
        <v>0</v>
      </c>
    </row>
    <row r="585" spans="1:35" x14ac:dyDescent="0.2">
      <c r="A585" s="531"/>
      <c r="B585" s="303"/>
      <c r="C585" s="303"/>
      <c r="D585" s="303"/>
      <c r="E585" s="303"/>
      <c r="F585" s="303"/>
      <c r="G585" s="303"/>
      <c r="H585" s="303"/>
      <c r="I585" s="303"/>
      <c r="J585" s="303"/>
      <c r="K585" s="303"/>
      <c r="L585" s="303"/>
      <c r="M585" s="303"/>
      <c r="N585" s="303"/>
      <c r="O585" s="303"/>
      <c r="P585" s="303"/>
      <c r="Q585" s="303"/>
      <c r="R585" s="303"/>
      <c r="S585" s="303"/>
      <c r="T585" s="303"/>
      <c r="U585" s="303"/>
      <c r="V585" s="303"/>
      <c r="W585" s="303"/>
      <c r="X585" s="303"/>
      <c r="Y585" s="303"/>
      <c r="Z585" s="532"/>
      <c r="AA585" s="530"/>
      <c r="AB585" s="525" t="str">
        <f t="shared" si="12"/>
        <v/>
      </c>
      <c r="AC585" s="525" t="str">
        <f t="shared" si="13"/>
        <v/>
      </c>
      <c r="AD585" s="525" t="str">
        <f t="shared" si="14"/>
        <v/>
      </c>
      <c r="AE585" s="525" t="str">
        <f t="shared" si="15"/>
        <v/>
      </c>
      <c r="AF585" s="525" t="str">
        <f t="shared" si="16"/>
        <v/>
      </c>
      <c r="AG585" s="525" t="str">
        <f t="shared" si="17"/>
        <v/>
      </c>
      <c r="AH585" s="525">
        <f>E586</f>
        <v>0</v>
      </c>
      <c r="AI585" s="525">
        <f>E587</f>
        <v>0</v>
      </c>
    </row>
    <row r="586" spans="1:35" x14ac:dyDescent="0.2">
      <c r="A586" s="531"/>
      <c r="B586" s="303"/>
      <c r="C586" s="303"/>
      <c r="D586" s="303"/>
      <c r="E586" s="303"/>
      <c r="F586" s="303"/>
      <c r="G586" s="303"/>
      <c r="H586" s="303"/>
      <c r="I586" s="303"/>
      <c r="J586" s="303"/>
      <c r="K586" s="303"/>
      <c r="L586" s="303"/>
      <c r="M586" s="303"/>
      <c r="N586" s="303"/>
      <c r="O586" s="303"/>
      <c r="P586" s="303"/>
      <c r="Q586" s="303"/>
      <c r="R586" s="303"/>
      <c r="S586" s="303"/>
      <c r="T586" s="303"/>
      <c r="U586" s="303"/>
      <c r="V586" s="303"/>
      <c r="W586" s="303"/>
      <c r="X586" s="303"/>
      <c r="Y586" s="303"/>
      <c r="Z586" s="532"/>
      <c r="AA586" s="530"/>
      <c r="AB586" s="525" t="str">
        <f t="shared" si="12"/>
        <v/>
      </c>
      <c r="AC586" s="525" t="str">
        <f t="shared" si="13"/>
        <v/>
      </c>
      <c r="AD586" s="525" t="str">
        <f t="shared" si="14"/>
        <v/>
      </c>
      <c r="AE586" s="525" t="str">
        <f t="shared" si="15"/>
        <v/>
      </c>
      <c r="AF586" s="525" t="str">
        <f t="shared" si="16"/>
        <v/>
      </c>
      <c r="AG586" s="525" t="str">
        <f t="shared" si="17"/>
        <v/>
      </c>
      <c r="AH586" s="525">
        <f>E586</f>
        <v>0</v>
      </c>
      <c r="AI586" s="525">
        <f>E587</f>
        <v>0</v>
      </c>
    </row>
    <row r="587" spans="1:35" x14ac:dyDescent="0.2">
      <c r="A587" s="531"/>
      <c r="B587" s="303"/>
      <c r="C587" s="303"/>
      <c r="D587" s="303"/>
      <c r="E587" s="303"/>
      <c r="F587" s="303"/>
      <c r="G587" s="303"/>
      <c r="H587" s="303"/>
      <c r="I587" s="303"/>
      <c r="J587" s="303"/>
      <c r="K587" s="303"/>
      <c r="L587" s="303"/>
      <c r="M587" s="303"/>
      <c r="N587" s="303"/>
      <c r="O587" s="303"/>
      <c r="P587" s="303"/>
      <c r="Q587" s="303"/>
      <c r="R587" s="303"/>
      <c r="S587" s="303"/>
      <c r="T587" s="303"/>
      <c r="U587" s="303"/>
      <c r="V587" s="303"/>
      <c r="W587" s="303"/>
      <c r="X587" s="303"/>
      <c r="Y587" s="303"/>
      <c r="Z587" s="532"/>
      <c r="AA587" s="530"/>
      <c r="AB587" s="525" t="str">
        <f t="shared" si="12"/>
        <v/>
      </c>
      <c r="AC587" s="525" t="str">
        <f t="shared" si="13"/>
        <v/>
      </c>
      <c r="AD587" s="525" t="str">
        <f t="shared" si="14"/>
        <v/>
      </c>
      <c r="AE587" s="525" t="str">
        <f t="shared" si="15"/>
        <v/>
      </c>
      <c r="AF587" s="525" t="str">
        <f t="shared" si="16"/>
        <v/>
      </c>
      <c r="AG587" s="525" t="str">
        <f t="shared" si="17"/>
        <v/>
      </c>
      <c r="AH587" s="525">
        <f>E586</f>
        <v>0</v>
      </c>
      <c r="AI587" s="525">
        <f>E587</f>
        <v>0</v>
      </c>
    </row>
    <row r="588" spans="1:35" x14ac:dyDescent="0.2">
      <c r="A588" s="531"/>
      <c r="B588" s="303"/>
      <c r="C588" s="303"/>
      <c r="D588" s="303"/>
      <c r="E588" s="303"/>
      <c r="F588" s="303"/>
      <c r="G588" s="303"/>
      <c r="H588" s="303"/>
      <c r="I588" s="303"/>
      <c r="J588" s="303"/>
      <c r="K588" s="303"/>
      <c r="L588" s="303"/>
      <c r="M588" s="303"/>
      <c r="N588" s="303"/>
      <c r="O588" s="303"/>
      <c r="P588" s="303"/>
      <c r="Q588" s="303"/>
      <c r="R588" s="303"/>
      <c r="S588" s="303"/>
      <c r="T588" s="303"/>
      <c r="U588" s="303"/>
      <c r="V588" s="303"/>
      <c r="W588" s="303"/>
      <c r="X588" s="303"/>
      <c r="Y588" s="303"/>
      <c r="Z588" s="532"/>
      <c r="AA588" s="530"/>
      <c r="AB588" s="525" t="str">
        <f t="shared" si="12"/>
        <v/>
      </c>
      <c r="AC588" s="525" t="str">
        <f t="shared" si="13"/>
        <v/>
      </c>
      <c r="AD588" s="525" t="str">
        <f t="shared" si="14"/>
        <v/>
      </c>
      <c r="AE588" s="525" t="str">
        <f t="shared" si="15"/>
        <v/>
      </c>
      <c r="AF588" s="525" t="str">
        <f t="shared" si="16"/>
        <v/>
      </c>
      <c r="AG588" s="525" t="str">
        <f t="shared" si="17"/>
        <v/>
      </c>
      <c r="AH588" s="525">
        <f>E589</f>
        <v>0</v>
      </c>
      <c r="AI588" s="525">
        <f>E590</f>
        <v>0</v>
      </c>
    </row>
    <row r="589" spans="1:35" x14ac:dyDescent="0.2">
      <c r="A589" s="531"/>
      <c r="B589" s="303"/>
      <c r="C589" s="303"/>
      <c r="D589" s="303"/>
      <c r="E589" s="303"/>
      <c r="F589" s="303"/>
      <c r="G589" s="303"/>
      <c r="H589" s="303"/>
      <c r="I589" s="303"/>
      <c r="J589" s="303"/>
      <c r="K589" s="303"/>
      <c r="L589" s="303"/>
      <c r="M589" s="303"/>
      <c r="N589" s="303"/>
      <c r="O589" s="303"/>
      <c r="P589" s="303"/>
      <c r="Q589" s="303"/>
      <c r="R589" s="303"/>
      <c r="S589" s="303"/>
      <c r="T589" s="303"/>
      <c r="U589" s="303"/>
      <c r="V589" s="303"/>
      <c r="W589" s="303"/>
      <c r="X589" s="303"/>
      <c r="Y589" s="303"/>
      <c r="Z589" s="532"/>
      <c r="AA589" s="530"/>
      <c r="AB589" s="525" t="str">
        <f t="shared" si="12"/>
        <v/>
      </c>
      <c r="AC589" s="525" t="str">
        <f t="shared" si="13"/>
        <v/>
      </c>
      <c r="AD589" s="525" t="str">
        <f t="shared" si="14"/>
        <v/>
      </c>
      <c r="AE589" s="525" t="str">
        <f t="shared" si="15"/>
        <v/>
      </c>
      <c r="AF589" s="525" t="str">
        <f t="shared" si="16"/>
        <v/>
      </c>
      <c r="AG589" s="525" t="str">
        <f t="shared" si="17"/>
        <v/>
      </c>
      <c r="AH589" s="525">
        <f>E589</f>
        <v>0</v>
      </c>
      <c r="AI589" s="525">
        <f>E590</f>
        <v>0</v>
      </c>
    </row>
    <row r="590" spans="1:35" x14ac:dyDescent="0.2">
      <c r="A590" s="531"/>
      <c r="B590" s="303"/>
      <c r="C590" s="303"/>
      <c r="D590" s="303"/>
      <c r="E590" s="303"/>
      <c r="F590" s="303"/>
      <c r="G590" s="303"/>
      <c r="H590" s="303"/>
      <c r="I590" s="303"/>
      <c r="J590" s="303"/>
      <c r="K590" s="303"/>
      <c r="L590" s="303"/>
      <c r="M590" s="303"/>
      <c r="N590" s="303"/>
      <c r="O590" s="303"/>
      <c r="P590" s="303"/>
      <c r="Q590" s="303"/>
      <c r="R590" s="303"/>
      <c r="S590" s="303"/>
      <c r="T590" s="303"/>
      <c r="U590" s="303"/>
      <c r="V590" s="303"/>
      <c r="W590" s="303"/>
      <c r="X590" s="303"/>
      <c r="Y590" s="303"/>
      <c r="Z590" s="532"/>
      <c r="AA590" s="530"/>
      <c r="AB590" s="525" t="str">
        <f t="shared" si="12"/>
        <v/>
      </c>
      <c r="AC590" s="525" t="str">
        <f t="shared" si="13"/>
        <v/>
      </c>
      <c r="AD590" s="525" t="str">
        <f t="shared" si="14"/>
        <v/>
      </c>
      <c r="AE590" s="525" t="str">
        <f t="shared" si="15"/>
        <v/>
      </c>
      <c r="AF590" s="525" t="str">
        <f t="shared" si="16"/>
        <v/>
      </c>
      <c r="AG590" s="525" t="str">
        <f t="shared" si="17"/>
        <v/>
      </c>
      <c r="AH590" s="525">
        <f>E589</f>
        <v>0</v>
      </c>
      <c r="AI590" s="525">
        <f>E590</f>
        <v>0</v>
      </c>
    </row>
    <row r="591" spans="1:35" x14ac:dyDescent="0.2">
      <c r="A591" s="531"/>
      <c r="B591" s="303"/>
      <c r="C591" s="303"/>
      <c r="D591" s="303"/>
      <c r="E591" s="303"/>
      <c r="F591" s="303"/>
      <c r="G591" s="303"/>
      <c r="H591" s="303"/>
      <c r="I591" s="303"/>
      <c r="J591" s="303"/>
      <c r="K591" s="303"/>
      <c r="L591" s="303"/>
      <c r="M591" s="303"/>
      <c r="N591" s="303"/>
      <c r="O591" s="303"/>
      <c r="P591" s="303"/>
      <c r="Q591" s="303"/>
      <c r="R591" s="303"/>
      <c r="S591" s="303"/>
      <c r="T591" s="303"/>
      <c r="U591" s="303"/>
      <c r="V591" s="303"/>
      <c r="W591" s="303"/>
      <c r="X591" s="303"/>
      <c r="Y591" s="303"/>
      <c r="Z591" s="532"/>
      <c r="AA591" s="530"/>
      <c r="AB591" s="525" t="str">
        <f t="shared" si="12"/>
        <v/>
      </c>
      <c r="AC591" s="525" t="str">
        <f t="shared" si="13"/>
        <v/>
      </c>
      <c r="AD591" s="525" t="str">
        <f t="shared" si="14"/>
        <v/>
      </c>
      <c r="AE591" s="525" t="str">
        <f t="shared" si="15"/>
        <v/>
      </c>
      <c r="AF591" s="525" t="str">
        <f t="shared" si="16"/>
        <v/>
      </c>
      <c r="AG591" s="525" t="str">
        <f t="shared" si="17"/>
        <v/>
      </c>
      <c r="AH591" s="525">
        <f>E592</f>
        <v>0</v>
      </c>
      <c r="AI591" s="525">
        <f>E593</f>
        <v>0</v>
      </c>
    </row>
    <row r="592" spans="1:35" x14ac:dyDescent="0.2">
      <c r="A592" s="531"/>
      <c r="B592" s="303"/>
      <c r="C592" s="303"/>
      <c r="D592" s="303"/>
      <c r="E592" s="303"/>
      <c r="F592" s="303"/>
      <c r="G592" s="303"/>
      <c r="H592" s="303"/>
      <c r="I592" s="303"/>
      <c r="J592" s="303"/>
      <c r="K592" s="303"/>
      <c r="L592" s="303"/>
      <c r="M592" s="303"/>
      <c r="N592" s="303"/>
      <c r="O592" s="303"/>
      <c r="P592" s="303"/>
      <c r="Q592" s="303"/>
      <c r="R592" s="303"/>
      <c r="S592" s="303"/>
      <c r="T592" s="303"/>
      <c r="U592" s="303"/>
      <c r="V592" s="303"/>
      <c r="W592" s="303"/>
      <c r="X592" s="303"/>
      <c r="Y592" s="303"/>
      <c r="Z592" s="532"/>
      <c r="AA592" s="530"/>
      <c r="AB592" s="525" t="str">
        <f t="shared" si="12"/>
        <v/>
      </c>
      <c r="AC592" s="525" t="str">
        <f t="shared" si="13"/>
        <v/>
      </c>
      <c r="AD592" s="525" t="str">
        <f t="shared" si="14"/>
        <v/>
      </c>
      <c r="AE592" s="525" t="str">
        <f t="shared" si="15"/>
        <v/>
      </c>
      <c r="AF592" s="525" t="str">
        <f t="shared" si="16"/>
        <v/>
      </c>
      <c r="AG592" s="525" t="str">
        <f t="shared" si="17"/>
        <v/>
      </c>
      <c r="AH592" s="525">
        <f>E592</f>
        <v>0</v>
      </c>
      <c r="AI592" s="525">
        <f>E593</f>
        <v>0</v>
      </c>
    </row>
    <row r="593" spans="1:35" x14ac:dyDescent="0.2">
      <c r="A593" s="531"/>
      <c r="B593" s="303"/>
      <c r="C593" s="303"/>
      <c r="D593" s="303"/>
      <c r="E593" s="303"/>
      <c r="F593" s="303"/>
      <c r="G593" s="303"/>
      <c r="H593" s="303"/>
      <c r="I593" s="303"/>
      <c r="J593" s="303"/>
      <c r="K593" s="303"/>
      <c r="L593" s="303"/>
      <c r="M593" s="303"/>
      <c r="N593" s="303"/>
      <c r="O593" s="303"/>
      <c r="P593" s="303"/>
      <c r="Q593" s="303"/>
      <c r="R593" s="303"/>
      <c r="S593" s="303"/>
      <c r="T593" s="303"/>
      <c r="U593" s="303"/>
      <c r="V593" s="303"/>
      <c r="W593" s="303"/>
      <c r="X593" s="303"/>
      <c r="Y593" s="303"/>
      <c r="Z593" s="532"/>
      <c r="AA593" s="530"/>
      <c r="AB593" s="525" t="str">
        <f t="shared" si="12"/>
        <v/>
      </c>
      <c r="AC593" s="525" t="str">
        <f t="shared" si="13"/>
        <v/>
      </c>
      <c r="AD593" s="525" t="str">
        <f t="shared" si="14"/>
        <v/>
      </c>
      <c r="AE593" s="525" t="str">
        <f t="shared" si="15"/>
        <v/>
      </c>
      <c r="AF593" s="525" t="str">
        <f t="shared" si="16"/>
        <v/>
      </c>
      <c r="AG593" s="525" t="str">
        <f t="shared" si="17"/>
        <v/>
      </c>
      <c r="AH593" s="525">
        <f>E592</f>
        <v>0</v>
      </c>
      <c r="AI593" s="525">
        <f>E593</f>
        <v>0</v>
      </c>
    </row>
    <row r="594" spans="1:35" x14ac:dyDescent="0.2">
      <c r="A594" s="531"/>
      <c r="B594" s="303"/>
      <c r="C594" s="303"/>
      <c r="D594" s="303"/>
      <c r="E594" s="303"/>
      <c r="F594" s="303"/>
      <c r="G594" s="303"/>
      <c r="H594" s="303"/>
      <c r="I594" s="303"/>
      <c r="J594" s="303"/>
      <c r="K594" s="303"/>
      <c r="L594" s="303"/>
      <c r="M594" s="303"/>
      <c r="N594" s="303"/>
      <c r="O594" s="303"/>
      <c r="P594" s="303"/>
      <c r="Q594" s="303"/>
      <c r="R594" s="303"/>
      <c r="S594" s="303"/>
      <c r="T594" s="303"/>
      <c r="U594" s="303"/>
      <c r="V594" s="303"/>
      <c r="W594" s="303"/>
      <c r="X594" s="303"/>
      <c r="Y594" s="303"/>
      <c r="Z594" s="532"/>
      <c r="AA594" s="530"/>
      <c r="AB594" s="525" t="str">
        <f t="shared" si="12"/>
        <v/>
      </c>
      <c r="AC594" s="525" t="str">
        <f t="shared" si="13"/>
        <v/>
      </c>
      <c r="AD594" s="525" t="str">
        <f t="shared" si="14"/>
        <v/>
      </c>
      <c r="AE594" s="525" t="str">
        <f t="shared" si="15"/>
        <v/>
      </c>
      <c r="AF594" s="525" t="str">
        <f t="shared" si="16"/>
        <v/>
      </c>
      <c r="AG594" s="525" t="str">
        <f t="shared" si="17"/>
        <v/>
      </c>
      <c r="AH594" s="525">
        <f>E595</f>
        <v>0</v>
      </c>
      <c r="AI594" s="525">
        <f>E596</f>
        <v>0</v>
      </c>
    </row>
    <row r="595" spans="1:35" x14ac:dyDescent="0.2">
      <c r="A595" s="531"/>
      <c r="B595" s="303"/>
      <c r="C595" s="303"/>
      <c r="D595" s="303"/>
      <c r="E595" s="303"/>
      <c r="F595" s="303"/>
      <c r="G595" s="303"/>
      <c r="H595" s="303"/>
      <c r="I595" s="303"/>
      <c r="J595" s="303"/>
      <c r="K595" s="303"/>
      <c r="L595" s="303"/>
      <c r="M595" s="303"/>
      <c r="N595" s="303"/>
      <c r="O595" s="303"/>
      <c r="P595" s="303"/>
      <c r="Q595" s="303"/>
      <c r="R595" s="303"/>
      <c r="S595" s="303"/>
      <c r="T595" s="303"/>
      <c r="U595" s="303"/>
      <c r="V595" s="303"/>
      <c r="W595" s="303"/>
      <c r="X595" s="303"/>
      <c r="Y595" s="303"/>
      <c r="Z595" s="532"/>
      <c r="AA595" s="530"/>
      <c r="AB595" s="525" t="str">
        <f t="shared" si="12"/>
        <v/>
      </c>
      <c r="AC595" s="525" t="str">
        <f t="shared" si="13"/>
        <v/>
      </c>
      <c r="AD595" s="525" t="str">
        <f t="shared" si="14"/>
        <v/>
      </c>
      <c r="AE595" s="525" t="str">
        <f t="shared" si="15"/>
        <v/>
      </c>
      <c r="AF595" s="525" t="str">
        <f t="shared" si="16"/>
        <v/>
      </c>
      <c r="AG595" s="525" t="str">
        <f t="shared" si="17"/>
        <v/>
      </c>
      <c r="AH595" s="525">
        <f>E595</f>
        <v>0</v>
      </c>
      <c r="AI595" s="525">
        <f>E596</f>
        <v>0</v>
      </c>
    </row>
    <row r="596" spans="1:35" x14ac:dyDescent="0.2">
      <c r="A596" s="531"/>
      <c r="B596" s="303"/>
      <c r="C596" s="303"/>
      <c r="D596" s="303"/>
      <c r="E596" s="303"/>
      <c r="F596" s="303"/>
      <c r="G596" s="303"/>
      <c r="H596" s="303"/>
      <c r="I596" s="303"/>
      <c r="J596" s="303"/>
      <c r="K596" s="303"/>
      <c r="L596" s="303"/>
      <c r="M596" s="303"/>
      <c r="N596" s="303"/>
      <c r="O596" s="303"/>
      <c r="P596" s="303"/>
      <c r="Q596" s="303"/>
      <c r="R596" s="303"/>
      <c r="S596" s="303"/>
      <c r="T596" s="303"/>
      <c r="U596" s="303"/>
      <c r="V596" s="303"/>
      <c r="W596" s="303"/>
      <c r="X596" s="303"/>
      <c r="Y596" s="303"/>
      <c r="Z596" s="532"/>
      <c r="AA596" s="530"/>
      <c r="AB596" s="525" t="str">
        <f t="shared" si="12"/>
        <v/>
      </c>
      <c r="AC596" s="525" t="str">
        <f t="shared" si="13"/>
        <v/>
      </c>
      <c r="AD596" s="525" t="str">
        <f t="shared" si="14"/>
        <v/>
      </c>
      <c r="AE596" s="525" t="str">
        <f t="shared" si="15"/>
        <v/>
      </c>
      <c r="AF596" s="525" t="str">
        <f t="shared" si="16"/>
        <v/>
      </c>
      <c r="AG596" s="525" t="str">
        <f t="shared" si="17"/>
        <v/>
      </c>
      <c r="AH596" s="525">
        <f>E595</f>
        <v>0</v>
      </c>
      <c r="AI596" s="525">
        <f>E596</f>
        <v>0</v>
      </c>
    </row>
    <row r="597" spans="1:35" x14ac:dyDescent="0.2">
      <c r="A597" s="531"/>
      <c r="B597" s="303"/>
      <c r="C597" s="303"/>
      <c r="D597" s="303"/>
      <c r="E597" s="303"/>
      <c r="F597" s="303"/>
      <c r="G597" s="303"/>
      <c r="H597" s="303"/>
      <c r="I597" s="303"/>
      <c r="J597" s="303"/>
      <c r="K597" s="303"/>
      <c r="L597" s="303"/>
      <c r="M597" s="303"/>
      <c r="N597" s="303"/>
      <c r="O597" s="303"/>
      <c r="P597" s="303"/>
      <c r="Q597" s="303"/>
      <c r="R597" s="303"/>
      <c r="S597" s="303"/>
      <c r="T597" s="303"/>
      <c r="U597" s="303"/>
      <c r="V597" s="303"/>
      <c r="W597" s="303"/>
      <c r="X597" s="303"/>
      <c r="Y597" s="303"/>
      <c r="Z597" s="532"/>
      <c r="AA597" s="530"/>
      <c r="AB597" s="525" t="str">
        <f t="shared" si="12"/>
        <v/>
      </c>
      <c r="AC597" s="525" t="str">
        <f t="shared" si="13"/>
        <v/>
      </c>
      <c r="AD597" s="525" t="str">
        <f t="shared" si="14"/>
        <v/>
      </c>
      <c r="AE597" s="525" t="str">
        <f t="shared" si="15"/>
        <v/>
      </c>
      <c r="AF597" s="525" t="str">
        <f t="shared" si="16"/>
        <v/>
      </c>
      <c r="AG597" s="525" t="str">
        <f t="shared" si="17"/>
        <v/>
      </c>
      <c r="AH597" s="525">
        <f>E598</f>
        <v>0</v>
      </c>
      <c r="AI597" s="525">
        <f>E599</f>
        <v>0</v>
      </c>
    </row>
    <row r="598" spans="1:35" x14ac:dyDescent="0.2">
      <c r="A598" s="531"/>
      <c r="B598" s="303"/>
      <c r="C598" s="303"/>
      <c r="D598" s="303"/>
      <c r="E598" s="303"/>
      <c r="F598" s="303"/>
      <c r="G598" s="303"/>
      <c r="H598" s="303"/>
      <c r="I598" s="303"/>
      <c r="J598" s="303"/>
      <c r="K598" s="303"/>
      <c r="L598" s="303"/>
      <c r="M598" s="303"/>
      <c r="N598" s="303"/>
      <c r="O598" s="303"/>
      <c r="P598" s="303"/>
      <c r="Q598" s="303"/>
      <c r="R598" s="303"/>
      <c r="S598" s="303"/>
      <c r="T598" s="303"/>
      <c r="U598" s="303"/>
      <c r="V598" s="303"/>
      <c r="W598" s="303"/>
      <c r="X598" s="303"/>
      <c r="Y598" s="303"/>
      <c r="Z598" s="532"/>
      <c r="AA598" s="530"/>
      <c r="AB598" s="525" t="str">
        <f t="shared" si="12"/>
        <v/>
      </c>
      <c r="AC598" s="525" t="str">
        <f t="shared" si="13"/>
        <v/>
      </c>
      <c r="AD598" s="525" t="str">
        <f t="shared" si="14"/>
        <v/>
      </c>
      <c r="AE598" s="525" t="str">
        <f t="shared" si="15"/>
        <v/>
      </c>
      <c r="AF598" s="525" t="str">
        <f t="shared" si="16"/>
        <v/>
      </c>
      <c r="AG598" s="525" t="str">
        <f t="shared" si="17"/>
        <v/>
      </c>
      <c r="AH598" s="525">
        <f>E598</f>
        <v>0</v>
      </c>
      <c r="AI598" s="525">
        <f>E599</f>
        <v>0</v>
      </c>
    </row>
    <row r="599" spans="1:35" x14ac:dyDescent="0.2">
      <c r="A599" s="531"/>
      <c r="B599" s="303"/>
      <c r="C599" s="303"/>
      <c r="D599" s="303"/>
      <c r="E599" s="303"/>
      <c r="F599" s="303"/>
      <c r="G599" s="303"/>
      <c r="H599" s="303"/>
      <c r="I599" s="303"/>
      <c r="J599" s="303"/>
      <c r="K599" s="303"/>
      <c r="L599" s="303"/>
      <c r="M599" s="303"/>
      <c r="N599" s="303"/>
      <c r="O599" s="303"/>
      <c r="P599" s="303"/>
      <c r="Q599" s="303"/>
      <c r="R599" s="303"/>
      <c r="S599" s="303"/>
      <c r="T599" s="303"/>
      <c r="U599" s="303"/>
      <c r="V599" s="303"/>
      <c r="W599" s="303"/>
      <c r="X599" s="303"/>
      <c r="Y599" s="303"/>
      <c r="Z599" s="532"/>
      <c r="AA599" s="530"/>
      <c r="AB599" s="525" t="str">
        <f t="shared" si="12"/>
        <v/>
      </c>
      <c r="AC599" s="525" t="str">
        <f t="shared" si="13"/>
        <v/>
      </c>
      <c r="AD599" s="525" t="str">
        <f t="shared" si="14"/>
        <v/>
      </c>
      <c r="AE599" s="525" t="str">
        <f t="shared" si="15"/>
        <v/>
      </c>
      <c r="AF599" s="525" t="str">
        <f t="shared" si="16"/>
        <v/>
      </c>
      <c r="AG599" s="525" t="str">
        <f t="shared" si="17"/>
        <v/>
      </c>
      <c r="AH599" s="525">
        <f>E598</f>
        <v>0</v>
      </c>
      <c r="AI599" s="525">
        <f>E599</f>
        <v>0</v>
      </c>
    </row>
    <row r="600" spans="1:35" x14ac:dyDescent="0.2">
      <c r="A600" s="531"/>
      <c r="B600" s="303"/>
      <c r="C600" s="303"/>
      <c r="D600" s="303"/>
      <c r="E600" s="303"/>
      <c r="F600" s="303"/>
      <c r="G600" s="303"/>
      <c r="H600" s="303"/>
      <c r="I600" s="303"/>
      <c r="J600" s="303"/>
      <c r="K600" s="303"/>
      <c r="L600" s="303"/>
      <c r="M600" s="303"/>
      <c r="N600" s="303"/>
      <c r="O600" s="303"/>
      <c r="P600" s="303"/>
      <c r="Q600" s="303"/>
      <c r="R600" s="303"/>
      <c r="S600" s="303"/>
      <c r="T600" s="303"/>
      <c r="U600" s="303"/>
      <c r="V600" s="303"/>
      <c r="W600" s="303"/>
      <c r="X600" s="303"/>
      <c r="Y600" s="303"/>
      <c r="Z600" s="532"/>
      <c r="AA600" s="530"/>
      <c r="AB600" s="525" t="str">
        <f t="shared" si="12"/>
        <v/>
      </c>
      <c r="AC600" s="525" t="str">
        <f t="shared" si="13"/>
        <v/>
      </c>
      <c r="AD600" s="525" t="str">
        <f t="shared" si="14"/>
        <v/>
      </c>
      <c r="AE600" s="525" t="str">
        <f t="shared" si="15"/>
        <v/>
      </c>
      <c r="AF600" s="525" t="str">
        <f t="shared" si="16"/>
        <v/>
      </c>
      <c r="AG600" s="525" t="str">
        <f t="shared" si="17"/>
        <v/>
      </c>
      <c r="AH600" s="525">
        <f>E601</f>
        <v>0</v>
      </c>
      <c r="AI600" s="525">
        <f>E602</f>
        <v>0</v>
      </c>
    </row>
    <row r="601" spans="1:35" x14ac:dyDescent="0.2">
      <c r="A601" s="531"/>
      <c r="B601" s="303"/>
      <c r="C601" s="303"/>
      <c r="D601" s="303"/>
      <c r="E601" s="303"/>
      <c r="F601" s="303"/>
      <c r="G601" s="303"/>
      <c r="H601" s="303"/>
      <c r="I601" s="303"/>
      <c r="J601" s="303"/>
      <c r="K601" s="303"/>
      <c r="L601" s="303"/>
      <c r="M601" s="303"/>
      <c r="N601" s="303"/>
      <c r="O601" s="303"/>
      <c r="P601" s="303"/>
      <c r="Q601" s="303"/>
      <c r="R601" s="303"/>
      <c r="S601" s="303"/>
      <c r="T601" s="303"/>
      <c r="U601" s="303"/>
      <c r="V601" s="303"/>
      <c r="W601" s="303"/>
      <c r="X601" s="303"/>
      <c r="Y601" s="303"/>
      <c r="Z601" s="532"/>
      <c r="AA601" s="530"/>
      <c r="AB601" s="525" t="str">
        <f t="shared" si="12"/>
        <v/>
      </c>
      <c r="AC601" s="525" t="str">
        <f t="shared" si="13"/>
        <v/>
      </c>
      <c r="AD601" s="525" t="str">
        <f t="shared" si="14"/>
        <v/>
      </c>
      <c r="AE601" s="525" t="str">
        <f t="shared" si="15"/>
        <v/>
      </c>
      <c r="AF601" s="525" t="str">
        <f t="shared" si="16"/>
        <v/>
      </c>
      <c r="AG601" s="525" t="str">
        <f t="shared" si="17"/>
        <v/>
      </c>
      <c r="AH601" s="525">
        <f>E601</f>
        <v>0</v>
      </c>
      <c r="AI601" s="525">
        <f>E602</f>
        <v>0</v>
      </c>
    </row>
    <row r="602" spans="1:35" x14ac:dyDescent="0.2">
      <c r="A602" s="531"/>
      <c r="B602" s="303"/>
      <c r="C602" s="303"/>
      <c r="D602" s="303"/>
      <c r="E602" s="303"/>
      <c r="F602" s="303"/>
      <c r="G602" s="303"/>
      <c r="H602" s="303"/>
      <c r="I602" s="303"/>
      <c r="J602" s="303"/>
      <c r="K602" s="303"/>
      <c r="L602" s="303"/>
      <c r="M602" s="303"/>
      <c r="N602" s="303"/>
      <c r="O602" s="303"/>
      <c r="P602" s="303"/>
      <c r="Q602" s="303"/>
      <c r="R602" s="303"/>
      <c r="S602" s="303"/>
      <c r="T602" s="303"/>
      <c r="U602" s="303"/>
      <c r="V602" s="303"/>
      <c r="W602" s="303"/>
      <c r="X602" s="303"/>
      <c r="Y602" s="303"/>
      <c r="Z602" s="532"/>
      <c r="AA602" s="530"/>
      <c r="AB602" s="525" t="str">
        <f t="shared" si="12"/>
        <v/>
      </c>
      <c r="AC602" s="525" t="str">
        <f t="shared" si="13"/>
        <v/>
      </c>
      <c r="AD602" s="525" t="str">
        <f t="shared" si="14"/>
        <v/>
      </c>
      <c r="AE602" s="525" t="str">
        <f t="shared" si="15"/>
        <v/>
      </c>
      <c r="AF602" s="525" t="str">
        <f t="shared" si="16"/>
        <v/>
      </c>
      <c r="AG602" s="525" t="str">
        <f t="shared" si="17"/>
        <v/>
      </c>
      <c r="AH602" s="525">
        <f>E601</f>
        <v>0</v>
      </c>
      <c r="AI602" s="525">
        <f>E602</f>
        <v>0</v>
      </c>
    </row>
    <row r="603" spans="1:35" x14ac:dyDescent="0.2">
      <c r="A603" s="531"/>
      <c r="B603" s="303"/>
      <c r="C603" s="303"/>
      <c r="D603" s="303"/>
      <c r="E603" s="303"/>
      <c r="F603" s="303"/>
      <c r="G603" s="303"/>
      <c r="H603" s="303"/>
      <c r="I603" s="303"/>
      <c r="J603" s="303"/>
      <c r="K603" s="303"/>
      <c r="L603" s="303"/>
      <c r="M603" s="303"/>
      <c r="N603" s="303"/>
      <c r="O603" s="303"/>
      <c r="P603" s="303"/>
      <c r="Q603" s="303"/>
      <c r="R603" s="303"/>
      <c r="S603" s="303"/>
      <c r="T603" s="303"/>
      <c r="U603" s="303"/>
      <c r="V603" s="303"/>
      <c r="W603" s="303"/>
      <c r="X603" s="303"/>
      <c r="Y603" s="303"/>
      <c r="Z603" s="532"/>
      <c r="AA603" s="530"/>
      <c r="AB603" s="525" t="str">
        <f t="shared" si="12"/>
        <v/>
      </c>
      <c r="AC603" s="525" t="str">
        <f t="shared" si="13"/>
        <v/>
      </c>
      <c r="AD603" s="525" t="str">
        <f t="shared" si="14"/>
        <v/>
      </c>
      <c r="AE603" s="525" t="str">
        <f t="shared" si="15"/>
        <v/>
      </c>
      <c r="AF603" s="525" t="str">
        <f t="shared" si="16"/>
        <v/>
      </c>
      <c r="AG603" s="525" t="str">
        <f t="shared" si="17"/>
        <v/>
      </c>
      <c r="AH603" s="525">
        <f>E604</f>
        <v>0</v>
      </c>
      <c r="AI603" s="525">
        <f>E605</f>
        <v>0</v>
      </c>
    </row>
    <row r="604" spans="1:35" x14ac:dyDescent="0.2">
      <c r="A604" s="531"/>
      <c r="B604" s="303"/>
      <c r="C604" s="303"/>
      <c r="D604" s="303"/>
      <c r="E604" s="303"/>
      <c r="F604" s="303"/>
      <c r="G604" s="303"/>
      <c r="H604" s="303"/>
      <c r="I604" s="303"/>
      <c r="J604" s="303"/>
      <c r="K604" s="303"/>
      <c r="L604" s="303"/>
      <c r="M604" s="303"/>
      <c r="N604" s="303"/>
      <c r="O604" s="303"/>
      <c r="P604" s="303"/>
      <c r="Q604" s="303"/>
      <c r="R604" s="303"/>
      <c r="S604" s="303"/>
      <c r="T604" s="303"/>
      <c r="U604" s="303"/>
      <c r="V604" s="303"/>
      <c r="W604" s="303"/>
      <c r="X604" s="303"/>
      <c r="Y604" s="303"/>
      <c r="Z604" s="532"/>
      <c r="AA604" s="530"/>
      <c r="AB604" s="525" t="str">
        <f t="shared" si="12"/>
        <v/>
      </c>
      <c r="AC604" s="525" t="str">
        <f t="shared" si="13"/>
        <v/>
      </c>
      <c r="AD604" s="525" t="str">
        <f t="shared" si="14"/>
        <v/>
      </c>
      <c r="AE604" s="525" t="str">
        <f t="shared" si="15"/>
        <v/>
      </c>
      <c r="AF604" s="525" t="str">
        <f t="shared" si="16"/>
        <v/>
      </c>
      <c r="AG604" s="525" t="str">
        <f t="shared" si="17"/>
        <v/>
      </c>
      <c r="AH604" s="525">
        <f>E604</f>
        <v>0</v>
      </c>
      <c r="AI604" s="525">
        <f>E605</f>
        <v>0</v>
      </c>
    </row>
    <row r="605" spans="1:35" x14ac:dyDescent="0.2">
      <c r="A605" s="531"/>
      <c r="B605" s="303"/>
      <c r="C605" s="303"/>
      <c r="D605" s="303"/>
      <c r="E605" s="303"/>
      <c r="F605" s="303"/>
      <c r="G605" s="303"/>
      <c r="H605" s="303"/>
      <c r="I605" s="303"/>
      <c r="J605" s="303"/>
      <c r="K605" s="303"/>
      <c r="L605" s="303"/>
      <c r="M605" s="303"/>
      <c r="N605" s="303"/>
      <c r="O605" s="303"/>
      <c r="P605" s="303"/>
      <c r="Q605" s="303"/>
      <c r="R605" s="303"/>
      <c r="S605" s="303"/>
      <c r="T605" s="303"/>
      <c r="U605" s="303"/>
      <c r="V605" s="303"/>
      <c r="W605" s="303"/>
      <c r="X605" s="303"/>
      <c r="Y605" s="303"/>
      <c r="Z605" s="532"/>
      <c r="AA605" s="530"/>
      <c r="AB605" s="525" t="str">
        <f t="shared" si="12"/>
        <v/>
      </c>
      <c r="AC605" s="525" t="str">
        <f t="shared" si="13"/>
        <v/>
      </c>
      <c r="AD605" s="525" t="str">
        <f t="shared" si="14"/>
        <v/>
      </c>
      <c r="AE605" s="525" t="str">
        <f t="shared" si="15"/>
        <v/>
      </c>
      <c r="AF605" s="525" t="str">
        <f t="shared" si="16"/>
        <v/>
      </c>
      <c r="AG605" s="525" t="str">
        <f t="shared" si="17"/>
        <v/>
      </c>
      <c r="AH605" s="525">
        <f>E604</f>
        <v>0</v>
      </c>
      <c r="AI605" s="525">
        <f>E605</f>
        <v>0</v>
      </c>
    </row>
    <row r="606" spans="1:35" x14ac:dyDescent="0.2">
      <c r="A606" s="531"/>
      <c r="B606" s="303"/>
      <c r="C606" s="303"/>
      <c r="D606" s="303"/>
      <c r="E606" s="303"/>
      <c r="F606" s="303"/>
      <c r="G606" s="303"/>
      <c r="H606" s="303"/>
      <c r="I606" s="303"/>
      <c r="J606" s="303"/>
      <c r="K606" s="303"/>
      <c r="L606" s="303"/>
      <c r="M606" s="303"/>
      <c r="N606" s="303"/>
      <c r="O606" s="303"/>
      <c r="P606" s="303"/>
      <c r="Q606" s="303"/>
      <c r="R606" s="303"/>
      <c r="S606" s="303"/>
      <c r="T606" s="303"/>
      <c r="U606" s="303"/>
      <c r="V606" s="303"/>
      <c r="W606" s="303"/>
      <c r="X606" s="303"/>
      <c r="Y606" s="303"/>
      <c r="Z606" s="532"/>
      <c r="AA606" s="530"/>
      <c r="AB606" s="525" t="str">
        <f t="shared" si="12"/>
        <v/>
      </c>
      <c r="AC606" s="525" t="str">
        <f t="shared" si="13"/>
        <v/>
      </c>
      <c r="AD606" s="525" t="str">
        <f t="shared" si="14"/>
        <v/>
      </c>
      <c r="AE606" s="525" t="str">
        <f t="shared" si="15"/>
        <v/>
      </c>
      <c r="AF606" s="525" t="str">
        <f t="shared" si="16"/>
        <v/>
      </c>
      <c r="AG606" s="525" t="str">
        <f t="shared" si="17"/>
        <v/>
      </c>
      <c r="AH606" s="525">
        <f>E607</f>
        <v>0</v>
      </c>
      <c r="AI606" s="525">
        <f>E608</f>
        <v>0</v>
      </c>
    </row>
    <row r="607" spans="1:35" x14ac:dyDescent="0.2">
      <c r="A607" s="531"/>
      <c r="B607" s="303"/>
      <c r="C607" s="303"/>
      <c r="D607" s="303"/>
      <c r="E607" s="303"/>
      <c r="F607" s="303"/>
      <c r="G607" s="303"/>
      <c r="H607" s="303"/>
      <c r="I607" s="303"/>
      <c r="J607" s="303"/>
      <c r="K607" s="303"/>
      <c r="L607" s="303"/>
      <c r="M607" s="303"/>
      <c r="N607" s="303"/>
      <c r="O607" s="303"/>
      <c r="P607" s="303"/>
      <c r="Q607" s="303"/>
      <c r="R607" s="303"/>
      <c r="S607" s="303"/>
      <c r="T607" s="303"/>
      <c r="U607" s="303"/>
      <c r="V607" s="303"/>
      <c r="W607" s="303"/>
      <c r="X607" s="303"/>
      <c r="Y607" s="303"/>
      <c r="Z607" s="532"/>
      <c r="AA607" s="530"/>
      <c r="AB607" s="525" t="str">
        <f t="shared" si="12"/>
        <v/>
      </c>
      <c r="AC607" s="525" t="str">
        <f t="shared" si="13"/>
        <v/>
      </c>
      <c r="AD607" s="525" t="str">
        <f t="shared" si="14"/>
        <v/>
      </c>
      <c r="AE607" s="525" t="str">
        <f t="shared" si="15"/>
        <v/>
      </c>
      <c r="AF607" s="525" t="str">
        <f t="shared" si="16"/>
        <v/>
      </c>
      <c r="AG607" s="525" t="str">
        <f t="shared" si="17"/>
        <v/>
      </c>
      <c r="AH607" s="525">
        <f>E607</f>
        <v>0</v>
      </c>
      <c r="AI607" s="525">
        <f>E608</f>
        <v>0</v>
      </c>
    </row>
    <row r="608" spans="1:35" x14ac:dyDescent="0.2">
      <c r="A608" s="531"/>
      <c r="B608" s="303"/>
      <c r="C608" s="303"/>
      <c r="D608" s="303"/>
      <c r="E608" s="303"/>
      <c r="F608" s="303"/>
      <c r="G608" s="303"/>
      <c r="H608" s="303"/>
      <c r="I608" s="303"/>
      <c r="J608" s="303"/>
      <c r="K608" s="303"/>
      <c r="L608" s="303"/>
      <c r="M608" s="303"/>
      <c r="N608" s="303"/>
      <c r="O608" s="303"/>
      <c r="P608" s="303"/>
      <c r="Q608" s="303"/>
      <c r="R608" s="303"/>
      <c r="S608" s="303"/>
      <c r="T608" s="303"/>
      <c r="U608" s="303"/>
      <c r="V608" s="303"/>
      <c r="W608" s="303"/>
      <c r="X608" s="303"/>
      <c r="Y608" s="303"/>
      <c r="Z608" s="532"/>
      <c r="AA608" s="530"/>
      <c r="AB608" s="525" t="str">
        <f t="shared" si="12"/>
        <v/>
      </c>
      <c r="AC608" s="525" t="str">
        <f t="shared" si="13"/>
        <v/>
      </c>
      <c r="AD608" s="525" t="str">
        <f t="shared" si="14"/>
        <v/>
      </c>
      <c r="AE608" s="525" t="str">
        <f t="shared" si="15"/>
        <v/>
      </c>
      <c r="AF608" s="525" t="str">
        <f t="shared" si="16"/>
        <v/>
      </c>
      <c r="AG608" s="525" t="str">
        <f t="shared" si="17"/>
        <v/>
      </c>
      <c r="AH608" s="525">
        <f>E607</f>
        <v>0</v>
      </c>
      <c r="AI608" s="525">
        <f>E608</f>
        <v>0</v>
      </c>
    </row>
    <row r="609" spans="1:35" x14ac:dyDescent="0.2">
      <c r="A609" s="531"/>
      <c r="B609" s="303"/>
      <c r="C609" s="303"/>
      <c r="D609" s="303"/>
      <c r="E609" s="303"/>
      <c r="F609" s="303"/>
      <c r="G609" s="303"/>
      <c r="H609" s="303"/>
      <c r="I609" s="303"/>
      <c r="J609" s="303"/>
      <c r="K609" s="303"/>
      <c r="L609" s="303"/>
      <c r="M609" s="303"/>
      <c r="N609" s="303"/>
      <c r="O609" s="303"/>
      <c r="P609" s="303"/>
      <c r="Q609" s="303"/>
      <c r="R609" s="303"/>
      <c r="S609" s="303"/>
      <c r="T609" s="303"/>
      <c r="U609" s="303"/>
      <c r="V609" s="303"/>
      <c r="W609" s="303"/>
      <c r="X609" s="303"/>
      <c r="Y609" s="303"/>
      <c r="Z609" s="532"/>
      <c r="AA609" s="530"/>
      <c r="AB609" s="525" t="str">
        <f t="shared" si="12"/>
        <v/>
      </c>
      <c r="AC609" s="525" t="str">
        <f t="shared" si="13"/>
        <v/>
      </c>
      <c r="AD609" s="525" t="str">
        <f t="shared" si="14"/>
        <v/>
      </c>
      <c r="AE609" s="525" t="str">
        <f t="shared" si="15"/>
        <v/>
      </c>
      <c r="AF609" s="525" t="str">
        <f t="shared" si="16"/>
        <v/>
      </c>
      <c r="AG609" s="525" t="str">
        <f t="shared" si="17"/>
        <v/>
      </c>
      <c r="AH609" s="525">
        <f>E610</f>
        <v>0</v>
      </c>
      <c r="AI609" s="525">
        <f>E611</f>
        <v>0</v>
      </c>
    </row>
    <row r="610" spans="1:35" x14ac:dyDescent="0.2">
      <c r="A610" s="531"/>
      <c r="B610" s="303"/>
      <c r="C610" s="303"/>
      <c r="D610" s="303"/>
      <c r="E610" s="303"/>
      <c r="F610" s="303"/>
      <c r="G610" s="303"/>
      <c r="H610" s="303"/>
      <c r="I610" s="303"/>
      <c r="J610" s="303"/>
      <c r="K610" s="303"/>
      <c r="L610" s="303"/>
      <c r="M610" s="303"/>
      <c r="N610" s="303"/>
      <c r="O610" s="303"/>
      <c r="P610" s="303"/>
      <c r="Q610" s="303"/>
      <c r="R610" s="303"/>
      <c r="S610" s="303"/>
      <c r="T610" s="303"/>
      <c r="U610" s="303"/>
      <c r="V610" s="303"/>
      <c r="W610" s="303"/>
      <c r="X610" s="303"/>
      <c r="Y610" s="303"/>
      <c r="Z610" s="532"/>
      <c r="AA610" s="530"/>
      <c r="AB610" s="525" t="str">
        <f t="shared" si="12"/>
        <v/>
      </c>
      <c r="AC610" s="525" t="str">
        <f t="shared" si="13"/>
        <v/>
      </c>
      <c r="AD610" s="525" t="str">
        <f t="shared" si="14"/>
        <v/>
      </c>
      <c r="AE610" s="525" t="str">
        <f t="shared" si="15"/>
        <v/>
      </c>
      <c r="AF610" s="525" t="str">
        <f t="shared" si="16"/>
        <v/>
      </c>
      <c r="AG610" s="525" t="str">
        <f t="shared" si="17"/>
        <v/>
      </c>
      <c r="AH610" s="525">
        <f>E610</f>
        <v>0</v>
      </c>
      <c r="AI610" s="525">
        <f>E611</f>
        <v>0</v>
      </c>
    </row>
    <row r="611" spans="1:35" x14ac:dyDescent="0.2">
      <c r="A611" s="531"/>
      <c r="B611" s="303"/>
      <c r="C611" s="303"/>
      <c r="D611" s="303"/>
      <c r="E611" s="303"/>
      <c r="F611" s="303"/>
      <c r="G611" s="303"/>
      <c r="H611" s="303"/>
      <c r="I611" s="303"/>
      <c r="J611" s="303"/>
      <c r="K611" s="303"/>
      <c r="L611" s="303"/>
      <c r="M611" s="303"/>
      <c r="N611" s="303"/>
      <c r="O611" s="303"/>
      <c r="P611" s="303"/>
      <c r="Q611" s="303"/>
      <c r="R611" s="303"/>
      <c r="S611" s="303"/>
      <c r="T611" s="303"/>
      <c r="U611" s="303"/>
      <c r="V611" s="303"/>
      <c r="W611" s="303"/>
      <c r="X611" s="303"/>
      <c r="Y611" s="303"/>
      <c r="Z611" s="532"/>
      <c r="AA611" s="530"/>
      <c r="AB611" s="525" t="str">
        <f t="shared" si="12"/>
        <v/>
      </c>
      <c r="AC611" s="525" t="str">
        <f t="shared" si="13"/>
        <v/>
      </c>
      <c r="AD611" s="525" t="str">
        <f t="shared" si="14"/>
        <v/>
      </c>
      <c r="AE611" s="525" t="str">
        <f t="shared" si="15"/>
        <v/>
      </c>
      <c r="AF611" s="525" t="str">
        <f t="shared" si="16"/>
        <v/>
      </c>
      <c r="AG611" s="525" t="str">
        <f t="shared" si="17"/>
        <v/>
      </c>
      <c r="AH611" s="525">
        <f>E610</f>
        <v>0</v>
      </c>
      <c r="AI611" s="525">
        <f>E611</f>
        <v>0</v>
      </c>
    </row>
    <row r="612" spans="1:35" x14ac:dyDescent="0.2">
      <c r="A612" s="531"/>
      <c r="B612" s="303"/>
      <c r="C612" s="303"/>
      <c r="D612" s="303"/>
      <c r="E612" s="303"/>
      <c r="F612" s="303"/>
      <c r="G612" s="303"/>
      <c r="H612" s="303"/>
      <c r="I612" s="303"/>
      <c r="J612" s="303"/>
      <c r="K612" s="303"/>
      <c r="L612" s="303"/>
      <c r="M612" s="303"/>
      <c r="N612" s="303"/>
      <c r="O612" s="303"/>
      <c r="P612" s="303"/>
      <c r="Q612" s="303"/>
      <c r="R612" s="303"/>
      <c r="S612" s="303"/>
      <c r="T612" s="303"/>
      <c r="U612" s="303"/>
      <c r="V612" s="303"/>
      <c r="W612" s="303"/>
      <c r="X612" s="303"/>
      <c r="Y612" s="303"/>
      <c r="Z612" s="532"/>
      <c r="AA612" s="530"/>
      <c r="AB612" s="525" t="str">
        <f t="shared" si="12"/>
        <v/>
      </c>
      <c r="AC612" s="525" t="str">
        <f t="shared" si="13"/>
        <v/>
      </c>
      <c r="AD612" s="525" t="str">
        <f t="shared" si="14"/>
        <v/>
      </c>
      <c r="AE612" s="525" t="str">
        <f t="shared" si="15"/>
        <v/>
      </c>
      <c r="AF612" s="525" t="str">
        <f t="shared" si="16"/>
        <v/>
      </c>
      <c r="AG612" s="525" t="str">
        <f t="shared" si="17"/>
        <v/>
      </c>
      <c r="AH612" s="525">
        <f>E613</f>
        <v>0</v>
      </c>
      <c r="AI612" s="525">
        <f>E614</f>
        <v>0</v>
      </c>
    </row>
    <row r="613" spans="1:35" x14ac:dyDescent="0.2">
      <c r="A613" s="531"/>
      <c r="B613" s="303"/>
      <c r="C613" s="303"/>
      <c r="D613" s="303"/>
      <c r="E613" s="303"/>
      <c r="F613" s="303"/>
      <c r="G613" s="303"/>
      <c r="H613" s="303"/>
      <c r="I613" s="303"/>
      <c r="J613" s="303"/>
      <c r="K613" s="303"/>
      <c r="L613" s="303"/>
      <c r="M613" s="303"/>
      <c r="N613" s="303"/>
      <c r="O613" s="303"/>
      <c r="P613" s="303"/>
      <c r="Q613" s="303"/>
      <c r="R613" s="303"/>
      <c r="S613" s="303"/>
      <c r="T613" s="303"/>
      <c r="U613" s="303"/>
      <c r="V613" s="303"/>
      <c r="W613" s="303"/>
      <c r="X613" s="303"/>
      <c r="Y613" s="303"/>
      <c r="Z613" s="532"/>
      <c r="AA613" s="530"/>
      <c r="AB613" s="525" t="str">
        <f t="shared" si="12"/>
        <v/>
      </c>
      <c r="AC613" s="525" t="str">
        <f t="shared" si="13"/>
        <v/>
      </c>
      <c r="AD613" s="525" t="str">
        <f t="shared" si="14"/>
        <v/>
      </c>
      <c r="AE613" s="525" t="str">
        <f t="shared" si="15"/>
        <v/>
      </c>
      <c r="AF613" s="525" t="str">
        <f t="shared" si="16"/>
        <v/>
      </c>
      <c r="AG613" s="525" t="str">
        <f t="shared" si="17"/>
        <v/>
      </c>
      <c r="AH613" s="525">
        <f>E613</f>
        <v>0</v>
      </c>
      <c r="AI613" s="525">
        <f>E614</f>
        <v>0</v>
      </c>
    </row>
    <row r="614" spans="1:35" x14ac:dyDescent="0.2">
      <c r="A614" s="531"/>
      <c r="B614" s="303"/>
      <c r="C614" s="303"/>
      <c r="D614" s="303"/>
      <c r="E614" s="303"/>
      <c r="F614" s="303"/>
      <c r="G614" s="303"/>
      <c r="H614" s="303"/>
      <c r="I614" s="303"/>
      <c r="J614" s="303"/>
      <c r="K614" s="303"/>
      <c r="L614" s="303"/>
      <c r="M614" s="303"/>
      <c r="N614" s="303"/>
      <c r="O614" s="303"/>
      <c r="P614" s="303"/>
      <c r="Q614" s="303"/>
      <c r="R614" s="303"/>
      <c r="S614" s="303"/>
      <c r="T614" s="303"/>
      <c r="U614" s="303"/>
      <c r="V614" s="303"/>
      <c r="W614" s="303"/>
      <c r="X614" s="303"/>
      <c r="Y614" s="303"/>
      <c r="Z614" s="532"/>
      <c r="AA614" s="530"/>
      <c r="AB614" s="525" t="str">
        <f t="shared" si="12"/>
        <v/>
      </c>
      <c r="AC614" s="525" t="str">
        <f t="shared" si="13"/>
        <v/>
      </c>
      <c r="AD614" s="525" t="str">
        <f t="shared" si="14"/>
        <v/>
      </c>
      <c r="AE614" s="525" t="str">
        <f t="shared" si="15"/>
        <v/>
      </c>
      <c r="AF614" s="525" t="str">
        <f t="shared" si="16"/>
        <v/>
      </c>
      <c r="AG614" s="525" t="str">
        <f t="shared" si="17"/>
        <v/>
      </c>
      <c r="AH614" s="525">
        <f>E613</f>
        <v>0</v>
      </c>
      <c r="AI614" s="525">
        <f>E614</f>
        <v>0</v>
      </c>
    </row>
    <row r="615" spans="1:35" x14ac:dyDescent="0.2">
      <c r="A615" s="531"/>
      <c r="B615" s="303"/>
      <c r="C615" s="303"/>
      <c r="D615" s="303"/>
      <c r="E615" s="303"/>
      <c r="F615" s="303"/>
      <c r="G615" s="303"/>
      <c r="H615" s="303"/>
      <c r="I615" s="303"/>
      <c r="J615" s="303"/>
      <c r="K615" s="303"/>
      <c r="L615" s="303"/>
      <c r="M615" s="303"/>
      <c r="N615" s="303"/>
      <c r="O615" s="303"/>
      <c r="P615" s="303"/>
      <c r="Q615" s="303"/>
      <c r="R615" s="303"/>
      <c r="S615" s="303"/>
      <c r="T615" s="303"/>
      <c r="U615" s="303"/>
      <c r="V615" s="303"/>
      <c r="W615" s="303"/>
      <c r="X615" s="303"/>
      <c r="Y615" s="303"/>
      <c r="Z615" s="532"/>
      <c r="AA615" s="530"/>
      <c r="AB615" s="525" t="str">
        <f t="shared" si="12"/>
        <v/>
      </c>
      <c r="AC615" s="525" t="str">
        <f t="shared" si="13"/>
        <v/>
      </c>
      <c r="AD615" s="525" t="str">
        <f t="shared" si="14"/>
        <v/>
      </c>
      <c r="AE615" s="525" t="str">
        <f t="shared" si="15"/>
        <v/>
      </c>
      <c r="AF615" s="525" t="str">
        <f t="shared" si="16"/>
        <v/>
      </c>
      <c r="AG615" s="525" t="str">
        <f t="shared" si="17"/>
        <v/>
      </c>
      <c r="AH615" s="525">
        <f>E616</f>
        <v>0</v>
      </c>
      <c r="AI615" s="525">
        <f>E617</f>
        <v>0</v>
      </c>
    </row>
    <row r="616" spans="1:35" x14ac:dyDescent="0.2">
      <c r="A616" s="531"/>
      <c r="B616" s="303"/>
      <c r="C616" s="303"/>
      <c r="D616" s="303"/>
      <c r="E616" s="303"/>
      <c r="F616" s="303"/>
      <c r="G616" s="303"/>
      <c r="H616" s="303"/>
      <c r="I616" s="303"/>
      <c r="J616" s="303"/>
      <c r="K616" s="303"/>
      <c r="L616" s="303"/>
      <c r="M616" s="303"/>
      <c r="N616" s="303"/>
      <c r="O616" s="303"/>
      <c r="P616" s="303"/>
      <c r="Q616" s="303"/>
      <c r="R616" s="303"/>
      <c r="S616" s="303"/>
      <c r="T616" s="303"/>
      <c r="U616" s="303"/>
      <c r="V616" s="303"/>
      <c r="W616" s="303"/>
      <c r="X616" s="303"/>
      <c r="Y616" s="303"/>
      <c r="Z616" s="532"/>
      <c r="AA616" s="530"/>
      <c r="AB616" s="525" t="str">
        <f t="shared" si="12"/>
        <v/>
      </c>
      <c r="AC616" s="525" t="str">
        <f t="shared" si="13"/>
        <v/>
      </c>
      <c r="AD616" s="525" t="str">
        <f t="shared" si="14"/>
        <v/>
      </c>
      <c r="AE616" s="525" t="str">
        <f t="shared" si="15"/>
        <v/>
      </c>
      <c r="AF616" s="525" t="str">
        <f t="shared" si="16"/>
        <v/>
      </c>
      <c r="AG616" s="525" t="str">
        <f t="shared" si="17"/>
        <v/>
      </c>
      <c r="AH616" s="525">
        <f>E616</f>
        <v>0</v>
      </c>
      <c r="AI616" s="525">
        <f>E617</f>
        <v>0</v>
      </c>
    </row>
    <row r="617" spans="1:35" x14ac:dyDescent="0.2">
      <c r="A617" s="531"/>
      <c r="B617" s="303"/>
      <c r="C617" s="303"/>
      <c r="D617" s="303"/>
      <c r="E617" s="303"/>
      <c r="F617" s="303"/>
      <c r="G617" s="303"/>
      <c r="H617" s="303"/>
      <c r="I617" s="303"/>
      <c r="J617" s="303"/>
      <c r="K617" s="303"/>
      <c r="L617" s="303"/>
      <c r="M617" s="303"/>
      <c r="N617" s="303"/>
      <c r="O617" s="303"/>
      <c r="P617" s="303"/>
      <c r="Q617" s="303"/>
      <c r="R617" s="303"/>
      <c r="S617" s="303"/>
      <c r="T617" s="303"/>
      <c r="U617" s="303"/>
      <c r="V617" s="303"/>
      <c r="W617" s="303"/>
      <c r="X617" s="303"/>
      <c r="Y617" s="303"/>
      <c r="Z617" s="532"/>
      <c r="AA617" s="530"/>
      <c r="AB617" s="525" t="str">
        <f t="shared" si="12"/>
        <v/>
      </c>
      <c r="AC617" s="525" t="str">
        <f t="shared" si="13"/>
        <v/>
      </c>
      <c r="AD617" s="525" t="str">
        <f t="shared" si="14"/>
        <v/>
      </c>
      <c r="AE617" s="525" t="str">
        <f t="shared" si="15"/>
        <v/>
      </c>
      <c r="AF617" s="525" t="str">
        <f t="shared" si="16"/>
        <v/>
      </c>
      <c r="AG617" s="525" t="str">
        <f t="shared" si="17"/>
        <v/>
      </c>
      <c r="AH617" s="525">
        <f>E616</f>
        <v>0</v>
      </c>
      <c r="AI617" s="525">
        <f>E617</f>
        <v>0</v>
      </c>
    </row>
    <row r="618" spans="1:35" x14ac:dyDescent="0.2">
      <c r="A618" s="531"/>
      <c r="B618" s="303"/>
      <c r="C618" s="303"/>
      <c r="D618" s="303"/>
      <c r="E618" s="303"/>
      <c r="F618" s="303"/>
      <c r="G618" s="303"/>
      <c r="H618" s="303"/>
      <c r="I618" s="303"/>
      <c r="J618" s="303"/>
      <c r="K618" s="303"/>
      <c r="L618" s="303"/>
      <c r="M618" s="303"/>
      <c r="N618" s="303"/>
      <c r="O618" s="303"/>
      <c r="P618" s="303"/>
      <c r="Q618" s="303"/>
      <c r="R618" s="303"/>
      <c r="S618" s="303"/>
      <c r="T618" s="303"/>
      <c r="U618" s="303"/>
      <c r="V618" s="303"/>
      <c r="W618" s="303"/>
      <c r="X618" s="303"/>
      <c r="Y618" s="303"/>
      <c r="Z618" s="532"/>
      <c r="AA618" s="530"/>
      <c r="AB618" s="525" t="str">
        <f t="shared" si="12"/>
        <v/>
      </c>
      <c r="AC618" s="525" t="str">
        <f t="shared" si="13"/>
        <v/>
      </c>
      <c r="AD618" s="525" t="str">
        <f t="shared" si="14"/>
        <v/>
      </c>
      <c r="AE618" s="525" t="str">
        <f t="shared" si="15"/>
        <v/>
      </c>
      <c r="AF618" s="525" t="str">
        <f t="shared" si="16"/>
        <v/>
      </c>
      <c r="AG618" s="525" t="str">
        <f t="shared" si="17"/>
        <v/>
      </c>
      <c r="AH618" s="525">
        <f>E619</f>
        <v>0</v>
      </c>
      <c r="AI618" s="525">
        <f>E620</f>
        <v>0</v>
      </c>
    </row>
    <row r="619" spans="1:35" x14ac:dyDescent="0.2">
      <c r="A619" s="531"/>
      <c r="B619" s="303"/>
      <c r="C619" s="303"/>
      <c r="D619" s="303"/>
      <c r="E619" s="303"/>
      <c r="F619" s="303"/>
      <c r="G619" s="303"/>
      <c r="H619" s="303"/>
      <c r="I619" s="303"/>
      <c r="J619" s="303"/>
      <c r="K619" s="303"/>
      <c r="L619" s="303"/>
      <c r="M619" s="303"/>
      <c r="N619" s="303"/>
      <c r="O619" s="303"/>
      <c r="P619" s="303"/>
      <c r="Q619" s="303"/>
      <c r="R619" s="303"/>
      <c r="S619" s="303"/>
      <c r="T619" s="303"/>
      <c r="U619" s="303"/>
      <c r="V619" s="303"/>
      <c r="W619" s="303"/>
      <c r="X619" s="303"/>
      <c r="Y619" s="303"/>
      <c r="Z619" s="532"/>
      <c r="AA619" s="530"/>
      <c r="AB619" s="525" t="str">
        <f t="shared" si="12"/>
        <v/>
      </c>
      <c r="AC619" s="525" t="str">
        <f t="shared" si="13"/>
        <v/>
      </c>
      <c r="AD619" s="525" t="str">
        <f t="shared" si="14"/>
        <v/>
      </c>
      <c r="AE619" s="525" t="str">
        <f t="shared" si="15"/>
        <v/>
      </c>
      <c r="AF619" s="525" t="str">
        <f t="shared" si="16"/>
        <v/>
      </c>
      <c r="AG619" s="525" t="str">
        <f t="shared" si="17"/>
        <v/>
      </c>
      <c r="AH619" s="525">
        <f>E619</f>
        <v>0</v>
      </c>
      <c r="AI619" s="525">
        <f>E620</f>
        <v>0</v>
      </c>
    </row>
    <row r="620" spans="1:35" x14ac:dyDescent="0.2">
      <c r="A620" s="531"/>
      <c r="B620" s="303"/>
      <c r="C620" s="303"/>
      <c r="D620" s="303"/>
      <c r="E620" s="303"/>
      <c r="F620" s="303"/>
      <c r="G620" s="303"/>
      <c r="H620" s="303"/>
      <c r="I620" s="303"/>
      <c r="J620" s="303"/>
      <c r="K620" s="303"/>
      <c r="L620" s="303"/>
      <c r="M620" s="303"/>
      <c r="N620" s="303"/>
      <c r="O620" s="303"/>
      <c r="P620" s="303"/>
      <c r="Q620" s="303"/>
      <c r="R620" s="303"/>
      <c r="S620" s="303"/>
      <c r="T620" s="303"/>
      <c r="U620" s="303"/>
      <c r="V620" s="303"/>
      <c r="W620" s="303"/>
      <c r="X620" s="303"/>
      <c r="Y620" s="303"/>
      <c r="Z620" s="532"/>
      <c r="AA620" s="530"/>
      <c r="AB620" s="525" t="str">
        <f t="shared" si="12"/>
        <v/>
      </c>
      <c r="AC620" s="525" t="str">
        <f t="shared" si="13"/>
        <v/>
      </c>
      <c r="AD620" s="525" t="str">
        <f t="shared" si="14"/>
        <v/>
      </c>
      <c r="AE620" s="525" t="str">
        <f t="shared" si="15"/>
        <v/>
      </c>
      <c r="AF620" s="525" t="str">
        <f t="shared" si="16"/>
        <v/>
      </c>
      <c r="AG620" s="525" t="str">
        <f t="shared" si="17"/>
        <v/>
      </c>
      <c r="AH620" s="525">
        <f>E619</f>
        <v>0</v>
      </c>
      <c r="AI620" s="525">
        <f>E620</f>
        <v>0</v>
      </c>
    </row>
    <row r="621" spans="1:35" x14ac:dyDescent="0.2">
      <c r="A621" s="531"/>
      <c r="B621" s="303"/>
      <c r="C621" s="303"/>
      <c r="D621" s="303"/>
      <c r="E621" s="303"/>
      <c r="F621" s="303"/>
      <c r="G621" s="303"/>
      <c r="H621" s="303"/>
      <c r="I621" s="303"/>
      <c r="J621" s="303"/>
      <c r="K621" s="303"/>
      <c r="L621" s="303"/>
      <c r="M621" s="303"/>
      <c r="N621" s="303"/>
      <c r="O621" s="303"/>
      <c r="P621" s="303"/>
      <c r="Q621" s="303"/>
      <c r="R621" s="303"/>
      <c r="S621" s="303"/>
      <c r="T621" s="303"/>
      <c r="U621" s="303"/>
      <c r="V621" s="303"/>
      <c r="W621" s="303"/>
      <c r="X621" s="303"/>
      <c r="Y621" s="303"/>
      <c r="Z621" s="532"/>
      <c r="AA621" s="530"/>
      <c r="AB621" s="525" t="str">
        <f t="shared" si="12"/>
        <v/>
      </c>
      <c r="AC621" s="525" t="str">
        <f t="shared" si="13"/>
        <v/>
      </c>
      <c r="AD621" s="525" t="str">
        <f t="shared" si="14"/>
        <v/>
      </c>
      <c r="AE621" s="525" t="str">
        <f t="shared" si="15"/>
        <v/>
      </c>
      <c r="AF621" s="525" t="str">
        <f t="shared" si="16"/>
        <v/>
      </c>
      <c r="AG621" s="525" t="str">
        <f t="shared" si="17"/>
        <v/>
      </c>
      <c r="AH621" s="525">
        <f>E622</f>
        <v>0</v>
      </c>
      <c r="AI621" s="525">
        <f>E623</f>
        <v>0</v>
      </c>
    </row>
    <row r="622" spans="1:35" x14ac:dyDescent="0.2">
      <c r="A622" s="531"/>
      <c r="B622" s="303"/>
      <c r="C622" s="303"/>
      <c r="D622" s="303"/>
      <c r="E622" s="303"/>
      <c r="F622" s="303"/>
      <c r="G622" s="303"/>
      <c r="H622" s="303"/>
      <c r="I622" s="303"/>
      <c r="J622" s="303"/>
      <c r="K622" s="303"/>
      <c r="L622" s="303"/>
      <c r="M622" s="303"/>
      <c r="N622" s="303"/>
      <c r="O622" s="303"/>
      <c r="P622" s="303"/>
      <c r="Q622" s="303"/>
      <c r="R622" s="303"/>
      <c r="S622" s="303"/>
      <c r="T622" s="303"/>
      <c r="U622" s="303"/>
      <c r="V622" s="303"/>
      <c r="W622" s="303"/>
      <c r="X622" s="303"/>
      <c r="Y622" s="303"/>
      <c r="Z622" s="532"/>
      <c r="AA622" s="530"/>
      <c r="AB622" s="525" t="str">
        <f t="shared" si="12"/>
        <v/>
      </c>
      <c r="AC622" s="525" t="str">
        <f t="shared" si="13"/>
        <v/>
      </c>
      <c r="AD622" s="525" t="str">
        <f t="shared" si="14"/>
        <v/>
      </c>
      <c r="AE622" s="525" t="str">
        <f t="shared" si="15"/>
        <v/>
      </c>
      <c r="AF622" s="525" t="str">
        <f t="shared" si="16"/>
        <v/>
      </c>
      <c r="AG622" s="525" t="str">
        <f t="shared" si="17"/>
        <v/>
      </c>
      <c r="AH622" s="525">
        <f>E622</f>
        <v>0</v>
      </c>
      <c r="AI622" s="525">
        <f>E623</f>
        <v>0</v>
      </c>
    </row>
    <row r="623" spans="1:35" x14ac:dyDescent="0.2">
      <c r="A623" s="531"/>
      <c r="B623" s="303"/>
      <c r="C623" s="303"/>
      <c r="D623" s="303"/>
      <c r="E623" s="303"/>
      <c r="F623" s="303"/>
      <c r="G623" s="303"/>
      <c r="H623" s="303"/>
      <c r="I623" s="303"/>
      <c r="J623" s="303"/>
      <c r="K623" s="303"/>
      <c r="L623" s="303"/>
      <c r="M623" s="303"/>
      <c r="N623" s="303"/>
      <c r="O623" s="303"/>
      <c r="P623" s="303"/>
      <c r="Q623" s="303"/>
      <c r="R623" s="303"/>
      <c r="S623" s="303"/>
      <c r="T623" s="303"/>
      <c r="U623" s="303"/>
      <c r="V623" s="303"/>
      <c r="W623" s="303"/>
      <c r="X623" s="303"/>
      <c r="Y623" s="303"/>
      <c r="Z623" s="532"/>
      <c r="AA623" s="530"/>
      <c r="AB623" s="525" t="str">
        <f t="shared" si="12"/>
        <v/>
      </c>
      <c r="AC623" s="525" t="str">
        <f t="shared" si="13"/>
        <v/>
      </c>
      <c r="AD623" s="525" t="str">
        <f t="shared" si="14"/>
        <v/>
      </c>
      <c r="AE623" s="525" t="str">
        <f t="shared" si="15"/>
        <v/>
      </c>
      <c r="AF623" s="525" t="str">
        <f t="shared" si="16"/>
        <v/>
      </c>
      <c r="AG623" s="525" t="str">
        <f t="shared" si="17"/>
        <v/>
      </c>
      <c r="AH623" s="525">
        <f>E622</f>
        <v>0</v>
      </c>
      <c r="AI623" s="525">
        <f>E623</f>
        <v>0</v>
      </c>
    </row>
    <row r="624" spans="1:35" x14ac:dyDescent="0.2">
      <c r="A624" s="531"/>
      <c r="B624" s="303"/>
      <c r="C624" s="303"/>
      <c r="D624" s="303"/>
      <c r="E624" s="303"/>
      <c r="F624" s="303"/>
      <c r="G624" s="303"/>
      <c r="H624" s="303"/>
      <c r="I624" s="303"/>
      <c r="J624" s="303"/>
      <c r="K624" s="303"/>
      <c r="L624" s="303"/>
      <c r="M624" s="303"/>
      <c r="N624" s="303"/>
      <c r="O624" s="303"/>
      <c r="P624" s="303"/>
      <c r="Q624" s="303"/>
      <c r="R624" s="303"/>
      <c r="S624" s="303"/>
      <c r="T624" s="303"/>
      <c r="U624" s="303"/>
      <c r="V624" s="303"/>
      <c r="W624" s="303"/>
      <c r="X624" s="303"/>
      <c r="Y624" s="303"/>
      <c r="Z624" s="532"/>
      <c r="AA624" s="530"/>
      <c r="AB624" s="525" t="str">
        <f t="shared" si="12"/>
        <v/>
      </c>
      <c r="AC624" s="525" t="str">
        <f t="shared" si="13"/>
        <v/>
      </c>
      <c r="AD624" s="525" t="str">
        <f t="shared" si="14"/>
        <v/>
      </c>
      <c r="AE624" s="525" t="str">
        <f t="shared" si="15"/>
        <v/>
      </c>
      <c r="AF624" s="525" t="str">
        <f t="shared" si="16"/>
        <v/>
      </c>
      <c r="AG624" s="525" t="str">
        <f t="shared" si="17"/>
        <v/>
      </c>
      <c r="AH624" s="525">
        <f>E625</f>
        <v>0</v>
      </c>
      <c r="AI624" s="525">
        <f>E626</f>
        <v>0</v>
      </c>
    </row>
    <row r="625" spans="1:35" x14ac:dyDescent="0.2">
      <c r="A625" s="531"/>
      <c r="B625" s="303"/>
      <c r="C625" s="303"/>
      <c r="D625" s="303"/>
      <c r="E625" s="303"/>
      <c r="F625" s="303"/>
      <c r="G625" s="303"/>
      <c r="H625" s="303"/>
      <c r="I625" s="303"/>
      <c r="J625" s="303"/>
      <c r="K625" s="303"/>
      <c r="L625" s="303"/>
      <c r="M625" s="303"/>
      <c r="N625" s="303"/>
      <c r="O625" s="303"/>
      <c r="P625" s="303"/>
      <c r="Q625" s="303"/>
      <c r="R625" s="303"/>
      <c r="S625" s="303"/>
      <c r="T625" s="303"/>
      <c r="U625" s="303"/>
      <c r="V625" s="303"/>
      <c r="W625" s="303"/>
      <c r="X625" s="303"/>
      <c r="Y625" s="303"/>
      <c r="Z625" s="532"/>
      <c r="AA625" s="530"/>
      <c r="AB625" s="525" t="str">
        <f t="shared" si="12"/>
        <v/>
      </c>
      <c r="AC625" s="525" t="str">
        <f t="shared" si="13"/>
        <v/>
      </c>
      <c r="AD625" s="525" t="str">
        <f t="shared" si="14"/>
        <v/>
      </c>
      <c r="AE625" s="525" t="str">
        <f t="shared" si="15"/>
        <v/>
      </c>
      <c r="AF625" s="525" t="str">
        <f t="shared" si="16"/>
        <v/>
      </c>
      <c r="AG625" s="525" t="str">
        <f t="shared" si="17"/>
        <v/>
      </c>
      <c r="AH625" s="525">
        <f>E625</f>
        <v>0</v>
      </c>
      <c r="AI625" s="525">
        <f>E626</f>
        <v>0</v>
      </c>
    </row>
    <row r="626" spans="1:35" x14ac:dyDescent="0.2">
      <c r="A626" s="531"/>
      <c r="B626" s="303"/>
      <c r="C626" s="303"/>
      <c r="D626" s="303"/>
      <c r="E626" s="303"/>
      <c r="F626" s="303"/>
      <c r="G626" s="303"/>
      <c r="H626" s="303"/>
      <c r="I626" s="303"/>
      <c r="J626" s="303"/>
      <c r="K626" s="303"/>
      <c r="L626" s="303"/>
      <c r="M626" s="303"/>
      <c r="N626" s="303"/>
      <c r="O626" s="303"/>
      <c r="P626" s="303"/>
      <c r="Q626" s="303"/>
      <c r="R626" s="303"/>
      <c r="S626" s="303"/>
      <c r="T626" s="303"/>
      <c r="U626" s="303"/>
      <c r="V626" s="303"/>
      <c r="W626" s="303"/>
      <c r="X626" s="303"/>
      <c r="Y626" s="303"/>
      <c r="Z626" s="532"/>
      <c r="AA626" s="530"/>
      <c r="AB626" s="525" t="str">
        <f t="shared" si="12"/>
        <v/>
      </c>
      <c r="AC626" s="525" t="str">
        <f t="shared" si="13"/>
        <v/>
      </c>
      <c r="AD626" s="525" t="str">
        <f t="shared" si="14"/>
        <v/>
      </c>
      <c r="AE626" s="525" t="str">
        <f t="shared" si="15"/>
        <v/>
      </c>
      <c r="AF626" s="525" t="str">
        <f t="shared" si="16"/>
        <v/>
      </c>
      <c r="AG626" s="525" t="str">
        <f t="shared" si="17"/>
        <v/>
      </c>
      <c r="AH626" s="525">
        <f>E625</f>
        <v>0</v>
      </c>
      <c r="AI626" s="525">
        <f>E626</f>
        <v>0</v>
      </c>
    </row>
    <row r="627" spans="1:35" x14ac:dyDescent="0.2">
      <c r="A627" s="531"/>
      <c r="B627" s="303"/>
      <c r="C627" s="303"/>
      <c r="D627" s="303"/>
      <c r="E627" s="303"/>
      <c r="F627" s="303"/>
      <c r="G627" s="303"/>
      <c r="H627" s="303"/>
      <c r="I627" s="303"/>
      <c r="J627" s="303"/>
      <c r="K627" s="303"/>
      <c r="L627" s="303"/>
      <c r="M627" s="303"/>
      <c r="N627" s="303"/>
      <c r="O627" s="303"/>
      <c r="P627" s="303"/>
      <c r="Q627" s="303"/>
      <c r="R627" s="303"/>
      <c r="S627" s="303"/>
      <c r="T627" s="303"/>
      <c r="U627" s="303"/>
      <c r="V627" s="303"/>
      <c r="W627" s="303"/>
      <c r="X627" s="303"/>
      <c r="Y627" s="303"/>
      <c r="Z627" s="532"/>
      <c r="AA627" s="530"/>
      <c r="AB627" s="525" t="str">
        <f t="shared" si="12"/>
        <v/>
      </c>
      <c r="AC627" s="525" t="str">
        <f t="shared" si="13"/>
        <v/>
      </c>
      <c r="AD627" s="525" t="str">
        <f t="shared" si="14"/>
        <v/>
      </c>
      <c r="AE627" s="525" t="str">
        <f t="shared" si="15"/>
        <v/>
      </c>
      <c r="AF627" s="525" t="str">
        <f t="shared" si="16"/>
        <v/>
      </c>
      <c r="AG627" s="525" t="str">
        <f t="shared" si="17"/>
        <v/>
      </c>
      <c r="AH627" s="525">
        <f>E628</f>
        <v>0</v>
      </c>
      <c r="AI627" s="525">
        <f>E629</f>
        <v>0</v>
      </c>
    </row>
    <row r="628" spans="1:35" x14ac:dyDescent="0.2">
      <c r="A628" s="531"/>
      <c r="B628" s="303"/>
      <c r="C628" s="303"/>
      <c r="D628" s="303"/>
      <c r="E628" s="303"/>
      <c r="F628" s="303"/>
      <c r="G628" s="303"/>
      <c r="H628" s="303"/>
      <c r="I628" s="303"/>
      <c r="J628" s="303"/>
      <c r="K628" s="303"/>
      <c r="L628" s="303"/>
      <c r="M628" s="303"/>
      <c r="N628" s="303"/>
      <c r="O628" s="303"/>
      <c r="P628" s="303"/>
      <c r="Q628" s="303"/>
      <c r="R628" s="303"/>
      <c r="S628" s="303"/>
      <c r="T628" s="303"/>
      <c r="U628" s="303"/>
      <c r="V628" s="303"/>
      <c r="W628" s="303"/>
      <c r="X628" s="303"/>
      <c r="Y628" s="303"/>
      <c r="Z628" s="532"/>
      <c r="AA628" s="530"/>
      <c r="AB628" s="525" t="str">
        <f t="shared" si="12"/>
        <v/>
      </c>
      <c r="AC628" s="525" t="str">
        <f t="shared" si="13"/>
        <v/>
      </c>
      <c r="AD628" s="525" t="str">
        <f t="shared" si="14"/>
        <v/>
      </c>
      <c r="AE628" s="525" t="str">
        <f t="shared" si="15"/>
        <v/>
      </c>
      <c r="AF628" s="525" t="str">
        <f t="shared" si="16"/>
        <v/>
      </c>
      <c r="AG628" s="525" t="str">
        <f t="shared" si="17"/>
        <v/>
      </c>
      <c r="AH628" s="525">
        <f>E628</f>
        <v>0</v>
      </c>
      <c r="AI628" s="525">
        <f>E629</f>
        <v>0</v>
      </c>
    </row>
    <row r="629" spans="1:35" x14ac:dyDescent="0.2">
      <c r="A629" s="531"/>
      <c r="B629" s="303"/>
      <c r="C629" s="303"/>
      <c r="D629" s="303"/>
      <c r="E629" s="303"/>
      <c r="F629" s="303"/>
      <c r="G629" s="303"/>
      <c r="H629" s="303"/>
      <c r="I629" s="303"/>
      <c r="J629" s="303"/>
      <c r="K629" s="303"/>
      <c r="L629" s="303"/>
      <c r="M629" s="303"/>
      <c r="N629" s="303"/>
      <c r="O629" s="303"/>
      <c r="P629" s="303"/>
      <c r="Q629" s="303"/>
      <c r="R629" s="303"/>
      <c r="S629" s="303"/>
      <c r="T629" s="303"/>
      <c r="U629" s="303"/>
      <c r="V629" s="303"/>
      <c r="W629" s="303"/>
      <c r="X629" s="303"/>
      <c r="Y629" s="303"/>
      <c r="Z629" s="532"/>
      <c r="AA629" s="530"/>
      <c r="AB629" s="525" t="str">
        <f t="shared" si="12"/>
        <v/>
      </c>
      <c r="AC629" s="525" t="str">
        <f t="shared" si="13"/>
        <v/>
      </c>
      <c r="AD629" s="525" t="str">
        <f t="shared" si="14"/>
        <v/>
      </c>
      <c r="AE629" s="525" t="str">
        <f t="shared" si="15"/>
        <v/>
      </c>
      <c r="AF629" s="525" t="str">
        <f t="shared" si="16"/>
        <v/>
      </c>
      <c r="AG629" s="525" t="str">
        <f t="shared" si="17"/>
        <v/>
      </c>
      <c r="AH629" s="525">
        <f>E628</f>
        <v>0</v>
      </c>
      <c r="AI629" s="525">
        <f>E629</f>
        <v>0</v>
      </c>
    </row>
    <row r="630" spans="1:35" x14ac:dyDescent="0.2">
      <c r="A630" s="531"/>
      <c r="B630" s="303"/>
      <c r="C630" s="303"/>
      <c r="D630" s="303"/>
      <c r="E630" s="303"/>
      <c r="F630" s="303"/>
      <c r="G630" s="303"/>
      <c r="H630" s="303"/>
      <c r="I630" s="303"/>
      <c r="J630" s="303"/>
      <c r="K630" s="303"/>
      <c r="L630" s="303"/>
      <c r="M630" s="303"/>
      <c r="N630" s="303"/>
      <c r="O630" s="303"/>
      <c r="P630" s="303"/>
      <c r="Q630" s="303"/>
      <c r="R630" s="303"/>
      <c r="S630" s="303"/>
      <c r="T630" s="303"/>
      <c r="U630" s="303"/>
      <c r="V630" s="303"/>
      <c r="W630" s="303"/>
      <c r="X630" s="303"/>
      <c r="Y630" s="303"/>
      <c r="Z630" s="532"/>
      <c r="AA630" s="530"/>
      <c r="AB630" s="525" t="str">
        <f t="shared" si="12"/>
        <v/>
      </c>
      <c r="AC630" s="525" t="str">
        <f t="shared" si="13"/>
        <v/>
      </c>
      <c r="AD630" s="525" t="str">
        <f t="shared" si="14"/>
        <v/>
      </c>
      <c r="AE630" s="525" t="str">
        <f t="shared" si="15"/>
        <v/>
      </c>
      <c r="AF630" s="525" t="str">
        <f t="shared" si="16"/>
        <v/>
      </c>
      <c r="AG630" s="525" t="str">
        <f t="shared" si="17"/>
        <v/>
      </c>
      <c r="AH630" s="525">
        <f>E631</f>
        <v>0</v>
      </c>
      <c r="AI630" s="525">
        <f>E632</f>
        <v>0</v>
      </c>
    </row>
    <row r="631" spans="1:35" x14ac:dyDescent="0.2">
      <c r="A631" s="531"/>
      <c r="B631" s="303"/>
      <c r="C631" s="303"/>
      <c r="D631" s="303"/>
      <c r="E631" s="303"/>
      <c r="F631" s="303"/>
      <c r="G631" s="303"/>
      <c r="H631" s="303"/>
      <c r="I631" s="303"/>
      <c r="J631" s="303"/>
      <c r="K631" s="303"/>
      <c r="L631" s="303"/>
      <c r="M631" s="303"/>
      <c r="N631" s="303"/>
      <c r="O631" s="303"/>
      <c r="P631" s="303"/>
      <c r="Q631" s="303"/>
      <c r="R631" s="303"/>
      <c r="S631" s="303"/>
      <c r="T631" s="303"/>
      <c r="U631" s="303"/>
      <c r="V631" s="303"/>
      <c r="W631" s="303"/>
      <c r="X631" s="303"/>
      <c r="Y631" s="303"/>
      <c r="Z631" s="532"/>
      <c r="AA631" s="530"/>
      <c r="AB631" s="525" t="str">
        <f t="shared" si="12"/>
        <v/>
      </c>
      <c r="AC631" s="525" t="str">
        <f t="shared" si="13"/>
        <v/>
      </c>
      <c r="AD631" s="525" t="str">
        <f t="shared" si="14"/>
        <v/>
      </c>
      <c r="AE631" s="525" t="str">
        <f t="shared" si="15"/>
        <v/>
      </c>
      <c r="AF631" s="525" t="str">
        <f t="shared" si="16"/>
        <v/>
      </c>
      <c r="AG631" s="525" t="str">
        <f t="shared" si="17"/>
        <v/>
      </c>
      <c r="AH631" s="525">
        <f>E631</f>
        <v>0</v>
      </c>
      <c r="AI631" s="525">
        <f>E632</f>
        <v>0</v>
      </c>
    </row>
    <row r="632" spans="1:35" x14ac:dyDescent="0.2">
      <c r="A632" s="531"/>
      <c r="B632" s="303"/>
      <c r="C632" s="303"/>
      <c r="D632" s="303"/>
      <c r="E632" s="303"/>
      <c r="F632" s="303"/>
      <c r="G632" s="303"/>
      <c r="H632" s="303"/>
      <c r="I632" s="303"/>
      <c r="J632" s="303"/>
      <c r="K632" s="303"/>
      <c r="L632" s="303"/>
      <c r="M632" s="303"/>
      <c r="N632" s="303"/>
      <c r="O632" s="303"/>
      <c r="P632" s="303"/>
      <c r="Q632" s="303"/>
      <c r="R632" s="303"/>
      <c r="S632" s="303"/>
      <c r="T632" s="303"/>
      <c r="U632" s="303"/>
      <c r="V632" s="303"/>
      <c r="W632" s="303"/>
      <c r="X632" s="303"/>
      <c r="Y632" s="303"/>
      <c r="Z632" s="532"/>
      <c r="AA632" s="530"/>
      <c r="AB632" s="525" t="str">
        <f t="shared" si="12"/>
        <v/>
      </c>
      <c r="AC632" s="525" t="str">
        <f t="shared" si="13"/>
        <v/>
      </c>
      <c r="AD632" s="525" t="str">
        <f t="shared" si="14"/>
        <v/>
      </c>
      <c r="AE632" s="525" t="str">
        <f t="shared" si="15"/>
        <v/>
      </c>
      <c r="AF632" s="525" t="str">
        <f t="shared" si="16"/>
        <v/>
      </c>
      <c r="AG632" s="525" t="str">
        <f t="shared" si="17"/>
        <v/>
      </c>
      <c r="AH632" s="525">
        <f>E631</f>
        <v>0</v>
      </c>
      <c r="AI632" s="525">
        <f>E632</f>
        <v>0</v>
      </c>
    </row>
    <row r="633" spans="1:35" x14ac:dyDescent="0.2">
      <c r="A633" s="531"/>
      <c r="B633" s="303"/>
      <c r="C633" s="303"/>
      <c r="D633" s="303"/>
      <c r="E633" s="303"/>
      <c r="F633" s="303"/>
      <c r="G633" s="303"/>
      <c r="H633" s="303"/>
      <c r="I633" s="303"/>
      <c r="J633" s="303"/>
      <c r="K633" s="303"/>
      <c r="L633" s="303"/>
      <c r="M633" s="303"/>
      <c r="N633" s="303"/>
      <c r="O633" s="303"/>
      <c r="P633" s="303"/>
      <c r="Q633" s="303"/>
      <c r="R633" s="303"/>
      <c r="S633" s="303"/>
      <c r="T633" s="303"/>
      <c r="U633" s="303"/>
      <c r="V633" s="303"/>
      <c r="W633" s="303"/>
      <c r="X633" s="303"/>
      <c r="Y633" s="303"/>
      <c r="Z633" s="532"/>
      <c r="AA633" s="530"/>
      <c r="AB633" s="525" t="str">
        <f t="shared" si="12"/>
        <v/>
      </c>
      <c r="AC633" s="525" t="str">
        <f t="shared" si="13"/>
        <v/>
      </c>
      <c r="AD633" s="525" t="str">
        <f t="shared" si="14"/>
        <v/>
      </c>
      <c r="AE633" s="525" t="str">
        <f t="shared" si="15"/>
        <v/>
      </c>
      <c r="AF633" s="525" t="str">
        <f t="shared" si="16"/>
        <v/>
      </c>
      <c r="AG633" s="525" t="str">
        <f t="shared" si="17"/>
        <v/>
      </c>
      <c r="AH633" s="525">
        <f>E634</f>
        <v>0</v>
      </c>
      <c r="AI633" s="525">
        <f>E635</f>
        <v>0</v>
      </c>
    </row>
    <row r="634" spans="1:35" x14ac:dyDescent="0.2">
      <c r="A634" s="531"/>
      <c r="B634" s="303"/>
      <c r="C634" s="303"/>
      <c r="D634" s="303"/>
      <c r="E634" s="303"/>
      <c r="F634" s="303"/>
      <c r="G634" s="303"/>
      <c r="H634" s="303"/>
      <c r="I634" s="303"/>
      <c r="J634" s="303"/>
      <c r="K634" s="303"/>
      <c r="L634" s="303"/>
      <c r="M634" s="303"/>
      <c r="N634" s="303"/>
      <c r="O634" s="303"/>
      <c r="P634" s="303"/>
      <c r="Q634" s="303"/>
      <c r="R634" s="303"/>
      <c r="S634" s="303"/>
      <c r="T634" s="303"/>
      <c r="U634" s="303"/>
      <c r="V634" s="303"/>
      <c r="W634" s="303"/>
      <c r="X634" s="303"/>
      <c r="Y634" s="303"/>
      <c r="Z634" s="532"/>
      <c r="AA634" s="530"/>
      <c r="AB634" s="525" t="str">
        <f t="shared" si="12"/>
        <v/>
      </c>
      <c r="AC634" s="525" t="str">
        <f t="shared" si="13"/>
        <v/>
      </c>
      <c r="AD634" s="525" t="str">
        <f t="shared" si="14"/>
        <v/>
      </c>
      <c r="AE634" s="525" t="str">
        <f t="shared" si="15"/>
        <v/>
      </c>
      <c r="AF634" s="525" t="str">
        <f t="shared" si="16"/>
        <v/>
      </c>
      <c r="AG634" s="525" t="str">
        <f t="shared" si="17"/>
        <v/>
      </c>
      <c r="AH634" s="525">
        <f>E634</f>
        <v>0</v>
      </c>
      <c r="AI634" s="525">
        <f>E635</f>
        <v>0</v>
      </c>
    </row>
    <row r="635" spans="1:35" x14ac:dyDescent="0.2">
      <c r="A635" s="531"/>
      <c r="B635" s="303"/>
      <c r="C635" s="303"/>
      <c r="D635" s="303"/>
      <c r="E635" s="303"/>
      <c r="F635" s="303"/>
      <c r="G635" s="303"/>
      <c r="H635" s="303"/>
      <c r="I635" s="303"/>
      <c r="J635" s="303"/>
      <c r="K635" s="303"/>
      <c r="L635" s="303"/>
      <c r="M635" s="303"/>
      <c r="N635" s="303"/>
      <c r="O635" s="303"/>
      <c r="P635" s="303"/>
      <c r="Q635" s="303"/>
      <c r="R635" s="303"/>
      <c r="S635" s="303"/>
      <c r="T635" s="303"/>
      <c r="U635" s="303"/>
      <c r="V635" s="303"/>
      <c r="W635" s="303"/>
      <c r="X635" s="303"/>
      <c r="Y635" s="303"/>
      <c r="Z635" s="532"/>
      <c r="AA635" s="530"/>
      <c r="AB635" s="525" t="str">
        <f t="shared" si="12"/>
        <v/>
      </c>
      <c r="AC635" s="525" t="str">
        <f t="shared" si="13"/>
        <v/>
      </c>
      <c r="AD635" s="525" t="str">
        <f t="shared" si="14"/>
        <v/>
      </c>
      <c r="AE635" s="525" t="str">
        <f t="shared" si="15"/>
        <v/>
      </c>
      <c r="AF635" s="525" t="str">
        <f t="shared" si="16"/>
        <v/>
      </c>
      <c r="AG635" s="525" t="str">
        <f t="shared" si="17"/>
        <v/>
      </c>
      <c r="AH635" s="525">
        <f>E634</f>
        <v>0</v>
      </c>
      <c r="AI635" s="525">
        <f>E635</f>
        <v>0</v>
      </c>
    </row>
    <row r="636" spans="1:35" x14ac:dyDescent="0.2">
      <c r="A636" s="531"/>
      <c r="B636" s="303"/>
      <c r="C636" s="303"/>
      <c r="D636" s="303"/>
      <c r="E636" s="303"/>
      <c r="F636" s="303"/>
      <c r="G636" s="303"/>
      <c r="H636" s="303"/>
      <c r="I636" s="303"/>
      <c r="J636" s="303"/>
      <c r="K636" s="303"/>
      <c r="L636" s="303"/>
      <c r="M636" s="303"/>
      <c r="N636" s="303"/>
      <c r="O636" s="303"/>
      <c r="P636" s="303"/>
      <c r="Q636" s="303"/>
      <c r="R636" s="303"/>
      <c r="S636" s="303"/>
      <c r="T636" s="303"/>
      <c r="U636" s="303"/>
      <c r="V636" s="303"/>
      <c r="W636" s="303"/>
      <c r="X636" s="303"/>
      <c r="Y636" s="303"/>
      <c r="Z636" s="532"/>
      <c r="AA636" s="530"/>
      <c r="AB636" s="525" t="str">
        <f t="shared" si="12"/>
        <v/>
      </c>
      <c r="AC636" s="525" t="str">
        <f t="shared" si="13"/>
        <v/>
      </c>
      <c r="AD636" s="525" t="str">
        <f t="shared" si="14"/>
        <v/>
      </c>
      <c r="AE636" s="525" t="str">
        <f t="shared" si="15"/>
        <v/>
      </c>
      <c r="AF636" s="525" t="str">
        <f t="shared" si="16"/>
        <v/>
      </c>
      <c r="AG636" s="525" t="str">
        <f t="shared" si="17"/>
        <v/>
      </c>
      <c r="AH636" s="525">
        <f>E637</f>
        <v>0</v>
      </c>
      <c r="AI636" s="525">
        <f>E638</f>
        <v>0</v>
      </c>
    </row>
    <row r="637" spans="1:35" x14ac:dyDescent="0.2">
      <c r="A637" s="531"/>
      <c r="B637" s="303"/>
      <c r="C637" s="303"/>
      <c r="D637" s="303"/>
      <c r="E637" s="303"/>
      <c r="F637" s="303"/>
      <c r="G637" s="303"/>
      <c r="H637" s="303"/>
      <c r="I637" s="303"/>
      <c r="J637" s="303"/>
      <c r="K637" s="303"/>
      <c r="L637" s="303"/>
      <c r="M637" s="303"/>
      <c r="N637" s="303"/>
      <c r="O637" s="303"/>
      <c r="P637" s="303"/>
      <c r="Q637" s="303"/>
      <c r="R637" s="303"/>
      <c r="S637" s="303"/>
      <c r="T637" s="303"/>
      <c r="U637" s="303"/>
      <c r="V637" s="303"/>
      <c r="W637" s="303"/>
      <c r="X637" s="303"/>
      <c r="Y637" s="303"/>
      <c r="Z637" s="532"/>
      <c r="AA637" s="530"/>
      <c r="AB637" s="525" t="str">
        <f t="shared" si="12"/>
        <v/>
      </c>
      <c r="AC637" s="525" t="str">
        <f t="shared" si="13"/>
        <v/>
      </c>
      <c r="AD637" s="525" t="str">
        <f t="shared" si="14"/>
        <v/>
      </c>
      <c r="AE637" s="525" t="str">
        <f t="shared" si="15"/>
        <v/>
      </c>
      <c r="AF637" s="525" t="str">
        <f t="shared" si="16"/>
        <v/>
      </c>
      <c r="AG637" s="525" t="str">
        <f t="shared" si="17"/>
        <v/>
      </c>
      <c r="AH637" s="525">
        <f>E637</f>
        <v>0</v>
      </c>
      <c r="AI637" s="525">
        <f>E638</f>
        <v>0</v>
      </c>
    </row>
    <row r="638" spans="1:35" x14ac:dyDescent="0.2">
      <c r="A638" s="531"/>
      <c r="B638" s="303"/>
      <c r="C638" s="303"/>
      <c r="D638" s="303"/>
      <c r="E638" s="303"/>
      <c r="F638" s="303"/>
      <c r="G638" s="303"/>
      <c r="H638" s="303"/>
      <c r="I638" s="303"/>
      <c r="J638" s="303"/>
      <c r="K638" s="303"/>
      <c r="L638" s="303"/>
      <c r="M638" s="303"/>
      <c r="N638" s="303"/>
      <c r="O638" s="303"/>
      <c r="P638" s="303"/>
      <c r="Q638" s="303"/>
      <c r="R638" s="303"/>
      <c r="S638" s="303"/>
      <c r="T638" s="303"/>
      <c r="U638" s="303"/>
      <c r="V638" s="303"/>
      <c r="W638" s="303"/>
      <c r="X638" s="303"/>
      <c r="Y638" s="303"/>
      <c r="Z638" s="532"/>
      <c r="AA638" s="530"/>
      <c r="AB638" s="525" t="str">
        <f t="shared" si="12"/>
        <v/>
      </c>
      <c r="AC638" s="525" t="str">
        <f t="shared" si="13"/>
        <v/>
      </c>
      <c r="AD638" s="525" t="str">
        <f t="shared" si="14"/>
        <v/>
      </c>
      <c r="AE638" s="525" t="str">
        <f t="shared" si="15"/>
        <v/>
      </c>
      <c r="AF638" s="525" t="str">
        <f t="shared" si="16"/>
        <v/>
      </c>
      <c r="AG638" s="525" t="str">
        <f t="shared" si="17"/>
        <v/>
      </c>
      <c r="AH638" s="525">
        <f>E637</f>
        <v>0</v>
      </c>
      <c r="AI638" s="525">
        <f>E638</f>
        <v>0</v>
      </c>
    </row>
    <row r="639" spans="1:35" x14ac:dyDescent="0.2">
      <c r="A639" s="531"/>
      <c r="B639" s="303"/>
      <c r="C639" s="303"/>
      <c r="D639" s="303"/>
      <c r="E639" s="303"/>
      <c r="F639" s="303"/>
      <c r="G639" s="303"/>
      <c r="H639" s="303"/>
      <c r="I639" s="303"/>
      <c r="J639" s="303"/>
      <c r="K639" s="303"/>
      <c r="L639" s="303"/>
      <c r="M639" s="303"/>
      <c r="N639" s="303"/>
      <c r="O639" s="303"/>
      <c r="P639" s="303"/>
      <c r="Q639" s="303"/>
      <c r="R639" s="303"/>
      <c r="S639" s="303"/>
      <c r="T639" s="303"/>
      <c r="U639" s="303"/>
      <c r="V639" s="303"/>
      <c r="W639" s="303"/>
      <c r="X639" s="303"/>
      <c r="Y639" s="303"/>
      <c r="Z639" s="532"/>
      <c r="AA639" s="530"/>
      <c r="AB639" s="525" t="str">
        <f t="shared" si="12"/>
        <v/>
      </c>
      <c r="AC639" s="525" t="str">
        <f t="shared" si="13"/>
        <v/>
      </c>
      <c r="AD639" s="525" t="str">
        <f t="shared" si="14"/>
        <v/>
      </c>
      <c r="AE639" s="525" t="str">
        <f t="shared" si="15"/>
        <v/>
      </c>
      <c r="AF639" s="525" t="str">
        <f t="shared" si="16"/>
        <v/>
      </c>
      <c r="AG639" s="525" t="str">
        <f t="shared" si="17"/>
        <v/>
      </c>
      <c r="AH639" s="525">
        <f>E640</f>
        <v>0</v>
      </c>
      <c r="AI639" s="525">
        <f>E641</f>
        <v>0</v>
      </c>
    </row>
    <row r="640" spans="1:35" x14ac:dyDescent="0.2">
      <c r="A640" s="531"/>
      <c r="B640" s="303"/>
      <c r="C640" s="303"/>
      <c r="D640" s="303"/>
      <c r="E640" s="303"/>
      <c r="F640" s="303"/>
      <c r="G640" s="303"/>
      <c r="H640" s="303"/>
      <c r="I640" s="303"/>
      <c r="J640" s="303"/>
      <c r="K640" s="303"/>
      <c r="L640" s="303"/>
      <c r="M640" s="303"/>
      <c r="N640" s="303"/>
      <c r="O640" s="303"/>
      <c r="P640" s="303"/>
      <c r="Q640" s="303"/>
      <c r="R640" s="303"/>
      <c r="S640" s="303"/>
      <c r="T640" s="303"/>
      <c r="U640" s="303"/>
      <c r="V640" s="303"/>
      <c r="W640" s="303"/>
      <c r="X640" s="303"/>
      <c r="Y640" s="303"/>
      <c r="Z640" s="532"/>
      <c r="AA640" s="530"/>
      <c r="AB640" s="525" t="str">
        <f t="shared" si="12"/>
        <v/>
      </c>
      <c r="AC640" s="525" t="str">
        <f t="shared" si="13"/>
        <v/>
      </c>
      <c r="AD640" s="525" t="str">
        <f t="shared" si="14"/>
        <v/>
      </c>
      <c r="AE640" s="525" t="str">
        <f t="shared" si="15"/>
        <v/>
      </c>
      <c r="AF640" s="525" t="str">
        <f t="shared" si="16"/>
        <v/>
      </c>
      <c r="AG640" s="525" t="str">
        <f t="shared" si="17"/>
        <v/>
      </c>
      <c r="AH640" s="525">
        <f>E640</f>
        <v>0</v>
      </c>
      <c r="AI640" s="525">
        <f>E641</f>
        <v>0</v>
      </c>
    </row>
    <row r="641" spans="1:35" x14ac:dyDescent="0.2">
      <c r="A641" s="531"/>
      <c r="B641" s="303"/>
      <c r="C641" s="303"/>
      <c r="D641" s="303"/>
      <c r="E641" s="303"/>
      <c r="F641" s="303"/>
      <c r="G641" s="303"/>
      <c r="H641" s="303"/>
      <c r="I641" s="303"/>
      <c r="J641" s="303"/>
      <c r="K641" s="303"/>
      <c r="L641" s="303"/>
      <c r="M641" s="303"/>
      <c r="N641" s="303"/>
      <c r="O641" s="303"/>
      <c r="P641" s="303"/>
      <c r="Q641" s="303"/>
      <c r="R641" s="303"/>
      <c r="S641" s="303"/>
      <c r="T641" s="303"/>
      <c r="U641" s="303"/>
      <c r="V641" s="303"/>
      <c r="W641" s="303"/>
      <c r="X641" s="303"/>
      <c r="Y641" s="303"/>
      <c r="Z641" s="532"/>
      <c r="AA641" s="530"/>
      <c r="AB641" s="525" t="str">
        <f t="shared" si="12"/>
        <v/>
      </c>
      <c r="AC641" s="525" t="str">
        <f t="shared" si="13"/>
        <v/>
      </c>
      <c r="AD641" s="525" t="str">
        <f t="shared" si="14"/>
        <v/>
      </c>
      <c r="AE641" s="525" t="str">
        <f t="shared" si="15"/>
        <v/>
      </c>
      <c r="AF641" s="525" t="str">
        <f t="shared" si="16"/>
        <v/>
      </c>
      <c r="AG641" s="525" t="str">
        <f t="shared" si="17"/>
        <v/>
      </c>
      <c r="AH641" s="525">
        <f>E640</f>
        <v>0</v>
      </c>
      <c r="AI641" s="525">
        <f>E641</f>
        <v>0</v>
      </c>
    </row>
    <row r="642" spans="1:35" x14ac:dyDescent="0.2">
      <c r="A642" s="531"/>
      <c r="B642" s="303"/>
      <c r="C642" s="303"/>
      <c r="D642" s="303"/>
      <c r="E642" s="303"/>
      <c r="F642" s="303"/>
      <c r="G642" s="303"/>
      <c r="H642" s="303"/>
      <c r="I642" s="303"/>
      <c r="J642" s="303"/>
      <c r="K642" s="303"/>
      <c r="L642" s="303"/>
      <c r="M642" s="303"/>
      <c r="N642" s="303"/>
      <c r="O642" s="303"/>
      <c r="P642" s="303"/>
      <c r="Q642" s="303"/>
      <c r="R642" s="303"/>
      <c r="S642" s="303"/>
      <c r="T642" s="303"/>
      <c r="U642" s="303"/>
      <c r="V642" s="303"/>
      <c r="W642" s="303"/>
      <c r="X642" s="303"/>
      <c r="Y642" s="303"/>
      <c r="Z642" s="532"/>
      <c r="AA642" s="530"/>
      <c r="AB642" s="525" t="str">
        <f t="shared" si="12"/>
        <v/>
      </c>
      <c r="AC642" s="525" t="str">
        <f t="shared" si="13"/>
        <v/>
      </c>
      <c r="AD642" s="525" t="str">
        <f t="shared" si="14"/>
        <v/>
      </c>
      <c r="AE642" s="525" t="str">
        <f t="shared" si="15"/>
        <v/>
      </c>
      <c r="AF642" s="525" t="str">
        <f t="shared" si="16"/>
        <v/>
      </c>
      <c r="AG642" s="525" t="str">
        <f t="shared" si="17"/>
        <v/>
      </c>
      <c r="AH642" s="525">
        <f>E643</f>
        <v>0</v>
      </c>
      <c r="AI642" s="525">
        <f>E644</f>
        <v>0</v>
      </c>
    </row>
    <row r="643" spans="1:35" x14ac:dyDescent="0.2">
      <c r="A643" s="531"/>
      <c r="B643" s="303"/>
      <c r="C643" s="303"/>
      <c r="D643" s="303"/>
      <c r="E643" s="303"/>
      <c r="F643" s="303"/>
      <c r="G643" s="303"/>
      <c r="H643" s="303"/>
      <c r="I643" s="303"/>
      <c r="J643" s="303"/>
      <c r="K643" s="303"/>
      <c r="L643" s="303"/>
      <c r="M643" s="303"/>
      <c r="N643" s="303"/>
      <c r="O643" s="303"/>
      <c r="P643" s="303"/>
      <c r="Q643" s="303"/>
      <c r="R643" s="303"/>
      <c r="S643" s="303"/>
      <c r="T643" s="303"/>
      <c r="U643" s="303"/>
      <c r="V643" s="303"/>
      <c r="W643" s="303"/>
      <c r="X643" s="303"/>
      <c r="Y643" s="303"/>
      <c r="Z643" s="532"/>
      <c r="AA643" s="530"/>
      <c r="AB643" s="525" t="str">
        <f t="shared" si="12"/>
        <v/>
      </c>
      <c r="AC643" s="525" t="str">
        <f t="shared" si="13"/>
        <v/>
      </c>
      <c r="AD643" s="525" t="str">
        <f t="shared" si="14"/>
        <v/>
      </c>
      <c r="AE643" s="525" t="str">
        <f t="shared" si="15"/>
        <v/>
      </c>
      <c r="AF643" s="525" t="str">
        <f t="shared" si="16"/>
        <v/>
      </c>
      <c r="AG643" s="525" t="str">
        <f t="shared" si="17"/>
        <v/>
      </c>
      <c r="AH643" s="525">
        <f>E643</f>
        <v>0</v>
      </c>
      <c r="AI643" s="525">
        <f>E644</f>
        <v>0</v>
      </c>
    </row>
    <row r="644" spans="1:35" x14ac:dyDescent="0.2">
      <c r="A644" s="531"/>
      <c r="B644" s="303"/>
      <c r="C644" s="303"/>
      <c r="D644" s="303"/>
      <c r="E644" s="303"/>
      <c r="F644" s="303"/>
      <c r="G644" s="303"/>
      <c r="H644" s="303"/>
      <c r="I644" s="303"/>
      <c r="J644" s="303"/>
      <c r="K644" s="303"/>
      <c r="L644" s="303"/>
      <c r="M644" s="303"/>
      <c r="N644" s="303"/>
      <c r="O644" s="303"/>
      <c r="P644" s="303"/>
      <c r="Q644" s="303"/>
      <c r="R644" s="303"/>
      <c r="S644" s="303"/>
      <c r="T644" s="303"/>
      <c r="U644" s="303"/>
      <c r="V644" s="303"/>
      <c r="W644" s="303"/>
      <c r="X644" s="303"/>
      <c r="Y644" s="303"/>
      <c r="Z644" s="532"/>
      <c r="AA644" s="530"/>
      <c r="AB644" s="525" t="str">
        <f t="shared" si="12"/>
        <v/>
      </c>
      <c r="AC644" s="525" t="str">
        <f t="shared" si="13"/>
        <v/>
      </c>
      <c r="AD644" s="525" t="str">
        <f t="shared" si="14"/>
        <v/>
      </c>
      <c r="AE644" s="525" t="str">
        <f t="shared" si="15"/>
        <v/>
      </c>
      <c r="AF644" s="525" t="str">
        <f t="shared" si="16"/>
        <v/>
      </c>
      <c r="AG644" s="525" t="str">
        <f t="shared" si="17"/>
        <v/>
      </c>
      <c r="AH644" s="525">
        <f>E643</f>
        <v>0</v>
      </c>
      <c r="AI644" s="525">
        <f>E644</f>
        <v>0</v>
      </c>
    </row>
    <row r="645" spans="1:35" x14ac:dyDescent="0.2">
      <c r="A645" s="531"/>
      <c r="B645" s="303"/>
      <c r="C645" s="303"/>
      <c r="D645" s="303"/>
      <c r="E645" s="303"/>
      <c r="F645" s="303"/>
      <c r="G645" s="303"/>
      <c r="H645" s="303"/>
      <c r="I645" s="303"/>
      <c r="J645" s="303"/>
      <c r="K645" s="303"/>
      <c r="L645" s="303"/>
      <c r="M645" s="303"/>
      <c r="N645" s="303"/>
      <c r="O645" s="303"/>
      <c r="P645" s="303"/>
      <c r="Q645" s="303"/>
      <c r="R645" s="303"/>
      <c r="S645" s="303"/>
      <c r="T645" s="303"/>
      <c r="U645" s="303"/>
      <c r="V645" s="303"/>
      <c r="W645" s="303"/>
      <c r="X645" s="303"/>
      <c r="Y645" s="303"/>
      <c r="Z645" s="532"/>
      <c r="AA645" s="530"/>
      <c r="AB645" s="525" t="str">
        <f t="shared" si="12"/>
        <v/>
      </c>
      <c r="AC645" s="525" t="str">
        <f t="shared" si="13"/>
        <v/>
      </c>
      <c r="AD645" s="525" t="str">
        <f t="shared" si="14"/>
        <v/>
      </c>
      <c r="AE645" s="525" t="str">
        <f t="shared" si="15"/>
        <v/>
      </c>
      <c r="AF645" s="525" t="str">
        <f t="shared" si="16"/>
        <v/>
      </c>
      <c r="AG645" s="525" t="str">
        <f t="shared" si="17"/>
        <v/>
      </c>
      <c r="AH645" s="525">
        <f>E646</f>
        <v>0</v>
      </c>
      <c r="AI645" s="525">
        <f>E647</f>
        <v>0</v>
      </c>
    </row>
    <row r="646" spans="1:35" x14ac:dyDescent="0.2">
      <c r="A646" s="531"/>
      <c r="B646" s="303"/>
      <c r="C646" s="303"/>
      <c r="D646" s="303"/>
      <c r="E646" s="303"/>
      <c r="F646" s="303"/>
      <c r="G646" s="303"/>
      <c r="H646" s="303"/>
      <c r="I646" s="303"/>
      <c r="J646" s="303"/>
      <c r="K646" s="303"/>
      <c r="L646" s="303"/>
      <c r="M646" s="303"/>
      <c r="N646" s="303"/>
      <c r="O646" s="303"/>
      <c r="P646" s="303"/>
      <c r="Q646" s="303"/>
      <c r="R646" s="303"/>
      <c r="S646" s="303"/>
      <c r="T646" s="303"/>
      <c r="U646" s="303"/>
      <c r="V646" s="303"/>
      <c r="W646" s="303"/>
      <c r="X646" s="303"/>
      <c r="Y646" s="303"/>
      <c r="Z646" s="532"/>
      <c r="AA646" s="530"/>
      <c r="AB646" s="525" t="str">
        <f t="shared" si="12"/>
        <v/>
      </c>
      <c r="AC646" s="525" t="str">
        <f t="shared" si="13"/>
        <v/>
      </c>
      <c r="AD646" s="525" t="str">
        <f t="shared" si="14"/>
        <v/>
      </c>
      <c r="AE646" s="525" t="str">
        <f t="shared" si="15"/>
        <v/>
      </c>
      <c r="AF646" s="525" t="str">
        <f t="shared" si="16"/>
        <v/>
      </c>
      <c r="AG646" s="525" t="str">
        <f t="shared" si="17"/>
        <v/>
      </c>
      <c r="AH646" s="525">
        <f>E646</f>
        <v>0</v>
      </c>
      <c r="AI646" s="525">
        <f>E647</f>
        <v>0</v>
      </c>
    </row>
    <row r="647" spans="1:35" x14ac:dyDescent="0.2">
      <c r="A647" s="531"/>
      <c r="B647" s="303"/>
      <c r="C647" s="303"/>
      <c r="D647" s="303"/>
      <c r="E647" s="303"/>
      <c r="F647" s="303"/>
      <c r="G647" s="303"/>
      <c r="H647" s="303"/>
      <c r="I647" s="303"/>
      <c r="J647" s="303"/>
      <c r="K647" s="303"/>
      <c r="L647" s="303"/>
      <c r="M647" s="303"/>
      <c r="N647" s="303"/>
      <c r="O647" s="303"/>
      <c r="P647" s="303"/>
      <c r="Q647" s="303"/>
      <c r="R647" s="303"/>
      <c r="S647" s="303"/>
      <c r="T647" s="303"/>
      <c r="U647" s="303"/>
      <c r="V647" s="303"/>
      <c r="W647" s="303"/>
      <c r="X647" s="303"/>
      <c r="Y647" s="303"/>
      <c r="Z647" s="532"/>
      <c r="AA647" s="530"/>
      <c r="AB647" s="525" t="str">
        <f t="shared" si="12"/>
        <v/>
      </c>
      <c r="AC647" s="525" t="str">
        <f t="shared" si="13"/>
        <v/>
      </c>
      <c r="AD647" s="525" t="str">
        <f t="shared" si="14"/>
        <v/>
      </c>
      <c r="AE647" s="525" t="str">
        <f t="shared" si="15"/>
        <v/>
      </c>
      <c r="AF647" s="525" t="str">
        <f t="shared" si="16"/>
        <v/>
      </c>
      <c r="AG647" s="525" t="str">
        <f t="shared" si="17"/>
        <v/>
      </c>
      <c r="AH647" s="525">
        <f>E646</f>
        <v>0</v>
      </c>
      <c r="AI647" s="525">
        <f>E647</f>
        <v>0</v>
      </c>
    </row>
    <row r="648" spans="1:35" x14ac:dyDescent="0.2">
      <c r="A648" s="531"/>
      <c r="B648" s="303"/>
      <c r="C648" s="303"/>
      <c r="D648" s="303"/>
      <c r="E648" s="303"/>
      <c r="F648" s="303"/>
      <c r="G648" s="303"/>
      <c r="H648" s="303"/>
      <c r="I648" s="303"/>
      <c r="J648" s="303"/>
      <c r="K648" s="303"/>
      <c r="L648" s="303"/>
      <c r="M648" s="303"/>
      <c r="N648" s="303"/>
      <c r="O648" s="303"/>
      <c r="P648" s="303"/>
      <c r="Q648" s="303"/>
      <c r="R648" s="303"/>
      <c r="S648" s="303"/>
      <c r="T648" s="303"/>
      <c r="U648" s="303"/>
      <c r="V648" s="303"/>
      <c r="W648" s="303"/>
      <c r="X648" s="303"/>
      <c r="Y648" s="303"/>
      <c r="Z648" s="532"/>
      <c r="AA648" s="530"/>
      <c r="AB648" s="525" t="str">
        <f t="shared" si="12"/>
        <v/>
      </c>
      <c r="AC648" s="525" t="str">
        <f t="shared" si="13"/>
        <v/>
      </c>
      <c r="AD648" s="525" t="str">
        <f t="shared" si="14"/>
        <v/>
      </c>
      <c r="AE648" s="525" t="str">
        <f t="shared" si="15"/>
        <v/>
      </c>
      <c r="AF648" s="525" t="str">
        <f t="shared" si="16"/>
        <v/>
      </c>
      <c r="AG648" s="525" t="str">
        <f t="shared" si="17"/>
        <v/>
      </c>
      <c r="AH648" s="525">
        <f>E649</f>
        <v>0</v>
      </c>
      <c r="AI648" s="525">
        <f>E650</f>
        <v>0</v>
      </c>
    </row>
    <row r="649" spans="1:35" x14ac:dyDescent="0.2">
      <c r="A649" s="531"/>
      <c r="B649" s="303"/>
      <c r="C649" s="303"/>
      <c r="D649" s="303"/>
      <c r="E649" s="303"/>
      <c r="F649" s="303"/>
      <c r="G649" s="303"/>
      <c r="H649" s="303"/>
      <c r="I649" s="303"/>
      <c r="J649" s="303"/>
      <c r="K649" s="303"/>
      <c r="L649" s="303"/>
      <c r="M649" s="303"/>
      <c r="N649" s="303"/>
      <c r="O649" s="303"/>
      <c r="P649" s="303"/>
      <c r="Q649" s="303"/>
      <c r="R649" s="303"/>
      <c r="S649" s="303"/>
      <c r="T649" s="303"/>
      <c r="U649" s="303"/>
      <c r="V649" s="303"/>
      <c r="W649" s="303"/>
      <c r="X649" s="303"/>
      <c r="Y649" s="303"/>
      <c r="Z649" s="532"/>
      <c r="AA649" s="530"/>
      <c r="AB649" s="525" t="str">
        <f t="shared" si="12"/>
        <v/>
      </c>
      <c r="AC649" s="525" t="str">
        <f t="shared" si="13"/>
        <v/>
      </c>
      <c r="AD649" s="525" t="str">
        <f t="shared" si="14"/>
        <v/>
      </c>
      <c r="AE649" s="525" t="str">
        <f t="shared" si="15"/>
        <v/>
      </c>
      <c r="AF649" s="525" t="str">
        <f t="shared" si="16"/>
        <v/>
      </c>
      <c r="AG649" s="525" t="str">
        <f t="shared" si="17"/>
        <v/>
      </c>
      <c r="AH649" s="525">
        <f>E649</f>
        <v>0</v>
      </c>
      <c r="AI649" s="525">
        <f>E650</f>
        <v>0</v>
      </c>
    </row>
    <row r="650" spans="1:35" x14ac:dyDescent="0.2">
      <c r="A650" s="531"/>
      <c r="B650" s="303"/>
      <c r="C650" s="303"/>
      <c r="D650" s="303"/>
      <c r="E650" s="303"/>
      <c r="F650" s="303"/>
      <c r="G650" s="303"/>
      <c r="H650" s="303"/>
      <c r="I650" s="303"/>
      <c r="J650" s="303"/>
      <c r="K650" s="303"/>
      <c r="L650" s="303"/>
      <c r="M650" s="303"/>
      <c r="N650" s="303"/>
      <c r="O650" s="303"/>
      <c r="P650" s="303"/>
      <c r="Q650" s="303"/>
      <c r="R650" s="303"/>
      <c r="S650" s="303"/>
      <c r="T650" s="303"/>
      <c r="U650" s="303"/>
      <c r="V650" s="303"/>
      <c r="W650" s="303"/>
      <c r="X650" s="303"/>
      <c r="Y650" s="303"/>
      <c r="Z650" s="532"/>
      <c r="AA650" s="530"/>
      <c r="AB650" s="525" t="str">
        <f t="shared" si="12"/>
        <v/>
      </c>
      <c r="AC650" s="525" t="str">
        <f t="shared" si="13"/>
        <v/>
      </c>
      <c r="AD650" s="525" t="str">
        <f t="shared" si="14"/>
        <v/>
      </c>
      <c r="AE650" s="525" t="str">
        <f t="shared" si="15"/>
        <v/>
      </c>
      <c r="AF650" s="525" t="str">
        <f t="shared" si="16"/>
        <v/>
      </c>
      <c r="AG650" s="525" t="str">
        <f t="shared" si="17"/>
        <v/>
      </c>
      <c r="AH650" s="525">
        <f>E649</f>
        <v>0</v>
      </c>
      <c r="AI650" s="525">
        <f>E650</f>
        <v>0</v>
      </c>
    </row>
    <row r="651" spans="1:35" x14ac:dyDescent="0.2">
      <c r="A651" s="531"/>
      <c r="B651" s="303"/>
      <c r="C651" s="303"/>
      <c r="D651" s="303"/>
      <c r="E651" s="303"/>
      <c r="F651" s="303"/>
      <c r="G651" s="303"/>
      <c r="H651" s="303"/>
      <c r="I651" s="303"/>
      <c r="J651" s="303"/>
      <c r="K651" s="303"/>
      <c r="L651" s="303"/>
      <c r="M651" s="303"/>
      <c r="N651" s="303"/>
      <c r="O651" s="303"/>
      <c r="P651" s="303"/>
      <c r="Q651" s="303"/>
      <c r="R651" s="303"/>
      <c r="S651" s="303"/>
      <c r="T651" s="303"/>
      <c r="U651" s="303"/>
      <c r="V651" s="303"/>
      <c r="W651" s="303"/>
      <c r="X651" s="303"/>
      <c r="Y651" s="303"/>
      <c r="Z651" s="532"/>
      <c r="AA651" s="530"/>
      <c r="AB651" s="525" t="str">
        <f t="shared" si="12"/>
        <v/>
      </c>
      <c r="AC651" s="525" t="str">
        <f t="shared" si="13"/>
        <v/>
      </c>
      <c r="AD651" s="525" t="str">
        <f t="shared" si="14"/>
        <v/>
      </c>
      <c r="AE651" s="525" t="str">
        <f t="shared" si="15"/>
        <v/>
      </c>
      <c r="AF651" s="525" t="str">
        <f t="shared" si="16"/>
        <v/>
      </c>
      <c r="AG651" s="525" t="str">
        <f t="shared" si="17"/>
        <v/>
      </c>
      <c r="AH651" s="525">
        <f>E652</f>
        <v>0</v>
      </c>
      <c r="AI651" s="525">
        <f>E653</f>
        <v>0</v>
      </c>
    </row>
    <row r="652" spans="1:35" x14ac:dyDescent="0.2">
      <c r="A652" s="531"/>
      <c r="B652" s="303"/>
      <c r="C652" s="303"/>
      <c r="D652" s="303"/>
      <c r="E652" s="303"/>
      <c r="F652" s="303"/>
      <c r="G652" s="303"/>
      <c r="H652" s="303"/>
      <c r="I652" s="303"/>
      <c r="J652" s="303"/>
      <c r="K652" s="303"/>
      <c r="L652" s="303"/>
      <c r="M652" s="303"/>
      <c r="N652" s="303"/>
      <c r="O652" s="303"/>
      <c r="P652" s="303"/>
      <c r="Q652" s="303"/>
      <c r="R652" s="303"/>
      <c r="S652" s="303"/>
      <c r="T652" s="303"/>
      <c r="U652" s="303"/>
      <c r="V652" s="303"/>
      <c r="W652" s="303"/>
      <c r="X652" s="303"/>
      <c r="Y652" s="303"/>
      <c r="Z652" s="532"/>
      <c r="AA652" s="530"/>
      <c r="AB652" s="525" t="str">
        <f t="shared" si="12"/>
        <v/>
      </c>
      <c r="AC652" s="525" t="str">
        <f t="shared" si="13"/>
        <v/>
      </c>
      <c r="AD652" s="525" t="str">
        <f t="shared" si="14"/>
        <v/>
      </c>
      <c r="AE652" s="525" t="str">
        <f t="shared" si="15"/>
        <v/>
      </c>
      <c r="AF652" s="525" t="str">
        <f t="shared" si="16"/>
        <v/>
      </c>
      <c r="AG652" s="525" t="str">
        <f t="shared" si="17"/>
        <v/>
      </c>
      <c r="AH652" s="525">
        <f>E652</f>
        <v>0</v>
      </c>
      <c r="AI652" s="525">
        <f>E653</f>
        <v>0</v>
      </c>
    </row>
    <row r="653" spans="1:35" x14ac:dyDescent="0.2">
      <c r="A653" s="531"/>
      <c r="B653" s="303"/>
      <c r="C653" s="303"/>
      <c r="D653" s="303"/>
      <c r="E653" s="303"/>
      <c r="F653" s="303"/>
      <c r="G653" s="303"/>
      <c r="H653" s="303"/>
      <c r="I653" s="303"/>
      <c r="J653" s="303"/>
      <c r="K653" s="303"/>
      <c r="L653" s="303"/>
      <c r="M653" s="303"/>
      <c r="N653" s="303"/>
      <c r="O653" s="303"/>
      <c r="P653" s="303"/>
      <c r="Q653" s="303"/>
      <c r="R653" s="303"/>
      <c r="S653" s="303"/>
      <c r="T653" s="303"/>
      <c r="U653" s="303"/>
      <c r="V653" s="303"/>
      <c r="W653" s="303"/>
      <c r="X653" s="303"/>
      <c r="Y653" s="303"/>
      <c r="Z653" s="532"/>
      <c r="AA653" s="530"/>
      <c r="AB653" s="525" t="str">
        <f t="shared" si="12"/>
        <v/>
      </c>
      <c r="AC653" s="525" t="str">
        <f t="shared" si="13"/>
        <v/>
      </c>
      <c r="AD653" s="525" t="str">
        <f t="shared" si="14"/>
        <v/>
      </c>
      <c r="AE653" s="525" t="str">
        <f t="shared" si="15"/>
        <v/>
      </c>
      <c r="AF653" s="525" t="str">
        <f t="shared" si="16"/>
        <v/>
      </c>
      <c r="AG653" s="525" t="str">
        <f t="shared" si="17"/>
        <v/>
      </c>
      <c r="AH653" s="525">
        <f>E652</f>
        <v>0</v>
      </c>
      <c r="AI653" s="525">
        <f>E653</f>
        <v>0</v>
      </c>
    </row>
    <row r="654" spans="1:35" x14ac:dyDescent="0.2">
      <c r="A654" s="531"/>
      <c r="B654" s="303"/>
      <c r="C654" s="303"/>
      <c r="D654" s="303"/>
      <c r="E654" s="303"/>
      <c r="F654" s="303"/>
      <c r="G654" s="303"/>
      <c r="H654" s="303"/>
      <c r="I654" s="303"/>
      <c r="J654" s="303"/>
      <c r="K654" s="303"/>
      <c r="L654" s="303"/>
      <c r="M654" s="303"/>
      <c r="N654" s="303"/>
      <c r="O654" s="303"/>
      <c r="P654" s="303"/>
      <c r="Q654" s="303"/>
      <c r="R654" s="303"/>
      <c r="S654" s="303"/>
      <c r="T654" s="303"/>
      <c r="U654" s="303"/>
      <c r="V654" s="303"/>
      <c r="W654" s="303"/>
      <c r="X654" s="303"/>
      <c r="Y654" s="303"/>
      <c r="Z654" s="532"/>
      <c r="AA654" s="530"/>
      <c r="AB654" s="525" t="str">
        <f t="shared" si="12"/>
        <v/>
      </c>
      <c r="AC654" s="525" t="str">
        <f t="shared" si="13"/>
        <v/>
      </c>
      <c r="AD654" s="525" t="str">
        <f t="shared" si="14"/>
        <v/>
      </c>
      <c r="AE654" s="525" t="str">
        <f t="shared" si="15"/>
        <v/>
      </c>
      <c r="AF654" s="525" t="str">
        <f t="shared" si="16"/>
        <v/>
      </c>
      <c r="AG654" s="525" t="str">
        <f t="shared" si="17"/>
        <v/>
      </c>
      <c r="AH654" s="525">
        <f>E655</f>
        <v>0</v>
      </c>
      <c r="AI654" s="525">
        <f>E656</f>
        <v>0</v>
      </c>
    </row>
    <row r="655" spans="1:35" x14ac:dyDescent="0.2">
      <c r="A655" s="531"/>
      <c r="B655" s="303"/>
      <c r="C655" s="303"/>
      <c r="D655" s="303"/>
      <c r="E655" s="303"/>
      <c r="F655" s="303"/>
      <c r="G655" s="303"/>
      <c r="H655" s="303"/>
      <c r="I655" s="303"/>
      <c r="J655" s="303"/>
      <c r="K655" s="303"/>
      <c r="L655" s="303"/>
      <c r="M655" s="303"/>
      <c r="N655" s="303"/>
      <c r="O655" s="303"/>
      <c r="P655" s="303"/>
      <c r="Q655" s="303"/>
      <c r="R655" s="303"/>
      <c r="S655" s="303"/>
      <c r="T655" s="303"/>
      <c r="U655" s="303"/>
      <c r="V655" s="303"/>
      <c r="W655" s="303"/>
      <c r="X655" s="303"/>
      <c r="Y655" s="303"/>
      <c r="Z655" s="532"/>
      <c r="AA655" s="530"/>
      <c r="AB655" s="525" t="str">
        <f t="shared" si="12"/>
        <v/>
      </c>
      <c r="AC655" s="525" t="str">
        <f t="shared" si="13"/>
        <v/>
      </c>
      <c r="AD655" s="525" t="str">
        <f t="shared" si="14"/>
        <v/>
      </c>
      <c r="AE655" s="525" t="str">
        <f t="shared" si="15"/>
        <v/>
      </c>
      <c r="AF655" s="525" t="str">
        <f t="shared" si="16"/>
        <v/>
      </c>
      <c r="AG655" s="525" t="str">
        <f t="shared" si="17"/>
        <v/>
      </c>
      <c r="AH655" s="525">
        <f>E655</f>
        <v>0</v>
      </c>
      <c r="AI655" s="525">
        <f>E656</f>
        <v>0</v>
      </c>
    </row>
    <row r="656" spans="1:35" x14ac:dyDescent="0.2">
      <c r="A656" s="531"/>
      <c r="B656" s="303"/>
      <c r="C656" s="303"/>
      <c r="D656" s="303"/>
      <c r="E656" s="303"/>
      <c r="F656" s="303"/>
      <c r="G656" s="303"/>
      <c r="H656" s="303"/>
      <c r="I656" s="303"/>
      <c r="J656" s="303"/>
      <c r="K656" s="303"/>
      <c r="L656" s="303"/>
      <c r="M656" s="303"/>
      <c r="N656" s="303"/>
      <c r="O656" s="303"/>
      <c r="P656" s="303"/>
      <c r="Q656" s="303"/>
      <c r="R656" s="303"/>
      <c r="S656" s="303"/>
      <c r="T656" s="303"/>
      <c r="U656" s="303"/>
      <c r="V656" s="303"/>
      <c r="W656" s="303"/>
      <c r="X656" s="303"/>
      <c r="Y656" s="303"/>
      <c r="Z656" s="532"/>
      <c r="AA656" s="530"/>
      <c r="AB656" s="525" t="str">
        <f t="shared" si="12"/>
        <v/>
      </c>
      <c r="AC656" s="525" t="str">
        <f t="shared" si="13"/>
        <v/>
      </c>
      <c r="AD656" s="525" t="str">
        <f t="shared" si="14"/>
        <v/>
      </c>
      <c r="AE656" s="525" t="str">
        <f t="shared" si="15"/>
        <v/>
      </c>
      <c r="AF656" s="525" t="str">
        <f t="shared" si="16"/>
        <v/>
      </c>
      <c r="AG656" s="525" t="str">
        <f t="shared" si="17"/>
        <v/>
      </c>
      <c r="AH656" s="525">
        <f>E655</f>
        <v>0</v>
      </c>
      <c r="AI656" s="525">
        <f>E656</f>
        <v>0</v>
      </c>
    </row>
    <row r="657" spans="1:35" x14ac:dyDescent="0.2">
      <c r="A657" s="531"/>
      <c r="B657" s="303"/>
      <c r="C657" s="303"/>
      <c r="D657" s="303"/>
      <c r="E657" s="303"/>
      <c r="F657" s="303"/>
      <c r="G657" s="303"/>
      <c r="H657" s="303"/>
      <c r="I657" s="303"/>
      <c r="J657" s="303"/>
      <c r="K657" s="303"/>
      <c r="L657" s="303"/>
      <c r="M657" s="303"/>
      <c r="N657" s="303"/>
      <c r="O657" s="303"/>
      <c r="P657" s="303"/>
      <c r="Q657" s="303"/>
      <c r="R657" s="303"/>
      <c r="S657" s="303"/>
      <c r="T657" s="303"/>
      <c r="U657" s="303"/>
      <c r="V657" s="303"/>
      <c r="W657" s="303"/>
      <c r="X657" s="303"/>
      <c r="Y657" s="303"/>
      <c r="Z657" s="532"/>
      <c r="AA657" s="530"/>
      <c r="AB657" s="525" t="str">
        <f t="shared" si="12"/>
        <v/>
      </c>
      <c r="AC657" s="525" t="str">
        <f t="shared" si="13"/>
        <v/>
      </c>
      <c r="AD657" s="525" t="str">
        <f t="shared" si="14"/>
        <v/>
      </c>
      <c r="AE657" s="525" t="str">
        <f t="shared" si="15"/>
        <v/>
      </c>
      <c r="AF657" s="525" t="str">
        <f t="shared" si="16"/>
        <v/>
      </c>
      <c r="AG657" s="525" t="str">
        <f t="shared" si="17"/>
        <v/>
      </c>
      <c r="AH657" s="525">
        <f>E658</f>
        <v>0</v>
      </c>
      <c r="AI657" s="525">
        <f>E659</f>
        <v>0</v>
      </c>
    </row>
    <row r="658" spans="1:35" x14ac:dyDescent="0.2">
      <c r="A658" s="531"/>
      <c r="B658" s="303"/>
      <c r="C658" s="303"/>
      <c r="D658" s="303"/>
      <c r="E658" s="303"/>
      <c r="F658" s="303"/>
      <c r="G658" s="303"/>
      <c r="H658" s="303"/>
      <c r="I658" s="303"/>
      <c r="J658" s="303"/>
      <c r="K658" s="303"/>
      <c r="L658" s="303"/>
      <c r="M658" s="303"/>
      <c r="N658" s="303"/>
      <c r="O658" s="303"/>
      <c r="P658" s="303"/>
      <c r="Q658" s="303"/>
      <c r="R658" s="303"/>
      <c r="S658" s="303"/>
      <c r="T658" s="303"/>
      <c r="U658" s="303"/>
      <c r="V658" s="303"/>
      <c r="W658" s="303"/>
      <c r="X658" s="303"/>
      <c r="Y658" s="303"/>
      <c r="Z658" s="532"/>
      <c r="AA658" s="530"/>
      <c r="AB658" s="525" t="str">
        <f t="shared" si="12"/>
        <v/>
      </c>
      <c r="AC658" s="525" t="str">
        <f t="shared" si="13"/>
        <v/>
      </c>
      <c r="AD658" s="525" t="str">
        <f t="shared" si="14"/>
        <v/>
      </c>
      <c r="AE658" s="525" t="str">
        <f t="shared" si="15"/>
        <v/>
      </c>
      <c r="AF658" s="525" t="str">
        <f t="shared" si="16"/>
        <v/>
      </c>
      <c r="AG658" s="525" t="str">
        <f t="shared" si="17"/>
        <v/>
      </c>
      <c r="AH658" s="525">
        <f>E658</f>
        <v>0</v>
      </c>
      <c r="AI658" s="525">
        <f>E659</f>
        <v>0</v>
      </c>
    </row>
    <row r="659" spans="1:35" x14ac:dyDescent="0.2">
      <c r="A659" s="531"/>
      <c r="B659" s="303"/>
      <c r="C659" s="303"/>
      <c r="D659" s="303"/>
      <c r="E659" s="303"/>
      <c r="F659" s="303"/>
      <c r="G659" s="303"/>
      <c r="H659" s="303"/>
      <c r="I659" s="303"/>
      <c r="J659" s="303"/>
      <c r="K659" s="303"/>
      <c r="L659" s="303"/>
      <c r="M659" s="303"/>
      <c r="N659" s="303"/>
      <c r="O659" s="303"/>
      <c r="P659" s="303"/>
      <c r="Q659" s="303"/>
      <c r="R659" s="303"/>
      <c r="S659" s="303"/>
      <c r="T659" s="303"/>
      <c r="U659" s="303"/>
      <c r="V659" s="303"/>
      <c r="W659" s="303"/>
      <c r="X659" s="303"/>
      <c r="Y659" s="303"/>
      <c r="Z659" s="532"/>
      <c r="AA659" s="530"/>
      <c r="AB659" s="525" t="str">
        <f t="shared" si="12"/>
        <v/>
      </c>
      <c r="AC659" s="525" t="str">
        <f t="shared" si="13"/>
        <v/>
      </c>
      <c r="AD659" s="525" t="str">
        <f t="shared" si="14"/>
        <v/>
      </c>
      <c r="AE659" s="525" t="str">
        <f t="shared" si="15"/>
        <v/>
      </c>
      <c r="AF659" s="525" t="str">
        <f t="shared" si="16"/>
        <v/>
      </c>
      <c r="AG659" s="525" t="str">
        <f t="shared" si="17"/>
        <v/>
      </c>
      <c r="AH659" s="525">
        <f>E658</f>
        <v>0</v>
      </c>
      <c r="AI659" s="525">
        <f>E659</f>
        <v>0</v>
      </c>
    </row>
    <row r="660" spans="1:35" x14ac:dyDescent="0.2">
      <c r="A660" s="531"/>
      <c r="B660" s="303"/>
      <c r="C660" s="303"/>
      <c r="D660" s="303"/>
      <c r="E660" s="303"/>
      <c r="F660" s="303"/>
      <c r="G660" s="303"/>
      <c r="H660" s="303"/>
      <c r="I660" s="303"/>
      <c r="J660" s="303"/>
      <c r="K660" s="303"/>
      <c r="L660" s="303"/>
      <c r="M660" s="303"/>
      <c r="N660" s="303"/>
      <c r="O660" s="303"/>
      <c r="P660" s="303"/>
      <c r="Q660" s="303"/>
      <c r="R660" s="303"/>
      <c r="S660" s="303"/>
      <c r="T660" s="303"/>
      <c r="U660" s="303"/>
      <c r="V660" s="303"/>
      <c r="W660" s="303"/>
      <c r="X660" s="303"/>
      <c r="Y660" s="303"/>
      <c r="Z660" s="532"/>
      <c r="AA660" s="530"/>
      <c r="AB660" s="525" t="str">
        <f t="shared" si="12"/>
        <v/>
      </c>
      <c r="AC660" s="525" t="str">
        <f t="shared" si="13"/>
        <v/>
      </c>
      <c r="AD660" s="525" t="str">
        <f t="shared" si="14"/>
        <v/>
      </c>
      <c r="AE660" s="525" t="str">
        <f t="shared" si="15"/>
        <v/>
      </c>
      <c r="AF660" s="525" t="str">
        <f t="shared" si="16"/>
        <v/>
      </c>
      <c r="AG660" s="525" t="str">
        <f t="shared" si="17"/>
        <v/>
      </c>
      <c r="AH660" s="525">
        <f>E661</f>
        <v>0</v>
      </c>
      <c r="AI660" s="525">
        <f>E662</f>
        <v>0</v>
      </c>
    </row>
    <row r="661" spans="1:35" x14ac:dyDescent="0.2">
      <c r="A661" s="531"/>
      <c r="B661" s="303"/>
      <c r="C661" s="303"/>
      <c r="D661" s="303"/>
      <c r="E661" s="303"/>
      <c r="F661" s="303"/>
      <c r="G661" s="303"/>
      <c r="H661" s="303"/>
      <c r="I661" s="303"/>
      <c r="J661" s="303"/>
      <c r="K661" s="303"/>
      <c r="L661" s="303"/>
      <c r="M661" s="303"/>
      <c r="N661" s="303"/>
      <c r="O661" s="303"/>
      <c r="P661" s="303"/>
      <c r="Q661" s="303"/>
      <c r="R661" s="303"/>
      <c r="S661" s="303"/>
      <c r="T661" s="303"/>
      <c r="U661" s="303"/>
      <c r="V661" s="303"/>
      <c r="W661" s="303"/>
      <c r="X661" s="303"/>
      <c r="Y661" s="303"/>
      <c r="Z661" s="532"/>
      <c r="AA661" s="530"/>
      <c r="AB661" s="525" t="str">
        <f t="shared" si="12"/>
        <v/>
      </c>
      <c r="AC661" s="525" t="str">
        <f t="shared" si="13"/>
        <v/>
      </c>
      <c r="AD661" s="525" t="str">
        <f t="shared" si="14"/>
        <v/>
      </c>
      <c r="AE661" s="525" t="str">
        <f t="shared" si="15"/>
        <v/>
      </c>
      <c r="AF661" s="525" t="str">
        <f t="shared" si="16"/>
        <v/>
      </c>
      <c r="AG661" s="525" t="str">
        <f t="shared" si="17"/>
        <v/>
      </c>
      <c r="AH661" s="525">
        <f>E661</f>
        <v>0</v>
      </c>
      <c r="AI661" s="525">
        <f>E662</f>
        <v>0</v>
      </c>
    </row>
    <row r="662" spans="1:35" x14ac:dyDescent="0.2">
      <c r="A662" s="531"/>
      <c r="B662" s="303"/>
      <c r="C662" s="303"/>
      <c r="D662" s="303"/>
      <c r="E662" s="303"/>
      <c r="F662" s="303"/>
      <c r="G662" s="303"/>
      <c r="H662" s="303"/>
      <c r="I662" s="303"/>
      <c r="J662" s="303"/>
      <c r="K662" s="303"/>
      <c r="L662" s="303"/>
      <c r="M662" s="303"/>
      <c r="N662" s="303"/>
      <c r="O662" s="303"/>
      <c r="P662" s="303"/>
      <c r="Q662" s="303"/>
      <c r="R662" s="303"/>
      <c r="S662" s="303"/>
      <c r="T662" s="303"/>
      <c r="U662" s="303"/>
      <c r="V662" s="303"/>
      <c r="W662" s="303"/>
      <c r="X662" s="303"/>
      <c r="Y662" s="303"/>
      <c r="Z662" s="532"/>
      <c r="AA662" s="530"/>
      <c r="AB662" s="525" t="str">
        <f t="shared" si="12"/>
        <v/>
      </c>
      <c r="AC662" s="525" t="str">
        <f t="shared" si="13"/>
        <v/>
      </c>
      <c r="AD662" s="525" t="str">
        <f t="shared" si="14"/>
        <v/>
      </c>
      <c r="AE662" s="525" t="str">
        <f t="shared" si="15"/>
        <v/>
      </c>
      <c r="AF662" s="525" t="str">
        <f t="shared" si="16"/>
        <v/>
      </c>
      <c r="AG662" s="525" t="str">
        <f t="shared" si="17"/>
        <v/>
      </c>
      <c r="AH662" s="525">
        <f>E661</f>
        <v>0</v>
      </c>
      <c r="AI662" s="525">
        <f>E662</f>
        <v>0</v>
      </c>
    </row>
    <row r="663" spans="1:35" x14ac:dyDescent="0.2">
      <c r="A663" s="531"/>
      <c r="B663" s="303"/>
      <c r="C663" s="303"/>
      <c r="D663" s="303"/>
      <c r="E663" s="303"/>
      <c r="F663" s="303"/>
      <c r="G663" s="303"/>
      <c r="H663" s="303"/>
      <c r="I663" s="303"/>
      <c r="J663" s="303"/>
      <c r="K663" s="303"/>
      <c r="L663" s="303"/>
      <c r="M663" s="303"/>
      <c r="N663" s="303"/>
      <c r="O663" s="303"/>
      <c r="P663" s="303"/>
      <c r="Q663" s="303"/>
      <c r="R663" s="303"/>
      <c r="S663" s="303"/>
      <c r="T663" s="303"/>
      <c r="U663" s="303"/>
      <c r="V663" s="303"/>
      <c r="W663" s="303"/>
      <c r="X663" s="303"/>
      <c r="Y663" s="303"/>
      <c r="Z663" s="532"/>
      <c r="AA663" s="530"/>
      <c r="AB663" s="525" t="str">
        <f t="shared" si="12"/>
        <v/>
      </c>
      <c r="AC663" s="525" t="str">
        <f t="shared" si="13"/>
        <v/>
      </c>
      <c r="AD663" s="525" t="str">
        <f t="shared" si="14"/>
        <v/>
      </c>
      <c r="AE663" s="525" t="str">
        <f t="shared" si="15"/>
        <v/>
      </c>
      <c r="AF663" s="525" t="str">
        <f t="shared" si="16"/>
        <v/>
      </c>
      <c r="AG663" s="525" t="str">
        <f t="shared" si="17"/>
        <v/>
      </c>
      <c r="AH663" s="525">
        <f>E664</f>
        <v>0</v>
      </c>
      <c r="AI663" s="525">
        <f>E665</f>
        <v>0</v>
      </c>
    </row>
    <row r="664" spans="1:35" x14ac:dyDescent="0.2">
      <c r="A664" s="531"/>
      <c r="B664" s="303"/>
      <c r="C664" s="303"/>
      <c r="D664" s="303"/>
      <c r="E664" s="303"/>
      <c r="F664" s="303"/>
      <c r="G664" s="303"/>
      <c r="H664" s="303"/>
      <c r="I664" s="303"/>
      <c r="J664" s="303"/>
      <c r="K664" s="303"/>
      <c r="L664" s="303"/>
      <c r="M664" s="303"/>
      <c r="N664" s="303"/>
      <c r="O664" s="303"/>
      <c r="P664" s="303"/>
      <c r="Q664" s="303"/>
      <c r="R664" s="303"/>
      <c r="S664" s="303"/>
      <c r="T664" s="303"/>
      <c r="U664" s="303"/>
      <c r="V664" s="303"/>
      <c r="W664" s="303"/>
      <c r="X664" s="303"/>
      <c r="Y664" s="303"/>
      <c r="Z664" s="532"/>
      <c r="AA664" s="530"/>
      <c r="AB664" s="525" t="str">
        <f t="shared" si="12"/>
        <v/>
      </c>
      <c r="AC664" s="525" t="str">
        <f t="shared" si="13"/>
        <v/>
      </c>
      <c r="AD664" s="525" t="str">
        <f t="shared" si="14"/>
        <v/>
      </c>
      <c r="AE664" s="525" t="str">
        <f t="shared" si="15"/>
        <v/>
      </c>
      <c r="AF664" s="525" t="str">
        <f t="shared" si="16"/>
        <v/>
      </c>
      <c r="AG664" s="525" t="str">
        <f t="shared" si="17"/>
        <v/>
      </c>
      <c r="AH664" s="525">
        <f>E664</f>
        <v>0</v>
      </c>
      <c r="AI664" s="525">
        <f>E665</f>
        <v>0</v>
      </c>
    </row>
    <row r="665" spans="1:35" x14ac:dyDescent="0.2">
      <c r="A665" s="531"/>
      <c r="B665" s="303"/>
      <c r="C665" s="303"/>
      <c r="D665" s="303"/>
      <c r="E665" s="303"/>
      <c r="F665" s="303"/>
      <c r="G665" s="303"/>
      <c r="H665" s="303"/>
      <c r="I665" s="303"/>
      <c r="J665" s="303"/>
      <c r="K665" s="303"/>
      <c r="L665" s="303"/>
      <c r="M665" s="303"/>
      <c r="N665" s="303"/>
      <c r="O665" s="303"/>
      <c r="P665" s="303"/>
      <c r="Q665" s="303"/>
      <c r="R665" s="303"/>
      <c r="S665" s="303"/>
      <c r="T665" s="303"/>
      <c r="U665" s="303"/>
      <c r="V665" s="303"/>
      <c r="W665" s="303"/>
      <c r="X665" s="303"/>
      <c r="Y665" s="303"/>
      <c r="Z665" s="532"/>
      <c r="AA665" s="530"/>
      <c r="AB665" s="525" t="str">
        <f t="shared" si="12"/>
        <v/>
      </c>
      <c r="AC665" s="525" t="str">
        <f t="shared" si="13"/>
        <v/>
      </c>
      <c r="AD665" s="525" t="str">
        <f t="shared" si="14"/>
        <v/>
      </c>
      <c r="AE665" s="525" t="str">
        <f t="shared" si="15"/>
        <v/>
      </c>
      <c r="AF665" s="525" t="str">
        <f t="shared" si="16"/>
        <v/>
      </c>
      <c r="AG665" s="525" t="str">
        <f t="shared" si="17"/>
        <v/>
      </c>
      <c r="AH665" s="525">
        <f>E664</f>
        <v>0</v>
      </c>
      <c r="AI665" s="525">
        <f>E665</f>
        <v>0</v>
      </c>
    </row>
    <row r="666" spans="1:35" x14ac:dyDescent="0.2">
      <c r="A666" s="531"/>
      <c r="B666" s="303"/>
      <c r="C666" s="303"/>
      <c r="D666" s="303"/>
      <c r="E666" s="303"/>
      <c r="F666" s="303"/>
      <c r="G666" s="303"/>
      <c r="H666" s="303"/>
      <c r="I666" s="303"/>
      <c r="J666" s="303"/>
      <c r="K666" s="303"/>
      <c r="L666" s="303"/>
      <c r="M666" s="303"/>
      <c r="N666" s="303"/>
      <c r="O666" s="303"/>
      <c r="P666" s="303"/>
      <c r="Q666" s="303"/>
      <c r="R666" s="303"/>
      <c r="S666" s="303"/>
      <c r="T666" s="303"/>
      <c r="U666" s="303"/>
      <c r="V666" s="303"/>
      <c r="W666" s="303"/>
      <c r="X666" s="303"/>
      <c r="Y666" s="303"/>
      <c r="Z666" s="532"/>
      <c r="AA666" s="530"/>
      <c r="AB666" s="525" t="str">
        <f t="shared" si="12"/>
        <v/>
      </c>
      <c r="AC666" s="525" t="str">
        <f t="shared" si="13"/>
        <v/>
      </c>
      <c r="AD666" s="525" t="str">
        <f t="shared" si="14"/>
        <v/>
      </c>
      <c r="AE666" s="525" t="str">
        <f t="shared" si="15"/>
        <v/>
      </c>
      <c r="AF666" s="525" t="str">
        <f t="shared" si="16"/>
        <v/>
      </c>
      <c r="AG666" s="525" t="str">
        <f t="shared" si="17"/>
        <v/>
      </c>
      <c r="AH666" s="525">
        <f>E667</f>
        <v>0</v>
      </c>
      <c r="AI666" s="525">
        <f>E668</f>
        <v>0</v>
      </c>
    </row>
    <row r="667" spans="1:35" x14ac:dyDescent="0.2">
      <c r="A667" s="531"/>
      <c r="B667" s="303"/>
      <c r="C667" s="303"/>
      <c r="D667" s="303"/>
      <c r="E667" s="303"/>
      <c r="F667" s="303"/>
      <c r="G667" s="303"/>
      <c r="H667" s="303"/>
      <c r="I667" s="303"/>
      <c r="J667" s="303"/>
      <c r="K667" s="303"/>
      <c r="L667" s="303"/>
      <c r="M667" s="303"/>
      <c r="N667" s="303"/>
      <c r="O667" s="303"/>
      <c r="P667" s="303"/>
      <c r="Q667" s="303"/>
      <c r="R667" s="303"/>
      <c r="S667" s="303"/>
      <c r="T667" s="303"/>
      <c r="U667" s="303"/>
      <c r="V667" s="303"/>
      <c r="W667" s="303"/>
      <c r="X667" s="303"/>
      <c r="Y667" s="303"/>
      <c r="Z667" s="532"/>
      <c r="AA667" s="530"/>
      <c r="AB667" s="525" t="str">
        <f t="shared" si="12"/>
        <v/>
      </c>
      <c r="AC667" s="525" t="str">
        <f t="shared" si="13"/>
        <v/>
      </c>
      <c r="AD667" s="525" t="str">
        <f t="shared" si="14"/>
        <v/>
      </c>
      <c r="AE667" s="525" t="str">
        <f t="shared" si="15"/>
        <v/>
      </c>
      <c r="AF667" s="525" t="str">
        <f t="shared" si="16"/>
        <v/>
      </c>
      <c r="AG667" s="525" t="str">
        <f t="shared" si="17"/>
        <v/>
      </c>
      <c r="AH667" s="525">
        <f>E667</f>
        <v>0</v>
      </c>
      <c r="AI667" s="525">
        <f>E668</f>
        <v>0</v>
      </c>
    </row>
    <row r="668" spans="1:35" x14ac:dyDescent="0.2">
      <c r="A668" s="531"/>
      <c r="B668" s="303"/>
      <c r="C668" s="303"/>
      <c r="D668" s="303"/>
      <c r="E668" s="303"/>
      <c r="F668" s="303"/>
      <c r="G668" s="303"/>
      <c r="H668" s="303"/>
      <c r="I668" s="303"/>
      <c r="J668" s="303"/>
      <c r="K668" s="303"/>
      <c r="L668" s="303"/>
      <c r="M668" s="303"/>
      <c r="N668" s="303"/>
      <c r="O668" s="303"/>
      <c r="P668" s="303"/>
      <c r="Q668" s="303"/>
      <c r="R668" s="303"/>
      <c r="S668" s="303"/>
      <c r="T668" s="303"/>
      <c r="U668" s="303"/>
      <c r="V668" s="303"/>
      <c r="W668" s="303"/>
      <c r="X668" s="303"/>
      <c r="Y668" s="303"/>
      <c r="Z668" s="532"/>
      <c r="AA668" s="530"/>
      <c r="AB668" s="525" t="str">
        <f t="shared" si="12"/>
        <v/>
      </c>
      <c r="AC668" s="525" t="str">
        <f t="shared" si="13"/>
        <v/>
      </c>
      <c r="AD668" s="525" t="str">
        <f t="shared" si="14"/>
        <v/>
      </c>
      <c r="AE668" s="525" t="str">
        <f t="shared" si="15"/>
        <v/>
      </c>
      <c r="AF668" s="525" t="str">
        <f t="shared" si="16"/>
        <v/>
      </c>
      <c r="AG668" s="525" t="str">
        <f t="shared" si="17"/>
        <v/>
      </c>
      <c r="AH668" s="525">
        <f>E667</f>
        <v>0</v>
      </c>
      <c r="AI668" s="525">
        <f>E668</f>
        <v>0</v>
      </c>
    </row>
    <row r="669" spans="1:35" x14ac:dyDescent="0.2">
      <c r="A669" s="531"/>
      <c r="B669" s="303"/>
      <c r="C669" s="303"/>
      <c r="D669" s="303"/>
      <c r="E669" s="303"/>
      <c r="F669" s="303"/>
      <c r="G669" s="303"/>
      <c r="H669" s="303"/>
      <c r="I669" s="303"/>
      <c r="J669" s="303"/>
      <c r="K669" s="303"/>
      <c r="L669" s="303"/>
      <c r="M669" s="303"/>
      <c r="N669" s="303"/>
      <c r="O669" s="303"/>
      <c r="P669" s="303"/>
      <c r="Q669" s="303"/>
      <c r="R669" s="303"/>
      <c r="S669" s="303"/>
      <c r="T669" s="303"/>
      <c r="U669" s="303"/>
      <c r="V669" s="303"/>
      <c r="W669" s="303"/>
      <c r="X669" s="303"/>
      <c r="Y669" s="303"/>
      <c r="Z669" s="532"/>
      <c r="AA669" s="530"/>
      <c r="AB669" s="525" t="str">
        <f t="shared" si="12"/>
        <v/>
      </c>
      <c r="AC669" s="525" t="str">
        <f t="shared" si="13"/>
        <v/>
      </c>
      <c r="AD669" s="525" t="str">
        <f t="shared" si="14"/>
        <v/>
      </c>
      <c r="AE669" s="525" t="str">
        <f t="shared" si="15"/>
        <v/>
      </c>
      <c r="AF669" s="525" t="str">
        <f t="shared" si="16"/>
        <v/>
      </c>
      <c r="AG669" s="525" t="str">
        <f t="shared" si="17"/>
        <v/>
      </c>
      <c r="AH669" s="525">
        <f>E670</f>
        <v>0</v>
      </c>
      <c r="AI669" s="525">
        <f>E671</f>
        <v>0</v>
      </c>
    </row>
    <row r="670" spans="1:35" x14ac:dyDescent="0.2">
      <c r="A670" s="531"/>
      <c r="B670" s="303"/>
      <c r="C670" s="303"/>
      <c r="D670" s="303"/>
      <c r="E670" s="303"/>
      <c r="F670" s="303"/>
      <c r="G670" s="303"/>
      <c r="H670" s="303"/>
      <c r="I670" s="303"/>
      <c r="J670" s="303"/>
      <c r="K670" s="303"/>
      <c r="L670" s="303"/>
      <c r="M670" s="303"/>
      <c r="N670" s="303"/>
      <c r="O670" s="303"/>
      <c r="P670" s="303"/>
      <c r="Q670" s="303"/>
      <c r="R670" s="303"/>
      <c r="S670" s="303"/>
      <c r="T670" s="303"/>
      <c r="U670" s="303"/>
      <c r="V670" s="303"/>
      <c r="W670" s="303"/>
      <c r="X670" s="303"/>
      <c r="Y670" s="303"/>
      <c r="Z670" s="532"/>
      <c r="AA670" s="530"/>
      <c r="AB670" s="525" t="str">
        <f t="shared" si="12"/>
        <v/>
      </c>
      <c r="AC670" s="525" t="str">
        <f t="shared" si="13"/>
        <v/>
      </c>
      <c r="AD670" s="525" t="str">
        <f t="shared" si="14"/>
        <v/>
      </c>
      <c r="AE670" s="525" t="str">
        <f t="shared" si="15"/>
        <v/>
      </c>
      <c r="AF670" s="525" t="str">
        <f t="shared" si="16"/>
        <v/>
      </c>
      <c r="AG670" s="525" t="str">
        <f t="shared" si="17"/>
        <v/>
      </c>
      <c r="AH670" s="525">
        <f>E670</f>
        <v>0</v>
      </c>
      <c r="AI670" s="525">
        <f>E671</f>
        <v>0</v>
      </c>
    </row>
    <row r="671" spans="1:35" x14ac:dyDescent="0.2">
      <c r="A671" s="531"/>
      <c r="B671" s="303"/>
      <c r="C671" s="303"/>
      <c r="D671" s="303"/>
      <c r="E671" s="303"/>
      <c r="F671" s="303"/>
      <c r="G671" s="303"/>
      <c r="H671" s="303"/>
      <c r="I671" s="303"/>
      <c r="J671" s="303"/>
      <c r="K671" s="303"/>
      <c r="L671" s="303"/>
      <c r="M671" s="303"/>
      <c r="N671" s="303"/>
      <c r="O671" s="303"/>
      <c r="P671" s="303"/>
      <c r="Q671" s="303"/>
      <c r="R671" s="303"/>
      <c r="S671" s="303"/>
      <c r="T671" s="303"/>
      <c r="U671" s="303"/>
      <c r="V671" s="303"/>
      <c r="W671" s="303"/>
      <c r="X671" s="303"/>
      <c r="Y671" s="303"/>
      <c r="Z671" s="532"/>
      <c r="AA671" s="530"/>
      <c r="AB671" s="525" t="str">
        <f t="shared" si="12"/>
        <v/>
      </c>
      <c r="AC671" s="525" t="str">
        <f t="shared" si="13"/>
        <v/>
      </c>
      <c r="AD671" s="525" t="str">
        <f t="shared" si="14"/>
        <v/>
      </c>
      <c r="AE671" s="525" t="str">
        <f t="shared" si="15"/>
        <v/>
      </c>
      <c r="AF671" s="525" t="str">
        <f t="shared" si="16"/>
        <v/>
      </c>
      <c r="AG671" s="525" t="str">
        <f t="shared" si="17"/>
        <v/>
      </c>
      <c r="AH671" s="525">
        <f>E670</f>
        <v>0</v>
      </c>
      <c r="AI671" s="525">
        <f>E671</f>
        <v>0</v>
      </c>
    </row>
    <row r="672" spans="1:35" x14ac:dyDescent="0.2">
      <c r="A672" s="531"/>
      <c r="B672" s="303"/>
      <c r="C672" s="303"/>
      <c r="D672" s="303"/>
      <c r="E672" s="303"/>
      <c r="F672" s="303"/>
      <c r="G672" s="303"/>
      <c r="H672" s="303"/>
      <c r="I672" s="303"/>
      <c r="J672" s="303"/>
      <c r="K672" s="303"/>
      <c r="L672" s="303"/>
      <c r="M672" s="303"/>
      <c r="N672" s="303"/>
      <c r="O672" s="303"/>
      <c r="P672" s="303"/>
      <c r="Q672" s="303"/>
      <c r="R672" s="303"/>
      <c r="S672" s="303"/>
      <c r="T672" s="303"/>
      <c r="U672" s="303"/>
      <c r="V672" s="303"/>
      <c r="W672" s="303"/>
      <c r="X672" s="303"/>
      <c r="Y672" s="303"/>
      <c r="Z672" s="532"/>
      <c r="AA672" s="530"/>
      <c r="AB672" s="525" t="str">
        <f t="shared" si="12"/>
        <v/>
      </c>
      <c r="AC672" s="525" t="str">
        <f t="shared" si="13"/>
        <v/>
      </c>
      <c r="AD672" s="525" t="str">
        <f t="shared" si="14"/>
        <v/>
      </c>
      <c r="AE672" s="525" t="str">
        <f t="shared" si="15"/>
        <v/>
      </c>
      <c r="AF672" s="525" t="str">
        <f t="shared" si="16"/>
        <v/>
      </c>
      <c r="AG672" s="525" t="str">
        <f t="shared" si="17"/>
        <v/>
      </c>
      <c r="AH672" s="525">
        <f>E673</f>
        <v>0</v>
      </c>
      <c r="AI672" s="525">
        <f>E674</f>
        <v>0</v>
      </c>
    </row>
    <row r="673" spans="1:35" x14ac:dyDescent="0.2">
      <c r="A673" s="531"/>
      <c r="B673" s="303"/>
      <c r="C673" s="303"/>
      <c r="D673" s="303"/>
      <c r="E673" s="303"/>
      <c r="F673" s="303"/>
      <c r="G673" s="303"/>
      <c r="H673" s="303"/>
      <c r="I673" s="303"/>
      <c r="J673" s="303"/>
      <c r="K673" s="303"/>
      <c r="L673" s="303"/>
      <c r="M673" s="303"/>
      <c r="N673" s="303"/>
      <c r="O673" s="303"/>
      <c r="P673" s="303"/>
      <c r="Q673" s="303"/>
      <c r="R673" s="303"/>
      <c r="S673" s="303"/>
      <c r="T673" s="303"/>
      <c r="U673" s="303"/>
      <c r="V673" s="303"/>
      <c r="W673" s="303"/>
      <c r="X673" s="303"/>
      <c r="Y673" s="303"/>
      <c r="Z673" s="532"/>
      <c r="AA673" s="530"/>
      <c r="AB673" s="525" t="str">
        <f t="shared" si="12"/>
        <v/>
      </c>
      <c r="AC673" s="525" t="str">
        <f t="shared" si="13"/>
        <v/>
      </c>
      <c r="AD673" s="525" t="str">
        <f t="shared" si="14"/>
        <v/>
      </c>
      <c r="AE673" s="525" t="str">
        <f t="shared" si="15"/>
        <v/>
      </c>
      <c r="AF673" s="525" t="str">
        <f t="shared" si="16"/>
        <v/>
      </c>
      <c r="AG673" s="525" t="str">
        <f t="shared" si="17"/>
        <v/>
      </c>
      <c r="AH673" s="525">
        <f>E673</f>
        <v>0</v>
      </c>
      <c r="AI673" s="525">
        <f>E674</f>
        <v>0</v>
      </c>
    </row>
    <row r="674" spans="1:35" x14ac:dyDescent="0.2">
      <c r="A674" s="531"/>
      <c r="B674" s="303"/>
      <c r="C674" s="303"/>
      <c r="D674" s="303"/>
      <c r="E674" s="303"/>
      <c r="F674" s="303"/>
      <c r="G674" s="303"/>
      <c r="H674" s="303"/>
      <c r="I674" s="303"/>
      <c r="J674" s="303"/>
      <c r="K674" s="303"/>
      <c r="L674" s="303"/>
      <c r="M674" s="303"/>
      <c r="N674" s="303"/>
      <c r="O674" s="303"/>
      <c r="P674" s="303"/>
      <c r="Q674" s="303"/>
      <c r="R674" s="303"/>
      <c r="S674" s="303"/>
      <c r="T674" s="303"/>
      <c r="U674" s="303"/>
      <c r="V674" s="303"/>
      <c r="W674" s="303"/>
      <c r="X674" s="303"/>
      <c r="Y674" s="303"/>
      <c r="Z674" s="532"/>
      <c r="AA674" s="530"/>
      <c r="AB674" s="525" t="str">
        <f t="shared" si="12"/>
        <v/>
      </c>
      <c r="AC674" s="525" t="str">
        <f t="shared" si="13"/>
        <v/>
      </c>
      <c r="AD674" s="525" t="str">
        <f t="shared" si="14"/>
        <v/>
      </c>
      <c r="AE674" s="525" t="str">
        <f t="shared" si="15"/>
        <v/>
      </c>
      <c r="AF674" s="525" t="str">
        <f t="shared" si="16"/>
        <v/>
      </c>
      <c r="AG674" s="525" t="str">
        <f t="shared" si="17"/>
        <v/>
      </c>
      <c r="AH674" s="525">
        <f>E673</f>
        <v>0</v>
      </c>
      <c r="AI674" s="525">
        <f>E674</f>
        <v>0</v>
      </c>
    </row>
    <row r="675" spans="1:35" x14ac:dyDescent="0.2">
      <c r="A675" s="531"/>
      <c r="B675" s="303"/>
      <c r="C675" s="303"/>
      <c r="D675" s="303"/>
      <c r="E675" s="303"/>
      <c r="F675" s="303"/>
      <c r="G675" s="303"/>
      <c r="H675" s="303"/>
      <c r="I675" s="303"/>
      <c r="J675" s="303"/>
      <c r="K675" s="303"/>
      <c r="L675" s="303"/>
      <c r="M675" s="303"/>
      <c r="N675" s="303"/>
      <c r="O675" s="303"/>
      <c r="P675" s="303"/>
      <c r="Q675" s="303"/>
      <c r="R675" s="303"/>
      <c r="S675" s="303"/>
      <c r="T675" s="303"/>
      <c r="U675" s="303"/>
      <c r="V675" s="303"/>
      <c r="W675" s="303"/>
      <c r="X675" s="303"/>
      <c r="Y675" s="303"/>
      <c r="Z675" s="532"/>
      <c r="AA675" s="530"/>
      <c r="AB675" s="525" t="str">
        <f t="shared" si="12"/>
        <v/>
      </c>
      <c r="AC675" s="525" t="str">
        <f t="shared" si="13"/>
        <v/>
      </c>
      <c r="AD675" s="525" t="str">
        <f t="shared" si="14"/>
        <v/>
      </c>
      <c r="AE675" s="525" t="str">
        <f t="shared" si="15"/>
        <v/>
      </c>
      <c r="AF675" s="525" t="str">
        <f t="shared" si="16"/>
        <v/>
      </c>
      <c r="AG675" s="525" t="str">
        <f t="shared" si="17"/>
        <v/>
      </c>
      <c r="AH675" s="525">
        <f>E676</f>
        <v>0</v>
      </c>
      <c r="AI675" s="525">
        <f>E677</f>
        <v>0</v>
      </c>
    </row>
    <row r="676" spans="1:35" x14ac:dyDescent="0.2">
      <c r="A676" s="531"/>
      <c r="B676" s="303"/>
      <c r="C676" s="303"/>
      <c r="D676" s="303"/>
      <c r="E676" s="303"/>
      <c r="F676" s="303"/>
      <c r="G676" s="303"/>
      <c r="H676" s="303"/>
      <c r="I676" s="303"/>
      <c r="J676" s="303"/>
      <c r="K676" s="303"/>
      <c r="L676" s="303"/>
      <c r="M676" s="303"/>
      <c r="N676" s="303"/>
      <c r="O676" s="303"/>
      <c r="P676" s="303"/>
      <c r="Q676" s="303"/>
      <c r="R676" s="303"/>
      <c r="S676" s="303"/>
      <c r="T676" s="303"/>
      <c r="U676" s="303"/>
      <c r="V676" s="303"/>
      <c r="W676" s="303"/>
      <c r="X676" s="303"/>
      <c r="Y676" s="303"/>
      <c r="Z676" s="532"/>
      <c r="AA676" s="530"/>
      <c r="AB676" s="525" t="str">
        <f t="shared" si="12"/>
        <v/>
      </c>
      <c r="AC676" s="525" t="str">
        <f t="shared" si="13"/>
        <v/>
      </c>
      <c r="AD676" s="525" t="str">
        <f t="shared" si="14"/>
        <v/>
      </c>
      <c r="AE676" s="525" t="str">
        <f t="shared" si="15"/>
        <v/>
      </c>
      <c r="AF676" s="525" t="str">
        <f t="shared" si="16"/>
        <v/>
      </c>
      <c r="AG676" s="525" t="str">
        <f t="shared" si="17"/>
        <v/>
      </c>
      <c r="AH676" s="525">
        <f>E676</f>
        <v>0</v>
      </c>
      <c r="AI676" s="525">
        <f>E677</f>
        <v>0</v>
      </c>
    </row>
    <row r="677" spans="1:35" x14ac:dyDescent="0.2">
      <c r="A677" s="531"/>
      <c r="B677" s="303"/>
      <c r="C677" s="303"/>
      <c r="D677" s="303"/>
      <c r="E677" s="303"/>
      <c r="F677" s="303"/>
      <c r="G677" s="303"/>
      <c r="H677" s="303"/>
      <c r="I677" s="303"/>
      <c r="J677" s="303"/>
      <c r="K677" s="303"/>
      <c r="L677" s="303"/>
      <c r="M677" s="303"/>
      <c r="N677" s="303"/>
      <c r="O677" s="303"/>
      <c r="P677" s="303"/>
      <c r="Q677" s="303"/>
      <c r="R677" s="303"/>
      <c r="S677" s="303"/>
      <c r="T677" s="303"/>
      <c r="U677" s="303"/>
      <c r="V677" s="303"/>
      <c r="W677" s="303"/>
      <c r="X677" s="303"/>
      <c r="Y677" s="303"/>
      <c r="Z677" s="532"/>
      <c r="AA677" s="530"/>
      <c r="AB677" s="525" t="str">
        <f t="shared" si="12"/>
        <v/>
      </c>
      <c r="AC677" s="525" t="str">
        <f t="shared" si="13"/>
        <v/>
      </c>
      <c r="AD677" s="525" t="str">
        <f t="shared" si="14"/>
        <v/>
      </c>
      <c r="AE677" s="525" t="str">
        <f t="shared" si="15"/>
        <v/>
      </c>
      <c r="AF677" s="525" t="str">
        <f t="shared" si="16"/>
        <v/>
      </c>
      <c r="AG677" s="525" t="str">
        <f t="shared" si="17"/>
        <v/>
      </c>
      <c r="AH677" s="525">
        <f>E676</f>
        <v>0</v>
      </c>
      <c r="AI677" s="525">
        <f>E677</f>
        <v>0</v>
      </c>
    </row>
    <row r="678" spans="1:35" x14ac:dyDescent="0.2">
      <c r="A678" s="531"/>
      <c r="B678" s="303"/>
      <c r="C678" s="303"/>
      <c r="D678" s="303"/>
      <c r="E678" s="303"/>
      <c r="F678" s="303"/>
      <c r="G678" s="303"/>
      <c r="H678" s="303"/>
      <c r="I678" s="303"/>
      <c r="J678" s="303"/>
      <c r="K678" s="303"/>
      <c r="L678" s="303"/>
      <c r="M678" s="303"/>
      <c r="N678" s="303"/>
      <c r="O678" s="303"/>
      <c r="P678" s="303"/>
      <c r="Q678" s="303"/>
      <c r="R678" s="303"/>
      <c r="S678" s="303"/>
      <c r="T678" s="303"/>
      <c r="U678" s="303"/>
      <c r="V678" s="303"/>
      <c r="W678" s="303"/>
      <c r="X678" s="303"/>
      <c r="Y678" s="303"/>
      <c r="Z678" s="532"/>
      <c r="AA678" s="530"/>
      <c r="AB678" s="525" t="str">
        <f t="shared" si="12"/>
        <v/>
      </c>
      <c r="AC678" s="525" t="str">
        <f t="shared" si="13"/>
        <v/>
      </c>
      <c r="AD678" s="525" t="str">
        <f t="shared" si="14"/>
        <v/>
      </c>
      <c r="AE678" s="525" t="str">
        <f t="shared" si="15"/>
        <v/>
      </c>
      <c r="AF678" s="525" t="str">
        <f t="shared" si="16"/>
        <v/>
      </c>
      <c r="AG678" s="525" t="str">
        <f t="shared" si="17"/>
        <v/>
      </c>
      <c r="AH678" s="525">
        <f>E679</f>
        <v>0</v>
      </c>
      <c r="AI678" s="525">
        <f>E680</f>
        <v>0</v>
      </c>
    </row>
    <row r="679" spans="1:35" x14ac:dyDescent="0.2">
      <c r="A679" s="531"/>
      <c r="B679" s="303"/>
      <c r="C679" s="303"/>
      <c r="D679" s="303"/>
      <c r="E679" s="303"/>
      <c r="F679" s="303"/>
      <c r="G679" s="303"/>
      <c r="H679" s="303"/>
      <c r="I679" s="303"/>
      <c r="J679" s="303"/>
      <c r="K679" s="303"/>
      <c r="L679" s="303"/>
      <c r="M679" s="303"/>
      <c r="N679" s="303"/>
      <c r="O679" s="303"/>
      <c r="P679" s="303"/>
      <c r="Q679" s="303"/>
      <c r="R679" s="303"/>
      <c r="S679" s="303"/>
      <c r="T679" s="303"/>
      <c r="U679" s="303"/>
      <c r="V679" s="303"/>
      <c r="W679" s="303"/>
      <c r="X679" s="303"/>
      <c r="Y679" s="303"/>
      <c r="Z679" s="532"/>
      <c r="AA679" s="530"/>
      <c r="AB679" s="525" t="str">
        <f t="shared" si="12"/>
        <v/>
      </c>
      <c r="AC679" s="525" t="str">
        <f t="shared" si="13"/>
        <v/>
      </c>
      <c r="AD679" s="525" t="str">
        <f t="shared" si="14"/>
        <v/>
      </c>
      <c r="AE679" s="525" t="str">
        <f t="shared" si="15"/>
        <v/>
      </c>
      <c r="AF679" s="525" t="str">
        <f t="shared" si="16"/>
        <v/>
      </c>
      <c r="AG679" s="525" t="str">
        <f t="shared" si="17"/>
        <v/>
      </c>
      <c r="AH679" s="525">
        <f>E679</f>
        <v>0</v>
      </c>
      <c r="AI679" s="525">
        <f>E680</f>
        <v>0</v>
      </c>
    </row>
    <row r="680" spans="1:35" x14ac:dyDescent="0.2">
      <c r="A680" s="531"/>
      <c r="B680" s="303"/>
      <c r="C680" s="303"/>
      <c r="D680" s="303"/>
      <c r="E680" s="303"/>
      <c r="F680" s="303"/>
      <c r="G680" s="303"/>
      <c r="H680" s="303"/>
      <c r="I680" s="303"/>
      <c r="J680" s="303"/>
      <c r="K680" s="303"/>
      <c r="L680" s="303"/>
      <c r="M680" s="303"/>
      <c r="N680" s="303"/>
      <c r="O680" s="303"/>
      <c r="P680" s="303"/>
      <c r="Q680" s="303"/>
      <c r="R680" s="303"/>
      <c r="S680" s="303"/>
      <c r="T680" s="303"/>
      <c r="U680" s="303"/>
      <c r="V680" s="303"/>
      <c r="W680" s="303"/>
      <c r="X680" s="303"/>
      <c r="Y680" s="303"/>
      <c r="Z680" s="532"/>
      <c r="AA680" s="530"/>
      <c r="AB680" s="525" t="str">
        <f t="shared" si="12"/>
        <v/>
      </c>
      <c r="AC680" s="525" t="str">
        <f t="shared" si="13"/>
        <v/>
      </c>
      <c r="AD680" s="525" t="str">
        <f t="shared" si="14"/>
        <v/>
      </c>
      <c r="AE680" s="525" t="str">
        <f t="shared" si="15"/>
        <v/>
      </c>
      <c r="AF680" s="525" t="str">
        <f t="shared" si="16"/>
        <v/>
      </c>
      <c r="AG680" s="525" t="str">
        <f t="shared" si="17"/>
        <v/>
      </c>
      <c r="AH680" s="525">
        <f>E679</f>
        <v>0</v>
      </c>
      <c r="AI680" s="525">
        <f>E680</f>
        <v>0</v>
      </c>
    </row>
    <row r="681" spans="1:35" x14ac:dyDescent="0.2">
      <c r="A681" s="531"/>
      <c r="B681" s="303"/>
      <c r="C681" s="303"/>
      <c r="D681" s="303"/>
      <c r="E681" s="303"/>
      <c r="F681" s="303"/>
      <c r="G681" s="303"/>
      <c r="H681" s="303"/>
      <c r="I681" s="303"/>
      <c r="J681" s="303"/>
      <c r="K681" s="303"/>
      <c r="L681" s="303"/>
      <c r="M681" s="303"/>
      <c r="N681" s="303"/>
      <c r="O681" s="303"/>
      <c r="P681" s="303"/>
      <c r="Q681" s="303"/>
      <c r="R681" s="303"/>
      <c r="S681" s="303"/>
      <c r="T681" s="303"/>
      <c r="U681" s="303"/>
      <c r="V681" s="303"/>
      <c r="W681" s="303"/>
      <c r="X681" s="303"/>
      <c r="Y681" s="303"/>
      <c r="Z681" s="532"/>
      <c r="AA681" s="530"/>
      <c r="AB681" s="525" t="str">
        <f t="shared" si="12"/>
        <v/>
      </c>
      <c r="AC681" s="525" t="str">
        <f t="shared" si="13"/>
        <v/>
      </c>
      <c r="AD681" s="525" t="str">
        <f t="shared" si="14"/>
        <v/>
      </c>
      <c r="AE681" s="525" t="str">
        <f t="shared" si="15"/>
        <v/>
      </c>
      <c r="AF681" s="525" t="str">
        <f t="shared" si="16"/>
        <v/>
      </c>
      <c r="AG681" s="525" t="str">
        <f t="shared" si="17"/>
        <v/>
      </c>
      <c r="AH681" s="525">
        <f>E682</f>
        <v>0</v>
      </c>
      <c r="AI681" s="525">
        <f>E683</f>
        <v>0</v>
      </c>
    </row>
    <row r="682" spans="1:35" x14ac:dyDescent="0.2">
      <c r="A682" s="531"/>
      <c r="B682" s="303"/>
      <c r="C682" s="303"/>
      <c r="D682" s="303"/>
      <c r="E682" s="303"/>
      <c r="F682" s="303"/>
      <c r="G682" s="303"/>
      <c r="H682" s="303"/>
      <c r="I682" s="303"/>
      <c r="J682" s="303"/>
      <c r="K682" s="303"/>
      <c r="L682" s="303"/>
      <c r="M682" s="303"/>
      <c r="N682" s="303"/>
      <c r="O682" s="303"/>
      <c r="P682" s="303"/>
      <c r="Q682" s="303"/>
      <c r="R682" s="303"/>
      <c r="S682" s="303"/>
      <c r="T682" s="303"/>
      <c r="U682" s="303"/>
      <c r="V682" s="303"/>
      <c r="W682" s="303"/>
      <c r="X682" s="303"/>
      <c r="Y682" s="303"/>
      <c r="Z682" s="532"/>
      <c r="AA682" s="530"/>
      <c r="AB682" s="525" t="str">
        <f t="shared" si="12"/>
        <v/>
      </c>
      <c r="AC682" s="525" t="str">
        <f t="shared" si="13"/>
        <v/>
      </c>
      <c r="AD682" s="525" t="str">
        <f t="shared" si="14"/>
        <v/>
      </c>
      <c r="AE682" s="525" t="str">
        <f t="shared" si="15"/>
        <v/>
      </c>
      <c r="AF682" s="525" t="str">
        <f t="shared" si="16"/>
        <v/>
      </c>
      <c r="AG682" s="525" t="str">
        <f t="shared" si="17"/>
        <v/>
      </c>
      <c r="AH682" s="525">
        <f>E682</f>
        <v>0</v>
      </c>
      <c r="AI682" s="525">
        <f>E683</f>
        <v>0</v>
      </c>
    </row>
    <row r="683" spans="1:35" x14ac:dyDescent="0.2">
      <c r="A683" s="531"/>
      <c r="B683" s="303"/>
      <c r="C683" s="303"/>
      <c r="D683" s="303"/>
      <c r="E683" s="303"/>
      <c r="F683" s="303"/>
      <c r="G683" s="303"/>
      <c r="H683" s="303"/>
      <c r="I683" s="303"/>
      <c r="J683" s="303"/>
      <c r="K683" s="303"/>
      <c r="L683" s="303"/>
      <c r="M683" s="303"/>
      <c r="N683" s="303"/>
      <c r="O683" s="303"/>
      <c r="P683" s="303"/>
      <c r="Q683" s="303"/>
      <c r="R683" s="303"/>
      <c r="S683" s="303"/>
      <c r="T683" s="303"/>
      <c r="U683" s="303"/>
      <c r="V683" s="303"/>
      <c r="W683" s="303"/>
      <c r="X683" s="303"/>
      <c r="Y683" s="303"/>
      <c r="Z683" s="532"/>
      <c r="AA683" s="530"/>
      <c r="AB683" s="525" t="str">
        <f t="shared" si="12"/>
        <v/>
      </c>
      <c r="AC683" s="525" t="str">
        <f t="shared" si="13"/>
        <v/>
      </c>
      <c r="AD683" s="525" t="str">
        <f t="shared" si="14"/>
        <v/>
      </c>
      <c r="AE683" s="525" t="str">
        <f t="shared" si="15"/>
        <v/>
      </c>
      <c r="AF683" s="525" t="str">
        <f t="shared" si="16"/>
        <v/>
      </c>
      <c r="AG683" s="525" t="str">
        <f t="shared" si="17"/>
        <v/>
      </c>
      <c r="AH683" s="525">
        <f>E682</f>
        <v>0</v>
      </c>
      <c r="AI683" s="525">
        <f>E683</f>
        <v>0</v>
      </c>
    </row>
    <row r="684" spans="1:35" x14ac:dyDescent="0.2">
      <c r="A684" s="531"/>
      <c r="B684" s="303"/>
      <c r="C684" s="303"/>
      <c r="D684" s="303"/>
      <c r="E684" s="303"/>
      <c r="F684" s="303"/>
      <c r="G684" s="303"/>
      <c r="H684" s="303"/>
      <c r="I684" s="303"/>
      <c r="J684" s="303"/>
      <c r="K684" s="303"/>
      <c r="L684" s="303"/>
      <c r="M684" s="303"/>
      <c r="N684" s="303"/>
      <c r="O684" s="303"/>
      <c r="P684" s="303"/>
      <c r="Q684" s="303"/>
      <c r="R684" s="303"/>
      <c r="S684" s="303"/>
      <c r="T684" s="303"/>
      <c r="U684" s="303"/>
      <c r="V684" s="303"/>
      <c r="W684" s="303"/>
      <c r="X684" s="303"/>
      <c r="Y684" s="303"/>
      <c r="Z684" s="532"/>
      <c r="AA684" s="530"/>
      <c r="AB684" s="525" t="str">
        <f t="shared" si="12"/>
        <v/>
      </c>
      <c r="AC684" s="525" t="str">
        <f t="shared" si="13"/>
        <v/>
      </c>
      <c r="AD684" s="525" t="str">
        <f t="shared" si="14"/>
        <v/>
      </c>
      <c r="AE684" s="525" t="str">
        <f t="shared" si="15"/>
        <v/>
      </c>
      <c r="AF684" s="525" t="str">
        <f t="shared" si="16"/>
        <v/>
      </c>
      <c r="AG684" s="525" t="str">
        <f t="shared" si="17"/>
        <v/>
      </c>
      <c r="AH684" s="525">
        <f>E685</f>
        <v>0</v>
      </c>
      <c r="AI684" s="525">
        <f>E686</f>
        <v>0</v>
      </c>
    </row>
    <row r="685" spans="1:35" x14ac:dyDescent="0.2">
      <c r="A685" s="531"/>
      <c r="B685" s="303"/>
      <c r="C685" s="303"/>
      <c r="D685" s="303"/>
      <c r="E685" s="303"/>
      <c r="F685" s="303"/>
      <c r="G685" s="303"/>
      <c r="H685" s="303"/>
      <c r="I685" s="303"/>
      <c r="J685" s="303"/>
      <c r="K685" s="303"/>
      <c r="L685" s="303"/>
      <c r="M685" s="303"/>
      <c r="N685" s="303"/>
      <c r="O685" s="303"/>
      <c r="P685" s="303"/>
      <c r="Q685" s="303"/>
      <c r="R685" s="303"/>
      <c r="S685" s="303"/>
      <c r="T685" s="303"/>
      <c r="U685" s="303"/>
      <c r="V685" s="303"/>
      <c r="W685" s="303"/>
      <c r="X685" s="303"/>
      <c r="Y685" s="303"/>
      <c r="Z685" s="532"/>
      <c r="AA685" s="530"/>
      <c r="AB685" s="525" t="str">
        <f t="shared" si="12"/>
        <v/>
      </c>
      <c r="AC685" s="525" t="str">
        <f t="shared" si="13"/>
        <v/>
      </c>
      <c r="AD685" s="525" t="str">
        <f t="shared" si="14"/>
        <v/>
      </c>
      <c r="AE685" s="525" t="str">
        <f t="shared" si="15"/>
        <v/>
      </c>
      <c r="AF685" s="525" t="str">
        <f t="shared" si="16"/>
        <v/>
      </c>
      <c r="AG685" s="525" t="str">
        <f t="shared" si="17"/>
        <v/>
      </c>
      <c r="AH685" s="525">
        <f>E685</f>
        <v>0</v>
      </c>
      <c r="AI685" s="525">
        <f>E686</f>
        <v>0</v>
      </c>
    </row>
    <row r="686" spans="1:35" x14ac:dyDescent="0.2">
      <c r="A686" s="531"/>
      <c r="B686" s="303"/>
      <c r="C686" s="303"/>
      <c r="D686" s="303"/>
      <c r="E686" s="303"/>
      <c r="F686" s="303"/>
      <c r="G686" s="303"/>
      <c r="H686" s="303"/>
      <c r="I686" s="303"/>
      <c r="J686" s="303"/>
      <c r="K686" s="303"/>
      <c r="L686" s="303"/>
      <c r="M686" s="303"/>
      <c r="N686" s="303"/>
      <c r="O686" s="303"/>
      <c r="P686" s="303"/>
      <c r="Q686" s="303"/>
      <c r="R686" s="303"/>
      <c r="S686" s="303"/>
      <c r="T686" s="303"/>
      <c r="U686" s="303"/>
      <c r="V686" s="303"/>
      <c r="W686" s="303"/>
      <c r="X686" s="303"/>
      <c r="Y686" s="303"/>
      <c r="Z686" s="532"/>
      <c r="AA686" s="530"/>
      <c r="AB686" s="525" t="str">
        <f t="shared" si="12"/>
        <v/>
      </c>
      <c r="AC686" s="525" t="str">
        <f t="shared" si="13"/>
        <v/>
      </c>
      <c r="AD686" s="525" t="str">
        <f t="shared" si="14"/>
        <v/>
      </c>
      <c r="AE686" s="525" t="str">
        <f t="shared" si="15"/>
        <v/>
      </c>
      <c r="AF686" s="525" t="str">
        <f t="shared" si="16"/>
        <v/>
      </c>
      <c r="AG686" s="525" t="str">
        <f t="shared" si="17"/>
        <v/>
      </c>
      <c r="AH686" s="525">
        <f>E685</f>
        <v>0</v>
      </c>
      <c r="AI686" s="525">
        <f>E686</f>
        <v>0</v>
      </c>
    </row>
    <row r="687" spans="1:35" x14ac:dyDescent="0.2">
      <c r="A687" s="531"/>
      <c r="B687" s="303"/>
      <c r="C687" s="303"/>
      <c r="D687" s="303"/>
      <c r="E687" s="303"/>
      <c r="F687" s="303"/>
      <c r="G687" s="303"/>
      <c r="H687" s="303"/>
      <c r="I687" s="303"/>
      <c r="J687" s="303"/>
      <c r="K687" s="303"/>
      <c r="L687" s="303"/>
      <c r="M687" s="303"/>
      <c r="N687" s="303"/>
      <c r="O687" s="303"/>
      <c r="P687" s="303"/>
      <c r="Q687" s="303"/>
      <c r="R687" s="303"/>
      <c r="S687" s="303"/>
      <c r="T687" s="303"/>
      <c r="U687" s="303"/>
      <c r="V687" s="303"/>
      <c r="W687" s="303"/>
      <c r="X687" s="303"/>
      <c r="Y687" s="303"/>
      <c r="Z687" s="532"/>
      <c r="AA687" s="530"/>
      <c r="AB687" s="525" t="str">
        <f t="shared" si="12"/>
        <v/>
      </c>
      <c r="AC687" s="525" t="str">
        <f t="shared" si="13"/>
        <v/>
      </c>
      <c r="AD687" s="525" t="str">
        <f t="shared" si="14"/>
        <v/>
      </c>
      <c r="AE687" s="525" t="str">
        <f t="shared" si="15"/>
        <v/>
      </c>
      <c r="AF687" s="525" t="str">
        <f t="shared" si="16"/>
        <v/>
      </c>
      <c r="AG687" s="525" t="str">
        <f t="shared" si="17"/>
        <v/>
      </c>
      <c r="AH687" s="525">
        <f>E688</f>
        <v>0</v>
      </c>
      <c r="AI687" s="525">
        <f>E689</f>
        <v>0</v>
      </c>
    </row>
    <row r="688" spans="1:35" x14ac:dyDescent="0.2">
      <c r="A688" s="531"/>
      <c r="B688" s="303"/>
      <c r="C688" s="303"/>
      <c r="D688" s="303"/>
      <c r="E688" s="303"/>
      <c r="F688" s="303"/>
      <c r="G688" s="303"/>
      <c r="H688" s="303"/>
      <c r="I688" s="303"/>
      <c r="J688" s="303"/>
      <c r="K688" s="303"/>
      <c r="L688" s="303"/>
      <c r="M688" s="303"/>
      <c r="N688" s="303"/>
      <c r="O688" s="303"/>
      <c r="P688" s="303"/>
      <c r="Q688" s="303"/>
      <c r="R688" s="303"/>
      <c r="S688" s="303"/>
      <c r="T688" s="303"/>
      <c r="U688" s="303"/>
      <c r="V688" s="303"/>
      <c r="W688" s="303"/>
      <c r="X688" s="303"/>
      <c r="Y688" s="303"/>
      <c r="Z688" s="532"/>
      <c r="AA688" s="530"/>
      <c r="AB688" s="525" t="str">
        <f t="shared" si="12"/>
        <v/>
      </c>
      <c r="AC688" s="525" t="str">
        <f t="shared" si="13"/>
        <v/>
      </c>
      <c r="AD688" s="525" t="str">
        <f t="shared" si="14"/>
        <v/>
      </c>
      <c r="AE688" s="525" t="str">
        <f t="shared" si="15"/>
        <v/>
      </c>
      <c r="AF688" s="525" t="str">
        <f t="shared" si="16"/>
        <v/>
      </c>
      <c r="AG688" s="525" t="str">
        <f t="shared" si="17"/>
        <v/>
      </c>
      <c r="AH688" s="525">
        <f>E688</f>
        <v>0</v>
      </c>
      <c r="AI688" s="525">
        <f>E689</f>
        <v>0</v>
      </c>
    </row>
    <row r="689" spans="1:35" x14ac:dyDescent="0.2">
      <c r="A689" s="531"/>
      <c r="B689" s="303"/>
      <c r="C689" s="303"/>
      <c r="D689" s="303"/>
      <c r="E689" s="303"/>
      <c r="F689" s="303"/>
      <c r="G689" s="303"/>
      <c r="H689" s="303"/>
      <c r="I689" s="303"/>
      <c r="J689" s="303"/>
      <c r="K689" s="303"/>
      <c r="L689" s="303"/>
      <c r="M689" s="303"/>
      <c r="N689" s="303"/>
      <c r="O689" s="303"/>
      <c r="P689" s="303"/>
      <c r="Q689" s="303"/>
      <c r="R689" s="303"/>
      <c r="S689" s="303"/>
      <c r="T689" s="303"/>
      <c r="U689" s="303"/>
      <c r="V689" s="303"/>
      <c r="W689" s="303"/>
      <c r="X689" s="303"/>
      <c r="Y689" s="303"/>
      <c r="Z689" s="532"/>
      <c r="AA689" s="530"/>
      <c r="AB689" s="525" t="str">
        <f t="shared" si="12"/>
        <v/>
      </c>
      <c r="AC689" s="525" t="str">
        <f t="shared" si="13"/>
        <v/>
      </c>
      <c r="AD689" s="525" t="str">
        <f t="shared" si="14"/>
        <v/>
      </c>
      <c r="AE689" s="525" t="str">
        <f t="shared" si="15"/>
        <v/>
      </c>
      <c r="AF689" s="525" t="str">
        <f t="shared" si="16"/>
        <v/>
      </c>
      <c r="AG689" s="525" t="str">
        <f t="shared" si="17"/>
        <v/>
      </c>
      <c r="AH689" s="525">
        <f>E688</f>
        <v>0</v>
      </c>
      <c r="AI689" s="525">
        <f>E689</f>
        <v>0</v>
      </c>
    </row>
    <row r="690" spans="1:35" x14ac:dyDescent="0.2">
      <c r="A690" s="531"/>
      <c r="B690" s="303"/>
      <c r="C690" s="303"/>
      <c r="D690" s="303"/>
      <c r="E690" s="303"/>
      <c r="F690" s="303"/>
      <c r="G690" s="303"/>
      <c r="H690" s="303"/>
      <c r="I690" s="303"/>
      <c r="J690" s="303"/>
      <c r="K690" s="303"/>
      <c r="L690" s="303"/>
      <c r="M690" s="303"/>
      <c r="N690" s="303"/>
      <c r="O690" s="303"/>
      <c r="P690" s="303"/>
      <c r="Q690" s="303"/>
      <c r="R690" s="303"/>
      <c r="S690" s="303"/>
      <c r="T690" s="303"/>
      <c r="U690" s="303"/>
      <c r="V690" s="303"/>
      <c r="W690" s="303"/>
      <c r="X690" s="303"/>
      <c r="Y690" s="303"/>
      <c r="Z690" s="532"/>
      <c r="AA690" s="530"/>
      <c r="AB690" s="525" t="str">
        <f t="shared" si="12"/>
        <v/>
      </c>
      <c r="AC690" s="525" t="str">
        <f t="shared" si="13"/>
        <v/>
      </c>
      <c r="AD690" s="525" t="str">
        <f t="shared" si="14"/>
        <v/>
      </c>
      <c r="AE690" s="525" t="str">
        <f t="shared" si="15"/>
        <v/>
      </c>
      <c r="AF690" s="525" t="str">
        <f t="shared" si="16"/>
        <v/>
      </c>
      <c r="AG690" s="525" t="str">
        <f t="shared" si="17"/>
        <v/>
      </c>
      <c r="AH690" s="525">
        <f>E691</f>
        <v>0</v>
      </c>
      <c r="AI690" s="525">
        <f>E692</f>
        <v>0</v>
      </c>
    </row>
    <row r="691" spans="1:35" x14ac:dyDescent="0.2">
      <c r="A691" s="531"/>
      <c r="B691" s="303"/>
      <c r="C691" s="303"/>
      <c r="D691" s="303"/>
      <c r="E691" s="303"/>
      <c r="F691" s="303"/>
      <c r="G691" s="303"/>
      <c r="H691" s="303"/>
      <c r="I691" s="303"/>
      <c r="J691" s="303"/>
      <c r="K691" s="303"/>
      <c r="L691" s="303"/>
      <c r="M691" s="303"/>
      <c r="N691" s="303"/>
      <c r="O691" s="303"/>
      <c r="P691" s="303"/>
      <c r="Q691" s="303"/>
      <c r="R691" s="303"/>
      <c r="S691" s="303"/>
      <c r="T691" s="303"/>
      <c r="U691" s="303"/>
      <c r="V691" s="303"/>
      <c r="W691" s="303"/>
      <c r="X691" s="303"/>
      <c r="Y691" s="303"/>
      <c r="Z691" s="532"/>
      <c r="AA691" s="530"/>
      <c r="AB691" s="525" t="str">
        <f t="shared" si="12"/>
        <v/>
      </c>
      <c r="AC691" s="525" t="str">
        <f t="shared" si="13"/>
        <v/>
      </c>
      <c r="AD691" s="525" t="str">
        <f t="shared" si="14"/>
        <v/>
      </c>
      <c r="AE691" s="525" t="str">
        <f t="shared" si="15"/>
        <v/>
      </c>
      <c r="AF691" s="525" t="str">
        <f t="shared" si="16"/>
        <v/>
      </c>
      <c r="AG691" s="525" t="str">
        <f t="shared" si="17"/>
        <v/>
      </c>
      <c r="AH691" s="525">
        <f>E691</f>
        <v>0</v>
      </c>
      <c r="AI691" s="525">
        <f>E692</f>
        <v>0</v>
      </c>
    </row>
    <row r="692" spans="1:35" x14ac:dyDescent="0.2">
      <c r="A692" s="531"/>
      <c r="B692" s="303"/>
      <c r="C692" s="303"/>
      <c r="D692" s="303"/>
      <c r="E692" s="303"/>
      <c r="F692" s="303"/>
      <c r="G692" s="303"/>
      <c r="H692" s="303"/>
      <c r="I692" s="303"/>
      <c r="J692" s="303"/>
      <c r="K692" s="303"/>
      <c r="L692" s="303"/>
      <c r="M692" s="303"/>
      <c r="N692" s="303"/>
      <c r="O692" s="303"/>
      <c r="P692" s="303"/>
      <c r="Q692" s="303"/>
      <c r="R692" s="303"/>
      <c r="S692" s="303"/>
      <c r="T692" s="303"/>
      <c r="U692" s="303"/>
      <c r="V692" s="303"/>
      <c r="W692" s="303"/>
      <c r="X692" s="303"/>
      <c r="Y692" s="303"/>
      <c r="Z692" s="532"/>
      <c r="AA692" s="530"/>
      <c r="AB692" s="525" t="str">
        <f t="shared" si="12"/>
        <v/>
      </c>
      <c r="AC692" s="525" t="str">
        <f t="shared" si="13"/>
        <v/>
      </c>
      <c r="AD692" s="525" t="str">
        <f t="shared" si="14"/>
        <v/>
      </c>
      <c r="AE692" s="525" t="str">
        <f t="shared" si="15"/>
        <v/>
      </c>
      <c r="AF692" s="525" t="str">
        <f t="shared" si="16"/>
        <v/>
      </c>
      <c r="AG692" s="525" t="str">
        <f t="shared" si="17"/>
        <v/>
      </c>
      <c r="AH692" s="525">
        <f>E691</f>
        <v>0</v>
      </c>
      <c r="AI692" s="525">
        <f>E692</f>
        <v>0</v>
      </c>
    </row>
    <row r="693" spans="1:35" x14ac:dyDescent="0.2">
      <c r="A693" s="531"/>
      <c r="B693" s="303"/>
      <c r="C693" s="303"/>
      <c r="D693" s="303"/>
      <c r="E693" s="303"/>
      <c r="F693" s="303"/>
      <c r="G693" s="303"/>
      <c r="H693" s="303"/>
      <c r="I693" s="303"/>
      <c r="J693" s="303"/>
      <c r="K693" s="303"/>
      <c r="L693" s="303"/>
      <c r="M693" s="303"/>
      <c r="N693" s="303"/>
      <c r="O693" s="303"/>
      <c r="P693" s="303"/>
      <c r="Q693" s="303"/>
      <c r="R693" s="303"/>
      <c r="S693" s="303"/>
      <c r="T693" s="303"/>
      <c r="U693" s="303"/>
      <c r="V693" s="303"/>
      <c r="W693" s="303"/>
      <c r="X693" s="303"/>
      <c r="Y693" s="303"/>
      <c r="Z693" s="532"/>
      <c r="AA693" s="530"/>
      <c r="AB693" s="525" t="str">
        <f t="shared" si="12"/>
        <v/>
      </c>
      <c r="AC693" s="525" t="str">
        <f t="shared" si="13"/>
        <v/>
      </c>
      <c r="AD693" s="525" t="str">
        <f t="shared" si="14"/>
        <v/>
      </c>
      <c r="AE693" s="525" t="str">
        <f t="shared" si="15"/>
        <v/>
      </c>
      <c r="AF693" s="525" t="str">
        <f t="shared" si="16"/>
        <v/>
      </c>
      <c r="AG693" s="525" t="str">
        <f t="shared" si="17"/>
        <v/>
      </c>
      <c r="AH693" s="525">
        <f>E694</f>
        <v>0</v>
      </c>
      <c r="AI693" s="525">
        <f>E695</f>
        <v>0</v>
      </c>
    </row>
    <row r="694" spans="1:35" x14ac:dyDescent="0.2">
      <c r="A694" s="531"/>
      <c r="B694" s="303"/>
      <c r="C694" s="303"/>
      <c r="D694" s="303"/>
      <c r="E694" s="303"/>
      <c r="F694" s="303"/>
      <c r="G694" s="303"/>
      <c r="H694" s="303"/>
      <c r="I694" s="303"/>
      <c r="J694" s="303"/>
      <c r="K694" s="303"/>
      <c r="L694" s="303"/>
      <c r="M694" s="303"/>
      <c r="N694" s="303"/>
      <c r="O694" s="303"/>
      <c r="P694" s="303"/>
      <c r="Q694" s="303"/>
      <c r="R694" s="303"/>
      <c r="S694" s="303"/>
      <c r="T694" s="303"/>
      <c r="U694" s="303"/>
      <c r="V694" s="303"/>
      <c r="W694" s="303"/>
      <c r="X694" s="303"/>
      <c r="Y694" s="303"/>
      <c r="Z694" s="532"/>
      <c r="AA694" s="530"/>
      <c r="AB694" s="525" t="str">
        <f t="shared" si="12"/>
        <v/>
      </c>
      <c r="AC694" s="525" t="str">
        <f t="shared" si="13"/>
        <v/>
      </c>
      <c r="AD694" s="525" t="str">
        <f t="shared" si="14"/>
        <v/>
      </c>
      <c r="AE694" s="525" t="str">
        <f t="shared" si="15"/>
        <v/>
      </c>
      <c r="AF694" s="525" t="str">
        <f t="shared" si="16"/>
        <v/>
      </c>
      <c r="AG694" s="525" t="str">
        <f t="shared" si="17"/>
        <v/>
      </c>
      <c r="AH694" s="525">
        <f>E694</f>
        <v>0</v>
      </c>
      <c r="AI694" s="525">
        <f>E695</f>
        <v>0</v>
      </c>
    </row>
    <row r="695" spans="1:35" x14ac:dyDescent="0.2">
      <c r="A695" s="531"/>
      <c r="B695" s="303"/>
      <c r="C695" s="303"/>
      <c r="D695" s="303"/>
      <c r="E695" s="303"/>
      <c r="F695" s="303"/>
      <c r="G695" s="303"/>
      <c r="H695" s="303"/>
      <c r="I695" s="303"/>
      <c r="J695" s="303"/>
      <c r="K695" s="303"/>
      <c r="L695" s="303"/>
      <c r="M695" s="303"/>
      <c r="N695" s="303"/>
      <c r="O695" s="303"/>
      <c r="P695" s="303"/>
      <c r="Q695" s="303"/>
      <c r="R695" s="303"/>
      <c r="S695" s="303"/>
      <c r="T695" s="303"/>
      <c r="U695" s="303"/>
      <c r="V695" s="303"/>
      <c r="W695" s="303"/>
      <c r="X695" s="303"/>
      <c r="Y695" s="303"/>
      <c r="Z695" s="532"/>
      <c r="AA695" s="530"/>
      <c r="AB695" s="525" t="str">
        <f t="shared" si="12"/>
        <v/>
      </c>
      <c r="AC695" s="525" t="str">
        <f t="shared" si="13"/>
        <v/>
      </c>
      <c r="AD695" s="525" t="str">
        <f t="shared" si="14"/>
        <v/>
      </c>
      <c r="AE695" s="525" t="str">
        <f t="shared" si="15"/>
        <v/>
      </c>
      <c r="AF695" s="525" t="str">
        <f t="shared" si="16"/>
        <v/>
      </c>
      <c r="AG695" s="525" t="str">
        <f t="shared" si="17"/>
        <v/>
      </c>
      <c r="AH695" s="525">
        <f>E694</f>
        <v>0</v>
      </c>
      <c r="AI695" s="525">
        <f>E695</f>
        <v>0</v>
      </c>
    </row>
    <row r="696" spans="1:35" x14ac:dyDescent="0.2">
      <c r="A696" s="531"/>
      <c r="B696" s="303"/>
      <c r="C696" s="303"/>
      <c r="D696" s="303"/>
      <c r="E696" s="303"/>
      <c r="F696" s="303"/>
      <c r="G696" s="303"/>
      <c r="H696" s="303"/>
      <c r="I696" s="303"/>
      <c r="J696" s="303"/>
      <c r="K696" s="303"/>
      <c r="L696" s="303"/>
      <c r="M696" s="303"/>
      <c r="N696" s="303"/>
      <c r="O696" s="303"/>
      <c r="P696" s="303"/>
      <c r="Q696" s="303"/>
      <c r="R696" s="303"/>
      <c r="S696" s="303"/>
      <c r="T696" s="303"/>
      <c r="U696" s="303"/>
      <c r="V696" s="303"/>
      <c r="W696" s="303"/>
      <c r="X696" s="303"/>
      <c r="Y696" s="303"/>
      <c r="Z696" s="532"/>
      <c r="AA696" s="530"/>
      <c r="AB696" s="525" t="str">
        <f t="shared" si="12"/>
        <v/>
      </c>
      <c r="AC696" s="525" t="str">
        <f t="shared" si="13"/>
        <v/>
      </c>
      <c r="AD696" s="525" t="str">
        <f t="shared" si="14"/>
        <v/>
      </c>
      <c r="AE696" s="525" t="str">
        <f t="shared" si="15"/>
        <v/>
      </c>
      <c r="AF696" s="525" t="str">
        <f t="shared" si="16"/>
        <v/>
      </c>
      <c r="AG696" s="525" t="str">
        <f t="shared" si="17"/>
        <v/>
      </c>
      <c r="AH696" s="525">
        <f>E697</f>
        <v>0</v>
      </c>
      <c r="AI696" s="525">
        <f>E698</f>
        <v>0</v>
      </c>
    </row>
    <row r="697" spans="1:35" x14ac:dyDescent="0.2">
      <c r="A697" s="531"/>
      <c r="B697" s="303"/>
      <c r="C697" s="303"/>
      <c r="D697" s="303"/>
      <c r="E697" s="303"/>
      <c r="F697" s="303"/>
      <c r="G697" s="303"/>
      <c r="H697" s="303"/>
      <c r="I697" s="303"/>
      <c r="J697" s="303"/>
      <c r="K697" s="303"/>
      <c r="L697" s="303"/>
      <c r="M697" s="303"/>
      <c r="N697" s="303"/>
      <c r="O697" s="303"/>
      <c r="P697" s="303"/>
      <c r="Q697" s="303"/>
      <c r="R697" s="303"/>
      <c r="S697" s="303"/>
      <c r="T697" s="303"/>
      <c r="U697" s="303"/>
      <c r="V697" s="303"/>
      <c r="W697" s="303"/>
      <c r="X697" s="303"/>
      <c r="Y697" s="303"/>
      <c r="Z697" s="532"/>
      <c r="AA697" s="530"/>
      <c r="AB697" s="525" t="str">
        <f t="shared" si="12"/>
        <v/>
      </c>
      <c r="AC697" s="525" t="str">
        <f t="shared" si="13"/>
        <v/>
      </c>
      <c r="AD697" s="525" t="str">
        <f t="shared" si="14"/>
        <v/>
      </c>
      <c r="AE697" s="525" t="str">
        <f t="shared" si="15"/>
        <v/>
      </c>
      <c r="AF697" s="525" t="str">
        <f t="shared" si="16"/>
        <v/>
      </c>
      <c r="AG697" s="525" t="str">
        <f t="shared" si="17"/>
        <v/>
      </c>
      <c r="AH697" s="525">
        <f>E697</f>
        <v>0</v>
      </c>
      <c r="AI697" s="525">
        <f>E698</f>
        <v>0</v>
      </c>
    </row>
    <row r="698" spans="1:35" x14ac:dyDescent="0.2">
      <c r="A698" s="531"/>
      <c r="B698" s="303"/>
      <c r="C698" s="303"/>
      <c r="D698" s="303"/>
      <c r="E698" s="303"/>
      <c r="F698" s="303"/>
      <c r="G698" s="303"/>
      <c r="H698" s="303"/>
      <c r="I698" s="303"/>
      <c r="J698" s="303"/>
      <c r="K698" s="303"/>
      <c r="L698" s="303"/>
      <c r="M698" s="303"/>
      <c r="N698" s="303"/>
      <c r="O698" s="303"/>
      <c r="P698" s="303"/>
      <c r="Q698" s="303"/>
      <c r="R698" s="303"/>
      <c r="S698" s="303"/>
      <c r="T698" s="303"/>
      <c r="U698" s="303"/>
      <c r="V698" s="303"/>
      <c r="W698" s="303"/>
      <c r="X698" s="303"/>
      <c r="Y698" s="303"/>
      <c r="Z698" s="532"/>
      <c r="AA698" s="530"/>
      <c r="AB698" s="525" t="str">
        <f t="shared" si="12"/>
        <v/>
      </c>
      <c r="AC698" s="525" t="str">
        <f t="shared" si="13"/>
        <v/>
      </c>
      <c r="AD698" s="525" t="str">
        <f t="shared" si="14"/>
        <v/>
      </c>
      <c r="AE698" s="525" t="str">
        <f t="shared" si="15"/>
        <v/>
      </c>
      <c r="AF698" s="525" t="str">
        <f t="shared" si="16"/>
        <v/>
      </c>
      <c r="AG698" s="525" t="str">
        <f t="shared" si="17"/>
        <v/>
      </c>
      <c r="AH698" s="525">
        <f>E697</f>
        <v>0</v>
      </c>
      <c r="AI698" s="525">
        <f>E698</f>
        <v>0</v>
      </c>
    </row>
    <row r="699" spans="1:35" x14ac:dyDescent="0.2">
      <c r="A699" s="531"/>
      <c r="B699" s="303"/>
      <c r="C699" s="303"/>
      <c r="D699" s="303"/>
      <c r="E699" s="303"/>
      <c r="F699" s="303"/>
      <c r="G699" s="303"/>
      <c r="H699" s="303"/>
      <c r="I699" s="303"/>
      <c r="J699" s="303"/>
      <c r="K699" s="303"/>
      <c r="L699" s="303"/>
      <c r="M699" s="303"/>
      <c r="N699" s="303"/>
      <c r="O699" s="303"/>
      <c r="P699" s="303"/>
      <c r="Q699" s="303"/>
      <c r="R699" s="303"/>
      <c r="S699" s="303"/>
      <c r="T699" s="303"/>
      <c r="U699" s="303"/>
      <c r="V699" s="303"/>
      <c r="W699" s="303"/>
      <c r="X699" s="303"/>
      <c r="Y699" s="303"/>
      <c r="Z699" s="532"/>
      <c r="AA699" s="530"/>
      <c r="AB699" s="525" t="str">
        <f t="shared" si="12"/>
        <v/>
      </c>
      <c r="AC699" s="525" t="str">
        <f t="shared" si="13"/>
        <v/>
      </c>
      <c r="AD699" s="525" t="str">
        <f t="shared" si="14"/>
        <v/>
      </c>
      <c r="AE699" s="525" t="str">
        <f t="shared" si="15"/>
        <v/>
      </c>
      <c r="AF699" s="525" t="str">
        <f t="shared" si="16"/>
        <v/>
      </c>
      <c r="AG699" s="525" t="str">
        <f t="shared" si="17"/>
        <v/>
      </c>
      <c r="AH699" s="525">
        <f>E700</f>
        <v>0</v>
      </c>
      <c r="AI699" s="525">
        <f>E701</f>
        <v>0</v>
      </c>
    </row>
    <row r="700" spans="1:35" x14ac:dyDescent="0.2">
      <c r="A700" s="531"/>
      <c r="B700" s="303"/>
      <c r="C700" s="303"/>
      <c r="D700" s="303"/>
      <c r="E700" s="303"/>
      <c r="F700" s="303"/>
      <c r="G700" s="303"/>
      <c r="H700" s="303"/>
      <c r="I700" s="303"/>
      <c r="J700" s="303"/>
      <c r="K700" s="303"/>
      <c r="L700" s="303"/>
      <c r="M700" s="303"/>
      <c r="N700" s="303"/>
      <c r="O700" s="303"/>
      <c r="P700" s="303"/>
      <c r="Q700" s="303"/>
      <c r="R700" s="303"/>
      <c r="S700" s="303"/>
      <c r="T700" s="303"/>
      <c r="U700" s="303"/>
      <c r="V700" s="303"/>
      <c r="W700" s="303"/>
      <c r="X700" s="303"/>
      <c r="Y700" s="303"/>
      <c r="Z700" s="532"/>
      <c r="AA700" s="530"/>
      <c r="AB700" s="525" t="str">
        <f t="shared" si="12"/>
        <v/>
      </c>
      <c r="AC700" s="525" t="str">
        <f t="shared" si="13"/>
        <v/>
      </c>
      <c r="AD700" s="525" t="str">
        <f t="shared" si="14"/>
        <v/>
      </c>
      <c r="AE700" s="525" t="str">
        <f t="shared" si="15"/>
        <v/>
      </c>
      <c r="AF700" s="525" t="str">
        <f t="shared" si="16"/>
        <v/>
      </c>
      <c r="AG700" s="525" t="str">
        <f t="shared" si="17"/>
        <v/>
      </c>
      <c r="AH700" s="525">
        <f>E700</f>
        <v>0</v>
      </c>
      <c r="AI700" s="525">
        <f>E701</f>
        <v>0</v>
      </c>
    </row>
    <row r="701" spans="1:35" x14ac:dyDescent="0.2">
      <c r="A701" s="531"/>
      <c r="B701" s="303"/>
      <c r="C701" s="303"/>
      <c r="D701" s="303"/>
      <c r="E701" s="303"/>
      <c r="F701" s="303"/>
      <c r="G701" s="303"/>
      <c r="H701" s="303"/>
      <c r="I701" s="303"/>
      <c r="J701" s="303"/>
      <c r="K701" s="303"/>
      <c r="L701" s="303"/>
      <c r="M701" s="303"/>
      <c r="N701" s="303"/>
      <c r="O701" s="303"/>
      <c r="P701" s="303"/>
      <c r="Q701" s="303"/>
      <c r="R701" s="303"/>
      <c r="S701" s="303"/>
      <c r="T701" s="303"/>
      <c r="U701" s="303"/>
      <c r="V701" s="303"/>
      <c r="W701" s="303"/>
      <c r="X701" s="303"/>
      <c r="Y701" s="303"/>
      <c r="Z701" s="532"/>
      <c r="AA701" s="530"/>
      <c r="AB701" s="525" t="str">
        <f t="shared" si="12"/>
        <v/>
      </c>
      <c r="AC701" s="525" t="str">
        <f t="shared" si="13"/>
        <v/>
      </c>
      <c r="AD701" s="525" t="str">
        <f t="shared" si="14"/>
        <v/>
      </c>
      <c r="AE701" s="525" t="str">
        <f t="shared" si="15"/>
        <v/>
      </c>
      <c r="AF701" s="525" t="str">
        <f t="shared" si="16"/>
        <v/>
      </c>
      <c r="AG701" s="525" t="str">
        <f t="shared" si="17"/>
        <v/>
      </c>
      <c r="AH701" s="525">
        <f>E700</f>
        <v>0</v>
      </c>
      <c r="AI701" s="525">
        <f>E701</f>
        <v>0</v>
      </c>
    </row>
    <row r="702" spans="1:35" x14ac:dyDescent="0.2">
      <c r="A702" s="531"/>
      <c r="B702" s="303"/>
      <c r="C702" s="303"/>
      <c r="D702" s="303"/>
      <c r="E702" s="303"/>
      <c r="F702" s="303"/>
      <c r="G702" s="303"/>
      <c r="H702" s="303"/>
      <c r="I702" s="303"/>
      <c r="J702" s="303"/>
      <c r="K702" s="303"/>
      <c r="L702" s="303"/>
      <c r="M702" s="303"/>
      <c r="N702" s="303"/>
      <c r="O702" s="303"/>
      <c r="P702" s="303"/>
      <c r="Q702" s="303"/>
      <c r="R702" s="303"/>
      <c r="S702" s="303"/>
      <c r="T702" s="303"/>
      <c r="U702" s="303"/>
      <c r="V702" s="303"/>
      <c r="W702" s="303"/>
      <c r="X702" s="303"/>
      <c r="Y702" s="303"/>
      <c r="Z702" s="532"/>
      <c r="AA702" s="530"/>
      <c r="AB702" s="525" t="str">
        <f t="shared" si="12"/>
        <v/>
      </c>
      <c r="AC702" s="525" t="str">
        <f t="shared" si="13"/>
        <v/>
      </c>
      <c r="AD702" s="525" t="str">
        <f t="shared" si="14"/>
        <v/>
      </c>
      <c r="AE702" s="525" t="str">
        <f t="shared" si="15"/>
        <v/>
      </c>
      <c r="AF702" s="525" t="str">
        <f t="shared" si="16"/>
        <v/>
      </c>
      <c r="AG702" s="525" t="str">
        <f t="shared" si="17"/>
        <v/>
      </c>
      <c r="AH702" s="525">
        <f>E703</f>
        <v>0</v>
      </c>
      <c r="AI702" s="525">
        <f>E704</f>
        <v>0</v>
      </c>
    </row>
    <row r="703" spans="1:35" x14ac:dyDescent="0.2">
      <c r="A703" s="531"/>
      <c r="B703" s="303"/>
      <c r="C703" s="303"/>
      <c r="D703" s="303"/>
      <c r="E703" s="303"/>
      <c r="F703" s="303"/>
      <c r="G703" s="303"/>
      <c r="H703" s="303"/>
      <c r="I703" s="303"/>
      <c r="J703" s="303"/>
      <c r="K703" s="303"/>
      <c r="L703" s="303"/>
      <c r="M703" s="303"/>
      <c r="N703" s="303"/>
      <c r="O703" s="303"/>
      <c r="P703" s="303"/>
      <c r="Q703" s="303"/>
      <c r="R703" s="303"/>
      <c r="S703" s="303"/>
      <c r="T703" s="303"/>
      <c r="U703" s="303"/>
      <c r="V703" s="303"/>
      <c r="W703" s="303"/>
      <c r="X703" s="303"/>
      <c r="Y703" s="303"/>
      <c r="Z703" s="532"/>
      <c r="AA703" s="530"/>
      <c r="AB703" s="525" t="str">
        <f t="shared" si="12"/>
        <v/>
      </c>
      <c r="AC703" s="525" t="str">
        <f t="shared" si="13"/>
        <v/>
      </c>
      <c r="AD703" s="525" t="str">
        <f t="shared" si="14"/>
        <v/>
      </c>
      <c r="AE703" s="525" t="str">
        <f t="shared" si="15"/>
        <v/>
      </c>
      <c r="AF703" s="525" t="str">
        <f t="shared" si="16"/>
        <v/>
      </c>
      <c r="AG703" s="525" t="str">
        <f t="shared" si="17"/>
        <v/>
      </c>
      <c r="AH703" s="525">
        <f>E703</f>
        <v>0</v>
      </c>
      <c r="AI703" s="525">
        <f>E704</f>
        <v>0</v>
      </c>
    </row>
    <row r="704" spans="1:35" x14ac:dyDescent="0.2">
      <c r="A704" s="531"/>
      <c r="B704" s="303"/>
      <c r="C704" s="303"/>
      <c r="D704" s="303"/>
      <c r="E704" s="303"/>
      <c r="F704" s="303"/>
      <c r="G704" s="303"/>
      <c r="H704" s="303"/>
      <c r="I704" s="303"/>
      <c r="J704" s="303"/>
      <c r="K704" s="303"/>
      <c r="L704" s="303"/>
      <c r="M704" s="303"/>
      <c r="N704" s="303"/>
      <c r="O704" s="303"/>
      <c r="P704" s="303"/>
      <c r="Q704" s="303"/>
      <c r="R704" s="303"/>
      <c r="S704" s="303"/>
      <c r="T704" s="303"/>
      <c r="U704" s="303"/>
      <c r="V704" s="303"/>
      <c r="W704" s="303"/>
      <c r="X704" s="303"/>
      <c r="Y704" s="303"/>
      <c r="Z704" s="532"/>
      <c r="AA704" s="530"/>
      <c r="AB704" s="525" t="str">
        <f t="shared" si="12"/>
        <v/>
      </c>
      <c r="AC704" s="525" t="str">
        <f t="shared" si="13"/>
        <v/>
      </c>
      <c r="AD704" s="525" t="str">
        <f t="shared" si="14"/>
        <v/>
      </c>
      <c r="AE704" s="525" t="str">
        <f t="shared" si="15"/>
        <v/>
      </c>
      <c r="AF704" s="525" t="str">
        <f t="shared" si="16"/>
        <v/>
      </c>
      <c r="AG704" s="525" t="str">
        <f t="shared" si="17"/>
        <v/>
      </c>
      <c r="AH704" s="525">
        <f>E703</f>
        <v>0</v>
      </c>
      <c r="AI704" s="525">
        <f>E704</f>
        <v>0</v>
      </c>
    </row>
    <row r="705" spans="1:35" x14ac:dyDescent="0.2">
      <c r="A705" s="531"/>
      <c r="B705" s="303"/>
      <c r="C705" s="303"/>
      <c r="D705" s="303"/>
      <c r="E705" s="303"/>
      <c r="F705" s="303"/>
      <c r="G705" s="303"/>
      <c r="H705" s="303"/>
      <c r="I705" s="303"/>
      <c r="J705" s="303"/>
      <c r="K705" s="303"/>
      <c r="L705" s="303"/>
      <c r="M705" s="303"/>
      <c r="N705" s="303"/>
      <c r="O705" s="303"/>
      <c r="P705" s="303"/>
      <c r="Q705" s="303"/>
      <c r="R705" s="303"/>
      <c r="S705" s="303"/>
      <c r="T705" s="303"/>
      <c r="U705" s="303"/>
      <c r="V705" s="303"/>
      <c r="W705" s="303"/>
      <c r="X705" s="303"/>
      <c r="Y705" s="303"/>
      <c r="Z705" s="532"/>
      <c r="AA705" s="530"/>
      <c r="AB705" s="525" t="str">
        <f t="shared" si="12"/>
        <v/>
      </c>
      <c r="AC705" s="525" t="str">
        <f t="shared" si="13"/>
        <v/>
      </c>
      <c r="AD705" s="525" t="str">
        <f t="shared" si="14"/>
        <v/>
      </c>
      <c r="AE705" s="525" t="str">
        <f t="shared" si="15"/>
        <v/>
      </c>
      <c r="AF705" s="525" t="str">
        <f t="shared" si="16"/>
        <v/>
      </c>
      <c r="AG705" s="525" t="str">
        <f t="shared" si="17"/>
        <v/>
      </c>
      <c r="AH705" s="525">
        <f>E706</f>
        <v>0</v>
      </c>
      <c r="AI705" s="525">
        <f>E707</f>
        <v>0</v>
      </c>
    </row>
    <row r="706" spans="1:35" x14ac:dyDescent="0.2">
      <c r="A706" s="531"/>
      <c r="B706" s="303"/>
      <c r="C706" s="303"/>
      <c r="D706" s="303"/>
      <c r="E706" s="303"/>
      <c r="F706" s="303"/>
      <c r="G706" s="303"/>
      <c r="H706" s="303"/>
      <c r="I706" s="303"/>
      <c r="J706" s="303"/>
      <c r="K706" s="303"/>
      <c r="L706" s="303"/>
      <c r="M706" s="303"/>
      <c r="N706" s="303"/>
      <c r="O706" s="303"/>
      <c r="P706" s="303"/>
      <c r="Q706" s="303"/>
      <c r="R706" s="303"/>
      <c r="S706" s="303"/>
      <c r="T706" s="303"/>
      <c r="U706" s="303"/>
      <c r="V706" s="303"/>
      <c r="W706" s="303"/>
      <c r="X706" s="303"/>
      <c r="Y706" s="303"/>
      <c r="Z706" s="532"/>
      <c r="AA706" s="530"/>
      <c r="AB706" s="525" t="str">
        <f t="shared" si="12"/>
        <v/>
      </c>
      <c r="AC706" s="525" t="str">
        <f t="shared" si="13"/>
        <v/>
      </c>
      <c r="AD706" s="525" t="str">
        <f t="shared" si="14"/>
        <v/>
      </c>
      <c r="AE706" s="525" t="str">
        <f t="shared" si="15"/>
        <v/>
      </c>
      <c r="AF706" s="525" t="str">
        <f t="shared" si="16"/>
        <v/>
      </c>
      <c r="AG706" s="525" t="str">
        <f t="shared" si="17"/>
        <v/>
      </c>
      <c r="AH706" s="525">
        <f>E706</f>
        <v>0</v>
      </c>
      <c r="AI706" s="525">
        <f>E707</f>
        <v>0</v>
      </c>
    </row>
    <row r="707" spans="1:35" x14ac:dyDescent="0.2">
      <c r="A707" s="531"/>
      <c r="B707" s="303"/>
      <c r="C707" s="303"/>
      <c r="D707" s="303"/>
      <c r="E707" s="303"/>
      <c r="F707" s="303"/>
      <c r="G707" s="303"/>
      <c r="H707" s="303"/>
      <c r="I707" s="303"/>
      <c r="J707" s="303"/>
      <c r="K707" s="303"/>
      <c r="L707" s="303"/>
      <c r="M707" s="303"/>
      <c r="N707" s="303"/>
      <c r="O707" s="303"/>
      <c r="P707" s="303"/>
      <c r="Q707" s="303"/>
      <c r="R707" s="303"/>
      <c r="S707" s="303"/>
      <c r="T707" s="303"/>
      <c r="U707" s="303"/>
      <c r="V707" s="303"/>
      <c r="W707" s="303"/>
      <c r="X707" s="303"/>
      <c r="Y707" s="303"/>
      <c r="Z707" s="532"/>
      <c r="AA707" s="530"/>
      <c r="AB707" s="525" t="str">
        <f t="shared" si="12"/>
        <v/>
      </c>
      <c r="AC707" s="525" t="str">
        <f t="shared" si="13"/>
        <v/>
      </c>
      <c r="AD707" s="525" t="str">
        <f t="shared" si="14"/>
        <v/>
      </c>
      <c r="AE707" s="525" t="str">
        <f t="shared" si="15"/>
        <v/>
      </c>
      <c r="AF707" s="525" t="str">
        <f t="shared" si="16"/>
        <v/>
      </c>
      <c r="AG707" s="525" t="str">
        <f t="shared" si="17"/>
        <v/>
      </c>
      <c r="AH707" s="525">
        <f>E706</f>
        <v>0</v>
      </c>
      <c r="AI707" s="525">
        <f>E707</f>
        <v>0</v>
      </c>
    </row>
    <row r="708" spans="1:35" x14ac:dyDescent="0.2">
      <c r="A708" s="531"/>
      <c r="B708" s="303"/>
      <c r="C708" s="303"/>
      <c r="D708" s="303"/>
      <c r="E708" s="303"/>
      <c r="F708" s="303"/>
      <c r="G708" s="303"/>
      <c r="H708" s="303"/>
      <c r="I708" s="303"/>
      <c r="J708" s="303"/>
      <c r="K708" s="303"/>
      <c r="L708" s="303"/>
      <c r="M708" s="303"/>
      <c r="N708" s="303"/>
      <c r="O708" s="303"/>
      <c r="P708" s="303"/>
      <c r="Q708" s="303"/>
      <c r="R708" s="303"/>
      <c r="S708" s="303"/>
      <c r="T708" s="303"/>
      <c r="U708" s="303"/>
      <c r="V708" s="303"/>
      <c r="W708" s="303"/>
      <c r="X708" s="303"/>
      <c r="Y708" s="303"/>
      <c r="Z708" s="532"/>
      <c r="AA708" s="530"/>
      <c r="AB708" s="525" t="str">
        <f t="shared" si="12"/>
        <v/>
      </c>
      <c r="AC708" s="525" t="str">
        <f t="shared" si="13"/>
        <v/>
      </c>
      <c r="AD708" s="525" t="str">
        <f t="shared" si="14"/>
        <v/>
      </c>
      <c r="AE708" s="525" t="str">
        <f t="shared" si="15"/>
        <v/>
      </c>
      <c r="AF708" s="525" t="str">
        <f t="shared" si="16"/>
        <v/>
      </c>
      <c r="AG708" s="525" t="str">
        <f t="shared" si="17"/>
        <v/>
      </c>
      <c r="AH708" s="525">
        <f>E709</f>
        <v>0</v>
      </c>
      <c r="AI708" s="525">
        <f>E710</f>
        <v>0</v>
      </c>
    </row>
    <row r="709" spans="1:35" x14ac:dyDescent="0.2">
      <c r="A709" s="531"/>
      <c r="B709" s="303"/>
      <c r="C709" s="303"/>
      <c r="D709" s="303"/>
      <c r="E709" s="303"/>
      <c r="F709" s="303"/>
      <c r="G709" s="303"/>
      <c r="H709" s="303"/>
      <c r="I709" s="303"/>
      <c r="J709" s="303"/>
      <c r="K709" s="303"/>
      <c r="L709" s="303"/>
      <c r="M709" s="303"/>
      <c r="N709" s="303"/>
      <c r="O709" s="303"/>
      <c r="P709" s="303"/>
      <c r="Q709" s="303"/>
      <c r="R709" s="303"/>
      <c r="S709" s="303"/>
      <c r="T709" s="303"/>
      <c r="U709" s="303"/>
      <c r="V709" s="303"/>
      <c r="W709" s="303"/>
      <c r="X709" s="303"/>
      <c r="Y709" s="303"/>
      <c r="Z709" s="532"/>
      <c r="AA709" s="530"/>
      <c r="AB709" s="525" t="str">
        <f t="shared" si="12"/>
        <v/>
      </c>
      <c r="AC709" s="525" t="str">
        <f t="shared" si="13"/>
        <v/>
      </c>
      <c r="AD709" s="525" t="str">
        <f t="shared" si="14"/>
        <v/>
      </c>
      <c r="AE709" s="525" t="str">
        <f t="shared" si="15"/>
        <v/>
      </c>
      <c r="AF709" s="525" t="str">
        <f t="shared" si="16"/>
        <v/>
      </c>
      <c r="AG709" s="525" t="str">
        <f t="shared" si="17"/>
        <v/>
      </c>
      <c r="AH709" s="525">
        <f>E709</f>
        <v>0</v>
      </c>
      <c r="AI709" s="525">
        <f>E710</f>
        <v>0</v>
      </c>
    </row>
    <row r="710" spans="1:35" x14ac:dyDescent="0.2">
      <c r="A710" s="531"/>
      <c r="B710" s="303"/>
      <c r="C710" s="303"/>
      <c r="D710" s="303"/>
      <c r="E710" s="303"/>
      <c r="F710" s="303"/>
      <c r="G710" s="303"/>
      <c r="H710" s="303"/>
      <c r="I710" s="303"/>
      <c r="J710" s="303"/>
      <c r="K710" s="303"/>
      <c r="L710" s="303"/>
      <c r="M710" s="303"/>
      <c r="N710" s="303"/>
      <c r="O710" s="303"/>
      <c r="P710" s="303"/>
      <c r="Q710" s="303"/>
      <c r="R710" s="303"/>
      <c r="S710" s="303"/>
      <c r="T710" s="303"/>
      <c r="U710" s="303"/>
      <c r="V710" s="303"/>
      <c r="W710" s="303"/>
      <c r="X710" s="303"/>
      <c r="Y710" s="303"/>
      <c r="Z710" s="532"/>
      <c r="AA710" s="530"/>
      <c r="AB710" s="525" t="str">
        <f t="shared" si="12"/>
        <v/>
      </c>
      <c r="AC710" s="525" t="str">
        <f t="shared" si="13"/>
        <v/>
      </c>
      <c r="AD710" s="525" t="str">
        <f t="shared" si="14"/>
        <v/>
      </c>
      <c r="AE710" s="525" t="str">
        <f t="shared" si="15"/>
        <v/>
      </c>
      <c r="AF710" s="525" t="str">
        <f t="shared" si="16"/>
        <v/>
      </c>
      <c r="AG710" s="525" t="str">
        <f t="shared" si="17"/>
        <v/>
      </c>
      <c r="AH710" s="525">
        <f>E709</f>
        <v>0</v>
      </c>
      <c r="AI710" s="525">
        <f>E710</f>
        <v>0</v>
      </c>
    </row>
    <row r="711" spans="1:35" x14ac:dyDescent="0.2">
      <c r="A711" s="531"/>
      <c r="B711" s="303"/>
      <c r="C711" s="303"/>
      <c r="D711" s="303"/>
      <c r="E711" s="303"/>
      <c r="F711" s="303"/>
      <c r="G711" s="303"/>
      <c r="H711" s="303"/>
      <c r="I711" s="303"/>
      <c r="J711" s="303"/>
      <c r="K711" s="303"/>
      <c r="L711" s="303"/>
      <c r="M711" s="303"/>
      <c r="N711" s="303"/>
      <c r="O711" s="303"/>
      <c r="P711" s="303"/>
      <c r="Q711" s="303"/>
      <c r="R711" s="303"/>
      <c r="S711" s="303"/>
      <c r="T711" s="303"/>
      <c r="U711" s="303"/>
      <c r="V711" s="303"/>
      <c r="W711" s="303"/>
      <c r="X711" s="303"/>
      <c r="Y711" s="303"/>
      <c r="Z711" s="532"/>
      <c r="AA711" s="530"/>
      <c r="AB711" s="525" t="str">
        <f t="shared" si="12"/>
        <v/>
      </c>
      <c r="AC711" s="525" t="str">
        <f t="shared" si="13"/>
        <v/>
      </c>
      <c r="AD711" s="525" t="str">
        <f t="shared" si="14"/>
        <v/>
      </c>
      <c r="AE711" s="525" t="str">
        <f t="shared" si="15"/>
        <v/>
      </c>
      <c r="AF711" s="525" t="str">
        <f t="shared" si="16"/>
        <v/>
      </c>
      <c r="AG711" s="525" t="str">
        <f t="shared" si="17"/>
        <v/>
      </c>
      <c r="AH711" s="525">
        <f>E712</f>
        <v>0</v>
      </c>
      <c r="AI711" s="525">
        <f>E713</f>
        <v>0</v>
      </c>
    </row>
    <row r="712" spans="1:35" x14ac:dyDescent="0.2">
      <c r="A712" s="531"/>
      <c r="B712" s="303"/>
      <c r="C712" s="303"/>
      <c r="D712" s="303"/>
      <c r="E712" s="303"/>
      <c r="F712" s="303"/>
      <c r="G712" s="303"/>
      <c r="H712" s="303"/>
      <c r="I712" s="303"/>
      <c r="J712" s="303"/>
      <c r="K712" s="303"/>
      <c r="L712" s="303"/>
      <c r="M712" s="303"/>
      <c r="N712" s="303"/>
      <c r="O712" s="303"/>
      <c r="P712" s="303"/>
      <c r="Q712" s="303"/>
      <c r="R712" s="303"/>
      <c r="S712" s="303"/>
      <c r="T712" s="303"/>
      <c r="U712" s="303"/>
      <c r="V712" s="303"/>
      <c r="W712" s="303"/>
      <c r="X712" s="303"/>
      <c r="Y712" s="303"/>
      <c r="Z712" s="532"/>
      <c r="AA712" s="530"/>
      <c r="AB712" s="525" t="str">
        <f t="shared" si="12"/>
        <v/>
      </c>
      <c r="AC712" s="525" t="str">
        <f t="shared" si="13"/>
        <v/>
      </c>
      <c r="AD712" s="525" t="str">
        <f t="shared" si="14"/>
        <v/>
      </c>
      <c r="AE712" s="525" t="str">
        <f t="shared" si="15"/>
        <v/>
      </c>
      <c r="AF712" s="525" t="str">
        <f t="shared" si="16"/>
        <v/>
      </c>
      <c r="AG712" s="525" t="str">
        <f t="shared" si="17"/>
        <v/>
      </c>
      <c r="AH712" s="525">
        <f>E712</f>
        <v>0</v>
      </c>
      <c r="AI712" s="525">
        <f>E713</f>
        <v>0</v>
      </c>
    </row>
    <row r="713" spans="1:35" x14ac:dyDescent="0.2">
      <c r="A713" s="531"/>
      <c r="B713" s="303"/>
      <c r="C713" s="303"/>
      <c r="D713" s="303"/>
      <c r="E713" s="303"/>
      <c r="F713" s="303"/>
      <c r="G713" s="303"/>
      <c r="H713" s="303"/>
      <c r="I713" s="303"/>
      <c r="J713" s="303"/>
      <c r="K713" s="303"/>
      <c r="L713" s="303"/>
      <c r="M713" s="303"/>
      <c r="N713" s="303"/>
      <c r="O713" s="303"/>
      <c r="P713" s="303"/>
      <c r="Q713" s="303"/>
      <c r="R713" s="303"/>
      <c r="S713" s="303"/>
      <c r="T713" s="303"/>
      <c r="U713" s="303"/>
      <c r="V713" s="303"/>
      <c r="W713" s="303"/>
      <c r="X713" s="303"/>
      <c r="Y713" s="303"/>
      <c r="Z713" s="532"/>
      <c r="AA713" s="530"/>
      <c r="AB713" s="525" t="str">
        <f t="shared" si="12"/>
        <v/>
      </c>
      <c r="AC713" s="525" t="str">
        <f t="shared" si="13"/>
        <v/>
      </c>
      <c r="AD713" s="525" t="str">
        <f t="shared" si="14"/>
        <v/>
      </c>
      <c r="AE713" s="525" t="str">
        <f t="shared" si="15"/>
        <v/>
      </c>
      <c r="AF713" s="525" t="str">
        <f t="shared" si="16"/>
        <v/>
      </c>
      <c r="AG713" s="525" t="str">
        <f t="shared" si="17"/>
        <v/>
      </c>
      <c r="AH713" s="525">
        <f>E712</f>
        <v>0</v>
      </c>
      <c r="AI713" s="525">
        <f>E713</f>
        <v>0</v>
      </c>
    </row>
    <row r="714" spans="1:35" x14ac:dyDescent="0.2">
      <c r="A714" s="531"/>
      <c r="B714" s="303"/>
      <c r="C714" s="303"/>
      <c r="D714" s="303"/>
      <c r="E714" s="303"/>
      <c r="F714" s="303"/>
      <c r="G714" s="303"/>
      <c r="H714" s="303"/>
      <c r="I714" s="303"/>
      <c r="J714" s="303"/>
      <c r="K714" s="303"/>
      <c r="L714" s="303"/>
      <c r="M714" s="303"/>
      <c r="N714" s="303"/>
      <c r="O714" s="303"/>
      <c r="P714" s="303"/>
      <c r="Q714" s="303"/>
      <c r="R714" s="303"/>
      <c r="S714" s="303"/>
      <c r="T714" s="303"/>
      <c r="U714" s="303"/>
      <c r="V714" s="303"/>
      <c r="W714" s="303"/>
      <c r="X714" s="303"/>
      <c r="Y714" s="303"/>
      <c r="Z714" s="532"/>
      <c r="AA714" s="530"/>
      <c r="AB714" s="525" t="str">
        <f t="shared" si="12"/>
        <v/>
      </c>
      <c r="AC714" s="525" t="str">
        <f t="shared" si="13"/>
        <v/>
      </c>
      <c r="AD714" s="525" t="str">
        <f t="shared" si="14"/>
        <v/>
      </c>
      <c r="AE714" s="525" t="str">
        <f t="shared" si="15"/>
        <v/>
      </c>
      <c r="AF714" s="525" t="str">
        <f t="shared" si="16"/>
        <v/>
      </c>
      <c r="AG714" s="525" t="str">
        <f t="shared" si="17"/>
        <v/>
      </c>
      <c r="AH714" s="525">
        <f>E715</f>
        <v>0</v>
      </c>
      <c r="AI714" s="525">
        <f>E716</f>
        <v>0</v>
      </c>
    </row>
    <row r="715" spans="1:35" x14ac:dyDescent="0.2">
      <c r="A715" s="531"/>
      <c r="B715" s="303"/>
      <c r="C715" s="303"/>
      <c r="D715" s="303"/>
      <c r="E715" s="303"/>
      <c r="F715" s="303"/>
      <c r="G715" s="303"/>
      <c r="H715" s="303"/>
      <c r="I715" s="303"/>
      <c r="J715" s="303"/>
      <c r="K715" s="303"/>
      <c r="L715" s="303"/>
      <c r="M715" s="303"/>
      <c r="N715" s="303"/>
      <c r="O715" s="303"/>
      <c r="P715" s="303"/>
      <c r="Q715" s="303"/>
      <c r="R715" s="303"/>
      <c r="S715" s="303"/>
      <c r="T715" s="303"/>
      <c r="U715" s="303"/>
      <c r="V715" s="303"/>
      <c r="W715" s="303"/>
      <c r="X715" s="303"/>
      <c r="Y715" s="303"/>
      <c r="Z715" s="532"/>
      <c r="AA715" s="530"/>
      <c r="AB715" s="525" t="str">
        <f t="shared" si="12"/>
        <v/>
      </c>
      <c r="AC715" s="525" t="str">
        <f t="shared" si="13"/>
        <v/>
      </c>
      <c r="AD715" s="525" t="str">
        <f t="shared" si="14"/>
        <v/>
      </c>
      <c r="AE715" s="525" t="str">
        <f t="shared" si="15"/>
        <v/>
      </c>
      <c r="AF715" s="525" t="str">
        <f t="shared" si="16"/>
        <v/>
      </c>
      <c r="AG715" s="525" t="str">
        <f t="shared" si="17"/>
        <v/>
      </c>
      <c r="AH715" s="525">
        <f>E715</f>
        <v>0</v>
      </c>
      <c r="AI715" s="525">
        <f>E716</f>
        <v>0</v>
      </c>
    </row>
    <row r="716" spans="1:35" x14ac:dyDescent="0.2">
      <c r="A716" s="531"/>
      <c r="B716" s="303"/>
      <c r="C716" s="303"/>
      <c r="D716" s="303"/>
      <c r="E716" s="303"/>
      <c r="F716" s="303"/>
      <c r="G716" s="303"/>
      <c r="H716" s="303"/>
      <c r="I716" s="303"/>
      <c r="J716" s="303"/>
      <c r="K716" s="303"/>
      <c r="L716" s="303"/>
      <c r="M716" s="303"/>
      <c r="N716" s="303"/>
      <c r="O716" s="303"/>
      <c r="P716" s="303"/>
      <c r="Q716" s="303"/>
      <c r="R716" s="303"/>
      <c r="S716" s="303"/>
      <c r="T716" s="303"/>
      <c r="U716" s="303"/>
      <c r="V716" s="303"/>
      <c r="W716" s="303"/>
      <c r="X716" s="303"/>
      <c r="Y716" s="303"/>
      <c r="Z716" s="532"/>
      <c r="AA716" s="530"/>
      <c r="AB716" s="525" t="str">
        <f t="shared" si="12"/>
        <v/>
      </c>
      <c r="AC716" s="525" t="str">
        <f t="shared" si="13"/>
        <v/>
      </c>
      <c r="AD716" s="525" t="str">
        <f t="shared" si="14"/>
        <v/>
      </c>
      <c r="AE716" s="525" t="str">
        <f t="shared" si="15"/>
        <v/>
      </c>
      <c r="AF716" s="525" t="str">
        <f t="shared" si="16"/>
        <v/>
      </c>
      <c r="AG716" s="525" t="str">
        <f t="shared" si="17"/>
        <v/>
      </c>
      <c r="AH716" s="525">
        <f>E715</f>
        <v>0</v>
      </c>
      <c r="AI716" s="525">
        <f>E716</f>
        <v>0</v>
      </c>
    </row>
    <row r="717" spans="1:35" x14ac:dyDescent="0.2">
      <c r="A717" s="531"/>
      <c r="B717" s="303"/>
      <c r="C717" s="303"/>
      <c r="D717" s="303"/>
      <c r="E717" s="303"/>
      <c r="F717" s="303"/>
      <c r="G717" s="303"/>
      <c r="H717" s="303"/>
      <c r="I717" s="303"/>
      <c r="J717" s="303"/>
      <c r="K717" s="303"/>
      <c r="L717" s="303"/>
      <c r="M717" s="303"/>
      <c r="N717" s="303"/>
      <c r="O717" s="303"/>
      <c r="P717" s="303"/>
      <c r="Q717" s="303"/>
      <c r="R717" s="303"/>
      <c r="S717" s="303"/>
      <c r="T717" s="303"/>
      <c r="U717" s="303"/>
      <c r="V717" s="303"/>
      <c r="W717" s="303"/>
      <c r="X717" s="303"/>
      <c r="Y717" s="303"/>
      <c r="Z717" s="532"/>
      <c r="AA717" s="530"/>
      <c r="AB717" s="525" t="str">
        <f t="shared" si="12"/>
        <v/>
      </c>
      <c r="AC717" s="525" t="str">
        <f t="shared" si="13"/>
        <v/>
      </c>
      <c r="AD717" s="525" t="str">
        <f t="shared" si="14"/>
        <v/>
      </c>
      <c r="AE717" s="525" t="str">
        <f t="shared" si="15"/>
        <v/>
      </c>
      <c r="AF717" s="525" t="str">
        <f t="shared" si="16"/>
        <v/>
      </c>
      <c r="AG717" s="525" t="str">
        <f t="shared" si="17"/>
        <v/>
      </c>
      <c r="AH717" s="525">
        <f>E718</f>
        <v>0</v>
      </c>
      <c r="AI717" s="525">
        <f>E719</f>
        <v>0</v>
      </c>
    </row>
    <row r="718" spans="1:35" x14ac:dyDescent="0.2">
      <c r="A718" s="531"/>
      <c r="B718" s="303"/>
      <c r="C718" s="303"/>
      <c r="D718" s="303"/>
      <c r="E718" s="303"/>
      <c r="F718" s="303"/>
      <c r="G718" s="303"/>
      <c r="H718" s="303"/>
      <c r="I718" s="303"/>
      <c r="J718" s="303"/>
      <c r="K718" s="303"/>
      <c r="L718" s="303"/>
      <c r="M718" s="303"/>
      <c r="N718" s="303"/>
      <c r="O718" s="303"/>
      <c r="P718" s="303"/>
      <c r="Q718" s="303"/>
      <c r="R718" s="303"/>
      <c r="S718" s="303"/>
      <c r="T718" s="303"/>
      <c r="U718" s="303"/>
      <c r="V718" s="303"/>
      <c r="W718" s="303"/>
      <c r="X718" s="303"/>
      <c r="Y718" s="303"/>
      <c r="Z718" s="532"/>
      <c r="AA718" s="530"/>
      <c r="AB718" s="525" t="str">
        <f t="shared" si="12"/>
        <v/>
      </c>
      <c r="AC718" s="525" t="str">
        <f t="shared" si="13"/>
        <v/>
      </c>
      <c r="AD718" s="525" t="str">
        <f t="shared" si="14"/>
        <v/>
      </c>
      <c r="AE718" s="525" t="str">
        <f t="shared" si="15"/>
        <v/>
      </c>
      <c r="AF718" s="525" t="str">
        <f t="shared" si="16"/>
        <v/>
      </c>
      <c r="AG718" s="525" t="str">
        <f t="shared" si="17"/>
        <v/>
      </c>
      <c r="AH718" s="525">
        <f>E718</f>
        <v>0</v>
      </c>
      <c r="AI718" s="525">
        <f>E719</f>
        <v>0</v>
      </c>
    </row>
    <row r="719" spans="1:35" x14ac:dyDescent="0.2">
      <c r="A719" s="531"/>
      <c r="B719" s="303"/>
      <c r="C719" s="303"/>
      <c r="D719" s="303"/>
      <c r="E719" s="303"/>
      <c r="F719" s="303"/>
      <c r="G719" s="303"/>
      <c r="H719" s="303"/>
      <c r="I719" s="303"/>
      <c r="J719" s="303"/>
      <c r="K719" s="303"/>
      <c r="L719" s="303"/>
      <c r="M719" s="303"/>
      <c r="N719" s="303"/>
      <c r="O719" s="303"/>
      <c r="P719" s="303"/>
      <c r="Q719" s="303"/>
      <c r="R719" s="303"/>
      <c r="S719" s="303"/>
      <c r="T719" s="303"/>
      <c r="U719" s="303"/>
      <c r="V719" s="303"/>
      <c r="W719" s="303"/>
      <c r="X719" s="303"/>
      <c r="Y719" s="303"/>
      <c r="Z719" s="532"/>
      <c r="AA719" s="530"/>
      <c r="AB719" s="525" t="str">
        <f t="shared" si="12"/>
        <v/>
      </c>
      <c r="AC719" s="525" t="str">
        <f t="shared" si="13"/>
        <v/>
      </c>
      <c r="AD719" s="525" t="str">
        <f t="shared" si="14"/>
        <v/>
      </c>
      <c r="AE719" s="525" t="str">
        <f t="shared" si="15"/>
        <v/>
      </c>
      <c r="AF719" s="525" t="str">
        <f t="shared" si="16"/>
        <v/>
      </c>
      <c r="AG719" s="525" t="str">
        <f t="shared" si="17"/>
        <v/>
      </c>
      <c r="AH719" s="525">
        <f>E718</f>
        <v>0</v>
      </c>
      <c r="AI719" s="525">
        <f>E719</f>
        <v>0</v>
      </c>
    </row>
    <row r="720" spans="1:35" x14ac:dyDescent="0.2">
      <c r="A720" s="531"/>
      <c r="B720" s="303"/>
      <c r="C720" s="303"/>
      <c r="D720" s="303"/>
      <c r="E720" s="303"/>
      <c r="F720" s="303"/>
      <c r="G720" s="303"/>
      <c r="H720" s="303"/>
      <c r="I720" s="303"/>
      <c r="J720" s="303"/>
      <c r="K720" s="303"/>
      <c r="L720" s="303"/>
      <c r="M720" s="303"/>
      <c r="N720" s="303"/>
      <c r="O720" s="303"/>
      <c r="P720" s="303"/>
      <c r="Q720" s="303"/>
      <c r="R720" s="303"/>
      <c r="S720" s="303"/>
      <c r="T720" s="303"/>
      <c r="U720" s="303"/>
      <c r="V720" s="303"/>
      <c r="W720" s="303"/>
      <c r="X720" s="303"/>
      <c r="Y720" s="303"/>
      <c r="Z720" s="532"/>
      <c r="AA720" s="530"/>
      <c r="AB720" s="525" t="str">
        <f t="shared" si="12"/>
        <v/>
      </c>
      <c r="AC720" s="525" t="str">
        <f t="shared" si="13"/>
        <v/>
      </c>
      <c r="AD720" s="525" t="str">
        <f t="shared" si="14"/>
        <v/>
      </c>
      <c r="AE720" s="525" t="str">
        <f t="shared" si="15"/>
        <v/>
      </c>
      <c r="AF720" s="525" t="str">
        <f t="shared" si="16"/>
        <v/>
      </c>
      <c r="AG720" s="525" t="str">
        <f t="shared" si="17"/>
        <v/>
      </c>
      <c r="AH720" s="525">
        <f>E721</f>
        <v>0</v>
      </c>
      <c r="AI720" s="525">
        <f>E722</f>
        <v>0</v>
      </c>
    </row>
    <row r="721" spans="1:35" x14ac:dyDescent="0.2">
      <c r="A721" s="531"/>
      <c r="B721" s="303"/>
      <c r="C721" s="303"/>
      <c r="D721" s="303"/>
      <c r="E721" s="303"/>
      <c r="F721" s="303"/>
      <c r="G721" s="303"/>
      <c r="H721" s="303"/>
      <c r="I721" s="303"/>
      <c r="J721" s="303"/>
      <c r="K721" s="303"/>
      <c r="L721" s="303"/>
      <c r="M721" s="303"/>
      <c r="N721" s="303"/>
      <c r="O721" s="303"/>
      <c r="P721" s="303"/>
      <c r="Q721" s="303"/>
      <c r="R721" s="303"/>
      <c r="S721" s="303"/>
      <c r="T721" s="303"/>
      <c r="U721" s="303"/>
      <c r="V721" s="303"/>
      <c r="W721" s="303"/>
      <c r="X721" s="303"/>
      <c r="Y721" s="303"/>
      <c r="Z721" s="532"/>
      <c r="AA721" s="530"/>
      <c r="AB721" s="525" t="str">
        <f t="shared" si="12"/>
        <v/>
      </c>
      <c r="AC721" s="525" t="str">
        <f t="shared" si="13"/>
        <v/>
      </c>
      <c r="AD721" s="525" t="str">
        <f t="shared" si="14"/>
        <v/>
      </c>
      <c r="AE721" s="525" t="str">
        <f t="shared" si="15"/>
        <v/>
      </c>
      <c r="AF721" s="525" t="str">
        <f t="shared" si="16"/>
        <v/>
      </c>
      <c r="AG721" s="525" t="str">
        <f t="shared" si="17"/>
        <v/>
      </c>
      <c r="AH721" s="525">
        <f>E721</f>
        <v>0</v>
      </c>
      <c r="AI721" s="525">
        <f>E722</f>
        <v>0</v>
      </c>
    </row>
    <row r="722" spans="1:35" x14ac:dyDescent="0.2">
      <c r="A722" s="531"/>
      <c r="B722" s="303"/>
      <c r="C722" s="303"/>
      <c r="D722" s="303"/>
      <c r="E722" s="303"/>
      <c r="F722" s="303"/>
      <c r="G722" s="303"/>
      <c r="H722" s="303"/>
      <c r="I722" s="303"/>
      <c r="J722" s="303"/>
      <c r="K722" s="303"/>
      <c r="L722" s="303"/>
      <c r="M722" s="303"/>
      <c r="N722" s="303"/>
      <c r="O722" s="303"/>
      <c r="P722" s="303"/>
      <c r="Q722" s="303"/>
      <c r="R722" s="303"/>
      <c r="S722" s="303"/>
      <c r="T722" s="303"/>
      <c r="U722" s="303"/>
      <c r="V722" s="303"/>
      <c r="W722" s="303"/>
      <c r="X722" s="303"/>
      <c r="Y722" s="303"/>
      <c r="Z722" s="532"/>
      <c r="AA722" s="530"/>
      <c r="AB722" s="525" t="str">
        <f t="shared" si="12"/>
        <v/>
      </c>
      <c r="AC722" s="525" t="str">
        <f t="shared" si="13"/>
        <v/>
      </c>
      <c r="AD722" s="525" t="str">
        <f t="shared" si="14"/>
        <v/>
      </c>
      <c r="AE722" s="525" t="str">
        <f t="shared" si="15"/>
        <v/>
      </c>
      <c r="AF722" s="525" t="str">
        <f t="shared" si="16"/>
        <v/>
      </c>
      <c r="AG722" s="525" t="str">
        <f t="shared" si="17"/>
        <v/>
      </c>
      <c r="AH722" s="525">
        <f>E721</f>
        <v>0</v>
      </c>
      <c r="AI722" s="525">
        <f>E722</f>
        <v>0</v>
      </c>
    </row>
    <row r="723" spans="1:35" x14ac:dyDescent="0.2">
      <c r="A723" s="531"/>
      <c r="B723" s="303"/>
      <c r="C723" s="303"/>
      <c r="D723" s="303"/>
      <c r="E723" s="303"/>
      <c r="F723" s="303"/>
      <c r="G723" s="303"/>
      <c r="H723" s="303"/>
      <c r="I723" s="303"/>
      <c r="J723" s="303"/>
      <c r="K723" s="303"/>
      <c r="L723" s="303"/>
      <c r="M723" s="303"/>
      <c r="N723" s="303"/>
      <c r="O723" s="303"/>
      <c r="P723" s="303"/>
      <c r="Q723" s="303"/>
      <c r="R723" s="303"/>
      <c r="S723" s="303"/>
      <c r="T723" s="303"/>
      <c r="U723" s="303"/>
      <c r="V723" s="303"/>
      <c r="W723" s="303"/>
      <c r="X723" s="303"/>
      <c r="Y723" s="303"/>
      <c r="Z723" s="532"/>
      <c r="AA723" s="530"/>
      <c r="AB723" s="525" t="str">
        <f t="shared" si="12"/>
        <v/>
      </c>
      <c r="AC723" s="525" t="str">
        <f t="shared" si="13"/>
        <v/>
      </c>
      <c r="AD723" s="525" t="str">
        <f t="shared" si="14"/>
        <v/>
      </c>
      <c r="AE723" s="525" t="str">
        <f t="shared" si="15"/>
        <v/>
      </c>
      <c r="AF723" s="525" t="str">
        <f t="shared" si="16"/>
        <v/>
      </c>
      <c r="AG723" s="525" t="str">
        <f t="shared" si="17"/>
        <v/>
      </c>
      <c r="AH723" s="525">
        <f>E724</f>
        <v>0</v>
      </c>
      <c r="AI723" s="525">
        <f>E725</f>
        <v>0</v>
      </c>
    </row>
    <row r="724" spans="1:35" x14ac:dyDescent="0.2">
      <c r="A724" s="531"/>
      <c r="B724" s="303"/>
      <c r="C724" s="303"/>
      <c r="D724" s="303"/>
      <c r="E724" s="303"/>
      <c r="F724" s="303"/>
      <c r="G724" s="303"/>
      <c r="H724" s="303"/>
      <c r="I724" s="303"/>
      <c r="J724" s="303"/>
      <c r="K724" s="303"/>
      <c r="L724" s="303"/>
      <c r="M724" s="303"/>
      <c r="N724" s="303"/>
      <c r="O724" s="303"/>
      <c r="P724" s="303"/>
      <c r="Q724" s="303"/>
      <c r="R724" s="303"/>
      <c r="S724" s="303"/>
      <c r="T724" s="303"/>
      <c r="U724" s="303"/>
      <c r="V724" s="303"/>
      <c r="W724" s="303"/>
      <c r="X724" s="303"/>
      <c r="Y724" s="303"/>
      <c r="Z724" s="532"/>
      <c r="AA724" s="530"/>
      <c r="AB724" s="525" t="str">
        <f t="shared" si="12"/>
        <v/>
      </c>
      <c r="AC724" s="525" t="str">
        <f t="shared" si="13"/>
        <v/>
      </c>
      <c r="AD724" s="525" t="str">
        <f t="shared" si="14"/>
        <v/>
      </c>
      <c r="AE724" s="525" t="str">
        <f t="shared" si="15"/>
        <v/>
      </c>
      <c r="AF724" s="525" t="str">
        <f t="shared" si="16"/>
        <v/>
      </c>
      <c r="AG724" s="525" t="str">
        <f t="shared" si="17"/>
        <v/>
      </c>
      <c r="AH724" s="525">
        <f>E724</f>
        <v>0</v>
      </c>
      <c r="AI724" s="525">
        <f>E725</f>
        <v>0</v>
      </c>
    </row>
    <row r="725" spans="1:35" x14ac:dyDescent="0.2">
      <c r="A725" s="531"/>
      <c r="B725" s="303"/>
      <c r="C725" s="303"/>
      <c r="D725" s="303"/>
      <c r="E725" s="303"/>
      <c r="F725" s="303"/>
      <c r="G725" s="303"/>
      <c r="H725" s="303"/>
      <c r="I725" s="303"/>
      <c r="J725" s="303"/>
      <c r="K725" s="303"/>
      <c r="L725" s="303"/>
      <c r="M725" s="303"/>
      <c r="N725" s="303"/>
      <c r="O725" s="303"/>
      <c r="P725" s="303"/>
      <c r="Q725" s="303"/>
      <c r="R725" s="303"/>
      <c r="S725" s="303"/>
      <c r="T725" s="303"/>
      <c r="U725" s="303"/>
      <c r="V725" s="303"/>
      <c r="W725" s="303"/>
      <c r="X725" s="303"/>
      <c r="Y725" s="303"/>
      <c r="Z725" s="532"/>
      <c r="AA725" s="530"/>
      <c r="AB725" s="525" t="str">
        <f t="shared" si="12"/>
        <v/>
      </c>
      <c r="AC725" s="525" t="str">
        <f t="shared" si="13"/>
        <v/>
      </c>
      <c r="AD725" s="525" t="str">
        <f t="shared" si="14"/>
        <v/>
      </c>
      <c r="AE725" s="525" t="str">
        <f t="shared" si="15"/>
        <v/>
      </c>
      <c r="AF725" s="525" t="str">
        <f t="shared" si="16"/>
        <v/>
      </c>
      <c r="AG725" s="525" t="str">
        <f t="shared" si="17"/>
        <v/>
      </c>
      <c r="AH725" s="525">
        <f>E724</f>
        <v>0</v>
      </c>
      <c r="AI725" s="525">
        <f>E725</f>
        <v>0</v>
      </c>
    </row>
    <row r="726" spans="1:35" x14ac:dyDescent="0.2">
      <c r="A726" s="531"/>
      <c r="B726" s="303"/>
      <c r="C726" s="303"/>
      <c r="D726" s="303"/>
      <c r="E726" s="303"/>
      <c r="F726" s="303"/>
      <c r="G726" s="303"/>
      <c r="H726" s="303"/>
      <c r="I726" s="303"/>
      <c r="J726" s="303"/>
      <c r="K726" s="303"/>
      <c r="L726" s="303"/>
      <c r="M726" s="303"/>
      <c r="N726" s="303"/>
      <c r="O726" s="303"/>
      <c r="P726" s="303"/>
      <c r="Q726" s="303"/>
      <c r="R726" s="303"/>
      <c r="S726" s="303"/>
      <c r="T726" s="303"/>
      <c r="U726" s="303"/>
      <c r="V726" s="303"/>
      <c r="W726" s="303"/>
      <c r="X726" s="303"/>
      <c r="Y726" s="303"/>
      <c r="Z726" s="532"/>
      <c r="AA726" s="530"/>
      <c r="AB726" s="525" t="str">
        <f t="shared" si="12"/>
        <v/>
      </c>
      <c r="AC726" s="525" t="str">
        <f t="shared" si="13"/>
        <v/>
      </c>
      <c r="AD726" s="525" t="str">
        <f t="shared" si="14"/>
        <v/>
      </c>
      <c r="AE726" s="525" t="str">
        <f t="shared" si="15"/>
        <v/>
      </c>
      <c r="AF726" s="525" t="str">
        <f t="shared" si="16"/>
        <v/>
      </c>
      <c r="AG726" s="525" t="str">
        <f t="shared" si="17"/>
        <v/>
      </c>
      <c r="AH726" s="525">
        <f>E727</f>
        <v>0</v>
      </c>
      <c r="AI726" s="525">
        <f>E728</f>
        <v>0</v>
      </c>
    </row>
    <row r="727" spans="1:35" x14ac:dyDescent="0.2">
      <c r="A727" s="531"/>
      <c r="B727" s="303"/>
      <c r="C727" s="303"/>
      <c r="D727" s="303"/>
      <c r="E727" s="303"/>
      <c r="F727" s="303"/>
      <c r="G727" s="303"/>
      <c r="H727" s="303"/>
      <c r="I727" s="303"/>
      <c r="J727" s="303"/>
      <c r="K727" s="303"/>
      <c r="L727" s="303"/>
      <c r="M727" s="303"/>
      <c r="N727" s="303"/>
      <c r="O727" s="303"/>
      <c r="P727" s="303"/>
      <c r="Q727" s="303"/>
      <c r="R727" s="303"/>
      <c r="S727" s="303"/>
      <c r="T727" s="303"/>
      <c r="U727" s="303"/>
      <c r="V727" s="303"/>
      <c r="W727" s="303"/>
      <c r="X727" s="303"/>
      <c r="Y727" s="303"/>
      <c r="Z727" s="532"/>
      <c r="AA727" s="530"/>
      <c r="AB727" s="525" t="str">
        <f t="shared" si="12"/>
        <v/>
      </c>
      <c r="AC727" s="525" t="str">
        <f t="shared" si="13"/>
        <v/>
      </c>
      <c r="AD727" s="525" t="str">
        <f t="shared" si="14"/>
        <v/>
      </c>
      <c r="AE727" s="525" t="str">
        <f t="shared" si="15"/>
        <v/>
      </c>
      <c r="AF727" s="525" t="str">
        <f t="shared" si="16"/>
        <v/>
      </c>
      <c r="AG727" s="525" t="str">
        <f t="shared" si="17"/>
        <v/>
      </c>
      <c r="AH727" s="525">
        <f>E727</f>
        <v>0</v>
      </c>
      <c r="AI727" s="525">
        <f>E728</f>
        <v>0</v>
      </c>
    </row>
    <row r="728" spans="1:35" x14ac:dyDescent="0.2">
      <c r="A728" s="531"/>
      <c r="B728" s="303"/>
      <c r="C728" s="303"/>
      <c r="D728" s="303"/>
      <c r="E728" s="303"/>
      <c r="F728" s="303"/>
      <c r="G728" s="303"/>
      <c r="H728" s="303"/>
      <c r="I728" s="303"/>
      <c r="J728" s="303"/>
      <c r="K728" s="303"/>
      <c r="L728" s="303"/>
      <c r="M728" s="303"/>
      <c r="N728" s="303"/>
      <c r="O728" s="303"/>
      <c r="P728" s="303"/>
      <c r="Q728" s="303"/>
      <c r="R728" s="303"/>
      <c r="S728" s="303"/>
      <c r="T728" s="303"/>
      <c r="U728" s="303"/>
      <c r="V728" s="303"/>
      <c r="W728" s="303"/>
      <c r="X728" s="303"/>
      <c r="Y728" s="303"/>
      <c r="Z728" s="532"/>
      <c r="AA728" s="530"/>
      <c r="AB728" s="525" t="str">
        <f t="shared" si="12"/>
        <v/>
      </c>
      <c r="AC728" s="525" t="str">
        <f t="shared" si="13"/>
        <v/>
      </c>
      <c r="AD728" s="525" t="str">
        <f t="shared" si="14"/>
        <v/>
      </c>
      <c r="AE728" s="525" t="str">
        <f t="shared" si="15"/>
        <v/>
      </c>
      <c r="AF728" s="525" t="str">
        <f t="shared" si="16"/>
        <v/>
      </c>
      <c r="AG728" s="525" t="str">
        <f t="shared" si="17"/>
        <v/>
      </c>
      <c r="AH728" s="525">
        <f>E727</f>
        <v>0</v>
      </c>
      <c r="AI728" s="525">
        <f>E728</f>
        <v>0</v>
      </c>
    </row>
    <row r="729" spans="1:35" x14ac:dyDescent="0.2">
      <c r="A729" s="531"/>
      <c r="B729" s="303"/>
      <c r="C729" s="303"/>
      <c r="D729" s="303"/>
      <c r="E729" s="303"/>
      <c r="F729" s="303"/>
      <c r="G729" s="303"/>
      <c r="H729" s="303"/>
      <c r="I729" s="303"/>
      <c r="J729" s="303"/>
      <c r="K729" s="303"/>
      <c r="L729" s="303"/>
      <c r="M729" s="303"/>
      <c r="N729" s="303"/>
      <c r="O729" s="303"/>
      <c r="P729" s="303"/>
      <c r="Q729" s="303"/>
      <c r="R729" s="303"/>
      <c r="S729" s="303"/>
      <c r="T729" s="303"/>
      <c r="U729" s="303"/>
      <c r="V729" s="303"/>
      <c r="W729" s="303"/>
      <c r="X729" s="303"/>
      <c r="Y729" s="303"/>
      <c r="Z729" s="532"/>
      <c r="AA729" s="530"/>
      <c r="AB729" s="525" t="str">
        <f t="shared" si="12"/>
        <v/>
      </c>
      <c r="AC729" s="525" t="str">
        <f t="shared" si="13"/>
        <v/>
      </c>
      <c r="AD729" s="525" t="str">
        <f t="shared" si="14"/>
        <v/>
      </c>
      <c r="AE729" s="525" t="str">
        <f t="shared" si="15"/>
        <v/>
      </c>
      <c r="AF729" s="525" t="str">
        <f t="shared" si="16"/>
        <v/>
      </c>
      <c r="AG729" s="525" t="str">
        <f t="shared" si="17"/>
        <v/>
      </c>
      <c r="AH729" s="525">
        <f>E730</f>
        <v>0</v>
      </c>
      <c r="AI729" s="525">
        <f>E731</f>
        <v>0</v>
      </c>
    </row>
    <row r="730" spans="1:35" x14ac:dyDescent="0.2">
      <c r="A730" s="531"/>
      <c r="B730" s="303"/>
      <c r="C730" s="303"/>
      <c r="D730" s="303"/>
      <c r="E730" s="303"/>
      <c r="F730" s="303"/>
      <c r="G730" s="303"/>
      <c r="H730" s="303"/>
      <c r="I730" s="303"/>
      <c r="J730" s="303"/>
      <c r="K730" s="303"/>
      <c r="L730" s="303"/>
      <c r="M730" s="303"/>
      <c r="N730" s="303"/>
      <c r="O730" s="303"/>
      <c r="P730" s="303"/>
      <c r="Q730" s="303"/>
      <c r="R730" s="303"/>
      <c r="S730" s="303"/>
      <c r="T730" s="303"/>
      <c r="U730" s="303"/>
      <c r="V730" s="303"/>
      <c r="W730" s="303"/>
      <c r="X730" s="303"/>
      <c r="Y730" s="303"/>
      <c r="Z730" s="532"/>
      <c r="AA730" s="530"/>
      <c r="AB730" s="525" t="str">
        <f t="shared" si="12"/>
        <v/>
      </c>
      <c r="AC730" s="525" t="str">
        <f t="shared" si="13"/>
        <v/>
      </c>
      <c r="AD730" s="525" t="str">
        <f t="shared" si="14"/>
        <v/>
      </c>
      <c r="AE730" s="525" t="str">
        <f t="shared" si="15"/>
        <v/>
      </c>
      <c r="AF730" s="525" t="str">
        <f t="shared" si="16"/>
        <v/>
      </c>
      <c r="AG730" s="525" t="str">
        <f t="shared" si="17"/>
        <v/>
      </c>
      <c r="AH730" s="525">
        <f>E730</f>
        <v>0</v>
      </c>
      <c r="AI730" s="525">
        <f>E731</f>
        <v>0</v>
      </c>
    </row>
    <row r="731" spans="1:35" x14ac:dyDescent="0.2">
      <c r="A731" s="531"/>
      <c r="B731" s="303"/>
      <c r="C731" s="303"/>
      <c r="D731" s="303"/>
      <c r="E731" s="303"/>
      <c r="F731" s="303"/>
      <c r="G731" s="303"/>
      <c r="H731" s="303"/>
      <c r="I731" s="303"/>
      <c r="J731" s="303"/>
      <c r="K731" s="303"/>
      <c r="L731" s="303"/>
      <c r="M731" s="303"/>
      <c r="N731" s="303"/>
      <c r="O731" s="303"/>
      <c r="P731" s="303"/>
      <c r="Q731" s="303"/>
      <c r="R731" s="303"/>
      <c r="S731" s="303"/>
      <c r="T731" s="303"/>
      <c r="U731" s="303"/>
      <c r="V731" s="303"/>
      <c r="W731" s="303"/>
      <c r="X731" s="303"/>
      <c r="Y731" s="303"/>
      <c r="Z731" s="532"/>
      <c r="AA731" s="530"/>
      <c r="AB731" s="525" t="str">
        <f t="shared" si="12"/>
        <v/>
      </c>
      <c r="AC731" s="525" t="str">
        <f t="shared" si="13"/>
        <v/>
      </c>
      <c r="AD731" s="525" t="str">
        <f t="shared" si="14"/>
        <v/>
      </c>
      <c r="AE731" s="525" t="str">
        <f t="shared" si="15"/>
        <v/>
      </c>
      <c r="AF731" s="525" t="str">
        <f t="shared" si="16"/>
        <v/>
      </c>
      <c r="AG731" s="525" t="str">
        <f t="shared" si="17"/>
        <v/>
      </c>
      <c r="AH731" s="525">
        <f>E730</f>
        <v>0</v>
      </c>
      <c r="AI731" s="525">
        <f>E731</f>
        <v>0</v>
      </c>
    </row>
    <row r="732" spans="1:35" x14ac:dyDescent="0.2">
      <c r="A732" s="531"/>
      <c r="B732" s="303"/>
      <c r="C732" s="303"/>
      <c r="D732" s="303"/>
      <c r="E732" s="303"/>
      <c r="F732" s="303"/>
      <c r="G732" s="303"/>
      <c r="H732" s="303"/>
      <c r="I732" s="303"/>
      <c r="J732" s="303"/>
      <c r="K732" s="303"/>
      <c r="L732" s="303"/>
      <c r="M732" s="303"/>
      <c r="N732" s="303"/>
      <c r="O732" s="303"/>
      <c r="P732" s="303"/>
      <c r="Q732" s="303"/>
      <c r="R732" s="303"/>
      <c r="S732" s="303"/>
      <c r="T732" s="303"/>
      <c r="U732" s="303"/>
      <c r="V732" s="303"/>
      <c r="W732" s="303"/>
      <c r="X732" s="303"/>
      <c r="Y732" s="303"/>
      <c r="Z732" s="532"/>
      <c r="AA732" s="530"/>
      <c r="AB732" s="525" t="str">
        <f t="shared" si="12"/>
        <v/>
      </c>
      <c r="AC732" s="525" t="str">
        <f t="shared" si="13"/>
        <v/>
      </c>
      <c r="AD732" s="525" t="str">
        <f t="shared" si="14"/>
        <v/>
      </c>
      <c r="AE732" s="525" t="str">
        <f t="shared" si="15"/>
        <v/>
      </c>
      <c r="AF732" s="525" t="str">
        <f t="shared" si="16"/>
        <v/>
      </c>
      <c r="AG732" s="525" t="str">
        <f t="shared" si="17"/>
        <v/>
      </c>
      <c r="AH732" s="525">
        <f>E733</f>
        <v>0</v>
      </c>
      <c r="AI732" s="525">
        <f>E734</f>
        <v>0</v>
      </c>
    </row>
    <row r="733" spans="1:35" x14ac:dyDescent="0.2">
      <c r="A733" s="531"/>
      <c r="B733" s="303"/>
      <c r="C733" s="303"/>
      <c r="D733" s="303"/>
      <c r="E733" s="303"/>
      <c r="F733" s="303"/>
      <c r="G733" s="303"/>
      <c r="H733" s="303"/>
      <c r="I733" s="303"/>
      <c r="J733" s="303"/>
      <c r="K733" s="303"/>
      <c r="L733" s="303"/>
      <c r="M733" s="303"/>
      <c r="N733" s="303"/>
      <c r="O733" s="303"/>
      <c r="P733" s="303"/>
      <c r="Q733" s="303"/>
      <c r="R733" s="303"/>
      <c r="S733" s="303"/>
      <c r="T733" s="303"/>
      <c r="U733" s="303"/>
      <c r="V733" s="303"/>
      <c r="W733" s="303"/>
      <c r="X733" s="303"/>
      <c r="Y733" s="303"/>
      <c r="Z733" s="532"/>
      <c r="AA733" s="530"/>
      <c r="AB733" s="525" t="str">
        <f t="shared" si="12"/>
        <v/>
      </c>
      <c r="AC733" s="525" t="str">
        <f t="shared" si="13"/>
        <v/>
      </c>
      <c r="AD733" s="525" t="str">
        <f t="shared" si="14"/>
        <v/>
      </c>
      <c r="AE733" s="525" t="str">
        <f t="shared" si="15"/>
        <v/>
      </c>
      <c r="AF733" s="525" t="str">
        <f t="shared" si="16"/>
        <v/>
      </c>
      <c r="AG733" s="525" t="str">
        <f t="shared" si="17"/>
        <v/>
      </c>
      <c r="AH733" s="525">
        <f>E733</f>
        <v>0</v>
      </c>
      <c r="AI733" s="525">
        <f>E734</f>
        <v>0</v>
      </c>
    </row>
    <row r="734" spans="1:35" x14ac:dyDescent="0.2">
      <c r="A734" s="531"/>
      <c r="B734" s="303"/>
      <c r="C734" s="303"/>
      <c r="D734" s="303"/>
      <c r="E734" s="303"/>
      <c r="F734" s="303"/>
      <c r="G734" s="303"/>
      <c r="H734" s="303"/>
      <c r="I734" s="303"/>
      <c r="J734" s="303"/>
      <c r="K734" s="303"/>
      <c r="L734" s="303"/>
      <c r="M734" s="303"/>
      <c r="N734" s="303"/>
      <c r="O734" s="303"/>
      <c r="P734" s="303"/>
      <c r="Q734" s="303"/>
      <c r="R734" s="303"/>
      <c r="S734" s="303"/>
      <c r="T734" s="303"/>
      <c r="U734" s="303"/>
      <c r="V734" s="303"/>
      <c r="W734" s="303"/>
      <c r="X734" s="303"/>
      <c r="Y734" s="303"/>
      <c r="Z734" s="532"/>
      <c r="AA734" s="530"/>
      <c r="AB734" s="525" t="str">
        <f t="shared" si="12"/>
        <v/>
      </c>
      <c r="AC734" s="525" t="str">
        <f t="shared" si="13"/>
        <v/>
      </c>
      <c r="AD734" s="525" t="str">
        <f t="shared" si="14"/>
        <v/>
      </c>
      <c r="AE734" s="525" t="str">
        <f t="shared" si="15"/>
        <v/>
      </c>
      <c r="AF734" s="525" t="str">
        <f t="shared" si="16"/>
        <v/>
      </c>
      <c r="AG734" s="525" t="str">
        <f t="shared" si="17"/>
        <v/>
      </c>
      <c r="AH734" s="525">
        <f>E733</f>
        <v>0</v>
      </c>
      <c r="AI734" s="525">
        <f>E734</f>
        <v>0</v>
      </c>
    </row>
    <row r="735" spans="1:35" x14ac:dyDescent="0.2">
      <c r="A735" s="531"/>
      <c r="B735" s="303"/>
      <c r="C735" s="303"/>
      <c r="D735" s="303"/>
      <c r="E735" s="303"/>
      <c r="F735" s="303"/>
      <c r="G735" s="303"/>
      <c r="H735" s="303"/>
      <c r="I735" s="303"/>
      <c r="J735" s="303"/>
      <c r="K735" s="303"/>
      <c r="L735" s="303"/>
      <c r="M735" s="303"/>
      <c r="N735" s="303"/>
      <c r="O735" s="303"/>
      <c r="P735" s="303"/>
      <c r="Q735" s="303"/>
      <c r="R735" s="303"/>
      <c r="S735" s="303"/>
      <c r="T735" s="303"/>
      <c r="U735" s="303"/>
      <c r="V735" s="303"/>
      <c r="W735" s="303"/>
      <c r="X735" s="303"/>
      <c r="Y735" s="303"/>
      <c r="Z735" s="532"/>
      <c r="AA735" s="530"/>
      <c r="AB735" s="525" t="str">
        <f t="shared" si="12"/>
        <v/>
      </c>
      <c r="AC735" s="525" t="str">
        <f t="shared" si="13"/>
        <v/>
      </c>
      <c r="AD735" s="525" t="str">
        <f t="shared" si="14"/>
        <v/>
      </c>
      <c r="AE735" s="525" t="str">
        <f t="shared" si="15"/>
        <v/>
      </c>
      <c r="AF735" s="525" t="str">
        <f t="shared" si="16"/>
        <v/>
      </c>
      <c r="AG735" s="525" t="str">
        <f t="shared" si="17"/>
        <v/>
      </c>
      <c r="AH735" s="525">
        <f>E736</f>
        <v>0</v>
      </c>
      <c r="AI735" s="525">
        <f>E737</f>
        <v>0</v>
      </c>
    </row>
    <row r="736" spans="1:35" x14ac:dyDescent="0.2">
      <c r="A736" s="531"/>
      <c r="B736" s="303"/>
      <c r="C736" s="303"/>
      <c r="D736" s="303"/>
      <c r="E736" s="303"/>
      <c r="F736" s="303"/>
      <c r="G736" s="303"/>
      <c r="H736" s="303"/>
      <c r="I736" s="303"/>
      <c r="J736" s="303"/>
      <c r="K736" s="303"/>
      <c r="L736" s="303"/>
      <c r="M736" s="303"/>
      <c r="N736" s="303"/>
      <c r="O736" s="303"/>
      <c r="P736" s="303"/>
      <c r="Q736" s="303"/>
      <c r="R736" s="303"/>
      <c r="S736" s="303"/>
      <c r="T736" s="303"/>
      <c r="U736" s="303"/>
      <c r="V736" s="303"/>
      <c r="W736" s="303"/>
      <c r="X736" s="303"/>
      <c r="Y736" s="303"/>
      <c r="Z736" s="532"/>
      <c r="AA736" s="530"/>
      <c r="AB736" s="525" t="str">
        <f t="shared" si="12"/>
        <v/>
      </c>
      <c r="AC736" s="525" t="str">
        <f t="shared" si="13"/>
        <v/>
      </c>
      <c r="AD736" s="525" t="str">
        <f t="shared" si="14"/>
        <v/>
      </c>
      <c r="AE736" s="525" t="str">
        <f t="shared" si="15"/>
        <v/>
      </c>
      <c r="AF736" s="525" t="str">
        <f t="shared" si="16"/>
        <v/>
      </c>
      <c r="AG736" s="525" t="str">
        <f t="shared" si="17"/>
        <v/>
      </c>
      <c r="AH736" s="525">
        <f>E736</f>
        <v>0</v>
      </c>
      <c r="AI736" s="525">
        <f>E737</f>
        <v>0</v>
      </c>
    </row>
    <row r="737" spans="1:35" x14ac:dyDescent="0.2">
      <c r="A737" s="531"/>
      <c r="B737" s="303"/>
      <c r="C737" s="303"/>
      <c r="D737" s="303"/>
      <c r="E737" s="303"/>
      <c r="F737" s="303"/>
      <c r="G737" s="303"/>
      <c r="H737" s="303"/>
      <c r="I737" s="303"/>
      <c r="J737" s="303"/>
      <c r="K737" s="303"/>
      <c r="L737" s="303"/>
      <c r="M737" s="303"/>
      <c r="N737" s="303"/>
      <c r="O737" s="303"/>
      <c r="P737" s="303"/>
      <c r="Q737" s="303"/>
      <c r="R737" s="303"/>
      <c r="S737" s="303"/>
      <c r="T737" s="303"/>
      <c r="U737" s="303"/>
      <c r="V737" s="303"/>
      <c r="W737" s="303"/>
      <c r="X737" s="303"/>
      <c r="Y737" s="303"/>
      <c r="Z737" s="532"/>
      <c r="AA737" s="530"/>
      <c r="AB737" s="525" t="str">
        <f t="shared" si="12"/>
        <v/>
      </c>
      <c r="AC737" s="525" t="str">
        <f t="shared" si="13"/>
        <v/>
      </c>
      <c r="AD737" s="525" t="str">
        <f t="shared" si="14"/>
        <v/>
      </c>
      <c r="AE737" s="525" t="str">
        <f t="shared" si="15"/>
        <v/>
      </c>
      <c r="AF737" s="525" t="str">
        <f t="shared" si="16"/>
        <v/>
      </c>
      <c r="AG737" s="525" t="str">
        <f t="shared" si="17"/>
        <v/>
      </c>
      <c r="AH737" s="525">
        <f>E736</f>
        <v>0</v>
      </c>
      <c r="AI737" s="525">
        <f>E737</f>
        <v>0</v>
      </c>
    </row>
    <row r="738" spans="1:35" x14ac:dyDescent="0.2">
      <c r="A738" s="531"/>
      <c r="B738" s="303"/>
      <c r="C738" s="303"/>
      <c r="D738" s="303"/>
      <c r="E738" s="303"/>
      <c r="F738" s="303"/>
      <c r="G738" s="303"/>
      <c r="H738" s="303"/>
      <c r="I738" s="303"/>
      <c r="J738" s="303"/>
      <c r="K738" s="303"/>
      <c r="L738" s="303"/>
      <c r="M738" s="303"/>
      <c r="N738" s="303"/>
      <c r="O738" s="303"/>
      <c r="P738" s="303"/>
      <c r="Q738" s="303"/>
      <c r="R738" s="303"/>
      <c r="S738" s="303"/>
      <c r="T738" s="303"/>
      <c r="U738" s="303"/>
      <c r="V738" s="303"/>
      <c r="W738" s="303"/>
      <c r="X738" s="303"/>
      <c r="Y738" s="303"/>
      <c r="Z738" s="532"/>
      <c r="AA738" s="530"/>
      <c r="AB738" s="525" t="str">
        <f t="shared" si="12"/>
        <v/>
      </c>
      <c r="AC738" s="525" t="str">
        <f t="shared" si="13"/>
        <v/>
      </c>
      <c r="AD738" s="525" t="str">
        <f t="shared" si="14"/>
        <v/>
      </c>
      <c r="AE738" s="525" t="str">
        <f t="shared" si="15"/>
        <v/>
      </c>
      <c r="AF738" s="525" t="str">
        <f t="shared" si="16"/>
        <v/>
      </c>
      <c r="AG738" s="525" t="str">
        <f t="shared" si="17"/>
        <v/>
      </c>
      <c r="AH738" s="525">
        <f>E739</f>
        <v>0</v>
      </c>
      <c r="AI738" s="525">
        <f>E740</f>
        <v>0</v>
      </c>
    </row>
    <row r="739" spans="1:35" x14ac:dyDescent="0.2">
      <c r="A739" s="531"/>
      <c r="B739" s="303"/>
      <c r="C739" s="303"/>
      <c r="D739" s="303"/>
      <c r="E739" s="303"/>
      <c r="F739" s="303"/>
      <c r="G739" s="303"/>
      <c r="H739" s="303"/>
      <c r="I739" s="303"/>
      <c r="J739" s="303"/>
      <c r="K739" s="303"/>
      <c r="L739" s="303"/>
      <c r="M739" s="303"/>
      <c r="N739" s="303"/>
      <c r="O739" s="303"/>
      <c r="P739" s="303"/>
      <c r="Q739" s="303"/>
      <c r="R739" s="303"/>
      <c r="S739" s="303"/>
      <c r="T739" s="303"/>
      <c r="U739" s="303"/>
      <c r="V739" s="303"/>
      <c r="W739" s="303"/>
      <c r="X739" s="303"/>
      <c r="Y739" s="303"/>
      <c r="Z739" s="532"/>
      <c r="AA739" s="530"/>
      <c r="AB739" s="525" t="str">
        <f t="shared" si="12"/>
        <v/>
      </c>
      <c r="AC739" s="525" t="str">
        <f t="shared" si="13"/>
        <v/>
      </c>
      <c r="AD739" s="525" t="str">
        <f t="shared" si="14"/>
        <v/>
      </c>
      <c r="AE739" s="525" t="str">
        <f t="shared" si="15"/>
        <v/>
      </c>
      <c r="AF739" s="525" t="str">
        <f t="shared" si="16"/>
        <v/>
      </c>
      <c r="AG739" s="525" t="str">
        <f t="shared" si="17"/>
        <v/>
      </c>
      <c r="AH739" s="525">
        <f>E739</f>
        <v>0</v>
      </c>
      <c r="AI739" s="525">
        <f>E740</f>
        <v>0</v>
      </c>
    </row>
    <row r="740" spans="1:35" x14ac:dyDescent="0.2">
      <c r="A740" s="531"/>
      <c r="B740" s="303"/>
      <c r="C740" s="303"/>
      <c r="D740" s="303"/>
      <c r="E740" s="303"/>
      <c r="F740" s="303"/>
      <c r="G740" s="303"/>
      <c r="H740" s="303"/>
      <c r="I740" s="303"/>
      <c r="J740" s="303"/>
      <c r="K740" s="303"/>
      <c r="L740" s="303"/>
      <c r="M740" s="303"/>
      <c r="N740" s="303"/>
      <c r="O740" s="303"/>
      <c r="P740" s="303"/>
      <c r="Q740" s="303"/>
      <c r="R740" s="303"/>
      <c r="S740" s="303"/>
      <c r="T740" s="303"/>
      <c r="U740" s="303"/>
      <c r="V740" s="303"/>
      <c r="W740" s="303"/>
      <c r="X740" s="303"/>
      <c r="Y740" s="303"/>
      <c r="Z740" s="532"/>
      <c r="AA740" s="530"/>
      <c r="AB740" s="525" t="str">
        <f t="shared" si="12"/>
        <v/>
      </c>
      <c r="AC740" s="525" t="str">
        <f t="shared" si="13"/>
        <v/>
      </c>
      <c r="AD740" s="525" t="str">
        <f t="shared" si="14"/>
        <v/>
      </c>
      <c r="AE740" s="525" t="str">
        <f t="shared" si="15"/>
        <v/>
      </c>
      <c r="AF740" s="525" t="str">
        <f t="shared" si="16"/>
        <v/>
      </c>
      <c r="AG740" s="525" t="str">
        <f t="shared" si="17"/>
        <v/>
      </c>
      <c r="AH740" s="525">
        <f>E739</f>
        <v>0</v>
      </c>
      <c r="AI740" s="525">
        <f>E740</f>
        <v>0</v>
      </c>
    </row>
    <row r="741" spans="1:35" x14ac:dyDescent="0.2">
      <c r="A741" s="531"/>
      <c r="B741" s="303"/>
      <c r="C741" s="303"/>
      <c r="D741" s="303"/>
      <c r="E741" s="303"/>
      <c r="F741" s="303"/>
      <c r="G741" s="303"/>
      <c r="H741" s="303"/>
      <c r="I741" s="303"/>
      <c r="J741" s="303"/>
      <c r="K741" s="303"/>
      <c r="L741" s="303"/>
      <c r="M741" s="303"/>
      <c r="N741" s="303"/>
      <c r="O741" s="303"/>
      <c r="P741" s="303"/>
      <c r="Q741" s="303"/>
      <c r="R741" s="303"/>
      <c r="S741" s="303"/>
      <c r="T741" s="303"/>
      <c r="U741" s="303"/>
      <c r="V741" s="303"/>
      <c r="W741" s="303"/>
      <c r="X741" s="303"/>
      <c r="Y741" s="303"/>
      <c r="Z741" s="532"/>
      <c r="AA741" s="530"/>
      <c r="AB741" s="525" t="str">
        <f t="shared" si="12"/>
        <v/>
      </c>
      <c r="AC741" s="525" t="str">
        <f t="shared" si="13"/>
        <v/>
      </c>
      <c r="AD741" s="525" t="str">
        <f t="shared" si="14"/>
        <v/>
      </c>
      <c r="AE741" s="525" t="str">
        <f t="shared" si="15"/>
        <v/>
      </c>
      <c r="AF741" s="525" t="str">
        <f t="shared" si="16"/>
        <v/>
      </c>
      <c r="AG741" s="525" t="str">
        <f t="shared" si="17"/>
        <v/>
      </c>
      <c r="AH741" s="525">
        <f>E742</f>
        <v>0</v>
      </c>
      <c r="AI741" s="525">
        <f>E743</f>
        <v>0</v>
      </c>
    </row>
    <row r="742" spans="1:35" x14ac:dyDescent="0.2">
      <c r="A742" s="531"/>
      <c r="B742" s="303"/>
      <c r="C742" s="303"/>
      <c r="D742" s="303"/>
      <c r="E742" s="303"/>
      <c r="F742" s="303"/>
      <c r="G742" s="303"/>
      <c r="H742" s="303"/>
      <c r="I742" s="303"/>
      <c r="J742" s="303"/>
      <c r="K742" s="303"/>
      <c r="L742" s="303"/>
      <c r="M742" s="303"/>
      <c r="N742" s="303"/>
      <c r="O742" s="303"/>
      <c r="P742" s="303"/>
      <c r="Q742" s="303"/>
      <c r="R742" s="303"/>
      <c r="S742" s="303"/>
      <c r="T742" s="303"/>
      <c r="U742" s="303"/>
      <c r="V742" s="303"/>
      <c r="W742" s="303"/>
      <c r="X742" s="303"/>
      <c r="Y742" s="303"/>
      <c r="Z742" s="532"/>
      <c r="AA742" s="530"/>
      <c r="AB742" s="525" t="str">
        <f t="shared" si="12"/>
        <v/>
      </c>
      <c r="AC742" s="525" t="str">
        <f t="shared" si="13"/>
        <v/>
      </c>
      <c r="AD742" s="525" t="str">
        <f t="shared" si="14"/>
        <v/>
      </c>
      <c r="AE742" s="525" t="str">
        <f t="shared" si="15"/>
        <v/>
      </c>
      <c r="AF742" s="525" t="str">
        <f t="shared" si="16"/>
        <v/>
      </c>
      <c r="AG742" s="525" t="str">
        <f t="shared" si="17"/>
        <v/>
      </c>
      <c r="AH742" s="525">
        <f>E742</f>
        <v>0</v>
      </c>
      <c r="AI742" s="525">
        <f>E743</f>
        <v>0</v>
      </c>
    </row>
    <row r="743" spans="1:35" x14ac:dyDescent="0.2">
      <c r="A743" s="531"/>
      <c r="B743" s="303"/>
      <c r="C743" s="303"/>
      <c r="D743" s="303"/>
      <c r="E743" s="303"/>
      <c r="F743" s="303"/>
      <c r="G743" s="303"/>
      <c r="H743" s="303"/>
      <c r="I743" s="303"/>
      <c r="J743" s="303"/>
      <c r="K743" s="303"/>
      <c r="L743" s="303"/>
      <c r="M743" s="303"/>
      <c r="N743" s="303"/>
      <c r="O743" s="303"/>
      <c r="P743" s="303"/>
      <c r="Q743" s="303"/>
      <c r="R743" s="303"/>
      <c r="S743" s="303"/>
      <c r="T743" s="303"/>
      <c r="U743" s="303"/>
      <c r="V743" s="303"/>
      <c r="W743" s="303"/>
      <c r="X743" s="303"/>
      <c r="Y743" s="303"/>
      <c r="Z743" s="532"/>
      <c r="AA743" s="530"/>
      <c r="AB743" s="525" t="str">
        <f t="shared" si="12"/>
        <v/>
      </c>
      <c r="AC743" s="525" t="str">
        <f t="shared" si="13"/>
        <v/>
      </c>
      <c r="AD743" s="525" t="str">
        <f t="shared" si="14"/>
        <v/>
      </c>
      <c r="AE743" s="525" t="str">
        <f t="shared" si="15"/>
        <v/>
      </c>
      <c r="AF743" s="525" t="str">
        <f t="shared" si="16"/>
        <v/>
      </c>
      <c r="AG743" s="525" t="str">
        <f t="shared" si="17"/>
        <v/>
      </c>
      <c r="AH743" s="525">
        <f>E742</f>
        <v>0</v>
      </c>
      <c r="AI743" s="525">
        <f>E743</f>
        <v>0</v>
      </c>
    </row>
    <row r="744" spans="1:35" x14ac:dyDescent="0.2">
      <c r="A744" s="531"/>
      <c r="B744" s="303"/>
      <c r="C744" s="303"/>
      <c r="D744" s="303"/>
      <c r="E744" s="303"/>
      <c r="F744" s="303"/>
      <c r="G744" s="303"/>
      <c r="H744" s="303"/>
      <c r="I744" s="303"/>
      <c r="J744" s="303"/>
      <c r="K744" s="303"/>
      <c r="L744" s="303"/>
      <c r="M744" s="303"/>
      <c r="N744" s="303"/>
      <c r="O744" s="303"/>
      <c r="P744" s="303"/>
      <c r="Q744" s="303"/>
      <c r="R744" s="303"/>
      <c r="S744" s="303"/>
      <c r="T744" s="303"/>
      <c r="U744" s="303"/>
      <c r="V744" s="303"/>
      <c r="W744" s="303"/>
      <c r="X744" s="303"/>
      <c r="Y744" s="303"/>
      <c r="Z744" s="532"/>
      <c r="AA744" s="530"/>
      <c r="AB744" s="525" t="str">
        <f t="shared" si="12"/>
        <v/>
      </c>
      <c r="AC744" s="525" t="str">
        <f t="shared" si="13"/>
        <v/>
      </c>
      <c r="AD744" s="525" t="str">
        <f t="shared" si="14"/>
        <v/>
      </c>
      <c r="AE744" s="525" t="str">
        <f t="shared" si="15"/>
        <v/>
      </c>
      <c r="AF744" s="525" t="str">
        <f t="shared" si="16"/>
        <v/>
      </c>
      <c r="AG744" s="525" t="str">
        <f t="shared" si="17"/>
        <v/>
      </c>
      <c r="AH744" s="525">
        <f>E745</f>
        <v>0</v>
      </c>
      <c r="AI744" s="525">
        <f>E746</f>
        <v>0</v>
      </c>
    </row>
    <row r="745" spans="1:35" x14ac:dyDescent="0.2">
      <c r="A745" s="531"/>
      <c r="B745" s="303"/>
      <c r="C745" s="303"/>
      <c r="D745" s="303"/>
      <c r="E745" s="303"/>
      <c r="F745" s="303"/>
      <c r="G745" s="303"/>
      <c r="H745" s="303"/>
      <c r="I745" s="303"/>
      <c r="J745" s="303"/>
      <c r="K745" s="303"/>
      <c r="L745" s="303"/>
      <c r="M745" s="303"/>
      <c r="N745" s="303"/>
      <c r="O745" s="303"/>
      <c r="P745" s="303"/>
      <c r="Q745" s="303"/>
      <c r="R745" s="303"/>
      <c r="S745" s="303"/>
      <c r="T745" s="303"/>
      <c r="U745" s="303"/>
      <c r="V745" s="303"/>
      <c r="W745" s="303"/>
      <c r="X745" s="303"/>
      <c r="Y745" s="303"/>
      <c r="Z745" s="532"/>
      <c r="AA745" s="530"/>
      <c r="AB745" s="525" t="str">
        <f t="shared" si="12"/>
        <v/>
      </c>
      <c r="AC745" s="525" t="str">
        <f t="shared" si="13"/>
        <v/>
      </c>
      <c r="AD745" s="525" t="str">
        <f t="shared" si="14"/>
        <v/>
      </c>
      <c r="AE745" s="525" t="str">
        <f t="shared" si="15"/>
        <v/>
      </c>
      <c r="AF745" s="525" t="str">
        <f t="shared" si="16"/>
        <v/>
      </c>
      <c r="AG745" s="525" t="str">
        <f t="shared" si="17"/>
        <v/>
      </c>
      <c r="AH745" s="525">
        <f>E745</f>
        <v>0</v>
      </c>
      <c r="AI745" s="525">
        <f>E746</f>
        <v>0</v>
      </c>
    </row>
    <row r="746" spans="1:35" x14ac:dyDescent="0.2">
      <c r="A746" s="531"/>
      <c r="B746" s="303"/>
      <c r="C746" s="303"/>
      <c r="D746" s="303"/>
      <c r="E746" s="303"/>
      <c r="F746" s="303"/>
      <c r="G746" s="303"/>
      <c r="H746" s="303"/>
      <c r="I746" s="303"/>
      <c r="J746" s="303"/>
      <c r="K746" s="303"/>
      <c r="L746" s="303"/>
      <c r="M746" s="303"/>
      <c r="N746" s="303"/>
      <c r="O746" s="303"/>
      <c r="P746" s="303"/>
      <c r="Q746" s="303"/>
      <c r="R746" s="303"/>
      <c r="S746" s="303"/>
      <c r="T746" s="303"/>
      <c r="U746" s="303"/>
      <c r="V746" s="303"/>
      <c r="W746" s="303"/>
      <c r="X746" s="303"/>
      <c r="Y746" s="303"/>
      <c r="Z746" s="532"/>
      <c r="AA746" s="530"/>
      <c r="AB746" s="525" t="str">
        <f t="shared" si="12"/>
        <v/>
      </c>
      <c r="AC746" s="525" t="str">
        <f t="shared" si="13"/>
        <v/>
      </c>
      <c r="AD746" s="525" t="str">
        <f t="shared" si="14"/>
        <v/>
      </c>
      <c r="AE746" s="525" t="str">
        <f t="shared" si="15"/>
        <v/>
      </c>
      <c r="AF746" s="525" t="str">
        <f t="shared" si="16"/>
        <v/>
      </c>
      <c r="AG746" s="525" t="str">
        <f t="shared" si="17"/>
        <v/>
      </c>
      <c r="AH746" s="525">
        <f>E745</f>
        <v>0</v>
      </c>
      <c r="AI746" s="525">
        <f>E746</f>
        <v>0</v>
      </c>
    </row>
    <row r="747" spans="1:35" x14ac:dyDescent="0.2">
      <c r="A747" s="531"/>
      <c r="B747" s="303"/>
      <c r="C747" s="303"/>
      <c r="D747" s="303"/>
      <c r="E747" s="303"/>
      <c r="F747" s="303"/>
      <c r="G747" s="303"/>
      <c r="H747" s="303"/>
      <c r="I747" s="303"/>
      <c r="J747" s="303"/>
      <c r="K747" s="303"/>
      <c r="L747" s="303"/>
      <c r="M747" s="303"/>
      <c r="N747" s="303"/>
      <c r="O747" s="303"/>
      <c r="P747" s="303"/>
      <c r="Q747" s="303"/>
      <c r="R747" s="303"/>
      <c r="S747" s="303"/>
      <c r="T747" s="303"/>
      <c r="U747" s="303"/>
      <c r="V747" s="303"/>
      <c r="W747" s="303"/>
      <c r="X747" s="303"/>
      <c r="Y747" s="303"/>
      <c r="Z747" s="532"/>
      <c r="AA747" s="530"/>
      <c r="AB747" s="525" t="str">
        <f t="shared" si="12"/>
        <v/>
      </c>
      <c r="AC747" s="525" t="str">
        <f t="shared" si="13"/>
        <v/>
      </c>
      <c r="AD747" s="525" t="str">
        <f t="shared" si="14"/>
        <v/>
      </c>
      <c r="AE747" s="525" t="str">
        <f t="shared" si="15"/>
        <v/>
      </c>
      <c r="AF747" s="525" t="str">
        <f t="shared" si="16"/>
        <v/>
      </c>
      <c r="AG747" s="525" t="str">
        <f t="shared" si="17"/>
        <v/>
      </c>
      <c r="AH747" s="525">
        <f>E748</f>
        <v>0</v>
      </c>
      <c r="AI747" s="525">
        <f>E749</f>
        <v>0</v>
      </c>
    </row>
    <row r="748" spans="1:35" x14ac:dyDescent="0.2">
      <c r="A748" s="531"/>
      <c r="B748" s="303"/>
      <c r="C748" s="303"/>
      <c r="D748" s="303"/>
      <c r="E748" s="303"/>
      <c r="F748" s="303"/>
      <c r="G748" s="303"/>
      <c r="H748" s="303"/>
      <c r="I748" s="303"/>
      <c r="J748" s="303"/>
      <c r="K748" s="303"/>
      <c r="L748" s="303"/>
      <c r="M748" s="303"/>
      <c r="N748" s="303"/>
      <c r="O748" s="303"/>
      <c r="P748" s="303"/>
      <c r="Q748" s="303"/>
      <c r="R748" s="303"/>
      <c r="S748" s="303"/>
      <c r="T748" s="303"/>
      <c r="U748" s="303"/>
      <c r="V748" s="303"/>
      <c r="W748" s="303"/>
      <c r="X748" s="303"/>
      <c r="Y748" s="303"/>
      <c r="Z748" s="532"/>
      <c r="AA748" s="530"/>
      <c r="AB748" s="525" t="str">
        <f t="shared" si="12"/>
        <v/>
      </c>
      <c r="AC748" s="525" t="str">
        <f t="shared" si="13"/>
        <v/>
      </c>
      <c r="AD748" s="525" t="str">
        <f t="shared" si="14"/>
        <v/>
      </c>
      <c r="AE748" s="525" t="str">
        <f t="shared" si="15"/>
        <v/>
      </c>
      <c r="AF748" s="525" t="str">
        <f t="shared" si="16"/>
        <v/>
      </c>
      <c r="AG748" s="525" t="str">
        <f t="shared" si="17"/>
        <v/>
      </c>
      <c r="AH748" s="525">
        <f>E748</f>
        <v>0</v>
      </c>
      <c r="AI748" s="525">
        <f>E749</f>
        <v>0</v>
      </c>
    </row>
    <row r="749" spans="1:35" x14ac:dyDescent="0.2">
      <c r="A749" s="531"/>
      <c r="B749" s="303"/>
      <c r="C749" s="303"/>
      <c r="D749" s="303"/>
      <c r="E749" s="303"/>
      <c r="F749" s="303"/>
      <c r="G749" s="303"/>
      <c r="H749" s="303"/>
      <c r="I749" s="303"/>
      <c r="J749" s="303"/>
      <c r="K749" s="303"/>
      <c r="L749" s="303"/>
      <c r="M749" s="303"/>
      <c r="N749" s="303"/>
      <c r="O749" s="303"/>
      <c r="P749" s="303"/>
      <c r="Q749" s="303"/>
      <c r="R749" s="303"/>
      <c r="S749" s="303"/>
      <c r="T749" s="303"/>
      <c r="U749" s="303"/>
      <c r="V749" s="303"/>
      <c r="W749" s="303"/>
      <c r="X749" s="303"/>
      <c r="Y749" s="303"/>
      <c r="Z749" s="532"/>
      <c r="AA749" s="530"/>
      <c r="AB749" s="525" t="str">
        <f t="shared" si="12"/>
        <v/>
      </c>
      <c r="AC749" s="525" t="str">
        <f t="shared" si="13"/>
        <v/>
      </c>
      <c r="AD749" s="525" t="str">
        <f t="shared" si="14"/>
        <v/>
      </c>
      <c r="AE749" s="525" t="str">
        <f t="shared" si="15"/>
        <v/>
      </c>
      <c r="AF749" s="525" t="str">
        <f t="shared" si="16"/>
        <v/>
      </c>
      <c r="AG749" s="525" t="str">
        <f t="shared" si="17"/>
        <v/>
      </c>
      <c r="AH749" s="525">
        <f>E748</f>
        <v>0</v>
      </c>
      <c r="AI749" s="525">
        <f>E749</f>
        <v>0</v>
      </c>
    </row>
    <row r="750" spans="1:35" x14ac:dyDescent="0.2">
      <c r="A750" s="531"/>
      <c r="B750" s="303"/>
      <c r="C750" s="303"/>
      <c r="D750" s="303"/>
      <c r="E750" s="303"/>
      <c r="F750" s="303"/>
      <c r="G750" s="303"/>
      <c r="H750" s="303"/>
      <c r="I750" s="303"/>
      <c r="J750" s="303"/>
      <c r="K750" s="303"/>
      <c r="L750" s="303"/>
      <c r="M750" s="303"/>
      <c r="N750" s="303"/>
      <c r="O750" s="303"/>
      <c r="P750" s="303"/>
      <c r="Q750" s="303"/>
      <c r="R750" s="303"/>
      <c r="S750" s="303"/>
      <c r="T750" s="303"/>
      <c r="U750" s="303"/>
      <c r="V750" s="303"/>
      <c r="W750" s="303"/>
      <c r="X750" s="303"/>
      <c r="Y750" s="303"/>
      <c r="Z750" s="532"/>
      <c r="AA750" s="530"/>
      <c r="AB750" s="525" t="str">
        <f t="shared" si="12"/>
        <v/>
      </c>
      <c r="AC750" s="525" t="str">
        <f t="shared" si="13"/>
        <v/>
      </c>
      <c r="AD750" s="525" t="str">
        <f t="shared" si="14"/>
        <v/>
      </c>
      <c r="AE750" s="525" t="str">
        <f t="shared" si="15"/>
        <v/>
      </c>
      <c r="AF750" s="525" t="str">
        <f t="shared" si="16"/>
        <v/>
      </c>
      <c r="AG750" s="525" t="str">
        <f t="shared" si="17"/>
        <v/>
      </c>
      <c r="AH750" s="525">
        <f>E751</f>
        <v>0</v>
      </c>
      <c r="AI750" s="525">
        <f>E752</f>
        <v>0</v>
      </c>
    </row>
    <row r="751" spans="1:35" x14ac:dyDescent="0.2">
      <c r="A751" s="531"/>
      <c r="B751" s="303"/>
      <c r="C751" s="303"/>
      <c r="D751" s="303"/>
      <c r="E751" s="303"/>
      <c r="F751" s="303"/>
      <c r="G751" s="303"/>
      <c r="H751" s="303"/>
      <c r="I751" s="303"/>
      <c r="J751" s="303"/>
      <c r="K751" s="303"/>
      <c r="L751" s="303"/>
      <c r="M751" s="303"/>
      <c r="N751" s="303"/>
      <c r="O751" s="303"/>
      <c r="P751" s="303"/>
      <c r="Q751" s="303"/>
      <c r="R751" s="303"/>
      <c r="S751" s="303"/>
      <c r="T751" s="303"/>
      <c r="U751" s="303"/>
      <c r="V751" s="303"/>
      <c r="W751" s="303"/>
      <c r="X751" s="303"/>
      <c r="Y751" s="303"/>
      <c r="Z751" s="532"/>
      <c r="AA751" s="530"/>
      <c r="AB751" s="525" t="str">
        <f t="shared" si="12"/>
        <v/>
      </c>
      <c r="AC751" s="525" t="str">
        <f t="shared" si="13"/>
        <v/>
      </c>
      <c r="AD751" s="525" t="str">
        <f t="shared" si="14"/>
        <v/>
      </c>
      <c r="AE751" s="525" t="str">
        <f t="shared" si="15"/>
        <v/>
      </c>
      <c r="AF751" s="525" t="str">
        <f t="shared" si="16"/>
        <v/>
      </c>
      <c r="AG751" s="525" t="str">
        <f t="shared" si="17"/>
        <v/>
      </c>
      <c r="AH751" s="525">
        <f>E751</f>
        <v>0</v>
      </c>
      <c r="AI751" s="525">
        <f>E752</f>
        <v>0</v>
      </c>
    </row>
    <row r="752" spans="1:35" x14ac:dyDescent="0.2">
      <c r="A752" s="531"/>
      <c r="B752" s="303"/>
      <c r="C752" s="303"/>
      <c r="D752" s="303"/>
      <c r="E752" s="303"/>
      <c r="F752" s="303"/>
      <c r="G752" s="303"/>
      <c r="H752" s="303"/>
      <c r="I752" s="303"/>
      <c r="J752" s="303"/>
      <c r="K752" s="303"/>
      <c r="L752" s="303"/>
      <c r="M752" s="303"/>
      <c r="N752" s="303"/>
      <c r="O752" s="303"/>
      <c r="P752" s="303"/>
      <c r="Q752" s="303"/>
      <c r="R752" s="303"/>
      <c r="S752" s="303"/>
      <c r="T752" s="303"/>
      <c r="U752" s="303"/>
      <c r="V752" s="303"/>
      <c r="W752" s="303"/>
      <c r="X752" s="303"/>
      <c r="Y752" s="303"/>
      <c r="Z752" s="532"/>
      <c r="AA752" s="530"/>
      <c r="AB752" s="525" t="str">
        <f t="shared" si="12"/>
        <v/>
      </c>
      <c r="AC752" s="525" t="str">
        <f t="shared" si="13"/>
        <v/>
      </c>
      <c r="AD752" s="525" t="str">
        <f t="shared" si="14"/>
        <v/>
      </c>
      <c r="AE752" s="525" t="str">
        <f t="shared" si="15"/>
        <v/>
      </c>
      <c r="AF752" s="525" t="str">
        <f t="shared" si="16"/>
        <v/>
      </c>
      <c r="AG752" s="525" t="str">
        <f t="shared" si="17"/>
        <v/>
      </c>
      <c r="AH752" s="525">
        <f>E751</f>
        <v>0</v>
      </c>
      <c r="AI752" s="525">
        <f>E752</f>
        <v>0</v>
      </c>
    </row>
    <row r="753" spans="1:35" x14ac:dyDescent="0.2">
      <c r="A753" s="531"/>
      <c r="B753" s="303"/>
      <c r="C753" s="303"/>
      <c r="D753" s="303"/>
      <c r="E753" s="303"/>
      <c r="F753" s="303"/>
      <c r="G753" s="303"/>
      <c r="H753" s="303"/>
      <c r="I753" s="303"/>
      <c r="J753" s="303"/>
      <c r="K753" s="303"/>
      <c r="L753" s="303"/>
      <c r="M753" s="303"/>
      <c r="N753" s="303"/>
      <c r="O753" s="303"/>
      <c r="P753" s="303"/>
      <c r="Q753" s="303"/>
      <c r="R753" s="303"/>
      <c r="S753" s="303"/>
      <c r="T753" s="303"/>
      <c r="U753" s="303"/>
      <c r="V753" s="303"/>
      <c r="W753" s="303"/>
      <c r="X753" s="303"/>
      <c r="Y753" s="303"/>
      <c r="Z753" s="532"/>
      <c r="AA753" s="530"/>
      <c r="AB753" s="525" t="str">
        <f t="shared" si="12"/>
        <v/>
      </c>
      <c r="AC753" s="525" t="str">
        <f t="shared" si="13"/>
        <v/>
      </c>
      <c r="AD753" s="525" t="str">
        <f t="shared" si="14"/>
        <v/>
      </c>
      <c r="AE753" s="525" t="str">
        <f t="shared" si="15"/>
        <v/>
      </c>
      <c r="AF753" s="525" t="str">
        <f t="shared" si="16"/>
        <v/>
      </c>
      <c r="AG753" s="525" t="str">
        <f t="shared" si="17"/>
        <v/>
      </c>
      <c r="AH753" s="525">
        <f>E754</f>
        <v>0</v>
      </c>
      <c r="AI753" s="525">
        <f>E755</f>
        <v>0</v>
      </c>
    </row>
    <row r="754" spans="1:35" x14ac:dyDescent="0.2">
      <c r="A754" s="531"/>
      <c r="B754" s="303"/>
      <c r="C754" s="303"/>
      <c r="D754" s="303"/>
      <c r="E754" s="303"/>
      <c r="F754" s="303"/>
      <c r="G754" s="303"/>
      <c r="H754" s="303"/>
      <c r="I754" s="303"/>
      <c r="J754" s="303"/>
      <c r="K754" s="303"/>
      <c r="L754" s="303"/>
      <c r="M754" s="303"/>
      <c r="N754" s="303"/>
      <c r="O754" s="303"/>
      <c r="P754" s="303"/>
      <c r="Q754" s="303"/>
      <c r="R754" s="303"/>
      <c r="S754" s="303"/>
      <c r="T754" s="303"/>
      <c r="U754" s="303"/>
      <c r="V754" s="303"/>
      <c r="W754" s="303"/>
      <c r="X754" s="303"/>
      <c r="Y754" s="303"/>
      <c r="Z754" s="532"/>
      <c r="AA754" s="530"/>
      <c r="AB754" s="525" t="str">
        <f t="shared" si="12"/>
        <v/>
      </c>
      <c r="AC754" s="525" t="str">
        <f t="shared" si="13"/>
        <v/>
      </c>
      <c r="AD754" s="525" t="str">
        <f t="shared" si="14"/>
        <v/>
      </c>
      <c r="AE754" s="525" t="str">
        <f t="shared" si="15"/>
        <v/>
      </c>
      <c r="AF754" s="525" t="str">
        <f t="shared" si="16"/>
        <v/>
      </c>
      <c r="AG754" s="525" t="str">
        <f t="shared" si="17"/>
        <v/>
      </c>
      <c r="AH754" s="525">
        <f>E754</f>
        <v>0</v>
      </c>
      <c r="AI754" s="525">
        <f>E755</f>
        <v>0</v>
      </c>
    </row>
    <row r="755" spans="1:35" x14ac:dyDescent="0.2">
      <c r="A755" s="531"/>
      <c r="B755" s="303"/>
      <c r="C755" s="303"/>
      <c r="D755" s="303"/>
      <c r="E755" s="303"/>
      <c r="F755" s="303"/>
      <c r="G755" s="303"/>
      <c r="H755" s="303"/>
      <c r="I755" s="303"/>
      <c r="J755" s="303"/>
      <c r="K755" s="303"/>
      <c r="L755" s="303"/>
      <c r="M755" s="303"/>
      <c r="N755" s="303"/>
      <c r="O755" s="303"/>
      <c r="P755" s="303"/>
      <c r="Q755" s="303"/>
      <c r="R755" s="303"/>
      <c r="S755" s="303"/>
      <c r="T755" s="303"/>
      <c r="U755" s="303"/>
      <c r="V755" s="303"/>
      <c r="W755" s="303"/>
      <c r="X755" s="303"/>
      <c r="Y755" s="303"/>
      <c r="Z755" s="532"/>
      <c r="AA755" s="530"/>
      <c r="AB755" s="525" t="str">
        <f t="shared" si="12"/>
        <v/>
      </c>
      <c r="AC755" s="525" t="str">
        <f t="shared" si="13"/>
        <v/>
      </c>
      <c r="AD755" s="525" t="str">
        <f t="shared" si="14"/>
        <v/>
      </c>
      <c r="AE755" s="525" t="str">
        <f t="shared" si="15"/>
        <v/>
      </c>
      <c r="AF755" s="525" t="str">
        <f t="shared" si="16"/>
        <v/>
      </c>
      <c r="AG755" s="525" t="str">
        <f t="shared" si="17"/>
        <v/>
      </c>
      <c r="AH755" s="525">
        <f>E754</f>
        <v>0</v>
      </c>
      <c r="AI755" s="525">
        <f>E755</f>
        <v>0</v>
      </c>
    </row>
    <row r="756" spans="1:35" x14ac:dyDescent="0.2">
      <c r="A756" s="531"/>
      <c r="B756" s="303"/>
      <c r="C756" s="303"/>
      <c r="D756" s="303"/>
      <c r="E756" s="303"/>
      <c r="F756" s="303"/>
      <c r="G756" s="303"/>
      <c r="H756" s="303"/>
      <c r="I756" s="303"/>
      <c r="J756" s="303"/>
      <c r="K756" s="303"/>
      <c r="L756" s="303"/>
      <c r="M756" s="303"/>
      <c r="N756" s="303"/>
      <c r="O756" s="303"/>
      <c r="P756" s="303"/>
      <c r="Q756" s="303"/>
      <c r="R756" s="303"/>
      <c r="S756" s="303"/>
      <c r="T756" s="303"/>
      <c r="U756" s="303"/>
      <c r="V756" s="303"/>
      <c r="W756" s="303"/>
      <c r="X756" s="303"/>
      <c r="Y756" s="303"/>
      <c r="Z756" s="532"/>
      <c r="AA756" s="530"/>
      <c r="AB756" s="525" t="str">
        <f t="shared" si="12"/>
        <v/>
      </c>
      <c r="AC756" s="525" t="str">
        <f t="shared" si="13"/>
        <v/>
      </c>
      <c r="AD756" s="525" t="str">
        <f t="shared" si="14"/>
        <v/>
      </c>
      <c r="AE756" s="525" t="str">
        <f t="shared" si="15"/>
        <v/>
      </c>
      <c r="AF756" s="525" t="str">
        <f t="shared" si="16"/>
        <v/>
      </c>
      <c r="AG756" s="525" t="str">
        <f t="shared" si="17"/>
        <v/>
      </c>
      <c r="AH756" s="525">
        <f>E757</f>
        <v>0</v>
      </c>
      <c r="AI756" s="525">
        <f>E758</f>
        <v>0</v>
      </c>
    </row>
    <row r="757" spans="1:35" x14ac:dyDescent="0.2">
      <c r="A757" s="531"/>
      <c r="B757" s="303"/>
      <c r="C757" s="303"/>
      <c r="D757" s="303"/>
      <c r="E757" s="303"/>
      <c r="F757" s="303"/>
      <c r="G757" s="303"/>
      <c r="H757" s="303"/>
      <c r="I757" s="303"/>
      <c r="J757" s="303"/>
      <c r="K757" s="303"/>
      <c r="L757" s="303"/>
      <c r="M757" s="303"/>
      <c r="N757" s="303"/>
      <c r="O757" s="303"/>
      <c r="P757" s="303"/>
      <c r="Q757" s="303"/>
      <c r="R757" s="303"/>
      <c r="S757" s="303"/>
      <c r="T757" s="303"/>
      <c r="U757" s="303"/>
      <c r="V757" s="303"/>
      <c r="W757" s="303"/>
      <c r="X757" s="303"/>
      <c r="Y757" s="303"/>
      <c r="Z757" s="532"/>
      <c r="AA757" s="530"/>
      <c r="AB757" s="525" t="str">
        <f t="shared" si="12"/>
        <v/>
      </c>
      <c r="AC757" s="525" t="str">
        <f t="shared" si="13"/>
        <v/>
      </c>
      <c r="AD757" s="525" t="str">
        <f t="shared" si="14"/>
        <v/>
      </c>
      <c r="AE757" s="525" t="str">
        <f t="shared" si="15"/>
        <v/>
      </c>
      <c r="AF757" s="525" t="str">
        <f t="shared" si="16"/>
        <v/>
      </c>
      <c r="AG757" s="525" t="str">
        <f t="shared" si="17"/>
        <v/>
      </c>
      <c r="AH757" s="525">
        <f>E757</f>
        <v>0</v>
      </c>
      <c r="AI757" s="525">
        <f>E758</f>
        <v>0</v>
      </c>
    </row>
    <row r="758" spans="1:35" x14ac:dyDescent="0.2">
      <c r="A758" s="531"/>
      <c r="B758" s="303"/>
      <c r="C758" s="303"/>
      <c r="D758" s="303"/>
      <c r="E758" s="303"/>
      <c r="F758" s="303"/>
      <c r="G758" s="303"/>
      <c r="H758" s="303"/>
      <c r="I758" s="303"/>
      <c r="J758" s="303"/>
      <c r="K758" s="303"/>
      <c r="L758" s="303"/>
      <c r="M758" s="303"/>
      <c r="N758" s="303"/>
      <c r="O758" s="303"/>
      <c r="P758" s="303"/>
      <c r="Q758" s="303"/>
      <c r="R758" s="303"/>
      <c r="S758" s="303"/>
      <c r="T758" s="303"/>
      <c r="U758" s="303"/>
      <c r="V758" s="303"/>
      <c r="W758" s="303"/>
      <c r="X758" s="303"/>
      <c r="Y758" s="303"/>
      <c r="Z758" s="532"/>
      <c r="AA758" s="530"/>
      <c r="AB758" s="525" t="str">
        <f t="shared" si="12"/>
        <v/>
      </c>
      <c r="AC758" s="525" t="str">
        <f t="shared" si="13"/>
        <v/>
      </c>
      <c r="AD758" s="525" t="str">
        <f t="shared" si="14"/>
        <v/>
      </c>
      <c r="AE758" s="525" t="str">
        <f t="shared" si="15"/>
        <v/>
      </c>
      <c r="AF758" s="525" t="str">
        <f t="shared" si="16"/>
        <v/>
      </c>
      <c r="AG758" s="525" t="str">
        <f t="shared" si="17"/>
        <v/>
      </c>
      <c r="AH758" s="525">
        <f>E757</f>
        <v>0</v>
      </c>
      <c r="AI758" s="525">
        <f>E758</f>
        <v>0</v>
      </c>
    </row>
    <row r="759" spans="1:35" x14ac:dyDescent="0.2">
      <c r="A759" s="531"/>
      <c r="B759" s="303"/>
      <c r="C759" s="303"/>
      <c r="D759" s="303"/>
      <c r="E759" s="303"/>
      <c r="F759" s="303"/>
      <c r="G759" s="303"/>
      <c r="H759" s="303"/>
      <c r="I759" s="303"/>
      <c r="J759" s="303"/>
      <c r="K759" s="303"/>
      <c r="L759" s="303"/>
      <c r="M759" s="303"/>
      <c r="N759" s="303"/>
      <c r="O759" s="303"/>
      <c r="P759" s="303"/>
      <c r="Q759" s="303"/>
      <c r="R759" s="303"/>
      <c r="S759" s="303"/>
      <c r="T759" s="303"/>
      <c r="U759" s="303"/>
      <c r="V759" s="303"/>
      <c r="W759" s="303"/>
      <c r="X759" s="303"/>
      <c r="Y759" s="303"/>
      <c r="Z759" s="532"/>
      <c r="AA759" s="530"/>
      <c r="AB759" s="525" t="str">
        <f t="shared" si="12"/>
        <v/>
      </c>
      <c r="AC759" s="525" t="str">
        <f t="shared" si="13"/>
        <v/>
      </c>
      <c r="AD759" s="525" t="str">
        <f t="shared" si="14"/>
        <v/>
      </c>
      <c r="AE759" s="525" t="str">
        <f t="shared" si="15"/>
        <v/>
      </c>
      <c r="AF759" s="525" t="str">
        <f t="shared" si="16"/>
        <v/>
      </c>
      <c r="AG759" s="525" t="str">
        <f t="shared" si="17"/>
        <v/>
      </c>
      <c r="AH759" s="525">
        <f>E760</f>
        <v>0</v>
      </c>
      <c r="AI759" s="525">
        <f>E761</f>
        <v>0</v>
      </c>
    </row>
    <row r="760" spans="1:35" x14ac:dyDescent="0.2">
      <c r="A760" s="531"/>
      <c r="B760" s="303"/>
      <c r="C760" s="303"/>
      <c r="D760" s="303"/>
      <c r="E760" s="303"/>
      <c r="F760" s="303"/>
      <c r="G760" s="303"/>
      <c r="H760" s="303"/>
      <c r="I760" s="303"/>
      <c r="J760" s="303"/>
      <c r="K760" s="303"/>
      <c r="L760" s="303"/>
      <c r="M760" s="303"/>
      <c r="N760" s="303"/>
      <c r="O760" s="303"/>
      <c r="P760" s="303"/>
      <c r="Q760" s="303"/>
      <c r="R760" s="303"/>
      <c r="S760" s="303"/>
      <c r="T760" s="303"/>
      <c r="U760" s="303"/>
      <c r="V760" s="303"/>
      <c r="W760" s="303"/>
      <c r="X760" s="303"/>
      <c r="Y760" s="303"/>
      <c r="Z760" s="532"/>
      <c r="AA760" s="530"/>
      <c r="AB760" s="525" t="str">
        <f t="shared" si="12"/>
        <v/>
      </c>
      <c r="AC760" s="525" t="str">
        <f t="shared" si="13"/>
        <v/>
      </c>
      <c r="AD760" s="525" t="str">
        <f t="shared" si="14"/>
        <v/>
      </c>
      <c r="AE760" s="525" t="str">
        <f t="shared" si="15"/>
        <v/>
      </c>
      <c r="AF760" s="525" t="str">
        <f t="shared" si="16"/>
        <v/>
      </c>
      <c r="AG760" s="525" t="str">
        <f t="shared" si="17"/>
        <v/>
      </c>
      <c r="AH760" s="525">
        <f>E760</f>
        <v>0</v>
      </c>
      <c r="AI760" s="525">
        <f>E761</f>
        <v>0</v>
      </c>
    </row>
    <row r="761" spans="1:35" x14ac:dyDescent="0.2">
      <c r="A761" s="531"/>
      <c r="B761" s="303"/>
      <c r="C761" s="303"/>
      <c r="D761" s="303"/>
      <c r="E761" s="303"/>
      <c r="F761" s="303"/>
      <c r="G761" s="303"/>
      <c r="H761" s="303"/>
      <c r="I761" s="303"/>
      <c r="J761" s="303"/>
      <c r="K761" s="303"/>
      <c r="L761" s="303"/>
      <c r="M761" s="303"/>
      <c r="N761" s="303"/>
      <c r="O761" s="303"/>
      <c r="P761" s="303"/>
      <c r="Q761" s="303"/>
      <c r="R761" s="303"/>
      <c r="S761" s="303"/>
      <c r="T761" s="303"/>
      <c r="U761" s="303"/>
      <c r="V761" s="303"/>
      <c r="W761" s="303"/>
      <c r="X761" s="303"/>
      <c r="Y761" s="303"/>
      <c r="Z761" s="532"/>
      <c r="AA761" s="530"/>
      <c r="AB761" s="525" t="str">
        <f t="shared" si="12"/>
        <v/>
      </c>
      <c r="AC761" s="525" t="str">
        <f t="shared" si="13"/>
        <v/>
      </c>
      <c r="AD761" s="525" t="str">
        <f t="shared" si="14"/>
        <v/>
      </c>
      <c r="AE761" s="525" t="str">
        <f t="shared" si="15"/>
        <v/>
      </c>
      <c r="AF761" s="525" t="str">
        <f t="shared" si="16"/>
        <v/>
      </c>
      <c r="AG761" s="525" t="str">
        <f t="shared" si="17"/>
        <v/>
      </c>
      <c r="AH761" s="525">
        <f>E760</f>
        <v>0</v>
      </c>
      <c r="AI761" s="525">
        <f>E761</f>
        <v>0</v>
      </c>
    </row>
    <row r="762" spans="1:35" x14ac:dyDescent="0.2">
      <c r="A762" s="531"/>
      <c r="B762" s="303"/>
      <c r="C762" s="303"/>
      <c r="D762" s="303"/>
      <c r="E762" s="303"/>
      <c r="F762" s="303"/>
      <c r="G762" s="303"/>
      <c r="H762" s="303"/>
      <c r="I762" s="303"/>
      <c r="J762" s="303"/>
      <c r="K762" s="303"/>
      <c r="L762" s="303"/>
      <c r="M762" s="303"/>
      <c r="N762" s="303"/>
      <c r="O762" s="303"/>
      <c r="P762" s="303"/>
      <c r="Q762" s="303"/>
      <c r="R762" s="303"/>
      <c r="S762" s="303"/>
      <c r="T762" s="303"/>
      <c r="U762" s="303"/>
      <c r="V762" s="303"/>
      <c r="W762" s="303"/>
      <c r="X762" s="303"/>
      <c r="Y762" s="303"/>
      <c r="Z762" s="532"/>
      <c r="AA762" s="530"/>
      <c r="AB762" s="525" t="str">
        <f t="shared" si="12"/>
        <v/>
      </c>
      <c r="AC762" s="525" t="str">
        <f t="shared" si="13"/>
        <v/>
      </c>
      <c r="AD762" s="525" t="str">
        <f t="shared" si="14"/>
        <v/>
      </c>
      <c r="AE762" s="525" t="str">
        <f t="shared" si="15"/>
        <v/>
      </c>
      <c r="AF762" s="525" t="str">
        <f t="shared" si="16"/>
        <v/>
      </c>
      <c r="AG762" s="525" t="str">
        <f t="shared" si="17"/>
        <v/>
      </c>
      <c r="AH762" s="525">
        <f>E763</f>
        <v>0</v>
      </c>
      <c r="AI762" s="525">
        <f>E764</f>
        <v>0</v>
      </c>
    </row>
    <row r="763" spans="1:35" x14ac:dyDescent="0.2">
      <c r="A763" s="531"/>
      <c r="B763" s="303"/>
      <c r="C763" s="303"/>
      <c r="D763" s="303"/>
      <c r="E763" s="303"/>
      <c r="F763" s="303"/>
      <c r="G763" s="303"/>
      <c r="H763" s="303"/>
      <c r="I763" s="303"/>
      <c r="J763" s="303"/>
      <c r="K763" s="303"/>
      <c r="L763" s="303"/>
      <c r="M763" s="303"/>
      <c r="N763" s="303"/>
      <c r="O763" s="303"/>
      <c r="P763" s="303"/>
      <c r="Q763" s="303"/>
      <c r="R763" s="303"/>
      <c r="S763" s="303"/>
      <c r="T763" s="303"/>
      <c r="U763" s="303"/>
      <c r="V763" s="303"/>
      <c r="W763" s="303"/>
      <c r="X763" s="303"/>
      <c r="Y763" s="303"/>
      <c r="Z763" s="532"/>
      <c r="AA763" s="530"/>
      <c r="AB763" s="525" t="str">
        <f t="shared" si="12"/>
        <v/>
      </c>
      <c r="AC763" s="525" t="str">
        <f t="shared" si="13"/>
        <v/>
      </c>
      <c r="AD763" s="525" t="str">
        <f t="shared" si="14"/>
        <v/>
      </c>
      <c r="AE763" s="525" t="str">
        <f t="shared" si="15"/>
        <v/>
      </c>
      <c r="AF763" s="525" t="str">
        <f t="shared" si="16"/>
        <v/>
      </c>
      <c r="AG763" s="525" t="str">
        <f t="shared" si="17"/>
        <v/>
      </c>
      <c r="AH763" s="525">
        <f>E763</f>
        <v>0</v>
      </c>
      <c r="AI763" s="525">
        <f>E764</f>
        <v>0</v>
      </c>
    </row>
    <row r="764" spans="1:35" x14ac:dyDescent="0.2">
      <c r="A764" s="531"/>
      <c r="B764" s="303"/>
      <c r="C764" s="303"/>
      <c r="D764" s="303"/>
      <c r="E764" s="303"/>
      <c r="F764" s="303"/>
      <c r="G764" s="303"/>
      <c r="H764" s="303"/>
      <c r="I764" s="303"/>
      <c r="J764" s="303"/>
      <c r="K764" s="303"/>
      <c r="L764" s="303"/>
      <c r="M764" s="303"/>
      <c r="N764" s="303"/>
      <c r="O764" s="303"/>
      <c r="P764" s="303"/>
      <c r="Q764" s="303"/>
      <c r="R764" s="303"/>
      <c r="S764" s="303"/>
      <c r="T764" s="303"/>
      <c r="U764" s="303"/>
      <c r="V764" s="303"/>
      <c r="W764" s="303"/>
      <c r="X764" s="303"/>
      <c r="Y764" s="303"/>
      <c r="Z764" s="532"/>
      <c r="AA764" s="530"/>
      <c r="AB764" s="525" t="str">
        <f t="shared" si="12"/>
        <v/>
      </c>
      <c r="AC764" s="525" t="str">
        <f t="shared" si="13"/>
        <v/>
      </c>
      <c r="AD764" s="525" t="str">
        <f t="shared" si="14"/>
        <v/>
      </c>
      <c r="AE764" s="525" t="str">
        <f t="shared" si="15"/>
        <v/>
      </c>
      <c r="AF764" s="525" t="str">
        <f t="shared" si="16"/>
        <v/>
      </c>
      <c r="AG764" s="525" t="str">
        <f t="shared" si="17"/>
        <v/>
      </c>
      <c r="AH764" s="525">
        <f>E763</f>
        <v>0</v>
      </c>
      <c r="AI764" s="525">
        <f>E764</f>
        <v>0</v>
      </c>
    </row>
    <row r="765" spans="1:35" x14ac:dyDescent="0.2">
      <c r="A765" s="531"/>
      <c r="B765" s="303"/>
      <c r="C765" s="303"/>
      <c r="D765" s="303"/>
      <c r="E765" s="303"/>
      <c r="F765" s="303"/>
      <c r="G765" s="303"/>
      <c r="H765" s="303"/>
      <c r="I765" s="303"/>
      <c r="J765" s="303"/>
      <c r="K765" s="303"/>
      <c r="L765" s="303"/>
      <c r="M765" s="303"/>
      <c r="N765" s="303"/>
      <c r="O765" s="303"/>
      <c r="P765" s="303"/>
      <c r="Q765" s="303"/>
      <c r="R765" s="303"/>
      <c r="S765" s="303"/>
      <c r="T765" s="303"/>
      <c r="U765" s="303"/>
      <c r="V765" s="303"/>
      <c r="W765" s="303"/>
      <c r="X765" s="303"/>
      <c r="Y765" s="303"/>
      <c r="Z765" s="532"/>
      <c r="AA765" s="530"/>
      <c r="AB765" s="525" t="str">
        <f t="shared" si="12"/>
        <v/>
      </c>
      <c r="AC765" s="525" t="str">
        <f t="shared" si="13"/>
        <v/>
      </c>
      <c r="AD765" s="525" t="str">
        <f t="shared" si="14"/>
        <v/>
      </c>
      <c r="AE765" s="525" t="str">
        <f t="shared" si="15"/>
        <v/>
      </c>
      <c r="AF765" s="525" t="str">
        <f t="shared" si="16"/>
        <v/>
      </c>
      <c r="AG765" s="525" t="str">
        <f t="shared" si="17"/>
        <v/>
      </c>
      <c r="AH765" s="525">
        <f>E766</f>
        <v>0</v>
      </c>
      <c r="AI765" s="525">
        <f>E767</f>
        <v>0</v>
      </c>
    </row>
    <row r="766" spans="1:35" x14ac:dyDescent="0.2">
      <c r="A766" s="531"/>
      <c r="B766" s="303"/>
      <c r="C766" s="303"/>
      <c r="D766" s="303"/>
      <c r="E766" s="303"/>
      <c r="F766" s="303"/>
      <c r="G766" s="303"/>
      <c r="H766" s="303"/>
      <c r="I766" s="303"/>
      <c r="J766" s="303"/>
      <c r="K766" s="303"/>
      <c r="L766" s="303"/>
      <c r="M766" s="303"/>
      <c r="N766" s="303"/>
      <c r="O766" s="303"/>
      <c r="P766" s="303"/>
      <c r="Q766" s="303"/>
      <c r="R766" s="303"/>
      <c r="S766" s="303"/>
      <c r="T766" s="303"/>
      <c r="U766" s="303"/>
      <c r="V766" s="303"/>
      <c r="W766" s="303"/>
      <c r="X766" s="303"/>
      <c r="Y766" s="303"/>
      <c r="Z766" s="532"/>
      <c r="AA766" s="530"/>
      <c r="AB766" s="525" t="str">
        <f t="shared" si="12"/>
        <v/>
      </c>
      <c r="AC766" s="525" t="str">
        <f t="shared" si="13"/>
        <v/>
      </c>
      <c r="AD766" s="525" t="str">
        <f t="shared" si="14"/>
        <v/>
      </c>
      <c r="AE766" s="525" t="str">
        <f t="shared" si="15"/>
        <v/>
      </c>
      <c r="AF766" s="525" t="str">
        <f t="shared" si="16"/>
        <v/>
      </c>
      <c r="AG766" s="525" t="str">
        <f t="shared" si="17"/>
        <v/>
      </c>
      <c r="AH766" s="525">
        <f>E766</f>
        <v>0</v>
      </c>
      <c r="AI766" s="525">
        <f>E767</f>
        <v>0</v>
      </c>
    </row>
    <row r="767" spans="1:35" x14ac:dyDescent="0.2">
      <c r="A767" s="531"/>
      <c r="B767" s="303"/>
      <c r="C767" s="303"/>
      <c r="D767" s="303"/>
      <c r="E767" s="303"/>
      <c r="F767" s="303"/>
      <c r="G767" s="303"/>
      <c r="H767" s="303"/>
      <c r="I767" s="303"/>
      <c r="J767" s="303"/>
      <c r="K767" s="303"/>
      <c r="L767" s="303"/>
      <c r="M767" s="303"/>
      <c r="N767" s="303"/>
      <c r="O767" s="303"/>
      <c r="P767" s="303"/>
      <c r="Q767" s="303"/>
      <c r="R767" s="303"/>
      <c r="S767" s="303"/>
      <c r="T767" s="303"/>
      <c r="U767" s="303"/>
      <c r="V767" s="303"/>
      <c r="W767" s="303"/>
      <c r="X767" s="303"/>
      <c r="Y767" s="303"/>
      <c r="Z767" s="532"/>
      <c r="AA767" s="530"/>
      <c r="AB767" s="525" t="str">
        <f t="shared" si="12"/>
        <v/>
      </c>
      <c r="AC767" s="525" t="str">
        <f t="shared" si="13"/>
        <v/>
      </c>
      <c r="AD767" s="525" t="str">
        <f t="shared" si="14"/>
        <v/>
      </c>
      <c r="AE767" s="525" t="str">
        <f t="shared" si="15"/>
        <v/>
      </c>
      <c r="AF767" s="525" t="str">
        <f t="shared" si="16"/>
        <v/>
      </c>
      <c r="AG767" s="525" t="str">
        <f t="shared" si="17"/>
        <v/>
      </c>
      <c r="AH767" s="525">
        <f>E766</f>
        <v>0</v>
      </c>
      <c r="AI767" s="525">
        <f>E767</f>
        <v>0</v>
      </c>
    </row>
    <row r="768" spans="1:35" x14ac:dyDescent="0.2">
      <c r="A768" s="531"/>
      <c r="B768" s="303"/>
      <c r="C768" s="303"/>
      <c r="D768" s="303"/>
      <c r="E768" s="303"/>
      <c r="F768" s="303"/>
      <c r="G768" s="303"/>
      <c r="H768" s="303"/>
      <c r="I768" s="303"/>
      <c r="J768" s="303"/>
      <c r="K768" s="303"/>
      <c r="L768" s="303"/>
      <c r="M768" s="303"/>
      <c r="N768" s="303"/>
      <c r="O768" s="303"/>
      <c r="P768" s="303"/>
      <c r="Q768" s="303"/>
      <c r="R768" s="303"/>
      <c r="S768" s="303"/>
      <c r="T768" s="303"/>
      <c r="U768" s="303"/>
      <c r="V768" s="303"/>
      <c r="W768" s="303"/>
      <c r="X768" s="303"/>
      <c r="Y768" s="303"/>
      <c r="Z768" s="532"/>
      <c r="AA768" s="530"/>
      <c r="AB768" s="525" t="str">
        <f t="shared" ref="AB768:AB1000" si="18">IF(S768=TRUE,"Fire","")</f>
        <v/>
      </c>
      <c r="AC768" s="525" t="str">
        <f t="shared" ref="AC768:AC1000" si="19">IF(T768=TRUE,"Water","")</f>
        <v/>
      </c>
      <c r="AD768" s="525" t="str">
        <f t="shared" ref="AD768:AD1000" si="20">IF(U768=TRUE,"Air","")</f>
        <v/>
      </c>
      <c r="AE768" s="525" t="str">
        <f t="shared" ref="AE768:AE1000" si="21">IF(V768=TRUE,"Earth","")</f>
        <v/>
      </c>
      <c r="AF768" s="525" t="str">
        <f t="shared" ref="AF768:AF1000" si="22">IF(W768=TRUE,"Shadow","")</f>
        <v/>
      </c>
      <c r="AG768" s="525" t="str">
        <f t="shared" ref="AG768:AG1000" si="23">IF(X768=TRUE,"Light","")</f>
        <v/>
      </c>
      <c r="AH768" s="525">
        <f>E769</f>
        <v>0</v>
      </c>
      <c r="AI768" s="525">
        <f>E770</f>
        <v>0</v>
      </c>
    </row>
    <row r="769" spans="1:35" x14ac:dyDescent="0.2">
      <c r="A769" s="531"/>
      <c r="B769" s="303"/>
      <c r="C769" s="303"/>
      <c r="D769" s="303"/>
      <c r="E769" s="303"/>
      <c r="F769" s="303"/>
      <c r="G769" s="303"/>
      <c r="H769" s="303"/>
      <c r="I769" s="303"/>
      <c r="J769" s="303"/>
      <c r="K769" s="303"/>
      <c r="L769" s="303"/>
      <c r="M769" s="303"/>
      <c r="N769" s="303"/>
      <c r="O769" s="303"/>
      <c r="P769" s="303"/>
      <c r="Q769" s="303"/>
      <c r="R769" s="303"/>
      <c r="S769" s="303"/>
      <c r="T769" s="303"/>
      <c r="U769" s="303"/>
      <c r="V769" s="303"/>
      <c r="W769" s="303"/>
      <c r="X769" s="303"/>
      <c r="Y769" s="303"/>
      <c r="Z769" s="532"/>
      <c r="AA769" s="530"/>
      <c r="AB769" s="525" t="str">
        <f t="shared" si="18"/>
        <v/>
      </c>
      <c r="AC769" s="525" t="str">
        <f t="shared" si="19"/>
        <v/>
      </c>
      <c r="AD769" s="525" t="str">
        <f t="shared" si="20"/>
        <v/>
      </c>
      <c r="AE769" s="525" t="str">
        <f t="shared" si="21"/>
        <v/>
      </c>
      <c r="AF769" s="525" t="str">
        <f t="shared" si="22"/>
        <v/>
      </c>
      <c r="AG769" s="525" t="str">
        <f t="shared" si="23"/>
        <v/>
      </c>
      <c r="AH769" s="525">
        <f>E769</f>
        <v>0</v>
      </c>
      <c r="AI769" s="525">
        <f>E770</f>
        <v>0</v>
      </c>
    </row>
    <row r="770" spans="1:35" x14ac:dyDescent="0.2">
      <c r="A770" s="531"/>
      <c r="B770" s="303"/>
      <c r="C770" s="303"/>
      <c r="D770" s="303"/>
      <c r="E770" s="303"/>
      <c r="F770" s="303"/>
      <c r="G770" s="303"/>
      <c r="H770" s="303"/>
      <c r="I770" s="303"/>
      <c r="J770" s="303"/>
      <c r="K770" s="303"/>
      <c r="L770" s="303"/>
      <c r="M770" s="303"/>
      <c r="N770" s="303"/>
      <c r="O770" s="303"/>
      <c r="P770" s="303"/>
      <c r="Q770" s="303"/>
      <c r="R770" s="303"/>
      <c r="S770" s="303"/>
      <c r="T770" s="303"/>
      <c r="U770" s="303"/>
      <c r="V770" s="303"/>
      <c r="W770" s="303"/>
      <c r="X770" s="303"/>
      <c r="Y770" s="303"/>
      <c r="Z770" s="532"/>
      <c r="AA770" s="530"/>
      <c r="AB770" s="525" t="str">
        <f t="shared" si="18"/>
        <v/>
      </c>
      <c r="AC770" s="525" t="str">
        <f t="shared" si="19"/>
        <v/>
      </c>
      <c r="AD770" s="525" t="str">
        <f t="shared" si="20"/>
        <v/>
      </c>
      <c r="AE770" s="525" t="str">
        <f t="shared" si="21"/>
        <v/>
      </c>
      <c r="AF770" s="525" t="str">
        <f t="shared" si="22"/>
        <v/>
      </c>
      <c r="AG770" s="525" t="str">
        <f t="shared" si="23"/>
        <v/>
      </c>
      <c r="AH770" s="525">
        <f>E769</f>
        <v>0</v>
      </c>
      <c r="AI770" s="525">
        <f>E770</f>
        <v>0</v>
      </c>
    </row>
    <row r="771" spans="1:35" x14ac:dyDescent="0.2">
      <c r="A771" s="531"/>
      <c r="B771" s="303"/>
      <c r="C771" s="303"/>
      <c r="D771" s="303"/>
      <c r="E771" s="303"/>
      <c r="F771" s="303"/>
      <c r="G771" s="303"/>
      <c r="H771" s="303"/>
      <c r="I771" s="303"/>
      <c r="J771" s="303"/>
      <c r="K771" s="303"/>
      <c r="L771" s="303"/>
      <c r="M771" s="303"/>
      <c r="N771" s="303"/>
      <c r="O771" s="303"/>
      <c r="P771" s="303"/>
      <c r="Q771" s="303"/>
      <c r="R771" s="303"/>
      <c r="S771" s="303"/>
      <c r="T771" s="303"/>
      <c r="U771" s="303"/>
      <c r="V771" s="303"/>
      <c r="W771" s="303"/>
      <c r="X771" s="303"/>
      <c r="Y771" s="303"/>
      <c r="Z771" s="532"/>
      <c r="AA771" s="530"/>
      <c r="AB771" s="525" t="str">
        <f t="shared" si="18"/>
        <v/>
      </c>
      <c r="AC771" s="525" t="str">
        <f t="shared" si="19"/>
        <v/>
      </c>
      <c r="AD771" s="525" t="str">
        <f t="shared" si="20"/>
        <v/>
      </c>
      <c r="AE771" s="525" t="str">
        <f t="shared" si="21"/>
        <v/>
      </c>
      <c r="AF771" s="525" t="str">
        <f t="shared" si="22"/>
        <v/>
      </c>
      <c r="AG771" s="525" t="str">
        <f t="shared" si="23"/>
        <v/>
      </c>
      <c r="AH771" s="525">
        <f>E772</f>
        <v>0</v>
      </c>
      <c r="AI771" s="525">
        <f>E773</f>
        <v>0</v>
      </c>
    </row>
    <row r="772" spans="1:35" x14ac:dyDescent="0.2">
      <c r="A772" s="531"/>
      <c r="B772" s="303"/>
      <c r="C772" s="303"/>
      <c r="D772" s="303"/>
      <c r="E772" s="303"/>
      <c r="F772" s="303"/>
      <c r="G772" s="303"/>
      <c r="H772" s="303"/>
      <c r="I772" s="303"/>
      <c r="J772" s="303"/>
      <c r="K772" s="303"/>
      <c r="L772" s="303"/>
      <c r="M772" s="303"/>
      <c r="N772" s="303"/>
      <c r="O772" s="303"/>
      <c r="P772" s="303"/>
      <c r="Q772" s="303"/>
      <c r="R772" s="303"/>
      <c r="S772" s="303"/>
      <c r="T772" s="303"/>
      <c r="U772" s="303"/>
      <c r="V772" s="303"/>
      <c r="W772" s="303"/>
      <c r="X772" s="303"/>
      <c r="Y772" s="303"/>
      <c r="Z772" s="532"/>
      <c r="AA772" s="530"/>
      <c r="AB772" s="525" t="str">
        <f t="shared" si="18"/>
        <v/>
      </c>
      <c r="AC772" s="525" t="str">
        <f t="shared" si="19"/>
        <v/>
      </c>
      <c r="AD772" s="525" t="str">
        <f t="shared" si="20"/>
        <v/>
      </c>
      <c r="AE772" s="525" t="str">
        <f t="shared" si="21"/>
        <v/>
      </c>
      <c r="AF772" s="525" t="str">
        <f t="shared" si="22"/>
        <v/>
      </c>
      <c r="AG772" s="525" t="str">
        <f t="shared" si="23"/>
        <v/>
      </c>
      <c r="AH772" s="525">
        <f>E772</f>
        <v>0</v>
      </c>
      <c r="AI772" s="525">
        <f>E773</f>
        <v>0</v>
      </c>
    </row>
    <row r="773" spans="1:35" x14ac:dyDescent="0.2">
      <c r="A773" s="531"/>
      <c r="B773" s="303"/>
      <c r="C773" s="303"/>
      <c r="D773" s="303"/>
      <c r="E773" s="303"/>
      <c r="F773" s="303"/>
      <c r="G773" s="303"/>
      <c r="H773" s="303"/>
      <c r="I773" s="303"/>
      <c r="J773" s="303"/>
      <c r="K773" s="303"/>
      <c r="L773" s="303"/>
      <c r="M773" s="303"/>
      <c r="N773" s="303"/>
      <c r="O773" s="303"/>
      <c r="P773" s="303"/>
      <c r="Q773" s="303"/>
      <c r="R773" s="303"/>
      <c r="S773" s="303"/>
      <c r="T773" s="303"/>
      <c r="U773" s="303"/>
      <c r="V773" s="303"/>
      <c r="W773" s="303"/>
      <c r="X773" s="303"/>
      <c r="Y773" s="303"/>
      <c r="Z773" s="532"/>
      <c r="AA773" s="530"/>
      <c r="AB773" s="525" t="str">
        <f t="shared" si="18"/>
        <v/>
      </c>
      <c r="AC773" s="525" t="str">
        <f t="shared" si="19"/>
        <v/>
      </c>
      <c r="AD773" s="525" t="str">
        <f t="shared" si="20"/>
        <v/>
      </c>
      <c r="AE773" s="525" t="str">
        <f t="shared" si="21"/>
        <v/>
      </c>
      <c r="AF773" s="525" t="str">
        <f t="shared" si="22"/>
        <v/>
      </c>
      <c r="AG773" s="525" t="str">
        <f t="shared" si="23"/>
        <v/>
      </c>
      <c r="AH773" s="525">
        <f>E772</f>
        <v>0</v>
      </c>
      <c r="AI773" s="525">
        <f>E773</f>
        <v>0</v>
      </c>
    </row>
    <row r="774" spans="1:35" x14ac:dyDescent="0.2">
      <c r="A774" s="531"/>
      <c r="B774" s="303"/>
      <c r="C774" s="303"/>
      <c r="D774" s="303"/>
      <c r="E774" s="303"/>
      <c r="F774" s="303"/>
      <c r="G774" s="303"/>
      <c r="H774" s="303"/>
      <c r="I774" s="303"/>
      <c r="J774" s="303"/>
      <c r="K774" s="303"/>
      <c r="L774" s="303"/>
      <c r="M774" s="303"/>
      <c r="N774" s="303"/>
      <c r="O774" s="303"/>
      <c r="P774" s="303"/>
      <c r="Q774" s="303"/>
      <c r="R774" s="303"/>
      <c r="S774" s="303"/>
      <c r="T774" s="303"/>
      <c r="U774" s="303"/>
      <c r="V774" s="303"/>
      <c r="W774" s="303"/>
      <c r="X774" s="303"/>
      <c r="Y774" s="303"/>
      <c r="Z774" s="532"/>
      <c r="AA774" s="530"/>
      <c r="AB774" s="525" t="str">
        <f t="shared" si="18"/>
        <v/>
      </c>
      <c r="AC774" s="525" t="str">
        <f t="shared" si="19"/>
        <v/>
      </c>
      <c r="AD774" s="525" t="str">
        <f t="shared" si="20"/>
        <v/>
      </c>
      <c r="AE774" s="525" t="str">
        <f t="shared" si="21"/>
        <v/>
      </c>
      <c r="AF774" s="525" t="str">
        <f t="shared" si="22"/>
        <v/>
      </c>
      <c r="AG774" s="525" t="str">
        <f t="shared" si="23"/>
        <v/>
      </c>
      <c r="AH774" s="525">
        <f>E775</f>
        <v>0</v>
      </c>
      <c r="AI774" s="525">
        <f>E776</f>
        <v>0</v>
      </c>
    </row>
    <row r="775" spans="1:35" x14ac:dyDescent="0.2">
      <c r="A775" s="531"/>
      <c r="B775" s="303"/>
      <c r="C775" s="303"/>
      <c r="D775" s="303"/>
      <c r="E775" s="303"/>
      <c r="F775" s="303"/>
      <c r="G775" s="303"/>
      <c r="H775" s="303"/>
      <c r="I775" s="303"/>
      <c r="J775" s="303"/>
      <c r="K775" s="303"/>
      <c r="L775" s="303"/>
      <c r="M775" s="303"/>
      <c r="N775" s="303"/>
      <c r="O775" s="303"/>
      <c r="P775" s="303"/>
      <c r="Q775" s="303"/>
      <c r="R775" s="303"/>
      <c r="S775" s="303"/>
      <c r="T775" s="303"/>
      <c r="U775" s="303"/>
      <c r="V775" s="303"/>
      <c r="W775" s="303"/>
      <c r="X775" s="303"/>
      <c r="Y775" s="303"/>
      <c r="Z775" s="532"/>
      <c r="AA775" s="530"/>
      <c r="AB775" s="525" t="str">
        <f t="shared" si="18"/>
        <v/>
      </c>
      <c r="AC775" s="525" t="str">
        <f t="shared" si="19"/>
        <v/>
      </c>
      <c r="AD775" s="525" t="str">
        <f t="shared" si="20"/>
        <v/>
      </c>
      <c r="AE775" s="525" t="str">
        <f t="shared" si="21"/>
        <v/>
      </c>
      <c r="AF775" s="525" t="str">
        <f t="shared" si="22"/>
        <v/>
      </c>
      <c r="AG775" s="525" t="str">
        <f t="shared" si="23"/>
        <v/>
      </c>
      <c r="AH775" s="525">
        <f>E775</f>
        <v>0</v>
      </c>
      <c r="AI775" s="525">
        <f>E776</f>
        <v>0</v>
      </c>
    </row>
    <row r="776" spans="1:35" x14ac:dyDescent="0.2">
      <c r="A776" s="531"/>
      <c r="B776" s="303"/>
      <c r="C776" s="303"/>
      <c r="D776" s="303"/>
      <c r="E776" s="303"/>
      <c r="F776" s="303"/>
      <c r="G776" s="303"/>
      <c r="H776" s="303"/>
      <c r="I776" s="303"/>
      <c r="J776" s="303"/>
      <c r="K776" s="303"/>
      <c r="L776" s="303"/>
      <c r="M776" s="303"/>
      <c r="N776" s="303"/>
      <c r="O776" s="303"/>
      <c r="P776" s="303"/>
      <c r="Q776" s="303"/>
      <c r="R776" s="303"/>
      <c r="S776" s="303"/>
      <c r="T776" s="303"/>
      <c r="U776" s="303"/>
      <c r="V776" s="303"/>
      <c r="W776" s="303"/>
      <c r="X776" s="303"/>
      <c r="Y776" s="303"/>
      <c r="Z776" s="532"/>
      <c r="AA776" s="530"/>
      <c r="AB776" s="525" t="str">
        <f t="shared" si="18"/>
        <v/>
      </c>
      <c r="AC776" s="525" t="str">
        <f t="shared" si="19"/>
        <v/>
      </c>
      <c r="AD776" s="525" t="str">
        <f t="shared" si="20"/>
        <v/>
      </c>
      <c r="AE776" s="525" t="str">
        <f t="shared" si="21"/>
        <v/>
      </c>
      <c r="AF776" s="525" t="str">
        <f t="shared" si="22"/>
        <v/>
      </c>
      <c r="AG776" s="525" t="str">
        <f t="shared" si="23"/>
        <v/>
      </c>
      <c r="AH776" s="525">
        <f>E775</f>
        <v>0</v>
      </c>
      <c r="AI776" s="525">
        <f>E776</f>
        <v>0</v>
      </c>
    </row>
    <row r="777" spans="1:35" x14ac:dyDescent="0.2">
      <c r="A777" s="531"/>
      <c r="B777" s="303"/>
      <c r="C777" s="303"/>
      <c r="D777" s="303"/>
      <c r="E777" s="303"/>
      <c r="F777" s="303"/>
      <c r="G777" s="303"/>
      <c r="H777" s="303"/>
      <c r="I777" s="303"/>
      <c r="J777" s="303"/>
      <c r="K777" s="303"/>
      <c r="L777" s="303"/>
      <c r="M777" s="303"/>
      <c r="N777" s="303"/>
      <c r="O777" s="303"/>
      <c r="P777" s="303"/>
      <c r="Q777" s="303"/>
      <c r="R777" s="303"/>
      <c r="S777" s="303"/>
      <c r="T777" s="303"/>
      <c r="U777" s="303"/>
      <c r="V777" s="303"/>
      <c r="W777" s="303"/>
      <c r="X777" s="303"/>
      <c r="Y777" s="303"/>
      <c r="Z777" s="532"/>
      <c r="AA777" s="530"/>
      <c r="AB777" s="525" t="str">
        <f t="shared" si="18"/>
        <v/>
      </c>
      <c r="AC777" s="525" t="str">
        <f t="shared" si="19"/>
        <v/>
      </c>
      <c r="AD777" s="525" t="str">
        <f t="shared" si="20"/>
        <v/>
      </c>
      <c r="AE777" s="525" t="str">
        <f t="shared" si="21"/>
        <v/>
      </c>
      <c r="AF777" s="525" t="str">
        <f t="shared" si="22"/>
        <v/>
      </c>
      <c r="AG777" s="525" t="str">
        <f t="shared" si="23"/>
        <v/>
      </c>
      <c r="AH777" s="525">
        <f>E778</f>
        <v>0</v>
      </c>
      <c r="AI777" s="525">
        <f>E779</f>
        <v>0</v>
      </c>
    </row>
    <row r="778" spans="1:35" x14ac:dyDescent="0.2">
      <c r="A778" s="531"/>
      <c r="B778" s="303"/>
      <c r="C778" s="303"/>
      <c r="D778" s="303"/>
      <c r="E778" s="303"/>
      <c r="F778" s="303"/>
      <c r="G778" s="303"/>
      <c r="H778" s="303"/>
      <c r="I778" s="303"/>
      <c r="J778" s="303"/>
      <c r="K778" s="303"/>
      <c r="L778" s="303"/>
      <c r="M778" s="303"/>
      <c r="N778" s="303"/>
      <c r="O778" s="303"/>
      <c r="P778" s="303"/>
      <c r="Q778" s="303"/>
      <c r="R778" s="303"/>
      <c r="S778" s="303"/>
      <c r="T778" s="303"/>
      <c r="U778" s="303"/>
      <c r="V778" s="303"/>
      <c r="W778" s="303"/>
      <c r="X778" s="303"/>
      <c r="Y778" s="303"/>
      <c r="Z778" s="532"/>
      <c r="AA778" s="530"/>
      <c r="AB778" s="525" t="str">
        <f t="shared" si="18"/>
        <v/>
      </c>
      <c r="AC778" s="525" t="str">
        <f t="shared" si="19"/>
        <v/>
      </c>
      <c r="AD778" s="525" t="str">
        <f t="shared" si="20"/>
        <v/>
      </c>
      <c r="AE778" s="525" t="str">
        <f t="shared" si="21"/>
        <v/>
      </c>
      <c r="AF778" s="525" t="str">
        <f t="shared" si="22"/>
        <v/>
      </c>
      <c r="AG778" s="525" t="str">
        <f t="shared" si="23"/>
        <v/>
      </c>
      <c r="AH778" s="525">
        <f>E778</f>
        <v>0</v>
      </c>
      <c r="AI778" s="525">
        <f>E779</f>
        <v>0</v>
      </c>
    </row>
    <row r="779" spans="1:35" x14ac:dyDescent="0.2">
      <c r="A779" s="531"/>
      <c r="B779" s="303"/>
      <c r="C779" s="303"/>
      <c r="D779" s="303"/>
      <c r="E779" s="303"/>
      <c r="F779" s="303"/>
      <c r="G779" s="303"/>
      <c r="H779" s="303"/>
      <c r="I779" s="303"/>
      <c r="J779" s="303"/>
      <c r="K779" s="303"/>
      <c r="L779" s="303"/>
      <c r="M779" s="303"/>
      <c r="N779" s="303"/>
      <c r="O779" s="303"/>
      <c r="P779" s="303"/>
      <c r="Q779" s="303"/>
      <c r="R779" s="303"/>
      <c r="S779" s="303"/>
      <c r="T779" s="303"/>
      <c r="U779" s="303"/>
      <c r="V779" s="303"/>
      <c r="W779" s="303"/>
      <c r="X779" s="303"/>
      <c r="Y779" s="303"/>
      <c r="Z779" s="532"/>
      <c r="AA779" s="530"/>
      <c r="AB779" s="525" t="str">
        <f t="shared" si="18"/>
        <v/>
      </c>
      <c r="AC779" s="525" t="str">
        <f t="shared" si="19"/>
        <v/>
      </c>
      <c r="AD779" s="525" t="str">
        <f t="shared" si="20"/>
        <v/>
      </c>
      <c r="AE779" s="525" t="str">
        <f t="shared" si="21"/>
        <v/>
      </c>
      <c r="AF779" s="525" t="str">
        <f t="shared" si="22"/>
        <v/>
      </c>
      <c r="AG779" s="525" t="str">
        <f t="shared" si="23"/>
        <v/>
      </c>
      <c r="AH779" s="525">
        <f>E778</f>
        <v>0</v>
      </c>
      <c r="AI779" s="525">
        <f>E779</f>
        <v>0</v>
      </c>
    </row>
    <row r="780" spans="1:35" x14ac:dyDescent="0.2">
      <c r="A780" s="531"/>
      <c r="B780" s="303"/>
      <c r="C780" s="303"/>
      <c r="D780" s="303"/>
      <c r="E780" s="303"/>
      <c r="F780" s="303"/>
      <c r="G780" s="303"/>
      <c r="H780" s="303"/>
      <c r="I780" s="303"/>
      <c r="J780" s="303"/>
      <c r="K780" s="303"/>
      <c r="L780" s="303"/>
      <c r="M780" s="303"/>
      <c r="N780" s="303"/>
      <c r="O780" s="303"/>
      <c r="P780" s="303"/>
      <c r="Q780" s="303"/>
      <c r="R780" s="303"/>
      <c r="S780" s="303"/>
      <c r="T780" s="303"/>
      <c r="U780" s="303"/>
      <c r="V780" s="303"/>
      <c r="W780" s="303"/>
      <c r="X780" s="303"/>
      <c r="Y780" s="303"/>
      <c r="Z780" s="532"/>
      <c r="AA780" s="530"/>
      <c r="AB780" s="525" t="str">
        <f t="shared" si="18"/>
        <v/>
      </c>
      <c r="AC780" s="525" t="str">
        <f t="shared" si="19"/>
        <v/>
      </c>
      <c r="AD780" s="525" t="str">
        <f t="shared" si="20"/>
        <v/>
      </c>
      <c r="AE780" s="525" t="str">
        <f t="shared" si="21"/>
        <v/>
      </c>
      <c r="AF780" s="525" t="str">
        <f t="shared" si="22"/>
        <v/>
      </c>
      <c r="AG780" s="525" t="str">
        <f t="shared" si="23"/>
        <v/>
      </c>
      <c r="AH780" s="525">
        <f>E781</f>
        <v>0</v>
      </c>
      <c r="AI780" s="525">
        <f>E782</f>
        <v>0</v>
      </c>
    </row>
    <row r="781" spans="1:35" x14ac:dyDescent="0.2">
      <c r="A781" s="531"/>
      <c r="B781" s="303"/>
      <c r="C781" s="303"/>
      <c r="D781" s="303"/>
      <c r="E781" s="303"/>
      <c r="F781" s="303"/>
      <c r="G781" s="303"/>
      <c r="H781" s="303"/>
      <c r="I781" s="303"/>
      <c r="J781" s="303"/>
      <c r="K781" s="303"/>
      <c r="L781" s="303"/>
      <c r="M781" s="303"/>
      <c r="N781" s="303"/>
      <c r="O781" s="303"/>
      <c r="P781" s="303"/>
      <c r="Q781" s="303"/>
      <c r="R781" s="303"/>
      <c r="S781" s="303"/>
      <c r="T781" s="303"/>
      <c r="U781" s="303"/>
      <c r="V781" s="303"/>
      <c r="W781" s="303"/>
      <c r="X781" s="303"/>
      <c r="Y781" s="303"/>
      <c r="Z781" s="532"/>
      <c r="AA781" s="530"/>
      <c r="AB781" s="525" t="str">
        <f t="shared" si="18"/>
        <v/>
      </c>
      <c r="AC781" s="525" t="str">
        <f t="shared" si="19"/>
        <v/>
      </c>
      <c r="AD781" s="525" t="str">
        <f t="shared" si="20"/>
        <v/>
      </c>
      <c r="AE781" s="525" t="str">
        <f t="shared" si="21"/>
        <v/>
      </c>
      <c r="AF781" s="525" t="str">
        <f t="shared" si="22"/>
        <v/>
      </c>
      <c r="AG781" s="525" t="str">
        <f t="shared" si="23"/>
        <v/>
      </c>
      <c r="AH781" s="525">
        <f>E781</f>
        <v>0</v>
      </c>
      <c r="AI781" s="525">
        <f>E782</f>
        <v>0</v>
      </c>
    </row>
    <row r="782" spans="1:35" x14ac:dyDescent="0.2">
      <c r="A782" s="531"/>
      <c r="B782" s="303"/>
      <c r="C782" s="303"/>
      <c r="D782" s="303"/>
      <c r="E782" s="303"/>
      <c r="F782" s="303"/>
      <c r="G782" s="303"/>
      <c r="H782" s="303"/>
      <c r="I782" s="303"/>
      <c r="J782" s="303"/>
      <c r="K782" s="303"/>
      <c r="L782" s="303"/>
      <c r="M782" s="303"/>
      <c r="N782" s="303"/>
      <c r="O782" s="303"/>
      <c r="P782" s="303"/>
      <c r="Q782" s="303"/>
      <c r="R782" s="303"/>
      <c r="S782" s="303"/>
      <c r="T782" s="303"/>
      <c r="U782" s="303"/>
      <c r="V782" s="303"/>
      <c r="W782" s="303"/>
      <c r="X782" s="303"/>
      <c r="Y782" s="303"/>
      <c r="Z782" s="532"/>
      <c r="AA782" s="530"/>
      <c r="AB782" s="525" t="str">
        <f t="shared" si="18"/>
        <v/>
      </c>
      <c r="AC782" s="525" t="str">
        <f t="shared" si="19"/>
        <v/>
      </c>
      <c r="AD782" s="525" t="str">
        <f t="shared" si="20"/>
        <v/>
      </c>
      <c r="AE782" s="525" t="str">
        <f t="shared" si="21"/>
        <v/>
      </c>
      <c r="AF782" s="525" t="str">
        <f t="shared" si="22"/>
        <v/>
      </c>
      <c r="AG782" s="525" t="str">
        <f t="shared" si="23"/>
        <v/>
      </c>
      <c r="AH782" s="525">
        <f>E781</f>
        <v>0</v>
      </c>
      <c r="AI782" s="525">
        <f>E782</f>
        <v>0</v>
      </c>
    </row>
    <row r="783" spans="1:35" x14ac:dyDescent="0.2">
      <c r="A783" s="531"/>
      <c r="B783" s="303"/>
      <c r="C783" s="303"/>
      <c r="D783" s="303"/>
      <c r="E783" s="303"/>
      <c r="F783" s="303"/>
      <c r="G783" s="303"/>
      <c r="H783" s="303"/>
      <c r="I783" s="303"/>
      <c r="J783" s="303"/>
      <c r="K783" s="303"/>
      <c r="L783" s="303"/>
      <c r="M783" s="303"/>
      <c r="N783" s="303"/>
      <c r="O783" s="303"/>
      <c r="P783" s="303"/>
      <c r="Q783" s="303"/>
      <c r="R783" s="303"/>
      <c r="S783" s="303"/>
      <c r="T783" s="303"/>
      <c r="U783" s="303"/>
      <c r="V783" s="303"/>
      <c r="W783" s="303"/>
      <c r="X783" s="303"/>
      <c r="Y783" s="303"/>
      <c r="Z783" s="532"/>
      <c r="AA783" s="530"/>
      <c r="AB783" s="525" t="str">
        <f t="shared" si="18"/>
        <v/>
      </c>
      <c r="AC783" s="525" t="str">
        <f t="shared" si="19"/>
        <v/>
      </c>
      <c r="AD783" s="525" t="str">
        <f t="shared" si="20"/>
        <v/>
      </c>
      <c r="AE783" s="525" t="str">
        <f t="shared" si="21"/>
        <v/>
      </c>
      <c r="AF783" s="525" t="str">
        <f t="shared" si="22"/>
        <v/>
      </c>
      <c r="AG783" s="525" t="str">
        <f t="shared" si="23"/>
        <v/>
      </c>
      <c r="AH783" s="525">
        <f>E784</f>
        <v>0</v>
      </c>
      <c r="AI783" s="525">
        <f>E785</f>
        <v>0</v>
      </c>
    </row>
    <row r="784" spans="1:35" x14ac:dyDescent="0.2">
      <c r="A784" s="531"/>
      <c r="B784" s="303"/>
      <c r="C784" s="303"/>
      <c r="D784" s="303"/>
      <c r="E784" s="303"/>
      <c r="F784" s="303"/>
      <c r="G784" s="303"/>
      <c r="H784" s="303"/>
      <c r="I784" s="303"/>
      <c r="J784" s="303"/>
      <c r="K784" s="303"/>
      <c r="L784" s="303"/>
      <c r="M784" s="303"/>
      <c r="N784" s="303"/>
      <c r="O784" s="303"/>
      <c r="P784" s="303"/>
      <c r="Q784" s="303"/>
      <c r="R784" s="303"/>
      <c r="S784" s="303"/>
      <c r="T784" s="303"/>
      <c r="U784" s="303"/>
      <c r="V784" s="303"/>
      <c r="W784" s="303"/>
      <c r="X784" s="303"/>
      <c r="Y784" s="303"/>
      <c r="Z784" s="532"/>
      <c r="AA784" s="530"/>
      <c r="AB784" s="525" t="str">
        <f t="shared" si="18"/>
        <v/>
      </c>
      <c r="AC784" s="525" t="str">
        <f t="shared" si="19"/>
        <v/>
      </c>
      <c r="AD784" s="525" t="str">
        <f t="shared" si="20"/>
        <v/>
      </c>
      <c r="AE784" s="525" t="str">
        <f t="shared" si="21"/>
        <v/>
      </c>
      <c r="AF784" s="525" t="str">
        <f t="shared" si="22"/>
        <v/>
      </c>
      <c r="AG784" s="525" t="str">
        <f t="shared" si="23"/>
        <v/>
      </c>
      <c r="AH784" s="525">
        <f>E784</f>
        <v>0</v>
      </c>
      <c r="AI784" s="525">
        <f>E785</f>
        <v>0</v>
      </c>
    </row>
    <row r="785" spans="1:35" x14ac:dyDescent="0.2">
      <c r="A785" s="531"/>
      <c r="B785" s="303"/>
      <c r="C785" s="303"/>
      <c r="D785" s="303"/>
      <c r="E785" s="303"/>
      <c r="F785" s="303"/>
      <c r="G785" s="303"/>
      <c r="H785" s="303"/>
      <c r="I785" s="303"/>
      <c r="J785" s="303"/>
      <c r="K785" s="303"/>
      <c r="L785" s="303"/>
      <c r="M785" s="303"/>
      <c r="N785" s="303"/>
      <c r="O785" s="303"/>
      <c r="P785" s="303"/>
      <c r="Q785" s="303"/>
      <c r="R785" s="303"/>
      <c r="S785" s="303"/>
      <c r="T785" s="303"/>
      <c r="U785" s="303"/>
      <c r="V785" s="303"/>
      <c r="W785" s="303"/>
      <c r="X785" s="303"/>
      <c r="Y785" s="303"/>
      <c r="Z785" s="532"/>
      <c r="AA785" s="530"/>
      <c r="AB785" s="525" t="str">
        <f t="shared" si="18"/>
        <v/>
      </c>
      <c r="AC785" s="525" t="str">
        <f t="shared" si="19"/>
        <v/>
      </c>
      <c r="AD785" s="525" t="str">
        <f t="shared" si="20"/>
        <v/>
      </c>
      <c r="AE785" s="525" t="str">
        <f t="shared" si="21"/>
        <v/>
      </c>
      <c r="AF785" s="525" t="str">
        <f t="shared" si="22"/>
        <v/>
      </c>
      <c r="AG785" s="525" t="str">
        <f t="shared" si="23"/>
        <v/>
      </c>
      <c r="AH785" s="525">
        <f>E784</f>
        <v>0</v>
      </c>
      <c r="AI785" s="525">
        <f>E785</f>
        <v>0</v>
      </c>
    </row>
    <row r="786" spans="1:35" x14ac:dyDescent="0.2">
      <c r="A786" s="531"/>
      <c r="B786" s="303"/>
      <c r="C786" s="303"/>
      <c r="D786" s="303"/>
      <c r="E786" s="303"/>
      <c r="F786" s="303"/>
      <c r="G786" s="303"/>
      <c r="H786" s="303"/>
      <c r="I786" s="303"/>
      <c r="J786" s="303"/>
      <c r="K786" s="303"/>
      <c r="L786" s="303"/>
      <c r="M786" s="303"/>
      <c r="N786" s="303"/>
      <c r="O786" s="303"/>
      <c r="P786" s="303"/>
      <c r="Q786" s="303"/>
      <c r="R786" s="303"/>
      <c r="S786" s="303"/>
      <c r="T786" s="303"/>
      <c r="U786" s="303"/>
      <c r="V786" s="303"/>
      <c r="W786" s="303"/>
      <c r="X786" s="303"/>
      <c r="Y786" s="303"/>
      <c r="Z786" s="532"/>
      <c r="AA786" s="530"/>
      <c r="AB786" s="525" t="str">
        <f t="shared" si="18"/>
        <v/>
      </c>
      <c r="AC786" s="525" t="str">
        <f t="shared" si="19"/>
        <v/>
      </c>
      <c r="AD786" s="525" t="str">
        <f t="shared" si="20"/>
        <v/>
      </c>
      <c r="AE786" s="525" t="str">
        <f t="shared" si="21"/>
        <v/>
      </c>
      <c r="AF786" s="525" t="str">
        <f t="shared" si="22"/>
        <v/>
      </c>
      <c r="AG786" s="525" t="str">
        <f t="shared" si="23"/>
        <v/>
      </c>
      <c r="AH786" s="525">
        <f>E787</f>
        <v>0</v>
      </c>
      <c r="AI786" s="525">
        <f>E788</f>
        <v>0</v>
      </c>
    </row>
    <row r="787" spans="1:35" x14ac:dyDescent="0.2">
      <c r="A787" s="531"/>
      <c r="B787" s="303"/>
      <c r="C787" s="303"/>
      <c r="D787" s="303"/>
      <c r="E787" s="303"/>
      <c r="F787" s="303"/>
      <c r="G787" s="303"/>
      <c r="H787" s="303"/>
      <c r="I787" s="303"/>
      <c r="J787" s="303"/>
      <c r="K787" s="303"/>
      <c r="L787" s="303"/>
      <c r="M787" s="303"/>
      <c r="N787" s="303"/>
      <c r="O787" s="303"/>
      <c r="P787" s="303"/>
      <c r="Q787" s="303"/>
      <c r="R787" s="303"/>
      <c r="S787" s="303"/>
      <c r="T787" s="303"/>
      <c r="U787" s="303"/>
      <c r="V787" s="303"/>
      <c r="W787" s="303"/>
      <c r="X787" s="303"/>
      <c r="Y787" s="303"/>
      <c r="Z787" s="532"/>
      <c r="AA787" s="530"/>
      <c r="AB787" s="525" t="str">
        <f t="shared" si="18"/>
        <v/>
      </c>
      <c r="AC787" s="525" t="str">
        <f t="shared" si="19"/>
        <v/>
      </c>
      <c r="AD787" s="525" t="str">
        <f t="shared" si="20"/>
        <v/>
      </c>
      <c r="AE787" s="525" t="str">
        <f t="shared" si="21"/>
        <v/>
      </c>
      <c r="AF787" s="525" t="str">
        <f t="shared" si="22"/>
        <v/>
      </c>
      <c r="AG787" s="525" t="str">
        <f t="shared" si="23"/>
        <v/>
      </c>
      <c r="AH787" s="525">
        <f>E787</f>
        <v>0</v>
      </c>
      <c r="AI787" s="525">
        <f>E788</f>
        <v>0</v>
      </c>
    </row>
    <row r="788" spans="1:35" x14ac:dyDescent="0.2">
      <c r="A788" s="531"/>
      <c r="B788" s="303"/>
      <c r="C788" s="303"/>
      <c r="D788" s="303"/>
      <c r="E788" s="303"/>
      <c r="F788" s="303"/>
      <c r="G788" s="303"/>
      <c r="H788" s="303"/>
      <c r="I788" s="303"/>
      <c r="J788" s="303"/>
      <c r="K788" s="303"/>
      <c r="L788" s="303"/>
      <c r="M788" s="303"/>
      <c r="N788" s="303"/>
      <c r="O788" s="303"/>
      <c r="P788" s="303"/>
      <c r="Q788" s="303"/>
      <c r="R788" s="303"/>
      <c r="S788" s="303"/>
      <c r="T788" s="303"/>
      <c r="U788" s="303"/>
      <c r="V788" s="303"/>
      <c r="W788" s="303"/>
      <c r="X788" s="303"/>
      <c r="Y788" s="303"/>
      <c r="Z788" s="532"/>
      <c r="AA788" s="530"/>
      <c r="AB788" s="525" t="str">
        <f t="shared" si="18"/>
        <v/>
      </c>
      <c r="AC788" s="525" t="str">
        <f t="shared" si="19"/>
        <v/>
      </c>
      <c r="AD788" s="525" t="str">
        <f t="shared" si="20"/>
        <v/>
      </c>
      <c r="AE788" s="525" t="str">
        <f t="shared" si="21"/>
        <v/>
      </c>
      <c r="AF788" s="525" t="str">
        <f t="shared" si="22"/>
        <v/>
      </c>
      <c r="AG788" s="525" t="str">
        <f t="shared" si="23"/>
        <v/>
      </c>
      <c r="AH788" s="525">
        <f>E787</f>
        <v>0</v>
      </c>
      <c r="AI788" s="525">
        <f>E788</f>
        <v>0</v>
      </c>
    </row>
    <row r="789" spans="1:35" x14ac:dyDescent="0.2">
      <c r="A789" s="531"/>
      <c r="B789" s="303"/>
      <c r="C789" s="303"/>
      <c r="D789" s="303"/>
      <c r="E789" s="303"/>
      <c r="F789" s="303"/>
      <c r="G789" s="303"/>
      <c r="H789" s="303"/>
      <c r="I789" s="303"/>
      <c r="J789" s="303"/>
      <c r="K789" s="303"/>
      <c r="L789" s="303"/>
      <c r="M789" s="303"/>
      <c r="N789" s="303"/>
      <c r="O789" s="303"/>
      <c r="P789" s="303"/>
      <c r="Q789" s="303"/>
      <c r="R789" s="303"/>
      <c r="S789" s="303"/>
      <c r="T789" s="303"/>
      <c r="U789" s="303"/>
      <c r="V789" s="303"/>
      <c r="W789" s="303"/>
      <c r="X789" s="303"/>
      <c r="Y789" s="303"/>
      <c r="Z789" s="532"/>
      <c r="AA789" s="530"/>
      <c r="AB789" s="525" t="str">
        <f t="shared" si="18"/>
        <v/>
      </c>
      <c r="AC789" s="525" t="str">
        <f t="shared" si="19"/>
        <v/>
      </c>
      <c r="AD789" s="525" t="str">
        <f t="shared" si="20"/>
        <v/>
      </c>
      <c r="AE789" s="525" t="str">
        <f t="shared" si="21"/>
        <v/>
      </c>
      <c r="AF789" s="525" t="str">
        <f t="shared" si="22"/>
        <v/>
      </c>
      <c r="AG789" s="525" t="str">
        <f t="shared" si="23"/>
        <v/>
      </c>
      <c r="AH789" s="525">
        <f>E790</f>
        <v>0</v>
      </c>
      <c r="AI789" s="525">
        <f>E791</f>
        <v>0</v>
      </c>
    </row>
    <row r="790" spans="1:35" x14ac:dyDescent="0.2">
      <c r="A790" s="531"/>
      <c r="B790" s="303"/>
      <c r="C790" s="303"/>
      <c r="D790" s="303"/>
      <c r="E790" s="303"/>
      <c r="F790" s="303"/>
      <c r="G790" s="303"/>
      <c r="H790" s="303"/>
      <c r="I790" s="303"/>
      <c r="J790" s="303"/>
      <c r="K790" s="303"/>
      <c r="L790" s="303"/>
      <c r="M790" s="303"/>
      <c r="N790" s="303"/>
      <c r="O790" s="303"/>
      <c r="P790" s="303"/>
      <c r="Q790" s="303"/>
      <c r="R790" s="303"/>
      <c r="S790" s="303"/>
      <c r="T790" s="303"/>
      <c r="U790" s="303"/>
      <c r="V790" s="303"/>
      <c r="W790" s="303"/>
      <c r="X790" s="303"/>
      <c r="Y790" s="303"/>
      <c r="Z790" s="532"/>
      <c r="AA790" s="530"/>
      <c r="AB790" s="525" t="str">
        <f t="shared" si="18"/>
        <v/>
      </c>
      <c r="AC790" s="525" t="str">
        <f t="shared" si="19"/>
        <v/>
      </c>
      <c r="AD790" s="525" t="str">
        <f t="shared" si="20"/>
        <v/>
      </c>
      <c r="AE790" s="525" t="str">
        <f t="shared" si="21"/>
        <v/>
      </c>
      <c r="AF790" s="525" t="str">
        <f t="shared" si="22"/>
        <v/>
      </c>
      <c r="AG790" s="525" t="str">
        <f t="shared" si="23"/>
        <v/>
      </c>
      <c r="AH790" s="525">
        <f>E790</f>
        <v>0</v>
      </c>
      <c r="AI790" s="525">
        <f>E791</f>
        <v>0</v>
      </c>
    </row>
    <row r="791" spans="1:35" x14ac:dyDescent="0.2">
      <c r="A791" s="531"/>
      <c r="B791" s="303"/>
      <c r="C791" s="303"/>
      <c r="D791" s="303"/>
      <c r="E791" s="303"/>
      <c r="F791" s="303"/>
      <c r="G791" s="303"/>
      <c r="H791" s="303"/>
      <c r="I791" s="303"/>
      <c r="J791" s="303"/>
      <c r="K791" s="303"/>
      <c r="L791" s="303"/>
      <c r="M791" s="303"/>
      <c r="N791" s="303"/>
      <c r="O791" s="303"/>
      <c r="P791" s="303"/>
      <c r="Q791" s="303"/>
      <c r="R791" s="303"/>
      <c r="S791" s="303"/>
      <c r="T791" s="303"/>
      <c r="U791" s="303"/>
      <c r="V791" s="303"/>
      <c r="W791" s="303"/>
      <c r="X791" s="303"/>
      <c r="Y791" s="303"/>
      <c r="Z791" s="532"/>
      <c r="AA791" s="530"/>
      <c r="AB791" s="525" t="str">
        <f t="shared" si="18"/>
        <v/>
      </c>
      <c r="AC791" s="525" t="str">
        <f t="shared" si="19"/>
        <v/>
      </c>
      <c r="AD791" s="525" t="str">
        <f t="shared" si="20"/>
        <v/>
      </c>
      <c r="AE791" s="525" t="str">
        <f t="shared" si="21"/>
        <v/>
      </c>
      <c r="AF791" s="525" t="str">
        <f t="shared" si="22"/>
        <v/>
      </c>
      <c r="AG791" s="525" t="str">
        <f t="shared" si="23"/>
        <v/>
      </c>
      <c r="AH791" s="525">
        <f>E790</f>
        <v>0</v>
      </c>
      <c r="AI791" s="525">
        <f>E791</f>
        <v>0</v>
      </c>
    </row>
    <row r="792" spans="1:35" x14ac:dyDescent="0.2">
      <c r="A792" s="531"/>
      <c r="B792" s="303"/>
      <c r="C792" s="303"/>
      <c r="D792" s="303"/>
      <c r="E792" s="303"/>
      <c r="F792" s="303"/>
      <c r="G792" s="303"/>
      <c r="H792" s="303"/>
      <c r="I792" s="303"/>
      <c r="J792" s="303"/>
      <c r="K792" s="303"/>
      <c r="L792" s="303"/>
      <c r="M792" s="303"/>
      <c r="N792" s="303"/>
      <c r="O792" s="303"/>
      <c r="P792" s="303"/>
      <c r="Q792" s="303"/>
      <c r="R792" s="303"/>
      <c r="S792" s="303"/>
      <c r="T792" s="303"/>
      <c r="U792" s="303"/>
      <c r="V792" s="303"/>
      <c r="W792" s="303"/>
      <c r="X792" s="303"/>
      <c r="Y792" s="303"/>
      <c r="Z792" s="532"/>
      <c r="AA792" s="530"/>
      <c r="AB792" s="525" t="str">
        <f t="shared" si="18"/>
        <v/>
      </c>
      <c r="AC792" s="525" t="str">
        <f t="shared" si="19"/>
        <v/>
      </c>
      <c r="AD792" s="525" t="str">
        <f t="shared" si="20"/>
        <v/>
      </c>
      <c r="AE792" s="525" t="str">
        <f t="shared" si="21"/>
        <v/>
      </c>
      <c r="AF792" s="525" t="str">
        <f t="shared" si="22"/>
        <v/>
      </c>
      <c r="AG792" s="525" t="str">
        <f t="shared" si="23"/>
        <v/>
      </c>
      <c r="AH792" s="525">
        <f>E793</f>
        <v>0</v>
      </c>
      <c r="AI792" s="525">
        <f>E794</f>
        <v>0</v>
      </c>
    </row>
    <row r="793" spans="1:35" x14ac:dyDescent="0.2">
      <c r="A793" s="531"/>
      <c r="B793" s="303"/>
      <c r="C793" s="303"/>
      <c r="D793" s="303"/>
      <c r="E793" s="303"/>
      <c r="F793" s="303"/>
      <c r="G793" s="303"/>
      <c r="H793" s="303"/>
      <c r="I793" s="303"/>
      <c r="J793" s="303"/>
      <c r="K793" s="303"/>
      <c r="L793" s="303"/>
      <c r="M793" s="303"/>
      <c r="N793" s="303"/>
      <c r="O793" s="303"/>
      <c r="P793" s="303"/>
      <c r="Q793" s="303"/>
      <c r="R793" s="303"/>
      <c r="S793" s="303"/>
      <c r="T793" s="303"/>
      <c r="U793" s="303"/>
      <c r="V793" s="303"/>
      <c r="W793" s="303"/>
      <c r="X793" s="303"/>
      <c r="Y793" s="303"/>
      <c r="Z793" s="532"/>
      <c r="AA793" s="530"/>
      <c r="AB793" s="525" t="str">
        <f t="shared" si="18"/>
        <v/>
      </c>
      <c r="AC793" s="525" t="str">
        <f t="shared" si="19"/>
        <v/>
      </c>
      <c r="AD793" s="525" t="str">
        <f t="shared" si="20"/>
        <v/>
      </c>
      <c r="AE793" s="525" t="str">
        <f t="shared" si="21"/>
        <v/>
      </c>
      <c r="AF793" s="525" t="str">
        <f t="shared" si="22"/>
        <v/>
      </c>
      <c r="AG793" s="525" t="str">
        <f t="shared" si="23"/>
        <v/>
      </c>
      <c r="AH793" s="525">
        <f>E793</f>
        <v>0</v>
      </c>
      <c r="AI793" s="525">
        <f>E794</f>
        <v>0</v>
      </c>
    </row>
    <row r="794" spans="1:35" x14ac:dyDescent="0.2">
      <c r="A794" s="531"/>
      <c r="B794" s="303"/>
      <c r="C794" s="303"/>
      <c r="D794" s="303"/>
      <c r="E794" s="303"/>
      <c r="F794" s="303"/>
      <c r="G794" s="303"/>
      <c r="H794" s="303"/>
      <c r="I794" s="303"/>
      <c r="J794" s="303"/>
      <c r="K794" s="303"/>
      <c r="L794" s="303"/>
      <c r="M794" s="303"/>
      <c r="N794" s="303"/>
      <c r="O794" s="303"/>
      <c r="P794" s="303"/>
      <c r="Q794" s="303"/>
      <c r="R794" s="303"/>
      <c r="S794" s="303"/>
      <c r="T794" s="303"/>
      <c r="U794" s="303"/>
      <c r="V794" s="303"/>
      <c r="W794" s="303"/>
      <c r="X794" s="303"/>
      <c r="Y794" s="303"/>
      <c r="Z794" s="532"/>
      <c r="AA794" s="530"/>
      <c r="AB794" s="525" t="str">
        <f t="shared" si="18"/>
        <v/>
      </c>
      <c r="AC794" s="525" t="str">
        <f t="shared" si="19"/>
        <v/>
      </c>
      <c r="AD794" s="525" t="str">
        <f t="shared" si="20"/>
        <v/>
      </c>
      <c r="AE794" s="525" t="str">
        <f t="shared" si="21"/>
        <v/>
      </c>
      <c r="AF794" s="525" t="str">
        <f t="shared" si="22"/>
        <v/>
      </c>
      <c r="AG794" s="525" t="str">
        <f t="shared" si="23"/>
        <v/>
      </c>
      <c r="AH794" s="525">
        <f>E793</f>
        <v>0</v>
      </c>
      <c r="AI794" s="525">
        <f>E794</f>
        <v>0</v>
      </c>
    </row>
    <row r="795" spans="1:35" x14ac:dyDescent="0.2">
      <c r="A795" s="531"/>
      <c r="B795" s="303"/>
      <c r="C795" s="303"/>
      <c r="D795" s="303"/>
      <c r="E795" s="303"/>
      <c r="F795" s="303"/>
      <c r="G795" s="303"/>
      <c r="H795" s="303"/>
      <c r="I795" s="303"/>
      <c r="J795" s="303"/>
      <c r="K795" s="303"/>
      <c r="L795" s="303"/>
      <c r="M795" s="303"/>
      <c r="N795" s="303"/>
      <c r="O795" s="303"/>
      <c r="P795" s="303"/>
      <c r="Q795" s="303"/>
      <c r="R795" s="303"/>
      <c r="S795" s="303"/>
      <c r="T795" s="303"/>
      <c r="U795" s="303"/>
      <c r="V795" s="303"/>
      <c r="W795" s="303"/>
      <c r="X795" s="303"/>
      <c r="Y795" s="303"/>
      <c r="Z795" s="532"/>
      <c r="AA795" s="530"/>
      <c r="AB795" s="525" t="str">
        <f t="shared" si="18"/>
        <v/>
      </c>
      <c r="AC795" s="525" t="str">
        <f t="shared" si="19"/>
        <v/>
      </c>
      <c r="AD795" s="525" t="str">
        <f t="shared" si="20"/>
        <v/>
      </c>
      <c r="AE795" s="525" t="str">
        <f t="shared" si="21"/>
        <v/>
      </c>
      <c r="AF795" s="525" t="str">
        <f t="shared" si="22"/>
        <v/>
      </c>
      <c r="AG795" s="525" t="str">
        <f t="shared" si="23"/>
        <v/>
      </c>
      <c r="AH795" s="525">
        <f>E796</f>
        <v>0</v>
      </c>
      <c r="AI795" s="525">
        <f>E797</f>
        <v>0</v>
      </c>
    </row>
    <row r="796" spans="1:35" x14ac:dyDescent="0.2">
      <c r="A796" s="531"/>
      <c r="B796" s="303"/>
      <c r="C796" s="303"/>
      <c r="D796" s="303"/>
      <c r="E796" s="303"/>
      <c r="F796" s="303"/>
      <c r="G796" s="303"/>
      <c r="H796" s="303"/>
      <c r="I796" s="303"/>
      <c r="J796" s="303"/>
      <c r="K796" s="303"/>
      <c r="L796" s="303"/>
      <c r="M796" s="303"/>
      <c r="N796" s="303"/>
      <c r="O796" s="303"/>
      <c r="P796" s="303"/>
      <c r="Q796" s="303"/>
      <c r="R796" s="303"/>
      <c r="S796" s="303"/>
      <c r="T796" s="303"/>
      <c r="U796" s="303"/>
      <c r="V796" s="303"/>
      <c r="W796" s="303"/>
      <c r="X796" s="303"/>
      <c r="Y796" s="303"/>
      <c r="Z796" s="532"/>
      <c r="AA796" s="530"/>
      <c r="AB796" s="525" t="str">
        <f t="shared" si="18"/>
        <v/>
      </c>
      <c r="AC796" s="525" t="str">
        <f t="shared" si="19"/>
        <v/>
      </c>
      <c r="AD796" s="525" t="str">
        <f t="shared" si="20"/>
        <v/>
      </c>
      <c r="AE796" s="525" t="str">
        <f t="shared" si="21"/>
        <v/>
      </c>
      <c r="AF796" s="525" t="str">
        <f t="shared" si="22"/>
        <v/>
      </c>
      <c r="AG796" s="525" t="str">
        <f t="shared" si="23"/>
        <v/>
      </c>
      <c r="AH796" s="525">
        <f>E796</f>
        <v>0</v>
      </c>
      <c r="AI796" s="525">
        <f>E797</f>
        <v>0</v>
      </c>
    </row>
    <row r="797" spans="1:35" x14ac:dyDescent="0.2">
      <c r="A797" s="531"/>
      <c r="B797" s="303"/>
      <c r="C797" s="303"/>
      <c r="D797" s="303"/>
      <c r="E797" s="303"/>
      <c r="F797" s="303"/>
      <c r="G797" s="303"/>
      <c r="H797" s="303"/>
      <c r="I797" s="303"/>
      <c r="J797" s="303"/>
      <c r="K797" s="303"/>
      <c r="L797" s="303"/>
      <c r="M797" s="303"/>
      <c r="N797" s="303"/>
      <c r="O797" s="303"/>
      <c r="P797" s="303"/>
      <c r="Q797" s="303"/>
      <c r="R797" s="303"/>
      <c r="S797" s="303"/>
      <c r="T797" s="303"/>
      <c r="U797" s="303"/>
      <c r="V797" s="303"/>
      <c r="W797" s="303"/>
      <c r="X797" s="303"/>
      <c r="Y797" s="303"/>
      <c r="Z797" s="532"/>
      <c r="AA797" s="530"/>
      <c r="AB797" s="525" t="str">
        <f t="shared" si="18"/>
        <v/>
      </c>
      <c r="AC797" s="525" t="str">
        <f t="shared" si="19"/>
        <v/>
      </c>
      <c r="AD797" s="525" t="str">
        <f t="shared" si="20"/>
        <v/>
      </c>
      <c r="AE797" s="525" t="str">
        <f t="shared" si="21"/>
        <v/>
      </c>
      <c r="AF797" s="525" t="str">
        <f t="shared" si="22"/>
        <v/>
      </c>
      <c r="AG797" s="525" t="str">
        <f t="shared" si="23"/>
        <v/>
      </c>
      <c r="AH797" s="525">
        <f>E796</f>
        <v>0</v>
      </c>
      <c r="AI797" s="525">
        <f>E797</f>
        <v>0</v>
      </c>
    </row>
    <row r="798" spans="1:35" x14ac:dyDescent="0.2">
      <c r="A798" s="531"/>
      <c r="B798" s="303"/>
      <c r="C798" s="303"/>
      <c r="D798" s="303"/>
      <c r="E798" s="303"/>
      <c r="F798" s="303"/>
      <c r="G798" s="303"/>
      <c r="H798" s="303"/>
      <c r="I798" s="303"/>
      <c r="J798" s="303"/>
      <c r="K798" s="303"/>
      <c r="L798" s="303"/>
      <c r="M798" s="303"/>
      <c r="N798" s="303"/>
      <c r="O798" s="303"/>
      <c r="P798" s="303"/>
      <c r="Q798" s="303"/>
      <c r="R798" s="303"/>
      <c r="S798" s="303"/>
      <c r="T798" s="303"/>
      <c r="U798" s="303"/>
      <c r="V798" s="303"/>
      <c r="W798" s="303"/>
      <c r="X798" s="303"/>
      <c r="Y798" s="303"/>
      <c r="Z798" s="532"/>
      <c r="AA798" s="530"/>
      <c r="AB798" s="525" t="str">
        <f t="shared" si="18"/>
        <v/>
      </c>
      <c r="AC798" s="525" t="str">
        <f t="shared" si="19"/>
        <v/>
      </c>
      <c r="AD798" s="525" t="str">
        <f t="shared" si="20"/>
        <v/>
      </c>
      <c r="AE798" s="525" t="str">
        <f t="shared" si="21"/>
        <v/>
      </c>
      <c r="AF798" s="525" t="str">
        <f t="shared" si="22"/>
        <v/>
      </c>
      <c r="AG798" s="525" t="str">
        <f t="shared" si="23"/>
        <v/>
      </c>
      <c r="AH798" s="525">
        <f>E799</f>
        <v>0</v>
      </c>
      <c r="AI798" s="525">
        <f>E800</f>
        <v>0</v>
      </c>
    </row>
    <row r="799" spans="1:35" x14ac:dyDescent="0.2">
      <c r="A799" s="531"/>
      <c r="B799" s="303"/>
      <c r="C799" s="303"/>
      <c r="D799" s="303"/>
      <c r="E799" s="303"/>
      <c r="F799" s="303"/>
      <c r="G799" s="303"/>
      <c r="H799" s="303"/>
      <c r="I799" s="303"/>
      <c r="J799" s="303"/>
      <c r="K799" s="303"/>
      <c r="L799" s="303"/>
      <c r="M799" s="303"/>
      <c r="N799" s="303"/>
      <c r="O799" s="303"/>
      <c r="P799" s="303"/>
      <c r="Q799" s="303"/>
      <c r="R799" s="303"/>
      <c r="S799" s="303"/>
      <c r="T799" s="303"/>
      <c r="U799" s="303"/>
      <c r="V799" s="303"/>
      <c r="W799" s="303"/>
      <c r="X799" s="303"/>
      <c r="Y799" s="303"/>
      <c r="Z799" s="532"/>
      <c r="AA799" s="530"/>
      <c r="AB799" s="525" t="str">
        <f t="shared" si="18"/>
        <v/>
      </c>
      <c r="AC799" s="525" t="str">
        <f t="shared" si="19"/>
        <v/>
      </c>
      <c r="AD799" s="525" t="str">
        <f t="shared" si="20"/>
        <v/>
      </c>
      <c r="AE799" s="525" t="str">
        <f t="shared" si="21"/>
        <v/>
      </c>
      <c r="AF799" s="525" t="str">
        <f t="shared" si="22"/>
        <v/>
      </c>
      <c r="AG799" s="525" t="str">
        <f t="shared" si="23"/>
        <v/>
      </c>
      <c r="AH799" s="525">
        <f>E799</f>
        <v>0</v>
      </c>
      <c r="AI799" s="525">
        <f>E800</f>
        <v>0</v>
      </c>
    </row>
    <row r="800" spans="1:35" x14ac:dyDescent="0.2">
      <c r="A800" s="531"/>
      <c r="B800" s="303"/>
      <c r="C800" s="303"/>
      <c r="D800" s="303"/>
      <c r="E800" s="303"/>
      <c r="F800" s="303"/>
      <c r="G800" s="303"/>
      <c r="H800" s="303"/>
      <c r="I800" s="303"/>
      <c r="J800" s="303"/>
      <c r="K800" s="303"/>
      <c r="L800" s="303"/>
      <c r="M800" s="303"/>
      <c r="N800" s="303"/>
      <c r="O800" s="303"/>
      <c r="P800" s="303"/>
      <c r="Q800" s="303"/>
      <c r="R800" s="303"/>
      <c r="S800" s="303"/>
      <c r="T800" s="303"/>
      <c r="U800" s="303"/>
      <c r="V800" s="303"/>
      <c r="W800" s="303"/>
      <c r="X800" s="303"/>
      <c r="Y800" s="303"/>
      <c r="Z800" s="532"/>
      <c r="AA800" s="530"/>
      <c r="AB800" s="525" t="str">
        <f t="shared" si="18"/>
        <v/>
      </c>
      <c r="AC800" s="525" t="str">
        <f t="shared" si="19"/>
        <v/>
      </c>
      <c r="AD800" s="525" t="str">
        <f t="shared" si="20"/>
        <v/>
      </c>
      <c r="AE800" s="525" t="str">
        <f t="shared" si="21"/>
        <v/>
      </c>
      <c r="AF800" s="525" t="str">
        <f t="shared" si="22"/>
        <v/>
      </c>
      <c r="AG800" s="525" t="str">
        <f t="shared" si="23"/>
        <v/>
      </c>
      <c r="AH800" s="525">
        <f>E799</f>
        <v>0</v>
      </c>
      <c r="AI800" s="525">
        <f>E800</f>
        <v>0</v>
      </c>
    </row>
    <row r="801" spans="1:35" x14ac:dyDescent="0.2">
      <c r="A801" s="531"/>
      <c r="B801" s="303"/>
      <c r="C801" s="303"/>
      <c r="D801" s="303"/>
      <c r="E801" s="303"/>
      <c r="F801" s="303"/>
      <c r="G801" s="303"/>
      <c r="H801" s="303"/>
      <c r="I801" s="303"/>
      <c r="J801" s="303"/>
      <c r="K801" s="303"/>
      <c r="L801" s="303"/>
      <c r="M801" s="303"/>
      <c r="N801" s="303"/>
      <c r="O801" s="303"/>
      <c r="P801" s="303"/>
      <c r="Q801" s="303"/>
      <c r="R801" s="303"/>
      <c r="S801" s="303"/>
      <c r="T801" s="303"/>
      <c r="U801" s="303"/>
      <c r="V801" s="303"/>
      <c r="W801" s="303"/>
      <c r="X801" s="303"/>
      <c r="Y801" s="303"/>
      <c r="Z801" s="532"/>
      <c r="AA801" s="530"/>
      <c r="AB801" s="525" t="str">
        <f t="shared" si="18"/>
        <v/>
      </c>
      <c r="AC801" s="525" t="str">
        <f t="shared" si="19"/>
        <v/>
      </c>
      <c r="AD801" s="525" t="str">
        <f t="shared" si="20"/>
        <v/>
      </c>
      <c r="AE801" s="525" t="str">
        <f t="shared" si="21"/>
        <v/>
      </c>
      <c r="AF801" s="525" t="str">
        <f t="shared" si="22"/>
        <v/>
      </c>
      <c r="AG801" s="525" t="str">
        <f t="shared" si="23"/>
        <v/>
      </c>
      <c r="AH801" s="525">
        <f>E802</f>
        <v>0</v>
      </c>
      <c r="AI801" s="525">
        <f>E803</f>
        <v>0</v>
      </c>
    </row>
    <row r="802" spans="1:35" x14ac:dyDescent="0.2">
      <c r="A802" s="531"/>
      <c r="B802" s="303"/>
      <c r="C802" s="303"/>
      <c r="D802" s="303"/>
      <c r="E802" s="303"/>
      <c r="F802" s="303"/>
      <c r="G802" s="303"/>
      <c r="H802" s="303"/>
      <c r="I802" s="303"/>
      <c r="J802" s="303"/>
      <c r="K802" s="303"/>
      <c r="L802" s="303"/>
      <c r="M802" s="303"/>
      <c r="N802" s="303"/>
      <c r="O802" s="303"/>
      <c r="P802" s="303"/>
      <c r="Q802" s="303"/>
      <c r="R802" s="303"/>
      <c r="S802" s="303"/>
      <c r="T802" s="303"/>
      <c r="U802" s="303"/>
      <c r="V802" s="303"/>
      <c r="W802" s="303"/>
      <c r="X802" s="303"/>
      <c r="Y802" s="303"/>
      <c r="Z802" s="532"/>
      <c r="AA802" s="530"/>
      <c r="AB802" s="525" t="str">
        <f t="shared" si="18"/>
        <v/>
      </c>
      <c r="AC802" s="525" t="str">
        <f t="shared" si="19"/>
        <v/>
      </c>
      <c r="AD802" s="525" t="str">
        <f t="shared" si="20"/>
        <v/>
      </c>
      <c r="AE802" s="525" t="str">
        <f t="shared" si="21"/>
        <v/>
      </c>
      <c r="AF802" s="525" t="str">
        <f t="shared" si="22"/>
        <v/>
      </c>
      <c r="AG802" s="525" t="str">
        <f t="shared" si="23"/>
        <v/>
      </c>
      <c r="AH802" s="525">
        <f>E802</f>
        <v>0</v>
      </c>
      <c r="AI802" s="525">
        <f>E803</f>
        <v>0</v>
      </c>
    </row>
    <row r="803" spans="1:35" x14ac:dyDescent="0.2">
      <c r="A803" s="531"/>
      <c r="B803" s="303"/>
      <c r="C803" s="303"/>
      <c r="D803" s="303"/>
      <c r="E803" s="303"/>
      <c r="F803" s="303"/>
      <c r="G803" s="303"/>
      <c r="H803" s="303"/>
      <c r="I803" s="303"/>
      <c r="J803" s="303"/>
      <c r="K803" s="303"/>
      <c r="L803" s="303"/>
      <c r="M803" s="303"/>
      <c r="N803" s="303"/>
      <c r="O803" s="303"/>
      <c r="P803" s="303"/>
      <c r="Q803" s="303"/>
      <c r="R803" s="303"/>
      <c r="S803" s="303"/>
      <c r="T803" s="303"/>
      <c r="U803" s="303"/>
      <c r="V803" s="303"/>
      <c r="W803" s="303"/>
      <c r="X803" s="303"/>
      <c r="Y803" s="303"/>
      <c r="Z803" s="532"/>
      <c r="AA803" s="530"/>
      <c r="AB803" s="525" t="str">
        <f t="shared" si="18"/>
        <v/>
      </c>
      <c r="AC803" s="525" t="str">
        <f t="shared" si="19"/>
        <v/>
      </c>
      <c r="AD803" s="525" t="str">
        <f t="shared" si="20"/>
        <v/>
      </c>
      <c r="AE803" s="525" t="str">
        <f t="shared" si="21"/>
        <v/>
      </c>
      <c r="AF803" s="525" t="str">
        <f t="shared" si="22"/>
        <v/>
      </c>
      <c r="AG803" s="525" t="str">
        <f t="shared" si="23"/>
        <v/>
      </c>
      <c r="AH803" s="525">
        <f>E802</f>
        <v>0</v>
      </c>
      <c r="AI803" s="525">
        <f>E803</f>
        <v>0</v>
      </c>
    </row>
    <row r="804" spans="1:35" x14ac:dyDescent="0.2">
      <c r="A804" s="531"/>
      <c r="B804" s="303"/>
      <c r="C804" s="303"/>
      <c r="D804" s="303"/>
      <c r="E804" s="303"/>
      <c r="F804" s="303"/>
      <c r="G804" s="303"/>
      <c r="H804" s="303"/>
      <c r="I804" s="303"/>
      <c r="J804" s="303"/>
      <c r="K804" s="303"/>
      <c r="L804" s="303"/>
      <c r="M804" s="303"/>
      <c r="N804" s="303"/>
      <c r="O804" s="303"/>
      <c r="P804" s="303"/>
      <c r="Q804" s="303"/>
      <c r="R804" s="303"/>
      <c r="S804" s="303"/>
      <c r="T804" s="303"/>
      <c r="U804" s="303"/>
      <c r="V804" s="303"/>
      <c r="W804" s="303"/>
      <c r="X804" s="303"/>
      <c r="Y804" s="303"/>
      <c r="Z804" s="532"/>
      <c r="AA804" s="530"/>
      <c r="AB804" s="525" t="str">
        <f t="shared" si="18"/>
        <v/>
      </c>
      <c r="AC804" s="525" t="str">
        <f t="shared" si="19"/>
        <v/>
      </c>
      <c r="AD804" s="525" t="str">
        <f t="shared" si="20"/>
        <v/>
      </c>
      <c r="AE804" s="525" t="str">
        <f t="shared" si="21"/>
        <v/>
      </c>
      <c r="AF804" s="525" t="str">
        <f t="shared" si="22"/>
        <v/>
      </c>
      <c r="AG804" s="525" t="str">
        <f t="shared" si="23"/>
        <v/>
      </c>
      <c r="AH804" s="525">
        <f>E805</f>
        <v>0</v>
      </c>
      <c r="AI804" s="525">
        <f>E806</f>
        <v>0</v>
      </c>
    </row>
    <row r="805" spans="1:35" x14ac:dyDescent="0.2">
      <c r="A805" s="531"/>
      <c r="B805" s="303"/>
      <c r="C805" s="303"/>
      <c r="D805" s="303"/>
      <c r="E805" s="303"/>
      <c r="F805" s="303"/>
      <c r="G805" s="303"/>
      <c r="H805" s="303"/>
      <c r="I805" s="303"/>
      <c r="J805" s="303"/>
      <c r="K805" s="303"/>
      <c r="L805" s="303"/>
      <c r="M805" s="303"/>
      <c r="N805" s="303"/>
      <c r="O805" s="303"/>
      <c r="P805" s="303"/>
      <c r="Q805" s="303"/>
      <c r="R805" s="303"/>
      <c r="S805" s="303"/>
      <c r="T805" s="303"/>
      <c r="U805" s="303"/>
      <c r="V805" s="303"/>
      <c r="W805" s="303"/>
      <c r="X805" s="303"/>
      <c r="Y805" s="303"/>
      <c r="Z805" s="532"/>
      <c r="AA805" s="530"/>
      <c r="AB805" s="525" t="str">
        <f t="shared" si="18"/>
        <v/>
      </c>
      <c r="AC805" s="525" t="str">
        <f t="shared" si="19"/>
        <v/>
      </c>
      <c r="AD805" s="525" t="str">
        <f t="shared" si="20"/>
        <v/>
      </c>
      <c r="AE805" s="525" t="str">
        <f t="shared" si="21"/>
        <v/>
      </c>
      <c r="AF805" s="525" t="str">
        <f t="shared" si="22"/>
        <v/>
      </c>
      <c r="AG805" s="525" t="str">
        <f t="shared" si="23"/>
        <v/>
      </c>
      <c r="AH805" s="525">
        <f>E805</f>
        <v>0</v>
      </c>
      <c r="AI805" s="525">
        <f>E806</f>
        <v>0</v>
      </c>
    </row>
    <row r="806" spans="1:35" x14ac:dyDescent="0.2">
      <c r="A806" s="531"/>
      <c r="B806" s="303"/>
      <c r="C806" s="303"/>
      <c r="D806" s="303"/>
      <c r="E806" s="303"/>
      <c r="F806" s="303"/>
      <c r="G806" s="303"/>
      <c r="H806" s="303"/>
      <c r="I806" s="303"/>
      <c r="J806" s="303"/>
      <c r="K806" s="303"/>
      <c r="L806" s="303"/>
      <c r="M806" s="303"/>
      <c r="N806" s="303"/>
      <c r="O806" s="303"/>
      <c r="P806" s="303"/>
      <c r="Q806" s="303"/>
      <c r="R806" s="303"/>
      <c r="S806" s="303"/>
      <c r="T806" s="303"/>
      <c r="U806" s="303"/>
      <c r="V806" s="303"/>
      <c r="W806" s="303"/>
      <c r="X806" s="303"/>
      <c r="Y806" s="303"/>
      <c r="Z806" s="532"/>
      <c r="AA806" s="530"/>
      <c r="AB806" s="525" t="str">
        <f t="shared" si="18"/>
        <v/>
      </c>
      <c r="AC806" s="525" t="str">
        <f t="shared" si="19"/>
        <v/>
      </c>
      <c r="AD806" s="525" t="str">
        <f t="shared" si="20"/>
        <v/>
      </c>
      <c r="AE806" s="525" t="str">
        <f t="shared" si="21"/>
        <v/>
      </c>
      <c r="AF806" s="525" t="str">
        <f t="shared" si="22"/>
        <v/>
      </c>
      <c r="AG806" s="525" t="str">
        <f t="shared" si="23"/>
        <v/>
      </c>
      <c r="AH806" s="525">
        <f>E805</f>
        <v>0</v>
      </c>
      <c r="AI806" s="525">
        <f>E806</f>
        <v>0</v>
      </c>
    </row>
    <row r="807" spans="1:35" x14ac:dyDescent="0.2">
      <c r="A807" s="531"/>
      <c r="B807" s="303"/>
      <c r="C807" s="303"/>
      <c r="D807" s="303"/>
      <c r="E807" s="303"/>
      <c r="F807" s="303"/>
      <c r="G807" s="303"/>
      <c r="H807" s="303"/>
      <c r="I807" s="303"/>
      <c r="J807" s="303"/>
      <c r="K807" s="303"/>
      <c r="L807" s="303"/>
      <c r="M807" s="303"/>
      <c r="N807" s="303"/>
      <c r="O807" s="303"/>
      <c r="P807" s="303"/>
      <c r="Q807" s="303"/>
      <c r="R807" s="303"/>
      <c r="S807" s="303"/>
      <c r="T807" s="303"/>
      <c r="U807" s="303"/>
      <c r="V807" s="303"/>
      <c r="W807" s="303"/>
      <c r="X807" s="303"/>
      <c r="Y807" s="303"/>
      <c r="Z807" s="532"/>
      <c r="AA807" s="530"/>
      <c r="AB807" s="525" t="str">
        <f t="shared" si="18"/>
        <v/>
      </c>
      <c r="AC807" s="525" t="str">
        <f t="shared" si="19"/>
        <v/>
      </c>
      <c r="AD807" s="525" t="str">
        <f t="shared" si="20"/>
        <v/>
      </c>
      <c r="AE807" s="525" t="str">
        <f t="shared" si="21"/>
        <v/>
      </c>
      <c r="AF807" s="525" t="str">
        <f t="shared" si="22"/>
        <v/>
      </c>
      <c r="AG807" s="525" t="str">
        <f t="shared" si="23"/>
        <v/>
      </c>
      <c r="AH807" s="525">
        <f>E808</f>
        <v>0</v>
      </c>
      <c r="AI807" s="525">
        <f>E809</f>
        <v>0</v>
      </c>
    </row>
    <row r="808" spans="1:35" x14ac:dyDescent="0.2">
      <c r="A808" s="531"/>
      <c r="B808" s="303"/>
      <c r="C808" s="303"/>
      <c r="D808" s="303"/>
      <c r="E808" s="303"/>
      <c r="F808" s="303"/>
      <c r="G808" s="303"/>
      <c r="H808" s="303"/>
      <c r="I808" s="303"/>
      <c r="J808" s="303"/>
      <c r="K808" s="303"/>
      <c r="L808" s="303"/>
      <c r="M808" s="303"/>
      <c r="N808" s="303"/>
      <c r="O808" s="303"/>
      <c r="P808" s="303"/>
      <c r="Q808" s="303"/>
      <c r="R808" s="303"/>
      <c r="S808" s="303"/>
      <c r="T808" s="303"/>
      <c r="U808" s="303"/>
      <c r="V808" s="303"/>
      <c r="W808" s="303"/>
      <c r="X808" s="303"/>
      <c r="Y808" s="303"/>
      <c r="Z808" s="532"/>
      <c r="AA808" s="530"/>
      <c r="AB808" s="525" t="str">
        <f t="shared" si="18"/>
        <v/>
      </c>
      <c r="AC808" s="525" t="str">
        <f t="shared" si="19"/>
        <v/>
      </c>
      <c r="AD808" s="525" t="str">
        <f t="shared" si="20"/>
        <v/>
      </c>
      <c r="AE808" s="525" t="str">
        <f t="shared" si="21"/>
        <v/>
      </c>
      <c r="AF808" s="525" t="str">
        <f t="shared" si="22"/>
        <v/>
      </c>
      <c r="AG808" s="525" t="str">
        <f t="shared" si="23"/>
        <v/>
      </c>
      <c r="AH808" s="525">
        <f>E808</f>
        <v>0</v>
      </c>
      <c r="AI808" s="525">
        <f>E809</f>
        <v>0</v>
      </c>
    </row>
    <row r="809" spans="1:35" x14ac:dyDescent="0.2">
      <c r="A809" s="531"/>
      <c r="B809" s="303"/>
      <c r="C809" s="303"/>
      <c r="D809" s="303"/>
      <c r="E809" s="303"/>
      <c r="F809" s="303"/>
      <c r="G809" s="303"/>
      <c r="H809" s="303"/>
      <c r="I809" s="303"/>
      <c r="J809" s="303"/>
      <c r="K809" s="303"/>
      <c r="L809" s="303"/>
      <c r="M809" s="303"/>
      <c r="N809" s="303"/>
      <c r="O809" s="303"/>
      <c r="P809" s="303"/>
      <c r="Q809" s="303"/>
      <c r="R809" s="303"/>
      <c r="S809" s="303"/>
      <c r="T809" s="303"/>
      <c r="U809" s="303"/>
      <c r="V809" s="303"/>
      <c r="W809" s="303"/>
      <c r="X809" s="303"/>
      <c r="Y809" s="303"/>
      <c r="Z809" s="532"/>
      <c r="AA809" s="530"/>
      <c r="AB809" s="525" t="str">
        <f t="shared" si="18"/>
        <v/>
      </c>
      <c r="AC809" s="525" t="str">
        <f t="shared" si="19"/>
        <v/>
      </c>
      <c r="AD809" s="525" t="str">
        <f t="shared" si="20"/>
        <v/>
      </c>
      <c r="AE809" s="525" t="str">
        <f t="shared" si="21"/>
        <v/>
      </c>
      <c r="AF809" s="525" t="str">
        <f t="shared" si="22"/>
        <v/>
      </c>
      <c r="AG809" s="525" t="str">
        <f t="shared" si="23"/>
        <v/>
      </c>
      <c r="AH809" s="525">
        <f>E808</f>
        <v>0</v>
      </c>
      <c r="AI809" s="525">
        <f>E809</f>
        <v>0</v>
      </c>
    </row>
    <row r="810" spans="1:35" x14ac:dyDescent="0.2">
      <c r="A810" s="531"/>
      <c r="B810" s="303"/>
      <c r="C810" s="303"/>
      <c r="D810" s="303"/>
      <c r="E810" s="303"/>
      <c r="F810" s="303"/>
      <c r="G810" s="303"/>
      <c r="H810" s="303"/>
      <c r="I810" s="303"/>
      <c r="J810" s="303"/>
      <c r="K810" s="303"/>
      <c r="L810" s="303"/>
      <c r="M810" s="303"/>
      <c r="N810" s="303"/>
      <c r="O810" s="303"/>
      <c r="P810" s="303"/>
      <c r="Q810" s="303"/>
      <c r="R810" s="303"/>
      <c r="S810" s="303"/>
      <c r="T810" s="303"/>
      <c r="U810" s="303"/>
      <c r="V810" s="303"/>
      <c r="W810" s="303"/>
      <c r="X810" s="303"/>
      <c r="Y810" s="303"/>
      <c r="Z810" s="532"/>
      <c r="AA810" s="530"/>
      <c r="AB810" s="525" t="str">
        <f t="shared" si="18"/>
        <v/>
      </c>
      <c r="AC810" s="525" t="str">
        <f t="shared" si="19"/>
        <v/>
      </c>
      <c r="AD810" s="525" t="str">
        <f t="shared" si="20"/>
        <v/>
      </c>
      <c r="AE810" s="525" t="str">
        <f t="shared" si="21"/>
        <v/>
      </c>
      <c r="AF810" s="525" t="str">
        <f t="shared" si="22"/>
        <v/>
      </c>
      <c r="AG810" s="525" t="str">
        <f t="shared" si="23"/>
        <v/>
      </c>
      <c r="AH810" s="525">
        <f>E811</f>
        <v>0</v>
      </c>
      <c r="AI810" s="525">
        <f>E812</f>
        <v>0</v>
      </c>
    </row>
    <row r="811" spans="1:35" x14ac:dyDescent="0.2">
      <c r="A811" s="531"/>
      <c r="B811" s="303"/>
      <c r="C811" s="303"/>
      <c r="D811" s="303"/>
      <c r="E811" s="303"/>
      <c r="F811" s="303"/>
      <c r="G811" s="303"/>
      <c r="H811" s="303"/>
      <c r="I811" s="303"/>
      <c r="J811" s="303"/>
      <c r="K811" s="303"/>
      <c r="L811" s="303"/>
      <c r="M811" s="303"/>
      <c r="N811" s="303"/>
      <c r="O811" s="303"/>
      <c r="P811" s="303"/>
      <c r="Q811" s="303"/>
      <c r="R811" s="303"/>
      <c r="S811" s="303"/>
      <c r="T811" s="303"/>
      <c r="U811" s="303"/>
      <c r="V811" s="303"/>
      <c r="W811" s="303"/>
      <c r="X811" s="303"/>
      <c r="Y811" s="303"/>
      <c r="Z811" s="532"/>
      <c r="AA811" s="530"/>
      <c r="AB811" s="525" t="str">
        <f t="shared" si="18"/>
        <v/>
      </c>
      <c r="AC811" s="525" t="str">
        <f t="shared" si="19"/>
        <v/>
      </c>
      <c r="AD811" s="525" t="str">
        <f t="shared" si="20"/>
        <v/>
      </c>
      <c r="AE811" s="525" t="str">
        <f t="shared" si="21"/>
        <v/>
      </c>
      <c r="AF811" s="525" t="str">
        <f t="shared" si="22"/>
        <v/>
      </c>
      <c r="AG811" s="525" t="str">
        <f t="shared" si="23"/>
        <v/>
      </c>
      <c r="AH811" s="525">
        <f>E811</f>
        <v>0</v>
      </c>
      <c r="AI811" s="525">
        <f>E812</f>
        <v>0</v>
      </c>
    </row>
    <row r="812" spans="1:35" x14ac:dyDescent="0.2">
      <c r="A812" s="531"/>
      <c r="B812" s="303"/>
      <c r="C812" s="303"/>
      <c r="D812" s="303"/>
      <c r="E812" s="303"/>
      <c r="F812" s="303"/>
      <c r="G812" s="303"/>
      <c r="H812" s="303"/>
      <c r="I812" s="303"/>
      <c r="J812" s="303"/>
      <c r="K812" s="303"/>
      <c r="L812" s="303"/>
      <c r="M812" s="303"/>
      <c r="N812" s="303"/>
      <c r="O812" s="303"/>
      <c r="P812" s="303"/>
      <c r="Q812" s="303"/>
      <c r="R812" s="303"/>
      <c r="S812" s="303"/>
      <c r="T812" s="303"/>
      <c r="U812" s="303"/>
      <c r="V812" s="303"/>
      <c r="W812" s="303"/>
      <c r="X812" s="303"/>
      <c r="Y812" s="303"/>
      <c r="Z812" s="532"/>
      <c r="AA812" s="530"/>
      <c r="AB812" s="525" t="str">
        <f t="shared" si="18"/>
        <v/>
      </c>
      <c r="AC812" s="525" t="str">
        <f t="shared" si="19"/>
        <v/>
      </c>
      <c r="AD812" s="525" t="str">
        <f t="shared" si="20"/>
        <v/>
      </c>
      <c r="AE812" s="525" t="str">
        <f t="shared" si="21"/>
        <v/>
      </c>
      <c r="AF812" s="525" t="str">
        <f t="shared" si="22"/>
        <v/>
      </c>
      <c r="AG812" s="525" t="str">
        <f t="shared" si="23"/>
        <v/>
      </c>
      <c r="AH812" s="525">
        <f>E811</f>
        <v>0</v>
      </c>
      <c r="AI812" s="525">
        <f>E812</f>
        <v>0</v>
      </c>
    </row>
    <row r="813" spans="1:35" x14ac:dyDescent="0.2">
      <c r="A813" s="531"/>
      <c r="B813" s="303"/>
      <c r="C813" s="303"/>
      <c r="D813" s="303"/>
      <c r="E813" s="303"/>
      <c r="F813" s="303"/>
      <c r="G813" s="303"/>
      <c r="H813" s="303"/>
      <c r="I813" s="303"/>
      <c r="J813" s="303"/>
      <c r="K813" s="303"/>
      <c r="L813" s="303"/>
      <c r="M813" s="303"/>
      <c r="N813" s="303"/>
      <c r="O813" s="303"/>
      <c r="P813" s="303"/>
      <c r="Q813" s="303"/>
      <c r="R813" s="303"/>
      <c r="S813" s="303"/>
      <c r="T813" s="303"/>
      <c r="U813" s="303"/>
      <c r="V813" s="303"/>
      <c r="W813" s="303"/>
      <c r="X813" s="303"/>
      <c r="Y813" s="303"/>
      <c r="Z813" s="532"/>
      <c r="AA813" s="530"/>
      <c r="AB813" s="525" t="str">
        <f t="shared" si="18"/>
        <v/>
      </c>
      <c r="AC813" s="525" t="str">
        <f t="shared" si="19"/>
        <v/>
      </c>
      <c r="AD813" s="525" t="str">
        <f t="shared" si="20"/>
        <v/>
      </c>
      <c r="AE813" s="525" t="str">
        <f t="shared" si="21"/>
        <v/>
      </c>
      <c r="AF813" s="525" t="str">
        <f t="shared" si="22"/>
        <v/>
      </c>
      <c r="AG813" s="525" t="str">
        <f t="shared" si="23"/>
        <v/>
      </c>
      <c r="AH813" s="525">
        <f>E814</f>
        <v>0</v>
      </c>
      <c r="AI813" s="525">
        <f>E815</f>
        <v>0</v>
      </c>
    </row>
    <row r="814" spans="1:35" x14ac:dyDescent="0.2">
      <c r="A814" s="531"/>
      <c r="B814" s="303"/>
      <c r="C814" s="303"/>
      <c r="D814" s="303"/>
      <c r="E814" s="303"/>
      <c r="F814" s="303"/>
      <c r="G814" s="303"/>
      <c r="H814" s="303"/>
      <c r="I814" s="303"/>
      <c r="J814" s="303"/>
      <c r="K814" s="303"/>
      <c r="L814" s="303"/>
      <c r="M814" s="303"/>
      <c r="N814" s="303"/>
      <c r="O814" s="303"/>
      <c r="P814" s="303"/>
      <c r="Q814" s="303"/>
      <c r="R814" s="303"/>
      <c r="S814" s="303"/>
      <c r="T814" s="303"/>
      <c r="U814" s="303"/>
      <c r="V814" s="303"/>
      <c r="W814" s="303"/>
      <c r="X814" s="303"/>
      <c r="Y814" s="303"/>
      <c r="Z814" s="532"/>
      <c r="AA814" s="530"/>
      <c r="AB814" s="525" t="str">
        <f t="shared" si="18"/>
        <v/>
      </c>
      <c r="AC814" s="525" t="str">
        <f t="shared" si="19"/>
        <v/>
      </c>
      <c r="AD814" s="525" t="str">
        <f t="shared" si="20"/>
        <v/>
      </c>
      <c r="AE814" s="525" t="str">
        <f t="shared" si="21"/>
        <v/>
      </c>
      <c r="AF814" s="525" t="str">
        <f t="shared" si="22"/>
        <v/>
      </c>
      <c r="AG814" s="525" t="str">
        <f t="shared" si="23"/>
        <v/>
      </c>
      <c r="AH814" s="525">
        <f>E814</f>
        <v>0</v>
      </c>
      <c r="AI814" s="525">
        <f>E815</f>
        <v>0</v>
      </c>
    </row>
    <row r="815" spans="1:35" x14ac:dyDescent="0.2">
      <c r="A815" s="531"/>
      <c r="B815" s="303"/>
      <c r="C815" s="303"/>
      <c r="D815" s="303"/>
      <c r="E815" s="303"/>
      <c r="F815" s="303"/>
      <c r="G815" s="303"/>
      <c r="H815" s="303"/>
      <c r="I815" s="303"/>
      <c r="J815" s="303"/>
      <c r="K815" s="303"/>
      <c r="L815" s="303"/>
      <c r="M815" s="303"/>
      <c r="N815" s="303"/>
      <c r="O815" s="303"/>
      <c r="P815" s="303"/>
      <c r="Q815" s="303"/>
      <c r="R815" s="303"/>
      <c r="S815" s="303"/>
      <c r="T815" s="303"/>
      <c r="U815" s="303"/>
      <c r="V815" s="303"/>
      <c r="W815" s="303"/>
      <c r="X815" s="303"/>
      <c r="Y815" s="303"/>
      <c r="Z815" s="532"/>
      <c r="AA815" s="530"/>
      <c r="AB815" s="525" t="str">
        <f t="shared" si="18"/>
        <v/>
      </c>
      <c r="AC815" s="525" t="str">
        <f t="shared" si="19"/>
        <v/>
      </c>
      <c r="AD815" s="525" t="str">
        <f t="shared" si="20"/>
        <v/>
      </c>
      <c r="AE815" s="525" t="str">
        <f t="shared" si="21"/>
        <v/>
      </c>
      <c r="AF815" s="525" t="str">
        <f t="shared" si="22"/>
        <v/>
      </c>
      <c r="AG815" s="525" t="str">
        <f t="shared" si="23"/>
        <v/>
      </c>
      <c r="AH815" s="525">
        <f>E814</f>
        <v>0</v>
      </c>
      <c r="AI815" s="525">
        <f>E815</f>
        <v>0</v>
      </c>
    </row>
    <row r="816" spans="1:35" x14ac:dyDescent="0.2">
      <c r="A816" s="531"/>
      <c r="B816" s="303"/>
      <c r="C816" s="303"/>
      <c r="D816" s="303"/>
      <c r="E816" s="303"/>
      <c r="F816" s="303"/>
      <c r="G816" s="303"/>
      <c r="H816" s="303"/>
      <c r="I816" s="303"/>
      <c r="J816" s="303"/>
      <c r="K816" s="303"/>
      <c r="L816" s="303"/>
      <c r="M816" s="303"/>
      <c r="N816" s="303"/>
      <c r="O816" s="303"/>
      <c r="P816" s="303"/>
      <c r="Q816" s="303"/>
      <c r="R816" s="303"/>
      <c r="S816" s="303"/>
      <c r="T816" s="303"/>
      <c r="U816" s="303"/>
      <c r="V816" s="303"/>
      <c r="W816" s="303"/>
      <c r="X816" s="303"/>
      <c r="Y816" s="303"/>
      <c r="Z816" s="532"/>
      <c r="AA816" s="530"/>
      <c r="AB816" s="525" t="str">
        <f t="shared" si="18"/>
        <v/>
      </c>
      <c r="AC816" s="525" t="str">
        <f t="shared" si="19"/>
        <v/>
      </c>
      <c r="AD816" s="525" t="str">
        <f t="shared" si="20"/>
        <v/>
      </c>
      <c r="AE816" s="525" t="str">
        <f t="shared" si="21"/>
        <v/>
      </c>
      <c r="AF816" s="525" t="str">
        <f t="shared" si="22"/>
        <v/>
      </c>
      <c r="AG816" s="525" t="str">
        <f t="shared" si="23"/>
        <v/>
      </c>
      <c r="AH816" s="525">
        <f>E817</f>
        <v>0</v>
      </c>
      <c r="AI816" s="525">
        <f>E818</f>
        <v>0</v>
      </c>
    </row>
    <row r="817" spans="1:35" x14ac:dyDescent="0.2">
      <c r="A817" s="531"/>
      <c r="B817" s="303"/>
      <c r="C817" s="303"/>
      <c r="D817" s="303"/>
      <c r="E817" s="303"/>
      <c r="F817" s="303"/>
      <c r="G817" s="303"/>
      <c r="H817" s="303"/>
      <c r="I817" s="303"/>
      <c r="J817" s="303"/>
      <c r="K817" s="303"/>
      <c r="L817" s="303"/>
      <c r="M817" s="303"/>
      <c r="N817" s="303"/>
      <c r="O817" s="303"/>
      <c r="P817" s="303"/>
      <c r="Q817" s="303"/>
      <c r="R817" s="303"/>
      <c r="S817" s="303"/>
      <c r="T817" s="303"/>
      <c r="U817" s="303"/>
      <c r="V817" s="303"/>
      <c r="W817" s="303"/>
      <c r="X817" s="303"/>
      <c r="Y817" s="303"/>
      <c r="Z817" s="532"/>
      <c r="AA817" s="530"/>
      <c r="AB817" s="525" t="str">
        <f t="shared" si="18"/>
        <v/>
      </c>
      <c r="AC817" s="525" t="str">
        <f t="shared" si="19"/>
        <v/>
      </c>
      <c r="AD817" s="525" t="str">
        <f t="shared" si="20"/>
        <v/>
      </c>
      <c r="AE817" s="525" t="str">
        <f t="shared" si="21"/>
        <v/>
      </c>
      <c r="AF817" s="525" t="str">
        <f t="shared" si="22"/>
        <v/>
      </c>
      <c r="AG817" s="525" t="str">
        <f t="shared" si="23"/>
        <v/>
      </c>
      <c r="AH817" s="525">
        <f>E817</f>
        <v>0</v>
      </c>
      <c r="AI817" s="525">
        <f>E818</f>
        <v>0</v>
      </c>
    </row>
    <row r="818" spans="1:35" x14ac:dyDescent="0.2">
      <c r="A818" s="531"/>
      <c r="B818" s="303"/>
      <c r="C818" s="303"/>
      <c r="D818" s="303"/>
      <c r="E818" s="303"/>
      <c r="F818" s="303"/>
      <c r="G818" s="303"/>
      <c r="H818" s="303"/>
      <c r="I818" s="303"/>
      <c r="J818" s="303"/>
      <c r="K818" s="303"/>
      <c r="L818" s="303"/>
      <c r="M818" s="303"/>
      <c r="N818" s="303"/>
      <c r="O818" s="303"/>
      <c r="P818" s="303"/>
      <c r="Q818" s="303"/>
      <c r="R818" s="303"/>
      <c r="S818" s="303"/>
      <c r="T818" s="303"/>
      <c r="U818" s="303"/>
      <c r="V818" s="303"/>
      <c r="W818" s="303"/>
      <c r="X818" s="303"/>
      <c r="Y818" s="303"/>
      <c r="Z818" s="532"/>
      <c r="AA818" s="530"/>
      <c r="AB818" s="525" t="str">
        <f t="shared" si="18"/>
        <v/>
      </c>
      <c r="AC818" s="525" t="str">
        <f t="shared" si="19"/>
        <v/>
      </c>
      <c r="AD818" s="525" t="str">
        <f t="shared" si="20"/>
        <v/>
      </c>
      <c r="AE818" s="525" t="str">
        <f t="shared" si="21"/>
        <v/>
      </c>
      <c r="AF818" s="525" t="str">
        <f t="shared" si="22"/>
        <v/>
      </c>
      <c r="AG818" s="525" t="str">
        <f t="shared" si="23"/>
        <v/>
      </c>
      <c r="AH818" s="525">
        <f>E817</f>
        <v>0</v>
      </c>
      <c r="AI818" s="525">
        <f>E818</f>
        <v>0</v>
      </c>
    </row>
    <row r="819" spans="1:35" x14ac:dyDescent="0.2">
      <c r="A819" s="531"/>
      <c r="B819" s="303"/>
      <c r="C819" s="303"/>
      <c r="D819" s="303"/>
      <c r="E819" s="303"/>
      <c r="F819" s="303"/>
      <c r="G819" s="303"/>
      <c r="H819" s="303"/>
      <c r="I819" s="303"/>
      <c r="J819" s="303"/>
      <c r="K819" s="303"/>
      <c r="L819" s="303"/>
      <c r="M819" s="303"/>
      <c r="N819" s="303"/>
      <c r="O819" s="303"/>
      <c r="P819" s="303"/>
      <c r="Q819" s="303"/>
      <c r="R819" s="303"/>
      <c r="S819" s="303"/>
      <c r="T819" s="303"/>
      <c r="U819" s="303"/>
      <c r="V819" s="303"/>
      <c r="W819" s="303"/>
      <c r="X819" s="303"/>
      <c r="Y819" s="303"/>
      <c r="Z819" s="532"/>
      <c r="AA819" s="530"/>
      <c r="AB819" s="525" t="str">
        <f t="shared" si="18"/>
        <v/>
      </c>
      <c r="AC819" s="525" t="str">
        <f t="shared" si="19"/>
        <v/>
      </c>
      <c r="AD819" s="525" t="str">
        <f t="shared" si="20"/>
        <v/>
      </c>
      <c r="AE819" s="525" t="str">
        <f t="shared" si="21"/>
        <v/>
      </c>
      <c r="AF819" s="525" t="str">
        <f t="shared" si="22"/>
        <v/>
      </c>
      <c r="AG819" s="525" t="str">
        <f t="shared" si="23"/>
        <v/>
      </c>
      <c r="AH819" s="525">
        <f>E820</f>
        <v>0</v>
      </c>
      <c r="AI819" s="525">
        <f>E821</f>
        <v>0</v>
      </c>
    </row>
    <row r="820" spans="1:35" x14ac:dyDescent="0.2">
      <c r="A820" s="531"/>
      <c r="B820" s="303"/>
      <c r="C820" s="303"/>
      <c r="D820" s="303"/>
      <c r="E820" s="303"/>
      <c r="F820" s="303"/>
      <c r="G820" s="303"/>
      <c r="H820" s="303"/>
      <c r="I820" s="303"/>
      <c r="J820" s="303"/>
      <c r="K820" s="303"/>
      <c r="L820" s="303"/>
      <c r="M820" s="303"/>
      <c r="N820" s="303"/>
      <c r="O820" s="303"/>
      <c r="P820" s="303"/>
      <c r="Q820" s="303"/>
      <c r="R820" s="303"/>
      <c r="S820" s="303"/>
      <c r="T820" s="303"/>
      <c r="U820" s="303"/>
      <c r="V820" s="303"/>
      <c r="W820" s="303"/>
      <c r="X820" s="303"/>
      <c r="Y820" s="303"/>
      <c r="Z820" s="532"/>
      <c r="AA820" s="530"/>
      <c r="AB820" s="525" t="str">
        <f t="shared" si="18"/>
        <v/>
      </c>
      <c r="AC820" s="525" t="str">
        <f t="shared" si="19"/>
        <v/>
      </c>
      <c r="AD820" s="525" t="str">
        <f t="shared" si="20"/>
        <v/>
      </c>
      <c r="AE820" s="525" t="str">
        <f t="shared" si="21"/>
        <v/>
      </c>
      <c r="AF820" s="525" t="str">
        <f t="shared" si="22"/>
        <v/>
      </c>
      <c r="AG820" s="525" t="str">
        <f t="shared" si="23"/>
        <v/>
      </c>
      <c r="AH820" s="525">
        <f>E820</f>
        <v>0</v>
      </c>
      <c r="AI820" s="525">
        <f>E821</f>
        <v>0</v>
      </c>
    </row>
    <row r="821" spans="1:35" x14ac:dyDescent="0.2">
      <c r="A821" s="531"/>
      <c r="B821" s="303"/>
      <c r="C821" s="303"/>
      <c r="D821" s="303"/>
      <c r="E821" s="303"/>
      <c r="F821" s="303"/>
      <c r="G821" s="303"/>
      <c r="H821" s="303"/>
      <c r="I821" s="303"/>
      <c r="J821" s="303"/>
      <c r="K821" s="303"/>
      <c r="L821" s="303"/>
      <c r="M821" s="303"/>
      <c r="N821" s="303"/>
      <c r="O821" s="303"/>
      <c r="P821" s="303"/>
      <c r="Q821" s="303"/>
      <c r="R821" s="303"/>
      <c r="S821" s="303"/>
      <c r="T821" s="303"/>
      <c r="U821" s="303"/>
      <c r="V821" s="303"/>
      <c r="W821" s="303"/>
      <c r="X821" s="303"/>
      <c r="Y821" s="303"/>
      <c r="Z821" s="532"/>
      <c r="AA821" s="530"/>
      <c r="AB821" s="525" t="str">
        <f t="shared" si="18"/>
        <v/>
      </c>
      <c r="AC821" s="525" t="str">
        <f t="shared" si="19"/>
        <v/>
      </c>
      <c r="AD821" s="525" t="str">
        <f t="shared" si="20"/>
        <v/>
      </c>
      <c r="AE821" s="525" t="str">
        <f t="shared" si="21"/>
        <v/>
      </c>
      <c r="AF821" s="525" t="str">
        <f t="shared" si="22"/>
        <v/>
      </c>
      <c r="AG821" s="525" t="str">
        <f t="shared" si="23"/>
        <v/>
      </c>
      <c r="AH821" s="525">
        <f>E820</f>
        <v>0</v>
      </c>
      <c r="AI821" s="525">
        <f>E821</f>
        <v>0</v>
      </c>
    </row>
    <row r="822" spans="1:35" x14ac:dyDescent="0.2">
      <c r="A822" s="531"/>
      <c r="B822" s="303"/>
      <c r="C822" s="303"/>
      <c r="D822" s="303"/>
      <c r="E822" s="303"/>
      <c r="F822" s="303"/>
      <c r="G822" s="303"/>
      <c r="H822" s="303"/>
      <c r="I822" s="303"/>
      <c r="J822" s="303"/>
      <c r="K822" s="303"/>
      <c r="L822" s="303"/>
      <c r="M822" s="303"/>
      <c r="N822" s="303"/>
      <c r="O822" s="303"/>
      <c r="P822" s="303"/>
      <c r="Q822" s="303"/>
      <c r="R822" s="303"/>
      <c r="S822" s="303"/>
      <c r="T822" s="303"/>
      <c r="U822" s="303"/>
      <c r="V822" s="303"/>
      <c r="W822" s="303"/>
      <c r="X822" s="303"/>
      <c r="Y822" s="303"/>
      <c r="Z822" s="532"/>
      <c r="AA822" s="530"/>
      <c r="AB822" s="525" t="str">
        <f t="shared" si="18"/>
        <v/>
      </c>
      <c r="AC822" s="525" t="str">
        <f t="shared" si="19"/>
        <v/>
      </c>
      <c r="AD822" s="525" t="str">
        <f t="shared" si="20"/>
        <v/>
      </c>
      <c r="AE822" s="525" t="str">
        <f t="shared" si="21"/>
        <v/>
      </c>
      <c r="AF822" s="525" t="str">
        <f t="shared" si="22"/>
        <v/>
      </c>
      <c r="AG822" s="525" t="str">
        <f t="shared" si="23"/>
        <v/>
      </c>
      <c r="AH822" s="525">
        <f>E823</f>
        <v>0</v>
      </c>
      <c r="AI822" s="525">
        <f>E824</f>
        <v>0</v>
      </c>
    </row>
    <row r="823" spans="1:35" x14ac:dyDescent="0.2">
      <c r="A823" s="531"/>
      <c r="B823" s="303"/>
      <c r="C823" s="303"/>
      <c r="D823" s="303"/>
      <c r="E823" s="303"/>
      <c r="F823" s="303"/>
      <c r="G823" s="303"/>
      <c r="H823" s="303"/>
      <c r="I823" s="303"/>
      <c r="J823" s="303"/>
      <c r="K823" s="303"/>
      <c r="L823" s="303"/>
      <c r="M823" s="303"/>
      <c r="N823" s="303"/>
      <c r="O823" s="303"/>
      <c r="P823" s="303"/>
      <c r="Q823" s="303"/>
      <c r="R823" s="303"/>
      <c r="S823" s="303"/>
      <c r="T823" s="303"/>
      <c r="U823" s="303"/>
      <c r="V823" s="303"/>
      <c r="W823" s="303"/>
      <c r="X823" s="303"/>
      <c r="Y823" s="303"/>
      <c r="Z823" s="532"/>
      <c r="AA823" s="530"/>
      <c r="AB823" s="525" t="str">
        <f t="shared" si="18"/>
        <v/>
      </c>
      <c r="AC823" s="525" t="str">
        <f t="shared" si="19"/>
        <v/>
      </c>
      <c r="AD823" s="525" t="str">
        <f t="shared" si="20"/>
        <v/>
      </c>
      <c r="AE823" s="525" t="str">
        <f t="shared" si="21"/>
        <v/>
      </c>
      <c r="AF823" s="525" t="str">
        <f t="shared" si="22"/>
        <v/>
      </c>
      <c r="AG823" s="525" t="str">
        <f t="shared" si="23"/>
        <v/>
      </c>
      <c r="AH823" s="525">
        <f>E823</f>
        <v>0</v>
      </c>
      <c r="AI823" s="525">
        <f>E824</f>
        <v>0</v>
      </c>
    </row>
    <row r="824" spans="1:35" x14ac:dyDescent="0.2">
      <c r="A824" s="531"/>
      <c r="B824" s="303"/>
      <c r="C824" s="303"/>
      <c r="D824" s="303"/>
      <c r="E824" s="303"/>
      <c r="F824" s="303"/>
      <c r="G824" s="303"/>
      <c r="H824" s="303"/>
      <c r="I824" s="303"/>
      <c r="J824" s="303"/>
      <c r="K824" s="303"/>
      <c r="L824" s="303"/>
      <c r="M824" s="303"/>
      <c r="N824" s="303"/>
      <c r="O824" s="303"/>
      <c r="P824" s="303"/>
      <c r="Q824" s="303"/>
      <c r="R824" s="303"/>
      <c r="S824" s="303"/>
      <c r="T824" s="303"/>
      <c r="U824" s="303"/>
      <c r="V824" s="303"/>
      <c r="W824" s="303"/>
      <c r="X824" s="303"/>
      <c r="Y824" s="303"/>
      <c r="Z824" s="532"/>
      <c r="AA824" s="530"/>
      <c r="AB824" s="525" t="str">
        <f t="shared" si="18"/>
        <v/>
      </c>
      <c r="AC824" s="525" t="str">
        <f t="shared" si="19"/>
        <v/>
      </c>
      <c r="AD824" s="525" t="str">
        <f t="shared" si="20"/>
        <v/>
      </c>
      <c r="AE824" s="525" t="str">
        <f t="shared" si="21"/>
        <v/>
      </c>
      <c r="AF824" s="525" t="str">
        <f t="shared" si="22"/>
        <v/>
      </c>
      <c r="AG824" s="525" t="str">
        <f t="shared" si="23"/>
        <v/>
      </c>
      <c r="AH824" s="525">
        <f>E823</f>
        <v>0</v>
      </c>
      <c r="AI824" s="525">
        <f>E824</f>
        <v>0</v>
      </c>
    </row>
    <row r="825" spans="1:35" x14ac:dyDescent="0.2">
      <c r="A825" s="531"/>
      <c r="B825" s="303"/>
      <c r="C825" s="303"/>
      <c r="D825" s="303"/>
      <c r="E825" s="303"/>
      <c r="F825" s="303"/>
      <c r="G825" s="303"/>
      <c r="H825" s="303"/>
      <c r="I825" s="303"/>
      <c r="J825" s="303"/>
      <c r="K825" s="303"/>
      <c r="L825" s="303"/>
      <c r="M825" s="303"/>
      <c r="N825" s="303"/>
      <c r="O825" s="303"/>
      <c r="P825" s="303"/>
      <c r="Q825" s="303"/>
      <c r="R825" s="303"/>
      <c r="S825" s="303"/>
      <c r="T825" s="303"/>
      <c r="U825" s="303"/>
      <c r="V825" s="303"/>
      <c r="W825" s="303"/>
      <c r="X825" s="303"/>
      <c r="Y825" s="303"/>
      <c r="Z825" s="532"/>
      <c r="AA825" s="530"/>
      <c r="AB825" s="525" t="str">
        <f t="shared" si="18"/>
        <v/>
      </c>
      <c r="AC825" s="525" t="str">
        <f t="shared" si="19"/>
        <v/>
      </c>
      <c r="AD825" s="525" t="str">
        <f t="shared" si="20"/>
        <v/>
      </c>
      <c r="AE825" s="525" t="str">
        <f t="shared" si="21"/>
        <v/>
      </c>
      <c r="AF825" s="525" t="str">
        <f t="shared" si="22"/>
        <v/>
      </c>
      <c r="AG825" s="525" t="str">
        <f t="shared" si="23"/>
        <v/>
      </c>
      <c r="AH825" s="525">
        <f>E826</f>
        <v>0</v>
      </c>
      <c r="AI825" s="525">
        <f>E827</f>
        <v>0</v>
      </c>
    </row>
    <row r="826" spans="1:35" x14ac:dyDescent="0.2">
      <c r="A826" s="531"/>
      <c r="B826" s="303"/>
      <c r="C826" s="303"/>
      <c r="D826" s="303"/>
      <c r="E826" s="303"/>
      <c r="F826" s="303"/>
      <c r="G826" s="303"/>
      <c r="H826" s="303"/>
      <c r="I826" s="303"/>
      <c r="J826" s="303"/>
      <c r="K826" s="303"/>
      <c r="L826" s="303"/>
      <c r="M826" s="303"/>
      <c r="N826" s="303"/>
      <c r="O826" s="303"/>
      <c r="P826" s="303"/>
      <c r="Q826" s="303"/>
      <c r="R826" s="303"/>
      <c r="S826" s="303"/>
      <c r="T826" s="303"/>
      <c r="U826" s="303"/>
      <c r="V826" s="303"/>
      <c r="W826" s="303"/>
      <c r="X826" s="303"/>
      <c r="Y826" s="303"/>
      <c r="Z826" s="532"/>
      <c r="AA826" s="530"/>
      <c r="AB826" s="525" t="str">
        <f t="shared" si="18"/>
        <v/>
      </c>
      <c r="AC826" s="525" t="str">
        <f t="shared" si="19"/>
        <v/>
      </c>
      <c r="AD826" s="525" t="str">
        <f t="shared" si="20"/>
        <v/>
      </c>
      <c r="AE826" s="525" t="str">
        <f t="shared" si="21"/>
        <v/>
      </c>
      <c r="AF826" s="525" t="str">
        <f t="shared" si="22"/>
        <v/>
      </c>
      <c r="AG826" s="525" t="str">
        <f t="shared" si="23"/>
        <v/>
      </c>
      <c r="AH826" s="525">
        <f>E826</f>
        <v>0</v>
      </c>
      <c r="AI826" s="525">
        <f>E827</f>
        <v>0</v>
      </c>
    </row>
    <row r="827" spans="1:35" x14ac:dyDescent="0.2">
      <c r="A827" s="531"/>
      <c r="B827" s="303"/>
      <c r="C827" s="303"/>
      <c r="D827" s="303"/>
      <c r="E827" s="303"/>
      <c r="F827" s="303"/>
      <c r="G827" s="303"/>
      <c r="H827" s="303"/>
      <c r="I827" s="303"/>
      <c r="J827" s="303"/>
      <c r="K827" s="303"/>
      <c r="L827" s="303"/>
      <c r="M827" s="303"/>
      <c r="N827" s="303"/>
      <c r="O827" s="303"/>
      <c r="P827" s="303"/>
      <c r="Q827" s="303"/>
      <c r="R827" s="303"/>
      <c r="S827" s="303"/>
      <c r="T827" s="303"/>
      <c r="U827" s="303"/>
      <c r="V827" s="303"/>
      <c r="W827" s="303"/>
      <c r="X827" s="303"/>
      <c r="Y827" s="303"/>
      <c r="Z827" s="532"/>
      <c r="AA827" s="530"/>
      <c r="AB827" s="525" t="str">
        <f t="shared" si="18"/>
        <v/>
      </c>
      <c r="AC827" s="525" t="str">
        <f t="shared" si="19"/>
        <v/>
      </c>
      <c r="AD827" s="525" t="str">
        <f t="shared" si="20"/>
        <v/>
      </c>
      <c r="AE827" s="525" t="str">
        <f t="shared" si="21"/>
        <v/>
      </c>
      <c r="AF827" s="525" t="str">
        <f t="shared" si="22"/>
        <v/>
      </c>
      <c r="AG827" s="525" t="str">
        <f t="shared" si="23"/>
        <v/>
      </c>
      <c r="AH827" s="525">
        <f>E826</f>
        <v>0</v>
      </c>
      <c r="AI827" s="525">
        <f>E827</f>
        <v>0</v>
      </c>
    </row>
    <row r="828" spans="1:35" x14ac:dyDescent="0.2">
      <c r="A828" s="531"/>
      <c r="B828" s="303"/>
      <c r="C828" s="303"/>
      <c r="D828" s="303"/>
      <c r="E828" s="303"/>
      <c r="F828" s="303"/>
      <c r="G828" s="303"/>
      <c r="H828" s="303"/>
      <c r="I828" s="303"/>
      <c r="J828" s="303"/>
      <c r="K828" s="303"/>
      <c r="L828" s="303"/>
      <c r="M828" s="303"/>
      <c r="N828" s="303"/>
      <c r="O828" s="303"/>
      <c r="P828" s="303"/>
      <c r="Q828" s="303"/>
      <c r="R828" s="303"/>
      <c r="S828" s="303"/>
      <c r="T828" s="303"/>
      <c r="U828" s="303"/>
      <c r="V828" s="303"/>
      <c r="W828" s="303"/>
      <c r="X828" s="303"/>
      <c r="Y828" s="303"/>
      <c r="Z828" s="532"/>
      <c r="AA828" s="530"/>
      <c r="AB828" s="525" t="str">
        <f t="shared" si="18"/>
        <v/>
      </c>
      <c r="AC828" s="525" t="str">
        <f t="shared" si="19"/>
        <v/>
      </c>
      <c r="AD828" s="525" t="str">
        <f t="shared" si="20"/>
        <v/>
      </c>
      <c r="AE828" s="525" t="str">
        <f t="shared" si="21"/>
        <v/>
      </c>
      <c r="AF828" s="525" t="str">
        <f t="shared" si="22"/>
        <v/>
      </c>
      <c r="AG828" s="525" t="str">
        <f t="shared" si="23"/>
        <v/>
      </c>
      <c r="AH828" s="525">
        <f>E829</f>
        <v>0</v>
      </c>
      <c r="AI828" s="525">
        <f>E830</f>
        <v>0</v>
      </c>
    </row>
    <row r="829" spans="1:35" x14ac:dyDescent="0.2">
      <c r="A829" s="531"/>
      <c r="B829" s="303"/>
      <c r="C829" s="303"/>
      <c r="D829" s="303"/>
      <c r="E829" s="303"/>
      <c r="F829" s="303"/>
      <c r="G829" s="303"/>
      <c r="H829" s="303"/>
      <c r="I829" s="303"/>
      <c r="J829" s="303"/>
      <c r="K829" s="303"/>
      <c r="L829" s="303"/>
      <c r="M829" s="303"/>
      <c r="N829" s="303"/>
      <c r="O829" s="303"/>
      <c r="P829" s="303"/>
      <c r="Q829" s="303"/>
      <c r="R829" s="303"/>
      <c r="S829" s="303"/>
      <c r="T829" s="303"/>
      <c r="U829" s="303"/>
      <c r="V829" s="303"/>
      <c r="W829" s="303"/>
      <c r="X829" s="303"/>
      <c r="Y829" s="303"/>
      <c r="Z829" s="532"/>
      <c r="AA829" s="530"/>
      <c r="AB829" s="525" t="str">
        <f t="shared" si="18"/>
        <v/>
      </c>
      <c r="AC829" s="525" t="str">
        <f t="shared" si="19"/>
        <v/>
      </c>
      <c r="AD829" s="525" t="str">
        <f t="shared" si="20"/>
        <v/>
      </c>
      <c r="AE829" s="525" t="str">
        <f t="shared" si="21"/>
        <v/>
      </c>
      <c r="AF829" s="525" t="str">
        <f t="shared" si="22"/>
        <v/>
      </c>
      <c r="AG829" s="525" t="str">
        <f t="shared" si="23"/>
        <v/>
      </c>
      <c r="AH829" s="525">
        <f>E829</f>
        <v>0</v>
      </c>
      <c r="AI829" s="525">
        <f>E830</f>
        <v>0</v>
      </c>
    </row>
    <row r="830" spans="1:35" x14ac:dyDescent="0.2">
      <c r="A830" s="531"/>
      <c r="B830" s="303"/>
      <c r="C830" s="303"/>
      <c r="D830" s="303"/>
      <c r="E830" s="303"/>
      <c r="F830" s="303"/>
      <c r="G830" s="303"/>
      <c r="H830" s="303"/>
      <c r="I830" s="303"/>
      <c r="J830" s="303"/>
      <c r="K830" s="303"/>
      <c r="L830" s="303"/>
      <c r="M830" s="303"/>
      <c r="N830" s="303"/>
      <c r="O830" s="303"/>
      <c r="P830" s="303"/>
      <c r="Q830" s="303"/>
      <c r="R830" s="303"/>
      <c r="S830" s="303"/>
      <c r="T830" s="303"/>
      <c r="U830" s="303"/>
      <c r="V830" s="303"/>
      <c r="W830" s="303"/>
      <c r="X830" s="303"/>
      <c r="Y830" s="303"/>
      <c r="Z830" s="532"/>
      <c r="AA830" s="530"/>
      <c r="AB830" s="525" t="str">
        <f t="shared" si="18"/>
        <v/>
      </c>
      <c r="AC830" s="525" t="str">
        <f t="shared" si="19"/>
        <v/>
      </c>
      <c r="AD830" s="525" t="str">
        <f t="shared" si="20"/>
        <v/>
      </c>
      <c r="AE830" s="525" t="str">
        <f t="shared" si="21"/>
        <v/>
      </c>
      <c r="AF830" s="525" t="str">
        <f t="shared" si="22"/>
        <v/>
      </c>
      <c r="AG830" s="525" t="str">
        <f t="shared" si="23"/>
        <v/>
      </c>
      <c r="AH830" s="525">
        <f>E829</f>
        <v>0</v>
      </c>
      <c r="AI830" s="525">
        <f>E830</f>
        <v>0</v>
      </c>
    </row>
    <row r="831" spans="1:35" x14ac:dyDescent="0.2">
      <c r="A831" s="531"/>
      <c r="B831" s="303"/>
      <c r="C831" s="303"/>
      <c r="D831" s="303"/>
      <c r="E831" s="303"/>
      <c r="F831" s="303"/>
      <c r="G831" s="303"/>
      <c r="H831" s="303"/>
      <c r="I831" s="303"/>
      <c r="J831" s="303"/>
      <c r="K831" s="303"/>
      <c r="L831" s="303"/>
      <c r="M831" s="303"/>
      <c r="N831" s="303"/>
      <c r="O831" s="303"/>
      <c r="P831" s="303"/>
      <c r="Q831" s="303"/>
      <c r="R831" s="303"/>
      <c r="S831" s="303"/>
      <c r="T831" s="303"/>
      <c r="U831" s="303"/>
      <c r="V831" s="303"/>
      <c r="W831" s="303"/>
      <c r="X831" s="303"/>
      <c r="Y831" s="303"/>
      <c r="Z831" s="532"/>
      <c r="AA831" s="530"/>
      <c r="AB831" s="525" t="str">
        <f t="shared" si="18"/>
        <v/>
      </c>
      <c r="AC831" s="525" t="str">
        <f t="shared" si="19"/>
        <v/>
      </c>
      <c r="AD831" s="525" t="str">
        <f t="shared" si="20"/>
        <v/>
      </c>
      <c r="AE831" s="525" t="str">
        <f t="shared" si="21"/>
        <v/>
      </c>
      <c r="AF831" s="525" t="str">
        <f t="shared" si="22"/>
        <v/>
      </c>
      <c r="AG831" s="525" t="str">
        <f t="shared" si="23"/>
        <v/>
      </c>
      <c r="AH831" s="525">
        <f>E832</f>
        <v>0</v>
      </c>
      <c r="AI831" s="525">
        <f>E833</f>
        <v>0</v>
      </c>
    </row>
    <row r="832" spans="1:35" x14ac:dyDescent="0.2">
      <c r="A832" s="531"/>
      <c r="B832" s="303"/>
      <c r="C832" s="303"/>
      <c r="D832" s="303"/>
      <c r="E832" s="303"/>
      <c r="F832" s="303"/>
      <c r="G832" s="303"/>
      <c r="H832" s="303"/>
      <c r="I832" s="303"/>
      <c r="J832" s="303"/>
      <c r="K832" s="303"/>
      <c r="L832" s="303"/>
      <c r="M832" s="303"/>
      <c r="N832" s="303"/>
      <c r="O832" s="303"/>
      <c r="P832" s="303"/>
      <c r="Q832" s="303"/>
      <c r="R832" s="303"/>
      <c r="S832" s="303"/>
      <c r="T832" s="303"/>
      <c r="U832" s="303"/>
      <c r="V832" s="303"/>
      <c r="W832" s="303"/>
      <c r="X832" s="303"/>
      <c r="Y832" s="303"/>
      <c r="Z832" s="532"/>
      <c r="AA832" s="530"/>
      <c r="AB832" s="525" t="str">
        <f t="shared" si="18"/>
        <v/>
      </c>
      <c r="AC832" s="525" t="str">
        <f t="shared" si="19"/>
        <v/>
      </c>
      <c r="AD832" s="525" t="str">
        <f t="shared" si="20"/>
        <v/>
      </c>
      <c r="AE832" s="525" t="str">
        <f t="shared" si="21"/>
        <v/>
      </c>
      <c r="AF832" s="525" t="str">
        <f t="shared" si="22"/>
        <v/>
      </c>
      <c r="AG832" s="525" t="str">
        <f t="shared" si="23"/>
        <v/>
      </c>
      <c r="AH832" s="525">
        <f>E832</f>
        <v>0</v>
      </c>
      <c r="AI832" s="525">
        <f>E833</f>
        <v>0</v>
      </c>
    </row>
    <row r="833" spans="1:35" x14ac:dyDescent="0.2">
      <c r="A833" s="531"/>
      <c r="B833" s="303"/>
      <c r="C833" s="303"/>
      <c r="D833" s="303"/>
      <c r="E833" s="303"/>
      <c r="F833" s="303"/>
      <c r="G833" s="303"/>
      <c r="H833" s="303"/>
      <c r="I833" s="303"/>
      <c r="J833" s="303"/>
      <c r="K833" s="303"/>
      <c r="L833" s="303"/>
      <c r="M833" s="303"/>
      <c r="N833" s="303"/>
      <c r="O833" s="303"/>
      <c r="P833" s="303"/>
      <c r="Q833" s="303"/>
      <c r="R833" s="303"/>
      <c r="S833" s="303"/>
      <c r="T833" s="303"/>
      <c r="U833" s="303"/>
      <c r="V833" s="303"/>
      <c r="W833" s="303"/>
      <c r="X833" s="303"/>
      <c r="Y833" s="303"/>
      <c r="Z833" s="532"/>
      <c r="AA833" s="530"/>
      <c r="AB833" s="525" t="str">
        <f t="shared" si="18"/>
        <v/>
      </c>
      <c r="AC833" s="525" t="str">
        <f t="shared" si="19"/>
        <v/>
      </c>
      <c r="AD833" s="525" t="str">
        <f t="shared" si="20"/>
        <v/>
      </c>
      <c r="AE833" s="525" t="str">
        <f t="shared" si="21"/>
        <v/>
      </c>
      <c r="AF833" s="525" t="str">
        <f t="shared" si="22"/>
        <v/>
      </c>
      <c r="AG833" s="525" t="str">
        <f t="shared" si="23"/>
        <v/>
      </c>
      <c r="AH833" s="525">
        <f>E832</f>
        <v>0</v>
      </c>
      <c r="AI833" s="525">
        <f>E833</f>
        <v>0</v>
      </c>
    </row>
    <row r="834" spans="1:35" x14ac:dyDescent="0.2">
      <c r="A834" s="531"/>
      <c r="B834" s="303"/>
      <c r="C834" s="303"/>
      <c r="D834" s="303"/>
      <c r="E834" s="303"/>
      <c r="F834" s="303"/>
      <c r="G834" s="303"/>
      <c r="H834" s="303"/>
      <c r="I834" s="303"/>
      <c r="J834" s="303"/>
      <c r="K834" s="303"/>
      <c r="L834" s="303"/>
      <c r="M834" s="303"/>
      <c r="N834" s="303"/>
      <c r="O834" s="303"/>
      <c r="P834" s="303"/>
      <c r="Q834" s="303"/>
      <c r="R834" s="303"/>
      <c r="S834" s="303"/>
      <c r="T834" s="303"/>
      <c r="U834" s="303"/>
      <c r="V834" s="303"/>
      <c r="W834" s="303"/>
      <c r="X834" s="303"/>
      <c r="Y834" s="303"/>
      <c r="Z834" s="532"/>
      <c r="AA834" s="530"/>
      <c r="AB834" s="525" t="str">
        <f t="shared" si="18"/>
        <v/>
      </c>
      <c r="AC834" s="525" t="str">
        <f t="shared" si="19"/>
        <v/>
      </c>
      <c r="AD834" s="525" t="str">
        <f t="shared" si="20"/>
        <v/>
      </c>
      <c r="AE834" s="525" t="str">
        <f t="shared" si="21"/>
        <v/>
      </c>
      <c r="AF834" s="525" t="str">
        <f t="shared" si="22"/>
        <v/>
      </c>
      <c r="AG834" s="525" t="str">
        <f t="shared" si="23"/>
        <v/>
      </c>
      <c r="AH834" s="525">
        <f>E835</f>
        <v>0</v>
      </c>
      <c r="AI834" s="525">
        <f>E836</f>
        <v>0</v>
      </c>
    </row>
    <row r="835" spans="1:35" x14ac:dyDescent="0.2">
      <c r="A835" s="531"/>
      <c r="B835" s="303"/>
      <c r="C835" s="303"/>
      <c r="D835" s="303"/>
      <c r="E835" s="303"/>
      <c r="F835" s="303"/>
      <c r="G835" s="303"/>
      <c r="H835" s="303"/>
      <c r="I835" s="303"/>
      <c r="J835" s="303"/>
      <c r="K835" s="303"/>
      <c r="L835" s="303"/>
      <c r="M835" s="303"/>
      <c r="N835" s="303"/>
      <c r="O835" s="303"/>
      <c r="P835" s="303"/>
      <c r="Q835" s="303"/>
      <c r="R835" s="303"/>
      <c r="S835" s="303"/>
      <c r="T835" s="303"/>
      <c r="U835" s="303"/>
      <c r="V835" s="303"/>
      <c r="W835" s="303"/>
      <c r="X835" s="303"/>
      <c r="Y835" s="303"/>
      <c r="Z835" s="532"/>
      <c r="AA835" s="530"/>
      <c r="AB835" s="525" t="str">
        <f t="shared" si="18"/>
        <v/>
      </c>
      <c r="AC835" s="525" t="str">
        <f t="shared" si="19"/>
        <v/>
      </c>
      <c r="AD835" s="525" t="str">
        <f t="shared" si="20"/>
        <v/>
      </c>
      <c r="AE835" s="525" t="str">
        <f t="shared" si="21"/>
        <v/>
      </c>
      <c r="AF835" s="525" t="str">
        <f t="shared" si="22"/>
        <v/>
      </c>
      <c r="AG835" s="525" t="str">
        <f t="shared" si="23"/>
        <v/>
      </c>
      <c r="AH835" s="525">
        <f>E835</f>
        <v>0</v>
      </c>
      <c r="AI835" s="525">
        <f>E836</f>
        <v>0</v>
      </c>
    </row>
    <row r="836" spans="1:35" x14ac:dyDescent="0.2">
      <c r="A836" s="531"/>
      <c r="B836" s="303"/>
      <c r="C836" s="303"/>
      <c r="D836" s="303"/>
      <c r="E836" s="303"/>
      <c r="F836" s="303"/>
      <c r="G836" s="303"/>
      <c r="H836" s="303"/>
      <c r="I836" s="303"/>
      <c r="J836" s="303"/>
      <c r="K836" s="303"/>
      <c r="L836" s="303"/>
      <c r="M836" s="303"/>
      <c r="N836" s="303"/>
      <c r="O836" s="303"/>
      <c r="P836" s="303"/>
      <c r="Q836" s="303"/>
      <c r="R836" s="303"/>
      <c r="S836" s="303"/>
      <c r="T836" s="303"/>
      <c r="U836" s="303"/>
      <c r="V836" s="303"/>
      <c r="W836" s="303"/>
      <c r="X836" s="303"/>
      <c r="Y836" s="303"/>
      <c r="Z836" s="532"/>
      <c r="AA836" s="530"/>
      <c r="AB836" s="525" t="str">
        <f t="shared" si="18"/>
        <v/>
      </c>
      <c r="AC836" s="525" t="str">
        <f t="shared" si="19"/>
        <v/>
      </c>
      <c r="AD836" s="525" t="str">
        <f t="shared" si="20"/>
        <v/>
      </c>
      <c r="AE836" s="525" t="str">
        <f t="shared" si="21"/>
        <v/>
      </c>
      <c r="AF836" s="525" t="str">
        <f t="shared" si="22"/>
        <v/>
      </c>
      <c r="AG836" s="525" t="str">
        <f t="shared" si="23"/>
        <v/>
      </c>
      <c r="AH836" s="525">
        <f>E835</f>
        <v>0</v>
      </c>
      <c r="AI836" s="525">
        <f>E836</f>
        <v>0</v>
      </c>
    </row>
    <row r="837" spans="1:35" x14ac:dyDescent="0.2">
      <c r="A837" s="531"/>
      <c r="B837" s="303"/>
      <c r="C837" s="303"/>
      <c r="D837" s="303"/>
      <c r="E837" s="303"/>
      <c r="F837" s="303"/>
      <c r="G837" s="303"/>
      <c r="H837" s="303"/>
      <c r="I837" s="303"/>
      <c r="J837" s="303"/>
      <c r="K837" s="303"/>
      <c r="L837" s="303"/>
      <c r="M837" s="303"/>
      <c r="N837" s="303"/>
      <c r="O837" s="303"/>
      <c r="P837" s="303"/>
      <c r="Q837" s="303"/>
      <c r="R837" s="303"/>
      <c r="S837" s="303"/>
      <c r="T837" s="303"/>
      <c r="U837" s="303"/>
      <c r="V837" s="303"/>
      <c r="W837" s="303"/>
      <c r="X837" s="303"/>
      <c r="Y837" s="303"/>
      <c r="Z837" s="532"/>
      <c r="AA837" s="530"/>
      <c r="AB837" s="525" t="str">
        <f t="shared" si="18"/>
        <v/>
      </c>
      <c r="AC837" s="525" t="str">
        <f t="shared" si="19"/>
        <v/>
      </c>
      <c r="AD837" s="525" t="str">
        <f t="shared" si="20"/>
        <v/>
      </c>
      <c r="AE837" s="525" t="str">
        <f t="shared" si="21"/>
        <v/>
      </c>
      <c r="AF837" s="525" t="str">
        <f t="shared" si="22"/>
        <v/>
      </c>
      <c r="AG837" s="525" t="str">
        <f t="shared" si="23"/>
        <v/>
      </c>
      <c r="AH837" s="525">
        <f>E838</f>
        <v>0</v>
      </c>
      <c r="AI837" s="525">
        <f>E839</f>
        <v>0</v>
      </c>
    </row>
    <row r="838" spans="1:35" x14ac:dyDescent="0.2">
      <c r="A838" s="531"/>
      <c r="B838" s="303"/>
      <c r="C838" s="303"/>
      <c r="D838" s="303"/>
      <c r="E838" s="303"/>
      <c r="F838" s="303"/>
      <c r="G838" s="303"/>
      <c r="H838" s="303"/>
      <c r="I838" s="303"/>
      <c r="J838" s="303"/>
      <c r="K838" s="303"/>
      <c r="L838" s="303"/>
      <c r="M838" s="303"/>
      <c r="N838" s="303"/>
      <c r="O838" s="303"/>
      <c r="P838" s="303"/>
      <c r="Q838" s="303"/>
      <c r="R838" s="303"/>
      <c r="S838" s="303"/>
      <c r="T838" s="303"/>
      <c r="U838" s="303"/>
      <c r="V838" s="303"/>
      <c r="W838" s="303"/>
      <c r="X838" s="303"/>
      <c r="Y838" s="303"/>
      <c r="Z838" s="532"/>
      <c r="AA838" s="530"/>
      <c r="AB838" s="525" t="str">
        <f t="shared" si="18"/>
        <v/>
      </c>
      <c r="AC838" s="525" t="str">
        <f t="shared" si="19"/>
        <v/>
      </c>
      <c r="AD838" s="525" t="str">
        <f t="shared" si="20"/>
        <v/>
      </c>
      <c r="AE838" s="525" t="str">
        <f t="shared" si="21"/>
        <v/>
      </c>
      <c r="AF838" s="525" t="str">
        <f t="shared" si="22"/>
        <v/>
      </c>
      <c r="AG838" s="525" t="str">
        <f t="shared" si="23"/>
        <v/>
      </c>
      <c r="AH838" s="525">
        <f>E838</f>
        <v>0</v>
      </c>
      <c r="AI838" s="525">
        <f>E839</f>
        <v>0</v>
      </c>
    </row>
    <row r="839" spans="1:35" x14ac:dyDescent="0.2">
      <c r="A839" s="531"/>
      <c r="B839" s="303"/>
      <c r="C839" s="303"/>
      <c r="D839" s="303"/>
      <c r="E839" s="303"/>
      <c r="F839" s="303"/>
      <c r="G839" s="303"/>
      <c r="H839" s="303"/>
      <c r="I839" s="303"/>
      <c r="J839" s="303"/>
      <c r="K839" s="303"/>
      <c r="L839" s="303"/>
      <c r="M839" s="303"/>
      <c r="N839" s="303"/>
      <c r="O839" s="303"/>
      <c r="P839" s="303"/>
      <c r="Q839" s="303"/>
      <c r="R839" s="303"/>
      <c r="S839" s="303"/>
      <c r="T839" s="303"/>
      <c r="U839" s="303"/>
      <c r="V839" s="303"/>
      <c r="W839" s="303"/>
      <c r="X839" s="303"/>
      <c r="Y839" s="303"/>
      <c r="Z839" s="532"/>
      <c r="AA839" s="530"/>
      <c r="AB839" s="525" t="str">
        <f t="shared" si="18"/>
        <v/>
      </c>
      <c r="AC839" s="525" t="str">
        <f t="shared" si="19"/>
        <v/>
      </c>
      <c r="AD839" s="525" t="str">
        <f t="shared" si="20"/>
        <v/>
      </c>
      <c r="AE839" s="525" t="str">
        <f t="shared" si="21"/>
        <v/>
      </c>
      <c r="AF839" s="525" t="str">
        <f t="shared" si="22"/>
        <v/>
      </c>
      <c r="AG839" s="525" t="str">
        <f t="shared" si="23"/>
        <v/>
      </c>
      <c r="AH839" s="525">
        <f>E838</f>
        <v>0</v>
      </c>
      <c r="AI839" s="525">
        <f>E839</f>
        <v>0</v>
      </c>
    </row>
    <row r="840" spans="1:35" x14ac:dyDescent="0.2">
      <c r="A840" s="531"/>
      <c r="B840" s="303"/>
      <c r="C840" s="303"/>
      <c r="D840" s="303"/>
      <c r="E840" s="303"/>
      <c r="F840" s="303"/>
      <c r="G840" s="303"/>
      <c r="H840" s="303"/>
      <c r="I840" s="303"/>
      <c r="J840" s="303"/>
      <c r="K840" s="303"/>
      <c r="L840" s="303"/>
      <c r="M840" s="303"/>
      <c r="N840" s="303"/>
      <c r="O840" s="303"/>
      <c r="P840" s="303"/>
      <c r="Q840" s="303"/>
      <c r="R840" s="303"/>
      <c r="S840" s="303"/>
      <c r="T840" s="303"/>
      <c r="U840" s="303"/>
      <c r="V840" s="303"/>
      <c r="W840" s="303"/>
      <c r="X840" s="303"/>
      <c r="Y840" s="303"/>
      <c r="Z840" s="532"/>
      <c r="AA840" s="530"/>
      <c r="AB840" s="525" t="str">
        <f t="shared" si="18"/>
        <v/>
      </c>
      <c r="AC840" s="525" t="str">
        <f t="shared" si="19"/>
        <v/>
      </c>
      <c r="AD840" s="525" t="str">
        <f t="shared" si="20"/>
        <v/>
      </c>
      <c r="AE840" s="525" t="str">
        <f t="shared" si="21"/>
        <v/>
      </c>
      <c r="AF840" s="525" t="str">
        <f t="shared" si="22"/>
        <v/>
      </c>
      <c r="AG840" s="525" t="str">
        <f t="shared" si="23"/>
        <v/>
      </c>
      <c r="AH840" s="525">
        <f>E841</f>
        <v>0</v>
      </c>
      <c r="AI840" s="525">
        <f>E842</f>
        <v>0</v>
      </c>
    </row>
    <row r="841" spans="1:35" x14ac:dyDescent="0.2">
      <c r="A841" s="531"/>
      <c r="B841" s="303"/>
      <c r="C841" s="303"/>
      <c r="D841" s="303"/>
      <c r="E841" s="303"/>
      <c r="F841" s="303"/>
      <c r="G841" s="303"/>
      <c r="H841" s="303"/>
      <c r="I841" s="303"/>
      <c r="J841" s="303"/>
      <c r="K841" s="303"/>
      <c r="L841" s="303"/>
      <c r="M841" s="303"/>
      <c r="N841" s="303"/>
      <c r="O841" s="303"/>
      <c r="P841" s="303"/>
      <c r="Q841" s="303"/>
      <c r="R841" s="303"/>
      <c r="S841" s="303"/>
      <c r="T841" s="303"/>
      <c r="U841" s="303"/>
      <c r="V841" s="303"/>
      <c r="W841" s="303"/>
      <c r="X841" s="303"/>
      <c r="Y841" s="303"/>
      <c r="Z841" s="532"/>
      <c r="AA841" s="530"/>
      <c r="AB841" s="525" t="str">
        <f t="shared" si="18"/>
        <v/>
      </c>
      <c r="AC841" s="525" t="str">
        <f t="shared" si="19"/>
        <v/>
      </c>
      <c r="AD841" s="525" t="str">
        <f t="shared" si="20"/>
        <v/>
      </c>
      <c r="AE841" s="525" t="str">
        <f t="shared" si="21"/>
        <v/>
      </c>
      <c r="AF841" s="525" t="str">
        <f t="shared" si="22"/>
        <v/>
      </c>
      <c r="AG841" s="525" t="str">
        <f t="shared" si="23"/>
        <v/>
      </c>
      <c r="AH841" s="525">
        <f>E841</f>
        <v>0</v>
      </c>
      <c r="AI841" s="525">
        <f>E842</f>
        <v>0</v>
      </c>
    </row>
    <row r="842" spans="1:35" x14ac:dyDescent="0.2">
      <c r="A842" s="531"/>
      <c r="B842" s="303"/>
      <c r="C842" s="303"/>
      <c r="D842" s="303"/>
      <c r="E842" s="303"/>
      <c r="F842" s="303"/>
      <c r="G842" s="303"/>
      <c r="H842" s="303"/>
      <c r="I842" s="303"/>
      <c r="J842" s="303"/>
      <c r="K842" s="303"/>
      <c r="L842" s="303"/>
      <c r="M842" s="303"/>
      <c r="N842" s="303"/>
      <c r="O842" s="303"/>
      <c r="P842" s="303"/>
      <c r="Q842" s="303"/>
      <c r="R842" s="303"/>
      <c r="S842" s="303"/>
      <c r="T842" s="303"/>
      <c r="U842" s="303"/>
      <c r="V842" s="303"/>
      <c r="W842" s="303"/>
      <c r="X842" s="303"/>
      <c r="Y842" s="303"/>
      <c r="Z842" s="532"/>
      <c r="AA842" s="530"/>
      <c r="AB842" s="525" t="str">
        <f t="shared" si="18"/>
        <v/>
      </c>
      <c r="AC842" s="525" t="str">
        <f t="shared" si="19"/>
        <v/>
      </c>
      <c r="AD842" s="525" t="str">
        <f t="shared" si="20"/>
        <v/>
      </c>
      <c r="AE842" s="525" t="str">
        <f t="shared" si="21"/>
        <v/>
      </c>
      <c r="AF842" s="525" t="str">
        <f t="shared" si="22"/>
        <v/>
      </c>
      <c r="AG842" s="525" t="str">
        <f t="shared" si="23"/>
        <v/>
      </c>
      <c r="AH842" s="525">
        <f>E841</f>
        <v>0</v>
      </c>
      <c r="AI842" s="525">
        <f>E842</f>
        <v>0</v>
      </c>
    </row>
    <row r="843" spans="1:35" x14ac:dyDescent="0.2">
      <c r="A843" s="531"/>
      <c r="B843" s="303"/>
      <c r="C843" s="303"/>
      <c r="D843" s="303"/>
      <c r="E843" s="303"/>
      <c r="F843" s="303"/>
      <c r="G843" s="303"/>
      <c r="H843" s="303"/>
      <c r="I843" s="303"/>
      <c r="J843" s="303"/>
      <c r="K843" s="303"/>
      <c r="L843" s="303"/>
      <c r="M843" s="303"/>
      <c r="N843" s="303"/>
      <c r="O843" s="303"/>
      <c r="P843" s="303"/>
      <c r="Q843" s="303"/>
      <c r="R843" s="303"/>
      <c r="S843" s="303"/>
      <c r="T843" s="303"/>
      <c r="U843" s="303"/>
      <c r="V843" s="303"/>
      <c r="W843" s="303"/>
      <c r="X843" s="303"/>
      <c r="Y843" s="303"/>
      <c r="Z843" s="532"/>
      <c r="AA843" s="530"/>
      <c r="AB843" s="525" t="str">
        <f t="shared" si="18"/>
        <v/>
      </c>
      <c r="AC843" s="525" t="str">
        <f t="shared" si="19"/>
        <v/>
      </c>
      <c r="AD843" s="525" t="str">
        <f t="shared" si="20"/>
        <v/>
      </c>
      <c r="AE843" s="525" t="str">
        <f t="shared" si="21"/>
        <v/>
      </c>
      <c r="AF843" s="525" t="str">
        <f t="shared" si="22"/>
        <v/>
      </c>
      <c r="AG843" s="525" t="str">
        <f t="shared" si="23"/>
        <v/>
      </c>
      <c r="AH843" s="525">
        <f>E844</f>
        <v>0</v>
      </c>
      <c r="AI843" s="525">
        <f>E845</f>
        <v>0</v>
      </c>
    </row>
    <row r="844" spans="1:35" x14ac:dyDescent="0.2">
      <c r="A844" s="531"/>
      <c r="B844" s="303"/>
      <c r="C844" s="303"/>
      <c r="D844" s="303"/>
      <c r="E844" s="303"/>
      <c r="F844" s="303"/>
      <c r="G844" s="303"/>
      <c r="H844" s="303"/>
      <c r="I844" s="303"/>
      <c r="J844" s="303"/>
      <c r="K844" s="303"/>
      <c r="L844" s="303"/>
      <c r="M844" s="303"/>
      <c r="N844" s="303"/>
      <c r="O844" s="303"/>
      <c r="P844" s="303"/>
      <c r="Q844" s="303"/>
      <c r="R844" s="303"/>
      <c r="S844" s="303"/>
      <c r="T844" s="303"/>
      <c r="U844" s="303"/>
      <c r="V844" s="303"/>
      <c r="W844" s="303"/>
      <c r="X844" s="303"/>
      <c r="Y844" s="303"/>
      <c r="Z844" s="532"/>
      <c r="AA844" s="530"/>
      <c r="AB844" s="525" t="str">
        <f t="shared" si="18"/>
        <v/>
      </c>
      <c r="AC844" s="525" t="str">
        <f t="shared" si="19"/>
        <v/>
      </c>
      <c r="AD844" s="525" t="str">
        <f t="shared" si="20"/>
        <v/>
      </c>
      <c r="AE844" s="525" t="str">
        <f t="shared" si="21"/>
        <v/>
      </c>
      <c r="AF844" s="525" t="str">
        <f t="shared" si="22"/>
        <v/>
      </c>
      <c r="AG844" s="525" t="str">
        <f t="shared" si="23"/>
        <v/>
      </c>
      <c r="AH844" s="525">
        <f>E844</f>
        <v>0</v>
      </c>
      <c r="AI844" s="525">
        <f>E845</f>
        <v>0</v>
      </c>
    </row>
    <row r="845" spans="1:35" x14ac:dyDescent="0.2">
      <c r="A845" s="531"/>
      <c r="B845" s="303"/>
      <c r="C845" s="303"/>
      <c r="D845" s="303"/>
      <c r="E845" s="303"/>
      <c r="F845" s="303"/>
      <c r="G845" s="303"/>
      <c r="H845" s="303"/>
      <c r="I845" s="303"/>
      <c r="J845" s="303"/>
      <c r="K845" s="303"/>
      <c r="L845" s="303"/>
      <c r="M845" s="303"/>
      <c r="N845" s="303"/>
      <c r="O845" s="303"/>
      <c r="P845" s="303"/>
      <c r="Q845" s="303"/>
      <c r="R845" s="303"/>
      <c r="S845" s="303"/>
      <c r="T845" s="303"/>
      <c r="U845" s="303"/>
      <c r="V845" s="303"/>
      <c r="W845" s="303"/>
      <c r="X845" s="303"/>
      <c r="Y845" s="303"/>
      <c r="Z845" s="532"/>
      <c r="AA845" s="530"/>
      <c r="AB845" s="525" t="str">
        <f t="shared" si="18"/>
        <v/>
      </c>
      <c r="AC845" s="525" t="str">
        <f t="shared" si="19"/>
        <v/>
      </c>
      <c r="AD845" s="525" t="str">
        <f t="shared" si="20"/>
        <v/>
      </c>
      <c r="AE845" s="525" t="str">
        <f t="shared" si="21"/>
        <v/>
      </c>
      <c r="AF845" s="525" t="str">
        <f t="shared" si="22"/>
        <v/>
      </c>
      <c r="AG845" s="525" t="str">
        <f t="shared" si="23"/>
        <v/>
      </c>
      <c r="AH845" s="525">
        <f>E844</f>
        <v>0</v>
      </c>
      <c r="AI845" s="525">
        <f>E845</f>
        <v>0</v>
      </c>
    </row>
    <row r="846" spans="1:35" x14ac:dyDescent="0.2">
      <c r="A846" s="531"/>
      <c r="B846" s="303"/>
      <c r="C846" s="303"/>
      <c r="D846" s="303"/>
      <c r="E846" s="303"/>
      <c r="F846" s="303"/>
      <c r="G846" s="303"/>
      <c r="H846" s="303"/>
      <c r="I846" s="303"/>
      <c r="J846" s="303"/>
      <c r="K846" s="303"/>
      <c r="L846" s="303"/>
      <c r="M846" s="303"/>
      <c r="N846" s="303"/>
      <c r="O846" s="303"/>
      <c r="P846" s="303"/>
      <c r="Q846" s="303"/>
      <c r="R846" s="303"/>
      <c r="S846" s="303"/>
      <c r="T846" s="303"/>
      <c r="U846" s="303"/>
      <c r="V846" s="303"/>
      <c r="W846" s="303"/>
      <c r="X846" s="303"/>
      <c r="Y846" s="303"/>
      <c r="Z846" s="532"/>
      <c r="AA846" s="530"/>
      <c r="AB846" s="525" t="str">
        <f t="shared" si="18"/>
        <v/>
      </c>
      <c r="AC846" s="525" t="str">
        <f t="shared" si="19"/>
        <v/>
      </c>
      <c r="AD846" s="525" t="str">
        <f t="shared" si="20"/>
        <v/>
      </c>
      <c r="AE846" s="525" t="str">
        <f t="shared" si="21"/>
        <v/>
      </c>
      <c r="AF846" s="525" t="str">
        <f t="shared" si="22"/>
        <v/>
      </c>
      <c r="AG846" s="525" t="str">
        <f t="shared" si="23"/>
        <v/>
      </c>
      <c r="AH846" s="525">
        <f>E847</f>
        <v>0</v>
      </c>
      <c r="AI846" s="525">
        <f>E848</f>
        <v>0</v>
      </c>
    </row>
    <row r="847" spans="1:35" x14ac:dyDescent="0.2">
      <c r="A847" s="531"/>
      <c r="B847" s="303"/>
      <c r="C847" s="303"/>
      <c r="D847" s="303"/>
      <c r="E847" s="303"/>
      <c r="F847" s="303"/>
      <c r="G847" s="303"/>
      <c r="H847" s="303"/>
      <c r="I847" s="303"/>
      <c r="J847" s="303"/>
      <c r="K847" s="303"/>
      <c r="L847" s="303"/>
      <c r="M847" s="303"/>
      <c r="N847" s="303"/>
      <c r="O847" s="303"/>
      <c r="P847" s="303"/>
      <c r="Q847" s="303"/>
      <c r="R847" s="303"/>
      <c r="S847" s="303"/>
      <c r="T847" s="303"/>
      <c r="U847" s="303"/>
      <c r="V847" s="303"/>
      <c r="W847" s="303"/>
      <c r="X847" s="303"/>
      <c r="Y847" s="303"/>
      <c r="Z847" s="532"/>
      <c r="AA847" s="530"/>
      <c r="AB847" s="525" t="str">
        <f t="shared" si="18"/>
        <v/>
      </c>
      <c r="AC847" s="525" t="str">
        <f t="shared" si="19"/>
        <v/>
      </c>
      <c r="AD847" s="525" t="str">
        <f t="shared" si="20"/>
        <v/>
      </c>
      <c r="AE847" s="525" t="str">
        <f t="shared" si="21"/>
        <v/>
      </c>
      <c r="AF847" s="525" t="str">
        <f t="shared" si="22"/>
        <v/>
      </c>
      <c r="AG847" s="525" t="str">
        <f t="shared" si="23"/>
        <v/>
      </c>
      <c r="AH847" s="525">
        <f>E847</f>
        <v>0</v>
      </c>
      <c r="AI847" s="525">
        <f>E848</f>
        <v>0</v>
      </c>
    </row>
    <row r="848" spans="1:35" x14ac:dyDescent="0.2">
      <c r="A848" s="531"/>
      <c r="B848" s="303"/>
      <c r="C848" s="303"/>
      <c r="D848" s="303"/>
      <c r="E848" s="303"/>
      <c r="F848" s="303"/>
      <c r="G848" s="303"/>
      <c r="H848" s="303"/>
      <c r="I848" s="303"/>
      <c r="J848" s="303"/>
      <c r="K848" s="303"/>
      <c r="L848" s="303"/>
      <c r="M848" s="303"/>
      <c r="N848" s="303"/>
      <c r="O848" s="303"/>
      <c r="P848" s="303"/>
      <c r="Q848" s="303"/>
      <c r="R848" s="303"/>
      <c r="S848" s="303"/>
      <c r="T848" s="303"/>
      <c r="U848" s="303"/>
      <c r="V848" s="303"/>
      <c r="W848" s="303"/>
      <c r="X848" s="303"/>
      <c r="Y848" s="303"/>
      <c r="Z848" s="532"/>
      <c r="AA848" s="530"/>
      <c r="AB848" s="525" t="str">
        <f t="shared" si="18"/>
        <v/>
      </c>
      <c r="AC848" s="525" t="str">
        <f t="shared" si="19"/>
        <v/>
      </c>
      <c r="AD848" s="525" t="str">
        <f t="shared" si="20"/>
        <v/>
      </c>
      <c r="AE848" s="525" t="str">
        <f t="shared" si="21"/>
        <v/>
      </c>
      <c r="AF848" s="525" t="str">
        <f t="shared" si="22"/>
        <v/>
      </c>
      <c r="AG848" s="525" t="str">
        <f t="shared" si="23"/>
        <v/>
      </c>
      <c r="AH848" s="525">
        <f>E847</f>
        <v>0</v>
      </c>
      <c r="AI848" s="525">
        <f>E848</f>
        <v>0</v>
      </c>
    </row>
    <row r="849" spans="1:35" x14ac:dyDescent="0.2">
      <c r="A849" s="531"/>
      <c r="B849" s="303"/>
      <c r="C849" s="303"/>
      <c r="D849" s="303"/>
      <c r="E849" s="303"/>
      <c r="F849" s="303"/>
      <c r="G849" s="303"/>
      <c r="H849" s="303"/>
      <c r="I849" s="303"/>
      <c r="J849" s="303"/>
      <c r="K849" s="303"/>
      <c r="L849" s="303"/>
      <c r="M849" s="303"/>
      <c r="N849" s="303"/>
      <c r="O849" s="303"/>
      <c r="P849" s="303"/>
      <c r="Q849" s="303"/>
      <c r="R849" s="303"/>
      <c r="S849" s="303"/>
      <c r="T849" s="303"/>
      <c r="U849" s="303"/>
      <c r="V849" s="303"/>
      <c r="W849" s="303"/>
      <c r="X849" s="303"/>
      <c r="Y849" s="303"/>
      <c r="Z849" s="532"/>
      <c r="AA849" s="530"/>
      <c r="AB849" s="525" t="str">
        <f t="shared" si="18"/>
        <v/>
      </c>
      <c r="AC849" s="525" t="str">
        <f t="shared" si="19"/>
        <v/>
      </c>
      <c r="AD849" s="525" t="str">
        <f t="shared" si="20"/>
        <v/>
      </c>
      <c r="AE849" s="525" t="str">
        <f t="shared" si="21"/>
        <v/>
      </c>
      <c r="AF849" s="525" t="str">
        <f t="shared" si="22"/>
        <v/>
      </c>
      <c r="AG849" s="525" t="str">
        <f t="shared" si="23"/>
        <v/>
      </c>
      <c r="AH849" s="525">
        <f>E850</f>
        <v>0</v>
      </c>
      <c r="AI849" s="525">
        <f>E851</f>
        <v>0</v>
      </c>
    </row>
    <row r="850" spans="1:35" x14ac:dyDescent="0.2">
      <c r="A850" s="531"/>
      <c r="B850" s="303"/>
      <c r="C850" s="303"/>
      <c r="D850" s="303"/>
      <c r="E850" s="303"/>
      <c r="F850" s="303"/>
      <c r="G850" s="303"/>
      <c r="H850" s="303"/>
      <c r="I850" s="303"/>
      <c r="J850" s="303"/>
      <c r="K850" s="303"/>
      <c r="L850" s="303"/>
      <c r="M850" s="303"/>
      <c r="N850" s="303"/>
      <c r="O850" s="303"/>
      <c r="P850" s="303"/>
      <c r="Q850" s="303"/>
      <c r="R850" s="303"/>
      <c r="S850" s="303"/>
      <c r="T850" s="303"/>
      <c r="U850" s="303"/>
      <c r="V850" s="303"/>
      <c r="W850" s="303"/>
      <c r="X850" s="303"/>
      <c r="Y850" s="303"/>
      <c r="Z850" s="532"/>
      <c r="AA850" s="530"/>
      <c r="AB850" s="525" t="str">
        <f t="shared" si="18"/>
        <v/>
      </c>
      <c r="AC850" s="525" t="str">
        <f t="shared" si="19"/>
        <v/>
      </c>
      <c r="AD850" s="525" t="str">
        <f t="shared" si="20"/>
        <v/>
      </c>
      <c r="AE850" s="525" t="str">
        <f t="shared" si="21"/>
        <v/>
      </c>
      <c r="AF850" s="525" t="str">
        <f t="shared" si="22"/>
        <v/>
      </c>
      <c r="AG850" s="525" t="str">
        <f t="shared" si="23"/>
        <v/>
      </c>
      <c r="AH850" s="525">
        <f>E850</f>
        <v>0</v>
      </c>
      <c r="AI850" s="525">
        <f>E851</f>
        <v>0</v>
      </c>
    </row>
    <row r="851" spans="1:35" x14ac:dyDescent="0.2">
      <c r="A851" s="531"/>
      <c r="B851" s="303"/>
      <c r="C851" s="303"/>
      <c r="D851" s="303"/>
      <c r="E851" s="303"/>
      <c r="F851" s="303"/>
      <c r="G851" s="303"/>
      <c r="H851" s="303"/>
      <c r="I851" s="303"/>
      <c r="J851" s="303"/>
      <c r="K851" s="303"/>
      <c r="L851" s="303"/>
      <c r="M851" s="303"/>
      <c r="N851" s="303"/>
      <c r="O851" s="303"/>
      <c r="P851" s="303"/>
      <c r="Q851" s="303"/>
      <c r="R851" s="303"/>
      <c r="S851" s="303"/>
      <c r="T851" s="303"/>
      <c r="U851" s="303"/>
      <c r="V851" s="303"/>
      <c r="W851" s="303"/>
      <c r="X851" s="303"/>
      <c r="Y851" s="303"/>
      <c r="Z851" s="532"/>
      <c r="AA851" s="530"/>
      <c r="AB851" s="525" t="str">
        <f t="shared" si="18"/>
        <v/>
      </c>
      <c r="AC851" s="525" t="str">
        <f t="shared" si="19"/>
        <v/>
      </c>
      <c r="AD851" s="525" t="str">
        <f t="shared" si="20"/>
        <v/>
      </c>
      <c r="AE851" s="525" t="str">
        <f t="shared" si="21"/>
        <v/>
      </c>
      <c r="AF851" s="525" t="str">
        <f t="shared" si="22"/>
        <v/>
      </c>
      <c r="AG851" s="525" t="str">
        <f t="shared" si="23"/>
        <v/>
      </c>
      <c r="AH851" s="525">
        <f>E850</f>
        <v>0</v>
      </c>
      <c r="AI851" s="525">
        <f>E851</f>
        <v>0</v>
      </c>
    </row>
    <row r="852" spans="1:35" x14ac:dyDescent="0.2">
      <c r="A852" s="531"/>
      <c r="B852" s="303"/>
      <c r="C852" s="303"/>
      <c r="D852" s="303"/>
      <c r="E852" s="303"/>
      <c r="F852" s="303"/>
      <c r="G852" s="303"/>
      <c r="H852" s="303"/>
      <c r="I852" s="303"/>
      <c r="J852" s="303"/>
      <c r="K852" s="303"/>
      <c r="L852" s="303"/>
      <c r="M852" s="303"/>
      <c r="N852" s="303"/>
      <c r="O852" s="303"/>
      <c r="P852" s="303"/>
      <c r="Q852" s="303"/>
      <c r="R852" s="303"/>
      <c r="S852" s="303"/>
      <c r="T852" s="303"/>
      <c r="U852" s="303"/>
      <c r="V852" s="303"/>
      <c r="W852" s="303"/>
      <c r="X852" s="303"/>
      <c r="Y852" s="303"/>
      <c r="Z852" s="532"/>
      <c r="AA852" s="530"/>
      <c r="AB852" s="525" t="str">
        <f t="shared" si="18"/>
        <v/>
      </c>
      <c r="AC852" s="525" t="str">
        <f t="shared" si="19"/>
        <v/>
      </c>
      <c r="AD852" s="525" t="str">
        <f t="shared" si="20"/>
        <v/>
      </c>
      <c r="AE852" s="525" t="str">
        <f t="shared" si="21"/>
        <v/>
      </c>
      <c r="AF852" s="525" t="str">
        <f t="shared" si="22"/>
        <v/>
      </c>
      <c r="AG852" s="525" t="str">
        <f t="shared" si="23"/>
        <v/>
      </c>
      <c r="AH852" s="525">
        <f>E853</f>
        <v>0</v>
      </c>
      <c r="AI852" s="525">
        <f>E854</f>
        <v>0</v>
      </c>
    </row>
    <row r="853" spans="1:35" x14ac:dyDescent="0.2">
      <c r="A853" s="531"/>
      <c r="B853" s="303"/>
      <c r="C853" s="303"/>
      <c r="D853" s="303"/>
      <c r="E853" s="303"/>
      <c r="F853" s="303"/>
      <c r="G853" s="303"/>
      <c r="H853" s="303"/>
      <c r="I853" s="303"/>
      <c r="J853" s="303"/>
      <c r="K853" s="303"/>
      <c r="L853" s="303"/>
      <c r="M853" s="303"/>
      <c r="N853" s="303"/>
      <c r="O853" s="303"/>
      <c r="P853" s="303"/>
      <c r="Q853" s="303"/>
      <c r="R853" s="303"/>
      <c r="S853" s="303"/>
      <c r="T853" s="303"/>
      <c r="U853" s="303"/>
      <c r="V853" s="303"/>
      <c r="W853" s="303"/>
      <c r="X853" s="303"/>
      <c r="Y853" s="303"/>
      <c r="Z853" s="532"/>
      <c r="AA853" s="530"/>
      <c r="AB853" s="525" t="str">
        <f t="shared" si="18"/>
        <v/>
      </c>
      <c r="AC853" s="525" t="str">
        <f t="shared" si="19"/>
        <v/>
      </c>
      <c r="AD853" s="525" t="str">
        <f t="shared" si="20"/>
        <v/>
      </c>
      <c r="AE853" s="525" t="str">
        <f t="shared" si="21"/>
        <v/>
      </c>
      <c r="AF853" s="525" t="str">
        <f t="shared" si="22"/>
        <v/>
      </c>
      <c r="AG853" s="525" t="str">
        <f t="shared" si="23"/>
        <v/>
      </c>
      <c r="AH853" s="525">
        <f>E853</f>
        <v>0</v>
      </c>
      <c r="AI853" s="525">
        <f>E854</f>
        <v>0</v>
      </c>
    </row>
    <row r="854" spans="1:35" x14ac:dyDescent="0.2">
      <c r="A854" s="531"/>
      <c r="B854" s="303"/>
      <c r="C854" s="303"/>
      <c r="D854" s="303"/>
      <c r="E854" s="303"/>
      <c r="F854" s="303"/>
      <c r="G854" s="303"/>
      <c r="H854" s="303"/>
      <c r="I854" s="303"/>
      <c r="J854" s="303"/>
      <c r="K854" s="303"/>
      <c r="L854" s="303"/>
      <c r="M854" s="303"/>
      <c r="N854" s="303"/>
      <c r="O854" s="303"/>
      <c r="P854" s="303"/>
      <c r="Q854" s="303"/>
      <c r="R854" s="303"/>
      <c r="S854" s="303"/>
      <c r="T854" s="303"/>
      <c r="U854" s="303"/>
      <c r="V854" s="303"/>
      <c r="W854" s="303"/>
      <c r="X854" s="303"/>
      <c r="Y854" s="303"/>
      <c r="Z854" s="532"/>
      <c r="AA854" s="530"/>
      <c r="AB854" s="525" t="str">
        <f t="shared" si="18"/>
        <v/>
      </c>
      <c r="AC854" s="525" t="str">
        <f t="shared" si="19"/>
        <v/>
      </c>
      <c r="AD854" s="525" t="str">
        <f t="shared" si="20"/>
        <v/>
      </c>
      <c r="AE854" s="525" t="str">
        <f t="shared" si="21"/>
        <v/>
      </c>
      <c r="AF854" s="525" t="str">
        <f t="shared" si="22"/>
        <v/>
      </c>
      <c r="AG854" s="525" t="str">
        <f t="shared" si="23"/>
        <v/>
      </c>
      <c r="AH854" s="525">
        <f>E853</f>
        <v>0</v>
      </c>
      <c r="AI854" s="525">
        <f>E854</f>
        <v>0</v>
      </c>
    </row>
    <row r="855" spans="1:35" x14ac:dyDescent="0.2">
      <c r="A855" s="531"/>
      <c r="B855" s="303"/>
      <c r="C855" s="303"/>
      <c r="D855" s="303"/>
      <c r="E855" s="303"/>
      <c r="F855" s="303"/>
      <c r="G855" s="303"/>
      <c r="H855" s="303"/>
      <c r="I855" s="303"/>
      <c r="J855" s="303"/>
      <c r="K855" s="303"/>
      <c r="L855" s="303"/>
      <c r="M855" s="303"/>
      <c r="N855" s="303"/>
      <c r="O855" s="303"/>
      <c r="P855" s="303"/>
      <c r="Q855" s="303"/>
      <c r="R855" s="303"/>
      <c r="S855" s="303"/>
      <c r="T855" s="303"/>
      <c r="U855" s="303"/>
      <c r="V855" s="303"/>
      <c r="W855" s="303"/>
      <c r="X855" s="303"/>
      <c r="Y855" s="303"/>
      <c r="Z855" s="532"/>
      <c r="AA855" s="530"/>
      <c r="AB855" s="525" t="str">
        <f t="shared" si="18"/>
        <v/>
      </c>
      <c r="AC855" s="525" t="str">
        <f t="shared" si="19"/>
        <v/>
      </c>
      <c r="AD855" s="525" t="str">
        <f t="shared" si="20"/>
        <v/>
      </c>
      <c r="AE855" s="525" t="str">
        <f t="shared" si="21"/>
        <v/>
      </c>
      <c r="AF855" s="525" t="str">
        <f t="shared" si="22"/>
        <v/>
      </c>
      <c r="AG855" s="525" t="str">
        <f t="shared" si="23"/>
        <v/>
      </c>
      <c r="AH855" s="525">
        <f>E856</f>
        <v>0</v>
      </c>
      <c r="AI855" s="525">
        <f>E857</f>
        <v>0</v>
      </c>
    </row>
    <row r="856" spans="1:35" x14ac:dyDescent="0.2">
      <c r="A856" s="531"/>
      <c r="B856" s="303"/>
      <c r="C856" s="303"/>
      <c r="D856" s="303"/>
      <c r="E856" s="303"/>
      <c r="F856" s="303"/>
      <c r="G856" s="303"/>
      <c r="H856" s="303"/>
      <c r="I856" s="303"/>
      <c r="J856" s="303"/>
      <c r="K856" s="303"/>
      <c r="L856" s="303"/>
      <c r="M856" s="303"/>
      <c r="N856" s="303"/>
      <c r="O856" s="303"/>
      <c r="P856" s="303"/>
      <c r="Q856" s="303"/>
      <c r="R856" s="303"/>
      <c r="S856" s="303"/>
      <c r="T856" s="303"/>
      <c r="U856" s="303"/>
      <c r="V856" s="303"/>
      <c r="W856" s="303"/>
      <c r="X856" s="303"/>
      <c r="Y856" s="303"/>
      <c r="Z856" s="532"/>
      <c r="AA856" s="530"/>
      <c r="AB856" s="525" t="str">
        <f t="shared" si="18"/>
        <v/>
      </c>
      <c r="AC856" s="525" t="str">
        <f t="shared" si="19"/>
        <v/>
      </c>
      <c r="AD856" s="525" t="str">
        <f t="shared" si="20"/>
        <v/>
      </c>
      <c r="AE856" s="525" t="str">
        <f t="shared" si="21"/>
        <v/>
      </c>
      <c r="AF856" s="525" t="str">
        <f t="shared" si="22"/>
        <v/>
      </c>
      <c r="AG856" s="525" t="str">
        <f t="shared" si="23"/>
        <v/>
      </c>
      <c r="AH856" s="525">
        <f>E856</f>
        <v>0</v>
      </c>
      <c r="AI856" s="525">
        <f>E857</f>
        <v>0</v>
      </c>
    </row>
    <row r="857" spans="1:35" x14ac:dyDescent="0.2">
      <c r="A857" s="531"/>
      <c r="B857" s="303"/>
      <c r="C857" s="303"/>
      <c r="D857" s="303"/>
      <c r="E857" s="303"/>
      <c r="F857" s="303"/>
      <c r="G857" s="303"/>
      <c r="H857" s="303"/>
      <c r="I857" s="303"/>
      <c r="J857" s="303"/>
      <c r="K857" s="303"/>
      <c r="L857" s="303"/>
      <c r="M857" s="303"/>
      <c r="N857" s="303"/>
      <c r="O857" s="303"/>
      <c r="P857" s="303"/>
      <c r="Q857" s="303"/>
      <c r="R857" s="303"/>
      <c r="S857" s="303"/>
      <c r="T857" s="303"/>
      <c r="U857" s="303"/>
      <c r="V857" s="303"/>
      <c r="W857" s="303"/>
      <c r="X857" s="303"/>
      <c r="Y857" s="303"/>
      <c r="Z857" s="532"/>
      <c r="AA857" s="530"/>
      <c r="AB857" s="525" t="str">
        <f t="shared" si="18"/>
        <v/>
      </c>
      <c r="AC857" s="525" t="str">
        <f t="shared" si="19"/>
        <v/>
      </c>
      <c r="AD857" s="525" t="str">
        <f t="shared" si="20"/>
        <v/>
      </c>
      <c r="AE857" s="525" t="str">
        <f t="shared" si="21"/>
        <v/>
      </c>
      <c r="AF857" s="525" t="str">
        <f t="shared" si="22"/>
        <v/>
      </c>
      <c r="AG857" s="525" t="str">
        <f t="shared" si="23"/>
        <v/>
      </c>
      <c r="AH857" s="525">
        <f>E856</f>
        <v>0</v>
      </c>
      <c r="AI857" s="525">
        <f>E857</f>
        <v>0</v>
      </c>
    </row>
    <row r="858" spans="1:35" x14ac:dyDescent="0.2">
      <c r="A858" s="531"/>
      <c r="B858" s="303"/>
      <c r="C858" s="303"/>
      <c r="D858" s="303"/>
      <c r="E858" s="303"/>
      <c r="F858" s="303"/>
      <c r="G858" s="303"/>
      <c r="H858" s="303"/>
      <c r="I858" s="303"/>
      <c r="J858" s="303"/>
      <c r="K858" s="303"/>
      <c r="L858" s="303"/>
      <c r="M858" s="303"/>
      <c r="N858" s="303"/>
      <c r="O858" s="303"/>
      <c r="P858" s="303"/>
      <c r="Q858" s="303"/>
      <c r="R858" s="303"/>
      <c r="S858" s="303"/>
      <c r="T858" s="303"/>
      <c r="U858" s="303"/>
      <c r="V858" s="303"/>
      <c r="W858" s="303"/>
      <c r="X858" s="303"/>
      <c r="Y858" s="303"/>
      <c r="Z858" s="532"/>
      <c r="AA858" s="530"/>
      <c r="AB858" s="525" t="str">
        <f t="shared" si="18"/>
        <v/>
      </c>
      <c r="AC858" s="525" t="str">
        <f t="shared" si="19"/>
        <v/>
      </c>
      <c r="AD858" s="525" t="str">
        <f t="shared" si="20"/>
        <v/>
      </c>
      <c r="AE858" s="525" t="str">
        <f t="shared" si="21"/>
        <v/>
      </c>
      <c r="AF858" s="525" t="str">
        <f t="shared" si="22"/>
        <v/>
      </c>
      <c r="AG858" s="525" t="str">
        <f t="shared" si="23"/>
        <v/>
      </c>
      <c r="AH858" s="525">
        <f>E859</f>
        <v>0</v>
      </c>
      <c r="AI858" s="525">
        <f>E860</f>
        <v>0</v>
      </c>
    </row>
    <row r="859" spans="1:35" x14ac:dyDescent="0.2">
      <c r="A859" s="531"/>
      <c r="B859" s="303"/>
      <c r="C859" s="303"/>
      <c r="D859" s="303"/>
      <c r="E859" s="303"/>
      <c r="F859" s="303"/>
      <c r="G859" s="303"/>
      <c r="H859" s="303"/>
      <c r="I859" s="303"/>
      <c r="J859" s="303"/>
      <c r="K859" s="303"/>
      <c r="L859" s="303"/>
      <c r="M859" s="303"/>
      <c r="N859" s="303"/>
      <c r="O859" s="303"/>
      <c r="P859" s="303"/>
      <c r="Q859" s="303"/>
      <c r="R859" s="303"/>
      <c r="S859" s="303"/>
      <c r="T859" s="303"/>
      <c r="U859" s="303"/>
      <c r="V859" s="303"/>
      <c r="W859" s="303"/>
      <c r="X859" s="303"/>
      <c r="Y859" s="303"/>
      <c r="Z859" s="532"/>
      <c r="AA859" s="530"/>
      <c r="AB859" s="525" t="str">
        <f t="shared" si="18"/>
        <v/>
      </c>
      <c r="AC859" s="525" t="str">
        <f t="shared" si="19"/>
        <v/>
      </c>
      <c r="AD859" s="525" t="str">
        <f t="shared" si="20"/>
        <v/>
      </c>
      <c r="AE859" s="525" t="str">
        <f t="shared" si="21"/>
        <v/>
      </c>
      <c r="AF859" s="525" t="str">
        <f t="shared" si="22"/>
        <v/>
      </c>
      <c r="AG859" s="525" t="str">
        <f t="shared" si="23"/>
        <v/>
      </c>
      <c r="AH859" s="525">
        <f>E859</f>
        <v>0</v>
      </c>
      <c r="AI859" s="525">
        <f>E860</f>
        <v>0</v>
      </c>
    </row>
    <row r="860" spans="1:35" x14ac:dyDescent="0.2">
      <c r="A860" s="531"/>
      <c r="B860" s="303"/>
      <c r="C860" s="303"/>
      <c r="D860" s="303"/>
      <c r="E860" s="303"/>
      <c r="F860" s="303"/>
      <c r="G860" s="303"/>
      <c r="H860" s="303"/>
      <c r="I860" s="303"/>
      <c r="J860" s="303"/>
      <c r="K860" s="303"/>
      <c r="L860" s="303"/>
      <c r="M860" s="303"/>
      <c r="N860" s="303"/>
      <c r="O860" s="303"/>
      <c r="P860" s="303"/>
      <c r="Q860" s="303"/>
      <c r="R860" s="303"/>
      <c r="S860" s="303"/>
      <c r="T860" s="303"/>
      <c r="U860" s="303"/>
      <c r="V860" s="303"/>
      <c r="W860" s="303"/>
      <c r="X860" s="303"/>
      <c r="Y860" s="303"/>
      <c r="Z860" s="532"/>
      <c r="AA860" s="530"/>
      <c r="AB860" s="525" t="str">
        <f t="shared" si="18"/>
        <v/>
      </c>
      <c r="AC860" s="525" t="str">
        <f t="shared" si="19"/>
        <v/>
      </c>
      <c r="AD860" s="525" t="str">
        <f t="shared" si="20"/>
        <v/>
      </c>
      <c r="AE860" s="525" t="str">
        <f t="shared" si="21"/>
        <v/>
      </c>
      <c r="AF860" s="525" t="str">
        <f t="shared" si="22"/>
        <v/>
      </c>
      <c r="AG860" s="525" t="str">
        <f t="shared" si="23"/>
        <v/>
      </c>
      <c r="AH860" s="525">
        <f>E859</f>
        <v>0</v>
      </c>
      <c r="AI860" s="525">
        <f>E860</f>
        <v>0</v>
      </c>
    </row>
    <row r="861" spans="1:35" x14ac:dyDescent="0.2">
      <c r="A861" s="531"/>
      <c r="B861" s="303"/>
      <c r="C861" s="303"/>
      <c r="D861" s="303"/>
      <c r="E861" s="303"/>
      <c r="F861" s="303"/>
      <c r="G861" s="303"/>
      <c r="H861" s="303"/>
      <c r="I861" s="303"/>
      <c r="J861" s="303"/>
      <c r="K861" s="303"/>
      <c r="L861" s="303"/>
      <c r="M861" s="303"/>
      <c r="N861" s="303"/>
      <c r="O861" s="303"/>
      <c r="P861" s="303"/>
      <c r="Q861" s="303"/>
      <c r="R861" s="303"/>
      <c r="S861" s="303"/>
      <c r="T861" s="303"/>
      <c r="U861" s="303"/>
      <c r="V861" s="303"/>
      <c r="W861" s="303"/>
      <c r="X861" s="303"/>
      <c r="Y861" s="303"/>
      <c r="Z861" s="532"/>
      <c r="AA861" s="530"/>
      <c r="AB861" s="525" t="str">
        <f t="shared" si="18"/>
        <v/>
      </c>
      <c r="AC861" s="525" t="str">
        <f t="shared" si="19"/>
        <v/>
      </c>
      <c r="AD861" s="525" t="str">
        <f t="shared" si="20"/>
        <v/>
      </c>
      <c r="AE861" s="525" t="str">
        <f t="shared" si="21"/>
        <v/>
      </c>
      <c r="AF861" s="525" t="str">
        <f t="shared" si="22"/>
        <v/>
      </c>
      <c r="AG861" s="525" t="str">
        <f t="shared" si="23"/>
        <v/>
      </c>
      <c r="AH861" s="525">
        <f>E862</f>
        <v>0</v>
      </c>
      <c r="AI861" s="525">
        <f>E863</f>
        <v>0</v>
      </c>
    </row>
    <row r="862" spans="1:35" x14ac:dyDescent="0.2">
      <c r="A862" s="531"/>
      <c r="B862" s="303"/>
      <c r="C862" s="303"/>
      <c r="D862" s="303"/>
      <c r="E862" s="303"/>
      <c r="F862" s="303"/>
      <c r="G862" s="303"/>
      <c r="H862" s="303"/>
      <c r="I862" s="303"/>
      <c r="J862" s="303"/>
      <c r="K862" s="303"/>
      <c r="L862" s="303"/>
      <c r="M862" s="303"/>
      <c r="N862" s="303"/>
      <c r="O862" s="303"/>
      <c r="P862" s="303"/>
      <c r="Q862" s="303"/>
      <c r="R862" s="303"/>
      <c r="S862" s="303"/>
      <c r="T862" s="303"/>
      <c r="U862" s="303"/>
      <c r="V862" s="303"/>
      <c r="W862" s="303"/>
      <c r="X862" s="303"/>
      <c r="Y862" s="303"/>
      <c r="Z862" s="532"/>
      <c r="AA862" s="530"/>
      <c r="AB862" s="525" t="str">
        <f t="shared" si="18"/>
        <v/>
      </c>
      <c r="AC862" s="525" t="str">
        <f t="shared" si="19"/>
        <v/>
      </c>
      <c r="AD862" s="525" t="str">
        <f t="shared" si="20"/>
        <v/>
      </c>
      <c r="AE862" s="525" t="str">
        <f t="shared" si="21"/>
        <v/>
      </c>
      <c r="AF862" s="525" t="str">
        <f t="shared" si="22"/>
        <v/>
      </c>
      <c r="AG862" s="525" t="str">
        <f t="shared" si="23"/>
        <v/>
      </c>
      <c r="AH862" s="525">
        <f>E862</f>
        <v>0</v>
      </c>
      <c r="AI862" s="525">
        <f>E863</f>
        <v>0</v>
      </c>
    </row>
    <row r="863" spans="1:35" x14ac:dyDescent="0.2">
      <c r="A863" s="531"/>
      <c r="B863" s="303"/>
      <c r="C863" s="303"/>
      <c r="D863" s="303"/>
      <c r="E863" s="303"/>
      <c r="F863" s="303"/>
      <c r="G863" s="303"/>
      <c r="H863" s="303"/>
      <c r="I863" s="303"/>
      <c r="J863" s="303"/>
      <c r="K863" s="303"/>
      <c r="L863" s="303"/>
      <c r="M863" s="303"/>
      <c r="N863" s="303"/>
      <c r="O863" s="303"/>
      <c r="P863" s="303"/>
      <c r="Q863" s="303"/>
      <c r="R863" s="303"/>
      <c r="S863" s="303"/>
      <c r="T863" s="303"/>
      <c r="U863" s="303"/>
      <c r="V863" s="303"/>
      <c r="W863" s="303"/>
      <c r="X863" s="303"/>
      <c r="Y863" s="303"/>
      <c r="Z863" s="532"/>
      <c r="AA863" s="530"/>
      <c r="AB863" s="525" t="str">
        <f t="shared" si="18"/>
        <v/>
      </c>
      <c r="AC863" s="525" t="str">
        <f t="shared" si="19"/>
        <v/>
      </c>
      <c r="AD863" s="525" t="str">
        <f t="shared" si="20"/>
        <v/>
      </c>
      <c r="AE863" s="525" t="str">
        <f t="shared" si="21"/>
        <v/>
      </c>
      <c r="AF863" s="525" t="str">
        <f t="shared" si="22"/>
        <v/>
      </c>
      <c r="AG863" s="525" t="str">
        <f t="shared" si="23"/>
        <v/>
      </c>
      <c r="AH863" s="525">
        <f>E862</f>
        <v>0</v>
      </c>
      <c r="AI863" s="525">
        <f>E863</f>
        <v>0</v>
      </c>
    </row>
    <row r="864" spans="1:35" x14ac:dyDescent="0.2">
      <c r="A864" s="531"/>
      <c r="B864" s="303"/>
      <c r="C864" s="303"/>
      <c r="D864" s="303"/>
      <c r="E864" s="303"/>
      <c r="F864" s="303"/>
      <c r="G864" s="303"/>
      <c r="H864" s="303"/>
      <c r="I864" s="303"/>
      <c r="J864" s="303"/>
      <c r="K864" s="303"/>
      <c r="L864" s="303"/>
      <c r="M864" s="303"/>
      <c r="N864" s="303"/>
      <c r="O864" s="303"/>
      <c r="P864" s="303"/>
      <c r="Q864" s="303"/>
      <c r="R864" s="303"/>
      <c r="S864" s="303"/>
      <c r="T864" s="303"/>
      <c r="U864" s="303"/>
      <c r="V864" s="303"/>
      <c r="W864" s="303"/>
      <c r="X864" s="303"/>
      <c r="Y864" s="303"/>
      <c r="Z864" s="532"/>
      <c r="AA864" s="530"/>
      <c r="AB864" s="525" t="str">
        <f t="shared" si="18"/>
        <v/>
      </c>
      <c r="AC864" s="525" t="str">
        <f t="shared" si="19"/>
        <v/>
      </c>
      <c r="AD864" s="525" t="str">
        <f t="shared" si="20"/>
        <v/>
      </c>
      <c r="AE864" s="525" t="str">
        <f t="shared" si="21"/>
        <v/>
      </c>
      <c r="AF864" s="525" t="str">
        <f t="shared" si="22"/>
        <v/>
      </c>
      <c r="AG864" s="525" t="str">
        <f t="shared" si="23"/>
        <v/>
      </c>
      <c r="AH864" s="525">
        <f>E865</f>
        <v>0</v>
      </c>
      <c r="AI864" s="525">
        <f>E866</f>
        <v>0</v>
      </c>
    </row>
    <row r="865" spans="1:35" x14ac:dyDescent="0.2">
      <c r="A865" s="531"/>
      <c r="B865" s="303"/>
      <c r="C865" s="303"/>
      <c r="D865" s="303"/>
      <c r="E865" s="303"/>
      <c r="F865" s="303"/>
      <c r="G865" s="303"/>
      <c r="H865" s="303"/>
      <c r="I865" s="303"/>
      <c r="J865" s="303"/>
      <c r="K865" s="303"/>
      <c r="L865" s="303"/>
      <c r="M865" s="303"/>
      <c r="N865" s="303"/>
      <c r="O865" s="303"/>
      <c r="P865" s="303"/>
      <c r="Q865" s="303"/>
      <c r="R865" s="303"/>
      <c r="S865" s="303"/>
      <c r="T865" s="303"/>
      <c r="U865" s="303"/>
      <c r="V865" s="303"/>
      <c r="W865" s="303"/>
      <c r="X865" s="303"/>
      <c r="Y865" s="303"/>
      <c r="Z865" s="532"/>
      <c r="AA865" s="530"/>
      <c r="AB865" s="525" t="str">
        <f t="shared" si="18"/>
        <v/>
      </c>
      <c r="AC865" s="525" t="str">
        <f t="shared" si="19"/>
        <v/>
      </c>
      <c r="AD865" s="525" t="str">
        <f t="shared" si="20"/>
        <v/>
      </c>
      <c r="AE865" s="525" t="str">
        <f t="shared" si="21"/>
        <v/>
      </c>
      <c r="AF865" s="525" t="str">
        <f t="shared" si="22"/>
        <v/>
      </c>
      <c r="AG865" s="525" t="str">
        <f t="shared" si="23"/>
        <v/>
      </c>
      <c r="AH865" s="525">
        <f>E865</f>
        <v>0</v>
      </c>
      <c r="AI865" s="525">
        <f>E866</f>
        <v>0</v>
      </c>
    </row>
    <row r="866" spans="1:35" x14ac:dyDescent="0.2">
      <c r="A866" s="531"/>
      <c r="B866" s="303"/>
      <c r="C866" s="303"/>
      <c r="D866" s="303"/>
      <c r="E866" s="303"/>
      <c r="F866" s="303"/>
      <c r="G866" s="303"/>
      <c r="H866" s="303"/>
      <c r="I866" s="303"/>
      <c r="J866" s="303"/>
      <c r="K866" s="303"/>
      <c r="L866" s="303"/>
      <c r="M866" s="303"/>
      <c r="N866" s="303"/>
      <c r="O866" s="303"/>
      <c r="P866" s="303"/>
      <c r="Q866" s="303"/>
      <c r="R866" s="303"/>
      <c r="S866" s="303"/>
      <c r="T866" s="303"/>
      <c r="U866" s="303"/>
      <c r="V866" s="303"/>
      <c r="W866" s="303"/>
      <c r="X866" s="303"/>
      <c r="Y866" s="303"/>
      <c r="Z866" s="532"/>
      <c r="AA866" s="530"/>
      <c r="AB866" s="525" t="str">
        <f t="shared" si="18"/>
        <v/>
      </c>
      <c r="AC866" s="525" t="str">
        <f t="shared" si="19"/>
        <v/>
      </c>
      <c r="AD866" s="525" t="str">
        <f t="shared" si="20"/>
        <v/>
      </c>
      <c r="AE866" s="525" t="str">
        <f t="shared" si="21"/>
        <v/>
      </c>
      <c r="AF866" s="525" t="str">
        <f t="shared" si="22"/>
        <v/>
      </c>
      <c r="AG866" s="525" t="str">
        <f t="shared" si="23"/>
        <v/>
      </c>
      <c r="AH866" s="525">
        <f>E865</f>
        <v>0</v>
      </c>
      <c r="AI866" s="525">
        <f>E866</f>
        <v>0</v>
      </c>
    </row>
    <row r="867" spans="1:35" x14ac:dyDescent="0.2">
      <c r="A867" s="531"/>
      <c r="B867" s="303"/>
      <c r="C867" s="303"/>
      <c r="D867" s="303"/>
      <c r="E867" s="303"/>
      <c r="F867" s="303"/>
      <c r="G867" s="303"/>
      <c r="H867" s="303"/>
      <c r="I867" s="303"/>
      <c r="J867" s="303"/>
      <c r="K867" s="303"/>
      <c r="L867" s="303"/>
      <c r="M867" s="303"/>
      <c r="N867" s="303"/>
      <c r="O867" s="303"/>
      <c r="P867" s="303"/>
      <c r="Q867" s="303"/>
      <c r="R867" s="303"/>
      <c r="S867" s="303"/>
      <c r="T867" s="303"/>
      <c r="U867" s="303"/>
      <c r="V867" s="303"/>
      <c r="W867" s="303"/>
      <c r="X867" s="303"/>
      <c r="Y867" s="303"/>
      <c r="Z867" s="532"/>
      <c r="AA867" s="530"/>
      <c r="AB867" s="525" t="str">
        <f t="shared" si="18"/>
        <v/>
      </c>
      <c r="AC867" s="525" t="str">
        <f t="shared" si="19"/>
        <v/>
      </c>
      <c r="AD867" s="525" t="str">
        <f t="shared" si="20"/>
        <v/>
      </c>
      <c r="AE867" s="525" t="str">
        <f t="shared" si="21"/>
        <v/>
      </c>
      <c r="AF867" s="525" t="str">
        <f t="shared" si="22"/>
        <v/>
      </c>
      <c r="AG867" s="525" t="str">
        <f t="shared" si="23"/>
        <v/>
      </c>
      <c r="AH867" s="525">
        <f>E868</f>
        <v>0</v>
      </c>
      <c r="AI867" s="525">
        <f>E869</f>
        <v>0</v>
      </c>
    </row>
    <row r="868" spans="1:35" x14ac:dyDescent="0.2">
      <c r="A868" s="531"/>
      <c r="B868" s="303"/>
      <c r="C868" s="303"/>
      <c r="D868" s="303"/>
      <c r="E868" s="303"/>
      <c r="F868" s="303"/>
      <c r="G868" s="303"/>
      <c r="H868" s="303"/>
      <c r="I868" s="303"/>
      <c r="J868" s="303"/>
      <c r="K868" s="303"/>
      <c r="L868" s="303"/>
      <c r="M868" s="303"/>
      <c r="N868" s="303"/>
      <c r="O868" s="303"/>
      <c r="P868" s="303"/>
      <c r="Q868" s="303"/>
      <c r="R868" s="303"/>
      <c r="S868" s="303"/>
      <c r="T868" s="303"/>
      <c r="U868" s="303"/>
      <c r="V868" s="303"/>
      <c r="W868" s="303"/>
      <c r="X868" s="303"/>
      <c r="Y868" s="303"/>
      <c r="Z868" s="532"/>
      <c r="AA868" s="530"/>
      <c r="AB868" s="525" t="str">
        <f t="shared" si="18"/>
        <v/>
      </c>
      <c r="AC868" s="525" t="str">
        <f t="shared" si="19"/>
        <v/>
      </c>
      <c r="AD868" s="525" t="str">
        <f t="shared" si="20"/>
        <v/>
      </c>
      <c r="AE868" s="525" t="str">
        <f t="shared" si="21"/>
        <v/>
      </c>
      <c r="AF868" s="525" t="str">
        <f t="shared" si="22"/>
        <v/>
      </c>
      <c r="AG868" s="525" t="str">
        <f t="shared" si="23"/>
        <v/>
      </c>
      <c r="AH868" s="525">
        <f>E868</f>
        <v>0</v>
      </c>
      <c r="AI868" s="525">
        <f>E869</f>
        <v>0</v>
      </c>
    </row>
    <row r="869" spans="1:35" x14ac:dyDescent="0.2">
      <c r="A869" s="531"/>
      <c r="B869" s="303"/>
      <c r="C869" s="303"/>
      <c r="D869" s="303"/>
      <c r="E869" s="303"/>
      <c r="F869" s="303"/>
      <c r="G869" s="303"/>
      <c r="H869" s="303"/>
      <c r="I869" s="303"/>
      <c r="J869" s="303"/>
      <c r="K869" s="303"/>
      <c r="L869" s="303"/>
      <c r="M869" s="303"/>
      <c r="N869" s="303"/>
      <c r="O869" s="303"/>
      <c r="P869" s="303"/>
      <c r="Q869" s="303"/>
      <c r="R869" s="303"/>
      <c r="S869" s="303"/>
      <c r="T869" s="303"/>
      <c r="U869" s="303"/>
      <c r="V869" s="303"/>
      <c r="W869" s="303"/>
      <c r="X869" s="303"/>
      <c r="Y869" s="303"/>
      <c r="Z869" s="532"/>
      <c r="AA869" s="530"/>
      <c r="AB869" s="525" t="str">
        <f t="shared" si="18"/>
        <v/>
      </c>
      <c r="AC869" s="525" t="str">
        <f t="shared" si="19"/>
        <v/>
      </c>
      <c r="AD869" s="525" t="str">
        <f t="shared" si="20"/>
        <v/>
      </c>
      <c r="AE869" s="525" t="str">
        <f t="shared" si="21"/>
        <v/>
      </c>
      <c r="AF869" s="525" t="str">
        <f t="shared" si="22"/>
        <v/>
      </c>
      <c r="AG869" s="525" t="str">
        <f t="shared" si="23"/>
        <v/>
      </c>
      <c r="AH869" s="525">
        <f>E868</f>
        <v>0</v>
      </c>
      <c r="AI869" s="525">
        <f>E869</f>
        <v>0</v>
      </c>
    </row>
    <row r="870" spans="1:35" x14ac:dyDescent="0.2">
      <c r="A870" s="531"/>
      <c r="B870" s="303"/>
      <c r="C870" s="303"/>
      <c r="D870" s="303"/>
      <c r="E870" s="303"/>
      <c r="F870" s="303"/>
      <c r="G870" s="303"/>
      <c r="H870" s="303"/>
      <c r="I870" s="303"/>
      <c r="J870" s="303"/>
      <c r="K870" s="303"/>
      <c r="L870" s="303"/>
      <c r="M870" s="303"/>
      <c r="N870" s="303"/>
      <c r="O870" s="303"/>
      <c r="P870" s="303"/>
      <c r="Q870" s="303"/>
      <c r="R870" s="303"/>
      <c r="S870" s="303"/>
      <c r="T870" s="303"/>
      <c r="U870" s="303"/>
      <c r="V870" s="303"/>
      <c r="W870" s="303"/>
      <c r="X870" s="303"/>
      <c r="Y870" s="303"/>
      <c r="Z870" s="532"/>
      <c r="AA870" s="530"/>
      <c r="AB870" s="525" t="str">
        <f t="shared" si="18"/>
        <v/>
      </c>
      <c r="AC870" s="525" t="str">
        <f t="shared" si="19"/>
        <v/>
      </c>
      <c r="AD870" s="525" t="str">
        <f t="shared" si="20"/>
        <v/>
      </c>
      <c r="AE870" s="525" t="str">
        <f t="shared" si="21"/>
        <v/>
      </c>
      <c r="AF870" s="525" t="str">
        <f t="shared" si="22"/>
        <v/>
      </c>
      <c r="AG870" s="525" t="str">
        <f t="shared" si="23"/>
        <v/>
      </c>
      <c r="AH870" s="525">
        <f>E871</f>
        <v>0</v>
      </c>
      <c r="AI870" s="525">
        <f>E872</f>
        <v>0</v>
      </c>
    </row>
    <row r="871" spans="1:35" x14ac:dyDescent="0.2">
      <c r="A871" s="531"/>
      <c r="B871" s="303"/>
      <c r="C871" s="303"/>
      <c r="D871" s="303"/>
      <c r="E871" s="303"/>
      <c r="F871" s="303"/>
      <c r="G871" s="303"/>
      <c r="H871" s="303"/>
      <c r="I871" s="303"/>
      <c r="J871" s="303"/>
      <c r="K871" s="303"/>
      <c r="L871" s="303"/>
      <c r="M871" s="303"/>
      <c r="N871" s="303"/>
      <c r="O871" s="303"/>
      <c r="P871" s="303"/>
      <c r="Q871" s="303"/>
      <c r="R871" s="303"/>
      <c r="S871" s="303"/>
      <c r="T871" s="303"/>
      <c r="U871" s="303"/>
      <c r="V871" s="303"/>
      <c r="W871" s="303"/>
      <c r="X871" s="303"/>
      <c r="Y871" s="303"/>
      <c r="Z871" s="532"/>
      <c r="AA871" s="530"/>
      <c r="AB871" s="525" t="str">
        <f t="shared" si="18"/>
        <v/>
      </c>
      <c r="AC871" s="525" t="str">
        <f t="shared" si="19"/>
        <v/>
      </c>
      <c r="AD871" s="525" t="str">
        <f t="shared" si="20"/>
        <v/>
      </c>
      <c r="AE871" s="525" t="str">
        <f t="shared" si="21"/>
        <v/>
      </c>
      <c r="AF871" s="525" t="str">
        <f t="shared" si="22"/>
        <v/>
      </c>
      <c r="AG871" s="525" t="str">
        <f t="shared" si="23"/>
        <v/>
      </c>
      <c r="AH871" s="525">
        <f>E871</f>
        <v>0</v>
      </c>
      <c r="AI871" s="525">
        <f>E872</f>
        <v>0</v>
      </c>
    </row>
    <row r="872" spans="1:35" x14ac:dyDescent="0.2">
      <c r="A872" s="531"/>
      <c r="B872" s="303"/>
      <c r="C872" s="303"/>
      <c r="D872" s="303"/>
      <c r="E872" s="303"/>
      <c r="F872" s="303"/>
      <c r="G872" s="303"/>
      <c r="H872" s="303"/>
      <c r="I872" s="303"/>
      <c r="J872" s="303"/>
      <c r="K872" s="303"/>
      <c r="L872" s="303"/>
      <c r="M872" s="303"/>
      <c r="N872" s="303"/>
      <c r="O872" s="303"/>
      <c r="P872" s="303"/>
      <c r="Q872" s="303"/>
      <c r="R872" s="303"/>
      <c r="S872" s="303"/>
      <c r="T872" s="303"/>
      <c r="U872" s="303"/>
      <c r="V872" s="303"/>
      <c r="W872" s="303"/>
      <c r="X872" s="303"/>
      <c r="Y872" s="303"/>
      <c r="Z872" s="532"/>
      <c r="AA872" s="530"/>
      <c r="AB872" s="525" t="str">
        <f t="shared" si="18"/>
        <v/>
      </c>
      <c r="AC872" s="525" t="str">
        <f t="shared" si="19"/>
        <v/>
      </c>
      <c r="AD872" s="525" t="str">
        <f t="shared" si="20"/>
        <v/>
      </c>
      <c r="AE872" s="525" t="str">
        <f t="shared" si="21"/>
        <v/>
      </c>
      <c r="AF872" s="525" t="str">
        <f t="shared" si="22"/>
        <v/>
      </c>
      <c r="AG872" s="525" t="str">
        <f t="shared" si="23"/>
        <v/>
      </c>
      <c r="AH872" s="525">
        <f>E871</f>
        <v>0</v>
      </c>
      <c r="AI872" s="525">
        <f>E872</f>
        <v>0</v>
      </c>
    </row>
    <row r="873" spans="1:35" x14ac:dyDescent="0.2">
      <c r="A873" s="531"/>
      <c r="B873" s="303"/>
      <c r="C873" s="303"/>
      <c r="D873" s="303"/>
      <c r="E873" s="303"/>
      <c r="F873" s="303"/>
      <c r="G873" s="303"/>
      <c r="H873" s="303"/>
      <c r="I873" s="303"/>
      <c r="J873" s="303"/>
      <c r="K873" s="303"/>
      <c r="L873" s="303"/>
      <c r="M873" s="303"/>
      <c r="N873" s="303"/>
      <c r="O873" s="303"/>
      <c r="P873" s="303"/>
      <c r="Q873" s="303"/>
      <c r="R873" s="303"/>
      <c r="S873" s="303"/>
      <c r="T873" s="303"/>
      <c r="U873" s="303"/>
      <c r="V873" s="303"/>
      <c r="W873" s="303"/>
      <c r="X873" s="303"/>
      <c r="Y873" s="303"/>
      <c r="Z873" s="532"/>
      <c r="AA873" s="530"/>
      <c r="AB873" s="525" t="str">
        <f t="shared" si="18"/>
        <v/>
      </c>
      <c r="AC873" s="525" t="str">
        <f t="shared" si="19"/>
        <v/>
      </c>
      <c r="AD873" s="525" t="str">
        <f t="shared" si="20"/>
        <v/>
      </c>
      <c r="AE873" s="525" t="str">
        <f t="shared" si="21"/>
        <v/>
      </c>
      <c r="AF873" s="525" t="str">
        <f t="shared" si="22"/>
        <v/>
      </c>
      <c r="AG873" s="525" t="str">
        <f t="shared" si="23"/>
        <v/>
      </c>
      <c r="AH873" s="525">
        <f>E874</f>
        <v>0</v>
      </c>
      <c r="AI873" s="525">
        <f>E875</f>
        <v>0</v>
      </c>
    </row>
    <row r="874" spans="1:35" x14ac:dyDescent="0.2">
      <c r="A874" s="531"/>
      <c r="B874" s="303"/>
      <c r="C874" s="303"/>
      <c r="D874" s="303"/>
      <c r="E874" s="303"/>
      <c r="F874" s="303"/>
      <c r="G874" s="303"/>
      <c r="H874" s="303"/>
      <c r="I874" s="303"/>
      <c r="J874" s="303"/>
      <c r="K874" s="303"/>
      <c r="L874" s="303"/>
      <c r="M874" s="303"/>
      <c r="N874" s="303"/>
      <c r="O874" s="303"/>
      <c r="P874" s="303"/>
      <c r="Q874" s="303"/>
      <c r="R874" s="303"/>
      <c r="S874" s="303"/>
      <c r="T874" s="303"/>
      <c r="U874" s="303"/>
      <c r="V874" s="303"/>
      <c r="W874" s="303"/>
      <c r="X874" s="303"/>
      <c r="Y874" s="303"/>
      <c r="Z874" s="532"/>
      <c r="AA874" s="530"/>
      <c r="AB874" s="525" t="str">
        <f t="shared" si="18"/>
        <v/>
      </c>
      <c r="AC874" s="525" t="str">
        <f t="shared" si="19"/>
        <v/>
      </c>
      <c r="AD874" s="525" t="str">
        <f t="shared" si="20"/>
        <v/>
      </c>
      <c r="AE874" s="525" t="str">
        <f t="shared" si="21"/>
        <v/>
      </c>
      <c r="AF874" s="525" t="str">
        <f t="shared" si="22"/>
        <v/>
      </c>
      <c r="AG874" s="525" t="str">
        <f t="shared" si="23"/>
        <v/>
      </c>
      <c r="AH874" s="525">
        <f>E874</f>
        <v>0</v>
      </c>
      <c r="AI874" s="525">
        <f>E875</f>
        <v>0</v>
      </c>
    </row>
    <row r="875" spans="1:35" x14ac:dyDescent="0.2">
      <c r="A875" s="531"/>
      <c r="B875" s="303"/>
      <c r="C875" s="303"/>
      <c r="D875" s="303"/>
      <c r="E875" s="303"/>
      <c r="F875" s="303"/>
      <c r="G875" s="303"/>
      <c r="H875" s="303"/>
      <c r="I875" s="303"/>
      <c r="J875" s="303"/>
      <c r="K875" s="303"/>
      <c r="L875" s="303"/>
      <c r="M875" s="303"/>
      <c r="N875" s="303"/>
      <c r="O875" s="303"/>
      <c r="P875" s="303"/>
      <c r="Q875" s="303"/>
      <c r="R875" s="303"/>
      <c r="S875" s="303"/>
      <c r="T875" s="303"/>
      <c r="U875" s="303"/>
      <c r="V875" s="303"/>
      <c r="W875" s="303"/>
      <c r="X875" s="303"/>
      <c r="Y875" s="303"/>
      <c r="Z875" s="532"/>
      <c r="AA875" s="530"/>
      <c r="AB875" s="525" t="str">
        <f t="shared" si="18"/>
        <v/>
      </c>
      <c r="AC875" s="525" t="str">
        <f t="shared" si="19"/>
        <v/>
      </c>
      <c r="AD875" s="525" t="str">
        <f t="shared" si="20"/>
        <v/>
      </c>
      <c r="AE875" s="525" t="str">
        <f t="shared" si="21"/>
        <v/>
      </c>
      <c r="AF875" s="525" t="str">
        <f t="shared" si="22"/>
        <v/>
      </c>
      <c r="AG875" s="525" t="str">
        <f t="shared" si="23"/>
        <v/>
      </c>
      <c r="AH875" s="525">
        <f>E874</f>
        <v>0</v>
      </c>
      <c r="AI875" s="525">
        <f>E875</f>
        <v>0</v>
      </c>
    </row>
    <row r="876" spans="1:35" x14ac:dyDescent="0.2">
      <c r="A876" s="531"/>
      <c r="B876" s="303"/>
      <c r="C876" s="303"/>
      <c r="D876" s="303"/>
      <c r="E876" s="303"/>
      <c r="F876" s="303"/>
      <c r="G876" s="303"/>
      <c r="H876" s="303"/>
      <c r="I876" s="303"/>
      <c r="J876" s="303"/>
      <c r="K876" s="303"/>
      <c r="L876" s="303"/>
      <c r="M876" s="303"/>
      <c r="N876" s="303"/>
      <c r="O876" s="303"/>
      <c r="P876" s="303"/>
      <c r="Q876" s="303"/>
      <c r="R876" s="303"/>
      <c r="S876" s="303"/>
      <c r="T876" s="303"/>
      <c r="U876" s="303"/>
      <c r="V876" s="303"/>
      <c r="W876" s="303"/>
      <c r="X876" s="303"/>
      <c r="Y876" s="303"/>
      <c r="Z876" s="532"/>
      <c r="AA876" s="530"/>
      <c r="AB876" s="525" t="str">
        <f t="shared" si="18"/>
        <v/>
      </c>
      <c r="AC876" s="525" t="str">
        <f t="shared" si="19"/>
        <v/>
      </c>
      <c r="AD876" s="525" t="str">
        <f t="shared" si="20"/>
        <v/>
      </c>
      <c r="AE876" s="525" t="str">
        <f t="shared" si="21"/>
        <v/>
      </c>
      <c r="AF876" s="525" t="str">
        <f t="shared" si="22"/>
        <v/>
      </c>
      <c r="AG876" s="525" t="str">
        <f t="shared" si="23"/>
        <v/>
      </c>
      <c r="AH876" s="525">
        <f>E877</f>
        <v>0</v>
      </c>
      <c r="AI876" s="525">
        <f>E878</f>
        <v>0</v>
      </c>
    </row>
    <row r="877" spans="1:35" x14ac:dyDescent="0.2">
      <c r="A877" s="531"/>
      <c r="B877" s="303"/>
      <c r="C877" s="303"/>
      <c r="D877" s="303"/>
      <c r="E877" s="303"/>
      <c r="F877" s="303"/>
      <c r="G877" s="303"/>
      <c r="H877" s="303"/>
      <c r="I877" s="303"/>
      <c r="J877" s="303"/>
      <c r="K877" s="303"/>
      <c r="L877" s="303"/>
      <c r="M877" s="303"/>
      <c r="N877" s="303"/>
      <c r="O877" s="303"/>
      <c r="P877" s="303"/>
      <c r="Q877" s="303"/>
      <c r="R877" s="303"/>
      <c r="S877" s="303"/>
      <c r="T877" s="303"/>
      <c r="U877" s="303"/>
      <c r="V877" s="303"/>
      <c r="W877" s="303"/>
      <c r="X877" s="303"/>
      <c r="Y877" s="303"/>
      <c r="Z877" s="532"/>
      <c r="AA877" s="530"/>
      <c r="AB877" s="525" t="str">
        <f t="shared" si="18"/>
        <v/>
      </c>
      <c r="AC877" s="525" t="str">
        <f t="shared" si="19"/>
        <v/>
      </c>
      <c r="AD877" s="525" t="str">
        <f t="shared" si="20"/>
        <v/>
      </c>
      <c r="AE877" s="525" t="str">
        <f t="shared" si="21"/>
        <v/>
      </c>
      <c r="AF877" s="525" t="str">
        <f t="shared" si="22"/>
        <v/>
      </c>
      <c r="AG877" s="525" t="str">
        <f t="shared" si="23"/>
        <v/>
      </c>
      <c r="AH877" s="525">
        <f>E877</f>
        <v>0</v>
      </c>
      <c r="AI877" s="525">
        <f>E878</f>
        <v>0</v>
      </c>
    </row>
    <row r="878" spans="1:35" x14ac:dyDescent="0.2">
      <c r="A878" s="531"/>
      <c r="B878" s="303"/>
      <c r="C878" s="303"/>
      <c r="D878" s="303"/>
      <c r="E878" s="303"/>
      <c r="F878" s="303"/>
      <c r="G878" s="303"/>
      <c r="H878" s="303"/>
      <c r="I878" s="303"/>
      <c r="J878" s="303"/>
      <c r="K878" s="303"/>
      <c r="L878" s="303"/>
      <c r="M878" s="303"/>
      <c r="N878" s="303"/>
      <c r="O878" s="303"/>
      <c r="P878" s="303"/>
      <c r="Q878" s="303"/>
      <c r="R878" s="303"/>
      <c r="S878" s="303"/>
      <c r="T878" s="303"/>
      <c r="U878" s="303"/>
      <c r="V878" s="303"/>
      <c r="W878" s="303"/>
      <c r="X878" s="303"/>
      <c r="Y878" s="303"/>
      <c r="Z878" s="532"/>
      <c r="AA878" s="530"/>
      <c r="AB878" s="525" t="str">
        <f t="shared" si="18"/>
        <v/>
      </c>
      <c r="AC878" s="525" t="str">
        <f t="shared" si="19"/>
        <v/>
      </c>
      <c r="AD878" s="525" t="str">
        <f t="shared" si="20"/>
        <v/>
      </c>
      <c r="AE878" s="525" t="str">
        <f t="shared" si="21"/>
        <v/>
      </c>
      <c r="AF878" s="525" t="str">
        <f t="shared" si="22"/>
        <v/>
      </c>
      <c r="AG878" s="525" t="str">
        <f t="shared" si="23"/>
        <v/>
      </c>
      <c r="AH878" s="525">
        <f>E877</f>
        <v>0</v>
      </c>
      <c r="AI878" s="525">
        <f>E878</f>
        <v>0</v>
      </c>
    </row>
    <row r="879" spans="1:35" x14ac:dyDescent="0.2">
      <c r="A879" s="531"/>
      <c r="B879" s="303"/>
      <c r="C879" s="303"/>
      <c r="D879" s="303"/>
      <c r="E879" s="303"/>
      <c r="F879" s="303"/>
      <c r="G879" s="303"/>
      <c r="H879" s="303"/>
      <c r="I879" s="303"/>
      <c r="J879" s="303"/>
      <c r="K879" s="303"/>
      <c r="L879" s="303"/>
      <c r="M879" s="303"/>
      <c r="N879" s="303"/>
      <c r="O879" s="303"/>
      <c r="P879" s="303"/>
      <c r="Q879" s="303"/>
      <c r="R879" s="303"/>
      <c r="S879" s="303"/>
      <c r="T879" s="303"/>
      <c r="U879" s="303"/>
      <c r="V879" s="303"/>
      <c r="W879" s="303"/>
      <c r="X879" s="303"/>
      <c r="Y879" s="303"/>
      <c r="Z879" s="532"/>
      <c r="AA879" s="530"/>
      <c r="AB879" s="525" t="str">
        <f t="shared" si="18"/>
        <v/>
      </c>
      <c r="AC879" s="525" t="str">
        <f t="shared" si="19"/>
        <v/>
      </c>
      <c r="AD879" s="525" t="str">
        <f t="shared" si="20"/>
        <v/>
      </c>
      <c r="AE879" s="525" t="str">
        <f t="shared" si="21"/>
        <v/>
      </c>
      <c r="AF879" s="525" t="str">
        <f t="shared" si="22"/>
        <v/>
      </c>
      <c r="AG879" s="525" t="str">
        <f t="shared" si="23"/>
        <v/>
      </c>
      <c r="AH879" s="525">
        <f>E880</f>
        <v>0</v>
      </c>
      <c r="AI879" s="525">
        <f>E881</f>
        <v>0</v>
      </c>
    </row>
    <row r="880" spans="1:35" x14ac:dyDescent="0.2">
      <c r="A880" s="531"/>
      <c r="B880" s="303"/>
      <c r="C880" s="303"/>
      <c r="D880" s="303"/>
      <c r="E880" s="303"/>
      <c r="F880" s="303"/>
      <c r="G880" s="303"/>
      <c r="H880" s="303"/>
      <c r="I880" s="303"/>
      <c r="J880" s="303"/>
      <c r="K880" s="303"/>
      <c r="L880" s="303"/>
      <c r="M880" s="303"/>
      <c r="N880" s="303"/>
      <c r="O880" s="303"/>
      <c r="P880" s="303"/>
      <c r="Q880" s="303"/>
      <c r="R880" s="303"/>
      <c r="S880" s="303"/>
      <c r="T880" s="303"/>
      <c r="U880" s="303"/>
      <c r="V880" s="303"/>
      <c r="W880" s="303"/>
      <c r="X880" s="303"/>
      <c r="Y880" s="303"/>
      <c r="Z880" s="532"/>
      <c r="AA880" s="530"/>
      <c r="AB880" s="525" t="str">
        <f t="shared" si="18"/>
        <v/>
      </c>
      <c r="AC880" s="525" t="str">
        <f t="shared" si="19"/>
        <v/>
      </c>
      <c r="AD880" s="525" t="str">
        <f t="shared" si="20"/>
        <v/>
      </c>
      <c r="AE880" s="525" t="str">
        <f t="shared" si="21"/>
        <v/>
      </c>
      <c r="AF880" s="525" t="str">
        <f t="shared" si="22"/>
        <v/>
      </c>
      <c r="AG880" s="525" t="str">
        <f t="shared" si="23"/>
        <v/>
      </c>
      <c r="AH880" s="525">
        <f>E880</f>
        <v>0</v>
      </c>
      <c r="AI880" s="525">
        <f>E881</f>
        <v>0</v>
      </c>
    </row>
    <row r="881" spans="1:35" x14ac:dyDescent="0.2">
      <c r="A881" s="531"/>
      <c r="B881" s="303"/>
      <c r="C881" s="303"/>
      <c r="D881" s="303"/>
      <c r="E881" s="303"/>
      <c r="F881" s="303"/>
      <c r="G881" s="303"/>
      <c r="H881" s="303"/>
      <c r="I881" s="303"/>
      <c r="J881" s="303"/>
      <c r="K881" s="303"/>
      <c r="L881" s="303"/>
      <c r="M881" s="303"/>
      <c r="N881" s="303"/>
      <c r="O881" s="303"/>
      <c r="P881" s="303"/>
      <c r="Q881" s="303"/>
      <c r="R881" s="303"/>
      <c r="S881" s="303"/>
      <c r="T881" s="303"/>
      <c r="U881" s="303"/>
      <c r="V881" s="303"/>
      <c r="W881" s="303"/>
      <c r="X881" s="303"/>
      <c r="Y881" s="303"/>
      <c r="Z881" s="532"/>
      <c r="AA881" s="530"/>
      <c r="AB881" s="525" t="str">
        <f t="shared" si="18"/>
        <v/>
      </c>
      <c r="AC881" s="525" t="str">
        <f t="shared" si="19"/>
        <v/>
      </c>
      <c r="AD881" s="525" t="str">
        <f t="shared" si="20"/>
        <v/>
      </c>
      <c r="AE881" s="525" t="str">
        <f t="shared" si="21"/>
        <v/>
      </c>
      <c r="AF881" s="525" t="str">
        <f t="shared" si="22"/>
        <v/>
      </c>
      <c r="AG881" s="525" t="str">
        <f t="shared" si="23"/>
        <v/>
      </c>
      <c r="AH881" s="525">
        <f>E880</f>
        <v>0</v>
      </c>
      <c r="AI881" s="525">
        <f>E881</f>
        <v>0</v>
      </c>
    </row>
    <row r="882" spans="1:35" x14ac:dyDescent="0.2">
      <c r="A882" s="531"/>
      <c r="B882" s="303"/>
      <c r="C882" s="303"/>
      <c r="D882" s="303"/>
      <c r="E882" s="303"/>
      <c r="F882" s="303"/>
      <c r="G882" s="303"/>
      <c r="H882" s="303"/>
      <c r="I882" s="303"/>
      <c r="J882" s="303"/>
      <c r="K882" s="303"/>
      <c r="L882" s="303"/>
      <c r="M882" s="303"/>
      <c r="N882" s="303"/>
      <c r="O882" s="303"/>
      <c r="P882" s="303"/>
      <c r="Q882" s="303"/>
      <c r="R882" s="303"/>
      <c r="S882" s="303"/>
      <c r="T882" s="303"/>
      <c r="U882" s="303"/>
      <c r="V882" s="303"/>
      <c r="W882" s="303"/>
      <c r="X882" s="303"/>
      <c r="Y882" s="303"/>
      <c r="Z882" s="532"/>
      <c r="AA882" s="530"/>
      <c r="AB882" s="525" t="str">
        <f t="shared" si="18"/>
        <v/>
      </c>
      <c r="AC882" s="525" t="str">
        <f t="shared" si="19"/>
        <v/>
      </c>
      <c r="AD882" s="525" t="str">
        <f t="shared" si="20"/>
        <v/>
      </c>
      <c r="AE882" s="525" t="str">
        <f t="shared" si="21"/>
        <v/>
      </c>
      <c r="AF882" s="525" t="str">
        <f t="shared" si="22"/>
        <v/>
      </c>
      <c r="AG882" s="525" t="str">
        <f t="shared" si="23"/>
        <v/>
      </c>
      <c r="AH882" s="525">
        <f>E883</f>
        <v>0</v>
      </c>
      <c r="AI882" s="525">
        <f>E884</f>
        <v>0</v>
      </c>
    </row>
    <row r="883" spans="1:35" x14ac:dyDescent="0.2">
      <c r="A883" s="531"/>
      <c r="B883" s="303"/>
      <c r="C883" s="303"/>
      <c r="D883" s="303"/>
      <c r="E883" s="303"/>
      <c r="F883" s="303"/>
      <c r="G883" s="303"/>
      <c r="H883" s="303"/>
      <c r="I883" s="303"/>
      <c r="J883" s="303"/>
      <c r="K883" s="303"/>
      <c r="L883" s="303"/>
      <c r="M883" s="303"/>
      <c r="N883" s="303"/>
      <c r="O883" s="303"/>
      <c r="P883" s="303"/>
      <c r="Q883" s="303"/>
      <c r="R883" s="303"/>
      <c r="S883" s="303"/>
      <c r="T883" s="303"/>
      <c r="U883" s="303"/>
      <c r="V883" s="303"/>
      <c r="W883" s="303"/>
      <c r="X883" s="303"/>
      <c r="Y883" s="303"/>
      <c r="Z883" s="532"/>
      <c r="AA883" s="530"/>
      <c r="AB883" s="525" t="str">
        <f t="shared" si="18"/>
        <v/>
      </c>
      <c r="AC883" s="525" t="str">
        <f t="shared" si="19"/>
        <v/>
      </c>
      <c r="AD883" s="525" t="str">
        <f t="shared" si="20"/>
        <v/>
      </c>
      <c r="AE883" s="525" t="str">
        <f t="shared" si="21"/>
        <v/>
      </c>
      <c r="AF883" s="525" t="str">
        <f t="shared" si="22"/>
        <v/>
      </c>
      <c r="AG883" s="525" t="str">
        <f t="shared" si="23"/>
        <v/>
      </c>
      <c r="AH883" s="525">
        <f>E883</f>
        <v>0</v>
      </c>
      <c r="AI883" s="525">
        <f>E884</f>
        <v>0</v>
      </c>
    </row>
    <row r="884" spans="1:35" x14ac:dyDescent="0.2">
      <c r="A884" s="531"/>
      <c r="B884" s="303"/>
      <c r="C884" s="303"/>
      <c r="D884" s="303"/>
      <c r="E884" s="303"/>
      <c r="F884" s="303"/>
      <c r="G884" s="303"/>
      <c r="H884" s="303"/>
      <c r="I884" s="303"/>
      <c r="J884" s="303"/>
      <c r="K884" s="303"/>
      <c r="L884" s="303"/>
      <c r="M884" s="303"/>
      <c r="N884" s="303"/>
      <c r="O884" s="303"/>
      <c r="P884" s="303"/>
      <c r="Q884" s="303"/>
      <c r="R884" s="303"/>
      <c r="S884" s="303"/>
      <c r="T884" s="303"/>
      <c r="U884" s="303"/>
      <c r="V884" s="303"/>
      <c r="W884" s="303"/>
      <c r="X884" s="303"/>
      <c r="Y884" s="303"/>
      <c r="Z884" s="532"/>
      <c r="AA884" s="530"/>
      <c r="AB884" s="525" t="str">
        <f t="shared" si="18"/>
        <v/>
      </c>
      <c r="AC884" s="525" t="str">
        <f t="shared" si="19"/>
        <v/>
      </c>
      <c r="AD884" s="525" t="str">
        <f t="shared" si="20"/>
        <v/>
      </c>
      <c r="AE884" s="525" t="str">
        <f t="shared" si="21"/>
        <v/>
      </c>
      <c r="AF884" s="525" t="str">
        <f t="shared" si="22"/>
        <v/>
      </c>
      <c r="AG884" s="525" t="str">
        <f t="shared" si="23"/>
        <v/>
      </c>
      <c r="AH884" s="525">
        <f>E883</f>
        <v>0</v>
      </c>
      <c r="AI884" s="525">
        <f>E884</f>
        <v>0</v>
      </c>
    </row>
    <row r="885" spans="1:35" x14ac:dyDescent="0.2">
      <c r="A885" s="531"/>
      <c r="B885" s="303"/>
      <c r="C885" s="303"/>
      <c r="D885" s="303"/>
      <c r="E885" s="303"/>
      <c r="F885" s="303"/>
      <c r="G885" s="303"/>
      <c r="H885" s="303"/>
      <c r="I885" s="303"/>
      <c r="J885" s="303"/>
      <c r="K885" s="303"/>
      <c r="L885" s="303"/>
      <c r="M885" s="303"/>
      <c r="N885" s="303"/>
      <c r="O885" s="303"/>
      <c r="P885" s="303"/>
      <c r="Q885" s="303"/>
      <c r="R885" s="303"/>
      <c r="S885" s="303"/>
      <c r="T885" s="303"/>
      <c r="U885" s="303"/>
      <c r="V885" s="303"/>
      <c r="W885" s="303"/>
      <c r="X885" s="303"/>
      <c r="Y885" s="303"/>
      <c r="Z885" s="532"/>
      <c r="AA885" s="530"/>
      <c r="AB885" s="525" t="str">
        <f t="shared" si="18"/>
        <v/>
      </c>
      <c r="AC885" s="525" t="str">
        <f t="shared" si="19"/>
        <v/>
      </c>
      <c r="AD885" s="525" t="str">
        <f t="shared" si="20"/>
        <v/>
      </c>
      <c r="AE885" s="525" t="str">
        <f t="shared" si="21"/>
        <v/>
      </c>
      <c r="AF885" s="525" t="str">
        <f t="shared" si="22"/>
        <v/>
      </c>
      <c r="AG885" s="525" t="str">
        <f t="shared" si="23"/>
        <v/>
      </c>
      <c r="AH885" s="525">
        <f>E886</f>
        <v>0</v>
      </c>
      <c r="AI885" s="525">
        <f>E887</f>
        <v>0</v>
      </c>
    </row>
    <row r="886" spans="1:35" x14ac:dyDescent="0.2">
      <c r="A886" s="531"/>
      <c r="B886" s="303"/>
      <c r="C886" s="303"/>
      <c r="D886" s="303"/>
      <c r="E886" s="303"/>
      <c r="F886" s="303"/>
      <c r="G886" s="303"/>
      <c r="H886" s="303"/>
      <c r="I886" s="303"/>
      <c r="J886" s="303"/>
      <c r="K886" s="303"/>
      <c r="L886" s="303"/>
      <c r="M886" s="303"/>
      <c r="N886" s="303"/>
      <c r="O886" s="303"/>
      <c r="P886" s="303"/>
      <c r="Q886" s="303"/>
      <c r="R886" s="303"/>
      <c r="S886" s="303"/>
      <c r="T886" s="303"/>
      <c r="U886" s="303"/>
      <c r="V886" s="303"/>
      <c r="W886" s="303"/>
      <c r="X886" s="303"/>
      <c r="Y886" s="303"/>
      <c r="Z886" s="532"/>
      <c r="AA886" s="530"/>
      <c r="AB886" s="525" t="str">
        <f t="shared" si="18"/>
        <v/>
      </c>
      <c r="AC886" s="525" t="str">
        <f t="shared" si="19"/>
        <v/>
      </c>
      <c r="AD886" s="525" t="str">
        <f t="shared" si="20"/>
        <v/>
      </c>
      <c r="AE886" s="525" t="str">
        <f t="shared" si="21"/>
        <v/>
      </c>
      <c r="AF886" s="525" t="str">
        <f t="shared" si="22"/>
        <v/>
      </c>
      <c r="AG886" s="525" t="str">
        <f t="shared" si="23"/>
        <v/>
      </c>
      <c r="AH886" s="525">
        <f>E886</f>
        <v>0</v>
      </c>
      <c r="AI886" s="525">
        <f>E887</f>
        <v>0</v>
      </c>
    </row>
    <row r="887" spans="1:35" x14ac:dyDescent="0.2">
      <c r="A887" s="531"/>
      <c r="B887" s="303"/>
      <c r="C887" s="303"/>
      <c r="D887" s="303"/>
      <c r="E887" s="303"/>
      <c r="F887" s="303"/>
      <c r="G887" s="303"/>
      <c r="H887" s="303"/>
      <c r="I887" s="303"/>
      <c r="J887" s="303"/>
      <c r="K887" s="303"/>
      <c r="L887" s="303"/>
      <c r="M887" s="303"/>
      <c r="N887" s="303"/>
      <c r="O887" s="303"/>
      <c r="P887" s="303"/>
      <c r="Q887" s="303"/>
      <c r="R887" s="303"/>
      <c r="S887" s="303"/>
      <c r="T887" s="303"/>
      <c r="U887" s="303"/>
      <c r="V887" s="303"/>
      <c r="W887" s="303"/>
      <c r="X887" s="303"/>
      <c r="Y887" s="303"/>
      <c r="Z887" s="532"/>
      <c r="AA887" s="530"/>
      <c r="AB887" s="525" t="str">
        <f t="shared" si="18"/>
        <v/>
      </c>
      <c r="AC887" s="525" t="str">
        <f t="shared" si="19"/>
        <v/>
      </c>
      <c r="AD887" s="525" t="str">
        <f t="shared" si="20"/>
        <v/>
      </c>
      <c r="AE887" s="525" t="str">
        <f t="shared" si="21"/>
        <v/>
      </c>
      <c r="AF887" s="525" t="str">
        <f t="shared" si="22"/>
        <v/>
      </c>
      <c r="AG887" s="525" t="str">
        <f t="shared" si="23"/>
        <v/>
      </c>
      <c r="AH887" s="525">
        <f>E886</f>
        <v>0</v>
      </c>
      <c r="AI887" s="525">
        <f>E887</f>
        <v>0</v>
      </c>
    </row>
    <row r="888" spans="1:35" x14ac:dyDescent="0.2">
      <c r="A888" s="531"/>
      <c r="B888" s="303"/>
      <c r="C888" s="303"/>
      <c r="D888" s="303"/>
      <c r="E888" s="303"/>
      <c r="F888" s="303"/>
      <c r="G888" s="303"/>
      <c r="H888" s="303"/>
      <c r="I888" s="303"/>
      <c r="J888" s="303"/>
      <c r="K888" s="303"/>
      <c r="L888" s="303"/>
      <c r="M888" s="303"/>
      <c r="N888" s="303"/>
      <c r="O888" s="303"/>
      <c r="P888" s="303"/>
      <c r="Q888" s="303"/>
      <c r="R888" s="303"/>
      <c r="S888" s="303"/>
      <c r="T888" s="303"/>
      <c r="U888" s="303"/>
      <c r="V888" s="303"/>
      <c r="W888" s="303"/>
      <c r="X888" s="303"/>
      <c r="Y888" s="303"/>
      <c r="Z888" s="532"/>
      <c r="AA888" s="530"/>
      <c r="AB888" s="525" t="str">
        <f t="shared" si="18"/>
        <v/>
      </c>
      <c r="AC888" s="525" t="str">
        <f t="shared" si="19"/>
        <v/>
      </c>
      <c r="AD888" s="525" t="str">
        <f t="shared" si="20"/>
        <v/>
      </c>
      <c r="AE888" s="525" t="str">
        <f t="shared" si="21"/>
        <v/>
      </c>
      <c r="AF888" s="525" t="str">
        <f t="shared" si="22"/>
        <v/>
      </c>
      <c r="AG888" s="525" t="str">
        <f t="shared" si="23"/>
        <v/>
      </c>
      <c r="AH888" s="525">
        <f>E889</f>
        <v>0</v>
      </c>
      <c r="AI888" s="525">
        <f>E890</f>
        <v>0</v>
      </c>
    </row>
    <row r="889" spans="1:35" x14ac:dyDescent="0.2">
      <c r="A889" s="531"/>
      <c r="B889" s="303"/>
      <c r="C889" s="303"/>
      <c r="D889" s="303"/>
      <c r="E889" s="303"/>
      <c r="F889" s="303"/>
      <c r="G889" s="303"/>
      <c r="H889" s="303"/>
      <c r="I889" s="303"/>
      <c r="J889" s="303"/>
      <c r="K889" s="303"/>
      <c r="L889" s="303"/>
      <c r="M889" s="303"/>
      <c r="N889" s="303"/>
      <c r="O889" s="303"/>
      <c r="P889" s="303"/>
      <c r="Q889" s="303"/>
      <c r="R889" s="303"/>
      <c r="S889" s="303"/>
      <c r="T889" s="303"/>
      <c r="U889" s="303"/>
      <c r="V889" s="303"/>
      <c r="W889" s="303"/>
      <c r="X889" s="303"/>
      <c r="Y889" s="303"/>
      <c r="Z889" s="532"/>
      <c r="AA889" s="530"/>
      <c r="AB889" s="525" t="str">
        <f t="shared" si="18"/>
        <v/>
      </c>
      <c r="AC889" s="525" t="str">
        <f t="shared" si="19"/>
        <v/>
      </c>
      <c r="AD889" s="525" t="str">
        <f t="shared" si="20"/>
        <v/>
      </c>
      <c r="AE889" s="525" t="str">
        <f t="shared" si="21"/>
        <v/>
      </c>
      <c r="AF889" s="525" t="str">
        <f t="shared" si="22"/>
        <v/>
      </c>
      <c r="AG889" s="525" t="str">
        <f t="shared" si="23"/>
        <v/>
      </c>
      <c r="AH889" s="525">
        <f>E889</f>
        <v>0</v>
      </c>
      <c r="AI889" s="525">
        <f>E890</f>
        <v>0</v>
      </c>
    </row>
    <row r="890" spans="1:35" x14ac:dyDescent="0.2">
      <c r="A890" s="531"/>
      <c r="B890" s="303"/>
      <c r="C890" s="303"/>
      <c r="D890" s="303"/>
      <c r="E890" s="303"/>
      <c r="F890" s="303"/>
      <c r="G890" s="303"/>
      <c r="H890" s="303"/>
      <c r="I890" s="303"/>
      <c r="J890" s="303"/>
      <c r="K890" s="303"/>
      <c r="L890" s="303"/>
      <c r="M890" s="303"/>
      <c r="N890" s="303"/>
      <c r="O890" s="303"/>
      <c r="P890" s="303"/>
      <c r="Q890" s="303"/>
      <c r="R890" s="303"/>
      <c r="S890" s="303"/>
      <c r="T890" s="303"/>
      <c r="U890" s="303"/>
      <c r="V890" s="303"/>
      <c r="W890" s="303"/>
      <c r="X890" s="303"/>
      <c r="Y890" s="303"/>
      <c r="Z890" s="532"/>
      <c r="AA890" s="530"/>
      <c r="AB890" s="525" t="str">
        <f t="shared" si="18"/>
        <v/>
      </c>
      <c r="AC890" s="525" t="str">
        <f t="shared" si="19"/>
        <v/>
      </c>
      <c r="AD890" s="525" t="str">
        <f t="shared" si="20"/>
        <v/>
      </c>
      <c r="AE890" s="525" t="str">
        <f t="shared" si="21"/>
        <v/>
      </c>
      <c r="AF890" s="525" t="str">
        <f t="shared" si="22"/>
        <v/>
      </c>
      <c r="AG890" s="525" t="str">
        <f t="shared" si="23"/>
        <v/>
      </c>
      <c r="AH890" s="525">
        <f>E889</f>
        <v>0</v>
      </c>
      <c r="AI890" s="525">
        <f>E890</f>
        <v>0</v>
      </c>
    </row>
    <row r="891" spans="1:35" x14ac:dyDescent="0.2">
      <c r="A891" s="531"/>
      <c r="B891" s="303"/>
      <c r="C891" s="303"/>
      <c r="D891" s="303"/>
      <c r="E891" s="303"/>
      <c r="F891" s="303"/>
      <c r="G891" s="303"/>
      <c r="H891" s="303"/>
      <c r="I891" s="303"/>
      <c r="J891" s="303"/>
      <c r="K891" s="303"/>
      <c r="L891" s="303"/>
      <c r="M891" s="303"/>
      <c r="N891" s="303"/>
      <c r="O891" s="303"/>
      <c r="P891" s="303"/>
      <c r="Q891" s="303"/>
      <c r="R891" s="303"/>
      <c r="S891" s="303"/>
      <c r="T891" s="303"/>
      <c r="U891" s="303"/>
      <c r="V891" s="303"/>
      <c r="W891" s="303"/>
      <c r="X891" s="303"/>
      <c r="Y891" s="303"/>
      <c r="Z891" s="532"/>
      <c r="AA891" s="530"/>
      <c r="AB891" s="525" t="str">
        <f t="shared" si="18"/>
        <v/>
      </c>
      <c r="AC891" s="525" t="str">
        <f t="shared" si="19"/>
        <v/>
      </c>
      <c r="AD891" s="525" t="str">
        <f t="shared" si="20"/>
        <v/>
      </c>
      <c r="AE891" s="525" t="str">
        <f t="shared" si="21"/>
        <v/>
      </c>
      <c r="AF891" s="525" t="str">
        <f t="shared" si="22"/>
        <v/>
      </c>
      <c r="AG891" s="525" t="str">
        <f t="shared" si="23"/>
        <v/>
      </c>
      <c r="AH891" s="525">
        <f>E892</f>
        <v>0</v>
      </c>
      <c r="AI891" s="525">
        <f>E893</f>
        <v>0</v>
      </c>
    </row>
    <row r="892" spans="1:35" x14ac:dyDescent="0.2">
      <c r="A892" s="531"/>
      <c r="B892" s="303"/>
      <c r="C892" s="303"/>
      <c r="D892" s="303"/>
      <c r="E892" s="303"/>
      <c r="F892" s="303"/>
      <c r="G892" s="303"/>
      <c r="H892" s="303"/>
      <c r="I892" s="303"/>
      <c r="J892" s="303"/>
      <c r="K892" s="303"/>
      <c r="L892" s="303"/>
      <c r="M892" s="303"/>
      <c r="N892" s="303"/>
      <c r="O892" s="303"/>
      <c r="P892" s="303"/>
      <c r="Q892" s="303"/>
      <c r="R892" s="303"/>
      <c r="S892" s="303"/>
      <c r="T892" s="303"/>
      <c r="U892" s="303"/>
      <c r="V892" s="303"/>
      <c r="W892" s="303"/>
      <c r="X892" s="303"/>
      <c r="Y892" s="303"/>
      <c r="Z892" s="532"/>
      <c r="AA892" s="530"/>
      <c r="AB892" s="525" t="str">
        <f t="shared" si="18"/>
        <v/>
      </c>
      <c r="AC892" s="525" t="str">
        <f t="shared" si="19"/>
        <v/>
      </c>
      <c r="AD892" s="525" t="str">
        <f t="shared" si="20"/>
        <v/>
      </c>
      <c r="AE892" s="525" t="str">
        <f t="shared" si="21"/>
        <v/>
      </c>
      <c r="AF892" s="525" t="str">
        <f t="shared" si="22"/>
        <v/>
      </c>
      <c r="AG892" s="525" t="str">
        <f t="shared" si="23"/>
        <v/>
      </c>
      <c r="AH892" s="525">
        <f>E892</f>
        <v>0</v>
      </c>
      <c r="AI892" s="525">
        <f>E893</f>
        <v>0</v>
      </c>
    </row>
    <row r="893" spans="1:35" x14ac:dyDescent="0.2">
      <c r="A893" s="531"/>
      <c r="B893" s="303"/>
      <c r="C893" s="303"/>
      <c r="D893" s="303"/>
      <c r="E893" s="303"/>
      <c r="F893" s="303"/>
      <c r="G893" s="303"/>
      <c r="H893" s="303"/>
      <c r="I893" s="303"/>
      <c r="J893" s="303"/>
      <c r="K893" s="303"/>
      <c r="L893" s="303"/>
      <c r="M893" s="303"/>
      <c r="N893" s="303"/>
      <c r="O893" s="303"/>
      <c r="P893" s="303"/>
      <c r="Q893" s="303"/>
      <c r="R893" s="303"/>
      <c r="S893" s="303"/>
      <c r="T893" s="303"/>
      <c r="U893" s="303"/>
      <c r="V893" s="303"/>
      <c r="W893" s="303"/>
      <c r="X893" s="303"/>
      <c r="Y893" s="303"/>
      <c r="Z893" s="532"/>
      <c r="AA893" s="530"/>
      <c r="AB893" s="525" t="str">
        <f t="shared" si="18"/>
        <v/>
      </c>
      <c r="AC893" s="525" t="str">
        <f t="shared" si="19"/>
        <v/>
      </c>
      <c r="AD893" s="525" t="str">
        <f t="shared" si="20"/>
        <v/>
      </c>
      <c r="AE893" s="525" t="str">
        <f t="shared" si="21"/>
        <v/>
      </c>
      <c r="AF893" s="525" t="str">
        <f t="shared" si="22"/>
        <v/>
      </c>
      <c r="AG893" s="525" t="str">
        <f t="shared" si="23"/>
        <v/>
      </c>
      <c r="AH893" s="525">
        <f>E892</f>
        <v>0</v>
      </c>
      <c r="AI893" s="525">
        <f>E893</f>
        <v>0</v>
      </c>
    </row>
    <row r="894" spans="1:35" x14ac:dyDescent="0.2">
      <c r="A894" s="531"/>
      <c r="B894" s="303"/>
      <c r="C894" s="303"/>
      <c r="D894" s="303"/>
      <c r="E894" s="303"/>
      <c r="F894" s="303"/>
      <c r="G894" s="303"/>
      <c r="H894" s="303"/>
      <c r="I894" s="303"/>
      <c r="J894" s="303"/>
      <c r="K894" s="303"/>
      <c r="L894" s="303"/>
      <c r="M894" s="303"/>
      <c r="N894" s="303"/>
      <c r="O894" s="303"/>
      <c r="P894" s="303"/>
      <c r="Q894" s="303"/>
      <c r="R894" s="303"/>
      <c r="S894" s="303"/>
      <c r="T894" s="303"/>
      <c r="U894" s="303"/>
      <c r="V894" s="303"/>
      <c r="W894" s="303"/>
      <c r="X894" s="303"/>
      <c r="Y894" s="303"/>
      <c r="Z894" s="532"/>
      <c r="AA894" s="530"/>
      <c r="AB894" s="525" t="str">
        <f t="shared" si="18"/>
        <v/>
      </c>
      <c r="AC894" s="525" t="str">
        <f t="shared" si="19"/>
        <v/>
      </c>
      <c r="AD894" s="525" t="str">
        <f t="shared" si="20"/>
        <v/>
      </c>
      <c r="AE894" s="525" t="str">
        <f t="shared" si="21"/>
        <v/>
      </c>
      <c r="AF894" s="525" t="str">
        <f t="shared" si="22"/>
        <v/>
      </c>
      <c r="AG894" s="525" t="str">
        <f t="shared" si="23"/>
        <v/>
      </c>
      <c r="AH894" s="525">
        <f>E895</f>
        <v>0</v>
      </c>
      <c r="AI894" s="525">
        <f>E896</f>
        <v>0</v>
      </c>
    </row>
    <row r="895" spans="1:35" x14ac:dyDescent="0.2">
      <c r="A895" s="531"/>
      <c r="B895" s="303"/>
      <c r="C895" s="303"/>
      <c r="D895" s="303"/>
      <c r="E895" s="303"/>
      <c r="F895" s="303"/>
      <c r="G895" s="303"/>
      <c r="H895" s="303"/>
      <c r="I895" s="303"/>
      <c r="J895" s="303"/>
      <c r="K895" s="303"/>
      <c r="L895" s="303"/>
      <c r="M895" s="303"/>
      <c r="N895" s="303"/>
      <c r="O895" s="303"/>
      <c r="P895" s="303"/>
      <c r="Q895" s="303"/>
      <c r="R895" s="303"/>
      <c r="S895" s="303"/>
      <c r="T895" s="303"/>
      <c r="U895" s="303"/>
      <c r="V895" s="303"/>
      <c r="W895" s="303"/>
      <c r="X895" s="303"/>
      <c r="Y895" s="303"/>
      <c r="Z895" s="532"/>
      <c r="AA895" s="530"/>
      <c r="AB895" s="525" t="str">
        <f t="shared" si="18"/>
        <v/>
      </c>
      <c r="AC895" s="525" t="str">
        <f t="shared" si="19"/>
        <v/>
      </c>
      <c r="AD895" s="525" t="str">
        <f t="shared" si="20"/>
        <v/>
      </c>
      <c r="AE895" s="525" t="str">
        <f t="shared" si="21"/>
        <v/>
      </c>
      <c r="AF895" s="525" t="str">
        <f t="shared" si="22"/>
        <v/>
      </c>
      <c r="AG895" s="525" t="str">
        <f t="shared" si="23"/>
        <v/>
      </c>
      <c r="AH895" s="525">
        <f>E895</f>
        <v>0</v>
      </c>
      <c r="AI895" s="525">
        <f>E896</f>
        <v>0</v>
      </c>
    </row>
    <row r="896" spans="1:35" x14ac:dyDescent="0.2">
      <c r="A896" s="531"/>
      <c r="B896" s="303"/>
      <c r="C896" s="303"/>
      <c r="D896" s="303"/>
      <c r="E896" s="303"/>
      <c r="F896" s="303"/>
      <c r="G896" s="303"/>
      <c r="H896" s="303"/>
      <c r="I896" s="303"/>
      <c r="J896" s="303"/>
      <c r="K896" s="303"/>
      <c r="L896" s="303"/>
      <c r="M896" s="303"/>
      <c r="N896" s="303"/>
      <c r="O896" s="303"/>
      <c r="P896" s="303"/>
      <c r="Q896" s="303"/>
      <c r="R896" s="303"/>
      <c r="S896" s="303"/>
      <c r="T896" s="303"/>
      <c r="U896" s="303"/>
      <c r="V896" s="303"/>
      <c r="W896" s="303"/>
      <c r="X896" s="303"/>
      <c r="Y896" s="303"/>
      <c r="Z896" s="532"/>
      <c r="AA896" s="530"/>
      <c r="AB896" s="525" t="str">
        <f t="shared" si="18"/>
        <v/>
      </c>
      <c r="AC896" s="525" t="str">
        <f t="shared" si="19"/>
        <v/>
      </c>
      <c r="AD896" s="525" t="str">
        <f t="shared" si="20"/>
        <v/>
      </c>
      <c r="AE896" s="525" t="str">
        <f t="shared" si="21"/>
        <v/>
      </c>
      <c r="AF896" s="525" t="str">
        <f t="shared" si="22"/>
        <v/>
      </c>
      <c r="AG896" s="525" t="str">
        <f t="shared" si="23"/>
        <v/>
      </c>
      <c r="AH896" s="525">
        <f>E895</f>
        <v>0</v>
      </c>
      <c r="AI896" s="525">
        <f>E896</f>
        <v>0</v>
      </c>
    </row>
    <row r="897" spans="1:35" x14ac:dyDescent="0.2">
      <c r="A897" s="531"/>
      <c r="B897" s="303"/>
      <c r="C897" s="303"/>
      <c r="D897" s="303"/>
      <c r="E897" s="303"/>
      <c r="F897" s="303"/>
      <c r="G897" s="303"/>
      <c r="H897" s="303"/>
      <c r="I897" s="303"/>
      <c r="J897" s="303"/>
      <c r="K897" s="303"/>
      <c r="L897" s="303"/>
      <c r="M897" s="303"/>
      <c r="N897" s="303"/>
      <c r="O897" s="303"/>
      <c r="P897" s="303"/>
      <c r="Q897" s="303"/>
      <c r="R897" s="303"/>
      <c r="S897" s="303"/>
      <c r="T897" s="303"/>
      <c r="U897" s="303"/>
      <c r="V897" s="303"/>
      <c r="W897" s="303"/>
      <c r="X897" s="303"/>
      <c r="Y897" s="303"/>
      <c r="Z897" s="532"/>
      <c r="AA897" s="530"/>
      <c r="AB897" s="525" t="str">
        <f t="shared" si="18"/>
        <v/>
      </c>
      <c r="AC897" s="525" t="str">
        <f t="shared" si="19"/>
        <v/>
      </c>
      <c r="AD897" s="525" t="str">
        <f t="shared" si="20"/>
        <v/>
      </c>
      <c r="AE897" s="525" t="str">
        <f t="shared" si="21"/>
        <v/>
      </c>
      <c r="AF897" s="525" t="str">
        <f t="shared" si="22"/>
        <v/>
      </c>
      <c r="AG897" s="525" t="str">
        <f t="shared" si="23"/>
        <v/>
      </c>
      <c r="AH897" s="525">
        <f>E898</f>
        <v>0</v>
      </c>
      <c r="AI897" s="525">
        <f>E899</f>
        <v>0</v>
      </c>
    </row>
    <row r="898" spans="1:35" x14ac:dyDescent="0.2">
      <c r="A898" s="531"/>
      <c r="B898" s="303"/>
      <c r="C898" s="303"/>
      <c r="D898" s="303"/>
      <c r="E898" s="303"/>
      <c r="F898" s="303"/>
      <c r="G898" s="303"/>
      <c r="H898" s="303"/>
      <c r="I898" s="303"/>
      <c r="J898" s="303"/>
      <c r="K898" s="303"/>
      <c r="L898" s="303"/>
      <c r="M898" s="303"/>
      <c r="N898" s="303"/>
      <c r="O898" s="303"/>
      <c r="P898" s="303"/>
      <c r="Q898" s="303"/>
      <c r="R898" s="303"/>
      <c r="S898" s="303"/>
      <c r="T898" s="303"/>
      <c r="U898" s="303"/>
      <c r="V898" s="303"/>
      <c r="W898" s="303"/>
      <c r="X898" s="303"/>
      <c r="Y898" s="303"/>
      <c r="Z898" s="532"/>
      <c r="AA898" s="530"/>
      <c r="AB898" s="525" t="str">
        <f t="shared" si="18"/>
        <v/>
      </c>
      <c r="AC898" s="525" t="str">
        <f t="shared" si="19"/>
        <v/>
      </c>
      <c r="AD898" s="525" t="str">
        <f t="shared" si="20"/>
        <v/>
      </c>
      <c r="AE898" s="525" t="str">
        <f t="shared" si="21"/>
        <v/>
      </c>
      <c r="AF898" s="525" t="str">
        <f t="shared" si="22"/>
        <v/>
      </c>
      <c r="AG898" s="525" t="str">
        <f t="shared" si="23"/>
        <v/>
      </c>
      <c r="AH898" s="525">
        <f>E898</f>
        <v>0</v>
      </c>
      <c r="AI898" s="525">
        <f>E899</f>
        <v>0</v>
      </c>
    </row>
    <row r="899" spans="1:35" x14ac:dyDescent="0.2">
      <c r="A899" s="531"/>
      <c r="B899" s="303"/>
      <c r="C899" s="303"/>
      <c r="D899" s="303"/>
      <c r="E899" s="303"/>
      <c r="F899" s="303"/>
      <c r="G899" s="303"/>
      <c r="H899" s="303"/>
      <c r="I899" s="303"/>
      <c r="J899" s="303"/>
      <c r="K899" s="303"/>
      <c r="L899" s="303"/>
      <c r="M899" s="303"/>
      <c r="N899" s="303"/>
      <c r="O899" s="303"/>
      <c r="P899" s="303"/>
      <c r="Q899" s="303"/>
      <c r="R899" s="303"/>
      <c r="S899" s="303"/>
      <c r="T899" s="303"/>
      <c r="U899" s="303"/>
      <c r="V899" s="303"/>
      <c r="W899" s="303"/>
      <c r="X899" s="303"/>
      <c r="Y899" s="303"/>
      <c r="Z899" s="532"/>
      <c r="AA899" s="530"/>
      <c r="AB899" s="525" t="str">
        <f t="shared" si="18"/>
        <v/>
      </c>
      <c r="AC899" s="525" t="str">
        <f t="shared" si="19"/>
        <v/>
      </c>
      <c r="AD899" s="525" t="str">
        <f t="shared" si="20"/>
        <v/>
      </c>
      <c r="AE899" s="525" t="str">
        <f t="shared" si="21"/>
        <v/>
      </c>
      <c r="AF899" s="525" t="str">
        <f t="shared" si="22"/>
        <v/>
      </c>
      <c r="AG899" s="525" t="str">
        <f t="shared" si="23"/>
        <v/>
      </c>
      <c r="AH899" s="525">
        <f>E898</f>
        <v>0</v>
      </c>
      <c r="AI899" s="525">
        <f>E899</f>
        <v>0</v>
      </c>
    </row>
    <row r="900" spans="1:35" x14ac:dyDescent="0.2">
      <c r="A900" s="531"/>
      <c r="B900" s="303"/>
      <c r="C900" s="303"/>
      <c r="D900" s="303"/>
      <c r="E900" s="303"/>
      <c r="F900" s="303"/>
      <c r="G900" s="303"/>
      <c r="H900" s="303"/>
      <c r="I900" s="303"/>
      <c r="J900" s="303"/>
      <c r="K900" s="303"/>
      <c r="L900" s="303"/>
      <c r="M900" s="303"/>
      <c r="N900" s="303"/>
      <c r="O900" s="303"/>
      <c r="P900" s="303"/>
      <c r="Q900" s="303"/>
      <c r="R900" s="303"/>
      <c r="S900" s="303"/>
      <c r="T900" s="303"/>
      <c r="U900" s="303"/>
      <c r="V900" s="303"/>
      <c r="W900" s="303"/>
      <c r="X900" s="303"/>
      <c r="Y900" s="303"/>
      <c r="Z900" s="532"/>
      <c r="AA900" s="530"/>
      <c r="AB900" s="525" t="str">
        <f t="shared" si="18"/>
        <v/>
      </c>
      <c r="AC900" s="525" t="str">
        <f t="shared" si="19"/>
        <v/>
      </c>
      <c r="AD900" s="525" t="str">
        <f t="shared" si="20"/>
        <v/>
      </c>
      <c r="AE900" s="525" t="str">
        <f t="shared" si="21"/>
        <v/>
      </c>
      <c r="AF900" s="525" t="str">
        <f t="shared" si="22"/>
        <v/>
      </c>
      <c r="AG900" s="525" t="str">
        <f t="shared" si="23"/>
        <v/>
      </c>
      <c r="AH900" s="525">
        <f>E901</f>
        <v>0</v>
      </c>
      <c r="AI900" s="525">
        <f>E902</f>
        <v>0</v>
      </c>
    </row>
    <row r="901" spans="1:35" x14ac:dyDescent="0.2">
      <c r="A901" s="531"/>
      <c r="B901" s="303"/>
      <c r="C901" s="303"/>
      <c r="D901" s="303"/>
      <c r="E901" s="303"/>
      <c r="F901" s="303"/>
      <c r="G901" s="303"/>
      <c r="H901" s="303"/>
      <c r="I901" s="303"/>
      <c r="J901" s="303"/>
      <c r="K901" s="303"/>
      <c r="L901" s="303"/>
      <c r="M901" s="303"/>
      <c r="N901" s="303"/>
      <c r="O901" s="303"/>
      <c r="P901" s="303"/>
      <c r="Q901" s="303"/>
      <c r="R901" s="303"/>
      <c r="S901" s="303"/>
      <c r="T901" s="303"/>
      <c r="U901" s="303"/>
      <c r="V901" s="303"/>
      <c r="W901" s="303"/>
      <c r="X901" s="303"/>
      <c r="Y901" s="303"/>
      <c r="Z901" s="532"/>
      <c r="AA901" s="530"/>
      <c r="AB901" s="525" t="str">
        <f t="shared" si="18"/>
        <v/>
      </c>
      <c r="AC901" s="525" t="str">
        <f t="shared" si="19"/>
        <v/>
      </c>
      <c r="AD901" s="525" t="str">
        <f t="shared" si="20"/>
        <v/>
      </c>
      <c r="AE901" s="525" t="str">
        <f t="shared" si="21"/>
        <v/>
      </c>
      <c r="AF901" s="525" t="str">
        <f t="shared" si="22"/>
        <v/>
      </c>
      <c r="AG901" s="525" t="str">
        <f t="shared" si="23"/>
        <v/>
      </c>
      <c r="AH901" s="525">
        <f>E901</f>
        <v>0</v>
      </c>
      <c r="AI901" s="525">
        <f>E902</f>
        <v>0</v>
      </c>
    </row>
    <row r="902" spans="1:35" x14ac:dyDescent="0.2">
      <c r="A902" s="531"/>
      <c r="B902" s="303"/>
      <c r="C902" s="303"/>
      <c r="D902" s="303"/>
      <c r="E902" s="303"/>
      <c r="F902" s="303"/>
      <c r="G902" s="303"/>
      <c r="H902" s="303"/>
      <c r="I902" s="303"/>
      <c r="J902" s="303"/>
      <c r="K902" s="303"/>
      <c r="L902" s="303"/>
      <c r="M902" s="303"/>
      <c r="N902" s="303"/>
      <c r="O902" s="303"/>
      <c r="P902" s="303"/>
      <c r="Q902" s="303"/>
      <c r="R902" s="303"/>
      <c r="S902" s="303"/>
      <c r="T902" s="303"/>
      <c r="U902" s="303"/>
      <c r="V902" s="303"/>
      <c r="W902" s="303"/>
      <c r="X902" s="303"/>
      <c r="Y902" s="303"/>
      <c r="Z902" s="532"/>
      <c r="AA902" s="530"/>
      <c r="AB902" s="525" t="str">
        <f t="shared" si="18"/>
        <v/>
      </c>
      <c r="AC902" s="525" t="str">
        <f t="shared" si="19"/>
        <v/>
      </c>
      <c r="AD902" s="525" t="str">
        <f t="shared" si="20"/>
        <v/>
      </c>
      <c r="AE902" s="525" t="str">
        <f t="shared" si="21"/>
        <v/>
      </c>
      <c r="AF902" s="525" t="str">
        <f t="shared" si="22"/>
        <v/>
      </c>
      <c r="AG902" s="525" t="str">
        <f t="shared" si="23"/>
        <v/>
      </c>
      <c r="AH902" s="525">
        <f>E901</f>
        <v>0</v>
      </c>
      <c r="AI902" s="525">
        <f>E902</f>
        <v>0</v>
      </c>
    </row>
    <row r="903" spans="1:35" x14ac:dyDescent="0.2">
      <c r="A903" s="531"/>
      <c r="B903" s="303"/>
      <c r="C903" s="303"/>
      <c r="D903" s="303"/>
      <c r="E903" s="303"/>
      <c r="F903" s="303"/>
      <c r="G903" s="303"/>
      <c r="H903" s="303"/>
      <c r="I903" s="303"/>
      <c r="J903" s="303"/>
      <c r="K903" s="303"/>
      <c r="L903" s="303"/>
      <c r="M903" s="303"/>
      <c r="N903" s="303"/>
      <c r="O903" s="303"/>
      <c r="P903" s="303"/>
      <c r="Q903" s="303"/>
      <c r="R903" s="303"/>
      <c r="S903" s="303"/>
      <c r="T903" s="303"/>
      <c r="U903" s="303"/>
      <c r="V903" s="303"/>
      <c r="W903" s="303"/>
      <c r="X903" s="303"/>
      <c r="Y903" s="303"/>
      <c r="Z903" s="532"/>
      <c r="AA903" s="530"/>
      <c r="AB903" s="525" t="str">
        <f t="shared" si="18"/>
        <v/>
      </c>
      <c r="AC903" s="525" t="str">
        <f t="shared" si="19"/>
        <v/>
      </c>
      <c r="AD903" s="525" t="str">
        <f t="shared" si="20"/>
        <v/>
      </c>
      <c r="AE903" s="525" t="str">
        <f t="shared" si="21"/>
        <v/>
      </c>
      <c r="AF903" s="525" t="str">
        <f t="shared" si="22"/>
        <v/>
      </c>
      <c r="AG903" s="525" t="str">
        <f t="shared" si="23"/>
        <v/>
      </c>
      <c r="AH903" s="525">
        <f>E904</f>
        <v>0</v>
      </c>
      <c r="AI903" s="525">
        <f>E905</f>
        <v>0</v>
      </c>
    </row>
    <row r="904" spans="1:35" x14ac:dyDescent="0.2">
      <c r="A904" s="531"/>
      <c r="B904" s="303"/>
      <c r="C904" s="303"/>
      <c r="D904" s="303"/>
      <c r="E904" s="303"/>
      <c r="F904" s="303"/>
      <c r="G904" s="303"/>
      <c r="H904" s="303"/>
      <c r="I904" s="303"/>
      <c r="J904" s="303"/>
      <c r="K904" s="303"/>
      <c r="L904" s="303"/>
      <c r="M904" s="303"/>
      <c r="N904" s="303"/>
      <c r="O904" s="303"/>
      <c r="P904" s="303"/>
      <c r="Q904" s="303"/>
      <c r="R904" s="303"/>
      <c r="S904" s="303"/>
      <c r="T904" s="303"/>
      <c r="U904" s="303"/>
      <c r="V904" s="303"/>
      <c r="W904" s="303"/>
      <c r="X904" s="303"/>
      <c r="Y904" s="303"/>
      <c r="Z904" s="532"/>
      <c r="AA904" s="530"/>
      <c r="AB904" s="525" t="str">
        <f t="shared" si="18"/>
        <v/>
      </c>
      <c r="AC904" s="525" t="str">
        <f t="shared" si="19"/>
        <v/>
      </c>
      <c r="AD904" s="525" t="str">
        <f t="shared" si="20"/>
        <v/>
      </c>
      <c r="AE904" s="525" t="str">
        <f t="shared" si="21"/>
        <v/>
      </c>
      <c r="AF904" s="525" t="str">
        <f t="shared" si="22"/>
        <v/>
      </c>
      <c r="AG904" s="525" t="str">
        <f t="shared" si="23"/>
        <v/>
      </c>
      <c r="AH904" s="525">
        <f>E904</f>
        <v>0</v>
      </c>
      <c r="AI904" s="525">
        <f>E905</f>
        <v>0</v>
      </c>
    </row>
    <row r="905" spans="1:35" x14ac:dyDescent="0.2">
      <c r="A905" s="531"/>
      <c r="B905" s="303"/>
      <c r="C905" s="303"/>
      <c r="D905" s="303"/>
      <c r="E905" s="303"/>
      <c r="F905" s="303"/>
      <c r="G905" s="303"/>
      <c r="H905" s="303"/>
      <c r="I905" s="303"/>
      <c r="J905" s="303"/>
      <c r="K905" s="303"/>
      <c r="L905" s="303"/>
      <c r="M905" s="303"/>
      <c r="N905" s="303"/>
      <c r="O905" s="303"/>
      <c r="P905" s="303"/>
      <c r="Q905" s="303"/>
      <c r="R905" s="303"/>
      <c r="S905" s="303"/>
      <c r="T905" s="303"/>
      <c r="U905" s="303"/>
      <c r="V905" s="303"/>
      <c r="W905" s="303"/>
      <c r="X905" s="303"/>
      <c r="Y905" s="303"/>
      <c r="Z905" s="532"/>
      <c r="AA905" s="530"/>
      <c r="AB905" s="525" t="str">
        <f t="shared" si="18"/>
        <v/>
      </c>
      <c r="AC905" s="525" t="str">
        <f t="shared" si="19"/>
        <v/>
      </c>
      <c r="AD905" s="525" t="str">
        <f t="shared" si="20"/>
        <v/>
      </c>
      <c r="AE905" s="525" t="str">
        <f t="shared" si="21"/>
        <v/>
      </c>
      <c r="AF905" s="525" t="str">
        <f t="shared" si="22"/>
        <v/>
      </c>
      <c r="AG905" s="525" t="str">
        <f t="shared" si="23"/>
        <v/>
      </c>
      <c r="AH905" s="525">
        <f>E904</f>
        <v>0</v>
      </c>
      <c r="AI905" s="525">
        <f>E905</f>
        <v>0</v>
      </c>
    </row>
    <row r="906" spans="1:35" x14ac:dyDescent="0.2">
      <c r="A906" s="531"/>
      <c r="B906" s="303"/>
      <c r="C906" s="303"/>
      <c r="D906" s="303"/>
      <c r="E906" s="303"/>
      <c r="F906" s="303"/>
      <c r="G906" s="303"/>
      <c r="H906" s="303"/>
      <c r="I906" s="303"/>
      <c r="J906" s="303"/>
      <c r="K906" s="303"/>
      <c r="L906" s="303"/>
      <c r="M906" s="303"/>
      <c r="N906" s="303"/>
      <c r="O906" s="303"/>
      <c r="P906" s="303"/>
      <c r="Q906" s="303"/>
      <c r="R906" s="303"/>
      <c r="S906" s="303"/>
      <c r="T906" s="303"/>
      <c r="U906" s="303"/>
      <c r="V906" s="303"/>
      <c r="W906" s="303"/>
      <c r="X906" s="303"/>
      <c r="Y906" s="303"/>
      <c r="Z906" s="532"/>
      <c r="AA906" s="530"/>
      <c r="AB906" s="525" t="str">
        <f t="shared" si="18"/>
        <v/>
      </c>
      <c r="AC906" s="525" t="str">
        <f t="shared" si="19"/>
        <v/>
      </c>
      <c r="AD906" s="525" t="str">
        <f t="shared" si="20"/>
        <v/>
      </c>
      <c r="AE906" s="525" t="str">
        <f t="shared" si="21"/>
        <v/>
      </c>
      <c r="AF906" s="525" t="str">
        <f t="shared" si="22"/>
        <v/>
      </c>
      <c r="AG906" s="525" t="str">
        <f t="shared" si="23"/>
        <v/>
      </c>
      <c r="AH906" s="525">
        <f>E907</f>
        <v>0</v>
      </c>
      <c r="AI906" s="525">
        <f>E908</f>
        <v>0</v>
      </c>
    </row>
    <row r="907" spans="1:35" x14ac:dyDescent="0.2">
      <c r="A907" s="531"/>
      <c r="B907" s="303"/>
      <c r="C907" s="303"/>
      <c r="D907" s="303"/>
      <c r="E907" s="303"/>
      <c r="F907" s="303"/>
      <c r="G907" s="303"/>
      <c r="H907" s="303"/>
      <c r="I907" s="303"/>
      <c r="J907" s="303"/>
      <c r="K907" s="303"/>
      <c r="L907" s="303"/>
      <c r="M907" s="303"/>
      <c r="N907" s="303"/>
      <c r="O907" s="303"/>
      <c r="P907" s="303"/>
      <c r="Q907" s="303"/>
      <c r="R907" s="303"/>
      <c r="S907" s="303"/>
      <c r="T907" s="303"/>
      <c r="U907" s="303"/>
      <c r="V907" s="303"/>
      <c r="W907" s="303"/>
      <c r="X907" s="303"/>
      <c r="Y907" s="303"/>
      <c r="Z907" s="532"/>
      <c r="AA907" s="530"/>
      <c r="AB907" s="525" t="str">
        <f t="shared" si="18"/>
        <v/>
      </c>
      <c r="AC907" s="525" t="str">
        <f t="shared" si="19"/>
        <v/>
      </c>
      <c r="AD907" s="525" t="str">
        <f t="shared" si="20"/>
        <v/>
      </c>
      <c r="AE907" s="525" t="str">
        <f t="shared" si="21"/>
        <v/>
      </c>
      <c r="AF907" s="525" t="str">
        <f t="shared" si="22"/>
        <v/>
      </c>
      <c r="AG907" s="525" t="str">
        <f t="shared" si="23"/>
        <v/>
      </c>
      <c r="AH907" s="525">
        <f>E907</f>
        <v>0</v>
      </c>
      <c r="AI907" s="525">
        <f>E908</f>
        <v>0</v>
      </c>
    </row>
    <row r="908" spans="1:35" x14ac:dyDescent="0.2">
      <c r="A908" s="531"/>
      <c r="B908" s="303"/>
      <c r="C908" s="303"/>
      <c r="D908" s="303"/>
      <c r="E908" s="303"/>
      <c r="F908" s="303"/>
      <c r="G908" s="303"/>
      <c r="H908" s="303"/>
      <c r="I908" s="303"/>
      <c r="J908" s="303"/>
      <c r="K908" s="303"/>
      <c r="L908" s="303"/>
      <c r="M908" s="303"/>
      <c r="N908" s="303"/>
      <c r="O908" s="303"/>
      <c r="P908" s="303"/>
      <c r="Q908" s="303"/>
      <c r="R908" s="303"/>
      <c r="S908" s="303"/>
      <c r="T908" s="303"/>
      <c r="U908" s="303"/>
      <c r="V908" s="303"/>
      <c r="W908" s="303"/>
      <c r="X908" s="303"/>
      <c r="Y908" s="303"/>
      <c r="Z908" s="532"/>
      <c r="AA908" s="530"/>
      <c r="AB908" s="525" t="str">
        <f t="shared" si="18"/>
        <v/>
      </c>
      <c r="AC908" s="525" t="str">
        <f t="shared" si="19"/>
        <v/>
      </c>
      <c r="AD908" s="525" t="str">
        <f t="shared" si="20"/>
        <v/>
      </c>
      <c r="AE908" s="525" t="str">
        <f t="shared" si="21"/>
        <v/>
      </c>
      <c r="AF908" s="525" t="str">
        <f t="shared" si="22"/>
        <v/>
      </c>
      <c r="AG908" s="525" t="str">
        <f t="shared" si="23"/>
        <v/>
      </c>
      <c r="AH908" s="525">
        <f>E907</f>
        <v>0</v>
      </c>
      <c r="AI908" s="525">
        <f>E908</f>
        <v>0</v>
      </c>
    </row>
    <row r="909" spans="1:35" x14ac:dyDescent="0.2">
      <c r="A909" s="531"/>
      <c r="B909" s="303"/>
      <c r="C909" s="303"/>
      <c r="D909" s="303"/>
      <c r="E909" s="303"/>
      <c r="F909" s="303"/>
      <c r="G909" s="303"/>
      <c r="H909" s="303"/>
      <c r="I909" s="303"/>
      <c r="J909" s="303"/>
      <c r="K909" s="303"/>
      <c r="L909" s="303"/>
      <c r="M909" s="303"/>
      <c r="N909" s="303"/>
      <c r="O909" s="303"/>
      <c r="P909" s="303"/>
      <c r="Q909" s="303"/>
      <c r="R909" s="303"/>
      <c r="S909" s="303"/>
      <c r="T909" s="303"/>
      <c r="U909" s="303"/>
      <c r="V909" s="303"/>
      <c r="W909" s="303"/>
      <c r="X909" s="303"/>
      <c r="Y909" s="303"/>
      <c r="Z909" s="532"/>
      <c r="AA909" s="530"/>
      <c r="AB909" s="525" t="str">
        <f t="shared" si="18"/>
        <v/>
      </c>
      <c r="AC909" s="525" t="str">
        <f t="shared" si="19"/>
        <v/>
      </c>
      <c r="AD909" s="525" t="str">
        <f t="shared" si="20"/>
        <v/>
      </c>
      <c r="AE909" s="525" t="str">
        <f t="shared" si="21"/>
        <v/>
      </c>
      <c r="AF909" s="525" t="str">
        <f t="shared" si="22"/>
        <v/>
      </c>
      <c r="AG909" s="525" t="str">
        <f t="shared" si="23"/>
        <v/>
      </c>
      <c r="AH909" s="525">
        <f>E910</f>
        <v>0</v>
      </c>
      <c r="AI909" s="525">
        <f>E911</f>
        <v>0</v>
      </c>
    </row>
    <row r="910" spans="1:35" x14ac:dyDescent="0.2">
      <c r="A910" s="531"/>
      <c r="B910" s="303"/>
      <c r="C910" s="303"/>
      <c r="D910" s="303"/>
      <c r="E910" s="303"/>
      <c r="F910" s="303"/>
      <c r="G910" s="303"/>
      <c r="H910" s="303"/>
      <c r="I910" s="303"/>
      <c r="J910" s="303"/>
      <c r="K910" s="303"/>
      <c r="L910" s="303"/>
      <c r="M910" s="303"/>
      <c r="N910" s="303"/>
      <c r="O910" s="303"/>
      <c r="P910" s="303"/>
      <c r="Q910" s="303"/>
      <c r="R910" s="303"/>
      <c r="S910" s="303"/>
      <c r="T910" s="303"/>
      <c r="U910" s="303"/>
      <c r="V910" s="303"/>
      <c r="W910" s="303"/>
      <c r="X910" s="303"/>
      <c r="Y910" s="303"/>
      <c r="Z910" s="532"/>
      <c r="AA910" s="530"/>
      <c r="AB910" s="525" t="str">
        <f t="shared" si="18"/>
        <v/>
      </c>
      <c r="AC910" s="525" t="str">
        <f t="shared" si="19"/>
        <v/>
      </c>
      <c r="AD910" s="525" t="str">
        <f t="shared" si="20"/>
        <v/>
      </c>
      <c r="AE910" s="525" t="str">
        <f t="shared" si="21"/>
        <v/>
      </c>
      <c r="AF910" s="525" t="str">
        <f t="shared" si="22"/>
        <v/>
      </c>
      <c r="AG910" s="525" t="str">
        <f t="shared" si="23"/>
        <v/>
      </c>
      <c r="AH910" s="525">
        <f>E910</f>
        <v>0</v>
      </c>
      <c r="AI910" s="525">
        <f>E911</f>
        <v>0</v>
      </c>
    </row>
    <row r="911" spans="1:35" x14ac:dyDescent="0.2">
      <c r="A911" s="531"/>
      <c r="B911" s="303"/>
      <c r="C911" s="303"/>
      <c r="D911" s="303"/>
      <c r="E911" s="303"/>
      <c r="F911" s="303"/>
      <c r="G911" s="303"/>
      <c r="H911" s="303"/>
      <c r="I911" s="303"/>
      <c r="J911" s="303"/>
      <c r="K911" s="303"/>
      <c r="L911" s="303"/>
      <c r="M911" s="303"/>
      <c r="N911" s="303"/>
      <c r="O911" s="303"/>
      <c r="P911" s="303"/>
      <c r="Q911" s="303"/>
      <c r="R911" s="303"/>
      <c r="S911" s="303"/>
      <c r="T911" s="303"/>
      <c r="U911" s="303"/>
      <c r="V911" s="303"/>
      <c r="W911" s="303"/>
      <c r="X911" s="303"/>
      <c r="Y911" s="303"/>
      <c r="Z911" s="532"/>
      <c r="AA911" s="530"/>
      <c r="AB911" s="525" t="str">
        <f t="shared" si="18"/>
        <v/>
      </c>
      <c r="AC911" s="525" t="str">
        <f t="shared" si="19"/>
        <v/>
      </c>
      <c r="AD911" s="525" t="str">
        <f t="shared" si="20"/>
        <v/>
      </c>
      <c r="AE911" s="525" t="str">
        <f t="shared" si="21"/>
        <v/>
      </c>
      <c r="AF911" s="525" t="str">
        <f t="shared" si="22"/>
        <v/>
      </c>
      <c r="AG911" s="525" t="str">
        <f t="shared" si="23"/>
        <v/>
      </c>
      <c r="AH911" s="525">
        <f>E910</f>
        <v>0</v>
      </c>
      <c r="AI911" s="525">
        <f>E911</f>
        <v>0</v>
      </c>
    </row>
    <row r="912" spans="1:35" x14ac:dyDescent="0.2">
      <c r="A912" s="531"/>
      <c r="B912" s="303"/>
      <c r="C912" s="303"/>
      <c r="D912" s="303"/>
      <c r="E912" s="303"/>
      <c r="F912" s="303"/>
      <c r="G912" s="303"/>
      <c r="H912" s="303"/>
      <c r="I912" s="303"/>
      <c r="J912" s="303"/>
      <c r="K912" s="303"/>
      <c r="L912" s="303"/>
      <c r="M912" s="303"/>
      <c r="N912" s="303"/>
      <c r="O912" s="303"/>
      <c r="P912" s="303"/>
      <c r="Q912" s="303"/>
      <c r="R912" s="303"/>
      <c r="S912" s="303"/>
      <c r="T912" s="303"/>
      <c r="U912" s="303"/>
      <c r="V912" s="303"/>
      <c r="W912" s="303"/>
      <c r="X912" s="303"/>
      <c r="Y912" s="303"/>
      <c r="Z912" s="532"/>
      <c r="AA912" s="530"/>
      <c r="AB912" s="525" t="str">
        <f t="shared" si="18"/>
        <v/>
      </c>
      <c r="AC912" s="525" t="str">
        <f t="shared" si="19"/>
        <v/>
      </c>
      <c r="AD912" s="525" t="str">
        <f t="shared" si="20"/>
        <v/>
      </c>
      <c r="AE912" s="525" t="str">
        <f t="shared" si="21"/>
        <v/>
      </c>
      <c r="AF912" s="525" t="str">
        <f t="shared" si="22"/>
        <v/>
      </c>
      <c r="AG912" s="525" t="str">
        <f t="shared" si="23"/>
        <v/>
      </c>
      <c r="AH912" s="525">
        <f>E913</f>
        <v>0</v>
      </c>
      <c r="AI912" s="525">
        <f>E914</f>
        <v>0</v>
      </c>
    </row>
    <row r="913" spans="1:35" x14ac:dyDescent="0.2">
      <c r="A913" s="531"/>
      <c r="B913" s="303"/>
      <c r="C913" s="303"/>
      <c r="D913" s="303"/>
      <c r="E913" s="303"/>
      <c r="F913" s="303"/>
      <c r="G913" s="303"/>
      <c r="H913" s="303"/>
      <c r="I913" s="303"/>
      <c r="J913" s="303"/>
      <c r="K913" s="303"/>
      <c r="L913" s="303"/>
      <c r="M913" s="303"/>
      <c r="N913" s="303"/>
      <c r="O913" s="303"/>
      <c r="P913" s="303"/>
      <c r="Q913" s="303"/>
      <c r="R913" s="303"/>
      <c r="S913" s="303"/>
      <c r="T913" s="303"/>
      <c r="U913" s="303"/>
      <c r="V913" s="303"/>
      <c r="W913" s="303"/>
      <c r="X913" s="303"/>
      <c r="Y913" s="303"/>
      <c r="Z913" s="532"/>
      <c r="AA913" s="530"/>
      <c r="AB913" s="525" t="str">
        <f t="shared" si="18"/>
        <v/>
      </c>
      <c r="AC913" s="525" t="str">
        <f t="shared" si="19"/>
        <v/>
      </c>
      <c r="AD913" s="525" t="str">
        <f t="shared" si="20"/>
        <v/>
      </c>
      <c r="AE913" s="525" t="str">
        <f t="shared" si="21"/>
        <v/>
      </c>
      <c r="AF913" s="525" t="str">
        <f t="shared" si="22"/>
        <v/>
      </c>
      <c r="AG913" s="525" t="str">
        <f t="shared" si="23"/>
        <v/>
      </c>
      <c r="AH913" s="525">
        <f>E913</f>
        <v>0</v>
      </c>
      <c r="AI913" s="525">
        <f>E914</f>
        <v>0</v>
      </c>
    </row>
    <row r="914" spans="1:35" x14ac:dyDescent="0.2">
      <c r="A914" s="531"/>
      <c r="B914" s="303"/>
      <c r="C914" s="303"/>
      <c r="D914" s="303"/>
      <c r="E914" s="303"/>
      <c r="F914" s="303"/>
      <c r="G914" s="303"/>
      <c r="H914" s="303"/>
      <c r="I914" s="303"/>
      <c r="J914" s="303"/>
      <c r="K914" s="303"/>
      <c r="L914" s="303"/>
      <c r="M914" s="303"/>
      <c r="N914" s="303"/>
      <c r="O914" s="303"/>
      <c r="P914" s="303"/>
      <c r="Q914" s="303"/>
      <c r="R914" s="303"/>
      <c r="S914" s="303"/>
      <c r="T914" s="303"/>
      <c r="U914" s="303"/>
      <c r="V914" s="303"/>
      <c r="W914" s="303"/>
      <c r="X914" s="303"/>
      <c r="Y914" s="303"/>
      <c r="Z914" s="532"/>
      <c r="AA914" s="530"/>
      <c r="AB914" s="525" t="str">
        <f t="shared" si="18"/>
        <v/>
      </c>
      <c r="AC914" s="525" t="str">
        <f t="shared" si="19"/>
        <v/>
      </c>
      <c r="AD914" s="525" t="str">
        <f t="shared" si="20"/>
        <v/>
      </c>
      <c r="AE914" s="525" t="str">
        <f t="shared" si="21"/>
        <v/>
      </c>
      <c r="AF914" s="525" t="str">
        <f t="shared" si="22"/>
        <v/>
      </c>
      <c r="AG914" s="525" t="str">
        <f t="shared" si="23"/>
        <v/>
      </c>
      <c r="AH914" s="525">
        <f>E913</f>
        <v>0</v>
      </c>
      <c r="AI914" s="525">
        <f>E914</f>
        <v>0</v>
      </c>
    </row>
    <row r="915" spans="1:35" x14ac:dyDescent="0.2">
      <c r="A915" s="531"/>
      <c r="B915" s="303"/>
      <c r="C915" s="303"/>
      <c r="D915" s="303"/>
      <c r="E915" s="303"/>
      <c r="F915" s="303"/>
      <c r="G915" s="303"/>
      <c r="H915" s="303"/>
      <c r="I915" s="303"/>
      <c r="J915" s="303"/>
      <c r="K915" s="303"/>
      <c r="L915" s="303"/>
      <c r="M915" s="303"/>
      <c r="N915" s="303"/>
      <c r="O915" s="303"/>
      <c r="P915" s="303"/>
      <c r="Q915" s="303"/>
      <c r="R915" s="303"/>
      <c r="S915" s="303"/>
      <c r="T915" s="303"/>
      <c r="U915" s="303"/>
      <c r="V915" s="303"/>
      <c r="W915" s="303"/>
      <c r="X915" s="303"/>
      <c r="Y915" s="303"/>
      <c r="Z915" s="532"/>
      <c r="AA915" s="530"/>
      <c r="AB915" s="525" t="str">
        <f t="shared" si="18"/>
        <v/>
      </c>
      <c r="AC915" s="525" t="str">
        <f t="shared" si="19"/>
        <v/>
      </c>
      <c r="AD915" s="525" t="str">
        <f t="shared" si="20"/>
        <v/>
      </c>
      <c r="AE915" s="525" t="str">
        <f t="shared" si="21"/>
        <v/>
      </c>
      <c r="AF915" s="525" t="str">
        <f t="shared" si="22"/>
        <v/>
      </c>
      <c r="AG915" s="525" t="str">
        <f t="shared" si="23"/>
        <v/>
      </c>
      <c r="AH915" s="525">
        <f>E916</f>
        <v>0</v>
      </c>
      <c r="AI915" s="525">
        <f>E917</f>
        <v>0</v>
      </c>
    </row>
    <row r="916" spans="1:35" x14ac:dyDescent="0.2">
      <c r="A916" s="531"/>
      <c r="B916" s="303"/>
      <c r="C916" s="303"/>
      <c r="D916" s="303"/>
      <c r="E916" s="303"/>
      <c r="F916" s="303"/>
      <c r="G916" s="303"/>
      <c r="H916" s="303"/>
      <c r="I916" s="303"/>
      <c r="J916" s="303"/>
      <c r="K916" s="303"/>
      <c r="L916" s="303"/>
      <c r="M916" s="303"/>
      <c r="N916" s="303"/>
      <c r="O916" s="303"/>
      <c r="P916" s="303"/>
      <c r="Q916" s="303"/>
      <c r="R916" s="303"/>
      <c r="S916" s="303"/>
      <c r="T916" s="303"/>
      <c r="U916" s="303"/>
      <c r="V916" s="303"/>
      <c r="W916" s="303"/>
      <c r="X916" s="303"/>
      <c r="Y916" s="303"/>
      <c r="Z916" s="532"/>
      <c r="AA916" s="530"/>
      <c r="AB916" s="525" t="str">
        <f t="shared" si="18"/>
        <v/>
      </c>
      <c r="AC916" s="525" t="str">
        <f t="shared" si="19"/>
        <v/>
      </c>
      <c r="AD916" s="525" t="str">
        <f t="shared" si="20"/>
        <v/>
      </c>
      <c r="AE916" s="525" t="str">
        <f t="shared" si="21"/>
        <v/>
      </c>
      <c r="AF916" s="525" t="str">
        <f t="shared" si="22"/>
        <v/>
      </c>
      <c r="AG916" s="525" t="str">
        <f t="shared" si="23"/>
        <v/>
      </c>
      <c r="AH916" s="525">
        <f>E916</f>
        <v>0</v>
      </c>
      <c r="AI916" s="525">
        <f>E917</f>
        <v>0</v>
      </c>
    </row>
    <row r="917" spans="1:35" x14ac:dyDescent="0.2">
      <c r="A917" s="531"/>
      <c r="B917" s="303"/>
      <c r="C917" s="303"/>
      <c r="D917" s="303"/>
      <c r="E917" s="303"/>
      <c r="F917" s="303"/>
      <c r="G917" s="303"/>
      <c r="H917" s="303"/>
      <c r="I917" s="303"/>
      <c r="J917" s="303"/>
      <c r="K917" s="303"/>
      <c r="L917" s="303"/>
      <c r="M917" s="303"/>
      <c r="N917" s="303"/>
      <c r="O917" s="303"/>
      <c r="P917" s="303"/>
      <c r="Q917" s="303"/>
      <c r="R917" s="303"/>
      <c r="S917" s="303"/>
      <c r="T917" s="303"/>
      <c r="U917" s="303"/>
      <c r="V917" s="303"/>
      <c r="W917" s="303"/>
      <c r="X917" s="303"/>
      <c r="Y917" s="303"/>
      <c r="Z917" s="532"/>
      <c r="AA917" s="530"/>
      <c r="AB917" s="525" t="str">
        <f t="shared" si="18"/>
        <v/>
      </c>
      <c r="AC917" s="525" t="str">
        <f t="shared" si="19"/>
        <v/>
      </c>
      <c r="AD917" s="525" t="str">
        <f t="shared" si="20"/>
        <v/>
      </c>
      <c r="AE917" s="525" t="str">
        <f t="shared" si="21"/>
        <v/>
      </c>
      <c r="AF917" s="525" t="str">
        <f t="shared" si="22"/>
        <v/>
      </c>
      <c r="AG917" s="525" t="str">
        <f t="shared" si="23"/>
        <v/>
      </c>
      <c r="AH917" s="525">
        <f>E916</f>
        <v>0</v>
      </c>
      <c r="AI917" s="525">
        <f>E917</f>
        <v>0</v>
      </c>
    </row>
    <row r="918" spans="1:35" x14ac:dyDescent="0.2">
      <c r="A918" s="531"/>
      <c r="B918" s="303"/>
      <c r="C918" s="303"/>
      <c r="D918" s="303"/>
      <c r="E918" s="303"/>
      <c r="F918" s="303"/>
      <c r="G918" s="303"/>
      <c r="H918" s="303"/>
      <c r="I918" s="303"/>
      <c r="J918" s="303"/>
      <c r="K918" s="303"/>
      <c r="L918" s="303"/>
      <c r="M918" s="303"/>
      <c r="N918" s="303"/>
      <c r="O918" s="303"/>
      <c r="P918" s="303"/>
      <c r="Q918" s="303"/>
      <c r="R918" s="303"/>
      <c r="S918" s="303"/>
      <c r="T918" s="303"/>
      <c r="U918" s="303"/>
      <c r="V918" s="303"/>
      <c r="W918" s="303"/>
      <c r="X918" s="303"/>
      <c r="Y918" s="303"/>
      <c r="Z918" s="532"/>
      <c r="AA918" s="530"/>
      <c r="AB918" s="525" t="str">
        <f t="shared" si="18"/>
        <v/>
      </c>
      <c r="AC918" s="525" t="str">
        <f t="shared" si="19"/>
        <v/>
      </c>
      <c r="AD918" s="525" t="str">
        <f t="shared" si="20"/>
        <v/>
      </c>
      <c r="AE918" s="525" t="str">
        <f t="shared" si="21"/>
        <v/>
      </c>
      <c r="AF918" s="525" t="str">
        <f t="shared" si="22"/>
        <v/>
      </c>
      <c r="AG918" s="525" t="str">
        <f t="shared" si="23"/>
        <v/>
      </c>
      <c r="AH918" s="525">
        <f>E919</f>
        <v>0</v>
      </c>
      <c r="AI918" s="525">
        <f>E920</f>
        <v>0</v>
      </c>
    </row>
    <row r="919" spans="1:35" x14ac:dyDescent="0.2">
      <c r="A919" s="531"/>
      <c r="B919" s="303"/>
      <c r="C919" s="303"/>
      <c r="D919" s="303"/>
      <c r="E919" s="303"/>
      <c r="F919" s="303"/>
      <c r="G919" s="303"/>
      <c r="H919" s="303"/>
      <c r="I919" s="303"/>
      <c r="J919" s="303"/>
      <c r="K919" s="303"/>
      <c r="L919" s="303"/>
      <c r="M919" s="303"/>
      <c r="N919" s="303"/>
      <c r="O919" s="303"/>
      <c r="P919" s="303"/>
      <c r="Q919" s="303"/>
      <c r="R919" s="303"/>
      <c r="S919" s="303"/>
      <c r="T919" s="303"/>
      <c r="U919" s="303"/>
      <c r="V919" s="303"/>
      <c r="W919" s="303"/>
      <c r="X919" s="303"/>
      <c r="Y919" s="303"/>
      <c r="Z919" s="532"/>
      <c r="AA919" s="530"/>
      <c r="AB919" s="525" t="str">
        <f t="shared" si="18"/>
        <v/>
      </c>
      <c r="AC919" s="525" t="str">
        <f t="shared" si="19"/>
        <v/>
      </c>
      <c r="AD919" s="525" t="str">
        <f t="shared" si="20"/>
        <v/>
      </c>
      <c r="AE919" s="525" t="str">
        <f t="shared" si="21"/>
        <v/>
      </c>
      <c r="AF919" s="525" t="str">
        <f t="shared" si="22"/>
        <v/>
      </c>
      <c r="AG919" s="525" t="str">
        <f t="shared" si="23"/>
        <v/>
      </c>
      <c r="AH919" s="525">
        <f>E919</f>
        <v>0</v>
      </c>
      <c r="AI919" s="525">
        <f>E920</f>
        <v>0</v>
      </c>
    </row>
    <row r="920" spans="1:35" x14ac:dyDescent="0.2">
      <c r="A920" s="531"/>
      <c r="B920" s="303"/>
      <c r="C920" s="303"/>
      <c r="D920" s="303"/>
      <c r="E920" s="303"/>
      <c r="F920" s="303"/>
      <c r="G920" s="303"/>
      <c r="H920" s="303"/>
      <c r="I920" s="303"/>
      <c r="J920" s="303"/>
      <c r="K920" s="303"/>
      <c r="L920" s="303"/>
      <c r="M920" s="303"/>
      <c r="N920" s="303"/>
      <c r="O920" s="303"/>
      <c r="P920" s="303"/>
      <c r="Q920" s="303"/>
      <c r="R920" s="303"/>
      <c r="S920" s="303"/>
      <c r="T920" s="303"/>
      <c r="U920" s="303"/>
      <c r="V920" s="303"/>
      <c r="W920" s="303"/>
      <c r="X920" s="303"/>
      <c r="Y920" s="303"/>
      <c r="Z920" s="532"/>
      <c r="AA920" s="530"/>
      <c r="AB920" s="525" t="str">
        <f t="shared" si="18"/>
        <v/>
      </c>
      <c r="AC920" s="525" t="str">
        <f t="shared" si="19"/>
        <v/>
      </c>
      <c r="AD920" s="525" t="str">
        <f t="shared" si="20"/>
        <v/>
      </c>
      <c r="AE920" s="525" t="str">
        <f t="shared" si="21"/>
        <v/>
      </c>
      <c r="AF920" s="525" t="str">
        <f t="shared" si="22"/>
        <v/>
      </c>
      <c r="AG920" s="525" t="str">
        <f t="shared" si="23"/>
        <v/>
      </c>
      <c r="AH920" s="525">
        <f>E919</f>
        <v>0</v>
      </c>
      <c r="AI920" s="525">
        <f>E920</f>
        <v>0</v>
      </c>
    </row>
    <row r="921" spans="1:35" x14ac:dyDescent="0.2">
      <c r="A921" s="531"/>
      <c r="B921" s="303"/>
      <c r="C921" s="303"/>
      <c r="D921" s="303"/>
      <c r="E921" s="303"/>
      <c r="F921" s="303"/>
      <c r="G921" s="303"/>
      <c r="H921" s="303"/>
      <c r="I921" s="303"/>
      <c r="J921" s="303"/>
      <c r="K921" s="303"/>
      <c r="L921" s="303"/>
      <c r="M921" s="303"/>
      <c r="N921" s="303"/>
      <c r="O921" s="303"/>
      <c r="P921" s="303"/>
      <c r="Q921" s="303"/>
      <c r="R921" s="303"/>
      <c r="S921" s="303"/>
      <c r="T921" s="303"/>
      <c r="U921" s="303"/>
      <c r="V921" s="303"/>
      <c r="W921" s="303"/>
      <c r="X921" s="303"/>
      <c r="Y921" s="303"/>
      <c r="Z921" s="532"/>
      <c r="AA921" s="530"/>
      <c r="AB921" s="525" t="str">
        <f t="shared" si="18"/>
        <v/>
      </c>
      <c r="AC921" s="525" t="str">
        <f t="shared" si="19"/>
        <v/>
      </c>
      <c r="AD921" s="525" t="str">
        <f t="shared" si="20"/>
        <v/>
      </c>
      <c r="AE921" s="525" t="str">
        <f t="shared" si="21"/>
        <v/>
      </c>
      <c r="AF921" s="525" t="str">
        <f t="shared" si="22"/>
        <v/>
      </c>
      <c r="AG921" s="525" t="str">
        <f t="shared" si="23"/>
        <v/>
      </c>
      <c r="AH921" s="525">
        <f>E922</f>
        <v>0</v>
      </c>
      <c r="AI921" s="525">
        <f>E923</f>
        <v>0</v>
      </c>
    </row>
    <row r="922" spans="1:35" x14ac:dyDescent="0.2">
      <c r="A922" s="531"/>
      <c r="B922" s="303"/>
      <c r="C922" s="303"/>
      <c r="D922" s="303"/>
      <c r="E922" s="303"/>
      <c r="F922" s="303"/>
      <c r="G922" s="303"/>
      <c r="H922" s="303"/>
      <c r="I922" s="303"/>
      <c r="J922" s="303"/>
      <c r="K922" s="303"/>
      <c r="L922" s="303"/>
      <c r="M922" s="303"/>
      <c r="N922" s="303"/>
      <c r="O922" s="303"/>
      <c r="P922" s="303"/>
      <c r="Q922" s="303"/>
      <c r="R922" s="303"/>
      <c r="S922" s="303"/>
      <c r="T922" s="303"/>
      <c r="U922" s="303"/>
      <c r="V922" s="303"/>
      <c r="W922" s="303"/>
      <c r="X922" s="303"/>
      <c r="Y922" s="303"/>
      <c r="Z922" s="532"/>
      <c r="AA922" s="530"/>
      <c r="AB922" s="525" t="str">
        <f t="shared" si="18"/>
        <v/>
      </c>
      <c r="AC922" s="525" t="str">
        <f t="shared" si="19"/>
        <v/>
      </c>
      <c r="AD922" s="525" t="str">
        <f t="shared" si="20"/>
        <v/>
      </c>
      <c r="AE922" s="525" t="str">
        <f t="shared" si="21"/>
        <v/>
      </c>
      <c r="AF922" s="525" t="str">
        <f t="shared" si="22"/>
        <v/>
      </c>
      <c r="AG922" s="525" t="str">
        <f t="shared" si="23"/>
        <v/>
      </c>
      <c r="AH922" s="525">
        <f>E922</f>
        <v>0</v>
      </c>
      <c r="AI922" s="525">
        <f>E923</f>
        <v>0</v>
      </c>
    </row>
    <row r="923" spans="1:35" x14ac:dyDescent="0.2">
      <c r="A923" s="531"/>
      <c r="B923" s="303"/>
      <c r="C923" s="303"/>
      <c r="D923" s="303"/>
      <c r="E923" s="303"/>
      <c r="F923" s="303"/>
      <c r="G923" s="303"/>
      <c r="H923" s="303"/>
      <c r="I923" s="303"/>
      <c r="J923" s="303"/>
      <c r="K923" s="303"/>
      <c r="L923" s="303"/>
      <c r="M923" s="303"/>
      <c r="N923" s="303"/>
      <c r="O923" s="303"/>
      <c r="P923" s="303"/>
      <c r="Q923" s="303"/>
      <c r="R923" s="303"/>
      <c r="S923" s="303"/>
      <c r="T923" s="303"/>
      <c r="U923" s="303"/>
      <c r="V923" s="303"/>
      <c r="W923" s="303"/>
      <c r="X923" s="303"/>
      <c r="Y923" s="303"/>
      <c r="Z923" s="532"/>
      <c r="AA923" s="530"/>
      <c r="AB923" s="525" t="str">
        <f t="shared" si="18"/>
        <v/>
      </c>
      <c r="AC923" s="525" t="str">
        <f t="shared" si="19"/>
        <v/>
      </c>
      <c r="AD923" s="525" t="str">
        <f t="shared" si="20"/>
        <v/>
      </c>
      <c r="AE923" s="525" t="str">
        <f t="shared" si="21"/>
        <v/>
      </c>
      <c r="AF923" s="525" t="str">
        <f t="shared" si="22"/>
        <v/>
      </c>
      <c r="AG923" s="525" t="str">
        <f t="shared" si="23"/>
        <v/>
      </c>
      <c r="AH923" s="525">
        <f>E922</f>
        <v>0</v>
      </c>
      <c r="AI923" s="525">
        <f>E923</f>
        <v>0</v>
      </c>
    </row>
    <row r="924" spans="1:35" x14ac:dyDescent="0.2">
      <c r="A924" s="531"/>
      <c r="B924" s="303"/>
      <c r="C924" s="303"/>
      <c r="D924" s="303"/>
      <c r="E924" s="303"/>
      <c r="F924" s="303"/>
      <c r="G924" s="303"/>
      <c r="H924" s="303"/>
      <c r="I924" s="303"/>
      <c r="J924" s="303"/>
      <c r="K924" s="303"/>
      <c r="L924" s="303"/>
      <c r="M924" s="303"/>
      <c r="N924" s="303"/>
      <c r="O924" s="303"/>
      <c r="P924" s="303"/>
      <c r="Q924" s="303"/>
      <c r="R924" s="303"/>
      <c r="S924" s="303"/>
      <c r="T924" s="303"/>
      <c r="U924" s="303"/>
      <c r="V924" s="303"/>
      <c r="W924" s="303"/>
      <c r="X924" s="303"/>
      <c r="Y924" s="303"/>
      <c r="Z924" s="532"/>
      <c r="AA924" s="530"/>
      <c r="AB924" s="525" t="str">
        <f t="shared" si="18"/>
        <v/>
      </c>
      <c r="AC924" s="525" t="str">
        <f t="shared" si="19"/>
        <v/>
      </c>
      <c r="AD924" s="525" t="str">
        <f t="shared" si="20"/>
        <v/>
      </c>
      <c r="AE924" s="525" t="str">
        <f t="shared" si="21"/>
        <v/>
      </c>
      <c r="AF924" s="525" t="str">
        <f t="shared" si="22"/>
        <v/>
      </c>
      <c r="AG924" s="525" t="str">
        <f t="shared" si="23"/>
        <v/>
      </c>
      <c r="AH924" s="525">
        <f>E925</f>
        <v>0</v>
      </c>
      <c r="AI924" s="525">
        <f>E926</f>
        <v>0</v>
      </c>
    </row>
    <row r="925" spans="1:35" x14ac:dyDescent="0.2">
      <c r="A925" s="531"/>
      <c r="B925" s="303"/>
      <c r="C925" s="303"/>
      <c r="D925" s="303"/>
      <c r="E925" s="303"/>
      <c r="F925" s="303"/>
      <c r="G925" s="303"/>
      <c r="H925" s="303"/>
      <c r="I925" s="303"/>
      <c r="J925" s="303"/>
      <c r="K925" s="303"/>
      <c r="L925" s="303"/>
      <c r="M925" s="303"/>
      <c r="N925" s="303"/>
      <c r="O925" s="303"/>
      <c r="P925" s="303"/>
      <c r="Q925" s="303"/>
      <c r="R925" s="303"/>
      <c r="S925" s="303"/>
      <c r="T925" s="303"/>
      <c r="U925" s="303"/>
      <c r="V925" s="303"/>
      <c r="W925" s="303"/>
      <c r="X925" s="303"/>
      <c r="Y925" s="303"/>
      <c r="Z925" s="532"/>
      <c r="AA925" s="530"/>
      <c r="AB925" s="525" t="str">
        <f t="shared" si="18"/>
        <v/>
      </c>
      <c r="AC925" s="525" t="str">
        <f t="shared" si="19"/>
        <v/>
      </c>
      <c r="AD925" s="525" t="str">
        <f t="shared" si="20"/>
        <v/>
      </c>
      <c r="AE925" s="525" t="str">
        <f t="shared" si="21"/>
        <v/>
      </c>
      <c r="AF925" s="525" t="str">
        <f t="shared" si="22"/>
        <v/>
      </c>
      <c r="AG925" s="525" t="str">
        <f t="shared" si="23"/>
        <v/>
      </c>
      <c r="AH925" s="525">
        <f>E925</f>
        <v>0</v>
      </c>
      <c r="AI925" s="525">
        <f>E926</f>
        <v>0</v>
      </c>
    </row>
    <row r="926" spans="1:35" x14ac:dyDescent="0.2">
      <c r="A926" s="531"/>
      <c r="B926" s="303"/>
      <c r="C926" s="303"/>
      <c r="D926" s="303"/>
      <c r="E926" s="303"/>
      <c r="F926" s="303"/>
      <c r="G926" s="303"/>
      <c r="H926" s="303"/>
      <c r="I926" s="303"/>
      <c r="J926" s="303"/>
      <c r="K926" s="303"/>
      <c r="L926" s="303"/>
      <c r="M926" s="303"/>
      <c r="N926" s="303"/>
      <c r="O926" s="303"/>
      <c r="P926" s="303"/>
      <c r="Q926" s="303"/>
      <c r="R926" s="303"/>
      <c r="S926" s="303"/>
      <c r="T926" s="303"/>
      <c r="U926" s="303"/>
      <c r="V926" s="303"/>
      <c r="W926" s="303"/>
      <c r="X926" s="303"/>
      <c r="Y926" s="303"/>
      <c r="Z926" s="532"/>
      <c r="AA926" s="530"/>
      <c r="AB926" s="525" t="str">
        <f t="shared" si="18"/>
        <v/>
      </c>
      <c r="AC926" s="525" t="str">
        <f t="shared" si="19"/>
        <v/>
      </c>
      <c r="AD926" s="525" t="str">
        <f t="shared" si="20"/>
        <v/>
      </c>
      <c r="AE926" s="525" t="str">
        <f t="shared" si="21"/>
        <v/>
      </c>
      <c r="AF926" s="525" t="str">
        <f t="shared" si="22"/>
        <v/>
      </c>
      <c r="AG926" s="525" t="str">
        <f t="shared" si="23"/>
        <v/>
      </c>
      <c r="AH926" s="525">
        <f>E925</f>
        <v>0</v>
      </c>
      <c r="AI926" s="525">
        <f>E926</f>
        <v>0</v>
      </c>
    </row>
    <row r="927" spans="1:35" x14ac:dyDescent="0.2">
      <c r="A927" s="531"/>
      <c r="B927" s="303"/>
      <c r="C927" s="303"/>
      <c r="D927" s="303"/>
      <c r="E927" s="303"/>
      <c r="F927" s="303"/>
      <c r="G927" s="303"/>
      <c r="H927" s="303"/>
      <c r="I927" s="303"/>
      <c r="J927" s="303"/>
      <c r="K927" s="303"/>
      <c r="L927" s="303"/>
      <c r="M927" s="303"/>
      <c r="N927" s="303"/>
      <c r="O927" s="303"/>
      <c r="P927" s="303"/>
      <c r="Q927" s="303"/>
      <c r="R927" s="303"/>
      <c r="S927" s="303"/>
      <c r="T927" s="303"/>
      <c r="U927" s="303"/>
      <c r="V927" s="303"/>
      <c r="W927" s="303"/>
      <c r="X927" s="303"/>
      <c r="Y927" s="303"/>
      <c r="Z927" s="532"/>
      <c r="AA927" s="530"/>
      <c r="AB927" s="525" t="str">
        <f t="shared" si="18"/>
        <v/>
      </c>
      <c r="AC927" s="525" t="str">
        <f t="shared" si="19"/>
        <v/>
      </c>
      <c r="AD927" s="525" t="str">
        <f t="shared" si="20"/>
        <v/>
      </c>
      <c r="AE927" s="525" t="str">
        <f t="shared" si="21"/>
        <v/>
      </c>
      <c r="AF927" s="525" t="str">
        <f t="shared" si="22"/>
        <v/>
      </c>
      <c r="AG927" s="525" t="str">
        <f t="shared" si="23"/>
        <v/>
      </c>
      <c r="AH927" s="525">
        <f>E928</f>
        <v>0</v>
      </c>
      <c r="AI927" s="525">
        <f>E929</f>
        <v>0</v>
      </c>
    </row>
    <row r="928" spans="1:35" x14ac:dyDescent="0.2">
      <c r="A928" s="531"/>
      <c r="B928" s="303"/>
      <c r="C928" s="303"/>
      <c r="D928" s="303"/>
      <c r="E928" s="303"/>
      <c r="F928" s="303"/>
      <c r="G928" s="303"/>
      <c r="H928" s="303"/>
      <c r="I928" s="303"/>
      <c r="J928" s="303"/>
      <c r="K928" s="303"/>
      <c r="L928" s="303"/>
      <c r="M928" s="303"/>
      <c r="N928" s="303"/>
      <c r="O928" s="303"/>
      <c r="P928" s="303"/>
      <c r="Q928" s="303"/>
      <c r="R928" s="303"/>
      <c r="S928" s="303"/>
      <c r="T928" s="303"/>
      <c r="U928" s="303"/>
      <c r="V928" s="303"/>
      <c r="W928" s="303"/>
      <c r="X928" s="303"/>
      <c r="Y928" s="303"/>
      <c r="Z928" s="532"/>
      <c r="AA928" s="530"/>
      <c r="AB928" s="525" t="str">
        <f t="shared" si="18"/>
        <v/>
      </c>
      <c r="AC928" s="525" t="str">
        <f t="shared" si="19"/>
        <v/>
      </c>
      <c r="AD928" s="525" t="str">
        <f t="shared" si="20"/>
        <v/>
      </c>
      <c r="AE928" s="525" t="str">
        <f t="shared" si="21"/>
        <v/>
      </c>
      <c r="AF928" s="525" t="str">
        <f t="shared" si="22"/>
        <v/>
      </c>
      <c r="AG928" s="525" t="str">
        <f t="shared" si="23"/>
        <v/>
      </c>
      <c r="AH928" s="525">
        <f>E928</f>
        <v>0</v>
      </c>
      <c r="AI928" s="525">
        <f>E929</f>
        <v>0</v>
      </c>
    </row>
    <row r="929" spans="1:35" x14ac:dyDescent="0.2">
      <c r="A929" s="531"/>
      <c r="B929" s="303"/>
      <c r="C929" s="303"/>
      <c r="D929" s="303"/>
      <c r="E929" s="303"/>
      <c r="F929" s="303"/>
      <c r="G929" s="303"/>
      <c r="H929" s="303"/>
      <c r="I929" s="303"/>
      <c r="J929" s="303"/>
      <c r="K929" s="303"/>
      <c r="L929" s="303"/>
      <c r="M929" s="303"/>
      <c r="N929" s="303"/>
      <c r="O929" s="303"/>
      <c r="P929" s="303"/>
      <c r="Q929" s="303"/>
      <c r="R929" s="303"/>
      <c r="S929" s="303"/>
      <c r="T929" s="303"/>
      <c r="U929" s="303"/>
      <c r="V929" s="303"/>
      <c r="W929" s="303"/>
      <c r="X929" s="303"/>
      <c r="Y929" s="303"/>
      <c r="Z929" s="532"/>
      <c r="AA929" s="530"/>
      <c r="AB929" s="525" t="str">
        <f t="shared" si="18"/>
        <v/>
      </c>
      <c r="AC929" s="525" t="str">
        <f t="shared" si="19"/>
        <v/>
      </c>
      <c r="AD929" s="525" t="str">
        <f t="shared" si="20"/>
        <v/>
      </c>
      <c r="AE929" s="525" t="str">
        <f t="shared" si="21"/>
        <v/>
      </c>
      <c r="AF929" s="525" t="str">
        <f t="shared" si="22"/>
        <v/>
      </c>
      <c r="AG929" s="525" t="str">
        <f t="shared" si="23"/>
        <v/>
      </c>
      <c r="AH929" s="525">
        <f>E928</f>
        <v>0</v>
      </c>
      <c r="AI929" s="525">
        <f>E929</f>
        <v>0</v>
      </c>
    </row>
    <row r="930" spans="1:35" x14ac:dyDescent="0.2">
      <c r="A930" s="531"/>
      <c r="B930" s="303"/>
      <c r="C930" s="303"/>
      <c r="D930" s="303"/>
      <c r="E930" s="303"/>
      <c r="F930" s="303"/>
      <c r="G930" s="303"/>
      <c r="H930" s="303"/>
      <c r="I930" s="303"/>
      <c r="J930" s="303"/>
      <c r="K930" s="303"/>
      <c r="L930" s="303"/>
      <c r="M930" s="303"/>
      <c r="N930" s="303"/>
      <c r="O930" s="303"/>
      <c r="P930" s="303"/>
      <c r="Q930" s="303"/>
      <c r="R930" s="303"/>
      <c r="S930" s="303"/>
      <c r="T930" s="303"/>
      <c r="U930" s="303"/>
      <c r="V930" s="303"/>
      <c r="W930" s="303"/>
      <c r="X930" s="303"/>
      <c r="Y930" s="303"/>
      <c r="Z930" s="532"/>
      <c r="AA930" s="530"/>
      <c r="AB930" s="525" t="str">
        <f t="shared" si="18"/>
        <v/>
      </c>
      <c r="AC930" s="525" t="str">
        <f t="shared" si="19"/>
        <v/>
      </c>
      <c r="AD930" s="525" t="str">
        <f t="shared" si="20"/>
        <v/>
      </c>
      <c r="AE930" s="525" t="str">
        <f t="shared" si="21"/>
        <v/>
      </c>
      <c r="AF930" s="525" t="str">
        <f t="shared" si="22"/>
        <v/>
      </c>
      <c r="AG930" s="525" t="str">
        <f t="shared" si="23"/>
        <v/>
      </c>
      <c r="AH930" s="525">
        <f>E931</f>
        <v>0</v>
      </c>
      <c r="AI930" s="525">
        <f>E932</f>
        <v>0</v>
      </c>
    </row>
    <row r="931" spans="1:35" x14ac:dyDescent="0.2">
      <c r="A931" s="531"/>
      <c r="B931" s="303"/>
      <c r="C931" s="303"/>
      <c r="D931" s="303"/>
      <c r="E931" s="303"/>
      <c r="F931" s="303"/>
      <c r="G931" s="303"/>
      <c r="H931" s="303"/>
      <c r="I931" s="303"/>
      <c r="J931" s="303"/>
      <c r="K931" s="303"/>
      <c r="L931" s="303"/>
      <c r="M931" s="303"/>
      <c r="N931" s="303"/>
      <c r="O931" s="303"/>
      <c r="P931" s="303"/>
      <c r="Q931" s="303"/>
      <c r="R931" s="303"/>
      <c r="S931" s="303"/>
      <c r="T931" s="303"/>
      <c r="U931" s="303"/>
      <c r="V931" s="303"/>
      <c r="W931" s="303"/>
      <c r="X931" s="303"/>
      <c r="Y931" s="303"/>
      <c r="Z931" s="532"/>
      <c r="AA931" s="530"/>
      <c r="AB931" s="525" t="str">
        <f t="shared" si="18"/>
        <v/>
      </c>
      <c r="AC931" s="525" t="str">
        <f t="shared" si="19"/>
        <v/>
      </c>
      <c r="AD931" s="525" t="str">
        <f t="shared" si="20"/>
        <v/>
      </c>
      <c r="AE931" s="525" t="str">
        <f t="shared" si="21"/>
        <v/>
      </c>
      <c r="AF931" s="525" t="str">
        <f t="shared" si="22"/>
        <v/>
      </c>
      <c r="AG931" s="525" t="str">
        <f t="shared" si="23"/>
        <v/>
      </c>
      <c r="AH931" s="525">
        <f>E931</f>
        <v>0</v>
      </c>
      <c r="AI931" s="525">
        <f>E932</f>
        <v>0</v>
      </c>
    </row>
    <row r="932" spans="1:35" x14ac:dyDescent="0.2">
      <c r="A932" s="531"/>
      <c r="B932" s="303"/>
      <c r="C932" s="303"/>
      <c r="D932" s="303"/>
      <c r="E932" s="303"/>
      <c r="F932" s="303"/>
      <c r="G932" s="303"/>
      <c r="H932" s="303"/>
      <c r="I932" s="303"/>
      <c r="J932" s="303"/>
      <c r="K932" s="303"/>
      <c r="L932" s="303"/>
      <c r="M932" s="303"/>
      <c r="N932" s="303"/>
      <c r="O932" s="303"/>
      <c r="P932" s="303"/>
      <c r="Q932" s="303"/>
      <c r="R932" s="303"/>
      <c r="S932" s="303"/>
      <c r="T932" s="303"/>
      <c r="U932" s="303"/>
      <c r="V932" s="303"/>
      <c r="W932" s="303"/>
      <c r="X932" s="303"/>
      <c r="Y932" s="303"/>
      <c r="Z932" s="532"/>
      <c r="AA932" s="530"/>
      <c r="AB932" s="525" t="str">
        <f t="shared" si="18"/>
        <v/>
      </c>
      <c r="AC932" s="525" t="str">
        <f t="shared" si="19"/>
        <v/>
      </c>
      <c r="AD932" s="525" t="str">
        <f t="shared" si="20"/>
        <v/>
      </c>
      <c r="AE932" s="525" t="str">
        <f t="shared" si="21"/>
        <v/>
      </c>
      <c r="AF932" s="525" t="str">
        <f t="shared" si="22"/>
        <v/>
      </c>
      <c r="AG932" s="525" t="str">
        <f t="shared" si="23"/>
        <v/>
      </c>
      <c r="AH932" s="525">
        <f>E931</f>
        <v>0</v>
      </c>
      <c r="AI932" s="525">
        <f>E932</f>
        <v>0</v>
      </c>
    </row>
    <row r="933" spans="1:35" x14ac:dyDescent="0.2">
      <c r="A933" s="531"/>
      <c r="B933" s="303"/>
      <c r="C933" s="303"/>
      <c r="D933" s="303"/>
      <c r="E933" s="303"/>
      <c r="F933" s="303"/>
      <c r="G933" s="303"/>
      <c r="H933" s="303"/>
      <c r="I933" s="303"/>
      <c r="J933" s="303"/>
      <c r="K933" s="303"/>
      <c r="L933" s="303"/>
      <c r="M933" s="303"/>
      <c r="N933" s="303"/>
      <c r="O933" s="303"/>
      <c r="P933" s="303"/>
      <c r="Q933" s="303"/>
      <c r="R933" s="303"/>
      <c r="S933" s="303"/>
      <c r="T933" s="303"/>
      <c r="U933" s="303"/>
      <c r="V933" s="303"/>
      <c r="W933" s="303"/>
      <c r="X933" s="303"/>
      <c r="Y933" s="303"/>
      <c r="Z933" s="532"/>
      <c r="AA933" s="530"/>
      <c r="AB933" s="525" t="str">
        <f t="shared" si="18"/>
        <v/>
      </c>
      <c r="AC933" s="525" t="str">
        <f t="shared" si="19"/>
        <v/>
      </c>
      <c r="AD933" s="525" t="str">
        <f t="shared" si="20"/>
        <v/>
      </c>
      <c r="AE933" s="525" t="str">
        <f t="shared" si="21"/>
        <v/>
      </c>
      <c r="AF933" s="525" t="str">
        <f t="shared" si="22"/>
        <v/>
      </c>
      <c r="AG933" s="525" t="str">
        <f t="shared" si="23"/>
        <v/>
      </c>
      <c r="AH933" s="525">
        <f>E934</f>
        <v>0</v>
      </c>
      <c r="AI933" s="525">
        <f>E935</f>
        <v>0</v>
      </c>
    </row>
    <row r="934" spans="1:35" x14ac:dyDescent="0.2">
      <c r="A934" s="531"/>
      <c r="B934" s="303"/>
      <c r="C934" s="303"/>
      <c r="D934" s="303"/>
      <c r="E934" s="303"/>
      <c r="F934" s="303"/>
      <c r="G934" s="303"/>
      <c r="H934" s="303"/>
      <c r="I934" s="303"/>
      <c r="J934" s="303"/>
      <c r="K934" s="303"/>
      <c r="L934" s="303"/>
      <c r="M934" s="303"/>
      <c r="N934" s="303"/>
      <c r="O934" s="303"/>
      <c r="P934" s="303"/>
      <c r="Q934" s="303"/>
      <c r="R934" s="303"/>
      <c r="S934" s="303"/>
      <c r="T934" s="303"/>
      <c r="U934" s="303"/>
      <c r="V934" s="303"/>
      <c r="W934" s="303"/>
      <c r="X934" s="303"/>
      <c r="Y934" s="303"/>
      <c r="Z934" s="532"/>
      <c r="AA934" s="530"/>
      <c r="AB934" s="525" t="str">
        <f t="shared" si="18"/>
        <v/>
      </c>
      <c r="AC934" s="525" t="str">
        <f t="shared" si="19"/>
        <v/>
      </c>
      <c r="AD934" s="525" t="str">
        <f t="shared" si="20"/>
        <v/>
      </c>
      <c r="AE934" s="525" t="str">
        <f t="shared" si="21"/>
        <v/>
      </c>
      <c r="AF934" s="525" t="str">
        <f t="shared" si="22"/>
        <v/>
      </c>
      <c r="AG934" s="525" t="str">
        <f t="shared" si="23"/>
        <v/>
      </c>
      <c r="AH934" s="525">
        <f>E934</f>
        <v>0</v>
      </c>
      <c r="AI934" s="525">
        <f>E935</f>
        <v>0</v>
      </c>
    </row>
    <row r="935" spans="1:35" x14ac:dyDescent="0.2">
      <c r="A935" s="531"/>
      <c r="B935" s="303"/>
      <c r="C935" s="303"/>
      <c r="D935" s="303"/>
      <c r="E935" s="303"/>
      <c r="F935" s="303"/>
      <c r="G935" s="303"/>
      <c r="H935" s="303"/>
      <c r="I935" s="303"/>
      <c r="J935" s="303"/>
      <c r="K935" s="303"/>
      <c r="L935" s="303"/>
      <c r="M935" s="303"/>
      <c r="N935" s="303"/>
      <c r="O935" s="303"/>
      <c r="P935" s="303"/>
      <c r="Q935" s="303"/>
      <c r="R935" s="303"/>
      <c r="S935" s="303"/>
      <c r="T935" s="303"/>
      <c r="U935" s="303"/>
      <c r="V935" s="303"/>
      <c r="W935" s="303"/>
      <c r="X935" s="303"/>
      <c r="Y935" s="303"/>
      <c r="Z935" s="532"/>
      <c r="AA935" s="530"/>
      <c r="AB935" s="525" t="str">
        <f t="shared" si="18"/>
        <v/>
      </c>
      <c r="AC935" s="525" t="str">
        <f t="shared" si="19"/>
        <v/>
      </c>
      <c r="AD935" s="525" t="str">
        <f t="shared" si="20"/>
        <v/>
      </c>
      <c r="AE935" s="525" t="str">
        <f t="shared" si="21"/>
        <v/>
      </c>
      <c r="AF935" s="525" t="str">
        <f t="shared" si="22"/>
        <v/>
      </c>
      <c r="AG935" s="525" t="str">
        <f t="shared" si="23"/>
        <v/>
      </c>
      <c r="AH935" s="525">
        <f>E934</f>
        <v>0</v>
      </c>
      <c r="AI935" s="525">
        <f>E935</f>
        <v>0</v>
      </c>
    </row>
    <row r="936" spans="1:35" x14ac:dyDescent="0.2">
      <c r="A936" s="531"/>
      <c r="B936" s="303"/>
      <c r="C936" s="303"/>
      <c r="D936" s="303"/>
      <c r="E936" s="303"/>
      <c r="F936" s="303"/>
      <c r="G936" s="303"/>
      <c r="H936" s="303"/>
      <c r="I936" s="303"/>
      <c r="J936" s="303"/>
      <c r="K936" s="303"/>
      <c r="L936" s="303"/>
      <c r="M936" s="303"/>
      <c r="N936" s="303"/>
      <c r="O936" s="303"/>
      <c r="P936" s="303"/>
      <c r="Q936" s="303"/>
      <c r="R936" s="303"/>
      <c r="S936" s="303"/>
      <c r="T936" s="303"/>
      <c r="U936" s="303"/>
      <c r="V936" s="303"/>
      <c r="W936" s="303"/>
      <c r="X936" s="303"/>
      <c r="Y936" s="303"/>
      <c r="Z936" s="532"/>
      <c r="AA936" s="530"/>
      <c r="AB936" s="525" t="str">
        <f t="shared" si="18"/>
        <v/>
      </c>
      <c r="AC936" s="525" t="str">
        <f t="shared" si="19"/>
        <v/>
      </c>
      <c r="AD936" s="525" t="str">
        <f t="shared" si="20"/>
        <v/>
      </c>
      <c r="AE936" s="525" t="str">
        <f t="shared" si="21"/>
        <v/>
      </c>
      <c r="AF936" s="525" t="str">
        <f t="shared" si="22"/>
        <v/>
      </c>
      <c r="AG936" s="525" t="str">
        <f t="shared" si="23"/>
        <v/>
      </c>
      <c r="AH936" s="525">
        <f>E937</f>
        <v>0</v>
      </c>
      <c r="AI936" s="525">
        <f>E938</f>
        <v>0</v>
      </c>
    </row>
    <row r="937" spans="1:35" x14ac:dyDescent="0.2">
      <c r="A937" s="531"/>
      <c r="B937" s="303"/>
      <c r="C937" s="303"/>
      <c r="D937" s="303"/>
      <c r="E937" s="303"/>
      <c r="F937" s="303"/>
      <c r="G937" s="303"/>
      <c r="H937" s="303"/>
      <c r="I937" s="303"/>
      <c r="J937" s="303"/>
      <c r="K937" s="303"/>
      <c r="L937" s="303"/>
      <c r="M937" s="303"/>
      <c r="N937" s="303"/>
      <c r="O937" s="303"/>
      <c r="P937" s="303"/>
      <c r="Q937" s="303"/>
      <c r="R937" s="303"/>
      <c r="S937" s="303"/>
      <c r="T937" s="303"/>
      <c r="U937" s="303"/>
      <c r="V937" s="303"/>
      <c r="W937" s="303"/>
      <c r="X937" s="303"/>
      <c r="Y937" s="303"/>
      <c r="Z937" s="532"/>
      <c r="AA937" s="530"/>
      <c r="AB937" s="525" t="str">
        <f t="shared" si="18"/>
        <v/>
      </c>
      <c r="AC937" s="525" t="str">
        <f t="shared" si="19"/>
        <v/>
      </c>
      <c r="AD937" s="525" t="str">
        <f t="shared" si="20"/>
        <v/>
      </c>
      <c r="AE937" s="525" t="str">
        <f t="shared" si="21"/>
        <v/>
      </c>
      <c r="AF937" s="525" t="str">
        <f t="shared" si="22"/>
        <v/>
      </c>
      <c r="AG937" s="525" t="str">
        <f t="shared" si="23"/>
        <v/>
      </c>
      <c r="AH937" s="525">
        <f>E937</f>
        <v>0</v>
      </c>
      <c r="AI937" s="525">
        <f>E938</f>
        <v>0</v>
      </c>
    </row>
    <row r="938" spans="1:35" x14ac:dyDescent="0.2">
      <c r="A938" s="531"/>
      <c r="B938" s="303"/>
      <c r="C938" s="303"/>
      <c r="D938" s="303"/>
      <c r="E938" s="303"/>
      <c r="F938" s="303"/>
      <c r="G938" s="303"/>
      <c r="H938" s="303"/>
      <c r="I938" s="303"/>
      <c r="J938" s="303"/>
      <c r="K938" s="303"/>
      <c r="L938" s="303"/>
      <c r="M938" s="303"/>
      <c r="N938" s="303"/>
      <c r="O938" s="303"/>
      <c r="P938" s="303"/>
      <c r="Q938" s="303"/>
      <c r="R938" s="303"/>
      <c r="S938" s="303"/>
      <c r="T938" s="303"/>
      <c r="U938" s="303"/>
      <c r="V938" s="303"/>
      <c r="W938" s="303"/>
      <c r="X938" s="303"/>
      <c r="Y938" s="303"/>
      <c r="Z938" s="532"/>
      <c r="AA938" s="530"/>
      <c r="AB938" s="525" t="str">
        <f t="shared" si="18"/>
        <v/>
      </c>
      <c r="AC938" s="525" t="str">
        <f t="shared" si="19"/>
        <v/>
      </c>
      <c r="AD938" s="525" t="str">
        <f t="shared" si="20"/>
        <v/>
      </c>
      <c r="AE938" s="525" t="str">
        <f t="shared" si="21"/>
        <v/>
      </c>
      <c r="AF938" s="525" t="str">
        <f t="shared" si="22"/>
        <v/>
      </c>
      <c r="AG938" s="525" t="str">
        <f t="shared" si="23"/>
        <v/>
      </c>
      <c r="AH938" s="525">
        <f>E937</f>
        <v>0</v>
      </c>
      <c r="AI938" s="525">
        <f>E938</f>
        <v>0</v>
      </c>
    </row>
    <row r="939" spans="1:35" x14ac:dyDescent="0.2">
      <c r="A939" s="531"/>
      <c r="B939" s="303"/>
      <c r="C939" s="303"/>
      <c r="D939" s="303"/>
      <c r="E939" s="303"/>
      <c r="F939" s="303"/>
      <c r="G939" s="303"/>
      <c r="H939" s="303"/>
      <c r="I939" s="303"/>
      <c r="J939" s="303"/>
      <c r="K939" s="303"/>
      <c r="L939" s="303"/>
      <c r="M939" s="303"/>
      <c r="N939" s="303"/>
      <c r="O939" s="303"/>
      <c r="P939" s="303"/>
      <c r="Q939" s="303"/>
      <c r="R939" s="303"/>
      <c r="S939" s="303"/>
      <c r="T939" s="303"/>
      <c r="U939" s="303"/>
      <c r="V939" s="303"/>
      <c r="W939" s="303"/>
      <c r="X939" s="303"/>
      <c r="Y939" s="303"/>
      <c r="Z939" s="532"/>
      <c r="AA939" s="530"/>
      <c r="AB939" s="525" t="str">
        <f t="shared" si="18"/>
        <v/>
      </c>
      <c r="AC939" s="525" t="str">
        <f t="shared" si="19"/>
        <v/>
      </c>
      <c r="AD939" s="525" t="str">
        <f t="shared" si="20"/>
        <v/>
      </c>
      <c r="AE939" s="525" t="str">
        <f t="shared" si="21"/>
        <v/>
      </c>
      <c r="AF939" s="525" t="str">
        <f t="shared" si="22"/>
        <v/>
      </c>
      <c r="AG939" s="525" t="str">
        <f t="shared" si="23"/>
        <v/>
      </c>
      <c r="AH939" s="525">
        <f>E940</f>
        <v>0</v>
      </c>
      <c r="AI939" s="525">
        <f>E941</f>
        <v>0</v>
      </c>
    </row>
    <row r="940" spans="1:35" x14ac:dyDescent="0.2">
      <c r="A940" s="531"/>
      <c r="B940" s="303"/>
      <c r="C940" s="303"/>
      <c r="D940" s="303"/>
      <c r="E940" s="303"/>
      <c r="F940" s="303"/>
      <c r="G940" s="303"/>
      <c r="H940" s="303"/>
      <c r="I940" s="303"/>
      <c r="J940" s="303"/>
      <c r="K940" s="303"/>
      <c r="L940" s="303"/>
      <c r="M940" s="303"/>
      <c r="N940" s="303"/>
      <c r="O940" s="303"/>
      <c r="P940" s="303"/>
      <c r="Q940" s="303"/>
      <c r="R940" s="303"/>
      <c r="S940" s="303"/>
      <c r="T940" s="303"/>
      <c r="U940" s="303"/>
      <c r="V940" s="303"/>
      <c r="W940" s="303"/>
      <c r="X940" s="303"/>
      <c r="Y940" s="303"/>
      <c r="Z940" s="532"/>
      <c r="AA940" s="530"/>
      <c r="AB940" s="525" t="str">
        <f t="shared" si="18"/>
        <v/>
      </c>
      <c r="AC940" s="525" t="str">
        <f t="shared" si="19"/>
        <v/>
      </c>
      <c r="AD940" s="525" t="str">
        <f t="shared" si="20"/>
        <v/>
      </c>
      <c r="AE940" s="525" t="str">
        <f t="shared" si="21"/>
        <v/>
      </c>
      <c r="AF940" s="525" t="str">
        <f t="shared" si="22"/>
        <v/>
      </c>
      <c r="AG940" s="525" t="str">
        <f t="shared" si="23"/>
        <v/>
      </c>
      <c r="AH940" s="525">
        <f>E940</f>
        <v>0</v>
      </c>
      <c r="AI940" s="525">
        <f>E941</f>
        <v>0</v>
      </c>
    </row>
    <row r="941" spans="1:35" x14ac:dyDescent="0.2">
      <c r="A941" s="531"/>
      <c r="B941" s="303"/>
      <c r="C941" s="303"/>
      <c r="D941" s="303"/>
      <c r="E941" s="303"/>
      <c r="F941" s="303"/>
      <c r="G941" s="303"/>
      <c r="H941" s="303"/>
      <c r="I941" s="303"/>
      <c r="J941" s="303"/>
      <c r="K941" s="303"/>
      <c r="L941" s="303"/>
      <c r="M941" s="303"/>
      <c r="N941" s="303"/>
      <c r="O941" s="303"/>
      <c r="P941" s="303"/>
      <c r="Q941" s="303"/>
      <c r="R941" s="303"/>
      <c r="S941" s="303"/>
      <c r="T941" s="303"/>
      <c r="U941" s="303"/>
      <c r="V941" s="303"/>
      <c r="W941" s="303"/>
      <c r="X941" s="303"/>
      <c r="Y941" s="303"/>
      <c r="Z941" s="532"/>
      <c r="AA941" s="530"/>
      <c r="AB941" s="525" t="str">
        <f t="shared" si="18"/>
        <v/>
      </c>
      <c r="AC941" s="525" t="str">
        <f t="shared" si="19"/>
        <v/>
      </c>
      <c r="AD941" s="525" t="str">
        <f t="shared" si="20"/>
        <v/>
      </c>
      <c r="AE941" s="525" t="str">
        <f t="shared" si="21"/>
        <v/>
      </c>
      <c r="AF941" s="525" t="str">
        <f t="shared" si="22"/>
        <v/>
      </c>
      <c r="AG941" s="525" t="str">
        <f t="shared" si="23"/>
        <v/>
      </c>
      <c r="AH941" s="525">
        <f>E940</f>
        <v>0</v>
      </c>
      <c r="AI941" s="525">
        <f>E941</f>
        <v>0</v>
      </c>
    </row>
    <row r="942" spans="1:35" x14ac:dyDescent="0.2">
      <c r="A942" s="531"/>
      <c r="B942" s="303"/>
      <c r="C942" s="303"/>
      <c r="D942" s="303"/>
      <c r="E942" s="303"/>
      <c r="F942" s="303"/>
      <c r="G942" s="303"/>
      <c r="H942" s="303"/>
      <c r="I942" s="303"/>
      <c r="J942" s="303"/>
      <c r="K942" s="303"/>
      <c r="L942" s="303"/>
      <c r="M942" s="303"/>
      <c r="N942" s="303"/>
      <c r="O942" s="303"/>
      <c r="P942" s="303"/>
      <c r="Q942" s="303"/>
      <c r="R942" s="303"/>
      <c r="S942" s="303"/>
      <c r="T942" s="303"/>
      <c r="U942" s="303"/>
      <c r="V942" s="303"/>
      <c r="W942" s="303"/>
      <c r="X942" s="303"/>
      <c r="Y942" s="303"/>
      <c r="Z942" s="532"/>
      <c r="AA942" s="530"/>
      <c r="AB942" s="525" t="str">
        <f t="shared" si="18"/>
        <v/>
      </c>
      <c r="AC942" s="525" t="str">
        <f t="shared" si="19"/>
        <v/>
      </c>
      <c r="AD942" s="525" t="str">
        <f t="shared" si="20"/>
        <v/>
      </c>
      <c r="AE942" s="525" t="str">
        <f t="shared" si="21"/>
        <v/>
      </c>
      <c r="AF942" s="525" t="str">
        <f t="shared" si="22"/>
        <v/>
      </c>
      <c r="AG942" s="525" t="str">
        <f t="shared" si="23"/>
        <v/>
      </c>
      <c r="AH942" s="525">
        <f>E943</f>
        <v>0</v>
      </c>
      <c r="AI942" s="525">
        <f>E944</f>
        <v>0</v>
      </c>
    </row>
    <row r="943" spans="1:35" x14ac:dyDescent="0.2">
      <c r="A943" s="531"/>
      <c r="B943" s="303"/>
      <c r="C943" s="303"/>
      <c r="D943" s="303"/>
      <c r="E943" s="303"/>
      <c r="F943" s="303"/>
      <c r="G943" s="303"/>
      <c r="H943" s="303"/>
      <c r="I943" s="303"/>
      <c r="J943" s="303"/>
      <c r="K943" s="303"/>
      <c r="L943" s="303"/>
      <c r="M943" s="303"/>
      <c r="N943" s="303"/>
      <c r="O943" s="303"/>
      <c r="P943" s="303"/>
      <c r="Q943" s="303"/>
      <c r="R943" s="303"/>
      <c r="S943" s="303"/>
      <c r="T943" s="303"/>
      <c r="U943" s="303"/>
      <c r="V943" s="303"/>
      <c r="W943" s="303"/>
      <c r="X943" s="303"/>
      <c r="Y943" s="303"/>
      <c r="Z943" s="532"/>
      <c r="AA943" s="530"/>
      <c r="AB943" s="525" t="str">
        <f t="shared" si="18"/>
        <v/>
      </c>
      <c r="AC943" s="525" t="str">
        <f t="shared" si="19"/>
        <v/>
      </c>
      <c r="AD943" s="525" t="str">
        <f t="shared" si="20"/>
        <v/>
      </c>
      <c r="AE943" s="525" t="str">
        <f t="shared" si="21"/>
        <v/>
      </c>
      <c r="AF943" s="525" t="str">
        <f t="shared" si="22"/>
        <v/>
      </c>
      <c r="AG943" s="525" t="str">
        <f t="shared" si="23"/>
        <v/>
      </c>
      <c r="AH943" s="525">
        <f>E943</f>
        <v>0</v>
      </c>
      <c r="AI943" s="525">
        <f>E944</f>
        <v>0</v>
      </c>
    </row>
    <row r="944" spans="1:35" x14ac:dyDescent="0.2">
      <c r="A944" s="531"/>
      <c r="B944" s="303"/>
      <c r="C944" s="303"/>
      <c r="D944" s="303"/>
      <c r="E944" s="303"/>
      <c r="F944" s="303"/>
      <c r="G944" s="303"/>
      <c r="H944" s="303"/>
      <c r="I944" s="303"/>
      <c r="J944" s="303"/>
      <c r="K944" s="303"/>
      <c r="L944" s="303"/>
      <c r="M944" s="303"/>
      <c r="N944" s="303"/>
      <c r="O944" s="303"/>
      <c r="P944" s="303"/>
      <c r="Q944" s="303"/>
      <c r="R944" s="303"/>
      <c r="S944" s="303"/>
      <c r="T944" s="303"/>
      <c r="U944" s="303"/>
      <c r="V944" s="303"/>
      <c r="W944" s="303"/>
      <c r="X944" s="303"/>
      <c r="Y944" s="303"/>
      <c r="Z944" s="532"/>
      <c r="AA944" s="530"/>
      <c r="AB944" s="525" t="str">
        <f t="shared" si="18"/>
        <v/>
      </c>
      <c r="AC944" s="525" t="str">
        <f t="shared" si="19"/>
        <v/>
      </c>
      <c r="AD944" s="525" t="str">
        <f t="shared" si="20"/>
        <v/>
      </c>
      <c r="AE944" s="525" t="str">
        <f t="shared" si="21"/>
        <v/>
      </c>
      <c r="AF944" s="525" t="str">
        <f t="shared" si="22"/>
        <v/>
      </c>
      <c r="AG944" s="525" t="str">
        <f t="shared" si="23"/>
        <v/>
      </c>
      <c r="AH944" s="525">
        <f>E943</f>
        <v>0</v>
      </c>
      <c r="AI944" s="525">
        <f>E944</f>
        <v>0</v>
      </c>
    </row>
    <row r="945" spans="1:35" x14ac:dyDescent="0.2">
      <c r="A945" s="531"/>
      <c r="B945" s="303"/>
      <c r="C945" s="303"/>
      <c r="D945" s="303"/>
      <c r="E945" s="303"/>
      <c r="F945" s="303"/>
      <c r="G945" s="303"/>
      <c r="H945" s="303"/>
      <c r="I945" s="303"/>
      <c r="J945" s="303"/>
      <c r="K945" s="303"/>
      <c r="L945" s="303"/>
      <c r="M945" s="303"/>
      <c r="N945" s="303"/>
      <c r="O945" s="303"/>
      <c r="P945" s="303"/>
      <c r="Q945" s="303"/>
      <c r="R945" s="303"/>
      <c r="S945" s="303"/>
      <c r="T945" s="303"/>
      <c r="U945" s="303"/>
      <c r="V945" s="303"/>
      <c r="W945" s="303"/>
      <c r="X945" s="303"/>
      <c r="Y945" s="303"/>
      <c r="Z945" s="532"/>
      <c r="AA945" s="530"/>
      <c r="AB945" s="525" t="str">
        <f t="shared" si="18"/>
        <v/>
      </c>
      <c r="AC945" s="525" t="str">
        <f t="shared" si="19"/>
        <v/>
      </c>
      <c r="AD945" s="525" t="str">
        <f t="shared" si="20"/>
        <v/>
      </c>
      <c r="AE945" s="525" t="str">
        <f t="shared" si="21"/>
        <v/>
      </c>
      <c r="AF945" s="525" t="str">
        <f t="shared" si="22"/>
        <v/>
      </c>
      <c r="AG945" s="525" t="str">
        <f t="shared" si="23"/>
        <v/>
      </c>
      <c r="AH945" s="525">
        <f>E946</f>
        <v>0</v>
      </c>
      <c r="AI945" s="525">
        <f>E947</f>
        <v>0</v>
      </c>
    </row>
    <row r="946" spans="1:35" x14ac:dyDescent="0.2">
      <c r="A946" s="531"/>
      <c r="B946" s="303"/>
      <c r="C946" s="303"/>
      <c r="D946" s="303"/>
      <c r="E946" s="303"/>
      <c r="F946" s="303"/>
      <c r="G946" s="303"/>
      <c r="H946" s="303"/>
      <c r="I946" s="303"/>
      <c r="J946" s="303"/>
      <c r="K946" s="303"/>
      <c r="L946" s="303"/>
      <c r="M946" s="303"/>
      <c r="N946" s="303"/>
      <c r="O946" s="303"/>
      <c r="P946" s="303"/>
      <c r="Q946" s="303"/>
      <c r="R946" s="303"/>
      <c r="S946" s="303"/>
      <c r="T946" s="303"/>
      <c r="U946" s="303"/>
      <c r="V946" s="303"/>
      <c r="W946" s="303"/>
      <c r="X946" s="303"/>
      <c r="Y946" s="303"/>
      <c r="Z946" s="532"/>
      <c r="AA946" s="530"/>
      <c r="AB946" s="525" t="str">
        <f t="shared" si="18"/>
        <v/>
      </c>
      <c r="AC946" s="525" t="str">
        <f t="shared" si="19"/>
        <v/>
      </c>
      <c r="AD946" s="525" t="str">
        <f t="shared" si="20"/>
        <v/>
      </c>
      <c r="AE946" s="525" t="str">
        <f t="shared" si="21"/>
        <v/>
      </c>
      <c r="AF946" s="525" t="str">
        <f t="shared" si="22"/>
        <v/>
      </c>
      <c r="AG946" s="525" t="str">
        <f t="shared" si="23"/>
        <v/>
      </c>
      <c r="AH946" s="525">
        <f>E946</f>
        <v>0</v>
      </c>
      <c r="AI946" s="525">
        <f>E947</f>
        <v>0</v>
      </c>
    </row>
    <row r="947" spans="1:35" x14ac:dyDescent="0.2">
      <c r="A947" s="531"/>
      <c r="B947" s="303"/>
      <c r="C947" s="303"/>
      <c r="D947" s="303"/>
      <c r="E947" s="303"/>
      <c r="F947" s="303"/>
      <c r="G947" s="303"/>
      <c r="H947" s="303"/>
      <c r="I947" s="303"/>
      <c r="J947" s="303"/>
      <c r="K947" s="303"/>
      <c r="L947" s="303"/>
      <c r="M947" s="303"/>
      <c r="N947" s="303"/>
      <c r="O947" s="303"/>
      <c r="P947" s="303"/>
      <c r="Q947" s="303"/>
      <c r="R947" s="303"/>
      <c r="S947" s="303"/>
      <c r="T947" s="303"/>
      <c r="U947" s="303"/>
      <c r="V947" s="303"/>
      <c r="W947" s="303"/>
      <c r="X947" s="303"/>
      <c r="Y947" s="303"/>
      <c r="Z947" s="532"/>
      <c r="AA947" s="530"/>
      <c r="AB947" s="525" t="str">
        <f t="shared" si="18"/>
        <v/>
      </c>
      <c r="AC947" s="525" t="str">
        <f t="shared" si="19"/>
        <v/>
      </c>
      <c r="AD947" s="525" t="str">
        <f t="shared" si="20"/>
        <v/>
      </c>
      <c r="AE947" s="525" t="str">
        <f t="shared" si="21"/>
        <v/>
      </c>
      <c r="AF947" s="525" t="str">
        <f t="shared" si="22"/>
        <v/>
      </c>
      <c r="AG947" s="525" t="str">
        <f t="shared" si="23"/>
        <v/>
      </c>
      <c r="AH947" s="525">
        <f>E946</f>
        <v>0</v>
      </c>
      <c r="AI947" s="525">
        <f>E947</f>
        <v>0</v>
      </c>
    </row>
    <row r="948" spans="1:35" x14ac:dyDescent="0.2">
      <c r="A948" s="531"/>
      <c r="B948" s="303"/>
      <c r="C948" s="303"/>
      <c r="D948" s="303"/>
      <c r="E948" s="303"/>
      <c r="F948" s="303"/>
      <c r="G948" s="303"/>
      <c r="H948" s="303"/>
      <c r="I948" s="303"/>
      <c r="J948" s="303"/>
      <c r="K948" s="303"/>
      <c r="L948" s="303"/>
      <c r="M948" s="303"/>
      <c r="N948" s="303"/>
      <c r="O948" s="303"/>
      <c r="P948" s="303"/>
      <c r="Q948" s="303"/>
      <c r="R948" s="303"/>
      <c r="S948" s="303"/>
      <c r="T948" s="303"/>
      <c r="U948" s="303"/>
      <c r="V948" s="303"/>
      <c r="W948" s="303"/>
      <c r="X948" s="303"/>
      <c r="Y948" s="303"/>
      <c r="Z948" s="532"/>
      <c r="AA948" s="530"/>
      <c r="AB948" s="525" t="str">
        <f t="shared" si="18"/>
        <v/>
      </c>
      <c r="AC948" s="525" t="str">
        <f t="shared" si="19"/>
        <v/>
      </c>
      <c r="AD948" s="525" t="str">
        <f t="shared" si="20"/>
        <v/>
      </c>
      <c r="AE948" s="525" t="str">
        <f t="shared" si="21"/>
        <v/>
      </c>
      <c r="AF948" s="525" t="str">
        <f t="shared" si="22"/>
        <v/>
      </c>
      <c r="AG948" s="525" t="str">
        <f t="shared" si="23"/>
        <v/>
      </c>
      <c r="AH948" s="525">
        <f>E949</f>
        <v>0</v>
      </c>
      <c r="AI948" s="525">
        <f>E950</f>
        <v>0</v>
      </c>
    </row>
    <row r="949" spans="1:35" x14ac:dyDescent="0.2">
      <c r="A949" s="531"/>
      <c r="B949" s="303"/>
      <c r="C949" s="303"/>
      <c r="D949" s="303"/>
      <c r="E949" s="303"/>
      <c r="F949" s="303"/>
      <c r="G949" s="303"/>
      <c r="H949" s="303"/>
      <c r="I949" s="303"/>
      <c r="J949" s="303"/>
      <c r="K949" s="303"/>
      <c r="L949" s="303"/>
      <c r="M949" s="303"/>
      <c r="N949" s="303"/>
      <c r="O949" s="303"/>
      <c r="P949" s="303"/>
      <c r="Q949" s="303"/>
      <c r="R949" s="303"/>
      <c r="S949" s="303"/>
      <c r="T949" s="303"/>
      <c r="U949" s="303"/>
      <c r="V949" s="303"/>
      <c r="W949" s="303"/>
      <c r="X949" s="303"/>
      <c r="Y949" s="303"/>
      <c r="Z949" s="532"/>
      <c r="AA949" s="530"/>
      <c r="AB949" s="525" t="str">
        <f t="shared" si="18"/>
        <v/>
      </c>
      <c r="AC949" s="525" t="str">
        <f t="shared" si="19"/>
        <v/>
      </c>
      <c r="AD949" s="525" t="str">
        <f t="shared" si="20"/>
        <v/>
      </c>
      <c r="AE949" s="525" t="str">
        <f t="shared" si="21"/>
        <v/>
      </c>
      <c r="AF949" s="525" t="str">
        <f t="shared" si="22"/>
        <v/>
      </c>
      <c r="AG949" s="525" t="str">
        <f t="shared" si="23"/>
        <v/>
      </c>
      <c r="AH949" s="525">
        <f>E949</f>
        <v>0</v>
      </c>
      <c r="AI949" s="525">
        <f>E950</f>
        <v>0</v>
      </c>
    </row>
    <row r="950" spans="1:35" x14ac:dyDescent="0.2">
      <c r="A950" s="531"/>
      <c r="B950" s="303"/>
      <c r="C950" s="303"/>
      <c r="D950" s="303"/>
      <c r="E950" s="303"/>
      <c r="F950" s="303"/>
      <c r="G950" s="303"/>
      <c r="H950" s="303"/>
      <c r="I950" s="303"/>
      <c r="J950" s="303"/>
      <c r="K950" s="303"/>
      <c r="L950" s="303"/>
      <c r="M950" s="303"/>
      <c r="N950" s="303"/>
      <c r="O950" s="303"/>
      <c r="P950" s="303"/>
      <c r="Q950" s="303"/>
      <c r="R950" s="303"/>
      <c r="S950" s="303"/>
      <c r="T950" s="303"/>
      <c r="U950" s="303"/>
      <c r="V950" s="303"/>
      <c r="W950" s="303"/>
      <c r="X950" s="303"/>
      <c r="Y950" s="303"/>
      <c r="Z950" s="532"/>
      <c r="AA950" s="530"/>
      <c r="AB950" s="525" t="str">
        <f t="shared" si="18"/>
        <v/>
      </c>
      <c r="AC950" s="525" t="str">
        <f t="shared" si="19"/>
        <v/>
      </c>
      <c r="AD950" s="525" t="str">
        <f t="shared" si="20"/>
        <v/>
      </c>
      <c r="AE950" s="525" t="str">
        <f t="shared" si="21"/>
        <v/>
      </c>
      <c r="AF950" s="525" t="str">
        <f t="shared" si="22"/>
        <v/>
      </c>
      <c r="AG950" s="525" t="str">
        <f t="shared" si="23"/>
        <v/>
      </c>
      <c r="AH950" s="525">
        <f>E949</f>
        <v>0</v>
      </c>
      <c r="AI950" s="525">
        <f>E950</f>
        <v>0</v>
      </c>
    </row>
    <row r="951" spans="1:35" x14ac:dyDescent="0.2">
      <c r="A951" s="531"/>
      <c r="B951" s="303"/>
      <c r="C951" s="303"/>
      <c r="D951" s="303"/>
      <c r="E951" s="303"/>
      <c r="F951" s="303"/>
      <c r="G951" s="303"/>
      <c r="H951" s="303"/>
      <c r="I951" s="303"/>
      <c r="J951" s="303"/>
      <c r="K951" s="303"/>
      <c r="L951" s="303"/>
      <c r="M951" s="303"/>
      <c r="N951" s="303"/>
      <c r="O951" s="303"/>
      <c r="P951" s="303"/>
      <c r="Q951" s="303"/>
      <c r="R951" s="303"/>
      <c r="S951" s="303"/>
      <c r="T951" s="303"/>
      <c r="U951" s="303"/>
      <c r="V951" s="303"/>
      <c r="W951" s="303"/>
      <c r="X951" s="303"/>
      <c r="Y951" s="303"/>
      <c r="Z951" s="532"/>
      <c r="AA951" s="530"/>
      <c r="AB951" s="525" t="str">
        <f t="shared" si="18"/>
        <v/>
      </c>
      <c r="AC951" s="525" t="str">
        <f t="shared" si="19"/>
        <v/>
      </c>
      <c r="AD951" s="525" t="str">
        <f t="shared" si="20"/>
        <v/>
      </c>
      <c r="AE951" s="525" t="str">
        <f t="shared" si="21"/>
        <v/>
      </c>
      <c r="AF951" s="525" t="str">
        <f t="shared" si="22"/>
        <v/>
      </c>
      <c r="AG951" s="525" t="str">
        <f t="shared" si="23"/>
        <v/>
      </c>
      <c r="AH951" s="525">
        <f>E952</f>
        <v>0</v>
      </c>
      <c r="AI951" s="525">
        <f>E953</f>
        <v>0</v>
      </c>
    </row>
    <row r="952" spans="1:35" x14ac:dyDescent="0.2">
      <c r="A952" s="531"/>
      <c r="B952" s="303"/>
      <c r="C952" s="303"/>
      <c r="D952" s="303"/>
      <c r="E952" s="303"/>
      <c r="F952" s="303"/>
      <c r="G952" s="303"/>
      <c r="H952" s="303"/>
      <c r="I952" s="303"/>
      <c r="J952" s="303"/>
      <c r="K952" s="303"/>
      <c r="L952" s="303"/>
      <c r="M952" s="303"/>
      <c r="N952" s="303"/>
      <c r="O952" s="303"/>
      <c r="P952" s="303"/>
      <c r="Q952" s="303"/>
      <c r="R952" s="303"/>
      <c r="S952" s="303"/>
      <c r="T952" s="303"/>
      <c r="U952" s="303"/>
      <c r="V952" s="303"/>
      <c r="W952" s="303"/>
      <c r="X952" s="303"/>
      <c r="Y952" s="303"/>
      <c r="Z952" s="532"/>
      <c r="AA952" s="530"/>
      <c r="AB952" s="525" t="str">
        <f t="shared" si="18"/>
        <v/>
      </c>
      <c r="AC952" s="525" t="str">
        <f t="shared" si="19"/>
        <v/>
      </c>
      <c r="AD952" s="525" t="str">
        <f t="shared" si="20"/>
        <v/>
      </c>
      <c r="AE952" s="525" t="str">
        <f t="shared" si="21"/>
        <v/>
      </c>
      <c r="AF952" s="525" t="str">
        <f t="shared" si="22"/>
        <v/>
      </c>
      <c r="AG952" s="525" t="str">
        <f t="shared" si="23"/>
        <v/>
      </c>
      <c r="AH952" s="525">
        <f>E952</f>
        <v>0</v>
      </c>
      <c r="AI952" s="525">
        <f>E953</f>
        <v>0</v>
      </c>
    </row>
    <row r="953" spans="1:35" x14ac:dyDescent="0.2">
      <c r="A953" s="531"/>
      <c r="B953" s="303"/>
      <c r="C953" s="303"/>
      <c r="D953" s="303"/>
      <c r="E953" s="303"/>
      <c r="F953" s="303"/>
      <c r="G953" s="303"/>
      <c r="H953" s="303"/>
      <c r="I953" s="303"/>
      <c r="J953" s="303"/>
      <c r="K953" s="303"/>
      <c r="L953" s="303"/>
      <c r="M953" s="303"/>
      <c r="N953" s="303"/>
      <c r="O953" s="303"/>
      <c r="P953" s="303"/>
      <c r="Q953" s="303"/>
      <c r="R953" s="303"/>
      <c r="S953" s="303"/>
      <c r="T953" s="303"/>
      <c r="U953" s="303"/>
      <c r="V953" s="303"/>
      <c r="W953" s="303"/>
      <c r="X953" s="303"/>
      <c r="Y953" s="303"/>
      <c r="Z953" s="532"/>
      <c r="AA953" s="530"/>
      <c r="AB953" s="525" t="str">
        <f t="shared" si="18"/>
        <v/>
      </c>
      <c r="AC953" s="525" t="str">
        <f t="shared" si="19"/>
        <v/>
      </c>
      <c r="AD953" s="525" t="str">
        <f t="shared" si="20"/>
        <v/>
      </c>
      <c r="AE953" s="525" t="str">
        <f t="shared" si="21"/>
        <v/>
      </c>
      <c r="AF953" s="525" t="str">
        <f t="shared" si="22"/>
        <v/>
      </c>
      <c r="AG953" s="525" t="str">
        <f t="shared" si="23"/>
        <v/>
      </c>
      <c r="AH953" s="525">
        <f>E952</f>
        <v>0</v>
      </c>
      <c r="AI953" s="525">
        <f>E953</f>
        <v>0</v>
      </c>
    </row>
    <row r="954" spans="1:35" x14ac:dyDescent="0.2">
      <c r="A954" s="531"/>
      <c r="B954" s="303"/>
      <c r="C954" s="303"/>
      <c r="D954" s="303"/>
      <c r="E954" s="303"/>
      <c r="F954" s="303"/>
      <c r="G954" s="303"/>
      <c r="H954" s="303"/>
      <c r="I954" s="303"/>
      <c r="J954" s="303"/>
      <c r="K954" s="303"/>
      <c r="L954" s="303"/>
      <c r="M954" s="303"/>
      <c r="N954" s="303"/>
      <c r="O954" s="303"/>
      <c r="P954" s="303"/>
      <c r="Q954" s="303"/>
      <c r="R954" s="303"/>
      <c r="S954" s="303"/>
      <c r="T954" s="303"/>
      <c r="U954" s="303"/>
      <c r="V954" s="303"/>
      <c r="W954" s="303"/>
      <c r="X954" s="303"/>
      <c r="Y954" s="303"/>
      <c r="Z954" s="532"/>
      <c r="AA954" s="530"/>
      <c r="AB954" s="525" t="str">
        <f t="shared" si="18"/>
        <v/>
      </c>
      <c r="AC954" s="525" t="str">
        <f t="shared" si="19"/>
        <v/>
      </c>
      <c r="AD954" s="525" t="str">
        <f t="shared" si="20"/>
        <v/>
      </c>
      <c r="AE954" s="525" t="str">
        <f t="shared" si="21"/>
        <v/>
      </c>
      <c r="AF954" s="525" t="str">
        <f t="shared" si="22"/>
        <v/>
      </c>
      <c r="AG954" s="525" t="str">
        <f t="shared" si="23"/>
        <v/>
      </c>
      <c r="AH954" s="525">
        <f>E955</f>
        <v>0</v>
      </c>
      <c r="AI954" s="525">
        <f>E956</f>
        <v>0</v>
      </c>
    </row>
    <row r="955" spans="1:35" x14ac:dyDescent="0.2">
      <c r="A955" s="531"/>
      <c r="B955" s="303"/>
      <c r="C955" s="303"/>
      <c r="D955" s="303"/>
      <c r="E955" s="303"/>
      <c r="F955" s="303"/>
      <c r="G955" s="303"/>
      <c r="H955" s="303"/>
      <c r="I955" s="303"/>
      <c r="J955" s="303"/>
      <c r="K955" s="303"/>
      <c r="L955" s="303"/>
      <c r="M955" s="303"/>
      <c r="N955" s="303"/>
      <c r="O955" s="303"/>
      <c r="P955" s="303"/>
      <c r="Q955" s="303"/>
      <c r="R955" s="303"/>
      <c r="S955" s="303"/>
      <c r="T955" s="303"/>
      <c r="U955" s="303"/>
      <c r="V955" s="303"/>
      <c r="W955" s="303"/>
      <c r="X955" s="303"/>
      <c r="Y955" s="303"/>
      <c r="Z955" s="532"/>
      <c r="AA955" s="530"/>
      <c r="AB955" s="525" t="str">
        <f t="shared" si="18"/>
        <v/>
      </c>
      <c r="AC955" s="525" t="str">
        <f t="shared" si="19"/>
        <v/>
      </c>
      <c r="AD955" s="525" t="str">
        <f t="shared" si="20"/>
        <v/>
      </c>
      <c r="AE955" s="525" t="str">
        <f t="shared" si="21"/>
        <v/>
      </c>
      <c r="AF955" s="525" t="str">
        <f t="shared" si="22"/>
        <v/>
      </c>
      <c r="AG955" s="525" t="str">
        <f t="shared" si="23"/>
        <v/>
      </c>
      <c r="AH955" s="525">
        <f>E955</f>
        <v>0</v>
      </c>
      <c r="AI955" s="525">
        <f>E956</f>
        <v>0</v>
      </c>
    </row>
    <row r="956" spans="1:35" x14ac:dyDescent="0.2">
      <c r="A956" s="531"/>
      <c r="B956" s="303"/>
      <c r="C956" s="303"/>
      <c r="D956" s="303"/>
      <c r="E956" s="303"/>
      <c r="F956" s="303"/>
      <c r="G956" s="303"/>
      <c r="H956" s="303"/>
      <c r="I956" s="303"/>
      <c r="J956" s="303"/>
      <c r="K956" s="303"/>
      <c r="L956" s="303"/>
      <c r="M956" s="303"/>
      <c r="N956" s="303"/>
      <c r="O956" s="303"/>
      <c r="P956" s="303"/>
      <c r="Q956" s="303"/>
      <c r="R956" s="303"/>
      <c r="S956" s="303"/>
      <c r="T956" s="303"/>
      <c r="U956" s="303"/>
      <c r="V956" s="303"/>
      <c r="W956" s="303"/>
      <c r="X956" s="303"/>
      <c r="Y956" s="303"/>
      <c r="Z956" s="532"/>
      <c r="AA956" s="530"/>
      <c r="AB956" s="525" t="str">
        <f t="shared" si="18"/>
        <v/>
      </c>
      <c r="AC956" s="525" t="str">
        <f t="shared" si="19"/>
        <v/>
      </c>
      <c r="AD956" s="525" t="str">
        <f t="shared" si="20"/>
        <v/>
      </c>
      <c r="AE956" s="525" t="str">
        <f t="shared" si="21"/>
        <v/>
      </c>
      <c r="AF956" s="525" t="str">
        <f t="shared" si="22"/>
        <v/>
      </c>
      <c r="AG956" s="525" t="str">
        <f t="shared" si="23"/>
        <v/>
      </c>
      <c r="AH956" s="525">
        <f>E955</f>
        <v>0</v>
      </c>
      <c r="AI956" s="525">
        <f>E956</f>
        <v>0</v>
      </c>
    </row>
    <row r="957" spans="1:35" x14ac:dyDescent="0.2">
      <c r="A957" s="531"/>
      <c r="B957" s="303"/>
      <c r="C957" s="303"/>
      <c r="D957" s="303"/>
      <c r="E957" s="303"/>
      <c r="F957" s="303"/>
      <c r="G957" s="303"/>
      <c r="H957" s="303"/>
      <c r="I957" s="303"/>
      <c r="J957" s="303"/>
      <c r="K957" s="303"/>
      <c r="L957" s="303"/>
      <c r="M957" s="303"/>
      <c r="N957" s="303"/>
      <c r="O957" s="303"/>
      <c r="P957" s="303"/>
      <c r="Q957" s="303"/>
      <c r="R957" s="303"/>
      <c r="S957" s="303"/>
      <c r="T957" s="303"/>
      <c r="U957" s="303"/>
      <c r="V957" s="303"/>
      <c r="W957" s="303"/>
      <c r="X957" s="303"/>
      <c r="Y957" s="303"/>
      <c r="Z957" s="532"/>
      <c r="AA957" s="530"/>
      <c r="AB957" s="525" t="str">
        <f t="shared" si="18"/>
        <v/>
      </c>
      <c r="AC957" s="525" t="str">
        <f t="shared" si="19"/>
        <v/>
      </c>
      <c r="AD957" s="525" t="str">
        <f t="shared" si="20"/>
        <v/>
      </c>
      <c r="AE957" s="525" t="str">
        <f t="shared" si="21"/>
        <v/>
      </c>
      <c r="AF957" s="525" t="str">
        <f t="shared" si="22"/>
        <v/>
      </c>
      <c r="AG957" s="525" t="str">
        <f t="shared" si="23"/>
        <v/>
      </c>
      <c r="AH957" s="525">
        <f>E958</f>
        <v>0</v>
      </c>
      <c r="AI957" s="525">
        <f>E959</f>
        <v>0</v>
      </c>
    </row>
    <row r="958" spans="1:35" x14ac:dyDescent="0.2">
      <c r="A958" s="531"/>
      <c r="B958" s="303"/>
      <c r="C958" s="303"/>
      <c r="D958" s="303"/>
      <c r="E958" s="303"/>
      <c r="F958" s="303"/>
      <c r="G958" s="303"/>
      <c r="H958" s="303"/>
      <c r="I958" s="303"/>
      <c r="J958" s="303"/>
      <c r="K958" s="303"/>
      <c r="L958" s="303"/>
      <c r="M958" s="303"/>
      <c r="N958" s="303"/>
      <c r="O958" s="303"/>
      <c r="P958" s="303"/>
      <c r="Q958" s="303"/>
      <c r="R958" s="303"/>
      <c r="S958" s="303"/>
      <c r="T958" s="303"/>
      <c r="U958" s="303"/>
      <c r="V958" s="303"/>
      <c r="W958" s="303"/>
      <c r="X958" s="303"/>
      <c r="Y958" s="303"/>
      <c r="Z958" s="532"/>
      <c r="AA958" s="530"/>
      <c r="AB958" s="525" t="str">
        <f t="shared" si="18"/>
        <v/>
      </c>
      <c r="AC958" s="525" t="str">
        <f t="shared" si="19"/>
        <v/>
      </c>
      <c r="AD958" s="525" t="str">
        <f t="shared" si="20"/>
        <v/>
      </c>
      <c r="AE958" s="525" t="str">
        <f t="shared" si="21"/>
        <v/>
      </c>
      <c r="AF958" s="525" t="str">
        <f t="shared" si="22"/>
        <v/>
      </c>
      <c r="AG958" s="525" t="str">
        <f t="shared" si="23"/>
        <v/>
      </c>
      <c r="AH958" s="525">
        <f>E958</f>
        <v>0</v>
      </c>
      <c r="AI958" s="525">
        <f>E959</f>
        <v>0</v>
      </c>
    </row>
    <row r="959" spans="1:35" x14ac:dyDescent="0.2">
      <c r="A959" s="531"/>
      <c r="B959" s="303"/>
      <c r="C959" s="303"/>
      <c r="D959" s="303"/>
      <c r="E959" s="303"/>
      <c r="F959" s="303"/>
      <c r="G959" s="303"/>
      <c r="H959" s="303"/>
      <c r="I959" s="303"/>
      <c r="J959" s="303"/>
      <c r="K959" s="303"/>
      <c r="L959" s="303"/>
      <c r="M959" s="303"/>
      <c r="N959" s="303"/>
      <c r="O959" s="303"/>
      <c r="P959" s="303"/>
      <c r="Q959" s="303"/>
      <c r="R959" s="303"/>
      <c r="S959" s="303"/>
      <c r="T959" s="303"/>
      <c r="U959" s="303"/>
      <c r="V959" s="303"/>
      <c r="W959" s="303"/>
      <c r="X959" s="303"/>
      <c r="Y959" s="303"/>
      <c r="Z959" s="532"/>
      <c r="AA959" s="530"/>
      <c r="AB959" s="525" t="str">
        <f t="shared" si="18"/>
        <v/>
      </c>
      <c r="AC959" s="525" t="str">
        <f t="shared" si="19"/>
        <v/>
      </c>
      <c r="AD959" s="525" t="str">
        <f t="shared" si="20"/>
        <v/>
      </c>
      <c r="AE959" s="525" t="str">
        <f t="shared" si="21"/>
        <v/>
      </c>
      <c r="AF959" s="525" t="str">
        <f t="shared" si="22"/>
        <v/>
      </c>
      <c r="AG959" s="525" t="str">
        <f t="shared" si="23"/>
        <v/>
      </c>
      <c r="AH959" s="525">
        <f>E958</f>
        <v>0</v>
      </c>
      <c r="AI959" s="525">
        <f>E959</f>
        <v>0</v>
      </c>
    </row>
    <row r="960" spans="1:35" x14ac:dyDescent="0.2">
      <c r="A960" s="531"/>
      <c r="B960" s="303"/>
      <c r="C960" s="303"/>
      <c r="D960" s="303"/>
      <c r="E960" s="303"/>
      <c r="F960" s="303"/>
      <c r="G960" s="303"/>
      <c r="H960" s="303"/>
      <c r="I960" s="303"/>
      <c r="J960" s="303"/>
      <c r="K960" s="303"/>
      <c r="L960" s="303"/>
      <c r="M960" s="303"/>
      <c r="N960" s="303"/>
      <c r="O960" s="303"/>
      <c r="P960" s="303"/>
      <c r="Q960" s="303"/>
      <c r="R960" s="303"/>
      <c r="S960" s="303"/>
      <c r="T960" s="303"/>
      <c r="U960" s="303"/>
      <c r="V960" s="303"/>
      <c r="W960" s="303"/>
      <c r="X960" s="303"/>
      <c r="Y960" s="303"/>
      <c r="Z960" s="532"/>
      <c r="AA960" s="530"/>
      <c r="AB960" s="525" t="str">
        <f t="shared" si="18"/>
        <v/>
      </c>
      <c r="AC960" s="525" t="str">
        <f t="shared" si="19"/>
        <v/>
      </c>
      <c r="AD960" s="525" t="str">
        <f t="shared" si="20"/>
        <v/>
      </c>
      <c r="AE960" s="525" t="str">
        <f t="shared" si="21"/>
        <v/>
      </c>
      <c r="AF960" s="525" t="str">
        <f t="shared" si="22"/>
        <v/>
      </c>
      <c r="AG960" s="525" t="str">
        <f t="shared" si="23"/>
        <v/>
      </c>
      <c r="AH960" s="525">
        <f>E961</f>
        <v>0</v>
      </c>
      <c r="AI960" s="525">
        <f>E962</f>
        <v>0</v>
      </c>
    </row>
    <row r="961" spans="1:35" x14ac:dyDescent="0.2">
      <c r="A961" s="531"/>
      <c r="B961" s="303"/>
      <c r="C961" s="303"/>
      <c r="D961" s="303"/>
      <c r="E961" s="303"/>
      <c r="F961" s="303"/>
      <c r="G961" s="303"/>
      <c r="H961" s="303"/>
      <c r="I961" s="303"/>
      <c r="J961" s="303"/>
      <c r="K961" s="303"/>
      <c r="L961" s="303"/>
      <c r="M961" s="303"/>
      <c r="N961" s="303"/>
      <c r="O961" s="303"/>
      <c r="P961" s="303"/>
      <c r="Q961" s="303"/>
      <c r="R961" s="303"/>
      <c r="S961" s="303"/>
      <c r="T961" s="303"/>
      <c r="U961" s="303"/>
      <c r="V961" s="303"/>
      <c r="W961" s="303"/>
      <c r="X961" s="303"/>
      <c r="Y961" s="303"/>
      <c r="Z961" s="532"/>
      <c r="AA961" s="530"/>
      <c r="AB961" s="525" t="str">
        <f t="shared" si="18"/>
        <v/>
      </c>
      <c r="AC961" s="525" t="str">
        <f t="shared" si="19"/>
        <v/>
      </c>
      <c r="AD961" s="525" t="str">
        <f t="shared" si="20"/>
        <v/>
      </c>
      <c r="AE961" s="525" t="str">
        <f t="shared" si="21"/>
        <v/>
      </c>
      <c r="AF961" s="525" t="str">
        <f t="shared" si="22"/>
        <v/>
      </c>
      <c r="AG961" s="525" t="str">
        <f t="shared" si="23"/>
        <v/>
      </c>
      <c r="AH961" s="525">
        <f>E961</f>
        <v>0</v>
      </c>
      <c r="AI961" s="525">
        <f>E962</f>
        <v>0</v>
      </c>
    </row>
    <row r="962" spans="1:35" x14ac:dyDescent="0.2">
      <c r="A962" s="531"/>
      <c r="B962" s="303"/>
      <c r="C962" s="303"/>
      <c r="D962" s="303"/>
      <c r="E962" s="303"/>
      <c r="F962" s="303"/>
      <c r="G962" s="303"/>
      <c r="H962" s="303"/>
      <c r="I962" s="303"/>
      <c r="J962" s="303"/>
      <c r="K962" s="303"/>
      <c r="L962" s="303"/>
      <c r="M962" s="303"/>
      <c r="N962" s="303"/>
      <c r="O962" s="303"/>
      <c r="P962" s="303"/>
      <c r="Q962" s="303"/>
      <c r="R962" s="303"/>
      <c r="S962" s="303"/>
      <c r="T962" s="303"/>
      <c r="U962" s="303"/>
      <c r="V962" s="303"/>
      <c r="W962" s="303"/>
      <c r="X962" s="303"/>
      <c r="Y962" s="303"/>
      <c r="Z962" s="532"/>
      <c r="AA962" s="530"/>
      <c r="AB962" s="525" t="str">
        <f t="shared" si="18"/>
        <v/>
      </c>
      <c r="AC962" s="525" t="str">
        <f t="shared" si="19"/>
        <v/>
      </c>
      <c r="AD962" s="525" t="str">
        <f t="shared" si="20"/>
        <v/>
      </c>
      <c r="AE962" s="525" t="str">
        <f t="shared" si="21"/>
        <v/>
      </c>
      <c r="AF962" s="525" t="str">
        <f t="shared" si="22"/>
        <v/>
      </c>
      <c r="AG962" s="525" t="str">
        <f t="shared" si="23"/>
        <v/>
      </c>
      <c r="AH962" s="525">
        <f>E961</f>
        <v>0</v>
      </c>
      <c r="AI962" s="525">
        <f>E962</f>
        <v>0</v>
      </c>
    </row>
    <row r="963" spans="1:35" x14ac:dyDescent="0.2">
      <c r="A963" s="531"/>
      <c r="B963" s="303"/>
      <c r="C963" s="303"/>
      <c r="D963" s="303"/>
      <c r="E963" s="303"/>
      <c r="F963" s="303"/>
      <c r="G963" s="303"/>
      <c r="H963" s="303"/>
      <c r="I963" s="303"/>
      <c r="J963" s="303"/>
      <c r="K963" s="303"/>
      <c r="L963" s="303"/>
      <c r="M963" s="303"/>
      <c r="N963" s="303"/>
      <c r="O963" s="303"/>
      <c r="P963" s="303"/>
      <c r="Q963" s="303"/>
      <c r="R963" s="303"/>
      <c r="S963" s="303"/>
      <c r="T963" s="303"/>
      <c r="U963" s="303"/>
      <c r="V963" s="303"/>
      <c r="W963" s="303"/>
      <c r="X963" s="303"/>
      <c r="Y963" s="303"/>
      <c r="Z963" s="532"/>
      <c r="AA963" s="530"/>
      <c r="AB963" s="525" t="str">
        <f t="shared" si="18"/>
        <v/>
      </c>
      <c r="AC963" s="525" t="str">
        <f t="shared" si="19"/>
        <v/>
      </c>
      <c r="AD963" s="525" t="str">
        <f t="shared" si="20"/>
        <v/>
      </c>
      <c r="AE963" s="525" t="str">
        <f t="shared" si="21"/>
        <v/>
      </c>
      <c r="AF963" s="525" t="str">
        <f t="shared" si="22"/>
        <v/>
      </c>
      <c r="AG963" s="525" t="str">
        <f t="shared" si="23"/>
        <v/>
      </c>
      <c r="AH963" s="525">
        <f>E964</f>
        <v>0</v>
      </c>
      <c r="AI963" s="525">
        <f>E965</f>
        <v>0</v>
      </c>
    </row>
    <row r="964" spans="1:35" x14ac:dyDescent="0.2">
      <c r="A964" s="531"/>
      <c r="B964" s="303"/>
      <c r="C964" s="303"/>
      <c r="D964" s="303"/>
      <c r="E964" s="303"/>
      <c r="F964" s="303"/>
      <c r="G964" s="303"/>
      <c r="H964" s="303"/>
      <c r="I964" s="303"/>
      <c r="J964" s="303"/>
      <c r="K964" s="303"/>
      <c r="L964" s="303"/>
      <c r="M964" s="303"/>
      <c r="N964" s="303"/>
      <c r="O964" s="303"/>
      <c r="P964" s="303"/>
      <c r="Q964" s="303"/>
      <c r="R964" s="303"/>
      <c r="S964" s="303"/>
      <c r="T964" s="303"/>
      <c r="U964" s="303"/>
      <c r="V964" s="303"/>
      <c r="W964" s="303"/>
      <c r="X964" s="303"/>
      <c r="Y964" s="303"/>
      <c r="Z964" s="532"/>
      <c r="AA964" s="530"/>
      <c r="AB964" s="525" t="str">
        <f t="shared" si="18"/>
        <v/>
      </c>
      <c r="AC964" s="525" t="str">
        <f t="shared" si="19"/>
        <v/>
      </c>
      <c r="AD964" s="525" t="str">
        <f t="shared" si="20"/>
        <v/>
      </c>
      <c r="AE964" s="525" t="str">
        <f t="shared" si="21"/>
        <v/>
      </c>
      <c r="AF964" s="525" t="str">
        <f t="shared" si="22"/>
        <v/>
      </c>
      <c r="AG964" s="525" t="str">
        <f t="shared" si="23"/>
        <v/>
      </c>
      <c r="AH964" s="525">
        <f>E964</f>
        <v>0</v>
      </c>
      <c r="AI964" s="525">
        <f>E965</f>
        <v>0</v>
      </c>
    </row>
    <row r="965" spans="1:35" x14ac:dyDescent="0.2">
      <c r="A965" s="531"/>
      <c r="B965" s="303"/>
      <c r="C965" s="303"/>
      <c r="D965" s="303"/>
      <c r="E965" s="303"/>
      <c r="F965" s="303"/>
      <c r="G965" s="303"/>
      <c r="H965" s="303"/>
      <c r="I965" s="303"/>
      <c r="J965" s="303"/>
      <c r="K965" s="303"/>
      <c r="L965" s="303"/>
      <c r="M965" s="303"/>
      <c r="N965" s="303"/>
      <c r="O965" s="303"/>
      <c r="P965" s="303"/>
      <c r="Q965" s="303"/>
      <c r="R965" s="303"/>
      <c r="S965" s="303"/>
      <c r="T965" s="303"/>
      <c r="U965" s="303"/>
      <c r="V965" s="303"/>
      <c r="W965" s="303"/>
      <c r="X965" s="303"/>
      <c r="Y965" s="303"/>
      <c r="Z965" s="532"/>
      <c r="AA965" s="530"/>
      <c r="AB965" s="525" t="str">
        <f t="shared" si="18"/>
        <v/>
      </c>
      <c r="AC965" s="525" t="str">
        <f t="shared" si="19"/>
        <v/>
      </c>
      <c r="AD965" s="525" t="str">
        <f t="shared" si="20"/>
        <v/>
      </c>
      <c r="AE965" s="525" t="str">
        <f t="shared" si="21"/>
        <v/>
      </c>
      <c r="AF965" s="525" t="str">
        <f t="shared" si="22"/>
        <v/>
      </c>
      <c r="AG965" s="525" t="str">
        <f t="shared" si="23"/>
        <v/>
      </c>
      <c r="AH965" s="525">
        <f>E964</f>
        <v>0</v>
      </c>
      <c r="AI965" s="525">
        <f>E965</f>
        <v>0</v>
      </c>
    </row>
    <row r="966" spans="1:35" x14ac:dyDescent="0.2">
      <c r="A966" s="531"/>
      <c r="B966" s="303"/>
      <c r="C966" s="303"/>
      <c r="D966" s="303"/>
      <c r="E966" s="303"/>
      <c r="F966" s="303"/>
      <c r="G966" s="303"/>
      <c r="H966" s="303"/>
      <c r="I966" s="303"/>
      <c r="J966" s="303"/>
      <c r="K966" s="303"/>
      <c r="L966" s="303"/>
      <c r="M966" s="303"/>
      <c r="N966" s="303"/>
      <c r="O966" s="303"/>
      <c r="P966" s="303"/>
      <c r="Q966" s="303"/>
      <c r="R966" s="303"/>
      <c r="S966" s="303"/>
      <c r="T966" s="303"/>
      <c r="U966" s="303"/>
      <c r="V966" s="303"/>
      <c r="W966" s="303"/>
      <c r="X966" s="303"/>
      <c r="Y966" s="303"/>
      <c r="Z966" s="532"/>
      <c r="AA966" s="530"/>
      <c r="AB966" s="525" t="str">
        <f t="shared" si="18"/>
        <v/>
      </c>
      <c r="AC966" s="525" t="str">
        <f t="shared" si="19"/>
        <v/>
      </c>
      <c r="AD966" s="525" t="str">
        <f t="shared" si="20"/>
        <v/>
      </c>
      <c r="AE966" s="525" t="str">
        <f t="shared" si="21"/>
        <v/>
      </c>
      <c r="AF966" s="525" t="str">
        <f t="shared" si="22"/>
        <v/>
      </c>
      <c r="AG966" s="525" t="str">
        <f t="shared" si="23"/>
        <v/>
      </c>
      <c r="AH966" s="525">
        <f>E967</f>
        <v>0</v>
      </c>
      <c r="AI966" s="525">
        <f>E968</f>
        <v>0</v>
      </c>
    </row>
    <row r="967" spans="1:35" x14ac:dyDescent="0.2">
      <c r="A967" s="531"/>
      <c r="B967" s="303"/>
      <c r="C967" s="303"/>
      <c r="D967" s="303"/>
      <c r="E967" s="303"/>
      <c r="F967" s="303"/>
      <c r="G967" s="303"/>
      <c r="H967" s="303"/>
      <c r="I967" s="303"/>
      <c r="J967" s="303"/>
      <c r="K967" s="303"/>
      <c r="L967" s="303"/>
      <c r="M967" s="303"/>
      <c r="N967" s="303"/>
      <c r="O967" s="303"/>
      <c r="P967" s="303"/>
      <c r="Q967" s="303"/>
      <c r="R967" s="303"/>
      <c r="S967" s="303"/>
      <c r="T967" s="303"/>
      <c r="U967" s="303"/>
      <c r="V967" s="303"/>
      <c r="W967" s="303"/>
      <c r="X967" s="303"/>
      <c r="Y967" s="303"/>
      <c r="Z967" s="532"/>
      <c r="AA967" s="530"/>
      <c r="AB967" s="525" t="str">
        <f t="shared" si="18"/>
        <v/>
      </c>
      <c r="AC967" s="525" t="str">
        <f t="shared" si="19"/>
        <v/>
      </c>
      <c r="AD967" s="525" t="str">
        <f t="shared" si="20"/>
        <v/>
      </c>
      <c r="AE967" s="525" t="str">
        <f t="shared" si="21"/>
        <v/>
      </c>
      <c r="AF967" s="525" t="str">
        <f t="shared" si="22"/>
        <v/>
      </c>
      <c r="AG967" s="525" t="str">
        <f t="shared" si="23"/>
        <v/>
      </c>
      <c r="AH967" s="525">
        <f>E967</f>
        <v>0</v>
      </c>
      <c r="AI967" s="525">
        <f>E968</f>
        <v>0</v>
      </c>
    </row>
    <row r="968" spans="1:35" x14ac:dyDescent="0.2">
      <c r="A968" s="531"/>
      <c r="B968" s="303"/>
      <c r="C968" s="303"/>
      <c r="D968" s="303"/>
      <c r="E968" s="303"/>
      <c r="F968" s="303"/>
      <c r="G968" s="303"/>
      <c r="H968" s="303"/>
      <c r="I968" s="303"/>
      <c r="J968" s="303"/>
      <c r="K968" s="303"/>
      <c r="L968" s="303"/>
      <c r="M968" s="303"/>
      <c r="N968" s="303"/>
      <c r="O968" s="303"/>
      <c r="P968" s="303"/>
      <c r="Q968" s="303"/>
      <c r="R968" s="303"/>
      <c r="S968" s="303"/>
      <c r="T968" s="303"/>
      <c r="U968" s="303"/>
      <c r="V968" s="303"/>
      <c r="W968" s="303"/>
      <c r="X968" s="303"/>
      <c r="Y968" s="303"/>
      <c r="Z968" s="532"/>
      <c r="AA968" s="530"/>
      <c r="AB968" s="525" t="str">
        <f t="shared" si="18"/>
        <v/>
      </c>
      <c r="AC968" s="525" t="str">
        <f t="shared" si="19"/>
        <v/>
      </c>
      <c r="AD968" s="525" t="str">
        <f t="shared" si="20"/>
        <v/>
      </c>
      <c r="AE968" s="525" t="str">
        <f t="shared" si="21"/>
        <v/>
      </c>
      <c r="AF968" s="525" t="str">
        <f t="shared" si="22"/>
        <v/>
      </c>
      <c r="AG968" s="525" t="str">
        <f t="shared" si="23"/>
        <v/>
      </c>
      <c r="AH968" s="525">
        <f>E967</f>
        <v>0</v>
      </c>
      <c r="AI968" s="525">
        <f>E968</f>
        <v>0</v>
      </c>
    </row>
    <row r="969" spans="1:35" x14ac:dyDescent="0.2">
      <c r="A969" s="531"/>
      <c r="B969" s="303"/>
      <c r="C969" s="303"/>
      <c r="D969" s="303"/>
      <c r="E969" s="303"/>
      <c r="F969" s="303"/>
      <c r="G969" s="303"/>
      <c r="H969" s="303"/>
      <c r="I969" s="303"/>
      <c r="J969" s="303"/>
      <c r="K969" s="303"/>
      <c r="L969" s="303"/>
      <c r="M969" s="303"/>
      <c r="N969" s="303"/>
      <c r="O969" s="303"/>
      <c r="P969" s="303"/>
      <c r="Q969" s="303"/>
      <c r="R969" s="303"/>
      <c r="S969" s="303"/>
      <c r="T969" s="303"/>
      <c r="U969" s="303"/>
      <c r="V969" s="303"/>
      <c r="W969" s="303"/>
      <c r="X969" s="303"/>
      <c r="Y969" s="303"/>
      <c r="Z969" s="532"/>
      <c r="AA969" s="530"/>
      <c r="AB969" s="525" t="str">
        <f t="shared" si="18"/>
        <v/>
      </c>
      <c r="AC969" s="525" t="str">
        <f t="shared" si="19"/>
        <v/>
      </c>
      <c r="AD969" s="525" t="str">
        <f t="shared" si="20"/>
        <v/>
      </c>
      <c r="AE969" s="525" t="str">
        <f t="shared" si="21"/>
        <v/>
      </c>
      <c r="AF969" s="525" t="str">
        <f t="shared" si="22"/>
        <v/>
      </c>
      <c r="AG969" s="525" t="str">
        <f t="shared" si="23"/>
        <v/>
      </c>
      <c r="AH969" s="525">
        <f>E970</f>
        <v>0</v>
      </c>
      <c r="AI969" s="525">
        <f>E971</f>
        <v>0</v>
      </c>
    </row>
    <row r="970" spans="1:35" x14ac:dyDescent="0.2">
      <c r="A970" s="531"/>
      <c r="B970" s="303"/>
      <c r="C970" s="303"/>
      <c r="D970" s="303"/>
      <c r="E970" s="303"/>
      <c r="F970" s="303"/>
      <c r="G970" s="303"/>
      <c r="H970" s="303"/>
      <c r="I970" s="303"/>
      <c r="J970" s="303"/>
      <c r="K970" s="303"/>
      <c r="L970" s="303"/>
      <c r="M970" s="303"/>
      <c r="N970" s="303"/>
      <c r="O970" s="303"/>
      <c r="P970" s="303"/>
      <c r="Q970" s="303"/>
      <c r="R970" s="303"/>
      <c r="S970" s="303"/>
      <c r="T970" s="303"/>
      <c r="U970" s="303"/>
      <c r="V970" s="303"/>
      <c r="W970" s="303"/>
      <c r="X970" s="303"/>
      <c r="Y970" s="303"/>
      <c r="Z970" s="532"/>
      <c r="AA970" s="530"/>
      <c r="AB970" s="525" t="str">
        <f t="shared" si="18"/>
        <v/>
      </c>
      <c r="AC970" s="525" t="str">
        <f t="shared" si="19"/>
        <v/>
      </c>
      <c r="AD970" s="525" t="str">
        <f t="shared" si="20"/>
        <v/>
      </c>
      <c r="AE970" s="525" t="str">
        <f t="shared" si="21"/>
        <v/>
      </c>
      <c r="AF970" s="525" t="str">
        <f t="shared" si="22"/>
        <v/>
      </c>
      <c r="AG970" s="525" t="str">
        <f t="shared" si="23"/>
        <v/>
      </c>
      <c r="AH970" s="525">
        <f>E970</f>
        <v>0</v>
      </c>
      <c r="AI970" s="525">
        <f>E971</f>
        <v>0</v>
      </c>
    </row>
    <row r="971" spans="1:35" x14ac:dyDescent="0.2">
      <c r="A971" s="531"/>
      <c r="B971" s="303"/>
      <c r="C971" s="303"/>
      <c r="D971" s="303"/>
      <c r="E971" s="303"/>
      <c r="F971" s="303"/>
      <c r="G971" s="303"/>
      <c r="H971" s="303"/>
      <c r="I971" s="303"/>
      <c r="J971" s="303"/>
      <c r="K971" s="303"/>
      <c r="L971" s="303"/>
      <c r="M971" s="303"/>
      <c r="N971" s="303"/>
      <c r="O971" s="303"/>
      <c r="P971" s="303"/>
      <c r="Q971" s="303"/>
      <c r="R971" s="303"/>
      <c r="S971" s="303"/>
      <c r="T971" s="303"/>
      <c r="U971" s="303"/>
      <c r="V971" s="303"/>
      <c r="W971" s="303"/>
      <c r="X971" s="303"/>
      <c r="Y971" s="303"/>
      <c r="Z971" s="532"/>
      <c r="AA971" s="530"/>
      <c r="AB971" s="525" t="str">
        <f t="shared" si="18"/>
        <v/>
      </c>
      <c r="AC971" s="525" t="str">
        <f t="shared" si="19"/>
        <v/>
      </c>
      <c r="AD971" s="525" t="str">
        <f t="shared" si="20"/>
        <v/>
      </c>
      <c r="AE971" s="525" t="str">
        <f t="shared" si="21"/>
        <v/>
      </c>
      <c r="AF971" s="525" t="str">
        <f t="shared" si="22"/>
        <v/>
      </c>
      <c r="AG971" s="525" t="str">
        <f t="shared" si="23"/>
        <v/>
      </c>
      <c r="AH971" s="525">
        <f>E970</f>
        <v>0</v>
      </c>
      <c r="AI971" s="525">
        <f>E971</f>
        <v>0</v>
      </c>
    </row>
    <row r="972" spans="1:35" x14ac:dyDescent="0.2">
      <c r="A972" s="531"/>
      <c r="B972" s="303"/>
      <c r="C972" s="303"/>
      <c r="D972" s="303"/>
      <c r="E972" s="303"/>
      <c r="F972" s="303"/>
      <c r="G972" s="303"/>
      <c r="H972" s="303"/>
      <c r="I972" s="303"/>
      <c r="J972" s="303"/>
      <c r="K972" s="303"/>
      <c r="L972" s="303"/>
      <c r="M972" s="303"/>
      <c r="N972" s="303"/>
      <c r="O972" s="303"/>
      <c r="P972" s="303"/>
      <c r="Q972" s="303"/>
      <c r="R972" s="303"/>
      <c r="S972" s="303"/>
      <c r="T972" s="303"/>
      <c r="U972" s="303"/>
      <c r="V972" s="303"/>
      <c r="W972" s="303"/>
      <c r="X972" s="303"/>
      <c r="Y972" s="303"/>
      <c r="Z972" s="532"/>
      <c r="AA972" s="530"/>
      <c r="AB972" s="525" t="str">
        <f t="shared" si="18"/>
        <v/>
      </c>
      <c r="AC972" s="525" t="str">
        <f t="shared" si="19"/>
        <v/>
      </c>
      <c r="AD972" s="525" t="str">
        <f t="shared" si="20"/>
        <v/>
      </c>
      <c r="AE972" s="525" t="str">
        <f t="shared" si="21"/>
        <v/>
      </c>
      <c r="AF972" s="525" t="str">
        <f t="shared" si="22"/>
        <v/>
      </c>
      <c r="AG972" s="525" t="str">
        <f t="shared" si="23"/>
        <v/>
      </c>
      <c r="AH972" s="525">
        <f>E973</f>
        <v>0</v>
      </c>
      <c r="AI972" s="525">
        <f>E974</f>
        <v>0</v>
      </c>
    </row>
    <row r="973" spans="1:35" x14ac:dyDescent="0.2">
      <c r="A973" s="531"/>
      <c r="B973" s="303"/>
      <c r="C973" s="303"/>
      <c r="D973" s="303"/>
      <c r="E973" s="303"/>
      <c r="F973" s="303"/>
      <c r="G973" s="303"/>
      <c r="H973" s="303"/>
      <c r="I973" s="303"/>
      <c r="J973" s="303"/>
      <c r="K973" s="303"/>
      <c r="L973" s="303"/>
      <c r="M973" s="303"/>
      <c r="N973" s="303"/>
      <c r="O973" s="303"/>
      <c r="P973" s="303"/>
      <c r="Q973" s="303"/>
      <c r="R973" s="303"/>
      <c r="S973" s="303"/>
      <c r="T973" s="303"/>
      <c r="U973" s="303"/>
      <c r="V973" s="303"/>
      <c r="W973" s="303"/>
      <c r="X973" s="303"/>
      <c r="Y973" s="303"/>
      <c r="Z973" s="532"/>
      <c r="AA973" s="530"/>
      <c r="AB973" s="525" t="str">
        <f t="shared" si="18"/>
        <v/>
      </c>
      <c r="AC973" s="525" t="str">
        <f t="shared" si="19"/>
        <v/>
      </c>
      <c r="AD973" s="525" t="str">
        <f t="shared" si="20"/>
        <v/>
      </c>
      <c r="AE973" s="525" t="str">
        <f t="shared" si="21"/>
        <v/>
      </c>
      <c r="AF973" s="525" t="str">
        <f t="shared" si="22"/>
        <v/>
      </c>
      <c r="AG973" s="525" t="str">
        <f t="shared" si="23"/>
        <v/>
      </c>
      <c r="AH973" s="525">
        <f>E973</f>
        <v>0</v>
      </c>
      <c r="AI973" s="525">
        <f>E974</f>
        <v>0</v>
      </c>
    </row>
    <row r="974" spans="1:35" x14ac:dyDescent="0.2">
      <c r="A974" s="531"/>
      <c r="B974" s="303"/>
      <c r="C974" s="303"/>
      <c r="D974" s="303"/>
      <c r="E974" s="303"/>
      <c r="F974" s="303"/>
      <c r="G974" s="303"/>
      <c r="H974" s="303"/>
      <c r="I974" s="303"/>
      <c r="J974" s="303"/>
      <c r="K974" s="303"/>
      <c r="L974" s="303"/>
      <c r="M974" s="303"/>
      <c r="N974" s="303"/>
      <c r="O974" s="303"/>
      <c r="P974" s="303"/>
      <c r="Q974" s="303"/>
      <c r="R974" s="303"/>
      <c r="S974" s="303"/>
      <c r="T974" s="303"/>
      <c r="U974" s="303"/>
      <c r="V974" s="303"/>
      <c r="W974" s="303"/>
      <c r="X974" s="303"/>
      <c r="Y974" s="303"/>
      <c r="Z974" s="532"/>
      <c r="AA974" s="530"/>
      <c r="AB974" s="525" t="str">
        <f t="shared" si="18"/>
        <v/>
      </c>
      <c r="AC974" s="525" t="str">
        <f t="shared" si="19"/>
        <v/>
      </c>
      <c r="AD974" s="525" t="str">
        <f t="shared" si="20"/>
        <v/>
      </c>
      <c r="AE974" s="525" t="str">
        <f t="shared" si="21"/>
        <v/>
      </c>
      <c r="AF974" s="525" t="str">
        <f t="shared" si="22"/>
        <v/>
      </c>
      <c r="AG974" s="525" t="str">
        <f t="shared" si="23"/>
        <v/>
      </c>
      <c r="AH974" s="525">
        <f>E973</f>
        <v>0</v>
      </c>
      <c r="AI974" s="525">
        <f>E974</f>
        <v>0</v>
      </c>
    </row>
    <row r="975" spans="1:35" x14ac:dyDescent="0.2">
      <c r="A975" s="531"/>
      <c r="B975" s="303"/>
      <c r="C975" s="303"/>
      <c r="D975" s="303"/>
      <c r="E975" s="303"/>
      <c r="F975" s="303"/>
      <c r="G975" s="303"/>
      <c r="H975" s="303"/>
      <c r="I975" s="303"/>
      <c r="J975" s="303"/>
      <c r="K975" s="303"/>
      <c r="L975" s="303"/>
      <c r="M975" s="303"/>
      <c r="N975" s="303"/>
      <c r="O975" s="303"/>
      <c r="P975" s="303"/>
      <c r="Q975" s="303"/>
      <c r="R975" s="303"/>
      <c r="S975" s="303"/>
      <c r="T975" s="303"/>
      <c r="U975" s="303"/>
      <c r="V975" s="303"/>
      <c r="W975" s="303"/>
      <c r="X975" s="303"/>
      <c r="Y975" s="303"/>
      <c r="Z975" s="532"/>
      <c r="AA975" s="530"/>
      <c r="AB975" s="525" t="str">
        <f t="shared" si="18"/>
        <v/>
      </c>
      <c r="AC975" s="525" t="str">
        <f t="shared" si="19"/>
        <v/>
      </c>
      <c r="AD975" s="525" t="str">
        <f t="shared" si="20"/>
        <v/>
      </c>
      <c r="AE975" s="525" t="str">
        <f t="shared" si="21"/>
        <v/>
      </c>
      <c r="AF975" s="525" t="str">
        <f t="shared" si="22"/>
        <v/>
      </c>
      <c r="AG975" s="525" t="str">
        <f t="shared" si="23"/>
        <v/>
      </c>
      <c r="AH975" s="525">
        <f>E976</f>
        <v>0</v>
      </c>
      <c r="AI975" s="525">
        <f>E977</f>
        <v>0</v>
      </c>
    </row>
    <row r="976" spans="1:35" x14ac:dyDescent="0.2">
      <c r="A976" s="531"/>
      <c r="B976" s="303"/>
      <c r="C976" s="303"/>
      <c r="D976" s="303"/>
      <c r="E976" s="303"/>
      <c r="F976" s="303"/>
      <c r="G976" s="303"/>
      <c r="H976" s="303"/>
      <c r="I976" s="303"/>
      <c r="J976" s="303"/>
      <c r="K976" s="303"/>
      <c r="L976" s="303"/>
      <c r="M976" s="303"/>
      <c r="N976" s="303"/>
      <c r="O976" s="303"/>
      <c r="P976" s="303"/>
      <c r="Q976" s="303"/>
      <c r="R976" s="303"/>
      <c r="S976" s="303"/>
      <c r="T976" s="303"/>
      <c r="U976" s="303"/>
      <c r="V976" s="303"/>
      <c r="W976" s="303"/>
      <c r="X976" s="303"/>
      <c r="Y976" s="303"/>
      <c r="Z976" s="532"/>
      <c r="AA976" s="530"/>
      <c r="AB976" s="525" t="str">
        <f t="shared" si="18"/>
        <v/>
      </c>
      <c r="AC976" s="525" t="str">
        <f t="shared" si="19"/>
        <v/>
      </c>
      <c r="AD976" s="525" t="str">
        <f t="shared" si="20"/>
        <v/>
      </c>
      <c r="AE976" s="525" t="str">
        <f t="shared" si="21"/>
        <v/>
      </c>
      <c r="AF976" s="525" t="str">
        <f t="shared" si="22"/>
        <v/>
      </c>
      <c r="AG976" s="525" t="str">
        <f t="shared" si="23"/>
        <v/>
      </c>
      <c r="AH976" s="525">
        <f>E976</f>
        <v>0</v>
      </c>
      <c r="AI976" s="525">
        <f>E977</f>
        <v>0</v>
      </c>
    </row>
    <row r="977" spans="1:35" x14ac:dyDescent="0.2">
      <c r="A977" s="531"/>
      <c r="B977" s="303"/>
      <c r="C977" s="303"/>
      <c r="D977" s="303"/>
      <c r="E977" s="303"/>
      <c r="F977" s="303"/>
      <c r="G977" s="303"/>
      <c r="H977" s="303"/>
      <c r="I977" s="303"/>
      <c r="J977" s="303"/>
      <c r="K977" s="303"/>
      <c r="L977" s="303"/>
      <c r="M977" s="303"/>
      <c r="N977" s="303"/>
      <c r="O977" s="303"/>
      <c r="P977" s="303"/>
      <c r="Q977" s="303"/>
      <c r="R977" s="303"/>
      <c r="S977" s="303"/>
      <c r="T977" s="303"/>
      <c r="U977" s="303"/>
      <c r="V977" s="303"/>
      <c r="W977" s="303"/>
      <c r="X977" s="303"/>
      <c r="Y977" s="303"/>
      <c r="Z977" s="532"/>
      <c r="AA977" s="530"/>
      <c r="AB977" s="525" t="str">
        <f t="shared" si="18"/>
        <v/>
      </c>
      <c r="AC977" s="525" t="str">
        <f t="shared" si="19"/>
        <v/>
      </c>
      <c r="AD977" s="525" t="str">
        <f t="shared" si="20"/>
        <v/>
      </c>
      <c r="AE977" s="525" t="str">
        <f t="shared" si="21"/>
        <v/>
      </c>
      <c r="AF977" s="525" t="str">
        <f t="shared" si="22"/>
        <v/>
      </c>
      <c r="AG977" s="525" t="str">
        <f t="shared" si="23"/>
        <v/>
      </c>
      <c r="AH977" s="525">
        <f>E976</f>
        <v>0</v>
      </c>
      <c r="AI977" s="525">
        <f>E977</f>
        <v>0</v>
      </c>
    </row>
    <row r="978" spans="1:35" x14ac:dyDescent="0.2">
      <c r="A978" s="531"/>
      <c r="B978" s="303"/>
      <c r="C978" s="303"/>
      <c r="D978" s="303"/>
      <c r="E978" s="303"/>
      <c r="F978" s="303"/>
      <c r="G978" s="303"/>
      <c r="H978" s="303"/>
      <c r="I978" s="303"/>
      <c r="J978" s="303"/>
      <c r="K978" s="303"/>
      <c r="L978" s="303"/>
      <c r="M978" s="303"/>
      <c r="N978" s="303"/>
      <c r="O978" s="303"/>
      <c r="P978" s="303"/>
      <c r="Q978" s="303"/>
      <c r="R978" s="303"/>
      <c r="S978" s="303"/>
      <c r="T978" s="303"/>
      <c r="U978" s="303"/>
      <c r="V978" s="303"/>
      <c r="W978" s="303"/>
      <c r="X978" s="303"/>
      <c r="Y978" s="303"/>
      <c r="Z978" s="532"/>
      <c r="AA978" s="530"/>
      <c r="AB978" s="525" t="str">
        <f t="shared" si="18"/>
        <v/>
      </c>
      <c r="AC978" s="525" t="str">
        <f t="shared" si="19"/>
        <v/>
      </c>
      <c r="AD978" s="525" t="str">
        <f t="shared" si="20"/>
        <v/>
      </c>
      <c r="AE978" s="525" t="str">
        <f t="shared" si="21"/>
        <v/>
      </c>
      <c r="AF978" s="525" t="str">
        <f t="shared" si="22"/>
        <v/>
      </c>
      <c r="AG978" s="525" t="str">
        <f t="shared" si="23"/>
        <v/>
      </c>
      <c r="AH978" s="525">
        <f>E979</f>
        <v>0</v>
      </c>
      <c r="AI978" s="525">
        <f>E980</f>
        <v>0</v>
      </c>
    </row>
    <row r="979" spans="1:35" x14ac:dyDescent="0.2">
      <c r="A979" s="531"/>
      <c r="B979" s="303"/>
      <c r="C979" s="303"/>
      <c r="D979" s="303"/>
      <c r="E979" s="303"/>
      <c r="F979" s="303"/>
      <c r="G979" s="303"/>
      <c r="H979" s="303"/>
      <c r="I979" s="303"/>
      <c r="J979" s="303"/>
      <c r="K979" s="303"/>
      <c r="L979" s="303"/>
      <c r="M979" s="303"/>
      <c r="N979" s="303"/>
      <c r="O979" s="303"/>
      <c r="P979" s="303"/>
      <c r="Q979" s="303"/>
      <c r="R979" s="303"/>
      <c r="S979" s="303"/>
      <c r="T979" s="303"/>
      <c r="U979" s="303"/>
      <c r="V979" s="303"/>
      <c r="W979" s="303"/>
      <c r="X979" s="303"/>
      <c r="Y979" s="303"/>
      <c r="Z979" s="532"/>
      <c r="AA979" s="530"/>
      <c r="AB979" s="525" t="str">
        <f t="shared" si="18"/>
        <v/>
      </c>
      <c r="AC979" s="525" t="str">
        <f t="shared" si="19"/>
        <v/>
      </c>
      <c r="AD979" s="525" t="str">
        <f t="shared" si="20"/>
        <v/>
      </c>
      <c r="AE979" s="525" t="str">
        <f t="shared" si="21"/>
        <v/>
      </c>
      <c r="AF979" s="525" t="str">
        <f t="shared" si="22"/>
        <v/>
      </c>
      <c r="AG979" s="525" t="str">
        <f t="shared" si="23"/>
        <v/>
      </c>
      <c r="AH979" s="525">
        <f>E979</f>
        <v>0</v>
      </c>
      <c r="AI979" s="525">
        <f>E980</f>
        <v>0</v>
      </c>
    </row>
    <row r="980" spans="1:35" x14ac:dyDescent="0.2">
      <c r="A980" s="531"/>
      <c r="B980" s="303"/>
      <c r="C980" s="303"/>
      <c r="D980" s="303"/>
      <c r="E980" s="303"/>
      <c r="F980" s="303"/>
      <c r="G980" s="303"/>
      <c r="H980" s="303"/>
      <c r="I980" s="303"/>
      <c r="J980" s="303"/>
      <c r="K980" s="303"/>
      <c r="L980" s="303"/>
      <c r="M980" s="303"/>
      <c r="N980" s="303"/>
      <c r="O980" s="303"/>
      <c r="P980" s="303"/>
      <c r="Q980" s="303"/>
      <c r="R980" s="303"/>
      <c r="S980" s="303"/>
      <c r="T980" s="303"/>
      <c r="U980" s="303"/>
      <c r="V980" s="303"/>
      <c r="W980" s="303"/>
      <c r="X980" s="303"/>
      <c r="Y980" s="303"/>
      <c r="Z980" s="532"/>
      <c r="AA980" s="530"/>
      <c r="AB980" s="525" t="str">
        <f t="shared" si="18"/>
        <v/>
      </c>
      <c r="AC980" s="525" t="str">
        <f t="shared" si="19"/>
        <v/>
      </c>
      <c r="AD980" s="525" t="str">
        <f t="shared" si="20"/>
        <v/>
      </c>
      <c r="AE980" s="525" t="str">
        <f t="shared" si="21"/>
        <v/>
      </c>
      <c r="AF980" s="525" t="str">
        <f t="shared" si="22"/>
        <v/>
      </c>
      <c r="AG980" s="525" t="str">
        <f t="shared" si="23"/>
        <v/>
      </c>
      <c r="AH980" s="525">
        <f>E979</f>
        <v>0</v>
      </c>
      <c r="AI980" s="525">
        <f>E980</f>
        <v>0</v>
      </c>
    </row>
    <row r="981" spans="1:35" x14ac:dyDescent="0.2">
      <c r="A981" s="531"/>
      <c r="B981" s="303"/>
      <c r="C981" s="303"/>
      <c r="D981" s="303"/>
      <c r="E981" s="303"/>
      <c r="F981" s="303"/>
      <c r="G981" s="303"/>
      <c r="H981" s="303"/>
      <c r="I981" s="303"/>
      <c r="J981" s="303"/>
      <c r="K981" s="303"/>
      <c r="L981" s="303"/>
      <c r="M981" s="303"/>
      <c r="N981" s="303"/>
      <c r="O981" s="303"/>
      <c r="P981" s="303"/>
      <c r="Q981" s="303"/>
      <c r="R981" s="303"/>
      <c r="S981" s="303"/>
      <c r="T981" s="303"/>
      <c r="U981" s="303"/>
      <c r="V981" s="303"/>
      <c r="W981" s="303"/>
      <c r="X981" s="303"/>
      <c r="Y981" s="303"/>
      <c r="Z981" s="532"/>
      <c r="AA981" s="530"/>
      <c r="AB981" s="525" t="str">
        <f t="shared" si="18"/>
        <v/>
      </c>
      <c r="AC981" s="525" t="str">
        <f t="shared" si="19"/>
        <v/>
      </c>
      <c r="AD981" s="525" t="str">
        <f t="shared" si="20"/>
        <v/>
      </c>
      <c r="AE981" s="525" t="str">
        <f t="shared" si="21"/>
        <v/>
      </c>
      <c r="AF981" s="525" t="str">
        <f t="shared" si="22"/>
        <v/>
      </c>
      <c r="AG981" s="525" t="str">
        <f t="shared" si="23"/>
        <v/>
      </c>
      <c r="AH981" s="525">
        <f>E982</f>
        <v>0</v>
      </c>
      <c r="AI981" s="525">
        <f>E983</f>
        <v>0</v>
      </c>
    </row>
    <row r="982" spans="1:35" x14ac:dyDescent="0.2">
      <c r="A982" s="531"/>
      <c r="B982" s="303"/>
      <c r="C982" s="303"/>
      <c r="D982" s="303"/>
      <c r="E982" s="303"/>
      <c r="F982" s="303"/>
      <c r="G982" s="303"/>
      <c r="H982" s="303"/>
      <c r="I982" s="303"/>
      <c r="J982" s="303"/>
      <c r="K982" s="303"/>
      <c r="L982" s="303"/>
      <c r="M982" s="303"/>
      <c r="N982" s="303"/>
      <c r="O982" s="303"/>
      <c r="P982" s="303"/>
      <c r="Q982" s="303"/>
      <c r="R982" s="303"/>
      <c r="S982" s="303"/>
      <c r="T982" s="303"/>
      <c r="U982" s="303"/>
      <c r="V982" s="303"/>
      <c r="W982" s="303"/>
      <c r="X982" s="303"/>
      <c r="Y982" s="303"/>
      <c r="Z982" s="532"/>
      <c r="AA982" s="530"/>
      <c r="AB982" s="525" t="str">
        <f t="shared" si="18"/>
        <v/>
      </c>
      <c r="AC982" s="525" t="str">
        <f t="shared" si="19"/>
        <v/>
      </c>
      <c r="AD982" s="525" t="str">
        <f t="shared" si="20"/>
        <v/>
      </c>
      <c r="AE982" s="525" t="str">
        <f t="shared" si="21"/>
        <v/>
      </c>
      <c r="AF982" s="525" t="str">
        <f t="shared" si="22"/>
        <v/>
      </c>
      <c r="AG982" s="525" t="str">
        <f t="shared" si="23"/>
        <v/>
      </c>
      <c r="AH982" s="525">
        <f>E982</f>
        <v>0</v>
      </c>
      <c r="AI982" s="525">
        <f>E983</f>
        <v>0</v>
      </c>
    </row>
    <row r="983" spans="1:35" x14ac:dyDescent="0.2">
      <c r="A983" s="531"/>
      <c r="B983" s="303"/>
      <c r="C983" s="303"/>
      <c r="D983" s="303"/>
      <c r="E983" s="303"/>
      <c r="F983" s="303"/>
      <c r="G983" s="303"/>
      <c r="H983" s="303"/>
      <c r="I983" s="303"/>
      <c r="J983" s="303"/>
      <c r="K983" s="303"/>
      <c r="L983" s="303"/>
      <c r="M983" s="303"/>
      <c r="N983" s="303"/>
      <c r="O983" s="303"/>
      <c r="P983" s="303"/>
      <c r="Q983" s="303"/>
      <c r="R983" s="303"/>
      <c r="S983" s="303"/>
      <c r="T983" s="303"/>
      <c r="U983" s="303"/>
      <c r="V983" s="303"/>
      <c r="W983" s="303"/>
      <c r="X983" s="303"/>
      <c r="Y983" s="303"/>
      <c r="Z983" s="532"/>
      <c r="AA983" s="530"/>
      <c r="AB983" s="525" t="str">
        <f t="shared" si="18"/>
        <v/>
      </c>
      <c r="AC983" s="525" t="str">
        <f t="shared" si="19"/>
        <v/>
      </c>
      <c r="AD983" s="525" t="str">
        <f t="shared" si="20"/>
        <v/>
      </c>
      <c r="AE983" s="525" t="str">
        <f t="shared" si="21"/>
        <v/>
      </c>
      <c r="AF983" s="525" t="str">
        <f t="shared" si="22"/>
        <v/>
      </c>
      <c r="AG983" s="525" t="str">
        <f t="shared" si="23"/>
        <v/>
      </c>
      <c r="AH983" s="525">
        <f>E982</f>
        <v>0</v>
      </c>
      <c r="AI983" s="525">
        <f>E983</f>
        <v>0</v>
      </c>
    </row>
    <row r="984" spans="1:35" x14ac:dyDescent="0.2">
      <c r="A984" s="531"/>
      <c r="B984" s="303"/>
      <c r="C984" s="303"/>
      <c r="D984" s="303"/>
      <c r="E984" s="303"/>
      <c r="F984" s="303"/>
      <c r="G984" s="303"/>
      <c r="H984" s="303"/>
      <c r="I984" s="303"/>
      <c r="J984" s="303"/>
      <c r="K984" s="303"/>
      <c r="L984" s="303"/>
      <c r="M984" s="303"/>
      <c r="N984" s="303"/>
      <c r="O984" s="303"/>
      <c r="P984" s="303"/>
      <c r="Q984" s="303"/>
      <c r="R984" s="303"/>
      <c r="S984" s="303"/>
      <c r="T984" s="303"/>
      <c r="U984" s="303"/>
      <c r="V984" s="303"/>
      <c r="W984" s="303"/>
      <c r="X984" s="303"/>
      <c r="Y984" s="303"/>
      <c r="Z984" s="532"/>
      <c r="AA984" s="530"/>
      <c r="AB984" s="525" t="str">
        <f t="shared" si="18"/>
        <v/>
      </c>
      <c r="AC984" s="525" t="str">
        <f t="shared" si="19"/>
        <v/>
      </c>
      <c r="AD984" s="525" t="str">
        <f t="shared" si="20"/>
        <v/>
      </c>
      <c r="AE984" s="525" t="str">
        <f t="shared" si="21"/>
        <v/>
      </c>
      <c r="AF984" s="525" t="str">
        <f t="shared" si="22"/>
        <v/>
      </c>
      <c r="AG984" s="525" t="str">
        <f t="shared" si="23"/>
        <v/>
      </c>
      <c r="AH984" s="525">
        <f>E985</f>
        <v>0</v>
      </c>
      <c r="AI984" s="525">
        <f>E986</f>
        <v>0</v>
      </c>
    </row>
    <row r="985" spans="1:35" x14ac:dyDescent="0.2">
      <c r="A985" s="531"/>
      <c r="B985" s="303"/>
      <c r="C985" s="303"/>
      <c r="D985" s="303"/>
      <c r="E985" s="303"/>
      <c r="F985" s="303"/>
      <c r="G985" s="303"/>
      <c r="H985" s="303"/>
      <c r="I985" s="303"/>
      <c r="J985" s="303"/>
      <c r="K985" s="303"/>
      <c r="L985" s="303"/>
      <c r="M985" s="303"/>
      <c r="N985" s="303"/>
      <c r="O985" s="303"/>
      <c r="P985" s="303"/>
      <c r="Q985" s="303"/>
      <c r="R985" s="303"/>
      <c r="S985" s="303"/>
      <c r="T985" s="303"/>
      <c r="U985" s="303"/>
      <c r="V985" s="303"/>
      <c r="W985" s="303"/>
      <c r="X985" s="303"/>
      <c r="Y985" s="303"/>
      <c r="Z985" s="532"/>
      <c r="AA985" s="530"/>
      <c r="AB985" s="525" t="str">
        <f t="shared" si="18"/>
        <v/>
      </c>
      <c r="AC985" s="525" t="str">
        <f t="shared" si="19"/>
        <v/>
      </c>
      <c r="AD985" s="525" t="str">
        <f t="shared" si="20"/>
        <v/>
      </c>
      <c r="AE985" s="525" t="str">
        <f t="shared" si="21"/>
        <v/>
      </c>
      <c r="AF985" s="525" t="str">
        <f t="shared" si="22"/>
        <v/>
      </c>
      <c r="AG985" s="525" t="str">
        <f t="shared" si="23"/>
        <v/>
      </c>
      <c r="AH985" s="525">
        <f>E985</f>
        <v>0</v>
      </c>
      <c r="AI985" s="525">
        <f>E986</f>
        <v>0</v>
      </c>
    </row>
    <row r="986" spans="1:35" x14ac:dyDescent="0.2">
      <c r="A986" s="531"/>
      <c r="B986" s="303"/>
      <c r="C986" s="303"/>
      <c r="D986" s="303"/>
      <c r="E986" s="303"/>
      <c r="F986" s="303"/>
      <c r="G986" s="303"/>
      <c r="H986" s="303"/>
      <c r="I986" s="303"/>
      <c r="J986" s="303"/>
      <c r="K986" s="303"/>
      <c r="L986" s="303"/>
      <c r="M986" s="303"/>
      <c r="N986" s="303"/>
      <c r="O986" s="303"/>
      <c r="P986" s="303"/>
      <c r="Q986" s="303"/>
      <c r="R986" s="303"/>
      <c r="S986" s="303"/>
      <c r="T986" s="303"/>
      <c r="U986" s="303"/>
      <c r="V986" s="303"/>
      <c r="W986" s="303"/>
      <c r="X986" s="303"/>
      <c r="Y986" s="303"/>
      <c r="Z986" s="532"/>
      <c r="AA986" s="530"/>
      <c r="AB986" s="525" t="str">
        <f t="shared" si="18"/>
        <v/>
      </c>
      <c r="AC986" s="525" t="str">
        <f t="shared" si="19"/>
        <v/>
      </c>
      <c r="AD986" s="525" t="str">
        <f t="shared" si="20"/>
        <v/>
      </c>
      <c r="AE986" s="525" t="str">
        <f t="shared" si="21"/>
        <v/>
      </c>
      <c r="AF986" s="525" t="str">
        <f t="shared" si="22"/>
        <v/>
      </c>
      <c r="AG986" s="525" t="str">
        <f t="shared" si="23"/>
        <v/>
      </c>
      <c r="AH986" s="525">
        <f>E985</f>
        <v>0</v>
      </c>
      <c r="AI986" s="525">
        <f>E986</f>
        <v>0</v>
      </c>
    </row>
    <row r="987" spans="1:35" x14ac:dyDescent="0.2">
      <c r="A987" s="531"/>
      <c r="B987" s="303"/>
      <c r="C987" s="303"/>
      <c r="D987" s="303"/>
      <c r="E987" s="303"/>
      <c r="F987" s="303"/>
      <c r="G987" s="303"/>
      <c r="H987" s="303"/>
      <c r="I987" s="303"/>
      <c r="J987" s="303"/>
      <c r="K987" s="303"/>
      <c r="L987" s="303"/>
      <c r="M987" s="303"/>
      <c r="N987" s="303"/>
      <c r="O987" s="303"/>
      <c r="P987" s="303"/>
      <c r="Q987" s="303"/>
      <c r="R987" s="303"/>
      <c r="S987" s="303"/>
      <c r="T987" s="303"/>
      <c r="U987" s="303"/>
      <c r="V987" s="303"/>
      <c r="W987" s="303"/>
      <c r="X987" s="303"/>
      <c r="Y987" s="303"/>
      <c r="Z987" s="532"/>
      <c r="AA987" s="530"/>
      <c r="AB987" s="525" t="str">
        <f t="shared" si="18"/>
        <v/>
      </c>
      <c r="AC987" s="525" t="str">
        <f t="shared" si="19"/>
        <v/>
      </c>
      <c r="AD987" s="525" t="str">
        <f t="shared" si="20"/>
        <v/>
      </c>
      <c r="AE987" s="525" t="str">
        <f t="shared" si="21"/>
        <v/>
      </c>
      <c r="AF987" s="525" t="str">
        <f t="shared" si="22"/>
        <v/>
      </c>
      <c r="AG987" s="525" t="str">
        <f t="shared" si="23"/>
        <v/>
      </c>
      <c r="AH987" s="525">
        <f>E988</f>
        <v>0</v>
      </c>
      <c r="AI987" s="525">
        <f>E989</f>
        <v>0</v>
      </c>
    </row>
    <row r="988" spans="1:35" x14ac:dyDescent="0.2">
      <c r="A988" s="531"/>
      <c r="B988" s="303"/>
      <c r="C988" s="303"/>
      <c r="D988" s="303"/>
      <c r="E988" s="303"/>
      <c r="F988" s="303"/>
      <c r="G988" s="303"/>
      <c r="H988" s="303"/>
      <c r="I988" s="303"/>
      <c r="J988" s="303"/>
      <c r="K988" s="303"/>
      <c r="L988" s="303"/>
      <c r="M988" s="303"/>
      <c r="N988" s="303"/>
      <c r="O988" s="303"/>
      <c r="P988" s="303"/>
      <c r="Q988" s="303"/>
      <c r="R988" s="303"/>
      <c r="S988" s="303"/>
      <c r="T988" s="303"/>
      <c r="U988" s="303"/>
      <c r="V988" s="303"/>
      <c r="W988" s="303"/>
      <c r="X988" s="303"/>
      <c r="Y988" s="303"/>
      <c r="Z988" s="532"/>
      <c r="AA988" s="530"/>
      <c r="AB988" s="525" t="str">
        <f t="shared" si="18"/>
        <v/>
      </c>
      <c r="AC988" s="525" t="str">
        <f t="shared" si="19"/>
        <v/>
      </c>
      <c r="AD988" s="525" t="str">
        <f t="shared" si="20"/>
        <v/>
      </c>
      <c r="AE988" s="525" t="str">
        <f t="shared" si="21"/>
        <v/>
      </c>
      <c r="AF988" s="525" t="str">
        <f t="shared" si="22"/>
        <v/>
      </c>
      <c r="AG988" s="525" t="str">
        <f t="shared" si="23"/>
        <v/>
      </c>
      <c r="AH988" s="525">
        <f>E988</f>
        <v>0</v>
      </c>
      <c r="AI988" s="525">
        <f>E989</f>
        <v>0</v>
      </c>
    </row>
    <row r="989" spans="1:35" x14ac:dyDescent="0.2">
      <c r="A989" s="531"/>
      <c r="B989" s="303"/>
      <c r="C989" s="303"/>
      <c r="D989" s="303"/>
      <c r="E989" s="303"/>
      <c r="F989" s="303"/>
      <c r="G989" s="303"/>
      <c r="H989" s="303"/>
      <c r="I989" s="303"/>
      <c r="J989" s="303"/>
      <c r="K989" s="303"/>
      <c r="L989" s="303"/>
      <c r="M989" s="303"/>
      <c r="N989" s="303"/>
      <c r="O989" s="303"/>
      <c r="P989" s="303"/>
      <c r="Q989" s="303"/>
      <c r="R989" s="303"/>
      <c r="S989" s="303"/>
      <c r="T989" s="303"/>
      <c r="U989" s="303"/>
      <c r="V989" s="303"/>
      <c r="W989" s="303"/>
      <c r="X989" s="303"/>
      <c r="Y989" s="303"/>
      <c r="Z989" s="532"/>
      <c r="AA989" s="530"/>
      <c r="AB989" s="525" t="str">
        <f t="shared" si="18"/>
        <v/>
      </c>
      <c r="AC989" s="525" t="str">
        <f t="shared" si="19"/>
        <v/>
      </c>
      <c r="AD989" s="525" t="str">
        <f t="shared" si="20"/>
        <v/>
      </c>
      <c r="AE989" s="525" t="str">
        <f t="shared" si="21"/>
        <v/>
      </c>
      <c r="AF989" s="525" t="str">
        <f t="shared" si="22"/>
        <v/>
      </c>
      <c r="AG989" s="525" t="str">
        <f t="shared" si="23"/>
        <v/>
      </c>
      <c r="AH989" s="525">
        <f>E988</f>
        <v>0</v>
      </c>
      <c r="AI989" s="525">
        <f>E989</f>
        <v>0</v>
      </c>
    </row>
    <row r="990" spans="1:35" x14ac:dyDescent="0.2">
      <c r="A990" s="531"/>
      <c r="B990" s="303"/>
      <c r="C990" s="303"/>
      <c r="D990" s="303"/>
      <c r="E990" s="303"/>
      <c r="F990" s="303"/>
      <c r="G990" s="303"/>
      <c r="H990" s="303"/>
      <c r="I990" s="303"/>
      <c r="J990" s="303"/>
      <c r="K990" s="303"/>
      <c r="L990" s="303"/>
      <c r="M990" s="303"/>
      <c r="N990" s="303"/>
      <c r="O990" s="303"/>
      <c r="P990" s="303"/>
      <c r="Q990" s="303"/>
      <c r="R990" s="303"/>
      <c r="S990" s="303"/>
      <c r="T990" s="303"/>
      <c r="U990" s="303"/>
      <c r="V990" s="303"/>
      <c r="W990" s="303"/>
      <c r="X990" s="303"/>
      <c r="Y990" s="303"/>
      <c r="Z990" s="532"/>
      <c r="AA990" s="530"/>
      <c r="AB990" s="525" t="str">
        <f t="shared" si="18"/>
        <v/>
      </c>
      <c r="AC990" s="525" t="str">
        <f t="shared" si="19"/>
        <v/>
      </c>
      <c r="AD990" s="525" t="str">
        <f t="shared" si="20"/>
        <v/>
      </c>
      <c r="AE990" s="525" t="str">
        <f t="shared" si="21"/>
        <v/>
      </c>
      <c r="AF990" s="525" t="str">
        <f t="shared" si="22"/>
        <v/>
      </c>
      <c r="AG990" s="525" t="str">
        <f t="shared" si="23"/>
        <v/>
      </c>
      <c r="AH990" s="525">
        <f>E991</f>
        <v>0</v>
      </c>
      <c r="AI990" s="525">
        <f>E992</f>
        <v>0</v>
      </c>
    </row>
    <row r="991" spans="1:35" x14ac:dyDescent="0.2">
      <c r="A991" s="531"/>
      <c r="B991" s="303"/>
      <c r="C991" s="303"/>
      <c r="D991" s="303"/>
      <c r="E991" s="303"/>
      <c r="F991" s="303"/>
      <c r="G991" s="303"/>
      <c r="H991" s="303"/>
      <c r="I991" s="303"/>
      <c r="J991" s="303"/>
      <c r="K991" s="303"/>
      <c r="L991" s="303"/>
      <c r="M991" s="303"/>
      <c r="N991" s="303"/>
      <c r="O991" s="303"/>
      <c r="P991" s="303"/>
      <c r="Q991" s="303"/>
      <c r="R991" s="303"/>
      <c r="S991" s="303"/>
      <c r="T991" s="303"/>
      <c r="U991" s="303"/>
      <c r="V991" s="303"/>
      <c r="W991" s="303"/>
      <c r="X991" s="303"/>
      <c r="Y991" s="303"/>
      <c r="Z991" s="532"/>
      <c r="AA991" s="530"/>
      <c r="AB991" s="525" t="str">
        <f t="shared" si="18"/>
        <v/>
      </c>
      <c r="AC991" s="525" t="str">
        <f t="shared" si="19"/>
        <v/>
      </c>
      <c r="AD991" s="525" t="str">
        <f t="shared" si="20"/>
        <v/>
      </c>
      <c r="AE991" s="525" t="str">
        <f t="shared" si="21"/>
        <v/>
      </c>
      <c r="AF991" s="525" t="str">
        <f t="shared" si="22"/>
        <v/>
      </c>
      <c r="AG991" s="525" t="str">
        <f t="shared" si="23"/>
        <v/>
      </c>
      <c r="AH991" s="525">
        <f>E991</f>
        <v>0</v>
      </c>
      <c r="AI991" s="525">
        <f>E992</f>
        <v>0</v>
      </c>
    </row>
    <row r="992" spans="1:35" x14ac:dyDescent="0.2">
      <c r="A992" s="531"/>
      <c r="B992" s="303"/>
      <c r="C992" s="303"/>
      <c r="D992" s="303"/>
      <c r="E992" s="303"/>
      <c r="F992" s="303"/>
      <c r="G992" s="303"/>
      <c r="H992" s="303"/>
      <c r="I992" s="303"/>
      <c r="J992" s="303"/>
      <c r="K992" s="303"/>
      <c r="L992" s="303"/>
      <c r="M992" s="303"/>
      <c r="N992" s="303"/>
      <c r="O992" s="303"/>
      <c r="P992" s="303"/>
      <c r="Q992" s="303"/>
      <c r="R992" s="303"/>
      <c r="S992" s="303"/>
      <c r="T992" s="303"/>
      <c r="U992" s="303"/>
      <c r="V992" s="303"/>
      <c r="W992" s="303"/>
      <c r="X992" s="303"/>
      <c r="Y992" s="303"/>
      <c r="Z992" s="532"/>
      <c r="AA992" s="530"/>
      <c r="AB992" s="525" t="str">
        <f t="shared" si="18"/>
        <v/>
      </c>
      <c r="AC992" s="525" t="str">
        <f t="shared" si="19"/>
        <v/>
      </c>
      <c r="AD992" s="525" t="str">
        <f t="shared" si="20"/>
        <v/>
      </c>
      <c r="AE992" s="525" t="str">
        <f t="shared" si="21"/>
        <v/>
      </c>
      <c r="AF992" s="525" t="str">
        <f t="shared" si="22"/>
        <v/>
      </c>
      <c r="AG992" s="525" t="str">
        <f t="shared" si="23"/>
        <v/>
      </c>
      <c r="AH992" s="525">
        <f>E991</f>
        <v>0</v>
      </c>
      <c r="AI992" s="525">
        <f>E992</f>
        <v>0</v>
      </c>
    </row>
    <row r="993" spans="1:35" x14ac:dyDescent="0.2">
      <c r="A993" s="531"/>
      <c r="B993" s="303"/>
      <c r="C993" s="303"/>
      <c r="D993" s="303"/>
      <c r="E993" s="303"/>
      <c r="F993" s="303"/>
      <c r="G993" s="303"/>
      <c r="H993" s="303"/>
      <c r="I993" s="303"/>
      <c r="J993" s="303"/>
      <c r="K993" s="303"/>
      <c r="L993" s="303"/>
      <c r="M993" s="303"/>
      <c r="N993" s="303"/>
      <c r="O993" s="303"/>
      <c r="P993" s="303"/>
      <c r="Q993" s="303"/>
      <c r="R993" s="303"/>
      <c r="S993" s="303"/>
      <c r="T993" s="303"/>
      <c r="U993" s="303"/>
      <c r="V993" s="303"/>
      <c r="W993" s="303"/>
      <c r="X993" s="303"/>
      <c r="Y993" s="303"/>
      <c r="Z993" s="532"/>
      <c r="AA993" s="530"/>
      <c r="AB993" s="525" t="str">
        <f t="shared" si="18"/>
        <v/>
      </c>
      <c r="AC993" s="525" t="str">
        <f t="shared" si="19"/>
        <v/>
      </c>
      <c r="AD993" s="525" t="str">
        <f t="shared" si="20"/>
        <v/>
      </c>
      <c r="AE993" s="525" t="str">
        <f t="shared" si="21"/>
        <v/>
      </c>
      <c r="AF993" s="525" t="str">
        <f t="shared" si="22"/>
        <v/>
      </c>
      <c r="AG993" s="525" t="str">
        <f t="shared" si="23"/>
        <v/>
      </c>
      <c r="AH993" s="525">
        <f>E994</f>
        <v>0</v>
      </c>
      <c r="AI993" s="525">
        <f>E995</f>
        <v>0</v>
      </c>
    </row>
    <row r="994" spans="1:35" x14ac:dyDescent="0.2">
      <c r="A994" s="531"/>
      <c r="B994" s="303"/>
      <c r="C994" s="303"/>
      <c r="D994" s="303"/>
      <c r="E994" s="303"/>
      <c r="F994" s="303"/>
      <c r="G994" s="303"/>
      <c r="H994" s="303"/>
      <c r="I994" s="303"/>
      <c r="J994" s="303"/>
      <c r="K994" s="303"/>
      <c r="L994" s="303"/>
      <c r="M994" s="303"/>
      <c r="N994" s="303"/>
      <c r="O994" s="303"/>
      <c r="P994" s="303"/>
      <c r="Q994" s="303"/>
      <c r="R994" s="303"/>
      <c r="S994" s="303"/>
      <c r="T994" s="303"/>
      <c r="U994" s="303"/>
      <c r="V994" s="303"/>
      <c r="W994" s="303"/>
      <c r="X994" s="303"/>
      <c r="Y994" s="303"/>
      <c r="Z994" s="532"/>
      <c r="AA994" s="530"/>
      <c r="AB994" s="525" t="str">
        <f t="shared" si="18"/>
        <v/>
      </c>
      <c r="AC994" s="525" t="str">
        <f t="shared" si="19"/>
        <v/>
      </c>
      <c r="AD994" s="525" t="str">
        <f t="shared" si="20"/>
        <v/>
      </c>
      <c r="AE994" s="525" t="str">
        <f t="shared" si="21"/>
        <v/>
      </c>
      <c r="AF994" s="525" t="str">
        <f t="shared" si="22"/>
        <v/>
      </c>
      <c r="AG994" s="525" t="str">
        <f t="shared" si="23"/>
        <v/>
      </c>
      <c r="AH994" s="525">
        <f>E994</f>
        <v>0</v>
      </c>
      <c r="AI994" s="525">
        <f>E995</f>
        <v>0</v>
      </c>
    </row>
    <row r="995" spans="1:35" x14ac:dyDescent="0.2">
      <c r="A995" s="531"/>
      <c r="B995" s="303"/>
      <c r="C995" s="303"/>
      <c r="D995" s="303"/>
      <c r="E995" s="303"/>
      <c r="F995" s="303"/>
      <c r="G995" s="303"/>
      <c r="H995" s="303"/>
      <c r="I995" s="303"/>
      <c r="J995" s="303"/>
      <c r="K995" s="303"/>
      <c r="L995" s="303"/>
      <c r="M995" s="303"/>
      <c r="N995" s="303"/>
      <c r="O995" s="303"/>
      <c r="P995" s="303"/>
      <c r="Q995" s="303"/>
      <c r="R995" s="303"/>
      <c r="S995" s="303"/>
      <c r="T995" s="303"/>
      <c r="U995" s="303"/>
      <c r="V995" s="303"/>
      <c r="W995" s="303"/>
      <c r="X995" s="303"/>
      <c r="Y995" s="303"/>
      <c r="Z995" s="532"/>
      <c r="AA995" s="530"/>
      <c r="AB995" s="525" t="str">
        <f t="shared" si="18"/>
        <v/>
      </c>
      <c r="AC995" s="525" t="str">
        <f t="shared" si="19"/>
        <v/>
      </c>
      <c r="AD995" s="525" t="str">
        <f t="shared" si="20"/>
        <v/>
      </c>
      <c r="AE995" s="525" t="str">
        <f t="shared" si="21"/>
        <v/>
      </c>
      <c r="AF995" s="525" t="str">
        <f t="shared" si="22"/>
        <v/>
      </c>
      <c r="AG995" s="525" t="str">
        <f t="shared" si="23"/>
        <v/>
      </c>
      <c r="AH995" s="525">
        <f>E994</f>
        <v>0</v>
      </c>
      <c r="AI995" s="525">
        <f>E995</f>
        <v>0</v>
      </c>
    </row>
    <row r="996" spans="1:35" x14ac:dyDescent="0.2">
      <c r="A996" s="531"/>
      <c r="B996" s="303"/>
      <c r="C996" s="303"/>
      <c r="D996" s="303"/>
      <c r="E996" s="303"/>
      <c r="F996" s="303"/>
      <c r="G996" s="303"/>
      <c r="H996" s="303"/>
      <c r="I996" s="303"/>
      <c r="J996" s="303"/>
      <c r="K996" s="303"/>
      <c r="L996" s="303"/>
      <c r="M996" s="303"/>
      <c r="N996" s="303"/>
      <c r="O996" s="303"/>
      <c r="P996" s="303"/>
      <c r="Q996" s="303"/>
      <c r="R996" s="303"/>
      <c r="S996" s="303"/>
      <c r="T996" s="303"/>
      <c r="U996" s="303"/>
      <c r="V996" s="303"/>
      <c r="W996" s="303"/>
      <c r="X996" s="303"/>
      <c r="Y996" s="303"/>
      <c r="Z996" s="532"/>
      <c r="AA996" s="530"/>
      <c r="AB996" s="525" t="str">
        <f t="shared" si="18"/>
        <v/>
      </c>
      <c r="AC996" s="525" t="str">
        <f t="shared" si="19"/>
        <v/>
      </c>
      <c r="AD996" s="525" t="str">
        <f t="shared" si="20"/>
        <v/>
      </c>
      <c r="AE996" s="525" t="str">
        <f t="shared" si="21"/>
        <v/>
      </c>
      <c r="AF996" s="525" t="str">
        <f t="shared" si="22"/>
        <v/>
      </c>
      <c r="AG996" s="525" t="str">
        <f t="shared" si="23"/>
        <v/>
      </c>
      <c r="AH996" s="525">
        <f>E997</f>
        <v>0</v>
      </c>
      <c r="AI996" s="525">
        <f>E998</f>
        <v>0</v>
      </c>
    </row>
    <row r="997" spans="1:35" x14ac:dyDescent="0.2">
      <c r="A997" s="531"/>
      <c r="B997" s="303"/>
      <c r="C997" s="303"/>
      <c r="D997" s="303"/>
      <c r="E997" s="303"/>
      <c r="F997" s="303"/>
      <c r="G997" s="303"/>
      <c r="H997" s="303"/>
      <c r="I997" s="303"/>
      <c r="J997" s="303"/>
      <c r="K997" s="303"/>
      <c r="L997" s="303"/>
      <c r="M997" s="303"/>
      <c r="N997" s="303"/>
      <c r="O997" s="303"/>
      <c r="P997" s="303"/>
      <c r="Q997" s="303"/>
      <c r="R997" s="303"/>
      <c r="S997" s="303"/>
      <c r="T997" s="303"/>
      <c r="U997" s="303"/>
      <c r="V997" s="303"/>
      <c r="W997" s="303"/>
      <c r="X997" s="303"/>
      <c r="Y997" s="303"/>
      <c r="Z997" s="532"/>
      <c r="AA997" s="530"/>
      <c r="AB997" s="525" t="str">
        <f t="shared" si="18"/>
        <v/>
      </c>
      <c r="AC997" s="525" t="str">
        <f t="shared" si="19"/>
        <v/>
      </c>
      <c r="AD997" s="525" t="str">
        <f t="shared" si="20"/>
        <v/>
      </c>
      <c r="AE997" s="525" t="str">
        <f t="shared" si="21"/>
        <v/>
      </c>
      <c r="AF997" s="525" t="str">
        <f t="shared" si="22"/>
        <v/>
      </c>
      <c r="AG997" s="525" t="str">
        <f t="shared" si="23"/>
        <v/>
      </c>
      <c r="AH997" s="525">
        <f>E997</f>
        <v>0</v>
      </c>
      <c r="AI997" s="525">
        <f>E998</f>
        <v>0</v>
      </c>
    </row>
    <row r="998" spans="1:35" x14ac:dyDescent="0.2">
      <c r="A998" s="531"/>
      <c r="B998" s="303"/>
      <c r="C998" s="303"/>
      <c r="D998" s="303"/>
      <c r="E998" s="303"/>
      <c r="F998" s="303"/>
      <c r="G998" s="303"/>
      <c r="H998" s="303"/>
      <c r="I998" s="303"/>
      <c r="J998" s="303"/>
      <c r="K998" s="303"/>
      <c r="L998" s="303"/>
      <c r="M998" s="303"/>
      <c r="N998" s="303"/>
      <c r="O998" s="303"/>
      <c r="P998" s="303"/>
      <c r="Q998" s="303"/>
      <c r="R998" s="303"/>
      <c r="S998" s="303"/>
      <c r="T998" s="303"/>
      <c r="U998" s="303"/>
      <c r="V998" s="303"/>
      <c r="W998" s="303"/>
      <c r="X998" s="303"/>
      <c r="Y998" s="303"/>
      <c r="Z998" s="532"/>
      <c r="AA998" s="530"/>
      <c r="AB998" s="525" t="str">
        <f t="shared" si="18"/>
        <v/>
      </c>
      <c r="AC998" s="525" t="str">
        <f t="shared" si="19"/>
        <v/>
      </c>
      <c r="AD998" s="525" t="str">
        <f t="shared" si="20"/>
        <v/>
      </c>
      <c r="AE998" s="525" t="str">
        <f t="shared" si="21"/>
        <v/>
      </c>
      <c r="AF998" s="525" t="str">
        <f t="shared" si="22"/>
        <v/>
      </c>
      <c r="AG998" s="525" t="str">
        <f t="shared" si="23"/>
        <v/>
      </c>
      <c r="AH998" s="525">
        <f>E997</f>
        <v>0</v>
      </c>
      <c r="AI998" s="525">
        <f>E998</f>
        <v>0</v>
      </c>
    </row>
    <row r="999" spans="1:35" x14ac:dyDescent="0.2">
      <c r="A999" s="531"/>
      <c r="B999" s="303"/>
      <c r="C999" s="303"/>
      <c r="D999" s="303"/>
      <c r="E999" s="303"/>
      <c r="F999" s="303"/>
      <c r="G999" s="303"/>
      <c r="H999" s="303"/>
      <c r="I999" s="303"/>
      <c r="J999" s="303"/>
      <c r="K999" s="303"/>
      <c r="L999" s="303"/>
      <c r="M999" s="303"/>
      <c r="N999" s="303"/>
      <c r="O999" s="303"/>
      <c r="P999" s="303"/>
      <c r="Q999" s="303"/>
      <c r="R999" s="303"/>
      <c r="S999" s="303"/>
      <c r="T999" s="303"/>
      <c r="U999" s="303"/>
      <c r="V999" s="303"/>
      <c r="W999" s="303"/>
      <c r="X999" s="303"/>
      <c r="Y999" s="303"/>
      <c r="Z999" s="532"/>
      <c r="AA999" s="530"/>
      <c r="AB999" s="525" t="str">
        <f t="shared" si="18"/>
        <v/>
      </c>
      <c r="AC999" s="525" t="str">
        <f t="shared" si="19"/>
        <v/>
      </c>
      <c r="AD999" s="525" t="str">
        <f t="shared" si="20"/>
        <v/>
      </c>
      <c r="AE999" s="525" t="str">
        <f t="shared" si="21"/>
        <v/>
      </c>
      <c r="AF999" s="525" t="str">
        <f t="shared" si="22"/>
        <v/>
      </c>
      <c r="AG999" s="525" t="str">
        <f t="shared" si="23"/>
        <v/>
      </c>
      <c r="AH999" s="525"/>
      <c r="AI999" s="525"/>
    </row>
    <row r="1000" spans="1:35" x14ac:dyDescent="0.2">
      <c r="A1000" s="531"/>
      <c r="B1000" s="303"/>
      <c r="C1000" s="303"/>
      <c r="D1000" s="303"/>
      <c r="E1000" s="303"/>
      <c r="F1000" s="303"/>
      <c r="G1000" s="303"/>
      <c r="H1000" s="303"/>
      <c r="I1000" s="303"/>
      <c r="J1000" s="303"/>
      <c r="K1000" s="303"/>
      <c r="L1000" s="303"/>
      <c r="M1000" s="303"/>
      <c r="N1000" s="303"/>
      <c r="O1000" s="303"/>
      <c r="P1000" s="303"/>
      <c r="Q1000" s="303"/>
      <c r="R1000" s="303"/>
      <c r="S1000" s="303"/>
      <c r="T1000" s="303"/>
      <c r="U1000" s="303"/>
      <c r="V1000" s="303"/>
      <c r="W1000" s="303"/>
      <c r="X1000" s="303"/>
      <c r="Y1000" s="303"/>
      <c r="Z1000" s="533"/>
      <c r="AA1000" s="530"/>
      <c r="AB1000" s="525" t="str">
        <f t="shared" si="18"/>
        <v/>
      </c>
      <c r="AC1000" s="525" t="str">
        <f t="shared" si="19"/>
        <v/>
      </c>
      <c r="AD1000" s="525" t="str">
        <f t="shared" si="20"/>
        <v/>
      </c>
      <c r="AE1000" s="525" t="str">
        <f t="shared" si="21"/>
        <v/>
      </c>
      <c r="AF1000" s="525" t="str">
        <f t="shared" si="22"/>
        <v/>
      </c>
      <c r="AG1000" s="525" t="str">
        <f t="shared" si="23"/>
        <v/>
      </c>
      <c r="AH1000" s="525"/>
      <c r="AI1000" s="525"/>
    </row>
  </sheetData>
  <mergeCells count="141">
    <mergeCell ref="Z3:Z5"/>
    <mergeCell ref="Z6:Z8"/>
    <mergeCell ref="Z9:Z11"/>
    <mergeCell ref="Z12:Z14"/>
    <mergeCell ref="Z15:Z17"/>
    <mergeCell ref="Z18:Z20"/>
    <mergeCell ref="Z21:Z23"/>
    <mergeCell ref="Z24:Z26"/>
    <mergeCell ref="Z27:Z29"/>
    <mergeCell ref="Z36:Z38"/>
    <mergeCell ref="Z39:Z41"/>
    <mergeCell ref="Z42:Z44"/>
    <mergeCell ref="Z45:Z47"/>
    <mergeCell ref="Z48:Z50"/>
    <mergeCell ref="Z72:Z74"/>
    <mergeCell ref="Z75:Z77"/>
    <mergeCell ref="Z78:Z80"/>
    <mergeCell ref="Z81:Z83"/>
    <mergeCell ref="Z84:Z86"/>
    <mergeCell ref="Z51:Z53"/>
    <mergeCell ref="Z54:Z56"/>
    <mergeCell ref="Z57:Z59"/>
    <mergeCell ref="Z60:Z62"/>
    <mergeCell ref="Z63:Z65"/>
    <mergeCell ref="Z66:Z68"/>
    <mergeCell ref="Z69:Z71"/>
    <mergeCell ref="A1:Z1"/>
    <mergeCell ref="A3:A5"/>
    <mergeCell ref="B3:B5"/>
    <mergeCell ref="C3:C5"/>
    <mergeCell ref="D3:D5"/>
    <mergeCell ref="A6:A8"/>
    <mergeCell ref="D6:D8"/>
    <mergeCell ref="B12:B14"/>
    <mergeCell ref="C12:C14"/>
    <mergeCell ref="B6:B8"/>
    <mergeCell ref="C6:C8"/>
    <mergeCell ref="A9:A11"/>
    <mergeCell ref="B9:B11"/>
    <mergeCell ref="C9:C11"/>
    <mergeCell ref="D9:D11"/>
    <mergeCell ref="D12:D14"/>
    <mergeCell ref="C18:C20"/>
    <mergeCell ref="D18:D20"/>
    <mergeCell ref="A12:A14"/>
    <mergeCell ref="A15:A17"/>
    <mergeCell ref="B15:B17"/>
    <mergeCell ref="C15:C17"/>
    <mergeCell ref="D15:D17"/>
    <mergeCell ref="A18:A20"/>
    <mergeCell ref="B18:B20"/>
    <mergeCell ref="C30:C32"/>
    <mergeCell ref="D30:D32"/>
    <mergeCell ref="Z30:Z32"/>
    <mergeCell ref="A33:A35"/>
    <mergeCell ref="B33:B35"/>
    <mergeCell ref="C33:C35"/>
    <mergeCell ref="D33:D35"/>
    <mergeCell ref="Z33:Z35"/>
    <mergeCell ref="A48:A50"/>
    <mergeCell ref="B48:B50"/>
    <mergeCell ref="C48:C50"/>
    <mergeCell ref="D48:D50"/>
    <mergeCell ref="A30:A32"/>
    <mergeCell ref="B30:B32"/>
    <mergeCell ref="A36:A38"/>
    <mergeCell ref="B36:B38"/>
    <mergeCell ref="C36:C38"/>
    <mergeCell ref="D36:D38"/>
    <mergeCell ref="B39:B41"/>
    <mergeCell ref="C39:C41"/>
    <mergeCell ref="D39:D41"/>
    <mergeCell ref="C45:C47"/>
    <mergeCell ref="D45:D47"/>
    <mergeCell ref="A39:A41"/>
    <mergeCell ref="B51:B53"/>
    <mergeCell ref="C51:C53"/>
    <mergeCell ref="D51:D53"/>
    <mergeCell ref="A51:A53"/>
    <mergeCell ref="A54:A56"/>
    <mergeCell ref="B54:B56"/>
    <mergeCell ref="C54:C56"/>
    <mergeCell ref="D54:D56"/>
    <mergeCell ref="A57:A59"/>
    <mergeCell ref="B57:B59"/>
    <mergeCell ref="C75:C77"/>
    <mergeCell ref="C69:C71"/>
    <mergeCell ref="D69:D71"/>
    <mergeCell ref="A72:A74"/>
    <mergeCell ref="B72:B74"/>
    <mergeCell ref="C72:C74"/>
    <mergeCell ref="D72:D74"/>
    <mergeCell ref="D75:D77"/>
    <mergeCell ref="A60:A62"/>
    <mergeCell ref="B60:B62"/>
    <mergeCell ref="C60:C62"/>
    <mergeCell ref="D60:D62"/>
    <mergeCell ref="B63:B65"/>
    <mergeCell ref="C63:C65"/>
    <mergeCell ref="D63:D65"/>
    <mergeCell ref="A63:A65"/>
    <mergeCell ref="A66:A68"/>
    <mergeCell ref="B66:B68"/>
    <mergeCell ref="C66:C68"/>
    <mergeCell ref="D66:D68"/>
    <mergeCell ref="A21:A23"/>
    <mergeCell ref="B21:B23"/>
    <mergeCell ref="C21:C23"/>
    <mergeCell ref="D21:D23"/>
    <mergeCell ref="B24:B26"/>
    <mergeCell ref="C24:C26"/>
    <mergeCell ref="D24:D26"/>
    <mergeCell ref="A24:A26"/>
    <mergeCell ref="A27:A29"/>
    <mergeCell ref="B27:B29"/>
    <mergeCell ref="C27:C29"/>
    <mergeCell ref="D27:D29"/>
    <mergeCell ref="A42:A44"/>
    <mergeCell ref="B42:B44"/>
    <mergeCell ref="C42:C44"/>
    <mergeCell ref="D42:D44"/>
    <mergeCell ref="A45:A47"/>
    <mergeCell ref="B45:B47"/>
    <mergeCell ref="C57:C59"/>
    <mergeCell ref="D57:D59"/>
    <mergeCell ref="A84:A86"/>
    <mergeCell ref="B84:B86"/>
    <mergeCell ref="C84:C86"/>
    <mergeCell ref="D84:D86"/>
    <mergeCell ref="C81:C83"/>
    <mergeCell ref="D81:D83"/>
    <mergeCell ref="A75:A77"/>
    <mergeCell ref="A78:A80"/>
    <mergeCell ref="B78:B80"/>
    <mergeCell ref="C78:C80"/>
    <mergeCell ref="D78:D80"/>
    <mergeCell ref="A81:A83"/>
    <mergeCell ref="B81:B83"/>
    <mergeCell ref="A69:A71"/>
    <mergeCell ref="B69:B71"/>
    <mergeCell ref="B75:B7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W301"/>
  <sheetViews>
    <sheetView workbookViewId="0"/>
  </sheetViews>
  <sheetFormatPr defaultColWidth="12.5703125" defaultRowHeight="15.75" customHeight="1" x14ac:dyDescent="0.2"/>
  <cols>
    <col min="1" max="1" width="10.5703125" customWidth="1"/>
    <col min="2" max="2" width="11.7109375" customWidth="1"/>
    <col min="3" max="3" width="29.7109375" customWidth="1"/>
    <col min="4" max="4" width="9.85546875" customWidth="1"/>
    <col min="5" max="5" width="9.42578125" customWidth="1"/>
    <col min="6" max="6" width="7.42578125" customWidth="1"/>
    <col min="7" max="7" width="12.42578125" customWidth="1"/>
    <col min="8" max="8" width="12.5703125" customWidth="1"/>
    <col min="9" max="9" width="32.28515625" customWidth="1"/>
    <col min="10" max="12" width="10.140625" customWidth="1"/>
    <col min="13" max="13" width="7.140625" customWidth="1"/>
    <col min="14" max="14" width="51.140625" customWidth="1"/>
    <col min="15" max="15" width="23.7109375" customWidth="1"/>
    <col min="16" max="16" width="12.140625" hidden="1" customWidth="1"/>
    <col min="17" max="17" width="12.140625" customWidth="1"/>
    <col min="18" max="18" width="12.28515625" hidden="1" customWidth="1"/>
    <col min="19" max="19" width="12.28515625" customWidth="1"/>
    <col min="20" max="20" width="15" hidden="1" customWidth="1"/>
    <col min="21" max="21" width="22.28515625" customWidth="1"/>
    <col min="22" max="22" width="15.7109375" hidden="1" customWidth="1"/>
    <col min="23" max="23" width="29.7109375" customWidth="1"/>
    <col min="24" max="24" width="16.28515625" hidden="1" customWidth="1"/>
    <col min="25" max="25" width="26.28515625" customWidth="1"/>
    <col min="26" max="26" width="16.28515625" hidden="1" customWidth="1"/>
    <col min="27" max="27" width="23" customWidth="1"/>
    <col min="28" max="28" width="23" hidden="1" customWidth="1"/>
    <col min="29" max="29" width="30.5703125" customWidth="1"/>
    <col min="30" max="30" width="20" hidden="1" customWidth="1"/>
    <col min="31" max="31" width="20" customWidth="1"/>
    <col min="32" max="32" width="15.28515625" hidden="1" customWidth="1"/>
    <col min="33" max="33" width="22.140625" customWidth="1"/>
    <col min="34" max="34" width="22.140625" hidden="1" customWidth="1"/>
    <col min="35" max="35" width="29.7109375" customWidth="1"/>
    <col min="36" max="36" width="21.42578125" hidden="1" customWidth="1"/>
    <col min="37" max="37" width="26.140625" customWidth="1"/>
    <col min="38" max="38" width="21.42578125" hidden="1" customWidth="1"/>
    <col min="39" max="39" width="21.42578125" customWidth="1"/>
    <col min="40" max="40" width="15.85546875" hidden="1" customWidth="1"/>
    <col min="41" max="41" width="15.85546875" customWidth="1"/>
    <col min="42" max="42" width="16.7109375" hidden="1" customWidth="1"/>
    <col min="43" max="43" width="16.7109375" customWidth="1"/>
    <col min="44" max="44" width="15.85546875" hidden="1" customWidth="1"/>
    <col min="45" max="45" width="15.85546875" customWidth="1"/>
    <col min="46" max="46" width="15.85546875" hidden="1" customWidth="1"/>
    <col min="47" max="47" width="18.140625" customWidth="1"/>
    <col min="48" max="48" width="15.85546875" hidden="1" customWidth="1"/>
    <col min="49" max="49" width="22.140625" customWidth="1"/>
  </cols>
  <sheetData>
    <row r="1" spans="1:49" x14ac:dyDescent="0.2">
      <c r="A1" s="612" t="s">
        <v>15</v>
      </c>
      <c r="B1" s="574"/>
      <c r="C1" s="574"/>
      <c r="D1" s="574"/>
      <c r="E1" s="574"/>
      <c r="F1" s="575"/>
      <c r="G1" s="334" t="s">
        <v>109</v>
      </c>
      <c r="H1" s="397" t="s">
        <v>84</v>
      </c>
      <c r="I1" s="338" t="s">
        <v>85</v>
      </c>
      <c r="J1" s="338" t="s">
        <v>86</v>
      </c>
      <c r="K1" s="338" t="s">
        <v>87</v>
      </c>
      <c r="L1" s="534" t="s">
        <v>88</v>
      </c>
      <c r="M1" s="412" t="s">
        <v>425</v>
      </c>
      <c r="N1" s="326" t="s">
        <v>426</v>
      </c>
      <c r="O1" s="326" t="str">
        <f>Math!E12</f>
        <v>Stamina Consumption Modifier</v>
      </c>
      <c r="P1" s="326" t="str">
        <f>Math!F12</f>
        <v>Power</v>
      </c>
      <c r="Q1" s="326" t="str">
        <f>Math!G12</f>
        <v>Power Modifier</v>
      </c>
      <c r="R1" s="326" t="str">
        <f>Math!H12</f>
        <v>Speed</v>
      </c>
      <c r="S1" s="326" t="str">
        <f>Math!I12</f>
        <v>Speed Modifier</v>
      </c>
      <c r="T1" s="326" t="str">
        <f>Math!J12</f>
        <v>Block Success Rate</v>
      </c>
      <c r="U1" s="326" t="str">
        <f>Math!K12</f>
        <v>Block Success Rate Modifier</v>
      </c>
      <c r="V1" s="326" t="str">
        <f>Math!L12</f>
        <v>Block Success Mitigation Rate</v>
      </c>
      <c r="W1" s="326" t="str">
        <f>Math!M12</f>
        <v>Block Success Mitigation Rate Modifier</v>
      </c>
      <c r="X1" s="326" t="str">
        <f>Math!N12</f>
        <v>Block Fail Mitigation Rate</v>
      </c>
      <c r="Y1" s="326" t="str">
        <f>Math!O12</f>
        <v>Block Fail Mitigation Rate Modifier</v>
      </c>
      <c r="Z1" s="326" t="str">
        <f>Math!P12</f>
        <v>Dodge Success Rate</v>
      </c>
      <c r="AA1" s="326" t="str">
        <f>Math!Q12</f>
        <v>Dodge Success Rate Modifier</v>
      </c>
      <c r="AB1" s="326" t="str">
        <f>Math!R12</f>
        <v>Dodge Success Mitigation Rate</v>
      </c>
      <c r="AC1" s="326" t="str">
        <f>Math!S12</f>
        <v>Dodge Success Mitigation Rate Modifier</v>
      </c>
      <c r="AD1" s="326" t="str">
        <f>Math!T12</f>
        <v>Dodge Fail Mitigation Rate</v>
      </c>
      <c r="AE1" s="326" t="str">
        <f>Math!U12</f>
        <v>Dodge Fail Value Modifier</v>
      </c>
      <c r="AF1" s="326" t="str">
        <f>Math!V12</f>
        <v>Parry Success Rate</v>
      </c>
      <c r="AG1" s="326" t="str">
        <f>Math!W12</f>
        <v>Parry Success Rate Modifier</v>
      </c>
      <c r="AH1" s="326" t="str">
        <f>Math!X12</f>
        <v>Parry Success Mitigation Rate</v>
      </c>
      <c r="AI1" s="326" t="str">
        <f>Math!Y12</f>
        <v>Parry Success Mitigation Rate Modifier</v>
      </c>
      <c r="AJ1" s="326" t="str">
        <f>Math!Z12</f>
        <v>Parry Fail Mitigation Rate</v>
      </c>
      <c r="AK1" s="326" t="str">
        <f>Math!AA12</f>
        <v>Parry Fail Mitigation Rate Modifier</v>
      </c>
      <c r="AL1" s="326" t="str">
        <f>Math!AB12</f>
        <v>Evade Regen Rate</v>
      </c>
      <c r="AM1" s="326" t="str">
        <f>Math!AC12</f>
        <v>Evade Regen Rate Modifier</v>
      </c>
      <c r="AN1" s="326" t="str">
        <f>Math!AD12</f>
        <v>Attack Cost</v>
      </c>
      <c r="AO1" s="326" t="str">
        <f>Math!AE12</f>
        <v>Attack Cost Modifier</v>
      </c>
      <c r="AP1" s="326" t="str">
        <f>Math!AF12</f>
        <v>Special Cost</v>
      </c>
      <c r="AQ1" s="326" t="str">
        <f>Math!AG12</f>
        <v>Special Cost Modifier</v>
      </c>
      <c r="AR1" s="326" t="str">
        <f>Math!AH12</f>
        <v>Group Cost</v>
      </c>
      <c r="AS1" s="326" t="str">
        <f>Math!AI12</f>
        <v>Group Cost Modifier</v>
      </c>
      <c r="AT1" s="326" t="str">
        <f>Math!AJ12</f>
        <v>Blindside Rate</v>
      </c>
      <c r="AU1" s="326" t="str">
        <f>Math!AK12</f>
        <v>Blindside Rate Modifier</v>
      </c>
      <c r="AV1" s="326" t="str">
        <f>Math!AL12</f>
        <v>Crushing Blow Rate</v>
      </c>
      <c r="AW1" s="326" t="str">
        <f>Math!AM12</f>
        <v>Crushing Blow Rate Modifier</v>
      </c>
    </row>
    <row r="2" spans="1:49" x14ac:dyDescent="0.2">
      <c r="A2" s="334" t="s">
        <v>109</v>
      </c>
      <c r="B2" s="397" t="s">
        <v>84</v>
      </c>
      <c r="C2" s="338" t="s">
        <v>85</v>
      </c>
      <c r="D2" s="338" t="s">
        <v>86</v>
      </c>
      <c r="E2" s="338" t="s">
        <v>87</v>
      </c>
      <c r="F2" s="534" t="s">
        <v>88</v>
      </c>
      <c r="G2" s="535"/>
      <c r="H2" s="536"/>
      <c r="I2" s="536"/>
      <c r="J2" s="536"/>
      <c r="K2" s="536"/>
      <c r="L2" s="537"/>
      <c r="M2" s="412">
        <f>IF(K2&gt;=Input!$B$18,1,0)</f>
        <v>0</v>
      </c>
      <c r="N2" s="159" t="str">
        <f t="shared" ref="N2:N256" si="0">CONCATENATE(G2," - ",H2," - ",I2," - ",M2)</f>
        <v xml:space="preserve"> -  -  - 0</v>
      </c>
      <c r="O2" s="159">
        <f t="shared" ref="O2:O256" si="1">IF($I2=O$1,IF($M2=1,$L2,0),0)</f>
        <v>0</v>
      </c>
      <c r="Q2" s="159">
        <f t="shared" ref="Q2:Q256" si="2">IF($I2=Q$1,IF($M2=1,$L2,0),0)</f>
        <v>0</v>
      </c>
      <c r="S2" s="159">
        <f t="shared" ref="S2:S256" si="3">IF($I2=S$1,IF($M2=1,$L2,0),0)</f>
        <v>0</v>
      </c>
      <c r="U2" s="159">
        <f t="shared" ref="U2:U256" si="4">IF($I2=U$1,IF($M2=1,$L2,0),0)</f>
        <v>0</v>
      </c>
      <c r="W2" s="159">
        <f t="shared" ref="W2:W256" si="5">IF($I2=W$1,IF($M2=1,$L2,0),0)</f>
        <v>0</v>
      </c>
      <c r="Y2" s="159">
        <f t="shared" ref="Y2:Y256" si="6">IF($I2=Y$1,IF($M2=1,$L2,0),0)</f>
        <v>0</v>
      </c>
      <c r="AA2" s="159">
        <f t="shared" ref="AA2:AA256" si="7">IF($I2=AA$1,IF($M2=1,$L2,0),0)</f>
        <v>0</v>
      </c>
      <c r="AC2" s="159">
        <f t="shared" ref="AC2:AC256" si="8">IF($I2=AC$1,IF($M2=1,$L2,0),0)</f>
        <v>0</v>
      </c>
      <c r="AE2" s="159">
        <f t="shared" ref="AE2:AE256" si="9">IF($I2=AE$1,IF($M2=1,$L2,0),0)</f>
        <v>0</v>
      </c>
      <c r="AG2" s="159">
        <f t="shared" ref="AG2:AG256" si="10">IF($I2=AG$1,IF($M2=1,$L2,0),0)</f>
        <v>0</v>
      </c>
      <c r="AI2" s="159">
        <f t="shared" ref="AI2:AI256" si="11">IF($I2=AI$1,IF($M2=1,$L2,0),0)</f>
        <v>0</v>
      </c>
      <c r="AK2" s="159">
        <f t="shared" ref="AK2:AK256" si="12">IF($I2=AK$1,IF($M2=1,$L2,0),0)</f>
        <v>0</v>
      </c>
      <c r="AM2" s="159">
        <f t="shared" ref="AM2:AM256" si="13">IF($I2=AM$1,IF($M2=1,$L2,0),0)</f>
        <v>0</v>
      </c>
      <c r="AO2" s="159">
        <f t="shared" ref="AO2:AO256" si="14">IF($I2=AO$1,IF($M2=1,$L2,0),0)</f>
        <v>0</v>
      </c>
      <c r="AQ2" s="159">
        <f t="shared" ref="AQ2:AQ256" si="15">IF($I2=AQ$1,IF($M2=1,$L2,0),0)</f>
        <v>0</v>
      </c>
      <c r="AS2" s="159">
        <f t="shared" ref="AS2:AS256" si="16">IF($I2=AS$1,IF($M2=1,$L2,0),0)</f>
        <v>0</v>
      </c>
      <c r="AU2" s="159">
        <f t="shared" ref="AU2:AU256" si="17">IF($I2=AU$1,IF($M2=1,$L2,0),0)</f>
        <v>0</v>
      </c>
      <c r="AW2" s="159">
        <f t="shared" ref="AW2:AW256" si="18">IF($I2=AW$1,IF($M2=1,$L2,0),0)</f>
        <v>0</v>
      </c>
    </row>
    <row r="3" spans="1:49" x14ac:dyDescent="0.2">
      <c r="A3" s="538" t="str">
        <f>IF(Input!B32&lt;&gt;"Special","",IF(VLOOKUP(Input!A32,Math!$A$22:$I$27,9,FALSE)="Reaction",Input!A32,Input!D32))</f>
        <v/>
      </c>
      <c r="B3" s="411" t="str">
        <f>IF(Input!B32="Special","Special","")</f>
        <v/>
      </c>
      <c r="C3" s="411" t="str">
        <f>IF(Input!B32&lt;&gt;"Special","",LEFT(VLOOKUP(Input!A32,Math!$A$22:$I$27,8,FALSE),5)&amp;" Success Rate Modifier")</f>
        <v/>
      </c>
      <c r="D3" s="411" t="str">
        <f>IF(Input!B32="Special",Input!$B$18,"")</f>
        <v/>
      </c>
      <c r="E3" s="411" t="str">
        <f>IF(Input!B32="Special",D3+1,"")</f>
        <v/>
      </c>
      <c r="F3" s="539" t="str">
        <f>IF(Input!B32&lt;&gt;"Special","",VLOOKUP(VLOOKUP(Input!A32,Math!$A$22:$I$27,4,FALSE),Paths!$C$2:$I$28,Input!E32+1,FALSE))</f>
        <v/>
      </c>
      <c r="G3" s="535"/>
      <c r="H3" s="536"/>
      <c r="I3" s="536"/>
      <c r="J3" s="536"/>
      <c r="K3" s="536"/>
      <c r="L3" s="537"/>
      <c r="M3" s="412">
        <f>IF(K3&gt;=Input!$B$18,1,0)</f>
        <v>0</v>
      </c>
      <c r="N3" s="159" t="str">
        <f t="shared" si="0"/>
        <v xml:space="preserve"> -  -  - 0</v>
      </c>
      <c r="O3" s="159">
        <f t="shared" si="1"/>
        <v>0</v>
      </c>
      <c r="Q3" s="159">
        <f t="shared" si="2"/>
        <v>0</v>
      </c>
      <c r="S3" s="159">
        <f t="shared" si="3"/>
        <v>0</v>
      </c>
      <c r="U3" s="159">
        <f t="shared" si="4"/>
        <v>0</v>
      </c>
      <c r="W3" s="159">
        <f t="shared" si="5"/>
        <v>0</v>
      </c>
      <c r="Y3" s="159">
        <f t="shared" si="6"/>
        <v>0</v>
      </c>
      <c r="AA3" s="159">
        <f t="shared" si="7"/>
        <v>0</v>
      </c>
      <c r="AC3" s="159">
        <f t="shared" si="8"/>
        <v>0</v>
      </c>
      <c r="AE3" s="159">
        <f t="shared" si="9"/>
        <v>0</v>
      </c>
      <c r="AG3" s="159">
        <f t="shared" si="10"/>
        <v>0</v>
      </c>
      <c r="AI3" s="159">
        <f t="shared" si="11"/>
        <v>0</v>
      </c>
      <c r="AK3" s="159">
        <f t="shared" si="12"/>
        <v>0</v>
      </c>
      <c r="AM3" s="159">
        <f t="shared" si="13"/>
        <v>0</v>
      </c>
      <c r="AO3" s="159">
        <f t="shared" si="14"/>
        <v>0</v>
      </c>
      <c r="AQ3" s="159">
        <f t="shared" si="15"/>
        <v>0</v>
      </c>
      <c r="AS3" s="159">
        <f t="shared" si="16"/>
        <v>0</v>
      </c>
      <c r="AU3" s="159">
        <f t="shared" si="17"/>
        <v>0</v>
      </c>
      <c r="AW3" s="159">
        <f t="shared" si="18"/>
        <v>0</v>
      </c>
    </row>
    <row r="4" spans="1:49" x14ac:dyDescent="0.2">
      <c r="A4" s="538" t="str">
        <f>IF(Input!B33&lt;&gt;"Special","",IF(VLOOKUP(Input!A33,Math!$A$22:$I$27,9,FALSE)="Reaction",Input!A33,Input!D33))</f>
        <v/>
      </c>
      <c r="B4" s="411" t="str">
        <f>IF(Input!B33="Special","Special","")</f>
        <v/>
      </c>
      <c r="C4" s="411" t="str">
        <f>IF(Input!B33&lt;&gt;"Special","",LEFT(VLOOKUP(Input!A33,Math!$A$22:$I$27,8,FALSE),5)&amp;" Success Rate Modifier")</f>
        <v/>
      </c>
      <c r="D4" s="411" t="str">
        <f>IF(Input!B33="Special",Input!$B$18,"")</f>
        <v/>
      </c>
      <c r="E4" s="411" t="str">
        <f>IF(Input!B33="Special",D4+1,"")</f>
        <v/>
      </c>
      <c r="F4" s="539" t="str">
        <f>IF(Input!B33&lt;&gt;"Special","",VLOOKUP(VLOOKUP(Input!A33,Math!$A$22:$I$27,4,FALSE),Paths!$C$2:$I$28,Input!E33+1,FALSE))</f>
        <v/>
      </c>
      <c r="G4" s="535"/>
      <c r="H4" s="536"/>
      <c r="I4" s="536"/>
      <c r="J4" s="536"/>
      <c r="K4" s="536"/>
      <c r="L4" s="537"/>
      <c r="M4" s="412">
        <f>IF(K4&gt;=Input!$B$18,1,0)</f>
        <v>0</v>
      </c>
      <c r="N4" s="159" t="str">
        <f t="shared" si="0"/>
        <v xml:space="preserve"> -  -  - 0</v>
      </c>
      <c r="O4" s="159">
        <f t="shared" si="1"/>
        <v>0</v>
      </c>
      <c r="Q4" s="159">
        <f t="shared" si="2"/>
        <v>0</v>
      </c>
      <c r="S4" s="159">
        <f t="shared" si="3"/>
        <v>0</v>
      </c>
      <c r="U4" s="159">
        <f t="shared" si="4"/>
        <v>0</v>
      </c>
      <c r="W4" s="159">
        <f t="shared" si="5"/>
        <v>0</v>
      </c>
      <c r="Y4" s="159">
        <f t="shared" si="6"/>
        <v>0</v>
      </c>
      <c r="AA4" s="159">
        <f t="shared" si="7"/>
        <v>0</v>
      </c>
      <c r="AC4" s="159">
        <f t="shared" si="8"/>
        <v>0</v>
      </c>
      <c r="AE4" s="159">
        <f t="shared" si="9"/>
        <v>0</v>
      </c>
      <c r="AG4" s="159">
        <f t="shared" si="10"/>
        <v>0</v>
      </c>
      <c r="AI4" s="159">
        <f t="shared" si="11"/>
        <v>0</v>
      </c>
      <c r="AK4" s="159">
        <f t="shared" si="12"/>
        <v>0</v>
      </c>
      <c r="AM4" s="159">
        <f t="shared" si="13"/>
        <v>0</v>
      </c>
      <c r="AO4" s="159">
        <f t="shared" si="14"/>
        <v>0</v>
      </c>
      <c r="AQ4" s="159">
        <f t="shared" si="15"/>
        <v>0</v>
      </c>
      <c r="AS4" s="159">
        <f t="shared" si="16"/>
        <v>0</v>
      </c>
      <c r="AU4" s="159">
        <f t="shared" si="17"/>
        <v>0</v>
      </c>
      <c r="AW4" s="159">
        <f t="shared" si="18"/>
        <v>0</v>
      </c>
    </row>
    <row r="5" spans="1:49" x14ac:dyDescent="0.2">
      <c r="A5" s="538" t="str">
        <f>IF(Input!B34&lt;&gt;"Special","",IF(VLOOKUP(Input!A34,Math!$A$22:$I$27,9,FALSE)="Reaction",Input!A34,Input!D34))</f>
        <v/>
      </c>
      <c r="B5" s="411" t="str">
        <f>IF(Input!B34="Special","Special","")</f>
        <v/>
      </c>
      <c r="C5" s="411" t="str">
        <f>IF(Input!B34&lt;&gt;"Special","",LEFT(VLOOKUP(Input!A34,Math!$A$22:$I$27,8,FALSE),5)&amp;" Success Rate Modifier")</f>
        <v/>
      </c>
      <c r="D5" s="411" t="str">
        <f>IF(Input!B34="Special",Input!$B$18,"")</f>
        <v/>
      </c>
      <c r="E5" s="411" t="str">
        <f>IF(Input!B34="Special",D5+1,"")</f>
        <v/>
      </c>
      <c r="F5" s="539" t="str">
        <f>IF(Input!B34&lt;&gt;"Special","",VLOOKUP(VLOOKUP(Input!A34,Math!$A$22:$I$27,4,FALSE),Paths!$C$2:$I$28,Input!E34+1,FALSE))</f>
        <v/>
      </c>
      <c r="G5" s="535"/>
      <c r="H5" s="536"/>
      <c r="I5" s="536"/>
      <c r="J5" s="536"/>
      <c r="K5" s="536"/>
      <c r="L5" s="537"/>
      <c r="M5" s="412">
        <f>IF(K5&gt;=Input!$B$18,1,0)</f>
        <v>0</v>
      </c>
      <c r="N5" s="159" t="str">
        <f t="shared" si="0"/>
        <v xml:space="preserve"> -  -  - 0</v>
      </c>
      <c r="O5" s="159">
        <f t="shared" si="1"/>
        <v>0</v>
      </c>
      <c r="Q5" s="159">
        <f t="shared" si="2"/>
        <v>0</v>
      </c>
      <c r="S5" s="159">
        <f t="shared" si="3"/>
        <v>0</v>
      </c>
      <c r="U5" s="159">
        <f t="shared" si="4"/>
        <v>0</v>
      </c>
      <c r="W5" s="159">
        <f t="shared" si="5"/>
        <v>0</v>
      </c>
      <c r="Y5" s="159">
        <f t="shared" si="6"/>
        <v>0</v>
      </c>
      <c r="AA5" s="159">
        <f t="shared" si="7"/>
        <v>0</v>
      </c>
      <c r="AC5" s="159">
        <f t="shared" si="8"/>
        <v>0</v>
      </c>
      <c r="AE5" s="159">
        <f t="shared" si="9"/>
        <v>0</v>
      </c>
      <c r="AG5" s="159">
        <f t="shared" si="10"/>
        <v>0</v>
      </c>
      <c r="AI5" s="159">
        <f t="shared" si="11"/>
        <v>0</v>
      </c>
      <c r="AK5" s="159">
        <f t="shared" si="12"/>
        <v>0</v>
      </c>
      <c r="AM5" s="159">
        <f t="shared" si="13"/>
        <v>0</v>
      </c>
      <c r="AO5" s="159">
        <f t="shared" si="14"/>
        <v>0</v>
      </c>
      <c r="AQ5" s="159">
        <f t="shared" si="15"/>
        <v>0</v>
      </c>
      <c r="AS5" s="159">
        <f t="shared" si="16"/>
        <v>0</v>
      </c>
      <c r="AU5" s="159">
        <f t="shared" si="17"/>
        <v>0</v>
      </c>
      <c r="AW5" s="159">
        <f t="shared" si="18"/>
        <v>0</v>
      </c>
    </row>
    <row r="6" spans="1:49" x14ac:dyDescent="0.2">
      <c r="A6" s="538" t="str">
        <f>IF(Input!B35&lt;&gt;"Special","",IF(VLOOKUP(Input!A35,Math!$A$22:$I$27,9,FALSE)="Reaction",Input!A35,Input!D35))</f>
        <v/>
      </c>
      <c r="B6" s="411" t="str">
        <f>IF(Input!B35="Special","Special","")</f>
        <v/>
      </c>
      <c r="C6" s="411" t="str">
        <f>IF(Input!B35&lt;&gt;"Special","",LEFT(VLOOKUP(Input!A35,Math!$A$22:$I$27,8,FALSE),5)&amp;" Success Rate Modifier")</f>
        <v/>
      </c>
      <c r="D6" s="411" t="str">
        <f>IF(Input!B35="Special",Input!$B$18,"")</f>
        <v/>
      </c>
      <c r="E6" s="411" t="str">
        <f>IF(Input!B35="Special",D6+1,"")</f>
        <v/>
      </c>
      <c r="F6" s="539" t="str">
        <f>IF(Input!B35&lt;&gt;"Special","",VLOOKUP(VLOOKUP(Input!A35,Math!$A$22:$I$27,4,FALSE),Paths!$C$2:$I$28,Input!E35+1,FALSE))</f>
        <v/>
      </c>
      <c r="G6" s="535"/>
      <c r="H6" s="536"/>
      <c r="I6" s="536"/>
      <c r="J6" s="536"/>
      <c r="K6" s="536"/>
      <c r="L6" s="537"/>
      <c r="M6" s="412">
        <f>IF(K6&gt;=Input!$B$18,1,0)</f>
        <v>0</v>
      </c>
      <c r="N6" s="159" t="str">
        <f t="shared" si="0"/>
        <v xml:space="preserve"> -  -  - 0</v>
      </c>
      <c r="O6" s="159">
        <f t="shared" si="1"/>
        <v>0</v>
      </c>
      <c r="Q6" s="159">
        <f t="shared" si="2"/>
        <v>0</v>
      </c>
      <c r="S6" s="159">
        <f t="shared" si="3"/>
        <v>0</v>
      </c>
      <c r="U6" s="159">
        <f t="shared" si="4"/>
        <v>0</v>
      </c>
      <c r="W6" s="159">
        <f t="shared" si="5"/>
        <v>0</v>
      </c>
      <c r="Y6" s="159">
        <f t="shared" si="6"/>
        <v>0</v>
      </c>
      <c r="AA6" s="159">
        <f t="shared" si="7"/>
        <v>0</v>
      </c>
      <c r="AC6" s="159">
        <f t="shared" si="8"/>
        <v>0</v>
      </c>
      <c r="AE6" s="159">
        <f t="shared" si="9"/>
        <v>0</v>
      </c>
      <c r="AG6" s="159">
        <f t="shared" si="10"/>
        <v>0</v>
      </c>
      <c r="AI6" s="159">
        <f t="shared" si="11"/>
        <v>0</v>
      </c>
      <c r="AK6" s="159">
        <f t="shared" si="12"/>
        <v>0</v>
      </c>
      <c r="AM6" s="159">
        <f t="shared" si="13"/>
        <v>0</v>
      </c>
      <c r="AO6" s="159">
        <f t="shared" si="14"/>
        <v>0</v>
      </c>
      <c r="AQ6" s="159">
        <f t="shared" si="15"/>
        <v>0</v>
      </c>
      <c r="AS6" s="159">
        <f t="shared" si="16"/>
        <v>0</v>
      </c>
      <c r="AU6" s="159">
        <f t="shared" si="17"/>
        <v>0</v>
      </c>
      <c r="AW6" s="159">
        <f t="shared" si="18"/>
        <v>0</v>
      </c>
    </row>
    <row r="7" spans="1:49" x14ac:dyDescent="0.2">
      <c r="A7" s="538" t="str">
        <f>IF(Input!B36&lt;&gt;"Special","",IF(VLOOKUP(Input!A36,Math!$A$22:$I$27,9,FALSE)="Reaction",Input!A36,Input!D36))</f>
        <v/>
      </c>
      <c r="B7" s="411" t="str">
        <f>IF(Input!B36="Special","Special","")</f>
        <v/>
      </c>
      <c r="C7" s="411" t="str">
        <f>IF(Input!B36&lt;&gt;"Special","",LEFT(VLOOKUP(Input!A36,Math!$A$22:$I$27,8,FALSE),5)&amp;" Success Rate Modifier")</f>
        <v/>
      </c>
      <c r="D7" s="411" t="str">
        <f>IF(Input!B36="Special",Input!$B$18,"")</f>
        <v/>
      </c>
      <c r="E7" s="411" t="str">
        <f>IF(Input!B36="Special",D7+1,"")</f>
        <v/>
      </c>
      <c r="F7" s="539" t="str">
        <f>IF(Input!B36&lt;&gt;"Special","",VLOOKUP(VLOOKUP(Input!A36,Math!$A$22:$I$27,4,FALSE),Paths!$C$2:$I$28,Input!E36+1,FALSE))</f>
        <v/>
      </c>
      <c r="G7" s="535"/>
      <c r="H7" s="536"/>
      <c r="I7" s="536"/>
      <c r="J7" s="536"/>
      <c r="K7" s="536"/>
      <c r="L7" s="537"/>
      <c r="M7" s="412">
        <f>IF(K7&gt;=Input!$B$18,1,0)</f>
        <v>0</v>
      </c>
      <c r="N7" s="159" t="str">
        <f t="shared" si="0"/>
        <v xml:space="preserve"> -  -  - 0</v>
      </c>
      <c r="O7" s="159">
        <f t="shared" si="1"/>
        <v>0</v>
      </c>
      <c r="Q7" s="159">
        <f t="shared" si="2"/>
        <v>0</v>
      </c>
      <c r="S7" s="159">
        <f t="shared" si="3"/>
        <v>0</v>
      </c>
      <c r="U7" s="159">
        <f t="shared" si="4"/>
        <v>0</v>
      </c>
      <c r="W7" s="159">
        <f t="shared" si="5"/>
        <v>0</v>
      </c>
      <c r="Y7" s="159">
        <f t="shared" si="6"/>
        <v>0</v>
      </c>
      <c r="AA7" s="159">
        <f t="shared" si="7"/>
        <v>0</v>
      </c>
      <c r="AC7" s="159">
        <f t="shared" si="8"/>
        <v>0</v>
      </c>
      <c r="AE7" s="159">
        <f t="shared" si="9"/>
        <v>0</v>
      </c>
      <c r="AG7" s="159">
        <f t="shared" si="10"/>
        <v>0</v>
      </c>
      <c r="AI7" s="159">
        <f t="shared" si="11"/>
        <v>0</v>
      </c>
      <c r="AK7" s="159">
        <f t="shared" si="12"/>
        <v>0</v>
      </c>
      <c r="AM7" s="159">
        <f t="shared" si="13"/>
        <v>0</v>
      </c>
      <c r="AO7" s="159">
        <f t="shared" si="14"/>
        <v>0</v>
      </c>
      <c r="AQ7" s="159">
        <f t="shared" si="15"/>
        <v>0</v>
      </c>
      <c r="AS7" s="159">
        <f t="shared" si="16"/>
        <v>0</v>
      </c>
      <c r="AU7" s="159">
        <f t="shared" si="17"/>
        <v>0</v>
      </c>
      <c r="AW7" s="159">
        <f t="shared" si="18"/>
        <v>0</v>
      </c>
    </row>
    <row r="8" spans="1:49" x14ac:dyDescent="0.2">
      <c r="A8" s="538" t="str">
        <f>IF(Input!B37&lt;&gt;"Special","",IF(VLOOKUP(Input!A37,Math!$A$22:$I$27,9,FALSE)="Reaction",Input!A37,Input!D37))</f>
        <v/>
      </c>
      <c r="B8" s="411" t="str">
        <f>IF(Input!B37="Special","Special","")</f>
        <v/>
      </c>
      <c r="C8" s="411" t="str">
        <f>IF(Input!B37&lt;&gt;"Special","",LEFT(VLOOKUP(Input!A37,Math!$A$22:$I$27,8,FALSE),5)&amp;" Success Rate Modifier")</f>
        <v/>
      </c>
      <c r="D8" s="411" t="str">
        <f>IF(Input!B37="Special",Input!$B$18,"")</f>
        <v/>
      </c>
      <c r="E8" s="411" t="str">
        <f>IF(Input!B37="Special",D8+1,"")</f>
        <v/>
      </c>
      <c r="F8" s="539" t="str">
        <f>IF(Input!B37&lt;&gt;"Special","",VLOOKUP(VLOOKUP(Input!A37,Math!$A$22:$I$27,4,FALSE),Paths!$C$2:$I$28,Input!E37+1,FALSE))</f>
        <v/>
      </c>
      <c r="G8" s="535"/>
      <c r="H8" s="536"/>
      <c r="I8" s="536"/>
      <c r="J8" s="536"/>
      <c r="K8" s="536"/>
      <c r="L8" s="537"/>
      <c r="M8" s="412">
        <f>IF(K8&gt;=Input!$B$18,1,0)</f>
        <v>0</v>
      </c>
      <c r="N8" s="159" t="str">
        <f t="shared" si="0"/>
        <v xml:space="preserve"> -  -  - 0</v>
      </c>
      <c r="O8" s="159">
        <f t="shared" si="1"/>
        <v>0</v>
      </c>
      <c r="Q8" s="159">
        <f t="shared" si="2"/>
        <v>0</v>
      </c>
      <c r="S8" s="159">
        <f t="shared" si="3"/>
        <v>0</v>
      </c>
      <c r="U8" s="159">
        <f t="shared" si="4"/>
        <v>0</v>
      </c>
      <c r="W8" s="159">
        <f t="shared" si="5"/>
        <v>0</v>
      </c>
      <c r="Y8" s="159">
        <f t="shared" si="6"/>
        <v>0</v>
      </c>
      <c r="AA8" s="159">
        <f t="shared" si="7"/>
        <v>0</v>
      </c>
      <c r="AC8" s="159">
        <f t="shared" si="8"/>
        <v>0</v>
      </c>
      <c r="AE8" s="159">
        <f t="shared" si="9"/>
        <v>0</v>
      </c>
      <c r="AG8" s="159">
        <f t="shared" si="10"/>
        <v>0</v>
      </c>
      <c r="AI8" s="159">
        <f t="shared" si="11"/>
        <v>0</v>
      </c>
      <c r="AK8" s="159">
        <f t="shared" si="12"/>
        <v>0</v>
      </c>
      <c r="AM8" s="159">
        <f t="shared" si="13"/>
        <v>0</v>
      </c>
      <c r="AO8" s="159">
        <f t="shared" si="14"/>
        <v>0</v>
      </c>
      <c r="AQ8" s="159">
        <f t="shared" si="15"/>
        <v>0</v>
      </c>
      <c r="AS8" s="159">
        <f t="shared" si="16"/>
        <v>0</v>
      </c>
      <c r="AU8" s="159">
        <f t="shared" si="17"/>
        <v>0</v>
      </c>
      <c r="AW8" s="159">
        <f t="shared" si="18"/>
        <v>0</v>
      </c>
    </row>
    <row r="9" spans="1:49" x14ac:dyDescent="0.2">
      <c r="A9" s="538" t="str">
        <f>IF(Input!B38&lt;&gt;"Special","",IF(VLOOKUP(Input!A38,Math!$A$22:$I$27,9,FALSE)="Reaction",Input!A38,Input!D38))</f>
        <v/>
      </c>
      <c r="B9" s="411" t="str">
        <f>IF(Input!B38="Special","Special","")</f>
        <v/>
      </c>
      <c r="C9" s="411" t="str">
        <f>IF(Input!B38&lt;&gt;"Special","",LEFT(VLOOKUP(Input!A38,Math!$A$22:$I$27,8,FALSE),5)&amp;" Success Rate Modifier")</f>
        <v/>
      </c>
      <c r="D9" s="411" t="str">
        <f>IF(Input!B38="Special",Input!$B$18,"")</f>
        <v/>
      </c>
      <c r="E9" s="411" t="str">
        <f>IF(Input!B38="Special",D9+1,"")</f>
        <v/>
      </c>
      <c r="F9" s="539" t="str">
        <f>IF(Input!B38&lt;&gt;"Special","",VLOOKUP(VLOOKUP(Input!A38,Math!$A$22:$I$27,4,FALSE),Paths!$C$2:$I$28,Input!E38+1,FALSE))</f>
        <v/>
      </c>
      <c r="G9" s="535"/>
      <c r="H9" s="536"/>
      <c r="I9" s="536"/>
      <c r="J9" s="536"/>
      <c r="K9" s="536"/>
      <c r="L9" s="537"/>
      <c r="M9" s="412">
        <f>IF(K9&gt;=Input!$B$18,1,0)</f>
        <v>0</v>
      </c>
      <c r="N9" s="159" t="str">
        <f t="shared" si="0"/>
        <v xml:space="preserve"> -  -  - 0</v>
      </c>
      <c r="O9" s="159">
        <f t="shared" si="1"/>
        <v>0</v>
      </c>
      <c r="Q9" s="159">
        <f t="shared" si="2"/>
        <v>0</v>
      </c>
      <c r="S9" s="159">
        <f t="shared" si="3"/>
        <v>0</v>
      </c>
      <c r="U9" s="159">
        <f t="shared" si="4"/>
        <v>0</v>
      </c>
      <c r="W9" s="159">
        <f t="shared" si="5"/>
        <v>0</v>
      </c>
      <c r="Y9" s="159">
        <f t="shared" si="6"/>
        <v>0</v>
      </c>
      <c r="AA9" s="159">
        <f t="shared" si="7"/>
        <v>0</v>
      </c>
      <c r="AC9" s="159">
        <f t="shared" si="8"/>
        <v>0</v>
      </c>
      <c r="AE9" s="159">
        <f t="shared" si="9"/>
        <v>0</v>
      </c>
      <c r="AG9" s="159">
        <f t="shared" si="10"/>
        <v>0</v>
      </c>
      <c r="AI9" s="159">
        <f t="shared" si="11"/>
        <v>0</v>
      </c>
      <c r="AK9" s="159">
        <f t="shared" si="12"/>
        <v>0</v>
      </c>
      <c r="AM9" s="159">
        <f t="shared" si="13"/>
        <v>0</v>
      </c>
      <c r="AO9" s="159">
        <f t="shared" si="14"/>
        <v>0</v>
      </c>
      <c r="AQ9" s="159">
        <f t="shared" si="15"/>
        <v>0</v>
      </c>
      <c r="AS9" s="159">
        <f t="shared" si="16"/>
        <v>0</v>
      </c>
      <c r="AU9" s="159">
        <f t="shared" si="17"/>
        <v>0</v>
      </c>
      <c r="AW9" s="159">
        <f t="shared" si="18"/>
        <v>0</v>
      </c>
    </row>
    <row r="10" spans="1:49" x14ac:dyDescent="0.2">
      <c r="A10" s="538" t="str">
        <f>IF(Input!B39&lt;&gt;"Special","",IF(VLOOKUP(Input!A39,Math!$A$22:$I$27,9,FALSE)="Reaction",Input!A39,Input!D39))</f>
        <v/>
      </c>
      <c r="B10" s="411" t="str">
        <f>IF(Input!B39="Special","Special","")</f>
        <v/>
      </c>
      <c r="C10" s="411" t="str">
        <f>IF(Input!B39&lt;&gt;"Special","",LEFT(VLOOKUP(Input!A39,Math!$A$22:$I$27,8,FALSE),5)&amp;" Success Rate Modifier")</f>
        <v/>
      </c>
      <c r="D10" s="411" t="str">
        <f>IF(Input!B39="Special",Input!$B$18,"")</f>
        <v/>
      </c>
      <c r="E10" s="411" t="str">
        <f>IF(Input!B39="Special",D10+1,"")</f>
        <v/>
      </c>
      <c r="F10" s="539" t="str">
        <f>IF(Input!B39&lt;&gt;"Special","",VLOOKUP(VLOOKUP(Input!A39,Math!$A$22:$I$27,4,FALSE),Paths!$C$2:$I$28,Input!E39+1,FALSE))</f>
        <v/>
      </c>
      <c r="G10" s="535"/>
      <c r="H10" s="536"/>
      <c r="I10" s="536"/>
      <c r="J10" s="536"/>
      <c r="K10" s="536"/>
      <c r="L10" s="537"/>
      <c r="M10" s="412">
        <f>IF(K10&gt;=Input!$B$18,1,0)</f>
        <v>0</v>
      </c>
      <c r="N10" s="159" t="str">
        <f t="shared" si="0"/>
        <v xml:space="preserve"> -  -  - 0</v>
      </c>
      <c r="O10" s="159">
        <f t="shared" si="1"/>
        <v>0</v>
      </c>
      <c r="Q10" s="159">
        <f t="shared" si="2"/>
        <v>0</v>
      </c>
      <c r="S10" s="159">
        <f t="shared" si="3"/>
        <v>0</v>
      </c>
      <c r="U10" s="159">
        <f t="shared" si="4"/>
        <v>0</v>
      </c>
      <c r="W10" s="159">
        <f t="shared" si="5"/>
        <v>0</v>
      </c>
      <c r="Y10" s="159">
        <f t="shared" si="6"/>
        <v>0</v>
      </c>
      <c r="AA10" s="159">
        <f t="shared" si="7"/>
        <v>0</v>
      </c>
      <c r="AC10" s="159">
        <f t="shared" si="8"/>
        <v>0</v>
      </c>
      <c r="AE10" s="159">
        <f t="shared" si="9"/>
        <v>0</v>
      </c>
      <c r="AG10" s="159">
        <f t="shared" si="10"/>
        <v>0</v>
      </c>
      <c r="AI10" s="159">
        <f t="shared" si="11"/>
        <v>0</v>
      </c>
      <c r="AK10" s="159">
        <f t="shared" si="12"/>
        <v>0</v>
      </c>
      <c r="AM10" s="159">
        <f t="shared" si="13"/>
        <v>0</v>
      </c>
      <c r="AO10" s="159">
        <f t="shared" si="14"/>
        <v>0</v>
      </c>
      <c r="AQ10" s="159">
        <f t="shared" si="15"/>
        <v>0</v>
      </c>
      <c r="AS10" s="159">
        <f t="shared" si="16"/>
        <v>0</v>
      </c>
      <c r="AU10" s="159">
        <f t="shared" si="17"/>
        <v>0</v>
      </c>
      <c r="AW10" s="159">
        <f t="shared" si="18"/>
        <v>0</v>
      </c>
    </row>
    <row r="11" spans="1:49" x14ac:dyDescent="0.2">
      <c r="A11" s="538" t="str">
        <f>IF(Input!B40&lt;&gt;"Special","",IF(VLOOKUP(Input!A40,Math!$A$22:$I$27,9,FALSE)="Reaction",Input!A40,Input!D40))</f>
        <v/>
      </c>
      <c r="B11" s="411" t="str">
        <f>IF(Input!B40="Special","Special","")</f>
        <v/>
      </c>
      <c r="C11" s="411" t="str">
        <f>IF(Input!B40&lt;&gt;"Special","",LEFT(VLOOKUP(Input!A40,Math!$A$22:$I$27,8,FALSE),5)&amp;" Success Rate Modifier")</f>
        <v/>
      </c>
      <c r="D11" s="411" t="str">
        <f>IF(Input!B40="Special",Input!$B$18,"")</f>
        <v/>
      </c>
      <c r="E11" s="411" t="str">
        <f>IF(Input!B40="Special",D11+1,"")</f>
        <v/>
      </c>
      <c r="F11" s="539" t="str">
        <f>IF(Input!B40&lt;&gt;"Special","",VLOOKUP(VLOOKUP(Input!A40,Math!$A$22:$I$27,4,FALSE),Paths!$C$2:$I$28,Input!E40+1,FALSE))</f>
        <v/>
      </c>
      <c r="G11" s="535"/>
      <c r="H11" s="536"/>
      <c r="I11" s="536"/>
      <c r="J11" s="536"/>
      <c r="K11" s="536"/>
      <c r="L11" s="537"/>
      <c r="M11" s="412">
        <f>IF(K11&gt;=Input!$B$18,1,0)</f>
        <v>0</v>
      </c>
      <c r="N11" s="159" t="str">
        <f t="shared" si="0"/>
        <v xml:space="preserve"> -  -  - 0</v>
      </c>
      <c r="O11" s="159">
        <f t="shared" si="1"/>
        <v>0</v>
      </c>
      <c r="Q11" s="159">
        <f t="shared" si="2"/>
        <v>0</v>
      </c>
      <c r="S11" s="159">
        <f t="shared" si="3"/>
        <v>0</v>
      </c>
      <c r="U11" s="159">
        <f t="shared" si="4"/>
        <v>0</v>
      </c>
      <c r="W11" s="159">
        <f t="shared" si="5"/>
        <v>0</v>
      </c>
      <c r="Y11" s="159">
        <f t="shared" si="6"/>
        <v>0</v>
      </c>
      <c r="AA11" s="159">
        <f t="shared" si="7"/>
        <v>0</v>
      </c>
      <c r="AC11" s="159">
        <f t="shared" si="8"/>
        <v>0</v>
      </c>
      <c r="AE11" s="159">
        <f t="shared" si="9"/>
        <v>0</v>
      </c>
      <c r="AG11" s="159">
        <f t="shared" si="10"/>
        <v>0</v>
      </c>
      <c r="AI11" s="159">
        <f t="shared" si="11"/>
        <v>0</v>
      </c>
      <c r="AK11" s="159">
        <f t="shared" si="12"/>
        <v>0</v>
      </c>
      <c r="AM11" s="159">
        <f t="shared" si="13"/>
        <v>0</v>
      </c>
      <c r="AO11" s="159">
        <f t="shared" si="14"/>
        <v>0</v>
      </c>
      <c r="AQ11" s="159">
        <f t="shared" si="15"/>
        <v>0</v>
      </c>
      <c r="AS11" s="159">
        <f t="shared" si="16"/>
        <v>0</v>
      </c>
      <c r="AU11" s="159">
        <f t="shared" si="17"/>
        <v>0</v>
      </c>
      <c r="AW11" s="159">
        <f t="shared" si="18"/>
        <v>0</v>
      </c>
    </row>
    <row r="12" spans="1:49" x14ac:dyDescent="0.2">
      <c r="A12" s="538" t="str">
        <f>IF(Input!B41&lt;&gt;"Special","",IF(VLOOKUP(Input!A41,Math!$A$22:$I$27,9,FALSE)="Reaction",Input!A41,Input!D41))</f>
        <v/>
      </c>
      <c r="B12" s="411" t="str">
        <f>IF(Input!B41="Special","Special","")</f>
        <v/>
      </c>
      <c r="C12" s="411" t="str">
        <f>IF(Input!B41&lt;&gt;"Special","",LEFT(VLOOKUP(Input!A41,Math!$A$22:$I$27,8,FALSE),5)&amp;" Success Rate Modifier")</f>
        <v/>
      </c>
      <c r="D12" s="411" t="str">
        <f>IF(Input!B41="Special",Input!$B$18,"")</f>
        <v/>
      </c>
      <c r="E12" s="411" t="str">
        <f>IF(Input!B41="Special",D12+1,"")</f>
        <v/>
      </c>
      <c r="F12" s="539" t="str">
        <f>IF(Input!B41&lt;&gt;"Special","",VLOOKUP(VLOOKUP(Input!A41,Math!$A$22:$I$27,4,FALSE),Paths!$C$2:$I$28,Input!E41+1,FALSE))</f>
        <v/>
      </c>
      <c r="G12" s="535"/>
      <c r="H12" s="536"/>
      <c r="I12" s="536"/>
      <c r="J12" s="536"/>
      <c r="K12" s="536"/>
      <c r="L12" s="537"/>
      <c r="M12" s="412">
        <f>IF(K12&gt;=Input!$B$18,1,0)</f>
        <v>0</v>
      </c>
      <c r="N12" s="159" t="str">
        <f t="shared" si="0"/>
        <v xml:space="preserve"> -  -  - 0</v>
      </c>
      <c r="O12" s="159">
        <f t="shared" si="1"/>
        <v>0</v>
      </c>
      <c r="Q12" s="159">
        <f t="shared" si="2"/>
        <v>0</v>
      </c>
      <c r="S12" s="159">
        <f t="shared" si="3"/>
        <v>0</v>
      </c>
      <c r="U12" s="159">
        <f t="shared" si="4"/>
        <v>0</v>
      </c>
      <c r="W12" s="159">
        <f t="shared" si="5"/>
        <v>0</v>
      </c>
      <c r="Y12" s="159">
        <f t="shared" si="6"/>
        <v>0</v>
      </c>
      <c r="AA12" s="159">
        <f t="shared" si="7"/>
        <v>0</v>
      </c>
      <c r="AC12" s="159">
        <f t="shared" si="8"/>
        <v>0</v>
      </c>
      <c r="AE12" s="159">
        <f t="shared" si="9"/>
        <v>0</v>
      </c>
      <c r="AG12" s="159">
        <f t="shared" si="10"/>
        <v>0</v>
      </c>
      <c r="AI12" s="159">
        <f t="shared" si="11"/>
        <v>0</v>
      </c>
      <c r="AK12" s="159">
        <f t="shared" si="12"/>
        <v>0</v>
      </c>
      <c r="AM12" s="159">
        <f t="shared" si="13"/>
        <v>0</v>
      </c>
      <c r="AO12" s="159">
        <f t="shared" si="14"/>
        <v>0</v>
      </c>
      <c r="AQ12" s="159">
        <f t="shared" si="15"/>
        <v>0</v>
      </c>
      <c r="AS12" s="159">
        <f t="shared" si="16"/>
        <v>0</v>
      </c>
      <c r="AU12" s="159">
        <f t="shared" si="17"/>
        <v>0</v>
      </c>
      <c r="AW12" s="159">
        <f t="shared" si="18"/>
        <v>0</v>
      </c>
    </row>
    <row r="13" spans="1:49" x14ac:dyDescent="0.2">
      <c r="A13" s="538" t="str">
        <f>IF(Input!B42&lt;&gt;"Special","",IF(VLOOKUP(Input!A42,Math!$A$22:$I$27,9,FALSE)="Reaction",Input!A42,Input!D42))</f>
        <v/>
      </c>
      <c r="B13" s="411" t="str">
        <f>IF(Input!B42="Special","Special","")</f>
        <v/>
      </c>
      <c r="C13" s="411" t="str">
        <f>IF(Input!B42&lt;&gt;"Special","",LEFT(VLOOKUP(Input!A42,Math!$A$22:$I$27,8,FALSE),5)&amp;" Success Rate Modifier")</f>
        <v/>
      </c>
      <c r="D13" s="411" t="str">
        <f>IF(Input!B42="Special",Input!$B$18,"")</f>
        <v/>
      </c>
      <c r="E13" s="411" t="str">
        <f>IF(Input!B42="Special",D13+1,"")</f>
        <v/>
      </c>
      <c r="F13" s="539" t="str">
        <f>IF(Input!B42&lt;&gt;"Special","",VLOOKUP(VLOOKUP(Input!A42,Math!$A$22:$I$27,4,FALSE),Paths!$C$2:$I$28,Input!E42+1,FALSE))</f>
        <v/>
      </c>
      <c r="G13" s="535"/>
      <c r="H13" s="536"/>
      <c r="I13" s="536"/>
      <c r="J13" s="536"/>
      <c r="K13" s="536"/>
      <c r="L13" s="537"/>
      <c r="M13" s="412">
        <f>IF(K13&gt;=Input!$B$18,1,0)</f>
        <v>0</v>
      </c>
      <c r="N13" s="159" t="str">
        <f t="shared" si="0"/>
        <v xml:space="preserve"> -  -  - 0</v>
      </c>
      <c r="O13" s="159">
        <f t="shared" si="1"/>
        <v>0</v>
      </c>
      <c r="Q13" s="159">
        <f t="shared" si="2"/>
        <v>0</v>
      </c>
      <c r="S13" s="159">
        <f t="shared" si="3"/>
        <v>0</v>
      </c>
      <c r="U13" s="159">
        <f t="shared" si="4"/>
        <v>0</v>
      </c>
      <c r="W13" s="159">
        <f t="shared" si="5"/>
        <v>0</v>
      </c>
      <c r="Y13" s="159">
        <f t="shared" si="6"/>
        <v>0</v>
      </c>
      <c r="AA13" s="159">
        <f t="shared" si="7"/>
        <v>0</v>
      </c>
      <c r="AC13" s="159">
        <f t="shared" si="8"/>
        <v>0</v>
      </c>
      <c r="AE13" s="159">
        <f t="shared" si="9"/>
        <v>0</v>
      </c>
      <c r="AG13" s="159">
        <f t="shared" si="10"/>
        <v>0</v>
      </c>
      <c r="AI13" s="159">
        <f t="shared" si="11"/>
        <v>0</v>
      </c>
      <c r="AK13" s="159">
        <f t="shared" si="12"/>
        <v>0</v>
      </c>
      <c r="AM13" s="159">
        <f t="shared" si="13"/>
        <v>0</v>
      </c>
      <c r="AO13" s="159">
        <f t="shared" si="14"/>
        <v>0</v>
      </c>
      <c r="AQ13" s="159">
        <f t="shared" si="15"/>
        <v>0</v>
      </c>
      <c r="AS13" s="159">
        <f t="shared" si="16"/>
        <v>0</v>
      </c>
      <c r="AU13" s="159">
        <f t="shared" si="17"/>
        <v>0</v>
      </c>
      <c r="AW13" s="159">
        <f t="shared" si="18"/>
        <v>0</v>
      </c>
    </row>
    <row r="14" spans="1:49" x14ac:dyDescent="0.2">
      <c r="A14" s="538" t="str">
        <f>IF(Input!B43&lt;&gt;"Special","",IF(VLOOKUP(Input!A43,Math!$A$22:$I$27,9,FALSE)="Reaction",Input!A43,Input!D43))</f>
        <v/>
      </c>
      <c r="B14" s="411" t="str">
        <f>IF(Input!B43="Special","Special","")</f>
        <v/>
      </c>
      <c r="C14" s="411" t="str">
        <f>IF(Input!B43&lt;&gt;"Special","",LEFT(VLOOKUP(Input!A43,Math!$A$22:$I$27,8,FALSE),5)&amp;" Success Rate Modifier")</f>
        <v/>
      </c>
      <c r="D14" s="411" t="str">
        <f>IF(Input!B43="Special",Input!$B$18,"")</f>
        <v/>
      </c>
      <c r="E14" s="411" t="str">
        <f>IF(Input!B43="Special",D14+1,"")</f>
        <v/>
      </c>
      <c r="F14" s="539" t="str">
        <f>IF(Input!B43&lt;&gt;"Special","",VLOOKUP(VLOOKUP(Input!A43,Math!$A$22:$I$27,4,FALSE),Paths!$C$2:$I$28,Input!E43+1,FALSE))</f>
        <v/>
      </c>
      <c r="G14" s="535"/>
      <c r="H14" s="536"/>
      <c r="I14" s="536"/>
      <c r="J14" s="536"/>
      <c r="K14" s="536"/>
      <c r="L14" s="537"/>
      <c r="M14" s="412">
        <f>IF(K14&gt;=Input!$B$18,1,0)</f>
        <v>0</v>
      </c>
      <c r="N14" s="159" t="str">
        <f t="shared" si="0"/>
        <v xml:space="preserve"> -  -  - 0</v>
      </c>
      <c r="O14" s="159">
        <f t="shared" si="1"/>
        <v>0</v>
      </c>
      <c r="Q14" s="159">
        <f t="shared" si="2"/>
        <v>0</v>
      </c>
      <c r="S14" s="159">
        <f t="shared" si="3"/>
        <v>0</v>
      </c>
      <c r="U14" s="159">
        <f t="shared" si="4"/>
        <v>0</v>
      </c>
      <c r="W14" s="159">
        <f t="shared" si="5"/>
        <v>0</v>
      </c>
      <c r="Y14" s="159">
        <f t="shared" si="6"/>
        <v>0</v>
      </c>
      <c r="AA14" s="159">
        <f t="shared" si="7"/>
        <v>0</v>
      </c>
      <c r="AC14" s="159">
        <f t="shared" si="8"/>
        <v>0</v>
      </c>
      <c r="AE14" s="159">
        <f t="shared" si="9"/>
        <v>0</v>
      </c>
      <c r="AG14" s="159">
        <f t="shared" si="10"/>
        <v>0</v>
      </c>
      <c r="AI14" s="159">
        <f t="shared" si="11"/>
        <v>0</v>
      </c>
      <c r="AK14" s="159">
        <f t="shared" si="12"/>
        <v>0</v>
      </c>
      <c r="AM14" s="159">
        <f t="shared" si="13"/>
        <v>0</v>
      </c>
      <c r="AO14" s="159">
        <f t="shared" si="14"/>
        <v>0</v>
      </c>
      <c r="AQ14" s="159">
        <f t="shared" si="15"/>
        <v>0</v>
      </c>
      <c r="AS14" s="159">
        <f t="shared" si="16"/>
        <v>0</v>
      </c>
      <c r="AU14" s="159">
        <f t="shared" si="17"/>
        <v>0</v>
      </c>
      <c r="AW14" s="159">
        <f t="shared" si="18"/>
        <v>0</v>
      </c>
    </row>
    <row r="15" spans="1:49" x14ac:dyDescent="0.2">
      <c r="A15" s="538" t="str">
        <f>IF(Input!B44&lt;&gt;"Special","",IF(VLOOKUP(Input!A44,Math!$A$22:$I$27,9,FALSE)="Reaction",Input!A44,Input!D44))</f>
        <v/>
      </c>
      <c r="B15" s="411" t="str">
        <f>IF(Input!B44="Special","Special","")</f>
        <v/>
      </c>
      <c r="C15" s="411" t="str">
        <f>IF(Input!B44&lt;&gt;"Special","",LEFT(VLOOKUP(Input!A44,Math!$A$22:$I$27,8,FALSE),5)&amp;" Success Rate Modifier")</f>
        <v/>
      </c>
      <c r="D15" s="411" t="str">
        <f>IF(Input!B44="Special",Input!$B$18,"")</f>
        <v/>
      </c>
      <c r="E15" s="411" t="str">
        <f>IF(Input!B44="Special",D15+1,"")</f>
        <v/>
      </c>
      <c r="F15" s="539" t="str">
        <f>IF(Input!B44&lt;&gt;"Special","",VLOOKUP(VLOOKUP(Input!A44,Math!$A$22:$I$27,4,FALSE),Paths!$C$2:$I$28,Input!E44+1,FALSE))</f>
        <v/>
      </c>
      <c r="G15" s="535"/>
      <c r="H15" s="536"/>
      <c r="I15" s="536"/>
      <c r="J15" s="536"/>
      <c r="K15" s="536"/>
      <c r="L15" s="537"/>
      <c r="M15" s="412">
        <f>IF(K15&gt;=Input!$B$18,1,0)</f>
        <v>0</v>
      </c>
      <c r="N15" s="159" t="str">
        <f t="shared" si="0"/>
        <v xml:space="preserve"> -  -  - 0</v>
      </c>
      <c r="O15" s="159">
        <f t="shared" si="1"/>
        <v>0</v>
      </c>
      <c r="Q15" s="159">
        <f t="shared" si="2"/>
        <v>0</v>
      </c>
      <c r="S15" s="159">
        <f t="shared" si="3"/>
        <v>0</v>
      </c>
      <c r="U15" s="159">
        <f t="shared" si="4"/>
        <v>0</v>
      </c>
      <c r="W15" s="159">
        <f t="shared" si="5"/>
        <v>0</v>
      </c>
      <c r="Y15" s="159">
        <f t="shared" si="6"/>
        <v>0</v>
      </c>
      <c r="AA15" s="159">
        <f t="shared" si="7"/>
        <v>0</v>
      </c>
      <c r="AC15" s="159">
        <f t="shared" si="8"/>
        <v>0</v>
      </c>
      <c r="AE15" s="159">
        <f t="shared" si="9"/>
        <v>0</v>
      </c>
      <c r="AG15" s="159">
        <f t="shared" si="10"/>
        <v>0</v>
      </c>
      <c r="AI15" s="159">
        <f t="shared" si="11"/>
        <v>0</v>
      </c>
      <c r="AK15" s="159">
        <f t="shared" si="12"/>
        <v>0</v>
      </c>
      <c r="AM15" s="159">
        <f t="shared" si="13"/>
        <v>0</v>
      </c>
      <c r="AO15" s="159">
        <f t="shared" si="14"/>
        <v>0</v>
      </c>
      <c r="AQ15" s="159">
        <f t="shared" si="15"/>
        <v>0</v>
      </c>
      <c r="AS15" s="159">
        <f t="shared" si="16"/>
        <v>0</v>
      </c>
      <c r="AU15" s="159">
        <f t="shared" si="17"/>
        <v>0</v>
      </c>
      <c r="AW15" s="159">
        <f t="shared" si="18"/>
        <v>0</v>
      </c>
    </row>
    <row r="16" spans="1:49" x14ac:dyDescent="0.2">
      <c r="A16" s="538" t="str">
        <f>IF(Input!B45&lt;&gt;"Special","",IF(VLOOKUP(Input!A45,Math!$A$22:$I$27,9,FALSE)="Reaction",Input!A45,Input!D45))</f>
        <v/>
      </c>
      <c r="B16" s="411" t="str">
        <f>IF(Input!B45="Special","Special","")</f>
        <v/>
      </c>
      <c r="C16" s="411" t="str">
        <f>IF(Input!B45&lt;&gt;"Special","",LEFT(VLOOKUP(Input!A45,Math!$A$22:$I$27,8,FALSE),5)&amp;" Success Rate Modifier")</f>
        <v/>
      </c>
      <c r="D16" s="411" t="str">
        <f>IF(Input!B45="Special",Input!$B$18,"")</f>
        <v/>
      </c>
      <c r="E16" s="411" t="str">
        <f>IF(Input!B45="Special",D16+1,"")</f>
        <v/>
      </c>
      <c r="F16" s="539" t="str">
        <f>IF(Input!B45&lt;&gt;"Special","",VLOOKUP(VLOOKUP(Input!A45,Math!$A$22:$I$27,4,FALSE),Paths!$C$2:$I$28,Input!E45+1,FALSE))</f>
        <v/>
      </c>
      <c r="G16" s="535"/>
      <c r="H16" s="536"/>
      <c r="I16" s="536"/>
      <c r="J16" s="536"/>
      <c r="K16" s="536"/>
      <c r="L16" s="537"/>
      <c r="M16" s="412">
        <f>IF(K16&gt;=Input!$B$18,1,0)</f>
        <v>0</v>
      </c>
      <c r="N16" s="159" t="str">
        <f t="shared" si="0"/>
        <v xml:space="preserve"> -  -  - 0</v>
      </c>
      <c r="O16" s="159">
        <f t="shared" si="1"/>
        <v>0</v>
      </c>
      <c r="Q16" s="159">
        <f t="shared" si="2"/>
        <v>0</v>
      </c>
      <c r="S16" s="159">
        <f t="shared" si="3"/>
        <v>0</v>
      </c>
      <c r="U16" s="159">
        <f t="shared" si="4"/>
        <v>0</v>
      </c>
      <c r="W16" s="159">
        <f t="shared" si="5"/>
        <v>0</v>
      </c>
      <c r="Y16" s="159">
        <f t="shared" si="6"/>
        <v>0</v>
      </c>
      <c r="AA16" s="159">
        <f t="shared" si="7"/>
        <v>0</v>
      </c>
      <c r="AC16" s="159">
        <f t="shared" si="8"/>
        <v>0</v>
      </c>
      <c r="AE16" s="159">
        <f t="shared" si="9"/>
        <v>0</v>
      </c>
      <c r="AG16" s="159">
        <f t="shared" si="10"/>
        <v>0</v>
      </c>
      <c r="AI16" s="159">
        <f t="shared" si="11"/>
        <v>0</v>
      </c>
      <c r="AK16" s="159">
        <f t="shared" si="12"/>
        <v>0</v>
      </c>
      <c r="AM16" s="159">
        <f t="shared" si="13"/>
        <v>0</v>
      </c>
      <c r="AO16" s="159">
        <f t="shared" si="14"/>
        <v>0</v>
      </c>
      <c r="AQ16" s="159">
        <f t="shared" si="15"/>
        <v>0</v>
      </c>
      <c r="AS16" s="159">
        <f t="shared" si="16"/>
        <v>0</v>
      </c>
      <c r="AU16" s="159">
        <f t="shared" si="17"/>
        <v>0</v>
      </c>
      <c r="AW16" s="159">
        <f t="shared" si="18"/>
        <v>0</v>
      </c>
    </row>
    <row r="17" spans="1:49" x14ac:dyDescent="0.2">
      <c r="A17" s="538" t="str">
        <f>IF(Input!B46&lt;&gt;"Special","",IF(VLOOKUP(Input!A46,Math!$A$22:$I$27,9,FALSE)="Reaction",Input!A46,Input!D46))</f>
        <v/>
      </c>
      <c r="B17" s="411" t="str">
        <f>IF(Input!B46="Special","Special","")</f>
        <v/>
      </c>
      <c r="C17" s="411" t="str">
        <f>IF(Input!B46&lt;&gt;"Special","",LEFT(VLOOKUP(Input!A46,Math!$A$22:$I$27,8,FALSE),5)&amp;" Success Rate Modifier")</f>
        <v/>
      </c>
      <c r="D17" s="411" t="str">
        <f>IF(Input!B46="Special",Input!$B$18,"")</f>
        <v/>
      </c>
      <c r="E17" s="411" t="str">
        <f>IF(Input!B46="Special",D17+1,"")</f>
        <v/>
      </c>
      <c r="F17" s="539" t="str">
        <f>IF(Input!B46&lt;&gt;"Special","",VLOOKUP(VLOOKUP(Input!A46,Math!$A$22:$I$27,4,FALSE),Paths!$C$2:$I$28,Input!E46+1,FALSE))</f>
        <v/>
      </c>
      <c r="G17" s="535"/>
      <c r="H17" s="536"/>
      <c r="I17" s="536"/>
      <c r="J17" s="536"/>
      <c r="K17" s="536"/>
      <c r="L17" s="537"/>
      <c r="M17" s="412">
        <f>IF(K17&gt;=Input!$B$18,1,0)</f>
        <v>0</v>
      </c>
      <c r="N17" s="159" t="str">
        <f t="shared" si="0"/>
        <v xml:space="preserve"> -  -  - 0</v>
      </c>
      <c r="O17" s="159">
        <f t="shared" si="1"/>
        <v>0</v>
      </c>
      <c r="Q17" s="159">
        <f t="shared" si="2"/>
        <v>0</v>
      </c>
      <c r="S17" s="159">
        <f t="shared" si="3"/>
        <v>0</v>
      </c>
      <c r="U17" s="159">
        <f t="shared" si="4"/>
        <v>0</v>
      </c>
      <c r="W17" s="159">
        <f t="shared" si="5"/>
        <v>0</v>
      </c>
      <c r="Y17" s="159">
        <f t="shared" si="6"/>
        <v>0</v>
      </c>
      <c r="AA17" s="159">
        <f t="shared" si="7"/>
        <v>0</v>
      </c>
      <c r="AC17" s="159">
        <f t="shared" si="8"/>
        <v>0</v>
      </c>
      <c r="AE17" s="159">
        <f t="shared" si="9"/>
        <v>0</v>
      </c>
      <c r="AG17" s="159">
        <f t="shared" si="10"/>
        <v>0</v>
      </c>
      <c r="AI17" s="159">
        <f t="shared" si="11"/>
        <v>0</v>
      </c>
      <c r="AK17" s="159">
        <f t="shared" si="12"/>
        <v>0</v>
      </c>
      <c r="AM17" s="159">
        <f t="shared" si="13"/>
        <v>0</v>
      </c>
      <c r="AO17" s="159">
        <f t="shared" si="14"/>
        <v>0</v>
      </c>
      <c r="AQ17" s="159">
        <f t="shared" si="15"/>
        <v>0</v>
      </c>
      <c r="AS17" s="159">
        <f t="shared" si="16"/>
        <v>0</v>
      </c>
      <c r="AU17" s="159">
        <f t="shared" si="17"/>
        <v>0</v>
      </c>
      <c r="AW17" s="159">
        <f t="shared" si="18"/>
        <v>0</v>
      </c>
    </row>
    <row r="18" spans="1:49" x14ac:dyDescent="0.2">
      <c r="A18" s="612" t="s">
        <v>427</v>
      </c>
      <c r="B18" s="574"/>
      <c r="C18" s="574"/>
      <c r="D18" s="574"/>
      <c r="E18" s="574"/>
      <c r="F18" s="575"/>
      <c r="G18" s="535"/>
      <c r="H18" s="536"/>
      <c r="I18" s="536"/>
      <c r="J18" s="536"/>
      <c r="K18" s="536"/>
      <c r="L18" s="537"/>
      <c r="M18" s="412">
        <f>IF(K18&gt;=Input!$B$18,1,0)</f>
        <v>0</v>
      </c>
      <c r="N18" s="159" t="str">
        <f t="shared" si="0"/>
        <v xml:space="preserve"> -  -  - 0</v>
      </c>
      <c r="O18" s="159">
        <f t="shared" si="1"/>
        <v>0</v>
      </c>
      <c r="Q18" s="159">
        <f t="shared" si="2"/>
        <v>0</v>
      </c>
      <c r="S18" s="159">
        <f t="shared" si="3"/>
        <v>0</v>
      </c>
      <c r="U18" s="159">
        <f t="shared" si="4"/>
        <v>0</v>
      </c>
      <c r="W18" s="159">
        <f t="shared" si="5"/>
        <v>0</v>
      </c>
      <c r="Y18" s="159">
        <f t="shared" si="6"/>
        <v>0</v>
      </c>
      <c r="AA18" s="159">
        <f t="shared" si="7"/>
        <v>0</v>
      </c>
      <c r="AC18" s="159">
        <f t="shared" si="8"/>
        <v>0</v>
      </c>
      <c r="AE18" s="159">
        <f t="shared" si="9"/>
        <v>0</v>
      </c>
      <c r="AG18" s="159">
        <f t="shared" si="10"/>
        <v>0</v>
      </c>
      <c r="AI18" s="159">
        <f t="shared" si="11"/>
        <v>0</v>
      </c>
      <c r="AK18" s="159">
        <f t="shared" si="12"/>
        <v>0</v>
      </c>
      <c r="AM18" s="159">
        <f t="shared" si="13"/>
        <v>0</v>
      </c>
      <c r="AO18" s="159">
        <f t="shared" si="14"/>
        <v>0</v>
      </c>
      <c r="AQ18" s="159">
        <f t="shared" si="15"/>
        <v>0</v>
      </c>
      <c r="AS18" s="159">
        <f t="shared" si="16"/>
        <v>0</v>
      </c>
      <c r="AU18" s="159">
        <f t="shared" si="17"/>
        <v>0</v>
      </c>
      <c r="AW18" s="159">
        <f t="shared" si="18"/>
        <v>0</v>
      </c>
    </row>
    <row r="19" spans="1:49" x14ac:dyDescent="0.2">
      <c r="A19" s="334" t="s">
        <v>109</v>
      </c>
      <c r="B19" s="397" t="s">
        <v>84</v>
      </c>
      <c r="C19" s="338" t="s">
        <v>85</v>
      </c>
      <c r="D19" s="338" t="s">
        <v>86</v>
      </c>
      <c r="E19" s="338" t="s">
        <v>87</v>
      </c>
      <c r="F19" s="534" t="s">
        <v>88</v>
      </c>
      <c r="G19" s="535"/>
      <c r="H19" s="536"/>
      <c r="I19" s="536"/>
      <c r="J19" s="536"/>
      <c r="K19" s="536"/>
      <c r="L19" s="537"/>
      <c r="M19" s="412">
        <f>IF(K19&gt;=Input!$B$18,1,0)</f>
        <v>0</v>
      </c>
      <c r="N19" s="159" t="str">
        <f t="shared" si="0"/>
        <v xml:space="preserve"> -  -  - 0</v>
      </c>
      <c r="O19" s="159">
        <f t="shared" si="1"/>
        <v>0</v>
      </c>
      <c r="Q19" s="159">
        <f t="shared" si="2"/>
        <v>0</v>
      </c>
      <c r="S19" s="159">
        <f t="shared" si="3"/>
        <v>0</v>
      </c>
      <c r="U19" s="159">
        <f t="shared" si="4"/>
        <v>0</v>
      </c>
      <c r="W19" s="159">
        <f t="shared" si="5"/>
        <v>0</v>
      </c>
      <c r="Y19" s="159">
        <f t="shared" si="6"/>
        <v>0</v>
      </c>
      <c r="AA19" s="159">
        <f t="shared" si="7"/>
        <v>0</v>
      </c>
      <c r="AC19" s="159">
        <f t="shared" si="8"/>
        <v>0</v>
      </c>
      <c r="AE19" s="159">
        <f t="shared" si="9"/>
        <v>0</v>
      </c>
      <c r="AG19" s="159">
        <f t="shared" si="10"/>
        <v>0</v>
      </c>
      <c r="AI19" s="159">
        <f t="shared" si="11"/>
        <v>0</v>
      </c>
      <c r="AK19" s="159">
        <f t="shared" si="12"/>
        <v>0</v>
      </c>
      <c r="AM19" s="159">
        <f t="shared" si="13"/>
        <v>0</v>
      </c>
      <c r="AO19" s="159">
        <f t="shared" si="14"/>
        <v>0</v>
      </c>
      <c r="AQ19" s="159">
        <f t="shared" si="15"/>
        <v>0</v>
      </c>
      <c r="AS19" s="159">
        <f t="shared" si="16"/>
        <v>0</v>
      </c>
      <c r="AU19" s="159">
        <f t="shared" si="17"/>
        <v>0</v>
      </c>
      <c r="AW19" s="159">
        <f t="shared" si="18"/>
        <v>0</v>
      </c>
    </row>
    <row r="20" spans="1:49" x14ac:dyDescent="0.2">
      <c r="A20" s="538" t="str">
        <f>IF(Input!Q32&lt;&gt;1,"",IF(ISERROR(VLOOKUP(CONCATENATE(Input!D32," - Crushing Blow - ",$U$1," - 1"),N:N,1,FALSE)),Input!D32,IF(RIGHT(VLOOKUP(CONCATENATE(Input!D32," - Crushing Blow - ",$U$1," - 1"),N:N,1,FALSE),1)="1","",Input!D32)))</f>
        <v/>
      </c>
      <c r="B20" s="411" t="str">
        <f>IF(Input!Q32&lt;&gt;1,"",IF(ISERROR(VLOOKUP(CONCATENATE(Input!D32," - Crushing Blow - ",$U$1," - 1"),N:N,1,FALSE)),"Crushing Blow",IF(RIGHT(VLOOKUP(CONCATENATE(Input!D32," - Crushing Blow - ",$U$1," - 1"),N:N,1,FALSE),1)="1","","Crushing Blow")))</f>
        <v/>
      </c>
      <c r="C20" s="411" t="str">
        <f>IF(Input!Q32&lt;&gt;1,"",IF(ISERROR(VLOOKUP(CONCATENATE(Input!D32," - Crushing Blow - ",$U$1," - 1"),N:N,1,FALSE)),$U$1,IF(RIGHT(VLOOKUP(CONCATENATE(Input!D32," - Crushing Blow - ",$U$1," - 1"),N:N,1,FALSE),1)="1","",$U$1)))</f>
        <v/>
      </c>
      <c r="D20" s="411" t="str">
        <f>IF(Input!Q32&lt;&gt;1,"",IF(ISERROR(VLOOKUP(CONCATENATE(Input!D32," - Crushing Blow - ",$U$1," - 1"),N:N,1,FALSE)),Input!$B$18,IF(RIGHT(VLOOKUP(CONCATENATE(Input!D32," - Crushing Blow - ",$U$1," - 1"),N:N,1,FALSE),1)="1","",Input!$B$18)))</f>
        <v/>
      </c>
      <c r="E20" s="411" t="str">
        <f>IF(Input!Q32&lt;&gt;1,"",IF(ISERROR(VLOOKUP(CONCATENATE(Input!D32," - Crushing Blow - ",$U$1," - 1"),N:N,1,FALSE)),D20+3,IF(RIGHT(VLOOKUP(CONCATENATE(Input!D32," - Crushing Blow - ",$U$1," - 1"),N:N,1,FALSE),1)="1","",D20+3)))</f>
        <v/>
      </c>
      <c r="F20" s="540" t="str">
        <f>IF(Input!Q32&lt;&gt;1,"",IF(ISERROR(VLOOKUP(CONCATENATE(Input!D32," - Crushing Blow - ",$U$1," - 1"),N:N,1,FALSE)),VLOOKUP(Input!D32,Math!$A$13:$AM$18,10,FALSE)*-0.75,IF(RIGHT(VLOOKUP(CONCATENATE(Input!D32," - Crushing Blow - ",$U$1," - 1"),N:N,1,FALSE),1)="1","",VLOOKUP(Input!D32,Math!$A$13:$AM$18,10,FALSE)*-0.75)))</f>
        <v/>
      </c>
      <c r="G20" s="536"/>
      <c r="H20" s="536"/>
      <c r="I20" s="536"/>
      <c r="J20" s="536"/>
      <c r="K20" s="536"/>
      <c r="L20" s="537"/>
      <c r="M20" s="412">
        <f>IF(K20&gt;=Input!$B$18,1,0)</f>
        <v>0</v>
      </c>
      <c r="N20" s="159" t="str">
        <f t="shared" si="0"/>
        <v xml:space="preserve"> -  -  - 0</v>
      </c>
      <c r="O20" s="159">
        <f t="shared" si="1"/>
        <v>0</v>
      </c>
      <c r="Q20" s="159">
        <f t="shared" si="2"/>
        <v>0</v>
      </c>
      <c r="S20" s="159">
        <f t="shared" si="3"/>
        <v>0</v>
      </c>
      <c r="U20" s="159">
        <f t="shared" si="4"/>
        <v>0</v>
      </c>
      <c r="W20" s="159">
        <f t="shared" si="5"/>
        <v>0</v>
      </c>
      <c r="Y20" s="159">
        <f t="shared" si="6"/>
        <v>0</v>
      </c>
      <c r="AA20" s="159">
        <f t="shared" si="7"/>
        <v>0</v>
      </c>
      <c r="AC20" s="159">
        <f t="shared" si="8"/>
        <v>0</v>
      </c>
      <c r="AE20" s="159">
        <f t="shared" si="9"/>
        <v>0</v>
      </c>
      <c r="AG20" s="159">
        <f t="shared" si="10"/>
        <v>0</v>
      </c>
      <c r="AI20" s="159">
        <f t="shared" si="11"/>
        <v>0</v>
      </c>
      <c r="AK20" s="159">
        <f t="shared" si="12"/>
        <v>0</v>
      </c>
      <c r="AM20" s="159">
        <f t="shared" si="13"/>
        <v>0</v>
      </c>
      <c r="AO20" s="159">
        <f t="shared" si="14"/>
        <v>0</v>
      </c>
      <c r="AQ20" s="159">
        <f t="shared" si="15"/>
        <v>0</v>
      </c>
      <c r="AS20" s="159">
        <f t="shared" si="16"/>
        <v>0</v>
      </c>
      <c r="AU20" s="159">
        <f t="shared" si="17"/>
        <v>0</v>
      </c>
      <c r="AW20" s="159">
        <f t="shared" si="18"/>
        <v>0</v>
      </c>
    </row>
    <row r="21" spans="1:49" x14ac:dyDescent="0.2">
      <c r="A21" s="538" t="str">
        <f>IF(Input!Q33&lt;&gt;1,"",IF(ISERROR(VLOOKUP(CONCATENATE(Input!D33," - Crushing Blow - ",$U$1," - 1"),N:N,1,FALSE)),Input!D33,IF(RIGHT(VLOOKUP(CONCATENATE(Input!D33," - Crushing Blow - ",$U$1," - 1"),N:N,1,FALSE),1)="1","",Input!D33)))</f>
        <v/>
      </c>
      <c r="B21" s="411" t="str">
        <f>IF(Input!Q33&lt;&gt;1,"",IF(ISERROR(VLOOKUP(CONCATENATE(Input!D33," - Crushing Blow - ",$U$1," - 1"),N:N,1,FALSE)),"Crushing Blow",IF(RIGHT(VLOOKUP(CONCATENATE(Input!D33," - Crushing Blow - ",$U$1," - 1"),N:N,1,FALSE),1)="1","","Crushing Blow")))</f>
        <v/>
      </c>
      <c r="C21" s="411" t="str">
        <f>IF(Input!Q33&lt;&gt;1,"",IF(ISERROR(VLOOKUP(CONCATENATE(Input!D33," - Crushing Blow - ",$U$1," - 1"),N:N,1,FALSE)),$U$1,IF(RIGHT(VLOOKUP(CONCATENATE(Input!D33," - Crushing Blow - ",$U$1," - 1"),N:N,1,FALSE),1)="1","",$U$1)))</f>
        <v/>
      </c>
      <c r="D21" s="411" t="str">
        <f>IF(Input!Q33&lt;&gt;1,"",IF(ISERROR(VLOOKUP(CONCATENATE(Input!D33," - Crushing Blow - ",$U$1," - 1"),N:N,1,FALSE)),Input!$B$18,IF(RIGHT(VLOOKUP(CONCATENATE(Input!D33," - Crushing Blow - ",$U$1," - 1"),N:N,1,FALSE),1)="1","",Input!$B$18)))</f>
        <v/>
      </c>
      <c r="E21" s="411" t="str">
        <f>IF(Input!Q33&lt;&gt;1,"",IF(ISERROR(VLOOKUP(CONCATENATE(Input!D33," - Crushing Blow - ",$U$1," - 1"),N:N,1,FALSE)),D21+3,IF(RIGHT(VLOOKUP(CONCATENATE(Input!D33," - Crushing Blow - ",$U$1," - 1"),N:N,1,FALSE),1)="1","",D21+3)))</f>
        <v/>
      </c>
      <c r="F21" s="540" t="str">
        <f>IF(Input!Q33&lt;&gt;1,"",IF(ISERROR(VLOOKUP(CONCATENATE(Input!D33," - Crushing Blow - ",$U$1," - 1"),N:N,1,FALSE)),VLOOKUP(Input!D33,Math!$A$13:$AM$18,10,FALSE)*-0.75,IF(RIGHT(VLOOKUP(CONCATENATE(Input!D33," - Crushing Blow - ",$U$1," - 1"),N:N,1,FALSE),1)="1","",VLOOKUP(Input!D33,Math!$A$13:$AM$18,10,FALSE)*-0.75)))</f>
        <v/>
      </c>
      <c r="G21" s="536"/>
      <c r="H21" s="536"/>
      <c r="I21" s="536"/>
      <c r="J21" s="536"/>
      <c r="K21" s="536"/>
      <c r="L21" s="537"/>
      <c r="M21" s="412">
        <f>IF(K21&gt;=Input!$B$18,1,0)</f>
        <v>0</v>
      </c>
      <c r="N21" s="159" t="str">
        <f t="shared" si="0"/>
        <v xml:space="preserve"> -  -  - 0</v>
      </c>
      <c r="O21" s="159">
        <f t="shared" si="1"/>
        <v>0</v>
      </c>
      <c r="Q21" s="159">
        <f t="shared" si="2"/>
        <v>0</v>
      </c>
      <c r="S21" s="159">
        <f t="shared" si="3"/>
        <v>0</v>
      </c>
      <c r="U21" s="159">
        <f t="shared" si="4"/>
        <v>0</v>
      </c>
      <c r="W21" s="159">
        <f t="shared" si="5"/>
        <v>0</v>
      </c>
      <c r="Y21" s="159">
        <f t="shared" si="6"/>
        <v>0</v>
      </c>
      <c r="AA21" s="159">
        <f t="shared" si="7"/>
        <v>0</v>
      </c>
      <c r="AC21" s="159">
        <f t="shared" si="8"/>
        <v>0</v>
      </c>
      <c r="AE21" s="159">
        <f t="shared" si="9"/>
        <v>0</v>
      </c>
      <c r="AG21" s="159">
        <f t="shared" si="10"/>
        <v>0</v>
      </c>
      <c r="AI21" s="159">
        <f t="shared" si="11"/>
        <v>0</v>
      </c>
      <c r="AK21" s="159">
        <f t="shared" si="12"/>
        <v>0</v>
      </c>
      <c r="AM21" s="159">
        <f t="shared" si="13"/>
        <v>0</v>
      </c>
      <c r="AO21" s="159">
        <f t="shared" si="14"/>
        <v>0</v>
      </c>
      <c r="AQ21" s="159">
        <f t="shared" si="15"/>
        <v>0</v>
      </c>
      <c r="AS21" s="159">
        <f t="shared" si="16"/>
        <v>0</v>
      </c>
      <c r="AU21" s="159">
        <f t="shared" si="17"/>
        <v>0</v>
      </c>
      <c r="AW21" s="159">
        <f t="shared" si="18"/>
        <v>0</v>
      </c>
    </row>
    <row r="22" spans="1:49" x14ac:dyDescent="0.2">
      <c r="A22" s="538" t="str">
        <f>IF(Input!Q34&lt;&gt;1,"",IF(ISERROR(VLOOKUP(CONCATENATE(Input!D34," - Crushing Blow - ",$U$1," - 1"),N:N,1,FALSE)),Input!D34,IF(RIGHT(VLOOKUP(CONCATENATE(Input!D34," - Crushing Blow - ",$U$1," - 1"),N:N,1,FALSE),1)="1","",Input!D34)))</f>
        <v/>
      </c>
      <c r="B22" s="411" t="str">
        <f>IF(Input!Q34&lt;&gt;1,"",IF(ISERROR(VLOOKUP(CONCATENATE(Input!D34," - Crushing Blow - ",$U$1," - 1"),N:N,1,FALSE)),"Crushing Blow",IF(RIGHT(VLOOKUP(CONCATENATE(Input!D34," - Crushing Blow - ",$U$1," - 1"),N:N,1,FALSE),1)="1","","Crushing Blow")))</f>
        <v/>
      </c>
      <c r="C22" s="411" t="str">
        <f>IF(Input!Q34&lt;&gt;1,"",IF(ISERROR(VLOOKUP(CONCATENATE(Input!D34," - Crushing Blow - ",$U$1," - 1"),N:N,1,FALSE)),$U$1,IF(RIGHT(VLOOKUP(CONCATENATE(Input!D34," - Crushing Blow - ",$U$1," - 1"),N:N,1,FALSE),1)="1","",$U$1)))</f>
        <v/>
      </c>
      <c r="D22" s="411" t="str">
        <f>IF(Input!Q34&lt;&gt;1,"",IF(ISERROR(VLOOKUP(CONCATENATE(Input!D34," - Crushing Blow - ",$U$1," - 1"),N:N,1,FALSE)),Input!$B$18,IF(RIGHT(VLOOKUP(CONCATENATE(Input!D34," - Crushing Blow - ",$U$1," - 1"),N:N,1,FALSE),1)="1","",Input!$B$18)))</f>
        <v/>
      </c>
      <c r="E22" s="411" t="str">
        <f>IF(Input!Q34&lt;&gt;1,"",IF(ISERROR(VLOOKUP(CONCATENATE(Input!D34," - Crushing Blow - ",$U$1," - 1"),N:N,1,FALSE)),D22+3,IF(RIGHT(VLOOKUP(CONCATENATE(Input!D34," - Crushing Blow - ",$U$1," - 1"),N:N,1,FALSE),1)="1","",D22+3)))</f>
        <v/>
      </c>
      <c r="F22" s="540" t="str">
        <f>IF(Input!Q34&lt;&gt;1,"",IF(ISERROR(VLOOKUP(CONCATENATE(Input!D34," - Crushing Blow - ",$U$1," - 1"),N:N,1,FALSE)),VLOOKUP(Input!D34,Math!$A$13:$AM$18,10,FALSE)*-0.75,IF(RIGHT(VLOOKUP(CONCATENATE(Input!D34," - Crushing Blow - ",$U$1," - 1"),N:N,1,FALSE),1)="1","",VLOOKUP(Input!D34,Math!$A$13:$AM$18,10,FALSE)*-0.75)))</f>
        <v/>
      </c>
      <c r="G22" s="536"/>
      <c r="H22" s="536"/>
      <c r="I22" s="536"/>
      <c r="J22" s="536"/>
      <c r="K22" s="536"/>
      <c r="L22" s="537"/>
      <c r="M22" s="412">
        <f>IF(K22&gt;=Input!$B$18,1,0)</f>
        <v>0</v>
      </c>
      <c r="N22" s="159" t="str">
        <f t="shared" si="0"/>
        <v xml:space="preserve"> -  -  - 0</v>
      </c>
      <c r="O22" s="159">
        <f t="shared" si="1"/>
        <v>0</v>
      </c>
      <c r="Q22" s="159">
        <f t="shared" si="2"/>
        <v>0</v>
      </c>
      <c r="S22" s="159">
        <f t="shared" si="3"/>
        <v>0</v>
      </c>
      <c r="U22" s="159">
        <f t="shared" si="4"/>
        <v>0</v>
      </c>
      <c r="W22" s="159">
        <f t="shared" si="5"/>
        <v>0</v>
      </c>
      <c r="Y22" s="159">
        <f t="shared" si="6"/>
        <v>0</v>
      </c>
      <c r="AA22" s="159">
        <f t="shared" si="7"/>
        <v>0</v>
      </c>
      <c r="AC22" s="159">
        <f t="shared" si="8"/>
        <v>0</v>
      </c>
      <c r="AE22" s="159">
        <f t="shared" si="9"/>
        <v>0</v>
      </c>
      <c r="AG22" s="159">
        <f t="shared" si="10"/>
        <v>0</v>
      </c>
      <c r="AI22" s="159">
        <f t="shared" si="11"/>
        <v>0</v>
      </c>
      <c r="AK22" s="159">
        <f t="shared" si="12"/>
        <v>0</v>
      </c>
      <c r="AM22" s="159">
        <f t="shared" si="13"/>
        <v>0</v>
      </c>
      <c r="AO22" s="159">
        <f t="shared" si="14"/>
        <v>0</v>
      </c>
      <c r="AQ22" s="159">
        <f t="shared" si="15"/>
        <v>0</v>
      </c>
      <c r="AS22" s="159">
        <f t="shared" si="16"/>
        <v>0</v>
      </c>
      <c r="AU22" s="159">
        <f t="shared" si="17"/>
        <v>0</v>
      </c>
      <c r="AW22" s="159">
        <f t="shared" si="18"/>
        <v>0</v>
      </c>
    </row>
    <row r="23" spans="1:49" x14ac:dyDescent="0.2">
      <c r="A23" s="538" t="str">
        <f>IF(Input!Q35&lt;&gt;1,"",IF(ISERROR(VLOOKUP(CONCATENATE(Input!D35," - Crushing Blow - ",$U$1," - 1"),N:N,1,FALSE)),Input!D35,IF(RIGHT(VLOOKUP(CONCATENATE(Input!D35," - Crushing Blow - ",$U$1," - 1"),N:N,1,FALSE),1)="1","",Input!D35)))</f>
        <v/>
      </c>
      <c r="B23" s="411" t="str">
        <f>IF(Input!Q35&lt;&gt;1,"",IF(ISERROR(VLOOKUP(CONCATENATE(Input!D35," - Crushing Blow - ",$U$1," - 1"),N:N,1,FALSE)),"Crushing Blow",IF(RIGHT(VLOOKUP(CONCATENATE(Input!D35," - Crushing Blow - ",$U$1," - 1"),N:N,1,FALSE),1)="1","","Crushing Blow")))</f>
        <v/>
      </c>
      <c r="C23" s="411" t="str">
        <f>IF(Input!Q35&lt;&gt;1,"",IF(ISERROR(VLOOKUP(CONCATENATE(Input!D35," - Crushing Blow - ",$U$1," - 1"),N:N,1,FALSE)),$U$1,IF(RIGHT(VLOOKUP(CONCATENATE(Input!D35," - Crushing Blow - ",$U$1," - 1"),N:N,1,FALSE),1)="1","",$U$1)))</f>
        <v/>
      </c>
      <c r="D23" s="411" t="str">
        <f>IF(Input!Q35&lt;&gt;1,"",IF(ISERROR(VLOOKUP(CONCATENATE(Input!D35," - Crushing Blow - ",$U$1," - 1"),N:N,1,FALSE)),Input!$B$18,IF(RIGHT(VLOOKUP(CONCATENATE(Input!D35," - Crushing Blow - ",$U$1," - 1"),N:N,1,FALSE),1)="1","",Input!$B$18)))</f>
        <v/>
      </c>
      <c r="E23" s="411" t="str">
        <f>IF(Input!Q35&lt;&gt;1,"",IF(ISERROR(VLOOKUP(CONCATENATE(Input!D35," - Crushing Blow - ",$U$1," - 1"),N:N,1,FALSE)),D23+3,IF(RIGHT(VLOOKUP(CONCATENATE(Input!D35," - Crushing Blow - ",$U$1," - 1"),N:N,1,FALSE),1)="1","",D23+3)))</f>
        <v/>
      </c>
      <c r="F23" s="540" t="str">
        <f>IF(Input!Q35&lt;&gt;1,"",IF(ISERROR(VLOOKUP(CONCATENATE(Input!D35," - Crushing Blow - ",$U$1," - 1"),N:N,1,FALSE)),VLOOKUP(Input!D35,Math!$A$13:$AM$18,10,FALSE)*-0.75,IF(RIGHT(VLOOKUP(CONCATENATE(Input!D35," - Crushing Blow - ",$U$1," - 1"),N:N,1,FALSE),1)="1","",VLOOKUP(Input!D35,Math!$A$13:$AM$18,10,FALSE)*-0.75)))</f>
        <v/>
      </c>
      <c r="G23" s="536"/>
      <c r="H23" s="536"/>
      <c r="I23" s="536"/>
      <c r="J23" s="536"/>
      <c r="K23" s="536"/>
      <c r="L23" s="537"/>
      <c r="M23" s="412">
        <f>IF(K23&gt;=Input!$B$18,1,0)</f>
        <v>0</v>
      </c>
      <c r="N23" s="159" t="str">
        <f t="shared" si="0"/>
        <v xml:space="preserve"> -  -  - 0</v>
      </c>
      <c r="O23" s="159">
        <f t="shared" si="1"/>
        <v>0</v>
      </c>
      <c r="Q23" s="159">
        <f t="shared" si="2"/>
        <v>0</v>
      </c>
      <c r="S23" s="159">
        <f t="shared" si="3"/>
        <v>0</v>
      </c>
      <c r="U23" s="159">
        <f t="shared" si="4"/>
        <v>0</v>
      </c>
      <c r="W23" s="159">
        <f t="shared" si="5"/>
        <v>0</v>
      </c>
      <c r="Y23" s="159">
        <f t="shared" si="6"/>
        <v>0</v>
      </c>
      <c r="AA23" s="159">
        <f t="shared" si="7"/>
        <v>0</v>
      </c>
      <c r="AC23" s="159">
        <f t="shared" si="8"/>
        <v>0</v>
      </c>
      <c r="AE23" s="159">
        <f t="shared" si="9"/>
        <v>0</v>
      </c>
      <c r="AG23" s="159">
        <f t="shared" si="10"/>
        <v>0</v>
      </c>
      <c r="AI23" s="159">
        <f t="shared" si="11"/>
        <v>0</v>
      </c>
      <c r="AK23" s="159">
        <f t="shared" si="12"/>
        <v>0</v>
      </c>
      <c r="AM23" s="159">
        <f t="shared" si="13"/>
        <v>0</v>
      </c>
      <c r="AO23" s="159">
        <f t="shared" si="14"/>
        <v>0</v>
      </c>
      <c r="AQ23" s="159">
        <f t="shared" si="15"/>
        <v>0</v>
      </c>
      <c r="AS23" s="159">
        <f t="shared" si="16"/>
        <v>0</v>
      </c>
      <c r="AU23" s="159">
        <f t="shared" si="17"/>
        <v>0</v>
      </c>
      <c r="AW23" s="159">
        <f t="shared" si="18"/>
        <v>0</v>
      </c>
    </row>
    <row r="24" spans="1:49" x14ac:dyDescent="0.2">
      <c r="A24" s="538" t="str">
        <f>IF(Input!Q36&lt;&gt;1,"",IF(ISERROR(VLOOKUP(CONCATENATE(Input!D36," - Crushing Blow - ",$U$1," - 1"),N:N,1,FALSE)),Input!D36,IF(RIGHT(VLOOKUP(CONCATENATE(Input!D36," - Crushing Blow - ",$U$1," - 1"),N:N,1,FALSE),1)="1","",Input!D36)))</f>
        <v/>
      </c>
      <c r="B24" s="411" t="str">
        <f>IF(Input!Q36&lt;&gt;1,"",IF(ISERROR(VLOOKUP(CONCATENATE(Input!D36," - Crushing Blow - ",$U$1," - 1"),N:N,1,FALSE)),"Crushing Blow",IF(RIGHT(VLOOKUP(CONCATENATE(Input!D36," - Crushing Blow - ",$U$1," - 1"),N:N,1,FALSE),1)="1","","Crushing Blow")))</f>
        <v/>
      </c>
      <c r="C24" s="411" t="str">
        <f>IF(Input!Q36&lt;&gt;1,"",IF(ISERROR(VLOOKUP(CONCATENATE(Input!D36," - Crushing Blow - ",$U$1," - 1"),N:N,1,FALSE)),$U$1,IF(RIGHT(VLOOKUP(CONCATENATE(Input!D36," - Crushing Blow - ",$U$1," - 1"),N:N,1,FALSE),1)="1","",$U$1)))</f>
        <v/>
      </c>
      <c r="D24" s="411" t="str">
        <f>IF(Input!Q36&lt;&gt;1,"",IF(ISERROR(VLOOKUP(CONCATENATE(Input!D36," - Crushing Blow - ",$U$1," - 1"),N:N,1,FALSE)),Input!$B$18,IF(RIGHT(VLOOKUP(CONCATENATE(Input!D36," - Crushing Blow - ",$U$1," - 1"),N:N,1,FALSE),1)="1","",Input!$B$18)))</f>
        <v/>
      </c>
      <c r="E24" s="411" t="str">
        <f>IF(Input!Q36&lt;&gt;1,"",IF(ISERROR(VLOOKUP(CONCATENATE(Input!D36," - Crushing Blow - ",$U$1," - 1"),N:N,1,FALSE)),D24+3,IF(RIGHT(VLOOKUP(CONCATENATE(Input!D36," - Crushing Blow - ",$U$1," - 1"),N:N,1,FALSE),1)="1","",D24+3)))</f>
        <v/>
      </c>
      <c r="F24" s="540" t="str">
        <f>IF(Input!Q36&lt;&gt;1,"",IF(ISERROR(VLOOKUP(CONCATENATE(Input!D36," - Crushing Blow - ",$U$1," - 1"),N:N,1,FALSE)),VLOOKUP(Input!D36,Math!$A$13:$AM$18,10,FALSE)*-0.75,IF(RIGHT(VLOOKUP(CONCATENATE(Input!D36," - Crushing Blow - ",$U$1," - 1"),N:N,1,FALSE),1)="1","",VLOOKUP(Input!D36,Math!$A$13:$AM$18,10,FALSE)*-0.75)))</f>
        <v/>
      </c>
      <c r="G24" s="536"/>
      <c r="H24" s="536"/>
      <c r="I24" s="536"/>
      <c r="J24" s="536"/>
      <c r="K24" s="536"/>
      <c r="L24" s="537"/>
      <c r="M24" s="412">
        <f>IF(K24&gt;=Input!$B$18,1,0)</f>
        <v>0</v>
      </c>
      <c r="N24" s="159" t="str">
        <f t="shared" si="0"/>
        <v xml:space="preserve"> -  -  - 0</v>
      </c>
      <c r="O24" s="159">
        <f t="shared" si="1"/>
        <v>0</v>
      </c>
      <c r="Q24" s="159">
        <f t="shared" si="2"/>
        <v>0</v>
      </c>
      <c r="S24" s="159">
        <f t="shared" si="3"/>
        <v>0</v>
      </c>
      <c r="U24" s="159">
        <f t="shared" si="4"/>
        <v>0</v>
      </c>
      <c r="W24" s="159">
        <f t="shared" si="5"/>
        <v>0</v>
      </c>
      <c r="Y24" s="159">
        <f t="shared" si="6"/>
        <v>0</v>
      </c>
      <c r="AA24" s="159">
        <f t="shared" si="7"/>
        <v>0</v>
      </c>
      <c r="AC24" s="159">
        <f t="shared" si="8"/>
        <v>0</v>
      </c>
      <c r="AE24" s="159">
        <f t="shared" si="9"/>
        <v>0</v>
      </c>
      <c r="AG24" s="159">
        <f t="shared" si="10"/>
        <v>0</v>
      </c>
      <c r="AI24" s="159">
        <f t="shared" si="11"/>
        <v>0</v>
      </c>
      <c r="AK24" s="159">
        <f t="shared" si="12"/>
        <v>0</v>
      </c>
      <c r="AM24" s="159">
        <f t="shared" si="13"/>
        <v>0</v>
      </c>
      <c r="AO24" s="159">
        <f t="shared" si="14"/>
        <v>0</v>
      </c>
      <c r="AQ24" s="159">
        <f t="shared" si="15"/>
        <v>0</v>
      </c>
      <c r="AS24" s="159">
        <f t="shared" si="16"/>
        <v>0</v>
      </c>
      <c r="AU24" s="159">
        <f t="shared" si="17"/>
        <v>0</v>
      </c>
      <c r="AW24" s="159">
        <f t="shared" si="18"/>
        <v>0</v>
      </c>
    </row>
    <row r="25" spans="1:49" x14ac:dyDescent="0.2">
      <c r="A25" s="538" t="str">
        <f>IF(Input!Q37&lt;&gt;1,"",IF(ISERROR(VLOOKUP(CONCATENATE(Input!D37," - Crushing Blow - ",$U$1," - 1"),N:N,1,FALSE)),Input!D37,IF(RIGHT(VLOOKUP(CONCATENATE(Input!D37," - Crushing Blow - ",$U$1," - 1"),N:N,1,FALSE),1)="1","",Input!D37)))</f>
        <v/>
      </c>
      <c r="B25" s="411" t="str">
        <f>IF(Input!Q37&lt;&gt;1,"",IF(ISERROR(VLOOKUP(CONCATENATE(Input!D37," - Crushing Blow - ",$U$1," - 1"),N:N,1,FALSE)),"Crushing Blow",IF(RIGHT(VLOOKUP(CONCATENATE(Input!D37," - Crushing Blow - ",$U$1," - 1"),N:N,1,FALSE),1)="1","","Crushing Blow")))</f>
        <v/>
      </c>
      <c r="C25" s="411" t="str">
        <f>IF(Input!Q37&lt;&gt;1,"",IF(ISERROR(VLOOKUP(CONCATENATE(Input!D37," - Crushing Blow - ",$U$1," - 1"),N:N,1,FALSE)),$U$1,IF(RIGHT(VLOOKUP(CONCATENATE(Input!D37," - Crushing Blow - ",$U$1," - 1"),N:N,1,FALSE),1)="1","",$U$1)))</f>
        <v/>
      </c>
      <c r="D25" s="411" t="str">
        <f>IF(Input!Q37&lt;&gt;1,"",IF(ISERROR(VLOOKUP(CONCATENATE(Input!D37," - Crushing Blow - ",$U$1," - 1"),N:N,1,FALSE)),Input!$B$18,IF(RIGHT(VLOOKUP(CONCATENATE(Input!D37," - Crushing Blow - ",$U$1," - 1"),N:N,1,FALSE),1)="1","",Input!$B$18)))</f>
        <v/>
      </c>
      <c r="E25" s="411" t="str">
        <f>IF(Input!Q37&lt;&gt;1,"",IF(ISERROR(VLOOKUP(CONCATENATE(Input!D37," - Crushing Blow - ",$U$1," - 1"),N:N,1,FALSE)),D25+3,IF(RIGHT(VLOOKUP(CONCATENATE(Input!D37," - Crushing Blow - ",$U$1," - 1"),N:N,1,FALSE),1)="1","",D25+3)))</f>
        <v/>
      </c>
      <c r="F25" s="540" t="str">
        <f>IF(Input!Q37&lt;&gt;1,"",IF(ISERROR(VLOOKUP(CONCATENATE(Input!D37," - Crushing Blow - ",$U$1," - 1"),N:N,1,FALSE)),VLOOKUP(Input!D37,Math!$A$13:$AM$18,10,FALSE)*-0.75,IF(RIGHT(VLOOKUP(CONCATENATE(Input!D37," - Crushing Blow - ",$U$1," - 1"),N:N,1,FALSE),1)="1","",VLOOKUP(Input!D37,Math!$A$13:$AM$18,10,FALSE)*-0.75)))</f>
        <v/>
      </c>
      <c r="G25" s="536"/>
      <c r="H25" s="536"/>
      <c r="I25" s="536"/>
      <c r="J25" s="536"/>
      <c r="K25" s="536"/>
      <c r="L25" s="537"/>
      <c r="M25" s="412">
        <f>IF(K25&gt;=Input!$B$18,1,0)</f>
        <v>0</v>
      </c>
      <c r="N25" s="159" t="str">
        <f t="shared" si="0"/>
        <v xml:space="preserve"> -  -  - 0</v>
      </c>
      <c r="O25" s="159">
        <f t="shared" si="1"/>
        <v>0</v>
      </c>
      <c r="Q25" s="159">
        <f t="shared" si="2"/>
        <v>0</v>
      </c>
      <c r="S25" s="159">
        <f t="shared" si="3"/>
        <v>0</v>
      </c>
      <c r="U25" s="159">
        <f t="shared" si="4"/>
        <v>0</v>
      </c>
      <c r="W25" s="159">
        <f t="shared" si="5"/>
        <v>0</v>
      </c>
      <c r="Y25" s="159">
        <f t="shared" si="6"/>
        <v>0</v>
      </c>
      <c r="AA25" s="159">
        <f t="shared" si="7"/>
        <v>0</v>
      </c>
      <c r="AC25" s="159">
        <f t="shared" si="8"/>
        <v>0</v>
      </c>
      <c r="AE25" s="159">
        <f t="shared" si="9"/>
        <v>0</v>
      </c>
      <c r="AG25" s="159">
        <f t="shared" si="10"/>
        <v>0</v>
      </c>
      <c r="AI25" s="159">
        <f t="shared" si="11"/>
        <v>0</v>
      </c>
      <c r="AK25" s="159">
        <f t="shared" si="12"/>
        <v>0</v>
      </c>
      <c r="AM25" s="159">
        <f t="shared" si="13"/>
        <v>0</v>
      </c>
      <c r="AO25" s="159">
        <f t="shared" si="14"/>
        <v>0</v>
      </c>
      <c r="AQ25" s="159">
        <f t="shared" si="15"/>
        <v>0</v>
      </c>
      <c r="AS25" s="159">
        <f t="shared" si="16"/>
        <v>0</v>
      </c>
      <c r="AU25" s="159">
        <f t="shared" si="17"/>
        <v>0</v>
      </c>
      <c r="AW25" s="159">
        <f t="shared" si="18"/>
        <v>0</v>
      </c>
    </row>
    <row r="26" spans="1:49" x14ac:dyDescent="0.2">
      <c r="A26" s="538" t="str">
        <f>IF(Input!Q38&lt;&gt;1,"",IF(ISERROR(VLOOKUP(CONCATENATE(Input!D38," - Crushing Blow - ",$U$1," - 1"),N:N,1,FALSE)),Input!D38,IF(RIGHT(VLOOKUP(CONCATENATE(Input!D38," - Crushing Blow - ",$U$1," - 1"),N:N,1,FALSE),1)="1","",Input!D38)))</f>
        <v/>
      </c>
      <c r="B26" s="411" t="str">
        <f>IF(Input!Q38&lt;&gt;1,"",IF(ISERROR(VLOOKUP(CONCATENATE(Input!D38," - Crushing Blow - ",$U$1," - 1"),N:N,1,FALSE)),"Crushing Blow",IF(RIGHT(VLOOKUP(CONCATENATE(Input!D38," - Crushing Blow - ",$U$1," - 1"),N:N,1,FALSE),1)="1","","Crushing Blow")))</f>
        <v/>
      </c>
      <c r="C26" s="411" t="str">
        <f>IF(Input!Q38&lt;&gt;1,"",IF(ISERROR(VLOOKUP(CONCATENATE(Input!D38," - Crushing Blow - ",$U$1," - 1"),N:N,1,FALSE)),$U$1,IF(RIGHT(VLOOKUP(CONCATENATE(Input!D38," - Crushing Blow - ",$U$1," - 1"),N:N,1,FALSE),1)="1","",$U$1)))</f>
        <v/>
      </c>
      <c r="D26" s="411" t="str">
        <f>IF(Input!Q38&lt;&gt;1,"",IF(ISERROR(VLOOKUP(CONCATENATE(Input!D38," - Crushing Blow - ",$U$1," - 1"),N:N,1,FALSE)),Input!$B$18,IF(RIGHT(VLOOKUP(CONCATENATE(Input!D38," - Crushing Blow - ",$U$1," - 1"),N:N,1,FALSE),1)="1","",Input!$B$18)))</f>
        <v/>
      </c>
      <c r="E26" s="411" t="str">
        <f>IF(Input!Q38&lt;&gt;1,"",IF(ISERROR(VLOOKUP(CONCATENATE(Input!D38," - Crushing Blow - ",$U$1," - 1"),N:N,1,FALSE)),D26+3,IF(RIGHT(VLOOKUP(CONCATENATE(Input!D38," - Crushing Blow - ",$U$1," - 1"),N:N,1,FALSE),1)="1","",D26+3)))</f>
        <v/>
      </c>
      <c r="F26" s="540" t="str">
        <f>IF(Input!Q38&lt;&gt;1,"",IF(ISERROR(VLOOKUP(CONCATENATE(Input!D38," - Crushing Blow - ",$U$1," - 1"),N:N,1,FALSE)),VLOOKUP(Input!D38,Math!$A$13:$AM$18,10,FALSE)*-0.75,IF(RIGHT(VLOOKUP(CONCATENATE(Input!D38," - Crushing Blow - ",$U$1," - 1"),N:N,1,FALSE),1)="1","",VLOOKUP(Input!D38,Math!$A$13:$AM$18,10,FALSE)*-0.75)))</f>
        <v/>
      </c>
      <c r="G26" s="536"/>
      <c r="H26" s="536"/>
      <c r="I26" s="536"/>
      <c r="J26" s="536"/>
      <c r="K26" s="536"/>
      <c r="L26" s="537"/>
      <c r="M26" s="412">
        <f>IF(K26&gt;=Input!$B$18,1,0)</f>
        <v>0</v>
      </c>
      <c r="N26" s="159" t="str">
        <f t="shared" si="0"/>
        <v xml:space="preserve"> -  -  - 0</v>
      </c>
      <c r="O26" s="159">
        <f t="shared" si="1"/>
        <v>0</v>
      </c>
      <c r="Q26" s="159">
        <f t="shared" si="2"/>
        <v>0</v>
      </c>
      <c r="S26" s="159">
        <f t="shared" si="3"/>
        <v>0</v>
      </c>
      <c r="U26" s="159">
        <f t="shared" si="4"/>
        <v>0</v>
      </c>
      <c r="W26" s="159">
        <f t="shared" si="5"/>
        <v>0</v>
      </c>
      <c r="Y26" s="159">
        <f t="shared" si="6"/>
        <v>0</v>
      </c>
      <c r="AA26" s="159">
        <f t="shared" si="7"/>
        <v>0</v>
      </c>
      <c r="AC26" s="159">
        <f t="shared" si="8"/>
        <v>0</v>
      </c>
      <c r="AE26" s="159">
        <f t="shared" si="9"/>
        <v>0</v>
      </c>
      <c r="AG26" s="159">
        <f t="shared" si="10"/>
        <v>0</v>
      </c>
      <c r="AI26" s="159">
        <f t="shared" si="11"/>
        <v>0</v>
      </c>
      <c r="AK26" s="159">
        <f t="shared" si="12"/>
        <v>0</v>
      </c>
      <c r="AM26" s="159">
        <f t="shared" si="13"/>
        <v>0</v>
      </c>
      <c r="AO26" s="159">
        <f t="shared" si="14"/>
        <v>0</v>
      </c>
      <c r="AQ26" s="159">
        <f t="shared" si="15"/>
        <v>0</v>
      </c>
      <c r="AS26" s="159">
        <f t="shared" si="16"/>
        <v>0</v>
      </c>
      <c r="AU26" s="159">
        <f t="shared" si="17"/>
        <v>0</v>
      </c>
      <c r="AW26" s="159">
        <f t="shared" si="18"/>
        <v>0</v>
      </c>
    </row>
    <row r="27" spans="1:49" x14ac:dyDescent="0.2">
      <c r="A27" s="538" t="str">
        <f>IF(Input!Q39&lt;&gt;1,"",IF(ISERROR(VLOOKUP(CONCATENATE(Input!D39," - Crushing Blow - ",$U$1," - 1"),N:N,1,FALSE)),Input!D39,IF(RIGHT(VLOOKUP(CONCATENATE(Input!D39," - Crushing Blow - ",$U$1," - 1"),N:N,1,FALSE),1)="1","",Input!D39)))</f>
        <v/>
      </c>
      <c r="B27" s="411" t="str">
        <f>IF(Input!Q39&lt;&gt;1,"",IF(ISERROR(VLOOKUP(CONCATENATE(Input!D39," - Crushing Blow - ",$U$1," - 1"),N:N,1,FALSE)),"Crushing Blow",IF(RIGHT(VLOOKUP(CONCATENATE(Input!D39," - Crushing Blow - ",$U$1," - 1"),N:N,1,FALSE),1)="1","","Crushing Blow")))</f>
        <v/>
      </c>
      <c r="C27" s="411" t="str">
        <f>IF(Input!Q39&lt;&gt;1,"",IF(ISERROR(VLOOKUP(CONCATENATE(Input!D39," - Crushing Blow - ",$U$1," - 1"),N:N,1,FALSE)),$U$1,IF(RIGHT(VLOOKUP(CONCATENATE(Input!D39," - Crushing Blow - ",$U$1," - 1"),N:N,1,FALSE),1)="1","",$U$1)))</f>
        <v/>
      </c>
      <c r="D27" s="411" t="str">
        <f>IF(Input!Q39&lt;&gt;1,"",IF(ISERROR(VLOOKUP(CONCATENATE(Input!D39," - Crushing Blow - ",$U$1," - 1"),N:N,1,FALSE)),Input!$B$18,IF(RIGHT(VLOOKUP(CONCATENATE(Input!D39," - Crushing Blow - ",$U$1," - 1"),N:N,1,FALSE),1)="1","",Input!$B$18)))</f>
        <v/>
      </c>
      <c r="E27" s="411" t="str">
        <f>IF(Input!Q39&lt;&gt;1,"",IF(ISERROR(VLOOKUP(CONCATENATE(Input!D39," - Crushing Blow - ",$U$1," - 1"),N:N,1,FALSE)),D27+3,IF(RIGHT(VLOOKUP(CONCATENATE(Input!D39," - Crushing Blow - ",$U$1," - 1"),N:N,1,FALSE),1)="1","",D27+3)))</f>
        <v/>
      </c>
      <c r="F27" s="540" t="str">
        <f>IF(Input!Q39&lt;&gt;1,"",IF(ISERROR(VLOOKUP(CONCATENATE(Input!D39," - Crushing Blow - ",$U$1," - 1"),N:N,1,FALSE)),VLOOKUP(Input!D39,Math!$A$13:$AM$18,10,FALSE)*-0.75,IF(RIGHT(VLOOKUP(CONCATENATE(Input!D39," - Crushing Blow - ",$U$1," - 1"),N:N,1,FALSE),1)="1","",VLOOKUP(Input!D39,Math!$A$13:$AM$18,10,FALSE)*-0.75)))</f>
        <v/>
      </c>
      <c r="G27" s="536"/>
      <c r="H27" s="536"/>
      <c r="I27" s="536"/>
      <c r="J27" s="536"/>
      <c r="K27" s="536"/>
      <c r="L27" s="537"/>
      <c r="M27" s="412">
        <f>IF(K27&gt;=Input!$B$18,1,0)</f>
        <v>0</v>
      </c>
      <c r="N27" s="159" t="str">
        <f t="shared" si="0"/>
        <v xml:space="preserve"> -  -  - 0</v>
      </c>
      <c r="O27" s="159">
        <f t="shared" si="1"/>
        <v>0</v>
      </c>
      <c r="Q27" s="159">
        <f t="shared" si="2"/>
        <v>0</v>
      </c>
      <c r="S27" s="159">
        <f t="shared" si="3"/>
        <v>0</v>
      </c>
      <c r="U27" s="159">
        <f t="shared" si="4"/>
        <v>0</v>
      </c>
      <c r="W27" s="159">
        <f t="shared" si="5"/>
        <v>0</v>
      </c>
      <c r="Y27" s="159">
        <f t="shared" si="6"/>
        <v>0</v>
      </c>
      <c r="AA27" s="159">
        <f t="shared" si="7"/>
        <v>0</v>
      </c>
      <c r="AC27" s="159">
        <f t="shared" si="8"/>
        <v>0</v>
      </c>
      <c r="AE27" s="159">
        <f t="shared" si="9"/>
        <v>0</v>
      </c>
      <c r="AG27" s="159">
        <f t="shared" si="10"/>
        <v>0</v>
      </c>
      <c r="AI27" s="159">
        <f t="shared" si="11"/>
        <v>0</v>
      </c>
      <c r="AK27" s="159">
        <f t="shared" si="12"/>
        <v>0</v>
      </c>
      <c r="AM27" s="159">
        <f t="shared" si="13"/>
        <v>0</v>
      </c>
      <c r="AO27" s="159">
        <f t="shared" si="14"/>
        <v>0</v>
      </c>
      <c r="AQ27" s="159">
        <f t="shared" si="15"/>
        <v>0</v>
      </c>
      <c r="AS27" s="159">
        <f t="shared" si="16"/>
        <v>0</v>
      </c>
      <c r="AU27" s="159">
        <f t="shared" si="17"/>
        <v>0</v>
      </c>
      <c r="AW27" s="159">
        <f t="shared" si="18"/>
        <v>0</v>
      </c>
    </row>
    <row r="28" spans="1:49" x14ac:dyDescent="0.2">
      <c r="A28" s="538" t="str">
        <f>IF(Input!Q40&lt;&gt;1,"",IF(ISERROR(VLOOKUP(CONCATENATE(Input!D40," - Crushing Blow - ",$U$1," - 1"),N:N,1,FALSE)),Input!D40,IF(RIGHT(VLOOKUP(CONCATENATE(Input!D40," - Crushing Blow - ",$U$1," - 1"),N:N,1,FALSE),1)="1","",Input!D40)))</f>
        <v/>
      </c>
      <c r="B28" s="411" t="str">
        <f>IF(Input!Q40&lt;&gt;1,"",IF(ISERROR(VLOOKUP(CONCATENATE(Input!D40," - Crushing Blow - ",$U$1," - 1"),N:N,1,FALSE)),"Crushing Blow",IF(RIGHT(VLOOKUP(CONCATENATE(Input!D40," - Crushing Blow - ",$U$1," - 1"),N:N,1,FALSE),1)="1","","Crushing Blow")))</f>
        <v/>
      </c>
      <c r="C28" s="411" t="str">
        <f>IF(Input!Q40&lt;&gt;1,"",IF(ISERROR(VLOOKUP(CONCATENATE(Input!D40," - Crushing Blow - ",$U$1," - 1"),N:N,1,FALSE)),$U$1,IF(RIGHT(VLOOKUP(CONCATENATE(Input!D40," - Crushing Blow - ",$U$1," - 1"),N:N,1,FALSE),1)="1","",$U$1)))</f>
        <v/>
      </c>
      <c r="D28" s="411" t="str">
        <f>IF(Input!Q40&lt;&gt;1,"",IF(ISERROR(VLOOKUP(CONCATENATE(Input!D40," - Crushing Blow - ",$U$1," - 1"),N:N,1,FALSE)),Input!$B$18,IF(RIGHT(VLOOKUP(CONCATENATE(Input!D40," - Crushing Blow - ",$U$1," - 1"),N:N,1,FALSE),1)="1","",Input!$B$18)))</f>
        <v/>
      </c>
      <c r="E28" s="411" t="str">
        <f>IF(Input!Q40&lt;&gt;1,"",IF(ISERROR(VLOOKUP(CONCATENATE(Input!D40," - Crushing Blow - ",$U$1," - 1"),N:N,1,FALSE)),D28+3,IF(RIGHT(VLOOKUP(CONCATENATE(Input!D40," - Crushing Blow - ",$U$1," - 1"),N:N,1,FALSE),1)="1","",D28+3)))</f>
        <v/>
      </c>
      <c r="F28" s="540" t="str">
        <f>IF(Input!Q40&lt;&gt;1,"",IF(ISERROR(VLOOKUP(CONCATENATE(Input!D40," - Crushing Blow - ",$U$1," - 1"),N:N,1,FALSE)),VLOOKUP(Input!D40,Math!$A$13:$AM$18,10,FALSE)*-0.75,IF(RIGHT(VLOOKUP(CONCATENATE(Input!D40," - Crushing Blow - ",$U$1," - 1"),N:N,1,FALSE),1)="1","",VLOOKUP(Input!D40,Math!$A$13:$AM$18,10,FALSE)*-0.75)))</f>
        <v/>
      </c>
      <c r="G28" s="536"/>
      <c r="H28" s="536"/>
      <c r="I28" s="536"/>
      <c r="J28" s="536"/>
      <c r="K28" s="536"/>
      <c r="L28" s="537"/>
      <c r="M28" s="412">
        <f>IF(K28&gt;=Input!$B$18,1,0)</f>
        <v>0</v>
      </c>
      <c r="N28" s="159" t="str">
        <f t="shared" si="0"/>
        <v xml:space="preserve"> -  -  - 0</v>
      </c>
      <c r="O28" s="159">
        <f t="shared" si="1"/>
        <v>0</v>
      </c>
      <c r="Q28" s="159">
        <f t="shared" si="2"/>
        <v>0</v>
      </c>
      <c r="S28" s="159">
        <f t="shared" si="3"/>
        <v>0</v>
      </c>
      <c r="U28" s="159">
        <f t="shared" si="4"/>
        <v>0</v>
      </c>
      <c r="W28" s="159">
        <f t="shared" si="5"/>
        <v>0</v>
      </c>
      <c r="Y28" s="159">
        <f t="shared" si="6"/>
        <v>0</v>
      </c>
      <c r="AA28" s="159">
        <f t="shared" si="7"/>
        <v>0</v>
      </c>
      <c r="AC28" s="159">
        <f t="shared" si="8"/>
        <v>0</v>
      </c>
      <c r="AE28" s="159">
        <f t="shared" si="9"/>
        <v>0</v>
      </c>
      <c r="AG28" s="159">
        <f t="shared" si="10"/>
        <v>0</v>
      </c>
      <c r="AI28" s="159">
        <f t="shared" si="11"/>
        <v>0</v>
      </c>
      <c r="AK28" s="159">
        <f t="shared" si="12"/>
        <v>0</v>
      </c>
      <c r="AM28" s="159">
        <f t="shared" si="13"/>
        <v>0</v>
      </c>
      <c r="AO28" s="159">
        <f t="shared" si="14"/>
        <v>0</v>
      </c>
      <c r="AQ28" s="159">
        <f t="shared" si="15"/>
        <v>0</v>
      </c>
      <c r="AS28" s="159">
        <f t="shared" si="16"/>
        <v>0</v>
      </c>
      <c r="AU28" s="159">
        <f t="shared" si="17"/>
        <v>0</v>
      </c>
      <c r="AW28" s="159">
        <f t="shared" si="18"/>
        <v>0</v>
      </c>
    </row>
    <row r="29" spans="1:49" x14ac:dyDescent="0.2">
      <c r="A29" s="538" t="str">
        <f>IF(Input!Q41&lt;&gt;1,"",IF(ISERROR(VLOOKUP(CONCATENATE(Input!D41," - Crushing Blow - ",$U$1," - 1"),N:N,1,FALSE)),Input!D41,IF(RIGHT(VLOOKUP(CONCATENATE(Input!D41," - Crushing Blow - ",$U$1," - 1"),N:N,1,FALSE),1)="1","",Input!D41)))</f>
        <v/>
      </c>
      <c r="B29" s="411" t="str">
        <f>IF(Input!Q41&lt;&gt;1,"",IF(ISERROR(VLOOKUP(CONCATENATE(Input!D41," - Crushing Blow - ",$U$1," - 1"),N:N,1,FALSE)),"Crushing Blow",IF(RIGHT(VLOOKUP(CONCATENATE(Input!D41," - Crushing Blow - ",$U$1," - 1"),N:N,1,FALSE),1)="1","","Crushing Blow")))</f>
        <v/>
      </c>
      <c r="C29" s="411" t="str">
        <f>IF(Input!Q41&lt;&gt;1,"",IF(ISERROR(VLOOKUP(CONCATENATE(Input!D41," - Crushing Blow - ",$U$1," - 1"),N:N,1,FALSE)),$U$1,IF(RIGHT(VLOOKUP(CONCATENATE(Input!D41," - Crushing Blow - ",$U$1," - 1"),N:N,1,FALSE),1)="1","",$U$1)))</f>
        <v/>
      </c>
      <c r="D29" s="411" t="str">
        <f>IF(Input!Q41&lt;&gt;1,"",IF(ISERROR(VLOOKUP(CONCATENATE(Input!D41," - Crushing Blow - ",$U$1," - 1"),N:N,1,FALSE)),Input!$B$18,IF(RIGHT(VLOOKUP(CONCATENATE(Input!D41," - Crushing Blow - ",$U$1," - 1"),N:N,1,FALSE),1)="1","",Input!$B$18)))</f>
        <v/>
      </c>
      <c r="E29" s="411" t="str">
        <f>IF(Input!Q41&lt;&gt;1,"",IF(ISERROR(VLOOKUP(CONCATENATE(Input!D41," - Crushing Blow - ",$U$1," - 1"),N:N,1,FALSE)),D29+3,IF(RIGHT(VLOOKUP(CONCATENATE(Input!D41," - Crushing Blow - ",$U$1," - 1"),N:N,1,FALSE),1)="1","",D29+3)))</f>
        <v/>
      </c>
      <c r="F29" s="540" t="str">
        <f>IF(Input!Q41&lt;&gt;1,"",IF(ISERROR(VLOOKUP(CONCATENATE(Input!D41," - Crushing Blow - ",$U$1," - 1"),N:N,1,FALSE)),VLOOKUP(Input!D41,Math!$A$13:$AM$18,10,FALSE)*-0.75,IF(RIGHT(VLOOKUP(CONCATENATE(Input!D41," - Crushing Blow - ",$U$1," - 1"),N:N,1,FALSE),1)="1","",VLOOKUP(Input!D41,Math!$A$13:$AM$18,10,FALSE)*-0.75)))</f>
        <v/>
      </c>
      <c r="G29" s="536"/>
      <c r="H29" s="536"/>
      <c r="I29" s="536"/>
      <c r="J29" s="536"/>
      <c r="K29" s="536"/>
      <c r="L29" s="537"/>
      <c r="M29" s="412">
        <f>IF(K29&gt;=Input!$B$18,1,0)</f>
        <v>0</v>
      </c>
      <c r="N29" s="159" t="str">
        <f t="shared" si="0"/>
        <v xml:space="preserve"> -  -  - 0</v>
      </c>
      <c r="O29" s="159">
        <f t="shared" si="1"/>
        <v>0</v>
      </c>
      <c r="Q29" s="159">
        <f t="shared" si="2"/>
        <v>0</v>
      </c>
      <c r="S29" s="159">
        <f t="shared" si="3"/>
        <v>0</v>
      </c>
      <c r="U29" s="159">
        <f t="shared" si="4"/>
        <v>0</v>
      </c>
      <c r="W29" s="159">
        <f t="shared" si="5"/>
        <v>0</v>
      </c>
      <c r="Y29" s="159">
        <f t="shared" si="6"/>
        <v>0</v>
      </c>
      <c r="AA29" s="159">
        <f t="shared" si="7"/>
        <v>0</v>
      </c>
      <c r="AC29" s="159">
        <f t="shared" si="8"/>
        <v>0</v>
      </c>
      <c r="AE29" s="159">
        <f t="shared" si="9"/>
        <v>0</v>
      </c>
      <c r="AG29" s="159">
        <f t="shared" si="10"/>
        <v>0</v>
      </c>
      <c r="AI29" s="159">
        <f t="shared" si="11"/>
        <v>0</v>
      </c>
      <c r="AK29" s="159">
        <f t="shared" si="12"/>
        <v>0</v>
      </c>
      <c r="AM29" s="159">
        <f t="shared" si="13"/>
        <v>0</v>
      </c>
      <c r="AO29" s="159">
        <f t="shared" si="14"/>
        <v>0</v>
      </c>
      <c r="AQ29" s="159">
        <f t="shared" si="15"/>
        <v>0</v>
      </c>
      <c r="AS29" s="159">
        <f t="shared" si="16"/>
        <v>0</v>
      </c>
      <c r="AU29" s="159">
        <f t="shared" si="17"/>
        <v>0</v>
      </c>
      <c r="AW29" s="159">
        <f t="shared" si="18"/>
        <v>0</v>
      </c>
    </row>
    <row r="30" spans="1:49" x14ac:dyDescent="0.2">
      <c r="A30" s="538" t="str">
        <f>IF(Input!Q42&lt;&gt;1,"",IF(ISERROR(VLOOKUP(CONCATENATE(Input!D42," - Crushing Blow - ",$U$1," - 1"),N:N,1,FALSE)),Input!D42,IF(RIGHT(VLOOKUP(CONCATENATE(Input!D42," - Crushing Blow - ",$U$1," - 1"),N:N,1,FALSE),1)="1","",Input!D42)))</f>
        <v/>
      </c>
      <c r="B30" s="411" t="str">
        <f>IF(Input!Q42&lt;&gt;1,"",IF(ISERROR(VLOOKUP(CONCATENATE(Input!D42," - Crushing Blow - ",$U$1," - 1"),N:N,1,FALSE)),"Crushing Blow",IF(RIGHT(VLOOKUP(CONCATENATE(Input!D42," - Crushing Blow - ",$U$1," - 1"),N:N,1,FALSE),1)="1","","Crushing Blow")))</f>
        <v/>
      </c>
      <c r="C30" s="411" t="str">
        <f>IF(Input!Q42&lt;&gt;1,"",IF(ISERROR(VLOOKUP(CONCATENATE(Input!D42," - Crushing Blow - ",$U$1," - 1"),N:N,1,FALSE)),$U$1,IF(RIGHT(VLOOKUP(CONCATENATE(Input!D42," - Crushing Blow - ",$U$1," - 1"),N:N,1,FALSE),1)="1","",$U$1)))</f>
        <v/>
      </c>
      <c r="D30" s="411" t="str">
        <f>IF(Input!Q42&lt;&gt;1,"",IF(ISERROR(VLOOKUP(CONCATENATE(Input!D42," - Crushing Blow - ",$U$1," - 1"),N:N,1,FALSE)),Input!$B$18,IF(RIGHT(VLOOKUP(CONCATENATE(Input!D42," - Crushing Blow - ",$U$1," - 1"),N:N,1,FALSE),1)="1","",Input!$B$18)))</f>
        <v/>
      </c>
      <c r="E30" s="411" t="str">
        <f>IF(Input!Q42&lt;&gt;1,"",IF(ISERROR(VLOOKUP(CONCATENATE(Input!D42," - Crushing Blow - ",$U$1," - 1"),N:N,1,FALSE)),D30+3,IF(RIGHT(VLOOKUP(CONCATENATE(Input!D42," - Crushing Blow - ",$U$1," - 1"),N:N,1,FALSE),1)="1","",D30+3)))</f>
        <v/>
      </c>
      <c r="F30" s="540" t="str">
        <f>IF(Input!Q42&lt;&gt;1,"",IF(ISERROR(VLOOKUP(CONCATENATE(Input!D42," - Crushing Blow - ",$U$1," - 1"),N:N,1,FALSE)),VLOOKUP(Input!D42,Math!$A$13:$AM$18,10,FALSE)*-0.75,IF(RIGHT(VLOOKUP(CONCATENATE(Input!D42," - Crushing Blow - ",$U$1," - 1"),N:N,1,FALSE),1)="1","",VLOOKUP(Input!D42,Math!$A$13:$AM$18,10,FALSE)*-0.75)))</f>
        <v/>
      </c>
      <c r="G30" s="536"/>
      <c r="H30" s="536"/>
      <c r="I30" s="536"/>
      <c r="J30" s="536"/>
      <c r="K30" s="536"/>
      <c r="L30" s="537"/>
      <c r="M30" s="412">
        <f>IF(K30&gt;=Input!$B$18,1,0)</f>
        <v>0</v>
      </c>
      <c r="N30" s="159" t="str">
        <f t="shared" si="0"/>
        <v xml:space="preserve"> -  -  - 0</v>
      </c>
      <c r="O30" s="159">
        <f t="shared" si="1"/>
        <v>0</v>
      </c>
      <c r="Q30" s="159">
        <f t="shared" si="2"/>
        <v>0</v>
      </c>
      <c r="S30" s="159">
        <f t="shared" si="3"/>
        <v>0</v>
      </c>
      <c r="U30" s="159">
        <f t="shared" si="4"/>
        <v>0</v>
      </c>
      <c r="W30" s="159">
        <f t="shared" si="5"/>
        <v>0</v>
      </c>
      <c r="Y30" s="159">
        <f t="shared" si="6"/>
        <v>0</v>
      </c>
      <c r="AA30" s="159">
        <f t="shared" si="7"/>
        <v>0</v>
      </c>
      <c r="AC30" s="159">
        <f t="shared" si="8"/>
        <v>0</v>
      </c>
      <c r="AE30" s="159">
        <f t="shared" si="9"/>
        <v>0</v>
      </c>
      <c r="AG30" s="159">
        <f t="shared" si="10"/>
        <v>0</v>
      </c>
      <c r="AI30" s="159">
        <f t="shared" si="11"/>
        <v>0</v>
      </c>
      <c r="AK30" s="159">
        <f t="shared" si="12"/>
        <v>0</v>
      </c>
      <c r="AM30" s="159">
        <f t="shared" si="13"/>
        <v>0</v>
      </c>
      <c r="AO30" s="159">
        <f t="shared" si="14"/>
        <v>0</v>
      </c>
      <c r="AQ30" s="159">
        <f t="shared" si="15"/>
        <v>0</v>
      </c>
      <c r="AS30" s="159">
        <f t="shared" si="16"/>
        <v>0</v>
      </c>
      <c r="AU30" s="159">
        <f t="shared" si="17"/>
        <v>0</v>
      </c>
      <c r="AW30" s="159">
        <f t="shared" si="18"/>
        <v>0</v>
      </c>
    </row>
    <row r="31" spans="1:49" x14ac:dyDescent="0.2">
      <c r="A31" s="538" t="str">
        <f>IF(Input!Q43&lt;&gt;1,"",IF(ISERROR(VLOOKUP(CONCATENATE(Input!D43," - Crushing Blow - ",$U$1," - 1"),N:N,1,FALSE)),Input!D43,IF(RIGHT(VLOOKUP(CONCATENATE(Input!D43," - Crushing Blow - ",$U$1," - 1"),N:N,1,FALSE),1)="1","",Input!D43)))</f>
        <v/>
      </c>
      <c r="B31" s="411" t="str">
        <f>IF(Input!Q43&lt;&gt;1,"",IF(ISERROR(VLOOKUP(CONCATENATE(Input!D43," - Crushing Blow - ",$U$1," - 1"),N:N,1,FALSE)),"Crushing Blow",IF(RIGHT(VLOOKUP(CONCATENATE(Input!D43," - Crushing Blow - ",$U$1," - 1"),N:N,1,FALSE),1)="1","","Crushing Blow")))</f>
        <v/>
      </c>
      <c r="C31" s="411" t="str">
        <f>IF(Input!Q43&lt;&gt;1,"",IF(ISERROR(VLOOKUP(CONCATENATE(Input!D43," - Crushing Blow - ",$U$1," - 1"),N:N,1,FALSE)),$U$1,IF(RIGHT(VLOOKUP(CONCATENATE(Input!D43," - Crushing Blow - ",$U$1," - 1"),N:N,1,FALSE),1)="1","",$U$1)))</f>
        <v/>
      </c>
      <c r="D31" s="411" t="str">
        <f>IF(Input!Q43&lt;&gt;1,"",IF(ISERROR(VLOOKUP(CONCATENATE(Input!D43," - Crushing Blow - ",$U$1," - 1"),N:N,1,FALSE)),Input!$B$18,IF(RIGHT(VLOOKUP(CONCATENATE(Input!D43," - Crushing Blow - ",$U$1," - 1"),N:N,1,FALSE),1)="1","",Input!$B$18)))</f>
        <v/>
      </c>
      <c r="E31" s="411" t="str">
        <f>IF(Input!Q43&lt;&gt;1,"",IF(ISERROR(VLOOKUP(CONCATENATE(Input!D43," - Crushing Blow - ",$U$1," - 1"),N:N,1,FALSE)),D31+3,IF(RIGHT(VLOOKUP(CONCATENATE(Input!D43," - Crushing Blow - ",$U$1," - 1"),N:N,1,FALSE),1)="1","",D31+3)))</f>
        <v/>
      </c>
      <c r="F31" s="540" t="str">
        <f>IF(Input!Q43&lt;&gt;1,"",IF(ISERROR(VLOOKUP(CONCATENATE(Input!D43," - Crushing Blow - ",$U$1," - 1"),N:N,1,FALSE)),VLOOKUP(Input!D43,Math!$A$13:$AM$18,10,FALSE)*-0.75,IF(RIGHT(VLOOKUP(CONCATENATE(Input!D43," - Crushing Blow - ",$U$1," - 1"),N:N,1,FALSE),1)="1","",VLOOKUP(Input!D43,Math!$A$13:$AM$18,10,FALSE)*-0.75)))</f>
        <v/>
      </c>
      <c r="G31" s="536"/>
      <c r="H31" s="536"/>
      <c r="I31" s="536"/>
      <c r="J31" s="536"/>
      <c r="K31" s="536"/>
      <c r="L31" s="537"/>
      <c r="M31" s="412">
        <f>IF(K31&gt;=Input!$B$18,1,0)</f>
        <v>0</v>
      </c>
      <c r="N31" s="159" t="str">
        <f t="shared" si="0"/>
        <v xml:space="preserve"> -  -  - 0</v>
      </c>
      <c r="O31" s="159">
        <f t="shared" si="1"/>
        <v>0</v>
      </c>
      <c r="Q31" s="159">
        <f t="shared" si="2"/>
        <v>0</v>
      </c>
      <c r="S31" s="159">
        <f t="shared" si="3"/>
        <v>0</v>
      </c>
      <c r="U31" s="159">
        <f t="shared" si="4"/>
        <v>0</v>
      </c>
      <c r="W31" s="159">
        <f t="shared" si="5"/>
        <v>0</v>
      </c>
      <c r="Y31" s="159">
        <f t="shared" si="6"/>
        <v>0</v>
      </c>
      <c r="AA31" s="159">
        <f t="shared" si="7"/>
        <v>0</v>
      </c>
      <c r="AC31" s="159">
        <f t="shared" si="8"/>
        <v>0</v>
      </c>
      <c r="AE31" s="159">
        <f t="shared" si="9"/>
        <v>0</v>
      </c>
      <c r="AG31" s="159">
        <f t="shared" si="10"/>
        <v>0</v>
      </c>
      <c r="AI31" s="159">
        <f t="shared" si="11"/>
        <v>0</v>
      </c>
      <c r="AK31" s="159">
        <f t="shared" si="12"/>
        <v>0</v>
      </c>
      <c r="AM31" s="159">
        <f t="shared" si="13"/>
        <v>0</v>
      </c>
      <c r="AO31" s="159">
        <f t="shared" si="14"/>
        <v>0</v>
      </c>
      <c r="AQ31" s="159">
        <f t="shared" si="15"/>
        <v>0</v>
      </c>
      <c r="AS31" s="159">
        <f t="shared" si="16"/>
        <v>0</v>
      </c>
      <c r="AU31" s="159">
        <f t="shared" si="17"/>
        <v>0</v>
      </c>
      <c r="AW31" s="159">
        <f t="shared" si="18"/>
        <v>0</v>
      </c>
    </row>
    <row r="32" spans="1:49" x14ac:dyDescent="0.2">
      <c r="A32" s="538" t="str">
        <f>IF(Input!Q44&lt;&gt;1,"",IF(ISERROR(VLOOKUP(CONCATENATE(Input!D44," - Crushing Blow - ",$U$1," - 1"),N:N,1,FALSE)),Input!D44,IF(RIGHT(VLOOKUP(CONCATENATE(Input!D44," - Crushing Blow - ",$U$1," - 1"),N:N,1,FALSE),1)="1","",Input!D44)))</f>
        <v/>
      </c>
      <c r="B32" s="411" t="str">
        <f>IF(Input!Q44&lt;&gt;1,"",IF(ISERROR(VLOOKUP(CONCATENATE(Input!D44," - Crushing Blow - ",$U$1," - 1"),N:N,1,FALSE)),"Crushing Blow",IF(RIGHT(VLOOKUP(CONCATENATE(Input!D44," - Crushing Blow - ",$U$1," - 1"),N:N,1,FALSE),1)="1","","Crushing Blow")))</f>
        <v/>
      </c>
      <c r="C32" s="411" t="str">
        <f>IF(Input!Q44&lt;&gt;1,"",IF(ISERROR(VLOOKUP(CONCATENATE(Input!D44," - Crushing Blow - ",$U$1," - 1"),N:N,1,FALSE)),$U$1,IF(RIGHT(VLOOKUP(CONCATENATE(Input!D44," - Crushing Blow - ",$U$1," - 1"),N:N,1,FALSE),1)="1","",$U$1)))</f>
        <v/>
      </c>
      <c r="D32" s="411" t="str">
        <f>IF(Input!Q44&lt;&gt;1,"",IF(ISERROR(VLOOKUP(CONCATENATE(Input!D44," - Crushing Blow - ",$U$1," - 1"),N:N,1,FALSE)),Input!$B$18,IF(RIGHT(VLOOKUP(CONCATENATE(Input!D44," - Crushing Blow - ",$U$1," - 1"),N:N,1,FALSE),1)="1","",Input!$B$18)))</f>
        <v/>
      </c>
      <c r="E32" s="411" t="str">
        <f>IF(Input!Q44&lt;&gt;1,"",IF(ISERROR(VLOOKUP(CONCATENATE(Input!D44," - Crushing Blow - ",$U$1," - 1"),N:N,1,FALSE)),D32+3,IF(RIGHT(VLOOKUP(CONCATENATE(Input!D44," - Crushing Blow - ",$U$1," - 1"),N:N,1,FALSE),1)="1","",D32+3)))</f>
        <v/>
      </c>
      <c r="F32" s="540" t="str">
        <f>IF(Input!Q44&lt;&gt;1,"",IF(ISERROR(VLOOKUP(CONCATENATE(Input!D44," - Crushing Blow - ",$U$1," - 1"),N:N,1,FALSE)),VLOOKUP(Input!D44,Math!$A$13:$AM$18,10,FALSE)*-0.75,IF(RIGHT(VLOOKUP(CONCATENATE(Input!D44," - Crushing Blow - ",$U$1," - 1"),N:N,1,FALSE),1)="1","",VLOOKUP(Input!D44,Math!$A$13:$AM$18,10,FALSE)*-0.75)))</f>
        <v/>
      </c>
      <c r="G32" s="536"/>
      <c r="H32" s="536"/>
      <c r="I32" s="536"/>
      <c r="J32" s="536"/>
      <c r="K32" s="536"/>
      <c r="L32" s="537"/>
      <c r="M32" s="412">
        <f>IF(K32&gt;=Input!$B$18,1,0)</f>
        <v>0</v>
      </c>
      <c r="N32" s="159" t="str">
        <f t="shared" si="0"/>
        <v xml:space="preserve"> -  -  - 0</v>
      </c>
      <c r="O32" s="159">
        <f t="shared" si="1"/>
        <v>0</v>
      </c>
      <c r="Q32" s="159">
        <f t="shared" si="2"/>
        <v>0</v>
      </c>
      <c r="S32" s="159">
        <f t="shared" si="3"/>
        <v>0</v>
      </c>
      <c r="U32" s="159">
        <f t="shared" si="4"/>
        <v>0</v>
      </c>
      <c r="W32" s="159">
        <f t="shared" si="5"/>
        <v>0</v>
      </c>
      <c r="Y32" s="159">
        <f t="shared" si="6"/>
        <v>0</v>
      </c>
      <c r="AA32" s="159">
        <f t="shared" si="7"/>
        <v>0</v>
      </c>
      <c r="AC32" s="159">
        <f t="shared" si="8"/>
        <v>0</v>
      </c>
      <c r="AE32" s="159">
        <f t="shared" si="9"/>
        <v>0</v>
      </c>
      <c r="AG32" s="159">
        <f t="shared" si="10"/>
        <v>0</v>
      </c>
      <c r="AI32" s="159">
        <f t="shared" si="11"/>
        <v>0</v>
      </c>
      <c r="AK32" s="159">
        <f t="shared" si="12"/>
        <v>0</v>
      </c>
      <c r="AM32" s="159">
        <f t="shared" si="13"/>
        <v>0</v>
      </c>
      <c r="AO32" s="159">
        <f t="shared" si="14"/>
        <v>0</v>
      </c>
      <c r="AQ32" s="159">
        <f t="shared" si="15"/>
        <v>0</v>
      </c>
      <c r="AS32" s="159">
        <f t="shared" si="16"/>
        <v>0</v>
      </c>
      <c r="AU32" s="159">
        <f t="shared" si="17"/>
        <v>0</v>
      </c>
      <c r="AW32" s="159">
        <f t="shared" si="18"/>
        <v>0</v>
      </c>
    </row>
    <row r="33" spans="1:49" x14ac:dyDescent="0.2">
      <c r="A33" s="538" t="str">
        <f>IF(Input!Q45&lt;&gt;1,"",IF(ISERROR(VLOOKUP(CONCATENATE(Input!D45," - Crushing Blow - ",$U$1," - 1"),N:N,1,FALSE)),Input!D45,IF(RIGHT(VLOOKUP(CONCATENATE(Input!D45," - Crushing Blow - ",$U$1," - 1"),N:N,1,FALSE),1)="1","",Input!D45)))</f>
        <v/>
      </c>
      <c r="B33" s="411" t="str">
        <f>IF(Input!Q45&lt;&gt;1,"",IF(ISERROR(VLOOKUP(CONCATENATE(Input!D45," - Crushing Blow - ",$U$1," - 1"),N:N,1,FALSE)),"Crushing Blow",IF(RIGHT(VLOOKUP(CONCATENATE(Input!D45," - Crushing Blow - ",$U$1," - 1"),N:N,1,FALSE),1)="1","","Crushing Blow")))</f>
        <v/>
      </c>
      <c r="C33" s="411" t="str">
        <f>IF(Input!Q45&lt;&gt;1,"",IF(ISERROR(VLOOKUP(CONCATENATE(Input!D45," - Crushing Blow - ",$U$1," - 1"),N:N,1,FALSE)),$U$1,IF(RIGHT(VLOOKUP(CONCATENATE(Input!D45," - Crushing Blow - ",$U$1," - 1"),N:N,1,FALSE),1)="1","",$U$1)))</f>
        <v/>
      </c>
      <c r="D33" s="411" t="str">
        <f>IF(Input!Q45&lt;&gt;1,"",IF(ISERROR(VLOOKUP(CONCATENATE(Input!D45," - Crushing Blow - ",$U$1," - 1"),N:N,1,FALSE)),Input!$B$18,IF(RIGHT(VLOOKUP(CONCATENATE(Input!D45," - Crushing Blow - ",$U$1," - 1"),N:N,1,FALSE),1)="1","",Input!$B$18)))</f>
        <v/>
      </c>
      <c r="E33" s="411" t="str">
        <f>IF(Input!Q45&lt;&gt;1,"",IF(ISERROR(VLOOKUP(CONCATENATE(Input!D45," - Crushing Blow - ",$U$1," - 1"),N:N,1,FALSE)),D33+3,IF(RIGHT(VLOOKUP(CONCATENATE(Input!D45," - Crushing Blow - ",$U$1," - 1"),N:N,1,FALSE),1)="1","",D33+3)))</f>
        <v/>
      </c>
      <c r="F33" s="540" t="str">
        <f>IF(Input!Q45&lt;&gt;1,"",IF(ISERROR(VLOOKUP(CONCATENATE(Input!D45," - Crushing Blow - ",$U$1," - 1"),N:N,1,FALSE)),VLOOKUP(Input!D45,Math!$A$13:$AM$18,10,FALSE)*-0.75,IF(RIGHT(VLOOKUP(CONCATENATE(Input!D45," - Crushing Blow - ",$U$1," - 1"),N:N,1,FALSE),1)="1","",VLOOKUP(Input!D45,Math!$A$13:$AM$18,10,FALSE)*-0.75)))</f>
        <v/>
      </c>
      <c r="G33" s="536"/>
      <c r="H33" s="536"/>
      <c r="I33" s="536"/>
      <c r="J33" s="536"/>
      <c r="K33" s="536"/>
      <c r="L33" s="537"/>
      <c r="M33" s="412">
        <f>IF(K33&gt;=Input!$B$18,1,0)</f>
        <v>0</v>
      </c>
      <c r="N33" s="159" t="str">
        <f t="shared" si="0"/>
        <v xml:space="preserve"> -  -  - 0</v>
      </c>
      <c r="O33" s="159">
        <f t="shared" si="1"/>
        <v>0</v>
      </c>
      <c r="Q33" s="159">
        <f t="shared" si="2"/>
        <v>0</v>
      </c>
      <c r="S33" s="159">
        <f t="shared" si="3"/>
        <v>0</v>
      </c>
      <c r="U33" s="159">
        <f t="shared" si="4"/>
        <v>0</v>
      </c>
      <c r="W33" s="159">
        <f t="shared" si="5"/>
        <v>0</v>
      </c>
      <c r="Y33" s="159">
        <f t="shared" si="6"/>
        <v>0</v>
      </c>
      <c r="AA33" s="159">
        <f t="shared" si="7"/>
        <v>0</v>
      </c>
      <c r="AC33" s="159">
        <f t="shared" si="8"/>
        <v>0</v>
      </c>
      <c r="AE33" s="159">
        <f t="shared" si="9"/>
        <v>0</v>
      </c>
      <c r="AG33" s="159">
        <f t="shared" si="10"/>
        <v>0</v>
      </c>
      <c r="AI33" s="159">
        <f t="shared" si="11"/>
        <v>0</v>
      </c>
      <c r="AK33" s="159">
        <f t="shared" si="12"/>
        <v>0</v>
      </c>
      <c r="AM33" s="159">
        <f t="shared" si="13"/>
        <v>0</v>
      </c>
      <c r="AO33" s="159">
        <f t="shared" si="14"/>
        <v>0</v>
      </c>
      <c r="AQ33" s="159">
        <f t="shared" si="15"/>
        <v>0</v>
      </c>
      <c r="AS33" s="159">
        <f t="shared" si="16"/>
        <v>0</v>
      </c>
      <c r="AU33" s="159">
        <f t="shared" si="17"/>
        <v>0</v>
      </c>
      <c r="AW33" s="159">
        <f t="shared" si="18"/>
        <v>0</v>
      </c>
    </row>
    <row r="34" spans="1:49" x14ac:dyDescent="0.2">
      <c r="A34" s="538" t="str">
        <f>IF(Input!Q46&lt;&gt;1,"",IF(ISERROR(VLOOKUP(CONCATENATE(Input!D46," - Crushing Blow - ",$U$1," - 1"),N:N,1,FALSE)),Input!D46,IF(RIGHT(VLOOKUP(CONCATENATE(Input!D46," - Crushing Blow - ",$U$1," - 1"),N:N,1,FALSE),1)="1","",Input!D46)))</f>
        <v/>
      </c>
      <c r="B34" s="411" t="str">
        <f>IF(Input!Q46&lt;&gt;1,"",IF(ISERROR(VLOOKUP(CONCATENATE(Input!D46," - Crushing Blow - ",$U$1," - 1"),N:N,1,FALSE)),"Crushing Blow",IF(RIGHT(VLOOKUP(CONCATENATE(Input!D46," - Crushing Blow - ",$U$1," - 1"),N:N,1,FALSE),1)="1","","Crushing Blow")))</f>
        <v/>
      </c>
      <c r="C34" s="411" t="str">
        <f>IF(Input!Q46&lt;&gt;1,"",IF(ISERROR(VLOOKUP(CONCATENATE(Input!D46," - Crushing Blow - ",$U$1," - 1"),N:N,1,FALSE)),$U$1,IF(RIGHT(VLOOKUP(CONCATENATE(Input!D46," - Crushing Blow - ",$U$1," - 1"),N:N,1,FALSE),1)="1","",$U$1)))</f>
        <v/>
      </c>
      <c r="D34" s="411" t="str">
        <f>IF(Input!Q46&lt;&gt;1,"",IF(ISERROR(VLOOKUP(CONCATENATE(Input!D46," - Crushing Blow - ",$U$1," - 1"),N:N,1,FALSE)),Input!$B$18,IF(RIGHT(VLOOKUP(CONCATENATE(Input!D46," - Crushing Blow - ",$U$1," - 1"),N:N,1,FALSE),1)="1","",Input!$B$18)))</f>
        <v/>
      </c>
      <c r="E34" s="411" t="str">
        <f>IF(Input!Q46&lt;&gt;1,"",IF(ISERROR(VLOOKUP(CONCATENATE(Input!D46," - Crushing Blow - ",$U$1," - 1"),N:N,1,FALSE)),D34+3,IF(RIGHT(VLOOKUP(CONCATENATE(Input!D46," - Crushing Blow - ",$U$1," - 1"),N:N,1,FALSE),1)="1","",D34+3)))</f>
        <v/>
      </c>
      <c r="F34" s="540" t="str">
        <f>IF(Input!Q46&lt;&gt;1,"",IF(ISERROR(VLOOKUP(CONCATENATE(Input!D46," - Crushing Blow - ",$U$1," - 1"),N:N,1,FALSE)),VLOOKUP(Input!D46,Math!$A$13:$AM$18,10,FALSE)*-0.75,IF(RIGHT(VLOOKUP(CONCATENATE(Input!D46," - Crushing Blow - ",$U$1," - 1"),N:N,1,FALSE),1)="1","",VLOOKUP(Input!D46,Math!$A$13:$AM$18,10,FALSE)*-0.75)))</f>
        <v/>
      </c>
      <c r="G34" s="536"/>
      <c r="H34" s="536"/>
      <c r="I34" s="536"/>
      <c r="J34" s="536"/>
      <c r="K34" s="536"/>
      <c r="L34" s="537"/>
      <c r="M34" s="412">
        <f>IF(K34&gt;=Input!$B$18,1,0)</f>
        <v>0</v>
      </c>
      <c r="N34" s="159" t="str">
        <f t="shared" si="0"/>
        <v xml:space="preserve"> -  -  - 0</v>
      </c>
      <c r="O34" s="159">
        <f t="shared" si="1"/>
        <v>0</v>
      </c>
      <c r="Q34" s="159">
        <f t="shared" si="2"/>
        <v>0</v>
      </c>
      <c r="S34" s="159">
        <f t="shared" si="3"/>
        <v>0</v>
      </c>
      <c r="U34" s="159">
        <f t="shared" si="4"/>
        <v>0</v>
      </c>
      <c r="W34" s="159">
        <f t="shared" si="5"/>
        <v>0</v>
      </c>
      <c r="Y34" s="159">
        <f t="shared" si="6"/>
        <v>0</v>
      </c>
      <c r="AA34" s="159">
        <f t="shared" si="7"/>
        <v>0</v>
      </c>
      <c r="AC34" s="159">
        <f t="shared" si="8"/>
        <v>0</v>
      </c>
      <c r="AE34" s="159">
        <f t="shared" si="9"/>
        <v>0</v>
      </c>
      <c r="AG34" s="159">
        <f t="shared" si="10"/>
        <v>0</v>
      </c>
      <c r="AI34" s="159">
        <f t="shared" si="11"/>
        <v>0</v>
      </c>
      <c r="AK34" s="159">
        <f t="shared" si="12"/>
        <v>0</v>
      </c>
      <c r="AM34" s="159">
        <f t="shared" si="13"/>
        <v>0</v>
      </c>
      <c r="AO34" s="159">
        <f t="shared" si="14"/>
        <v>0</v>
      </c>
      <c r="AQ34" s="159">
        <f t="shared" si="15"/>
        <v>0</v>
      </c>
      <c r="AS34" s="159">
        <f t="shared" si="16"/>
        <v>0</v>
      </c>
      <c r="AU34" s="159">
        <f t="shared" si="17"/>
        <v>0</v>
      </c>
      <c r="AW34" s="159">
        <f t="shared" si="18"/>
        <v>0</v>
      </c>
    </row>
    <row r="35" spans="1:49" x14ac:dyDescent="0.2">
      <c r="A35" s="612" t="s">
        <v>428</v>
      </c>
      <c r="B35" s="574"/>
      <c r="C35" s="574"/>
      <c r="D35" s="574"/>
      <c r="E35" s="574"/>
      <c r="F35" s="575"/>
      <c r="G35" s="535"/>
      <c r="H35" s="536"/>
      <c r="I35" s="536"/>
      <c r="J35" s="536"/>
      <c r="K35" s="536"/>
      <c r="L35" s="537"/>
      <c r="M35" s="412">
        <f>IF(K35&gt;=Input!$B$18,1,0)</f>
        <v>0</v>
      </c>
      <c r="N35" s="159" t="str">
        <f t="shared" si="0"/>
        <v xml:space="preserve"> -  -  - 0</v>
      </c>
      <c r="O35" s="159">
        <f t="shared" si="1"/>
        <v>0</v>
      </c>
      <c r="Q35" s="159">
        <f t="shared" si="2"/>
        <v>0</v>
      </c>
      <c r="S35" s="159">
        <f t="shared" si="3"/>
        <v>0</v>
      </c>
      <c r="U35" s="159">
        <f t="shared" si="4"/>
        <v>0</v>
      </c>
      <c r="W35" s="159">
        <f t="shared" si="5"/>
        <v>0</v>
      </c>
      <c r="Y35" s="159">
        <f t="shared" si="6"/>
        <v>0</v>
      </c>
      <c r="AA35" s="159">
        <f t="shared" si="7"/>
        <v>0</v>
      </c>
      <c r="AC35" s="159">
        <f t="shared" si="8"/>
        <v>0</v>
      </c>
      <c r="AE35" s="159">
        <f t="shared" si="9"/>
        <v>0</v>
      </c>
      <c r="AG35" s="159">
        <f t="shared" si="10"/>
        <v>0</v>
      </c>
      <c r="AI35" s="159">
        <f t="shared" si="11"/>
        <v>0</v>
      </c>
      <c r="AK35" s="159">
        <f t="shared" si="12"/>
        <v>0</v>
      </c>
      <c r="AM35" s="159">
        <f t="shared" si="13"/>
        <v>0</v>
      </c>
      <c r="AO35" s="159">
        <f t="shared" si="14"/>
        <v>0</v>
      </c>
      <c r="AQ35" s="159">
        <f t="shared" si="15"/>
        <v>0</v>
      </c>
      <c r="AS35" s="159">
        <f t="shared" si="16"/>
        <v>0</v>
      </c>
      <c r="AU35" s="159">
        <f t="shared" si="17"/>
        <v>0</v>
      </c>
      <c r="AW35" s="159">
        <f t="shared" si="18"/>
        <v>0</v>
      </c>
    </row>
    <row r="36" spans="1:49" x14ac:dyDescent="0.2">
      <c r="A36" s="334" t="s">
        <v>109</v>
      </c>
      <c r="B36" s="397" t="s">
        <v>84</v>
      </c>
      <c r="C36" s="338" t="s">
        <v>85</v>
      </c>
      <c r="D36" s="338" t="s">
        <v>86</v>
      </c>
      <c r="E36" s="338" t="s">
        <v>87</v>
      </c>
      <c r="F36" s="534" t="s">
        <v>88</v>
      </c>
      <c r="G36" s="535"/>
      <c r="H36" s="536"/>
      <c r="I36" s="536"/>
      <c r="J36" s="536"/>
      <c r="K36" s="536"/>
      <c r="L36" s="537"/>
      <c r="M36" s="412">
        <f>IF(K36&gt;=Input!$B$18,1,0)</f>
        <v>0</v>
      </c>
      <c r="N36" s="159" t="str">
        <f t="shared" si="0"/>
        <v xml:space="preserve"> -  -  - 0</v>
      </c>
      <c r="O36" s="159">
        <f t="shared" si="1"/>
        <v>0</v>
      </c>
      <c r="Q36" s="159">
        <f t="shared" si="2"/>
        <v>0</v>
      </c>
      <c r="S36" s="159">
        <f t="shared" si="3"/>
        <v>0</v>
      </c>
      <c r="U36" s="159">
        <f t="shared" si="4"/>
        <v>0</v>
      </c>
      <c r="W36" s="159">
        <f t="shared" si="5"/>
        <v>0</v>
      </c>
      <c r="Y36" s="159">
        <f t="shared" si="6"/>
        <v>0</v>
      </c>
      <c r="AA36" s="159">
        <f t="shared" si="7"/>
        <v>0</v>
      </c>
      <c r="AC36" s="159">
        <f t="shared" si="8"/>
        <v>0</v>
      </c>
      <c r="AE36" s="159">
        <f t="shared" si="9"/>
        <v>0</v>
      </c>
      <c r="AG36" s="159">
        <f t="shared" si="10"/>
        <v>0</v>
      </c>
      <c r="AI36" s="159">
        <f t="shared" si="11"/>
        <v>0</v>
      </c>
      <c r="AK36" s="159">
        <f t="shared" si="12"/>
        <v>0</v>
      </c>
      <c r="AM36" s="159">
        <f t="shared" si="13"/>
        <v>0</v>
      </c>
      <c r="AO36" s="159">
        <f t="shared" si="14"/>
        <v>0</v>
      </c>
      <c r="AQ36" s="159">
        <f t="shared" si="15"/>
        <v>0</v>
      </c>
      <c r="AS36" s="159">
        <f t="shared" si="16"/>
        <v>0</v>
      </c>
      <c r="AU36" s="159">
        <f t="shared" si="17"/>
        <v>0</v>
      </c>
      <c r="AW36" s="159">
        <f t="shared" si="18"/>
        <v>0</v>
      </c>
    </row>
    <row r="37" spans="1:49" x14ac:dyDescent="0.2">
      <c r="A37" s="538" t="str">
        <f>IF(Input!Q32&lt;&gt;1,"",IF(ISERROR(VLOOKUP(CONCATENATE(Input!D32," - Crushing Blow - ",$W$1," - 1"),N:N,1,FALSE)),Input!D32,IF(RIGHT(VLOOKUP(CONCATENATE(Input!D32," - Crushing Blow - ",$W$1," - 1"),N:N,1,FALSE),1)="1","",Input!D32)))</f>
        <v/>
      </c>
      <c r="B37" s="411" t="str">
        <f>IF(Input!Q32&lt;&gt;1,"",IF(ISERROR(VLOOKUP(CONCATENATE(Input!D32," - Crushing Blow - ",$W$1," - 1"),N:N,1,FALSE)),"Crushing Blow",IF(RIGHT(VLOOKUP(CONCATENATE(Input!D32," - Crushing Blow - ",$W$1," - 1"),N:N,1,FALSE),1)="1","","Crushing Blow")))</f>
        <v/>
      </c>
      <c r="C37" s="411" t="str">
        <f>IF(Input!Q32&lt;&gt;1,"",IF(ISERROR(VLOOKUP(CONCATENATE(Input!D32," - Crushing Blow - ",$W$1," - 1"),N:N,1,FALSE)),$W$1,IF(RIGHT(VLOOKUP(CONCATENATE(Input!D32," - Crushing Blow - ",$W$1," - 1"),N:N,1,FALSE),1)="1","",$W$1)))</f>
        <v/>
      </c>
      <c r="D37" s="411" t="str">
        <f>IF(Input!Q32&lt;&gt;1,"",IF(ISERROR(VLOOKUP(CONCATENATE(Input!D32," - Crushing Blow - ",$W$1," - 1"),N:N,1,FALSE)),Input!$B$18,IF(RIGHT(VLOOKUP(CONCATENATE(Input!D32," - Crushing Blow - ",$W$1," - 1"),N:N,1,FALSE),1)="1","",Input!$B$18)))</f>
        <v/>
      </c>
      <c r="E37" s="411" t="str">
        <f>IF(Input!Q32&lt;&gt;1,"",IF(ISERROR(VLOOKUP(CONCATENATE(Input!D32," - Crushing Blow - ",$W$1," - 1"),N:N,1,FALSE)),D37+3,IF(RIGHT(VLOOKUP(CONCATENATE(Input!D32," - Crushing Blow - ",$W$1," - 1"),N:N,1,FALSE),1)="1","",D37+3)))</f>
        <v/>
      </c>
      <c r="F37" s="540" t="str">
        <f>IF(Input!Q32&lt;&gt;1,"",IF(ISERROR(VLOOKUP(CONCATENATE(Input!D32," - Crushing Blow - ",$W$1," - 1"),N:N,1,FALSE)),VLOOKUP(Input!D32,Math!$A$13:$AM$18,12,FALSE)*-0.75,IF(RIGHT(VLOOKUP(CONCATENATE(Input!D32," - Crushing Blow - ",$W$1," - 1"),N:N,1,FALSE),1)="1","",VLOOKUP(Input!D32,Math!$A$13:$AM$18,12,FALSE)*-0.75)))</f>
        <v/>
      </c>
      <c r="G37" s="535"/>
      <c r="H37" s="536"/>
      <c r="I37" s="536"/>
      <c r="J37" s="536"/>
      <c r="K37" s="536"/>
      <c r="L37" s="537"/>
      <c r="M37" s="412">
        <f>IF(K37&gt;=Input!$B$18,1,0)</f>
        <v>0</v>
      </c>
      <c r="N37" s="159" t="str">
        <f t="shared" si="0"/>
        <v xml:space="preserve"> -  -  - 0</v>
      </c>
      <c r="O37" s="159">
        <f t="shared" si="1"/>
        <v>0</v>
      </c>
      <c r="Q37" s="159">
        <f t="shared" si="2"/>
        <v>0</v>
      </c>
      <c r="S37" s="159">
        <f t="shared" si="3"/>
        <v>0</v>
      </c>
      <c r="U37" s="159">
        <f t="shared" si="4"/>
        <v>0</v>
      </c>
      <c r="W37" s="159">
        <f t="shared" si="5"/>
        <v>0</v>
      </c>
      <c r="Y37" s="159">
        <f t="shared" si="6"/>
        <v>0</v>
      </c>
      <c r="AA37" s="159">
        <f t="shared" si="7"/>
        <v>0</v>
      </c>
      <c r="AC37" s="159">
        <f t="shared" si="8"/>
        <v>0</v>
      </c>
      <c r="AE37" s="159">
        <f t="shared" si="9"/>
        <v>0</v>
      </c>
      <c r="AG37" s="159">
        <f t="shared" si="10"/>
        <v>0</v>
      </c>
      <c r="AI37" s="159">
        <f t="shared" si="11"/>
        <v>0</v>
      </c>
      <c r="AK37" s="159">
        <f t="shared" si="12"/>
        <v>0</v>
      </c>
      <c r="AM37" s="159">
        <f t="shared" si="13"/>
        <v>0</v>
      </c>
      <c r="AO37" s="159">
        <f t="shared" si="14"/>
        <v>0</v>
      </c>
      <c r="AQ37" s="159">
        <f t="shared" si="15"/>
        <v>0</v>
      </c>
      <c r="AS37" s="159">
        <f t="shared" si="16"/>
        <v>0</v>
      </c>
      <c r="AU37" s="159">
        <f t="shared" si="17"/>
        <v>0</v>
      </c>
      <c r="AW37" s="159">
        <f t="shared" si="18"/>
        <v>0</v>
      </c>
    </row>
    <row r="38" spans="1:49" x14ac:dyDescent="0.2">
      <c r="A38" s="538" t="str">
        <f>IF(Input!Q33&lt;&gt;1,"",IF(ISERROR(VLOOKUP(CONCATENATE(Input!D33," - Crushing Blow - ",$W$1," - 1"),N:N,1,FALSE)),Input!D33,IF(RIGHT(VLOOKUP(CONCATENATE(Input!D33," - Crushing Blow - ",$W$1," - 1"),N:N,1,FALSE),1)="1","",Input!D33)))</f>
        <v/>
      </c>
      <c r="B38" s="411" t="str">
        <f>IF(Input!Q33&lt;&gt;1,"",IF(ISERROR(VLOOKUP(CONCATENATE(Input!D33," - Crushing Blow - ",$W$1," - 1"),N:N,1,FALSE)),"Crushing Blow",IF(RIGHT(VLOOKUP(CONCATENATE(Input!D33," - Crushing Blow - ",$W$1," - 1"),N:N,1,FALSE),1)="1","","Crushing Blow")))</f>
        <v/>
      </c>
      <c r="C38" s="411" t="str">
        <f>IF(Input!Q33&lt;&gt;1,"",IF(ISERROR(VLOOKUP(CONCATENATE(Input!D33," - Crushing Blow - ",$W$1," - 1"),N:N,1,FALSE)),$W$1,IF(RIGHT(VLOOKUP(CONCATENATE(Input!D33," - Crushing Blow - ",$W$1," - 1"),N:N,1,FALSE),1)="1","",$W$1)))</f>
        <v/>
      </c>
      <c r="D38" s="411" t="str">
        <f>IF(Input!Q33&lt;&gt;1,"",IF(ISERROR(VLOOKUP(CONCATENATE(Input!D33," - Crushing Blow - ",$W$1," - 1"),N:N,1,FALSE)),Input!$B$18,IF(RIGHT(VLOOKUP(CONCATENATE(Input!D33," - Crushing Blow - ",$W$1," - 1"),N:N,1,FALSE),1)="1","",Input!$B$18)))</f>
        <v/>
      </c>
      <c r="E38" s="411" t="str">
        <f>IF(Input!Q33&lt;&gt;1,"",IF(ISERROR(VLOOKUP(CONCATENATE(Input!D33," - Crushing Blow - ",$W$1," - 1"),N:N,1,FALSE)),D38+3,IF(RIGHT(VLOOKUP(CONCATENATE(Input!D33," - Crushing Blow - ",$W$1," - 1"),N:N,1,FALSE),1)="1","",D38+3)))</f>
        <v/>
      </c>
      <c r="F38" s="540" t="str">
        <f>IF(Input!Q33&lt;&gt;1,"",IF(ISERROR(VLOOKUP(CONCATENATE(Input!D33," - Crushing Blow - ",$W$1," - 1"),N:N,1,FALSE)),VLOOKUP(Input!D33,Math!$A$13:$AM$18,12,FALSE)*-0.75,IF(RIGHT(VLOOKUP(CONCATENATE(Input!D33," - Crushing Blow - ",$W$1," - 1"),N:N,1,FALSE),1)="1","",VLOOKUP(Input!D33,Math!$A$13:$AM$18,12,FALSE)*-0.75)))</f>
        <v/>
      </c>
      <c r="G38" s="535"/>
      <c r="H38" s="536"/>
      <c r="I38" s="536"/>
      <c r="J38" s="536"/>
      <c r="K38" s="536"/>
      <c r="L38" s="537"/>
      <c r="M38" s="412">
        <f>IF(K38&gt;=Input!$B$18,1,0)</f>
        <v>0</v>
      </c>
      <c r="N38" s="159" t="str">
        <f t="shared" si="0"/>
        <v xml:space="preserve"> -  -  - 0</v>
      </c>
      <c r="O38" s="159">
        <f t="shared" si="1"/>
        <v>0</v>
      </c>
      <c r="Q38" s="159">
        <f t="shared" si="2"/>
        <v>0</v>
      </c>
      <c r="S38" s="159">
        <f t="shared" si="3"/>
        <v>0</v>
      </c>
      <c r="U38" s="159">
        <f t="shared" si="4"/>
        <v>0</v>
      </c>
      <c r="W38" s="159">
        <f t="shared" si="5"/>
        <v>0</v>
      </c>
      <c r="Y38" s="159">
        <f t="shared" si="6"/>
        <v>0</v>
      </c>
      <c r="AA38" s="159">
        <f t="shared" si="7"/>
        <v>0</v>
      </c>
      <c r="AC38" s="159">
        <f t="shared" si="8"/>
        <v>0</v>
      </c>
      <c r="AE38" s="159">
        <f t="shared" si="9"/>
        <v>0</v>
      </c>
      <c r="AG38" s="159">
        <f t="shared" si="10"/>
        <v>0</v>
      </c>
      <c r="AI38" s="159">
        <f t="shared" si="11"/>
        <v>0</v>
      </c>
      <c r="AK38" s="159">
        <f t="shared" si="12"/>
        <v>0</v>
      </c>
      <c r="AM38" s="159">
        <f t="shared" si="13"/>
        <v>0</v>
      </c>
      <c r="AO38" s="159">
        <f t="shared" si="14"/>
        <v>0</v>
      </c>
      <c r="AQ38" s="159">
        <f t="shared" si="15"/>
        <v>0</v>
      </c>
      <c r="AS38" s="159">
        <f t="shared" si="16"/>
        <v>0</v>
      </c>
      <c r="AU38" s="159">
        <f t="shared" si="17"/>
        <v>0</v>
      </c>
      <c r="AW38" s="159">
        <f t="shared" si="18"/>
        <v>0</v>
      </c>
    </row>
    <row r="39" spans="1:49" x14ac:dyDescent="0.2">
      <c r="A39" s="538" t="str">
        <f>IF(Input!Q34&lt;&gt;1,"",IF(ISERROR(VLOOKUP(CONCATENATE(Input!D34," - Crushing Blow - ",$W$1," - 1"),N:N,1,FALSE)),Input!D34,IF(RIGHT(VLOOKUP(CONCATENATE(Input!D34," - Crushing Blow - ",$W$1," - 1"),N:N,1,FALSE),1)="1","",Input!D34)))</f>
        <v/>
      </c>
      <c r="B39" s="411" t="str">
        <f>IF(Input!Q34&lt;&gt;1,"",IF(ISERROR(VLOOKUP(CONCATENATE(Input!D34," - Crushing Blow - ",$W$1," - 1"),N:N,1,FALSE)),"Crushing Blow",IF(RIGHT(VLOOKUP(CONCATENATE(Input!D34," - Crushing Blow - ",$W$1," - 1"),N:N,1,FALSE),1)="1","","Crushing Blow")))</f>
        <v/>
      </c>
      <c r="C39" s="411" t="str">
        <f>IF(Input!Q34&lt;&gt;1,"",IF(ISERROR(VLOOKUP(CONCATENATE(Input!D34," - Crushing Blow - ",$W$1," - 1"),N:N,1,FALSE)),$W$1,IF(RIGHT(VLOOKUP(CONCATENATE(Input!D34," - Crushing Blow - ",$W$1," - 1"),N:N,1,FALSE),1)="1","",$W$1)))</f>
        <v/>
      </c>
      <c r="D39" s="411" t="str">
        <f>IF(Input!Q34&lt;&gt;1,"",IF(ISERROR(VLOOKUP(CONCATENATE(Input!D34," - Crushing Blow - ",$W$1," - 1"),N:N,1,FALSE)),Input!$B$18,IF(RIGHT(VLOOKUP(CONCATENATE(Input!D34," - Crushing Blow - ",$W$1," - 1"),N:N,1,FALSE),1)="1","",Input!$B$18)))</f>
        <v/>
      </c>
      <c r="E39" s="411" t="str">
        <f>IF(Input!Q34&lt;&gt;1,"",IF(ISERROR(VLOOKUP(CONCATENATE(Input!D34," - Crushing Blow - ",$W$1," - 1"),N:N,1,FALSE)),D39+3,IF(RIGHT(VLOOKUP(CONCATENATE(Input!D34," - Crushing Blow - ",$W$1," - 1"),N:N,1,FALSE),1)="1","",D39+3)))</f>
        <v/>
      </c>
      <c r="F39" s="540" t="str">
        <f>IF(Input!Q34&lt;&gt;1,"",IF(ISERROR(VLOOKUP(CONCATENATE(Input!D34," - Crushing Blow - ",$W$1," - 1"),N:N,1,FALSE)),VLOOKUP(Input!D34,Math!$A$13:$AM$18,12,FALSE)*-0.75,IF(RIGHT(VLOOKUP(CONCATENATE(Input!D34," - Crushing Blow - ",$W$1," - 1"),N:N,1,FALSE),1)="1","",VLOOKUP(Input!D34,Math!$A$13:$AM$18,12,FALSE)*-0.75)))</f>
        <v/>
      </c>
      <c r="G39" s="535"/>
      <c r="H39" s="536"/>
      <c r="I39" s="536"/>
      <c r="J39" s="536"/>
      <c r="K39" s="536"/>
      <c r="L39" s="537"/>
      <c r="M39" s="412">
        <f>IF(K39&gt;=Input!$B$18,1,0)</f>
        <v>0</v>
      </c>
      <c r="N39" s="159" t="str">
        <f t="shared" si="0"/>
        <v xml:space="preserve"> -  -  - 0</v>
      </c>
      <c r="O39" s="159">
        <f t="shared" si="1"/>
        <v>0</v>
      </c>
      <c r="Q39" s="159">
        <f t="shared" si="2"/>
        <v>0</v>
      </c>
      <c r="S39" s="159">
        <f t="shared" si="3"/>
        <v>0</v>
      </c>
      <c r="U39" s="159">
        <f t="shared" si="4"/>
        <v>0</v>
      </c>
      <c r="W39" s="159">
        <f t="shared" si="5"/>
        <v>0</v>
      </c>
      <c r="Y39" s="159">
        <f t="shared" si="6"/>
        <v>0</v>
      </c>
      <c r="AA39" s="159">
        <f t="shared" si="7"/>
        <v>0</v>
      </c>
      <c r="AC39" s="159">
        <f t="shared" si="8"/>
        <v>0</v>
      </c>
      <c r="AE39" s="159">
        <f t="shared" si="9"/>
        <v>0</v>
      </c>
      <c r="AG39" s="159">
        <f t="shared" si="10"/>
        <v>0</v>
      </c>
      <c r="AI39" s="159">
        <f t="shared" si="11"/>
        <v>0</v>
      </c>
      <c r="AK39" s="159">
        <f t="shared" si="12"/>
        <v>0</v>
      </c>
      <c r="AM39" s="159">
        <f t="shared" si="13"/>
        <v>0</v>
      </c>
      <c r="AO39" s="159">
        <f t="shared" si="14"/>
        <v>0</v>
      </c>
      <c r="AQ39" s="159">
        <f t="shared" si="15"/>
        <v>0</v>
      </c>
      <c r="AS39" s="159">
        <f t="shared" si="16"/>
        <v>0</v>
      </c>
      <c r="AU39" s="159">
        <f t="shared" si="17"/>
        <v>0</v>
      </c>
      <c r="AW39" s="159">
        <f t="shared" si="18"/>
        <v>0</v>
      </c>
    </row>
    <row r="40" spans="1:49" x14ac:dyDescent="0.2">
      <c r="A40" s="538" t="str">
        <f>IF(Input!Q35&lt;&gt;1,"",IF(ISERROR(VLOOKUP(CONCATENATE(Input!D35," - Crushing Blow - ",$W$1," - 1"),N:N,1,FALSE)),Input!D35,IF(RIGHT(VLOOKUP(CONCATENATE(Input!D35," - Crushing Blow - ",$W$1," - 1"),N:N,1,FALSE),1)="1","",Input!D35)))</f>
        <v/>
      </c>
      <c r="B40" s="411" t="str">
        <f>IF(Input!Q35&lt;&gt;1,"",IF(ISERROR(VLOOKUP(CONCATENATE(Input!D35," - Crushing Blow - ",$W$1," - 1"),N:N,1,FALSE)),"Crushing Blow",IF(RIGHT(VLOOKUP(CONCATENATE(Input!D35," - Crushing Blow - ",$W$1," - 1"),N:N,1,FALSE),1)="1","","Crushing Blow")))</f>
        <v/>
      </c>
      <c r="C40" s="411" t="str">
        <f>IF(Input!Q35&lt;&gt;1,"",IF(ISERROR(VLOOKUP(CONCATENATE(Input!D35," - Crushing Blow - ",$W$1," - 1"),N:N,1,FALSE)),$W$1,IF(RIGHT(VLOOKUP(CONCATENATE(Input!D35," - Crushing Blow - ",$W$1," - 1"),N:N,1,FALSE),1)="1","",$W$1)))</f>
        <v/>
      </c>
      <c r="D40" s="411" t="str">
        <f>IF(Input!Q35&lt;&gt;1,"",IF(ISERROR(VLOOKUP(CONCATENATE(Input!D35," - Crushing Blow - ",$W$1," - 1"),N:N,1,FALSE)),Input!$B$18,IF(RIGHT(VLOOKUP(CONCATENATE(Input!D35," - Crushing Blow - ",$W$1," - 1"),N:N,1,FALSE),1)="1","",Input!$B$18)))</f>
        <v/>
      </c>
      <c r="E40" s="411" t="str">
        <f>IF(Input!Q35&lt;&gt;1,"",IF(ISERROR(VLOOKUP(CONCATENATE(Input!D35," - Crushing Blow - ",$W$1," - 1"),N:N,1,FALSE)),D40+3,IF(RIGHT(VLOOKUP(CONCATENATE(Input!D35," - Crushing Blow - ",$W$1," - 1"),N:N,1,FALSE),1)="1","",D40+3)))</f>
        <v/>
      </c>
      <c r="F40" s="540" t="str">
        <f>IF(Input!Q35&lt;&gt;1,"",IF(ISERROR(VLOOKUP(CONCATENATE(Input!D35," - Crushing Blow - ",$W$1," - 1"),N:N,1,FALSE)),VLOOKUP(Input!D35,Math!$A$13:$AM$18,12,FALSE)*-0.75,IF(RIGHT(VLOOKUP(CONCATENATE(Input!D35," - Crushing Blow - ",$W$1," - 1"),N:N,1,FALSE),1)="1","",VLOOKUP(Input!D35,Math!$A$13:$AM$18,12,FALSE)*-0.75)))</f>
        <v/>
      </c>
      <c r="G40" s="535"/>
      <c r="H40" s="536"/>
      <c r="I40" s="536"/>
      <c r="J40" s="536"/>
      <c r="K40" s="536"/>
      <c r="L40" s="537"/>
      <c r="M40" s="412">
        <f>IF(K40&gt;=Input!$B$18,1,0)</f>
        <v>0</v>
      </c>
      <c r="N40" s="159" t="str">
        <f t="shared" si="0"/>
        <v xml:space="preserve"> -  -  - 0</v>
      </c>
      <c r="O40" s="159">
        <f t="shared" si="1"/>
        <v>0</v>
      </c>
      <c r="Q40" s="159">
        <f t="shared" si="2"/>
        <v>0</v>
      </c>
      <c r="S40" s="159">
        <f t="shared" si="3"/>
        <v>0</v>
      </c>
      <c r="U40" s="159">
        <f t="shared" si="4"/>
        <v>0</v>
      </c>
      <c r="W40" s="159">
        <f t="shared" si="5"/>
        <v>0</v>
      </c>
      <c r="Y40" s="159">
        <f t="shared" si="6"/>
        <v>0</v>
      </c>
      <c r="AA40" s="159">
        <f t="shared" si="7"/>
        <v>0</v>
      </c>
      <c r="AC40" s="159">
        <f t="shared" si="8"/>
        <v>0</v>
      </c>
      <c r="AE40" s="159">
        <f t="shared" si="9"/>
        <v>0</v>
      </c>
      <c r="AG40" s="159">
        <f t="shared" si="10"/>
        <v>0</v>
      </c>
      <c r="AI40" s="159">
        <f t="shared" si="11"/>
        <v>0</v>
      </c>
      <c r="AK40" s="159">
        <f t="shared" si="12"/>
        <v>0</v>
      </c>
      <c r="AM40" s="159">
        <f t="shared" si="13"/>
        <v>0</v>
      </c>
      <c r="AO40" s="159">
        <f t="shared" si="14"/>
        <v>0</v>
      </c>
      <c r="AQ40" s="159">
        <f t="shared" si="15"/>
        <v>0</v>
      </c>
      <c r="AS40" s="159">
        <f t="shared" si="16"/>
        <v>0</v>
      </c>
      <c r="AU40" s="159">
        <f t="shared" si="17"/>
        <v>0</v>
      </c>
      <c r="AW40" s="159">
        <f t="shared" si="18"/>
        <v>0</v>
      </c>
    </row>
    <row r="41" spans="1:49" x14ac:dyDescent="0.2">
      <c r="A41" s="538" t="str">
        <f>IF(Input!Q36&lt;&gt;1,"",IF(ISERROR(VLOOKUP(CONCATENATE(Input!D36," - Crushing Blow - ",$W$1," - 1"),N:N,1,FALSE)),Input!D36,IF(RIGHT(VLOOKUP(CONCATENATE(Input!D36," - Crushing Blow - ",$W$1," - 1"),N:N,1,FALSE),1)="1","",Input!D36)))</f>
        <v/>
      </c>
      <c r="B41" s="411" t="str">
        <f>IF(Input!Q36&lt;&gt;1,"",IF(ISERROR(VLOOKUP(CONCATENATE(Input!D36," - Crushing Blow - ",$W$1," - 1"),N:N,1,FALSE)),"Crushing Blow",IF(RIGHT(VLOOKUP(CONCATENATE(Input!D36," - Crushing Blow - ",$W$1," - 1"),N:N,1,FALSE),1)="1","","Crushing Blow")))</f>
        <v/>
      </c>
      <c r="C41" s="411" t="str">
        <f>IF(Input!Q36&lt;&gt;1,"",IF(ISERROR(VLOOKUP(CONCATENATE(Input!D36," - Crushing Blow - ",$W$1," - 1"),N:N,1,FALSE)),$W$1,IF(RIGHT(VLOOKUP(CONCATENATE(Input!D36," - Crushing Blow - ",$W$1," - 1"),N:N,1,FALSE),1)="1","",$W$1)))</f>
        <v/>
      </c>
      <c r="D41" s="411" t="str">
        <f>IF(Input!Q36&lt;&gt;1,"",IF(ISERROR(VLOOKUP(CONCATENATE(Input!D36," - Crushing Blow - ",$W$1," - 1"),N:N,1,FALSE)),Input!$B$18,IF(RIGHT(VLOOKUP(CONCATENATE(Input!D36," - Crushing Blow - ",$W$1," - 1"),N:N,1,FALSE),1)="1","",Input!$B$18)))</f>
        <v/>
      </c>
      <c r="E41" s="411" t="str">
        <f>IF(Input!Q36&lt;&gt;1,"",IF(ISERROR(VLOOKUP(CONCATENATE(Input!D36," - Crushing Blow - ",$W$1," - 1"),N:N,1,FALSE)),D41+3,IF(RIGHT(VLOOKUP(CONCATENATE(Input!D36," - Crushing Blow - ",$W$1," - 1"),N:N,1,FALSE),1)="1","",D41+3)))</f>
        <v/>
      </c>
      <c r="F41" s="540" t="str">
        <f>IF(Input!Q36&lt;&gt;1,"",IF(ISERROR(VLOOKUP(CONCATENATE(Input!D36," - Crushing Blow - ",$W$1," - 1"),N:N,1,FALSE)),VLOOKUP(Input!D36,Math!$A$13:$AM$18,12,FALSE)*-0.75,IF(RIGHT(VLOOKUP(CONCATENATE(Input!D36," - Crushing Blow - ",$W$1," - 1"),N:N,1,FALSE),1)="1","",VLOOKUP(Input!D36,Math!$A$13:$AM$18,12,FALSE)*-0.75)))</f>
        <v/>
      </c>
      <c r="G41" s="535"/>
      <c r="H41" s="536"/>
      <c r="I41" s="536"/>
      <c r="J41" s="536"/>
      <c r="K41" s="536"/>
      <c r="L41" s="537"/>
      <c r="M41" s="412">
        <f>IF(K41&gt;=Input!$B$18,1,0)</f>
        <v>0</v>
      </c>
      <c r="N41" s="159" t="str">
        <f t="shared" si="0"/>
        <v xml:space="preserve"> -  -  - 0</v>
      </c>
      <c r="O41" s="159">
        <f t="shared" si="1"/>
        <v>0</v>
      </c>
      <c r="Q41" s="159">
        <f t="shared" si="2"/>
        <v>0</v>
      </c>
      <c r="S41" s="159">
        <f t="shared" si="3"/>
        <v>0</v>
      </c>
      <c r="U41" s="159">
        <f t="shared" si="4"/>
        <v>0</v>
      </c>
      <c r="W41" s="159">
        <f t="shared" si="5"/>
        <v>0</v>
      </c>
      <c r="Y41" s="159">
        <f t="shared" si="6"/>
        <v>0</v>
      </c>
      <c r="AA41" s="159">
        <f t="shared" si="7"/>
        <v>0</v>
      </c>
      <c r="AC41" s="159">
        <f t="shared" si="8"/>
        <v>0</v>
      </c>
      <c r="AE41" s="159">
        <f t="shared" si="9"/>
        <v>0</v>
      </c>
      <c r="AG41" s="159">
        <f t="shared" si="10"/>
        <v>0</v>
      </c>
      <c r="AI41" s="159">
        <f t="shared" si="11"/>
        <v>0</v>
      </c>
      <c r="AK41" s="159">
        <f t="shared" si="12"/>
        <v>0</v>
      </c>
      <c r="AM41" s="159">
        <f t="shared" si="13"/>
        <v>0</v>
      </c>
      <c r="AO41" s="159">
        <f t="shared" si="14"/>
        <v>0</v>
      </c>
      <c r="AQ41" s="159">
        <f t="shared" si="15"/>
        <v>0</v>
      </c>
      <c r="AS41" s="159">
        <f t="shared" si="16"/>
        <v>0</v>
      </c>
      <c r="AU41" s="159">
        <f t="shared" si="17"/>
        <v>0</v>
      </c>
      <c r="AW41" s="159">
        <f t="shared" si="18"/>
        <v>0</v>
      </c>
    </row>
    <row r="42" spans="1:49" x14ac:dyDescent="0.2">
      <c r="A42" s="538" t="str">
        <f>IF(Input!Q37&lt;&gt;1,"",IF(ISERROR(VLOOKUP(CONCATENATE(Input!D37," - Crushing Blow - ",$W$1," - 1"),N:N,1,FALSE)),Input!D37,IF(RIGHT(VLOOKUP(CONCATENATE(Input!D37," - Crushing Blow - ",$W$1," - 1"),N:N,1,FALSE),1)="1","",Input!D37)))</f>
        <v/>
      </c>
      <c r="B42" s="411" t="str">
        <f>IF(Input!Q37&lt;&gt;1,"",IF(ISERROR(VLOOKUP(CONCATENATE(Input!D37," - Crushing Blow - ",$W$1," - 1"),N:N,1,FALSE)),"Crushing Blow",IF(RIGHT(VLOOKUP(CONCATENATE(Input!D37," - Crushing Blow - ",$W$1," - 1"),N:N,1,FALSE),1)="1","","Crushing Blow")))</f>
        <v/>
      </c>
      <c r="C42" s="411" t="str">
        <f>IF(Input!Q37&lt;&gt;1,"",IF(ISERROR(VLOOKUP(CONCATENATE(Input!D37," - Crushing Blow - ",$W$1," - 1"),N:N,1,FALSE)),$W$1,IF(RIGHT(VLOOKUP(CONCATENATE(Input!D37," - Crushing Blow - ",$W$1," - 1"),N:N,1,FALSE),1)="1","",$W$1)))</f>
        <v/>
      </c>
      <c r="D42" s="411" t="str">
        <f>IF(Input!Q37&lt;&gt;1,"",IF(ISERROR(VLOOKUP(CONCATENATE(Input!D37," - Crushing Blow - ",$W$1," - 1"),N:N,1,FALSE)),Input!$B$18,IF(RIGHT(VLOOKUP(CONCATENATE(Input!D37," - Crushing Blow - ",$W$1," - 1"),N:N,1,FALSE),1)="1","",Input!$B$18)))</f>
        <v/>
      </c>
      <c r="E42" s="411" t="str">
        <f>IF(Input!Q37&lt;&gt;1,"",IF(ISERROR(VLOOKUP(CONCATENATE(Input!D37," - Crushing Blow - ",$W$1," - 1"),N:N,1,FALSE)),D42+3,IF(RIGHT(VLOOKUP(CONCATENATE(Input!D37," - Crushing Blow - ",$W$1," - 1"),N:N,1,FALSE),1)="1","",D42+3)))</f>
        <v/>
      </c>
      <c r="F42" s="540" t="str">
        <f>IF(Input!Q37&lt;&gt;1,"",IF(ISERROR(VLOOKUP(CONCATENATE(Input!D37," - Crushing Blow - ",$W$1," - 1"),N:N,1,FALSE)),VLOOKUP(Input!D37,Math!$A$13:$AM$18,12,FALSE)*-0.75,IF(RIGHT(VLOOKUP(CONCATENATE(Input!D37," - Crushing Blow - ",$W$1," - 1"),N:N,1,FALSE),1)="1","",VLOOKUP(Input!D37,Math!$A$13:$AM$18,12,FALSE)*-0.75)))</f>
        <v/>
      </c>
      <c r="G42" s="535"/>
      <c r="H42" s="536"/>
      <c r="I42" s="536"/>
      <c r="J42" s="536"/>
      <c r="K42" s="536"/>
      <c r="L42" s="537"/>
      <c r="M42" s="412">
        <f>IF(K42&gt;=Input!$B$18,1,0)</f>
        <v>0</v>
      </c>
      <c r="N42" s="159" t="str">
        <f t="shared" si="0"/>
        <v xml:space="preserve"> -  -  - 0</v>
      </c>
      <c r="O42" s="159">
        <f t="shared" si="1"/>
        <v>0</v>
      </c>
      <c r="Q42" s="159">
        <f t="shared" si="2"/>
        <v>0</v>
      </c>
      <c r="S42" s="159">
        <f t="shared" si="3"/>
        <v>0</v>
      </c>
      <c r="U42" s="159">
        <f t="shared" si="4"/>
        <v>0</v>
      </c>
      <c r="W42" s="159">
        <f t="shared" si="5"/>
        <v>0</v>
      </c>
      <c r="Y42" s="159">
        <f t="shared" si="6"/>
        <v>0</v>
      </c>
      <c r="AA42" s="159">
        <f t="shared" si="7"/>
        <v>0</v>
      </c>
      <c r="AC42" s="159">
        <f t="shared" si="8"/>
        <v>0</v>
      </c>
      <c r="AE42" s="159">
        <f t="shared" si="9"/>
        <v>0</v>
      </c>
      <c r="AG42" s="159">
        <f t="shared" si="10"/>
        <v>0</v>
      </c>
      <c r="AI42" s="159">
        <f t="shared" si="11"/>
        <v>0</v>
      </c>
      <c r="AK42" s="159">
        <f t="shared" si="12"/>
        <v>0</v>
      </c>
      <c r="AM42" s="159">
        <f t="shared" si="13"/>
        <v>0</v>
      </c>
      <c r="AO42" s="159">
        <f t="shared" si="14"/>
        <v>0</v>
      </c>
      <c r="AQ42" s="159">
        <f t="shared" si="15"/>
        <v>0</v>
      </c>
      <c r="AS42" s="159">
        <f t="shared" si="16"/>
        <v>0</v>
      </c>
      <c r="AU42" s="159">
        <f t="shared" si="17"/>
        <v>0</v>
      </c>
      <c r="AW42" s="159">
        <f t="shared" si="18"/>
        <v>0</v>
      </c>
    </row>
    <row r="43" spans="1:49" x14ac:dyDescent="0.2">
      <c r="A43" s="538" t="str">
        <f>IF(Input!Q38&lt;&gt;1,"",IF(ISERROR(VLOOKUP(CONCATENATE(Input!D38," - Crushing Blow - ",$W$1," - 1"),N:N,1,FALSE)),Input!D38,IF(RIGHT(VLOOKUP(CONCATENATE(Input!D38," - Crushing Blow - ",$W$1," - 1"),N:N,1,FALSE),1)="1","",Input!D38)))</f>
        <v/>
      </c>
      <c r="B43" s="411" t="str">
        <f>IF(Input!Q38&lt;&gt;1,"",IF(ISERROR(VLOOKUP(CONCATENATE(Input!D38," - Crushing Blow - ",$W$1," - 1"),N:N,1,FALSE)),"Crushing Blow",IF(RIGHT(VLOOKUP(CONCATENATE(Input!D38," - Crushing Blow - ",$W$1," - 1"),N:N,1,FALSE),1)="1","","Crushing Blow")))</f>
        <v/>
      </c>
      <c r="C43" s="411" t="str">
        <f>IF(Input!Q38&lt;&gt;1,"",IF(ISERROR(VLOOKUP(CONCATENATE(Input!D38," - Crushing Blow - ",$W$1," - 1"),N:N,1,FALSE)),$W$1,IF(RIGHT(VLOOKUP(CONCATENATE(Input!D38," - Crushing Blow - ",$W$1," - 1"),N:N,1,FALSE),1)="1","",$W$1)))</f>
        <v/>
      </c>
      <c r="D43" s="411" t="str">
        <f>IF(Input!Q38&lt;&gt;1,"",IF(ISERROR(VLOOKUP(CONCATENATE(Input!D38," - Crushing Blow - ",$W$1," - 1"),N:N,1,FALSE)),Input!$B$18,IF(RIGHT(VLOOKUP(CONCATENATE(Input!D38," - Crushing Blow - ",$W$1," - 1"),N:N,1,FALSE),1)="1","",Input!$B$18)))</f>
        <v/>
      </c>
      <c r="E43" s="411" t="str">
        <f>IF(Input!Q38&lt;&gt;1,"",IF(ISERROR(VLOOKUP(CONCATENATE(Input!D38," - Crushing Blow - ",$W$1," - 1"),N:N,1,FALSE)),D43+3,IF(RIGHT(VLOOKUP(CONCATENATE(Input!D38," - Crushing Blow - ",$W$1," - 1"),N:N,1,FALSE),1)="1","",D43+3)))</f>
        <v/>
      </c>
      <c r="F43" s="540" t="str">
        <f>IF(Input!Q38&lt;&gt;1,"",IF(ISERROR(VLOOKUP(CONCATENATE(Input!D38," - Crushing Blow - ",$W$1," - 1"),N:N,1,FALSE)),VLOOKUP(Input!D38,Math!$A$13:$AM$18,12,FALSE)*-0.75,IF(RIGHT(VLOOKUP(CONCATENATE(Input!D38," - Crushing Blow - ",$W$1," - 1"),N:N,1,FALSE),1)="1","",VLOOKUP(Input!D38,Math!$A$13:$AM$18,12,FALSE)*-0.75)))</f>
        <v/>
      </c>
      <c r="G43" s="535"/>
      <c r="H43" s="536"/>
      <c r="I43" s="536"/>
      <c r="J43" s="536"/>
      <c r="K43" s="536"/>
      <c r="L43" s="537"/>
      <c r="M43" s="412">
        <f>IF(K43&gt;=Input!$B$18,1,0)</f>
        <v>0</v>
      </c>
      <c r="N43" s="159" t="str">
        <f t="shared" si="0"/>
        <v xml:space="preserve"> -  -  - 0</v>
      </c>
      <c r="O43" s="159">
        <f t="shared" si="1"/>
        <v>0</v>
      </c>
      <c r="Q43" s="159">
        <f t="shared" si="2"/>
        <v>0</v>
      </c>
      <c r="S43" s="159">
        <f t="shared" si="3"/>
        <v>0</v>
      </c>
      <c r="U43" s="159">
        <f t="shared" si="4"/>
        <v>0</v>
      </c>
      <c r="W43" s="159">
        <f t="shared" si="5"/>
        <v>0</v>
      </c>
      <c r="Y43" s="159">
        <f t="shared" si="6"/>
        <v>0</v>
      </c>
      <c r="AA43" s="159">
        <f t="shared" si="7"/>
        <v>0</v>
      </c>
      <c r="AC43" s="159">
        <f t="shared" si="8"/>
        <v>0</v>
      </c>
      <c r="AE43" s="159">
        <f t="shared" si="9"/>
        <v>0</v>
      </c>
      <c r="AG43" s="159">
        <f t="shared" si="10"/>
        <v>0</v>
      </c>
      <c r="AI43" s="159">
        <f t="shared" si="11"/>
        <v>0</v>
      </c>
      <c r="AK43" s="159">
        <f t="shared" si="12"/>
        <v>0</v>
      </c>
      <c r="AM43" s="159">
        <f t="shared" si="13"/>
        <v>0</v>
      </c>
      <c r="AO43" s="159">
        <f t="shared" si="14"/>
        <v>0</v>
      </c>
      <c r="AQ43" s="159">
        <f t="shared" si="15"/>
        <v>0</v>
      </c>
      <c r="AS43" s="159">
        <f t="shared" si="16"/>
        <v>0</v>
      </c>
      <c r="AU43" s="159">
        <f t="shared" si="17"/>
        <v>0</v>
      </c>
      <c r="AW43" s="159">
        <f t="shared" si="18"/>
        <v>0</v>
      </c>
    </row>
    <row r="44" spans="1:49" x14ac:dyDescent="0.2">
      <c r="A44" s="538" t="str">
        <f>IF(Input!Q39&lt;&gt;1,"",IF(ISERROR(VLOOKUP(CONCATENATE(Input!D39," - Crushing Blow - ",$W$1," - 1"),N:N,1,FALSE)),Input!D39,IF(RIGHT(VLOOKUP(CONCATENATE(Input!D39," - Crushing Blow - ",$W$1," - 1"),N:N,1,FALSE),1)="1","",Input!D39)))</f>
        <v/>
      </c>
      <c r="B44" s="411" t="str">
        <f>IF(Input!Q39&lt;&gt;1,"",IF(ISERROR(VLOOKUP(CONCATENATE(Input!D39," - Crushing Blow - ",$W$1," - 1"),N:N,1,FALSE)),"Crushing Blow",IF(RIGHT(VLOOKUP(CONCATENATE(Input!D39," - Crushing Blow - ",$W$1," - 1"),N:N,1,FALSE),1)="1","","Crushing Blow")))</f>
        <v/>
      </c>
      <c r="C44" s="411" t="str">
        <f>IF(Input!Q39&lt;&gt;1,"",IF(ISERROR(VLOOKUP(CONCATENATE(Input!D39," - Crushing Blow - ",$W$1," - 1"),N:N,1,FALSE)),$W$1,IF(RIGHT(VLOOKUP(CONCATENATE(Input!D39," - Crushing Blow - ",$W$1," - 1"),N:N,1,FALSE),1)="1","",$W$1)))</f>
        <v/>
      </c>
      <c r="D44" s="411" t="str">
        <f>IF(Input!Q39&lt;&gt;1,"",IF(ISERROR(VLOOKUP(CONCATENATE(Input!D39," - Crushing Blow - ",$W$1," - 1"),N:N,1,FALSE)),Input!$B$18,IF(RIGHT(VLOOKUP(CONCATENATE(Input!D39," - Crushing Blow - ",$W$1," - 1"),N:N,1,FALSE),1)="1","",Input!$B$18)))</f>
        <v/>
      </c>
      <c r="E44" s="411" t="str">
        <f>IF(Input!Q39&lt;&gt;1,"",IF(ISERROR(VLOOKUP(CONCATENATE(Input!D39," - Crushing Blow - ",$W$1," - 1"),N:N,1,FALSE)),D44+3,IF(RIGHT(VLOOKUP(CONCATENATE(Input!D39," - Crushing Blow - ",$W$1," - 1"),N:N,1,FALSE),1)="1","",D44+3)))</f>
        <v/>
      </c>
      <c r="F44" s="540" t="str">
        <f>IF(Input!Q39&lt;&gt;1,"",IF(ISERROR(VLOOKUP(CONCATENATE(Input!D39," - Crushing Blow - ",$W$1," - 1"),N:N,1,FALSE)),VLOOKUP(Input!D39,Math!$A$13:$AM$18,12,FALSE)*-0.75,IF(RIGHT(VLOOKUP(CONCATENATE(Input!D39," - Crushing Blow - ",$W$1," - 1"),N:N,1,FALSE),1)="1","",VLOOKUP(Input!D39,Math!$A$13:$AM$18,12,FALSE)*-0.75)))</f>
        <v/>
      </c>
      <c r="G44" s="535"/>
      <c r="H44" s="536"/>
      <c r="I44" s="536"/>
      <c r="J44" s="536"/>
      <c r="K44" s="536"/>
      <c r="L44" s="537"/>
      <c r="M44" s="412">
        <f>IF(K44&gt;=Input!$B$18,1,0)</f>
        <v>0</v>
      </c>
      <c r="N44" s="159" t="str">
        <f t="shared" si="0"/>
        <v xml:space="preserve"> -  -  - 0</v>
      </c>
      <c r="O44" s="159">
        <f t="shared" si="1"/>
        <v>0</v>
      </c>
      <c r="Q44" s="159">
        <f t="shared" si="2"/>
        <v>0</v>
      </c>
      <c r="S44" s="159">
        <f t="shared" si="3"/>
        <v>0</v>
      </c>
      <c r="U44" s="159">
        <f t="shared" si="4"/>
        <v>0</v>
      </c>
      <c r="W44" s="159">
        <f t="shared" si="5"/>
        <v>0</v>
      </c>
      <c r="Y44" s="159">
        <f t="shared" si="6"/>
        <v>0</v>
      </c>
      <c r="AA44" s="159">
        <f t="shared" si="7"/>
        <v>0</v>
      </c>
      <c r="AC44" s="159">
        <f t="shared" si="8"/>
        <v>0</v>
      </c>
      <c r="AE44" s="159">
        <f t="shared" si="9"/>
        <v>0</v>
      </c>
      <c r="AG44" s="159">
        <f t="shared" si="10"/>
        <v>0</v>
      </c>
      <c r="AI44" s="159">
        <f t="shared" si="11"/>
        <v>0</v>
      </c>
      <c r="AK44" s="159">
        <f t="shared" si="12"/>
        <v>0</v>
      </c>
      <c r="AM44" s="159">
        <f t="shared" si="13"/>
        <v>0</v>
      </c>
      <c r="AO44" s="159">
        <f t="shared" si="14"/>
        <v>0</v>
      </c>
      <c r="AQ44" s="159">
        <f t="shared" si="15"/>
        <v>0</v>
      </c>
      <c r="AS44" s="159">
        <f t="shared" si="16"/>
        <v>0</v>
      </c>
      <c r="AU44" s="159">
        <f t="shared" si="17"/>
        <v>0</v>
      </c>
      <c r="AW44" s="159">
        <f t="shared" si="18"/>
        <v>0</v>
      </c>
    </row>
    <row r="45" spans="1:49" x14ac:dyDescent="0.2">
      <c r="A45" s="538" t="str">
        <f>IF(Input!Q40&lt;&gt;1,"",IF(ISERROR(VLOOKUP(CONCATENATE(Input!D40," - Crushing Blow - ",$W$1," - 1"),N:N,1,FALSE)),Input!D40,IF(RIGHT(VLOOKUP(CONCATENATE(Input!D40," - Crushing Blow - ",$W$1," - 1"),N:N,1,FALSE),1)="1","",Input!D40)))</f>
        <v/>
      </c>
      <c r="B45" s="411" t="str">
        <f>IF(Input!Q40&lt;&gt;1,"",IF(ISERROR(VLOOKUP(CONCATENATE(Input!D40," - Crushing Blow - ",$W$1," - 1"),N:N,1,FALSE)),"Crushing Blow",IF(RIGHT(VLOOKUP(CONCATENATE(Input!D40," - Crushing Blow - ",$W$1," - 1"),N:N,1,FALSE),1)="1","","Crushing Blow")))</f>
        <v/>
      </c>
      <c r="C45" s="411" t="str">
        <f>IF(Input!Q40&lt;&gt;1,"",IF(ISERROR(VLOOKUP(CONCATENATE(Input!D40," - Crushing Blow - ",$W$1," - 1"),N:N,1,FALSE)),$W$1,IF(RIGHT(VLOOKUP(CONCATENATE(Input!D40," - Crushing Blow - ",$W$1," - 1"),N:N,1,FALSE),1)="1","",$W$1)))</f>
        <v/>
      </c>
      <c r="D45" s="411" t="str">
        <f>IF(Input!Q40&lt;&gt;1,"",IF(ISERROR(VLOOKUP(CONCATENATE(Input!D40," - Crushing Blow - ",$W$1," - 1"),N:N,1,FALSE)),Input!$B$18,IF(RIGHT(VLOOKUP(CONCATENATE(Input!D40," - Crushing Blow - ",$W$1," - 1"),N:N,1,FALSE),1)="1","",Input!$B$18)))</f>
        <v/>
      </c>
      <c r="E45" s="411" t="str">
        <f>IF(Input!Q40&lt;&gt;1,"",IF(ISERROR(VLOOKUP(CONCATENATE(Input!D40," - Crushing Blow - ",$W$1," - 1"),N:N,1,FALSE)),D45+3,IF(RIGHT(VLOOKUP(CONCATENATE(Input!D40," - Crushing Blow - ",$W$1," - 1"),N:N,1,FALSE),1)="1","",D45+3)))</f>
        <v/>
      </c>
      <c r="F45" s="540" t="str">
        <f>IF(Input!Q40&lt;&gt;1,"",IF(ISERROR(VLOOKUP(CONCATENATE(Input!D40," - Crushing Blow - ",$W$1," - 1"),N:N,1,FALSE)),VLOOKUP(Input!D40,Math!$A$13:$AM$18,12,FALSE)*-0.75,IF(RIGHT(VLOOKUP(CONCATENATE(Input!D40," - Crushing Blow - ",$W$1," - 1"),N:N,1,FALSE),1)="1","",VLOOKUP(Input!D40,Math!$A$13:$AM$18,12,FALSE)*-0.75)))</f>
        <v/>
      </c>
      <c r="G45" s="535"/>
      <c r="H45" s="536"/>
      <c r="I45" s="536"/>
      <c r="J45" s="536"/>
      <c r="K45" s="536"/>
      <c r="L45" s="537"/>
      <c r="M45" s="412">
        <f>IF(K45&gt;=Input!$B$18,1,0)</f>
        <v>0</v>
      </c>
      <c r="N45" s="159" t="str">
        <f t="shared" si="0"/>
        <v xml:space="preserve"> -  -  - 0</v>
      </c>
      <c r="O45" s="159">
        <f t="shared" si="1"/>
        <v>0</v>
      </c>
      <c r="Q45" s="159">
        <f t="shared" si="2"/>
        <v>0</v>
      </c>
      <c r="S45" s="159">
        <f t="shared" si="3"/>
        <v>0</v>
      </c>
      <c r="U45" s="159">
        <f t="shared" si="4"/>
        <v>0</v>
      </c>
      <c r="W45" s="159">
        <f t="shared" si="5"/>
        <v>0</v>
      </c>
      <c r="Y45" s="159">
        <f t="shared" si="6"/>
        <v>0</v>
      </c>
      <c r="AA45" s="159">
        <f t="shared" si="7"/>
        <v>0</v>
      </c>
      <c r="AC45" s="159">
        <f t="shared" si="8"/>
        <v>0</v>
      </c>
      <c r="AE45" s="159">
        <f t="shared" si="9"/>
        <v>0</v>
      </c>
      <c r="AG45" s="159">
        <f t="shared" si="10"/>
        <v>0</v>
      </c>
      <c r="AI45" s="159">
        <f t="shared" si="11"/>
        <v>0</v>
      </c>
      <c r="AK45" s="159">
        <f t="shared" si="12"/>
        <v>0</v>
      </c>
      <c r="AM45" s="159">
        <f t="shared" si="13"/>
        <v>0</v>
      </c>
      <c r="AO45" s="159">
        <f t="shared" si="14"/>
        <v>0</v>
      </c>
      <c r="AQ45" s="159">
        <f t="shared" si="15"/>
        <v>0</v>
      </c>
      <c r="AS45" s="159">
        <f t="shared" si="16"/>
        <v>0</v>
      </c>
      <c r="AU45" s="159">
        <f t="shared" si="17"/>
        <v>0</v>
      </c>
      <c r="AW45" s="159">
        <f t="shared" si="18"/>
        <v>0</v>
      </c>
    </row>
    <row r="46" spans="1:49" x14ac:dyDescent="0.2">
      <c r="A46" s="538" t="str">
        <f>IF(Input!Q41&lt;&gt;1,"",IF(ISERROR(VLOOKUP(CONCATENATE(Input!D41," - Crushing Blow - ",$W$1," - 1"),N:N,1,FALSE)),Input!D41,IF(RIGHT(VLOOKUP(CONCATENATE(Input!D41," - Crushing Blow - ",$W$1," - 1"),N:N,1,FALSE),1)="1","",Input!D41)))</f>
        <v/>
      </c>
      <c r="B46" s="411" t="str">
        <f>IF(Input!Q41&lt;&gt;1,"",IF(ISERROR(VLOOKUP(CONCATENATE(Input!D41," - Crushing Blow - ",$W$1," - 1"),N:N,1,FALSE)),"Crushing Blow",IF(RIGHT(VLOOKUP(CONCATENATE(Input!D41," - Crushing Blow - ",$W$1," - 1"),N:N,1,FALSE),1)="1","","Crushing Blow")))</f>
        <v/>
      </c>
      <c r="C46" s="411" t="str">
        <f>IF(Input!Q41&lt;&gt;1,"",IF(ISERROR(VLOOKUP(CONCATENATE(Input!D41," - Crushing Blow - ",$W$1," - 1"),N:N,1,FALSE)),$W$1,IF(RIGHT(VLOOKUP(CONCATENATE(Input!D41," - Crushing Blow - ",$W$1," - 1"),N:N,1,FALSE),1)="1","",$W$1)))</f>
        <v/>
      </c>
      <c r="D46" s="411" t="str">
        <f>IF(Input!Q41&lt;&gt;1,"",IF(ISERROR(VLOOKUP(CONCATENATE(Input!D41," - Crushing Blow - ",$W$1," - 1"),N:N,1,FALSE)),Input!$B$18,IF(RIGHT(VLOOKUP(CONCATENATE(Input!D41," - Crushing Blow - ",$W$1," - 1"),N:N,1,FALSE),1)="1","",Input!$B$18)))</f>
        <v/>
      </c>
      <c r="E46" s="411" t="str">
        <f>IF(Input!Q41&lt;&gt;1,"",IF(ISERROR(VLOOKUP(CONCATENATE(Input!D41," - Crushing Blow - ",$W$1," - 1"),N:N,1,FALSE)),D46+3,IF(RIGHT(VLOOKUP(CONCATENATE(Input!D41," - Crushing Blow - ",$W$1," - 1"),N:N,1,FALSE),1)="1","",D46+3)))</f>
        <v/>
      </c>
      <c r="F46" s="540" t="str">
        <f>IF(Input!Q41&lt;&gt;1,"",IF(ISERROR(VLOOKUP(CONCATENATE(Input!D41," - Crushing Blow - ",$W$1," - 1"),N:N,1,FALSE)),VLOOKUP(Input!D41,Math!$A$13:$AM$18,12,FALSE)*-0.75,IF(RIGHT(VLOOKUP(CONCATENATE(Input!D41," - Crushing Blow - ",$W$1," - 1"),N:N,1,FALSE),1)="1","",VLOOKUP(Input!D41,Math!$A$13:$AM$18,12,FALSE)*-0.75)))</f>
        <v/>
      </c>
      <c r="G46" s="535"/>
      <c r="H46" s="536"/>
      <c r="I46" s="536"/>
      <c r="J46" s="536"/>
      <c r="K46" s="536"/>
      <c r="L46" s="537"/>
      <c r="M46" s="412">
        <f>IF(K46&gt;=Input!$B$18,1,0)</f>
        <v>0</v>
      </c>
      <c r="N46" s="159" t="str">
        <f t="shared" si="0"/>
        <v xml:space="preserve"> -  -  - 0</v>
      </c>
      <c r="O46" s="159">
        <f t="shared" si="1"/>
        <v>0</v>
      </c>
      <c r="Q46" s="159">
        <f t="shared" si="2"/>
        <v>0</v>
      </c>
      <c r="S46" s="159">
        <f t="shared" si="3"/>
        <v>0</v>
      </c>
      <c r="U46" s="159">
        <f t="shared" si="4"/>
        <v>0</v>
      </c>
      <c r="W46" s="159">
        <f t="shared" si="5"/>
        <v>0</v>
      </c>
      <c r="Y46" s="159">
        <f t="shared" si="6"/>
        <v>0</v>
      </c>
      <c r="AA46" s="159">
        <f t="shared" si="7"/>
        <v>0</v>
      </c>
      <c r="AC46" s="159">
        <f t="shared" si="8"/>
        <v>0</v>
      </c>
      <c r="AE46" s="159">
        <f t="shared" si="9"/>
        <v>0</v>
      </c>
      <c r="AG46" s="159">
        <f t="shared" si="10"/>
        <v>0</v>
      </c>
      <c r="AI46" s="159">
        <f t="shared" si="11"/>
        <v>0</v>
      </c>
      <c r="AK46" s="159">
        <f t="shared" si="12"/>
        <v>0</v>
      </c>
      <c r="AM46" s="159">
        <f t="shared" si="13"/>
        <v>0</v>
      </c>
      <c r="AO46" s="159">
        <f t="shared" si="14"/>
        <v>0</v>
      </c>
      <c r="AQ46" s="159">
        <f t="shared" si="15"/>
        <v>0</v>
      </c>
      <c r="AS46" s="159">
        <f t="shared" si="16"/>
        <v>0</v>
      </c>
      <c r="AU46" s="159">
        <f t="shared" si="17"/>
        <v>0</v>
      </c>
      <c r="AW46" s="159">
        <f t="shared" si="18"/>
        <v>0</v>
      </c>
    </row>
    <row r="47" spans="1:49" x14ac:dyDescent="0.2">
      <c r="A47" s="538" t="str">
        <f>IF(Input!Q42&lt;&gt;1,"",IF(ISERROR(VLOOKUP(CONCATENATE(Input!D42," - Crushing Blow - ",$W$1," - 1"),N:N,1,FALSE)),Input!D42,IF(RIGHT(VLOOKUP(CONCATENATE(Input!D42," - Crushing Blow - ",$W$1," - 1"),N:N,1,FALSE),1)="1","",Input!D42)))</f>
        <v/>
      </c>
      <c r="B47" s="411" t="str">
        <f>IF(Input!Q42&lt;&gt;1,"",IF(ISERROR(VLOOKUP(CONCATENATE(Input!D42," - Crushing Blow - ",$W$1," - 1"),N:N,1,FALSE)),"Crushing Blow",IF(RIGHT(VLOOKUP(CONCATENATE(Input!D42," - Crushing Blow - ",$W$1," - 1"),N:N,1,FALSE),1)="1","","Crushing Blow")))</f>
        <v/>
      </c>
      <c r="C47" s="411" t="str">
        <f>IF(Input!Q42&lt;&gt;1,"",IF(ISERROR(VLOOKUP(CONCATENATE(Input!D42," - Crushing Blow - ",$W$1," - 1"),N:N,1,FALSE)),$W$1,IF(RIGHT(VLOOKUP(CONCATENATE(Input!D42," - Crushing Blow - ",$W$1," - 1"),N:N,1,FALSE),1)="1","",$W$1)))</f>
        <v/>
      </c>
      <c r="D47" s="411" t="str">
        <f>IF(Input!Q42&lt;&gt;1,"",IF(ISERROR(VLOOKUP(CONCATENATE(Input!D42," - Crushing Blow - ",$W$1," - 1"),N:N,1,FALSE)),Input!$B$18,IF(RIGHT(VLOOKUP(CONCATENATE(Input!D42," - Crushing Blow - ",$W$1," - 1"),N:N,1,FALSE),1)="1","",Input!$B$18)))</f>
        <v/>
      </c>
      <c r="E47" s="411" t="str">
        <f>IF(Input!Q42&lt;&gt;1,"",IF(ISERROR(VLOOKUP(CONCATENATE(Input!D42," - Crushing Blow - ",$W$1," - 1"),N:N,1,FALSE)),D47+3,IF(RIGHT(VLOOKUP(CONCATENATE(Input!D42," - Crushing Blow - ",$W$1," - 1"),N:N,1,FALSE),1)="1","",D47+3)))</f>
        <v/>
      </c>
      <c r="F47" s="540" t="str">
        <f>IF(Input!Q42&lt;&gt;1,"",IF(ISERROR(VLOOKUP(CONCATENATE(Input!D42," - Crushing Blow - ",$W$1," - 1"),N:N,1,FALSE)),VLOOKUP(Input!D42,Math!$A$13:$AM$18,12,FALSE)*-0.75,IF(RIGHT(VLOOKUP(CONCATENATE(Input!D42," - Crushing Blow - ",$W$1," - 1"),N:N,1,FALSE),1)="1","",VLOOKUP(Input!D42,Math!$A$13:$AM$18,12,FALSE)*-0.75)))</f>
        <v/>
      </c>
      <c r="G47" s="535"/>
      <c r="H47" s="536"/>
      <c r="I47" s="536"/>
      <c r="J47" s="536"/>
      <c r="K47" s="536"/>
      <c r="L47" s="537"/>
      <c r="M47" s="412">
        <f>IF(K47&gt;=Input!$B$18,1,0)</f>
        <v>0</v>
      </c>
      <c r="N47" s="159" t="str">
        <f t="shared" si="0"/>
        <v xml:space="preserve"> -  -  - 0</v>
      </c>
      <c r="O47" s="159">
        <f t="shared" si="1"/>
        <v>0</v>
      </c>
      <c r="Q47" s="159">
        <f t="shared" si="2"/>
        <v>0</v>
      </c>
      <c r="S47" s="159">
        <f t="shared" si="3"/>
        <v>0</v>
      </c>
      <c r="U47" s="159">
        <f t="shared" si="4"/>
        <v>0</v>
      </c>
      <c r="W47" s="159">
        <f t="shared" si="5"/>
        <v>0</v>
      </c>
      <c r="Y47" s="159">
        <f t="shared" si="6"/>
        <v>0</v>
      </c>
      <c r="AA47" s="159">
        <f t="shared" si="7"/>
        <v>0</v>
      </c>
      <c r="AC47" s="159">
        <f t="shared" si="8"/>
        <v>0</v>
      </c>
      <c r="AE47" s="159">
        <f t="shared" si="9"/>
        <v>0</v>
      </c>
      <c r="AG47" s="159">
        <f t="shared" si="10"/>
        <v>0</v>
      </c>
      <c r="AI47" s="159">
        <f t="shared" si="11"/>
        <v>0</v>
      </c>
      <c r="AK47" s="159">
        <f t="shared" si="12"/>
        <v>0</v>
      </c>
      <c r="AM47" s="159">
        <f t="shared" si="13"/>
        <v>0</v>
      </c>
      <c r="AO47" s="159">
        <f t="shared" si="14"/>
        <v>0</v>
      </c>
      <c r="AQ47" s="159">
        <f t="shared" si="15"/>
        <v>0</v>
      </c>
      <c r="AS47" s="159">
        <f t="shared" si="16"/>
        <v>0</v>
      </c>
      <c r="AU47" s="159">
        <f t="shared" si="17"/>
        <v>0</v>
      </c>
      <c r="AW47" s="159">
        <f t="shared" si="18"/>
        <v>0</v>
      </c>
    </row>
    <row r="48" spans="1:49" x14ac:dyDescent="0.2">
      <c r="A48" s="538" t="str">
        <f>IF(Input!Q43&lt;&gt;1,"",IF(ISERROR(VLOOKUP(CONCATENATE(Input!D43," - Crushing Blow - ",$W$1," - 1"),N:N,1,FALSE)),Input!D43,IF(RIGHT(VLOOKUP(CONCATENATE(Input!D43," - Crushing Blow - ",$W$1," - 1"),N:N,1,FALSE),1)="1","",Input!D43)))</f>
        <v/>
      </c>
      <c r="B48" s="411" t="str">
        <f>IF(Input!Q43&lt;&gt;1,"",IF(ISERROR(VLOOKUP(CONCATENATE(Input!D43," - Crushing Blow - ",$W$1," - 1"),N:N,1,FALSE)),"Crushing Blow",IF(RIGHT(VLOOKUP(CONCATENATE(Input!D43," - Crushing Blow - ",$W$1," - 1"),N:N,1,FALSE),1)="1","","Crushing Blow")))</f>
        <v/>
      </c>
      <c r="C48" s="411" t="str">
        <f>IF(Input!Q43&lt;&gt;1,"",IF(ISERROR(VLOOKUP(CONCATENATE(Input!D43," - Crushing Blow - ",$W$1," - 1"),N:N,1,FALSE)),$W$1,IF(RIGHT(VLOOKUP(CONCATENATE(Input!D43," - Crushing Blow - ",$W$1," - 1"),N:N,1,FALSE),1)="1","",$W$1)))</f>
        <v/>
      </c>
      <c r="D48" s="411" t="str">
        <f>IF(Input!Q43&lt;&gt;1,"",IF(ISERROR(VLOOKUP(CONCATENATE(Input!D43," - Crushing Blow - ",$W$1," - 1"),N:N,1,FALSE)),Input!$B$18,IF(RIGHT(VLOOKUP(CONCATENATE(Input!D43," - Crushing Blow - ",$W$1," - 1"),N:N,1,FALSE),1)="1","",Input!$B$18)))</f>
        <v/>
      </c>
      <c r="E48" s="411" t="str">
        <f>IF(Input!Q43&lt;&gt;1,"",IF(ISERROR(VLOOKUP(CONCATENATE(Input!D43," - Crushing Blow - ",$W$1," - 1"),N:N,1,FALSE)),D48+3,IF(RIGHT(VLOOKUP(CONCATENATE(Input!D43," - Crushing Blow - ",$W$1," - 1"),N:N,1,FALSE),1)="1","",D48+3)))</f>
        <v/>
      </c>
      <c r="F48" s="540" t="str">
        <f>IF(Input!Q43&lt;&gt;1,"",IF(ISERROR(VLOOKUP(CONCATENATE(Input!D43," - Crushing Blow - ",$W$1," - 1"),N:N,1,FALSE)),VLOOKUP(Input!D43,Math!$A$13:$AM$18,12,FALSE)*-0.75,IF(RIGHT(VLOOKUP(CONCATENATE(Input!D43," - Crushing Blow - ",$W$1," - 1"),N:N,1,FALSE),1)="1","",VLOOKUP(Input!D43,Math!$A$13:$AM$18,12,FALSE)*-0.75)))</f>
        <v/>
      </c>
      <c r="G48" s="535"/>
      <c r="H48" s="536"/>
      <c r="I48" s="536"/>
      <c r="J48" s="536"/>
      <c r="K48" s="536"/>
      <c r="L48" s="537"/>
      <c r="M48" s="412">
        <f>IF(K48&gt;=Input!$B$18,1,0)</f>
        <v>0</v>
      </c>
      <c r="N48" s="159" t="str">
        <f t="shared" si="0"/>
        <v xml:space="preserve"> -  -  - 0</v>
      </c>
      <c r="O48" s="159">
        <f t="shared" si="1"/>
        <v>0</v>
      </c>
      <c r="Q48" s="159">
        <f t="shared" si="2"/>
        <v>0</v>
      </c>
      <c r="S48" s="159">
        <f t="shared" si="3"/>
        <v>0</v>
      </c>
      <c r="U48" s="159">
        <f t="shared" si="4"/>
        <v>0</v>
      </c>
      <c r="W48" s="159">
        <f t="shared" si="5"/>
        <v>0</v>
      </c>
      <c r="Y48" s="159">
        <f t="shared" si="6"/>
        <v>0</v>
      </c>
      <c r="AA48" s="159">
        <f t="shared" si="7"/>
        <v>0</v>
      </c>
      <c r="AC48" s="159">
        <f t="shared" si="8"/>
        <v>0</v>
      </c>
      <c r="AE48" s="159">
        <f t="shared" si="9"/>
        <v>0</v>
      </c>
      <c r="AG48" s="159">
        <f t="shared" si="10"/>
        <v>0</v>
      </c>
      <c r="AI48" s="159">
        <f t="shared" si="11"/>
        <v>0</v>
      </c>
      <c r="AK48" s="159">
        <f t="shared" si="12"/>
        <v>0</v>
      </c>
      <c r="AM48" s="159">
        <f t="shared" si="13"/>
        <v>0</v>
      </c>
      <c r="AO48" s="159">
        <f t="shared" si="14"/>
        <v>0</v>
      </c>
      <c r="AQ48" s="159">
        <f t="shared" si="15"/>
        <v>0</v>
      </c>
      <c r="AS48" s="159">
        <f t="shared" si="16"/>
        <v>0</v>
      </c>
      <c r="AU48" s="159">
        <f t="shared" si="17"/>
        <v>0</v>
      </c>
      <c r="AW48" s="159">
        <f t="shared" si="18"/>
        <v>0</v>
      </c>
    </row>
    <row r="49" spans="1:49" x14ac:dyDescent="0.2">
      <c r="A49" s="538" t="str">
        <f>IF(Input!Q44&lt;&gt;1,"",IF(ISERROR(VLOOKUP(CONCATENATE(Input!D44," - Crushing Blow - ",$W$1," - 1"),N:N,1,FALSE)),Input!D44,IF(RIGHT(VLOOKUP(CONCATENATE(Input!D44," - Crushing Blow - ",$W$1," - 1"),N:N,1,FALSE),1)="1","",Input!D44)))</f>
        <v/>
      </c>
      <c r="B49" s="411" t="str">
        <f>IF(Input!Q44&lt;&gt;1,"",IF(ISERROR(VLOOKUP(CONCATENATE(Input!D44," - Crushing Blow - ",$W$1," - 1"),N:N,1,FALSE)),"Crushing Blow",IF(RIGHT(VLOOKUP(CONCATENATE(Input!D44," - Crushing Blow - ",$W$1," - 1"),N:N,1,FALSE),1)="1","","Crushing Blow")))</f>
        <v/>
      </c>
      <c r="C49" s="411" t="str">
        <f>IF(Input!Q44&lt;&gt;1,"",IF(ISERROR(VLOOKUP(CONCATENATE(Input!D44," - Crushing Blow - ",$W$1," - 1"),N:N,1,FALSE)),$W$1,IF(RIGHT(VLOOKUP(CONCATENATE(Input!D44," - Crushing Blow - ",$W$1," - 1"),N:N,1,FALSE),1)="1","",$W$1)))</f>
        <v/>
      </c>
      <c r="D49" s="411" t="str">
        <f>IF(Input!Q44&lt;&gt;1,"",IF(ISERROR(VLOOKUP(CONCATENATE(Input!D44," - Crushing Blow - ",$W$1," - 1"),N:N,1,FALSE)),Input!$B$18,IF(RIGHT(VLOOKUP(CONCATENATE(Input!D44," - Crushing Blow - ",$W$1," - 1"),N:N,1,FALSE),1)="1","",Input!$B$18)))</f>
        <v/>
      </c>
      <c r="E49" s="411" t="str">
        <f>IF(Input!Q44&lt;&gt;1,"",IF(ISERROR(VLOOKUP(CONCATENATE(Input!D44," - Crushing Blow - ",$W$1," - 1"),N:N,1,FALSE)),D49+3,IF(RIGHT(VLOOKUP(CONCATENATE(Input!D44," - Crushing Blow - ",$W$1," - 1"),N:N,1,FALSE),1)="1","",D49+3)))</f>
        <v/>
      </c>
      <c r="F49" s="540" t="str">
        <f>IF(Input!Q44&lt;&gt;1,"",IF(ISERROR(VLOOKUP(CONCATENATE(Input!D44," - Crushing Blow - ",$W$1," - 1"),N:N,1,FALSE)),VLOOKUP(Input!D44,Math!$A$13:$AM$18,12,FALSE)*-0.75,IF(RIGHT(VLOOKUP(CONCATENATE(Input!D44," - Crushing Blow - ",$W$1," - 1"),N:N,1,FALSE),1)="1","",VLOOKUP(Input!D44,Math!$A$13:$AM$18,12,FALSE)*-0.75)))</f>
        <v/>
      </c>
      <c r="G49" s="535"/>
      <c r="H49" s="536"/>
      <c r="I49" s="536"/>
      <c r="J49" s="536"/>
      <c r="K49" s="536"/>
      <c r="L49" s="537"/>
      <c r="M49" s="412">
        <f>IF(K49&gt;=Input!$B$18,1,0)</f>
        <v>0</v>
      </c>
      <c r="N49" s="159" t="str">
        <f t="shared" si="0"/>
        <v xml:space="preserve"> -  -  - 0</v>
      </c>
      <c r="O49" s="159">
        <f t="shared" si="1"/>
        <v>0</v>
      </c>
      <c r="Q49" s="159">
        <f t="shared" si="2"/>
        <v>0</v>
      </c>
      <c r="S49" s="159">
        <f t="shared" si="3"/>
        <v>0</v>
      </c>
      <c r="U49" s="159">
        <f t="shared" si="4"/>
        <v>0</v>
      </c>
      <c r="W49" s="159">
        <f t="shared" si="5"/>
        <v>0</v>
      </c>
      <c r="Y49" s="159">
        <f t="shared" si="6"/>
        <v>0</v>
      </c>
      <c r="AA49" s="159">
        <f t="shared" si="7"/>
        <v>0</v>
      </c>
      <c r="AC49" s="159">
        <f t="shared" si="8"/>
        <v>0</v>
      </c>
      <c r="AE49" s="159">
        <f t="shared" si="9"/>
        <v>0</v>
      </c>
      <c r="AG49" s="159">
        <f t="shared" si="10"/>
        <v>0</v>
      </c>
      <c r="AI49" s="159">
        <f t="shared" si="11"/>
        <v>0</v>
      </c>
      <c r="AK49" s="159">
        <f t="shared" si="12"/>
        <v>0</v>
      </c>
      <c r="AM49" s="159">
        <f t="shared" si="13"/>
        <v>0</v>
      </c>
      <c r="AO49" s="159">
        <f t="shared" si="14"/>
        <v>0</v>
      </c>
      <c r="AQ49" s="159">
        <f t="shared" si="15"/>
        <v>0</v>
      </c>
      <c r="AS49" s="159">
        <f t="shared" si="16"/>
        <v>0</v>
      </c>
      <c r="AU49" s="159">
        <f t="shared" si="17"/>
        <v>0</v>
      </c>
      <c r="AW49" s="159">
        <f t="shared" si="18"/>
        <v>0</v>
      </c>
    </row>
    <row r="50" spans="1:49" x14ac:dyDescent="0.2">
      <c r="A50" s="538" t="str">
        <f>IF(Input!Q45&lt;&gt;1,"",IF(ISERROR(VLOOKUP(CONCATENATE(Input!D45," - Crushing Blow - ",$W$1," - 1"),N:N,1,FALSE)),Input!D45,IF(RIGHT(VLOOKUP(CONCATENATE(Input!D45," - Crushing Blow - ",$W$1," - 1"),N:N,1,FALSE),1)="1","",Input!D45)))</f>
        <v/>
      </c>
      <c r="B50" s="411" t="str">
        <f>IF(Input!Q45&lt;&gt;1,"",IF(ISERROR(VLOOKUP(CONCATENATE(Input!D45," - Crushing Blow - ",$W$1," - 1"),N:N,1,FALSE)),"Crushing Blow",IF(RIGHT(VLOOKUP(CONCATENATE(Input!D45," - Crushing Blow - ",$W$1," - 1"),N:N,1,FALSE),1)="1","","Crushing Blow")))</f>
        <v/>
      </c>
      <c r="C50" s="411" t="str">
        <f>IF(Input!Q45&lt;&gt;1,"",IF(ISERROR(VLOOKUP(CONCATENATE(Input!D45," - Crushing Blow - ",$W$1," - 1"),N:N,1,FALSE)),$W$1,IF(RIGHT(VLOOKUP(CONCATENATE(Input!D45," - Crushing Blow - ",$W$1," - 1"),N:N,1,FALSE),1)="1","",$W$1)))</f>
        <v/>
      </c>
      <c r="D50" s="411" t="str">
        <f>IF(Input!Q45&lt;&gt;1,"",IF(ISERROR(VLOOKUP(CONCATENATE(Input!D45," - Crushing Blow - ",$W$1," - 1"),N:N,1,FALSE)),Input!$B$18,IF(RIGHT(VLOOKUP(CONCATENATE(Input!D45," - Crushing Blow - ",$W$1," - 1"),N:N,1,FALSE),1)="1","",Input!$B$18)))</f>
        <v/>
      </c>
      <c r="E50" s="411" t="str">
        <f>IF(Input!Q45&lt;&gt;1,"",IF(ISERROR(VLOOKUP(CONCATENATE(Input!D45," - Crushing Blow - ",$W$1," - 1"),N:N,1,FALSE)),D50+3,IF(RIGHT(VLOOKUP(CONCATENATE(Input!D45," - Crushing Blow - ",$W$1," - 1"),N:N,1,FALSE),1)="1","",D50+3)))</f>
        <v/>
      </c>
      <c r="F50" s="540" t="str">
        <f>IF(Input!Q45&lt;&gt;1,"",IF(ISERROR(VLOOKUP(CONCATENATE(Input!D45," - Crushing Blow - ",$W$1," - 1"),N:N,1,FALSE)),VLOOKUP(Input!D45,Math!$A$13:$AM$18,12,FALSE)*-0.75,IF(RIGHT(VLOOKUP(CONCATENATE(Input!D45," - Crushing Blow - ",$W$1," - 1"),N:N,1,FALSE),1)="1","",VLOOKUP(Input!D45,Math!$A$13:$AM$18,12,FALSE)*-0.75)))</f>
        <v/>
      </c>
      <c r="G50" s="535"/>
      <c r="H50" s="536"/>
      <c r="I50" s="536"/>
      <c r="J50" s="536"/>
      <c r="K50" s="536"/>
      <c r="L50" s="537"/>
      <c r="M50" s="412">
        <f>IF(K50&gt;=Input!$B$18,1,0)</f>
        <v>0</v>
      </c>
      <c r="N50" s="159" t="str">
        <f t="shared" si="0"/>
        <v xml:space="preserve"> -  -  - 0</v>
      </c>
      <c r="O50" s="159">
        <f t="shared" si="1"/>
        <v>0</v>
      </c>
      <c r="Q50" s="159">
        <f t="shared" si="2"/>
        <v>0</v>
      </c>
      <c r="S50" s="159">
        <f t="shared" si="3"/>
        <v>0</v>
      </c>
      <c r="U50" s="159">
        <f t="shared" si="4"/>
        <v>0</v>
      </c>
      <c r="W50" s="159">
        <f t="shared" si="5"/>
        <v>0</v>
      </c>
      <c r="Y50" s="159">
        <f t="shared" si="6"/>
        <v>0</v>
      </c>
      <c r="AA50" s="159">
        <f t="shared" si="7"/>
        <v>0</v>
      </c>
      <c r="AC50" s="159">
        <f t="shared" si="8"/>
        <v>0</v>
      </c>
      <c r="AE50" s="159">
        <f t="shared" si="9"/>
        <v>0</v>
      </c>
      <c r="AG50" s="159">
        <f t="shared" si="10"/>
        <v>0</v>
      </c>
      <c r="AI50" s="159">
        <f t="shared" si="11"/>
        <v>0</v>
      </c>
      <c r="AK50" s="159">
        <f t="shared" si="12"/>
        <v>0</v>
      </c>
      <c r="AM50" s="159">
        <f t="shared" si="13"/>
        <v>0</v>
      </c>
      <c r="AO50" s="159">
        <f t="shared" si="14"/>
        <v>0</v>
      </c>
      <c r="AQ50" s="159">
        <f t="shared" si="15"/>
        <v>0</v>
      </c>
      <c r="AS50" s="159">
        <f t="shared" si="16"/>
        <v>0</v>
      </c>
      <c r="AU50" s="159">
        <f t="shared" si="17"/>
        <v>0</v>
      </c>
      <c r="AW50" s="159">
        <f t="shared" si="18"/>
        <v>0</v>
      </c>
    </row>
    <row r="51" spans="1:49" x14ac:dyDescent="0.2">
      <c r="A51" s="538" t="str">
        <f>IF(Input!Q46&lt;&gt;1,"",IF(ISERROR(VLOOKUP(CONCATENATE(Input!D46," - Crushing Blow - ",$W$1," - 1"),N:N,1,FALSE)),Input!D46,IF(RIGHT(VLOOKUP(CONCATENATE(Input!D46," - Crushing Blow - ",$W$1," - 1"),N:N,1,FALSE),1)="1","",Input!D46)))</f>
        <v/>
      </c>
      <c r="B51" s="411" t="str">
        <f>IF(Input!Q46&lt;&gt;1,"",IF(ISERROR(VLOOKUP(CONCATENATE(Input!D46," - Crushing Blow - ",$W$1," - 1"),N:N,1,FALSE)),"Crushing Blow",IF(RIGHT(VLOOKUP(CONCATENATE(Input!D46," - Crushing Blow - ",$W$1," - 1"),N:N,1,FALSE),1)="1","","Crushing Blow")))</f>
        <v/>
      </c>
      <c r="C51" s="411" t="str">
        <f>IF(Input!Q46&lt;&gt;1,"",IF(ISERROR(VLOOKUP(CONCATENATE(Input!D46," - Crushing Blow - ",$W$1," - 1"),N:N,1,FALSE)),$W$1,IF(RIGHT(VLOOKUP(CONCATENATE(Input!D46," - Crushing Blow - ",$W$1," - 1"),N:N,1,FALSE),1)="1","",$W$1)))</f>
        <v/>
      </c>
      <c r="D51" s="411" t="str">
        <f>IF(Input!Q46&lt;&gt;1,"",IF(ISERROR(VLOOKUP(CONCATENATE(Input!D46," - Crushing Blow - ",$W$1," - 1"),N:N,1,FALSE)),Input!$B$18,IF(RIGHT(VLOOKUP(CONCATENATE(Input!D46," - Crushing Blow - ",$W$1," - 1"),N:N,1,FALSE),1)="1","",Input!$B$18)))</f>
        <v/>
      </c>
      <c r="E51" s="411" t="str">
        <f>IF(Input!Q46&lt;&gt;1,"",IF(ISERROR(VLOOKUP(CONCATENATE(Input!D46," - Crushing Blow - ",$W$1," - 1"),N:N,1,FALSE)),D51+3,IF(RIGHT(VLOOKUP(CONCATENATE(Input!D46," - Crushing Blow - ",$W$1," - 1"),N:N,1,FALSE),1)="1","",D51+3)))</f>
        <v/>
      </c>
      <c r="F51" s="540" t="str">
        <f>IF(Input!Q46&lt;&gt;1,"",IF(ISERROR(VLOOKUP(CONCATENATE(Input!D46," - Crushing Blow - ",$W$1," - 1"),N:N,1,FALSE)),VLOOKUP(Input!D46,Math!$A$13:$AM$18,12,FALSE)*-0.75,IF(RIGHT(VLOOKUP(CONCATENATE(Input!D46," - Crushing Blow - ",$W$1," - 1"),N:N,1,FALSE),1)="1","",VLOOKUP(Input!D46,Math!$A$13:$AM$18,12,FALSE)*-0.75)))</f>
        <v/>
      </c>
      <c r="G51" s="535"/>
      <c r="H51" s="536"/>
      <c r="I51" s="536"/>
      <c r="J51" s="536"/>
      <c r="K51" s="536"/>
      <c r="L51" s="537"/>
      <c r="M51" s="412">
        <f>IF(K51&gt;=Input!$B$18,1,0)</f>
        <v>0</v>
      </c>
      <c r="N51" s="159" t="str">
        <f t="shared" si="0"/>
        <v xml:space="preserve"> -  -  - 0</v>
      </c>
      <c r="O51" s="159">
        <f t="shared" si="1"/>
        <v>0</v>
      </c>
      <c r="Q51" s="159">
        <f t="shared" si="2"/>
        <v>0</v>
      </c>
      <c r="S51" s="159">
        <f t="shared" si="3"/>
        <v>0</v>
      </c>
      <c r="U51" s="159">
        <f t="shared" si="4"/>
        <v>0</v>
      </c>
      <c r="W51" s="159">
        <f t="shared" si="5"/>
        <v>0</v>
      </c>
      <c r="Y51" s="159">
        <f t="shared" si="6"/>
        <v>0</v>
      </c>
      <c r="AA51" s="159">
        <f t="shared" si="7"/>
        <v>0</v>
      </c>
      <c r="AC51" s="159">
        <f t="shared" si="8"/>
        <v>0</v>
      </c>
      <c r="AE51" s="159">
        <f t="shared" si="9"/>
        <v>0</v>
      </c>
      <c r="AG51" s="159">
        <f t="shared" si="10"/>
        <v>0</v>
      </c>
      <c r="AI51" s="159">
        <f t="shared" si="11"/>
        <v>0</v>
      </c>
      <c r="AK51" s="159">
        <f t="shared" si="12"/>
        <v>0</v>
      </c>
      <c r="AM51" s="159">
        <f t="shared" si="13"/>
        <v>0</v>
      </c>
      <c r="AO51" s="159">
        <f t="shared" si="14"/>
        <v>0</v>
      </c>
      <c r="AQ51" s="159">
        <f t="shared" si="15"/>
        <v>0</v>
      </c>
      <c r="AS51" s="159">
        <f t="shared" si="16"/>
        <v>0</v>
      </c>
      <c r="AU51" s="159">
        <f t="shared" si="17"/>
        <v>0</v>
      </c>
      <c r="AW51" s="159">
        <f t="shared" si="18"/>
        <v>0</v>
      </c>
    </row>
    <row r="52" spans="1:49" x14ac:dyDescent="0.2">
      <c r="A52" s="612" t="s">
        <v>429</v>
      </c>
      <c r="B52" s="574"/>
      <c r="C52" s="574"/>
      <c r="D52" s="574"/>
      <c r="E52" s="574"/>
      <c r="F52" s="575"/>
      <c r="G52" s="535"/>
      <c r="H52" s="536"/>
      <c r="I52" s="536"/>
      <c r="J52" s="536"/>
      <c r="K52" s="536"/>
      <c r="L52" s="537"/>
      <c r="M52" s="412">
        <f>IF(K52&gt;=Input!$B$18,1,0)</f>
        <v>0</v>
      </c>
      <c r="N52" s="159" t="str">
        <f t="shared" si="0"/>
        <v xml:space="preserve"> -  -  - 0</v>
      </c>
      <c r="O52" s="159">
        <f t="shared" si="1"/>
        <v>0</v>
      </c>
      <c r="Q52" s="159">
        <f t="shared" si="2"/>
        <v>0</v>
      </c>
      <c r="S52" s="159">
        <f t="shared" si="3"/>
        <v>0</v>
      </c>
      <c r="U52" s="159">
        <f t="shared" si="4"/>
        <v>0</v>
      </c>
      <c r="W52" s="159">
        <f t="shared" si="5"/>
        <v>0</v>
      </c>
      <c r="Y52" s="159">
        <f t="shared" si="6"/>
        <v>0</v>
      </c>
      <c r="AA52" s="159">
        <f t="shared" si="7"/>
        <v>0</v>
      </c>
      <c r="AC52" s="159">
        <f t="shared" si="8"/>
        <v>0</v>
      </c>
      <c r="AE52" s="159">
        <f t="shared" si="9"/>
        <v>0</v>
      </c>
      <c r="AG52" s="159">
        <f t="shared" si="10"/>
        <v>0</v>
      </c>
      <c r="AI52" s="159">
        <f t="shared" si="11"/>
        <v>0</v>
      </c>
      <c r="AK52" s="159">
        <f t="shared" si="12"/>
        <v>0</v>
      </c>
      <c r="AM52" s="159">
        <f t="shared" si="13"/>
        <v>0</v>
      </c>
      <c r="AO52" s="159">
        <f t="shared" si="14"/>
        <v>0</v>
      </c>
      <c r="AQ52" s="159">
        <f t="shared" si="15"/>
        <v>0</v>
      </c>
      <c r="AS52" s="159">
        <f t="shared" si="16"/>
        <v>0</v>
      </c>
      <c r="AU52" s="159">
        <f t="shared" si="17"/>
        <v>0</v>
      </c>
      <c r="AW52" s="159">
        <f t="shared" si="18"/>
        <v>0</v>
      </c>
    </row>
    <row r="53" spans="1:49" x14ac:dyDescent="0.2">
      <c r="A53" s="334" t="s">
        <v>109</v>
      </c>
      <c r="B53" s="397" t="s">
        <v>84</v>
      </c>
      <c r="C53" s="338" t="s">
        <v>85</v>
      </c>
      <c r="D53" s="338" t="s">
        <v>86</v>
      </c>
      <c r="E53" s="338" t="s">
        <v>87</v>
      </c>
      <c r="F53" s="534" t="s">
        <v>88</v>
      </c>
      <c r="G53" s="535"/>
      <c r="H53" s="536"/>
      <c r="I53" s="536"/>
      <c r="J53" s="536"/>
      <c r="K53" s="536"/>
      <c r="L53" s="537"/>
      <c r="M53" s="412">
        <f>IF(K53&gt;=Input!$B$18,1,0)</f>
        <v>0</v>
      </c>
      <c r="N53" s="159" t="str">
        <f t="shared" si="0"/>
        <v xml:space="preserve"> -  -  - 0</v>
      </c>
      <c r="O53" s="159">
        <f t="shared" si="1"/>
        <v>0</v>
      </c>
      <c r="Q53" s="159">
        <f t="shared" si="2"/>
        <v>0</v>
      </c>
      <c r="S53" s="159">
        <f t="shared" si="3"/>
        <v>0</v>
      </c>
      <c r="U53" s="159">
        <f t="shared" si="4"/>
        <v>0</v>
      </c>
      <c r="W53" s="159">
        <f t="shared" si="5"/>
        <v>0</v>
      </c>
      <c r="Y53" s="159">
        <f t="shared" si="6"/>
        <v>0</v>
      </c>
      <c r="AA53" s="159">
        <f t="shared" si="7"/>
        <v>0</v>
      </c>
      <c r="AC53" s="159">
        <f t="shared" si="8"/>
        <v>0</v>
      </c>
      <c r="AE53" s="159">
        <f t="shared" si="9"/>
        <v>0</v>
      </c>
      <c r="AG53" s="159">
        <f t="shared" si="10"/>
        <v>0</v>
      </c>
      <c r="AI53" s="159">
        <f t="shared" si="11"/>
        <v>0</v>
      </c>
      <c r="AK53" s="159">
        <f t="shared" si="12"/>
        <v>0</v>
      </c>
      <c r="AM53" s="159">
        <f t="shared" si="13"/>
        <v>0</v>
      </c>
      <c r="AO53" s="159">
        <f t="shared" si="14"/>
        <v>0</v>
      </c>
      <c r="AQ53" s="159">
        <f t="shared" si="15"/>
        <v>0</v>
      </c>
      <c r="AS53" s="159">
        <f t="shared" si="16"/>
        <v>0</v>
      </c>
      <c r="AU53" s="159">
        <f t="shared" si="17"/>
        <v>0</v>
      </c>
      <c r="AW53" s="159">
        <f t="shared" si="18"/>
        <v>0</v>
      </c>
    </row>
    <row r="54" spans="1:49" x14ac:dyDescent="0.2">
      <c r="A54" s="538" t="str">
        <f>IF(Input!Q32&lt;&gt;1,"",IF(ISERROR(VLOOKUP(CONCATENATE(Input!D32," - Crushing Blow - ",$Y$1," - 1"),N:N,1,FALSE)),Input!D32,IF(RIGHT(VLOOKUP(CONCATENATE(Input!D32," - Crushing Blow - ",$Y$1," - 1"),N:N,1,FALSE),1)="1","",Input!D32)))</f>
        <v/>
      </c>
      <c r="B54" s="411" t="str">
        <f>IF(Input!Q32&lt;&gt;1,"",IF(ISERROR(VLOOKUP(CONCATENATE(Input!D32," - Crushing Blow - ",$Y$1," - 1"),N:N,1,FALSE)),"Crushing Blow",IF(RIGHT(VLOOKUP(CONCATENATE(Input!D32," - Crushing Blow - ",$Y$1," - 1"),N:N,1,FALSE),1)="1","","Crushing Blow")))</f>
        <v/>
      </c>
      <c r="C54" s="411" t="str">
        <f>IF(Input!Q32&lt;&gt;1,"",IF(ISERROR(VLOOKUP(CONCATENATE(Input!D32," - Crushing Blow - ",$Y$1," - 1"),N:N,1,FALSE)),$Y$1,IF(RIGHT(VLOOKUP(CONCATENATE(Input!D32," - Crushing Blow - ",$Y$1," - 1"),N:N,1,FALSE),1)="1","",$Y$1)))</f>
        <v/>
      </c>
      <c r="D54" s="411" t="str">
        <f>IF(Input!Q32&lt;&gt;1,"",IF(ISERROR(VLOOKUP(CONCATENATE(Input!D32," - Crushing Blow - ",$Y$1," - 1"),N:N,1,FALSE)),Input!$B$18,IF(RIGHT(VLOOKUP(CONCATENATE(Input!D32," - Crushing Blow - ",$Y$1," - 1"),N:N,1,FALSE),1)="1","",Input!$B$18)))</f>
        <v/>
      </c>
      <c r="E54" s="411" t="str">
        <f>IF(Input!Q32&lt;&gt;1,"",IF(ISERROR(VLOOKUP(CONCATENATE(Input!D32," - Crushing Blow - ",$Y$1," - 1"),N:N,1,FALSE)),D54+3,IF(RIGHT(VLOOKUP(CONCATENATE(Input!D32," - Crushing Blow - ",$Y$1," - 1"),N:N,1,FALSE),1)="1","",D54+3)))</f>
        <v/>
      </c>
      <c r="F54" s="540" t="str">
        <f>IF(Input!Q32&lt;&gt;1,"",IF(ISERROR(VLOOKUP(CONCATENATE(Input!D32," - Crushing Blow - ",$Y$1," - 1"),N:N,1,FALSE)),VLOOKUP(Input!D32,Math!$A$13:$AM$18,14,FALSE)*-0.75,IF(RIGHT(VLOOKUP(CONCATENATE(Input!D32," - Crushing Blow - ",$Y$1," - 1"),N:N,1,FALSE),1)="1","",VLOOKUP(Input!D32,Math!$A$13:$AM$18,14,FALSE)*-0.75)))</f>
        <v/>
      </c>
      <c r="G54" s="535"/>
      <c r="H54" s="536"/>
      <c r="I54" s="536"/>
      <c r="J54" s="536"/>
      <c r="K54" s="536"/>
      <c r="L54" s="537"/>
      <c r="M54" s="412">
        <f>IF(K54&gt;=Input!$B$18,1,0)</f>
        <v>0</v>
      </c>
      <c r="N54" s="159" t="str">
        <f t="shared" si="0"/>
        <v xml:space="preserve"> -  -  - 0</v>
      </c>
      <c r="O54" s="159">
        <f t="shared" si="1"/>
        <v>0</v>
      </c>
      <c r="Q54" s="159">
        <f t="shared" si="2"/>
        <v>0</v>
      </c>
      <c r="S54" s="159">
        <f t="shared" si="3"/>
        <v>0</v>
      </c>
      <c r="U54" s="159">
        <f t="shared" si="4"/>
        <v>0</v>
      </c>
      <c r="W54" s="159">
        <f t="shared" si="5"/>
        <v>0</v>
      </c>
      <c r="Y54" s="159">
        <f t="shared" si="6"/>
        <v>0</v>
      </c>
      <c r="AA54" s="159">
        <f t="shared" si="7"/>
        <v>0</v>
      </c>
      <c r="AC54" s="159">
        <f t="shared" si="8"/>
        <v>0</v>
      </c>
      <c r="AE54" s="159">
        <f t="shared" si="9"/>
        <v>0</v>
      </c>
      <c r="AG54" s="159">
        <f t="shared" si="10"/>
        <v>0</v>
      </c>
      <c r="AI54" s="159">
        <f t="shared" si="11"/>
        <v>0</v>
      </c>
      <c r="AK54" s="159">
        <f t="shared" si="12"/>
        <v>0</v>
      </c>
      <c r="AM54" s="159">
        <f t="shared" si="13"/>
        <v>0</v>
      </c>
      <c r="AO54" s="159">
        <f t="shared" si="14"/>
        <v>0</v>
      </c>
      <c r="AQ54" s="159">
        <f t="shared" si="15"/>
        <v>0</v>
      </c>
      <c r="AS54" s="159">
        <f t="shared" si="16"/>
        <v>0</v>
      </c>
      <c r="AU54" s="159">
        <f t="shared" si="17"/>
        <v>0</v>
      </c>
      <c r="AW54" s="159">
        <f t="shared" si="18"/>
        <v>0</v>
      </c>
    </row>
    <row r="55" spans="1:49" x14ac:dyDescent="0.2">
      <c r="A55" s="538" t="str">
        <f>IF(Input!Q33&lt;&gt;1,"",IF(ISERROR(VLOOKUP(CONCATENATE(Input!D33," - Crushing Blow - ",$Y$1," - 1"),N:N,1,FALSE)),Input!D33,IF(RIGHT(VLOOKUP(CONCATENATE(Input!D33," - Crushing Blow - ",$Y$1," - 1"),N:N,1,FALSE),1)="1","",Input!D33)))</f>
        <v/>
      </c>
      <c r="B55" s="411" t="str">
        <f>IF(Input!Q33&lt;&gt;1,"",IF(ISERROR(VLOOKUP(CONCATENATE(Input!D33," - Crushing Blow - ",$Y$1," - 1"),N:N,1,FALSE)),"Crushing Blow",IF(RIGHT(VLOOKUP(CONCATENATE(Input!D33," - Crushing Blow - ",$Y$1," - 1"),N:N,1,FALSE),1)="1","","Crushing Blow")))</f>
        <v/>
      </c>
      <c r="C55" s="411" t="str">
        <f>IF(Input!Q33&lt;&gt;1,"",IF(ISERROR(VLOOKUP(CONCATENATE(Input!D33," - Crushing Blow - ",$Y$1," - 1"),N:N,1,FALSE)),$Y$1,IF(RIGHT(VLOOKUP(CONCATENATE(Input!D33," - Crushing Blow - ",$Y$1," - 1"),N:N,1,FALSE),1)="1","",$Y$1)))</f>
        <v/>
      </c>
      <c r="D55" s="411" t="str">
        <f>IF(Input!Q33&lt;&gt;1,"",IF(ISERROR(VLOOKUP(CONCATENATE(Input!D33," - Crushing Blow - ",$Y$1," - 1"),N:N,1,FALSE)),Input!$B$18,IF(RIGHT(VLOOKUP(CONCATENATE(Input!D33," - Crushing Blow - ",$Y$1," - 1"),N:N,1,FALSE),1)="1","",Input!$B$18)))</f>
        <v/>
      </c>
      <c r="E55" s="411" t="str">
        <f>IF(Input!Q33&lt;&gt;1,"",IF(ISERROR(VLOOKUP(CONCATENATE(Input!D33," - Crushing Blow - ",$Y$1," - 1"),N:N,1,FALSE)),D55+3,IF(RIGHT(VLOOKUP(CONCATENATE(Input!D33," - Crushing Blow - ",$Y$1," - 1"),N:N,1,FALSE),1)="1","",D55+3)))</f>
        <v/>
      </c>
      <c r="F55" s="540" t="str">
        <f>IF(Input!Q33&lt;&gt;1,"",IF(ISERROR(VLOOKUP(CONCATENATE(Input!D33," - Crushing Blow - ",$Y$1," - 1"),N:N,1,FALSE)),VLOOKUP(Input!D33,Math!$A$13:$AM$18,14,FALSE)*-0.75,IF(RIGHT(VLOOKUP(CONCATENATE(Input!D33," - Crushing Blow - ",$Y$1," - 1"),N:N,1,FALSE),1)="1","",VLOOKUP(Input!D33,Math!$A$13:$AM$18,14,FALSE)*-0.75)))</f>
        <v/>
      </c>
      <c r="G55" s="535"/>
      <c r="H55" s="536"/>
      <c r="I55" s="536"/>
      <c r="J55" s="536"/>
      <c r="K55" s="536"/>
      <c r="L55" s="537"/>
      <c r="M55" s="412">
        <f>IF(K55&gt;=Input!$B$18,1,0)</f>
        <v>0</v>
      </c>
      <c r="N55" s="159" t="str">
        <f t="shared" si="0"/>
        <v xml:space="preserve"> -  -  - 0</v>
      </c>
      <c r="O55" s="159">
        <f t="shared" si="1"/>
        <v>0</v>
      </c>
      <c r="Q55" s="159">
        <f t="shared" si="2"/>
        <v>0</v>
      </c>
      <c r="S55" s="159">
        <f t="shared" si="3"/>
        <v>0</v>
      </c>
      <c r="U55" s="159">
        <f t="shared" si="4"/>
        <v>0</v>
      </c>
      <c r="W55" s="159">
        <f t="shared" si="5"/>
        <v>0</v>
      </c>
      <c r="Y55" s="159">
        <f t="shared" si="6"/>
        <v>0</v>
      </c>
      <c r="AA55" s="159">
        <f t="shared" si="7"/>
        <v>0</v>
      </c>
      <c r="AC55" s="159">
        <f t="shared" si="8"/>
        <v>0</v>
      </c>
      <c r="AE55" s="159">
        <f t="shared" si="9"/>
        <v>0</v>
      </c>
      <c r="AG55" s="159">
        <f t="shared" si="10"/>
        <v>0</v>
      </c>
      <c r="AI55" s="159">
        <f t="shared" si="11"/>
        <v>0</v>
      </c>
      <c r="AK55" s="159">
        <f t="shared" si="12"/>
        <v>0</v>
      </c>
      <c r="AM55" s="159">
        <f t="shared" si="13"/>
        <v>0</v>
      </c>
      <c r="AO55" s="159">
        <f t="shared" si="14"/>
        <v>0</v>
      </c>
      <c r="AQ55" s="159">
        <f t="shared" si="15"/>
        <v>0</v>
      </c>
      <c r="AS55" s="159">
        <f t="shared" si="16"/>
        <v>0</v>
      </c>
      <c r="AU55" s="159">
        <f t="shared" si="17"/>
        <v>0</v>
      </c>
      <c r="AW55" s="159">
        <f t="shared" si="18"/>
        <v>0</v>
      </c>
    </row>
    <row r="56" spans="1:49" x14ac:dyDescent="0.2">
      <c r="A56" s="538" t="str">
        <f>IF(Input!Q34&lt;&gt;1,"",IF(ISERROR(VLOOKUP(CONCATENATE(Input!D34," - Crushing Blow - ",$Y$1," - 1"),N:N,1,FALSE)),Input!D34,IF(RIGHT(VLOOKUP(CONCATENATE(Input!D34," - Crushing Blow - ",$Y$1," - 1"),N:N,1,FALSE),1)="1","",Input!D34)))</f>
        <v/>
      </c>
      <c r="B56" s="411" t="str">
        <f>IF(Input!Q34&lt;&gt;1,"",IF(ISERROR(VLOOKUP(CONCATENATE(Input!D34," - Crushing Blow - ",$Y$1," - 1"),N:N,1,FALSE)),"Crushing Blow",IF(RIGHT(VLOOKUP(CONCATENATE(Input!D34," - Crushing Blow - ",$Y$1," - 1"),N:N,1,FALSE),1)="1","","Crushing Blow")))</f>
        <v/>
      </c>
      <c r="C56" s="411" t="str">
        <f>IF(Input!Q34&lt;&gt;1,"",IF(ISERROR(VLOOKUP(CONCATENATE(Input!D34," - Crushing Blow - ",$Y$1," - 1"),N:N,1,FALSE)),$Y$1,IF(RIGHT(VLOOKUP(CONCATENATE(Input!D34," - Crushing Blow - ",$Y$1," - 1"),N:N,1,FALSE),1)="1","",$Y$1)))</f>
        <v/>
      </c>
      <c r="D56" s="411" t="str">
        <f>IF(Input!Q34&lt;&gt;1,"",IF(ISERROR(VLOOKUP(CONCATENATE(Input!D34," - Crushing Blow - ",$Y$1," - 1"),N:N,1,FALSE)),Input!$B$18,IF(RIGHT(VLOOKUP(CONCATENATE(Input!D34," - Crushing Blow - ",$Y$1," - 1"),N:N,1,FALSE),1)="1","",Input!$B$18)))</f>
        <v/>
      </c>
      <c r="E56" s="411" t="str">
        <f>IF(Input!Q34&lt;&gt;1,"",IF(ISERROR(VLOOKUP(CONCATENATE(Input!D34," - Crushing Blow - ",$Y$1," - 1"),N:N,1,FALSE)),D56+3,IF(RIGHT(VLOOKUP(CONCATENATE(Input!D34," - Crushing Blow - ",$Y$1," - 1"),N:N,1,FALSE),1)="1","",D56+3)))</f>
        <v/>
      </c>
      <c r="F56" s="540" t="str">
        <f>IF(Input!Q34&lt;&gt;1,"",IF(ISERROR(VLOOKUP(CONCATENATE(Input!D34," - Crushing Blow - ",$Y$1," - 1"),N:N,1,FALSE)),VLOOKUP(Input!D34,Math!$A$13:$AM$18,14,FALSE)*-0.75,IF(RIGHT(VLOOKUP(CONCATENATE(Input!D34," - Crushing Blow - ",$Y$1," - 1"),N:N,1,FALSE),1)="1","",VLOOKUP(Input!D34,Math!$A$13:$AM$18,14,FALSE)*-0.75)))</f>
        <v/>
      </c>
      <c r="G56" s="535"/>
      <c r="H56" s="536"/>
      <c r="I56" s="536"/>
      <c r="J56" s="536"/>
      <c r="K56" s="536"/>
      <c r="L56" s="537"/>
      <c r="M56" s="412">
        <f>IF(K56&gt;=Input!$B$18,1,0)</f>
        <v>0</v>
      </c>
      <c r="N56" s="159" t="str">
        <f t="shared" si="0"/>
        <v xml:space="preserve"> -  -  - 0</v>
      </c>
      <c r="O56" s="159">
        <f t="shared" si="1"/>
        <v>0</v>
      </c>
      <c r="Q56" s="159">
        <f t="shared" si="2"/>
        <v>0</v>
      </c>
      <c r="S56" s="159">
        <f t="shared" si="3"/>
        <v>0</v>
      </c>
      <c r="U56" s="159">
        <f t="shared" si="4"/>
        <v>0</v>
      </c>
      <c r="W56" s="159">
        <f t="shared" si="5"/>
        <v>0</v>
      </c>
      <c r="Y56" s="159">
        <f t="shared" si="6"/>
        <v>0</v>
      </c>
      <c r="AA56" s="159">
        <f t="shared" si="7"/>
        <v>0</v>
      </c>
      <c r="AC56" s="159">
        <f t="shared" si="8"/>
        <v>0</v>
      </c>
      <c r="AE56" s="159">
        <f t="shared" si="9"/>
        <v>0</v>
      </c>
      <c r="AG56" s="159">
        <f t="shared" si="10"/>
        <v>0</v>
      </c>
      <c r="AI56" s="159">
        <f t="shared" si="11"/>
        <v>0</v>
      </c>
      <c r="AK56" s="159">
        <f t="shared" si="12"/>
        <v>0</v>
      </c>
      <c r="AM56" s="159">
        <f t="shared" si="13"/>
        <v>0</v>
      </c>
      <c r="AO56" s="159">
        <f t="shared" si="14"/>
        <v>0</v>
      </c>
      <c r="AQ56" s="159">
        <f t="shared" si="15"/>
        <v>0</v>
      </c>
      <c r="AS56" s="159">
        <f t="shared" si="16"/>
        <v>0</v>
      </c>
      <c r="AU56" s="159">
        <f t="shared" si="17"/>
        <v>0</v>
      </c>
      <c r="AW56" s="159">
        <f t="shared" si="18"/>
        <v>0</v>
      </c>
    </row>
    <row r="57" spans="1:49" x14ac:dyDescent="0.2">
      <c r="A57" s="538" t="str">
        <f>IF(Input!Q35&lt;&gt;1,"",IF(ISERROR(VLOOKUP(CONCATENATE(Input!D35," - Crushing Blow - ",$Y$1," - 1"),N:N,1,FALSE)),Input!D35,IF(RIGHT(VLOOKUP(CONCATENATE(Input!D35," - Crushing Blow - ",$Y$1," - 1"),N:N,1,FALSE),1)="1","",Input!D35)))</f>
        <v/>
      </c>
      <c r="B57" s="411" t="str">
        <f>IF(Input!Q35&lt;&gt;1,"",IF(ISERROR(VLOOKUP(CONCATENATE(Input!D35," - Crushing Blow - ",$Y$1," - 1"),N:N,1,FALSE)),"Crushing Blow",IF(RIGHT(VLOOKUP(CONCATENATE(Input!D35," - Crushing Blow - ",$Y$1," - 1"),N:N,1,FALSE),1)="1","","Crushing Blow")))</f>
        <v/>
      </c>
      <c r="C57" s="411" t="str">
        <f>IF(Input!Q35&lt;&gt;1,"",IF(ISERROR(VLOOKUP(CONCATENATE(Input!D35," - Crushing Blow - ",$Y$1," - 1"),N:N,1,FALSE)),$Y$1,IF(RIGHT(VLOOKUP(CONCATENATE(Input!D35," - Crushing Blow - ",$Y$1," - 1"),N:N,1,FALSE),1)="1","",$Y$1)))</f>
        <v/>
      </c>
      <c r="D57" s="411" t="str">
        <f>IF(Input!Q35&lt;&gt;1,"",IF(ISERROR(VLOOKUP(CONCATENATE(Input!D35," - Crushing Blow - ",$Y$1," - 1"),N:N,1,FALSE)),Input!$B$18,IF(RIGHT(VLOOKUP(CONCATENATE(Input!D35," - Crushing Blow - ",$Y$1," - 1"),N:N,1,FALSE),1)="1","",Input!$B$18)))</f>
        <v/>
      </c>
      <c r="E57" s="411" t="str">
        <f>IF(Input!Q35&lt;&gt;1,"",IF(ISERROR(VLOOKUP(CONCATENATE(Input!D35," - Crushing Blow - ",$Y$1," - 1"),N:N,1,FALSE)),D57+3,IF(RIGHT(VLOOKUP(CONCATENATE(Input!D35," - Crushing Blow - ",$Y$1," - 1"),N:N,1,FALSE),1)="1","",D57+3)))</f>
        <v/>
      </c>
      <c r="F57" s="540" t="str">
        <f>IF(Input!Q35&lt;&gt;1,"",IF(ISERROR(VLOOKUP(CONCATENATE(Input!D35," - Crushing Blow - ",$Y$1," - 1"),N:N,1,FALSE)),VLOOKUP(Input!D35,Math!$A$13:$AM$18,14,FALSE)*-0.75,IF(RIGHT(VLOOKUP(CONCATENATE(Input!D35," - Crushing Blow - ",$Y$1," - 1"),N:N,1,FALSE),1)="1","",VLOOKUP(Input!D35,Math!$A$13:$AM$18,14,FALSE)*-0.75)))</f>
        <v/>
      </c>
      <c r="G57" s="535"/>
      <c r="H57" s="536"/>
      <c r="I57" s="536"/>
      <c r="J57" s="536"/>
      <c r="K57" s="536"/>
      <c r="L57" s="537"/>
      <c r="M57" s="412">
        <f>IF(K57&gt;=Input!$B$18,1,0)</f>
        <v>0</v>
      </c>
      <c r="N57" s="159" t="str">
        <f t="shared" si="0"/>
        <v xml:space="preserve"> -  -  - 0</v>
      </c>
      <c r="O57" s="159">
        <f t="shared" si="1"/>
        <v>0</v>
      </c>
      <c r="Q57" s="159">
        <f t="shared" si="2"/>
        <v>0</v>
      </c>
      <c r="S57" s="159">
        <f t="shared" si="3"/>
        <v>0</v>
      </c>
      <c r="U57" s="159">
        <f t="shared" si="4"/>
        <v>0</v>
      </c>
      <c r="W57" s="159">
        <f t="shared" si="5"/>
        <v>0</v>
      </c>
      <c r="Y57" s="159">
        <f t="shared" si="6"/>
        <v>0</v>
      </c>
      <c r="AA57" s="159">
        <f t="shared" si="7"/>
        <v>0</v>
      </c>
      <c r="AC57" s="159">
        <f t="shared" si="8"/>
        <v>0</v>
      </c>
      <c r="AE57" s="159">
        <f t="shared" si="9"/>
        <v>0</v>
      </c>
      <c r="AG57" s="159">
        <f t="shared" si="10"/>
        <v>0</v>
      </c>
      <c r="AI57" s="159">
        <f t="shared" si="11"/>
        <v>0</v>
      </c>
      <c r="AK57" s="159">
        <f t="shared" si="12"/>
        <v>0</v>
      </c>
      <c r="AM57" s="159">
        <f t="shared" si="13"/>
        <v>0</v>
      </c>
      <c r="AO57" s="159">
        <f t="shared" si="14"/>
        <v>0</v>
      </c>
      <c r="AQ57" s="159">
        <f t="shared" si="15"/>
        <v>0</v>
      </c>
      <c r="AS57" s="159">
        <f t="shared" si="16"/>
        <v>0</v>
      </c>
      <c r="AU57" s="159">
        <f t="shared" si="17"/>
        <v>0</v>
      </c>
      <c r="AW57" s="159">
        <f t="shared" si="18"/>
        <v>0</v>
      </c>
    </row>
    <row r="58" spans="1:49" x14ac:dyDescent="0.2">
      <c r="A58" s="538" t="str">
        <f>IF(Input!Q36&lt;&gt;1,"",IF(ISERROR(VLOOKUP(CONCATENATE(Input!D36," - Crushing Blow - ",$Y$1," - 1"),N:N,1,FALSE)),Input!D36,IF(RIGHT(VLOOKUP(CONCATENATE(Input!D36," - Crushing Blow - ",$Y$1," - 1"),N:N,1,FALSE),1)="1","",Input!D36)))</f>
        <v/>
      </c>
      <c r="B58" s="411" t="str">
        <f>IF(Input!Q36&lt;&gt;1,"",IF(ISERROR(VLOOKUP(CONCATENATE(Input!D36," - Crushing Blow - ",$Y$1," - 1"),N:N,1,FALSE)),"Crushing Blow",IF(RIGHT(VLOOKUP(CONCATENATE(Input!D36," - Crushing Blow - ",$Y$1," - 1"),N:N,1,FALSE),1)="1","","Crushing Blow")))</f>
        <v/>
      </c>
      <c r="C58" s="411" t="str">
        <f>IF(Input!Q36&lt;&gt;1,"",IF(ISERROR(VLOOKUP(CONCATENATE(Input!D36," - Crushing Blow - ",$Y$1," - 1"),N:N,1,FALSE)),$Y$1,IF(RIGHT(VLOOKUP(CONCATENATE(Input!D36," - Crushing Blow - ",$Y$1," - 1"),N:N,1,FALSE),1)="1","",$Y$1)))</f>
        <v/>
      </c>
      <c r="D58" s="411" t="str">
        <f>IF(Input!Q36&lt;&gt;1,"",IF(ISERROR(VLOOKUP(CONCATENATE(Input!D36," - Crushing Blow - ",$Y$1," - 1"),N:N,1,FALSE)),Input!$B$18,IF(RIGHT(VLOOKUP(CONCATENATE(Input!D36," - Crushing Blow - ",$Y$1," - 1"),N:N,1,FALSE),1)="1","",Input!$B$18)))</f>
        <v/>
      </c>
      <c r="E58" s="411" t="str">
        <f>IF(Input!Q36&lt;&gt;1,"",IF(ISERROR(VLOOKUP(CONCATENATE(Input!D36," - Crushing Blow - ",$Y$1," - 1"),N:N,1,FALSE)),D58+3,IF(RIGHT(VLOOKUP(CONCATENATE(Input!D36," - Crushing Blow - ",$Y$1," - 1"),N:N,1,FALSE),1)="1","",D58+3)))</f>
        <v/>
      </c>
      <c r="F58" s="540" t="str">
        <f>IF(Input!Q36&lt;&gt;1,"",IF(ISERROR(VLOOKUP(CONCATENATE(Input!D36," - Crushing Blow - ",$Y$1," - 1"),N:N,1,FALSE)),VLOOKUP(Input!D36,Math!$A$13:$AM$18,14,FALSE)*-0.75,IF(RIGHT(VLOOKUP(CONCATENATE(Input!D36," - Crushing Blow - ",$Y$1," - 1"),N:N,1,FALSE),1)="1","",VLOOKUP(Input!D36,Math!$A$13:$AM$18,14,FALSE)*-0.75)))</f>
        <v/>
      </c>
      <c r="G58" s="535"/>
      <c r="H58" s="536"/>
      <c r="I58" s="536"/>
      <c r="J58" s="536"/>
      <c r="K58" s="536"/>
      <c r="L58" s="537"/>
      <c r="M58" s="412">
        <f>IF(K58&gt;=Input!$B$18,1,0)</f>
        <v>0</v>
      </c>
      <c r="N58" s="159" t="str">
        <f t="shared" si="0"/>
        <v xml:space="preserve"> -  -  - 0</v>
      </c>
      <c r="O58" s="159">
        <f t="shared" si="1"/>
        <v>0</v>
      </c>
      <c r="Q58" s="159">
        <f t="shared" si="2"/>
        <v>0</v>
      </c>
      <c r="S58" s="159">
        <f t="shared" si="3"/>
        <v>0</v>
      </c>
      <c r="U58" s="159">
        <f t="shared" si="4"/>
        <v>0</v>
      </c>
      <c r="W58" s="159">
        <f t="shared" si="5"/>
        <v>0</v>
      </c>
      <c r="Y58" s="159">
        <f t="shared" si="6"/>
        <v>0</v>
      </c>
      <c r="AA58" s="159">
        <f t="shared" si="7"/>
        <v>0</v>
      </c>
      <c r="AC58" s="159">
        <f t="shared" si="8"/>
        <v>0</v>
      </c>
      <c r="AE58" s="159">
        <f t="shared" si="9"/>
        <v>0</v>
      </c>
      <c r="AG58" s="159">
        <f t="shared" si="10"/>
        <v>0</v>
      </c>
      <c r="AI58" s="159">
        <f t="shared" si="11"/>
        <v>0</v>
      </c>
      <c r="AK58" s="159">
        <f t="shared" si="12"/>
        <v>0</v>
      </c>
      <c r="AM58" s="159">
        <f t="shared" si="13"/>
        <v>0</v>
      </c>
      <c r="AO58" s="159">
        <f t="shared" si="14"/>
        <v>0</v>
      </c>
      <c r="AQ58" s="159">
        <f t="shared" si="15"/>
        <v>0</v>
      </c>
      <c r="AS58" s="159">
        <f t="shared" si="16"/>
        <v>0</v>
      </c>
      <c r="AU58" s="159">
        <f t="shared" si="17"/>
        <v>0</v>
      </c>
      <c r="AW58" s="159">
        <f t="shared" si="18"/>
        <v>0</v>
      </c>
    </row>
    <row r="59" spans="1:49" x14ac:dyDescent="0.2">
      <c r="A59" s="538" t="str">
        <f>IF(Input!Q37&lt;&gt;1,"",IF(ISERROR(VLOOKUP(CONCATENATE(Input!D37," - Crushing Blow - ",$Y$1," - 1"),N:N,1,FALSE)),Input!D37,IF(RIGHT(VLOOKUP(CONCATENATE(Input!D37," - Crushing Blow - ",$Y$1," - 1"),N:N,1,FALSE),1)="1","",Input!D37)))</f>
        <v/>
      </c>
      <c r="B59" s="411" t="str">
        <f>IF(Input!Q37&lt;&gt;1,"",IF(ISERROR(VLOOKUP(CONCATENATE(Input!D37," - Crushing Blow - ",$Y$1," - 1"),N:N,1,FALSE)),"Crushing Blow",IF(RIGHT(VLOOKUP(CONCATENATE(Input!D37," - Crushing Blow - ",$Y$1," - 1"),N:N,1,FALSE),1)="1","","Crushing Blow")))</f>
        <v/>
      </c>
      <c r="C59" s="411" t="str">
        <f>IF(Input!Q37&lt;&gt;1,"",IF(ISERROR(VLOOKUP(CONCATENATE(Input!D37," - Crushing Blow - ",$Y$1," - 1"),N:N,1,FALSE)),$Y$1,IF(RIGHT(VLOOKUP(CONCATENATE(Input!D37," - Crushing Blow - ",$Y$1," - 1"),N:N,1,FALSE),1)="1","",$Y$1)))</f>
        <v/>
      </c>
      <c r="D59" s="411" t="str">
        <f>IF(Input!Q37&lt;&gt;1,"",IF(ISERROR(VLOOKUP(CONCATENATE(Input!D37," - Crushing Blow - ",$Y$1," - 1"),N:N,1,FALSE)),Input!$B$18,IF(RIGHT(VLOOKUP(CONCATENATE(Input!D37," - Crushing Blow - ",$Y$1," - 1"),N:N,1,FALSE),1)="1","",Input!$B$18)))</f>
        <v/>
      </c>
      <c r="E59" s="411" t="str">
        <f>IF(Input!Q37&lt;&gt;1,"",IF(ISERROR(VLOOKUP(CONCATENATE(Input!D37," - Crushing Blow - ",$Y$1," - 1"),N:N,1,FALSE)),D59+3,IF(RIGHT(VLOOKUP(CONCATENATE(Input!D37," - Crushing Blow - ",$Y$1," - 1"),N:N,1,FALSE),1)="1","",D59+3)))</f>
        <v/>
      </c>
      <c r="F59" s="540" t="str">
        <f>IF(Input!Q37&lt;&gt;1,"",IF(ISERROR(VLOOKUP(CONCATENATE(Input!D37," - Crushing Blow - ",$Y$1," - 1"),N:N,1,FALSE)),VLOOKUP(Input!D37,Math!$A$13:$AM$18,14,FALSE)*-0.75,IF(RIGHT(VLOOKUP(CONCATENATE(Input!D37," - Crushing Blow - ",$Y$1," - 1"),N:N,1,FALSE),1)="1","",VLOOKUP(Input!D37,Math!$A$13:$AM$18,14,FALSE)*-0.75)))</f>
        <v/>
      </c>
      <c r="G59" s="535"/>
      <c r="H59" s="536"/>
      <c r="I59" s="536"/>
      <c r="J59" s="536"/>
      <c r="K59" s="536"/>
      <c r="L59" s="537"/>
      <c r="M59" s="412">
        <f>IF(K59&gt;=Input!$B$18,1,0)</f>
        <v>0</v>
      </c>
      <c r="N59" s="159" t="str">
        <f t="shared" si="0"/>
        <v xml:space="preserve"> -  -  - 0</v>
      </c>
      <c r="O59" s="159">
        <f t="shared" si="1"/>
        <v>0</v>
      </c>
      <c r="Q59" s="159">
        <f t="shared" si="2"/>
        <v>0</v>
      </c>
      <c r="S59" s="159">
        <f t="shared" si="3"/>
        <v>0</v>
      </c>
      <c r="U59" s="159">
        <f t="shared" si="4"/>
        <v>0</v>
      </c>
      <c r="W59" s="159">
        <f t="shared" si="5"/>
        <v>0</v>
      </c>
      <c r="Y59" s="159">
        <f t="shared" si="6"/>
        <v>0</v>
      </c>
      <c r="AA59" s="159">
        <f t="shared" si="7"/>
        <v>0</v>
      </c>
      <c r="AC59" s="159">
        <f t="shared" si="8"/>
        <v>0</v>
      </c>
      <c r="AE59" s="159">
        <f t="shared" si="9"/>
        <v>0</v>
      </c>
      <c r="AG59" s="159">
        <f t="shared" si="10"/>
        <v>0</v>
      </c>
      <c r="AI59" s="159">
        <f t="shared" si="11"/>
        <v>0</v>
      </c>
      <c r="AK59" s="159">
        <f t="shared" si="12"/>
        <v>0</v>
      </c>
      <c r="AM59" s="159">
        <f t="shared" si="13"/>
        <v>0</v>
      </c>
      <c r="AO59" s="159">
        <f t="shared" si="14"/>
        <v>0</v>
      </c>
      <c r="AQ59" s="159">
        <f t="shared" si="15"/>
        <v>0</v>
      </c>
      <c r="AS59" s="159">
        <f t="shared" si="16"/>
        <v>0</v>
      </c>
      <c r="AU59" s="159">
        <f t="shared" si="17"/>
        <v>0</v>
      </c>
      <c r="AW59" s="159">
        <f t="shared" si="18"/>
        <v>0</v>
      </c>
    </row>
    <row r="60" spans="1:49" x14ac:dyDescent="0.2">
      <c r="A60" s="538" t="str">
        <f>IF(Input!Q38&lt;&gt;1,"",IF(ISERROR(VLOOKUP(CONCATENATE(Input!D38," - Crushing Blow - ",$Y$1," - 1"),N:N,1,FALSE)),Input!D38,IF(RIGHT(VLOOKUP(CONCATENATE(Input!D38," - Crushing Blow - ",$Y$1," - 1"),N:N,1,FALSE),1)="1","",Input!D38)))</f>
        <v/>
      </c>
      <c r="B60" s="411" t="str">
        <f>IF(Input!Q38&lt;&gt;1,"",IF(ISERROR(VLOOKUP(CONCATENATE(Input!D38," - Crushing Blow - ",$Y$1," - 1"),N:N,1,FALSE)),"Crushing Blow",IF(RIGHT(VLOOKUP(CONCATENATE(Input!D38," - Crushing Blow - ",$Y$1," - 1"),N:N,1,FALSE),1)="1","","Crushing Blow")))</f>
        <v/>
      </c>
      <c r="C60" s="411" t="str">
        <f>IF(Input!Q38&lt;&gt;1,"",IF(ISERROR(VLOOKUP(CONCATENATE(Input!D38," - Crushing Blow - ",$Y$1," - 1"),N:N,1,FALSE)),$Y$1,IF(RIGHT(VLOOKUP(CONCATENATE(Input!D38," - Crushing Blow - ",$Y$1," - 1"),N:N,1,FALSE),1)="1","",$Y$1)))</f>
        <v/>
      </c>
      <c r="D60" s="411" t="str">
        <f>IF(Input!Q38&lt;&gt;1,"",IF(ISERROR(VLOOKUP(CONCATENATE(Input!D38," - Crushing Blow - ",$Y$1," - 1"),N:N,1,FALSE)),Input!$B$18,IF(RIGHT(VLOOKUP(CONCATENATE(Input!D38," - Crushing Blow - ",$Y$1," - 1"),N:N,1,FALSE),1)="1","",Input!$B$18)))</f>
        <v/>
      </c>
      <c r="E60" s="411" t="str">
        <f>IF(Input!Q38&lt;&gt;1,"",IF(ISERROR(VLOOKUP(CONCATENATE(Input!D38," - Crushing Blow - ",$Y$1," - 1"),N:N,1,FALSE)),D60+3,IF(RIGHT(VLOOKUP(CONCATENATE(Input!D38," - Crushing Blow - ",$Y$1," - 1"),N:N,1,FALSE),1)="1","",D60+3)))</f>
        <v/>
      </c>
      <c r="F60" s="540" t="str">
        <f>IF(Input!Q38&lt;&gt;1,"",IF(ISERROR(VLOOKUP(CONCATENATE(Input!D38," - Crushing Blow - ",$Y$1," - 1"),N:N,1,FALSE)),VLOOKUP(Input!D38,Math!$A$13:$AM$18,14,FALSE)*-0.75,IF(RIGHT(VLOOKUP(CONCATENATE(Input!D38," - Crushing Blow - ",$Y$1," - 1"),N:N,1,FALSE),1)="1","",VLOOKUP(Input!D38,Math!$A$13:$AM$18,14,FALSE)*-0.75)))</f>
        <v/>
      </c>
      <c r="G60" s="535"/>
      <c r="H60" s="536"/>
      <c r="I60" s="536"/>
      <c r="J60" s="536"/>
      <c r="K60" s="536"/>
      <c r="L60" s="537"/>
      <c r="M60" s="412">
        <f>IF(K60&gt;=Input!$B$18,1,0)</f>
        <v>0</v>
      </c>
      <c r="N60" s="159" t="str">
        <f t="shared" si="0"/>
        <v xml:space="preserve"> -  -  - 0</v>
      </c>
      <c r="O60" s="159">
        <f t="shared" si="1"/>
        <v>0</v>
      </c>
      <c r="Q60" s="159">
        <f t="shared" si="2"/>
        <v>0</v>
      </c>
      <c r="S60" s="159">
        <f t="shared" si="3"/>
        <v>0</v>
      </c>
      <c r="U60" s="159">
        <f t="shared" si="4"/>
        <v>0</v>
      </c>
      <c r="W60" s="159">
        <f t="shared" si="5"/>
        <v>0</v>
      </c>
      <c r="Y60" s="159">
        <f t="shared" si="6"/>
        <v>0</v>
      </c>
      <c r="AA60" s="159">
        <f t="shared" si="7"/>
        <v>0</v>
      </c>
      <c r="AC60" s="159">
        <f t="shared" si="8"/>
        <v>0</v>
      </c>
      <c r="AE60" s="159">
        <f t="shared" si="9"/>
        <v>0</v>
      </c>
      <c r="AG60" s="159">
        <f t="shared" si="10"/>
        <v>0</v>
      </c>
      <c r="AI60" s="159">
        <f t="shared" si="11"/>
        <v>0</v>
      </c>
      <c r="AK60" s="159">
        <f t="shared" si="12"/>
        <v>0</v>
      </c>
      <c r="AM60" s="159">
        <f t="shared" si="13"/>
        <v>0</v>
      </c>
      <c r="AO60" s="159">
        <f t="shared" si="14"/>
        <v>0</v>
      </c>
      <c r="AQ60" s="159">
        <f t="shared" si="15"/>
        <v>0</v>
      </c>
      <c r="AS60" s="159">
        <f t="shared" si="16"/>
        <v>0</v>
      </c>
      <c r="AU60" s="159">
        <f t="shared" si="17"/>
        <v>0</v>
      </c>
      <c r="AW60" s="159">
        <f t="shared" si="18"/>
        <v>0</v>
      </c>
    </row>
    <row r="61" spans="1:49" x14ac:dyDescent="0.2">
      <c r="A61" s="538" t="str">
        <f>IF(Input!Q39&lt;&gt;1,"",IF(ISERROR(VLOOKUP(CONCATENATE(Input!D39," - Crushing Blow - ",$Y$1," - 1"),N:N,1,FALSE)),Input!D39,IF(RIGHT(VLOOKUP(CONCATENATE(Input!D39," - Crushing Blow - ",$Y$1," - 1"),N:N,1,FALSE),1)="1","",Input!D39)))</f>
        <v/>
      </c>
      <c r="B61" s="411" t="str">
        <f>IF(Input!Q39&lt;&gt;1,"",IF(ISERROR(VLOOKUP(CONCATENATE(Input!D39," - Crushing Blow - ",$Y$1," - 1"),N:N,1,FALSE)),"Crushing Blow",IF(RIGHT(VLOOKUP(CONCATENATE(Input!D39," - Crushing Blow - ",$Y$1," - 1"),N:N,1,FALSE),1)="1","","Crushing Blow")))</f>
        <v/>
      </c>
      <c r="C61" s="411" t="str">
        <f>IF(Input!Q39&lt;&gt;1,"",IF(ISERROR(VLOOKUP(CONCATENATE(Input!D39," - Crushing Blow - ",$Y$1," - 1"),N:N,1,FALSE)),$Y$1,IF(RIGHT(VLOOKUP(CONCATENATE(Input!D39," - Crushing Blow - ",$Y$1," - 1"),N:N,1,FALSE),1)="1","",$Y$1)))</f>
        <v/>
      </c>
      <c r="D61" s="411" t="str">
        <f>IF(Input!Q39&lt;&gt;1,"",IF(ISERROR(VLOOKUP(CONCATENATE(Input!D39," - Crushing Blow - ",$Y$1," - 1"),N:N,1,FALSE)),Input!$B$18,IF(RIGHT(VLOOKUP(CONCATENATE(Input!D39," - Crushing Blow - ",$Y$1," - 1"),N:N,1,FALSE),1)="1","",Input!$B$18)))</f>
        <v/>
      </c>
      <c r="E61" s="411" t="str">
        <f>IF(Input!Q39&lt;&gt;1,"",IF(ISERROR(VLOOKUP(CONCATENATE(Input!D39," - Crushing Blow - ",$Y$1," - 1"),N:N,1,FALSE)),D61+3,IF(RIGHT(VLOOKUP(CONCATENATE(Input!D39," - Crushing Blow - ",$Y$1," - 1"),N:N,1,FALSE),1)="1","",D61+3)))</f>
        <v/>
      </c>
      <c r="F61" s="540" t="str">
        <f>IF(Input!Q39&lt;&gt;1,"",IF(ISERROR(VLOOKUP(CONCATENATE(Input!D39," - Crushing Blow - ",$Y$1," - 1"),N:N,1,FALSE)),VLOOKUP(Input!D39,Math!$A$13:$AM$18,14,FALSE)*-0.75,IF(RIGHT(VLOOKUP(CONCATENATE(Input!D39," - Crushing Blow - ",$Y$1," - 1"),N:N,1,FALSE),1)="1","",VLOOKUP(Input!D39,Math!$A$13:$AM$18,14,FALSE)*-0.75)))</f>
        <v/>
      </c>
      <c r="G61" s="535"/>
      <c r="H61" s="536"/>
      <c r="I61" s="536"/>
      <c r="J61" s="536"/>
      <c r="K61" s="536"/>
      <c r="L61" s="537"/>
      <c r="M61" s="412">
        <f>IF(K61&gt;=Input!$B$18,1,0)</f>
        <v>0</v>
      </c>
      <c r="N61" s="159" t="str">
        <f t="shared" si="0"/>
        <v xml:space="preserve"> -  -  - 0</v>
      </c>
      <c r="O61" s="159">
        <f t="shared" si="1"/>
        <v>0</v>
      </c>
      <c r="Q61" s="159">
        <f t="shared" si="2"/>
        <v>0</v>
      </c>
      <c r="S61" s="159">
        <f t="shared" si="3"/>
        <v>0</v>
      </c>
      <c r="U61" s="159">
        <f t="shared" si="4"/>
        <v>0</v>
      </c>
      <c r="W61" s="159">
        <f t="shared" si="5"/>
        <v>0</v>
      </c>
      <c r="Y61" s="159">
        <f t="shared" si="6"/>
        <v>0</v>
      </c>
      <c r="AA61" s="159">
        <f t="shared" si="7"/>
        <v>0</v>
      </c>
      <c r="AC61" s="159">
        <f t="shared" si="8"/>
        <v>0</v>
      </c>
      <c r="AE61" s="159">
        <f t="shared" si="9"/>
        <v>0</v>
      </c>
      <c r="AG61" s="159">
        <f t="shared" si="10"/>
        <v>0</v>
      </c>
      <c r="AI61" s="159">
        <f t="shared" si="11"/>
        <v>0</v>
      </c>
      <c r="AK61" s="159">
        <f t="shared" si="12"/>
        <v>0</v>
      </c>
      <c r="AM61" s="159">
        <f t="shared" si="13"/>
        <v>0</v>
      </c>
      <c r="AO61" s="159">
        <f t="shared" si="14"/>
        <v>0</v>
      </c>
      <c r="AQ61" s="159">
        <f t="shared" si="15"/>
        <v>0</v>
      </c>
      <c r="AS61" s="159">
        <f t="shared" si="16"/>
        <v>0</v>
      </c>
      <c r="AU61" s="159">
        <f t="shared" si="17"/>
        <v>0</v>
      </c>
      <c r="AW61" s="159">
        <f t="shared" si="18"/>
        <v>0</v>
      </c>
    </row>
    <row r="62" spans="1:49" x14ac:dyDescent="0.2">
      <c r="A62" s="538" t="str">
        <f>IF(Input!Q40&lt;&gt;1,"",IF(ISERROR(VLOOKUP(CONCATENATE(Input!D40," - Crushing Blow - ",$Y$1," - 1"),N:N,1,FALSE)),Input!D40,IF(RIGHT(VLOOKUP(CONCATENATE(Input!D40," - Crushing Blow - ",$Y$1," - 1"),N:N,1,FALSE),1)="1","",Input!D40)))</f>
        <v/>
      </c>
      <c r="B62" s="411" t="str">
        <f>IF(Input!Q40&lt;&gt;1,"",IF(ISERROR(VLOOKUP(CONCATENATE(Input!D40," - Crushing Blow - ",$Y$1," - 1"),N:N,1,FALSE)),"Crushing Blow",IF(RIGHT(VLOOKUP(CONCATENATE(Input!D40," - Crushing Blow - ",$Y$1," - 1"),N:N,1,FALSE),1)="1","","Crushing Blow")))</f>
        <v/>
      </c>
      <c r="C62" s="411" t="str">
        <f>IF(Input!Q40&lt;&gt;1,"",IF(ISERROR(VLOOKUP(CONCATENATE(Input!D40," - Crushing Blow - ",$Y$1," - 1"),N:N,1,FALSE)),$Y$1,IF(RIGHT(VLOOKUP(CONCATENATE(Input!D40," - Crushing Blow - ",$Y$1," - 1"),N:N,1,FALSE),1)="1","",$Y$1)))</f>
        <v/>
      </c>
      <c r="D62" s="411" t="str">
        <f>IF(Input!Q40&lt;&gt;1,"",IF(ISERROR(VLOOKUP(CONCATENATE(Input!D40," - Crushing Blow - ",$Y$1," - 1"),N:N,1,FALSE)),Input!$B$18,IF(RIGHT(VLOOKUP(CONCATENATE(Input!D40," - Crushing Blow - ",$Y$1," - 1"),N:N,1,FALSE),1)="1","",Input!$B$18)))</f>
        <v/>
      </c>
      <c r="E62" s="411" t="str">
        <f>IF(Input!Q40&lt;&gt;1,"",IF(ISERROR(VLOOKUP(CONCATENATE(Input!D40," - Crushing Blow - ",$Y$1," - 1"),N:N,1,FALSE)),D62+3,IF(RIGHT(VLOOKUP(CONCATENATE(Input!D40," - Crushing Blow - ",$Y$1," - 1"),N:N,1,FALSE),1)="1","",D62+3)))</f>
        <v/>
      </c>
      <c r="F62" s="540" t="str">
        <f>IF(Input!Q40&lt;&gt;1,"",IF(ISERROR(VLOOKUP(CONCATENATE(Input!D40," - Crushing Blow - ",$Y$1," - 1"),N:N,1,FALSE)),VLOOKUP(Input!D40,Math!$A$13:$AM$18,14,FALSE)*-0.75,IF(RIGHT(VLOOKUP(CONCATENATE(Input!D40," - Crushing Blow - ",$Y$1," - 1"),N:N,1,FALSE),1)="1","",VLOOKUP(Input!D40,Math!$A$13:$AM$18,14,FALSE)*-0.75)))</f>
        <v/>
      </c>
      <c r="G62" s="535"/>
      <c r="H62" s="536"/>
      <c r="I62" s="536"/>
      <c r="J62" s="536"/>
      <c r="K62" s="536"/>
      <c r="L62" s="537"/>
      <c r="M62" s="412">
        <f>IF(K62&gt;=Input!$B$18,1,0)</f>
        <v>0</v>
      </c>
      <c r="N62" s="159" t="str">
        <f t="shared" si="0"/>
        <v xml:space="preserve"> -  -  - 0</v>
      </c>
      <c r="O62" s="159">
        <f t="shared" si="1"/>
        <v>0</v>
      </c>
      <c r="Q62" s="159">
        <f t="shared" si="2"/>
        <v>0</v>
      </c>
      <c r="S62" s="159">
        <f t="shared" si="3"/>
        <v>0</v>
      </c>
      <c r="U62" s="159">
        <f t="shared" si="4"/>
        <v>0</v>
      </c>
      <c r="W62" s="159">
        <f t="shared" si="5"/>
        <v>0</v>
      </c>
      <c r="Y62" s="159">
        <f t="shared" si="6"/>
        <v>0</v>
      </c>
      <c r="AA62" s="159">
        <f t="shared" si="7"/>
        <v>0</v>
      </c>
      <c r="AC62" s="159">
        <f t="shared" si="8"/>
        <v>0</v>
      </c>
      <c r="AE62" s="159">
        <f t="shared" si="9"/>
        <v>0</v>
      </c>
      <c r="AG62" s="159">
        <f t="shared" si="10"/>
        <v>0</v>
      </c>
      <c r="AI62" s="159">
        <f t="shared" si="11"/>
        <v>0</v>
      </c>
      <c r="AK62" s="159">
        <f t="shared" si="12"/>
        <v>0</v>
      </c>
      <c r="AM62" s="159">
        <f t="shared" si="13"/>
        <v>0</v>
      </c>
      <c r="AO62" s="159">
        <f t="shared" si="14"/>
        <v>0</v>
      </c>
      <c r="AQ62" s="159">
        <f t="shared" si="15"/>
        <v>0</v>
      </c>
      <c r="AS62" s="159">
        <f t="shared" si="16"/>
        <v>0</v>
      </c>
      <c r="AU62" s="159">
        <f t="shared" si="17"/>
        <v>0</v>
      </c>
      <c r="AW62" s="159">
        <f t="shared" si="18"/>
        <v>0</v>
      </c>
    </row>
    <row r="63" spans="1:49" x14ac:dyDescent="0.2">
      <c r="A63" s="538" t="str">
        <f>IF(Input!Q41&lt;&gt;1,"",IF(ISERROR(VLOOKUP(CONCATENATE(Input!D41," - Crushing Blow - ",$Y$1," - 1"),N:N,1,FALSE)),Input!D41,IF(RIGHT(VLOOKUP(CONCATENATE(Input!D41," - Crushing Blow - ",$Y$1," - 1"),N:N,1,FALSE),1)="1","",Input!D41)))</f>
        <v/>
      </c>
      <c r="B63" s="411" t="str">
        <f>IF(Input!Q41&lt;&gt;1,"",IF(ISERROR(VLOOKUP(CONCATENATE(Input!D41," - Crushing Blow - ",$Y$1," - 1"),N:N,1,FALSE)),"Crushing Blow",IF(RIGHT(VLOOKUP(CONCATENATE(Input!D41," - Crushing Blow - ",$Y$1," - 1"),N:N,1,FALSE),1)="1","","Crushing Blow")))</f>
        <v/>
      </c>
      <c r="C63" s="411" t="str">
        <f>IF(Input!Q41&lt;&gt;1,"",IF(ISERROR(VLOOKUP(CONCATENATE(Input!D41," - Crushing Blow - ",$Y$1," - 1"),N:N,1,FALSE)),$Y$1,IF(RIGHT(VLOOKUP(CONCATENATE(Input!D41," - Crushing Blow - ",$Y$1," - 1"),N:N,1,FALSE),1)="1","",$Y$1)))</f>
        <v/>
      </c>
      <c r="D63" s="411" t="str">
        <f>IF(Input!Q41&lt;&gt;1,"",IF(ISERROR(VLOOKUP(CONCATENATE(Input!D41," - Crushing Blow - ",$Y$1," - 1"),N:N,1,FALSE)),Input!$B$18,IF(RIGHT(VLOOKUP(CONCATENATE(Input!D41," - Crushing Blow - ",$Y$1," - 1"),N:N,1,FALSE),1)="1","",Input!$B$18)))</f>
        <v/>
      </c>
      <c r="E63" s="411" t="str">
        <f>IF(Input!Q41&lt;&gt;1,"",IF(ISERROR(VLOOKUP(CONCATENATE(Input!D41," - Crushing Blow - ",$Y$1," - 1"),N:N,1,FALSE)),D63+3,IF(RIGHT(VLOOKUP(CONCATENATE(Input!D41," - Crushing Blow - ",$Y$1," - 1"),N:N,1,FALSE),1)="1","",D63+3)))</f>
        <v/>
      </c>
      <c r="F63" s="540" t="str">
        <f>IF(Input!Q41&lt;&gt;1,"",IF(ISERROR(VLOOKUP(CONCATENATE(Input!D41," - Crushing Blow - ",$Y$1," - 1"),N:N,1,FALSE)),VLOOKUP(Input!D41,Math!$A$13:$AM$18,14,FALSE)*-0.75,IF(RIGHT(VLOOKUP(CONCATENATE(Input!D41," - Crushing Blow - ",$Y$1," - 1"),N:N,1,FALSE),1)="1","",VLOOKUP(Input!D41,Math!$A$13:$AM$18,14,FALSE)*-0.75)))</f>
        <v/>
      </c>
      <c r="G63" s="535"/>
      <c r="H63" s="536"/>
      <c r="I63" s="536"/>
      <c r="J63" s="536"/>
      <c r="K63" s="536"/>
      <c r="L63" s="537"/>
      <c r="M63" s="412">
        <f>IF(K63&gt;=Input!$B$18,1,0)</f>
        <v>0</v>
      </c>
      <c r="N63" s="159" t="str">
        <f t="shared" si="0"/>
        <v xml:space="preserve"> -  -  - 0</v>
      </c>
      <c r="O63" s="159">
        <f t="shared" si="1"/>
        <v>0</v>
      </c>
      <c r="Q63" s="159">
        <f t="shared" si="2"/>
        <v>0</v>
      </c>
      <c r="S63" s="159">
        <f t="shared" si="3"/>
        <v>0</v>
      </c>
      <c r="U63" s="159">
        <f t="shared" si="4"/>
        <v>0</v>
      </c>
      <c r="W63" s="159">
        <f t="shared" si="5"/>
        <v>0</v>
      </c>
      <c r="Y63" s="159">
        <f t="shared" si="6"/>
        <v>0</v>
      </c>
      <c r="AA63" s="159">
        <f t="shared" si="7"/>
        <v>0</v>
      </c>
      <c r="AC63" s="159">
        <f t="shared" si="8"/>
        <v>0</v>
      </c>
      <c r="AE63" s="159">
        <f t="shared" si="9"/>
        <v>0</v>
      </c>
      <c r="AG63" s="159">
        <f t="shared" si="10"/>
        <v>0</v>
      </c>
      <c r="AI63" s="159">
        <f t="shared" si="11"/>
        <v>0</v>
      </c>
      <c r="AK63" s="159">
        <f t="shared" si="12"/>
        <v>0</v>
      </c>
      <c r="AM63" s="159">
        <f t="shared" si="13"/>
        <v>0</v>
      </c>
      <c r="AO63" s="159">
        <f t="shared" si="14"/>
        <v>0</v>
      </c>
      <c r="AQ63" s="159">
        <f t="shared" si="15"/>
        <v>0</v>
      </c>
      <c r="AS63" s="159">
        <f t="shared" si="16"/>
        <v>0</v>
      </c>
      <c r="AU63" s="159">
        <f t="shared" si="17"/>
        <v>0</v>
      </c>
      <c r="AW63" s="159">
        <f t="shared" si="18"/>
        <v>0</v>
      </c>
    </row>
    <row r="64" spans="1:49" x14ac:dyDescent="0.2">
      <c r="A64" s="538" t="str">
        <f>IF(Input!Q42&lt;&gt;1,"",IF(ISERROR(VLOOKUP(CONCATENATE(Input!D42," - Crushing Blow - ",$Y$1," - 1"),N:N,1,FALSE)),Input!D42,IF(RIGHT(VLOOKUP(CONCATENATE(Input!D42," - Crushing Blow - ",$Y$1," - 1"),N:N,1,FALSE),1)="1","",Input!D42)))</f>
        <v/>
      </c>
      <c r="B64" s="411" t="str">
        <f>IF(Input!Q42&lt;&gt;1,"",IF(ISERROR(VLOOKUP(CONCATENATE(Input!D42," - Crushing Blow - ",$Y$1," - 1"),N:N,1,FALSE)),"Crushing Blow",IF(RIGHT(VLOOKUP(CONCATENATE(Input!D42," - Crushing Blow - ",$Y$1," - 1"),N:N,1,FALSE),1)="1","","Crushing Blow")))</f>
        <v/>
      </c>
      <c r="C64" s="411" t="str">
        <f>IF(Input!Q42&lt;&gt;1,"",IF(ISERROR(VLOOKUP(CONCATENATE(Input!D42," - Crushing Blow - ",$Y$1," - 1"),N:N,1,FALSE)),$Y$1,IF(RIGHT(VLOOKUP(CONCATENATE(Input!D42," - Crushing Blow - ",$Y$1," - 1"),N:N,1,FALSE),1)="1","",$Y$1)))</f>
        <v/>
      </c>
      <c r="D64" s="411" t="str">
        <f>IF(Input!Q42&lt;&gt;1,"",IF(ISERROR(VLOOKUP(CONCATENATE(Input!D42," - Crushing Blow - ",$Y$1," - 1"),N:N,1,FALSE)),Input!$B$18,IF(RIGHT(VLOOKUP(CONCATENATE(Input!D42," - Crushing Blow - ",$Y$1," - 1"),N:N,1,FALSE),1)="1","",Input!$B$18)))</f>
        <v/>
      </c>
      <c r="E64" s="411" t="str">
        <f>IF(Input!Q42&lt;&gt;1,"",IF(ISERROR(VLOOKUP(CONCATENATE(Input!D42," - Crushing Blow - ",$Y$1," - 1"),N:N,1,FALSE)),D64+3,IF(RIGHT(VLOOKUP(CONCATENATE(Input!D42," - Crushing Blow - ",$Y$1," - 1"),N:N,1,FALSE),1)="1","",D64+3)))</f>
        <v/>
      </c>
      <c r="F64" s="540" t="str">
        <f>IF(Input!Q42&lt;&gt;1,"",IF(ISERROR(VLOOKUP(CONCATENATE(Input!D42," - Crushing Blow - ",$Y$1," - 1"),N:N,1,FALSE)),VLOOKUP(Input!D42,Math!$A$13:$AM$18,14,FALSE)*-0.75,IF(RIGHT(VLOOKUP(CONCATENATE(Input!D42," - Crushing Blow - ",$Y$1," - 1"),N:N,1,FALSE),1)="1","",VLOOKUP(Input!D42,Math!$A$13:$AM$18,14,FALSE)*-0.75)))</f>
        <v/>
      </c>
      <c r="G64" s="535"/>
      <c r="H64" s="536"/>
      <c r="I64" s="536"/>
      <c r="J64" s="536"/>
      <c r="K64" s="536"/>
      <c r="L64" s="537"/>
      <c r="M64" s="412">
        <f>IF(K64&gt;=Input!$B$18,1,0)</f>
        <v>0</v>
      </c>
      <c r="N64" s="159" t="str">
        <f t="shared" si="0"/>
        <v xml:space="preserve"> -  -  - 0</v>
      </c>
      <c r="O64" s="159">
        <f t="shared" si="1"/>
        <v>0</v>
      </c>
      <c r="Q64" s="159">
        <f t="shared" si="2"/>
        <v>0</v>
      </c>
      <c r="S64" s="159">
        <f t="shared" si="3"/>
        <v>0</v>
      </c>
      <c r="U64" s="159">
        <f t="shared" si="4"/>
        <v>0</v>
      </c>
      <c r="W64" s="159">
        <f t="shared" si="5"/>
        <v>0</v>
      </c>
      <c r="Y64" s="159">
        <f t="shared" si="6"/>
        <v>0</v>
      </c>
      <c r="AA64" s="159">
        <f t="shared" si="7"/>
        <v>0</v>
      </c>
      <c r="AC64" s="159">
        <f t="shared" si="8"/>
        <v>0</v>
      </c>
      <c r="AE64" s="159">
        <f t="shared" si="9"/>
        <v>0</v>
      </c>
      <c r="AG64" s="159">
        <f t="shared" si="10"/>
        <v>0</v>
      </c>
      <c r="AI64" s="159">
        <f t="shared" si="11"/>
        <v>0</v>
      </c>
      <c r="AK64" s="159">
        <f t="shared" si="12"/>
        <v>0</v>
      </c>
      <c r="AM64" s="159">
        <f t="shared" si="13"/>
        <v>0</v>
      </c>
      <c r="AO64" s="159">
        <f t="shared" si="14"/>
        <v>0</v>
      </c>
      <c r="AQ64" s="159">
        <f t="shared" si="15"/>
        <v>0</v>
      </c>
      <c r="AS64" s="159">
        <f t="shared" si="16"/>
        <v>0</v>
      </c>
      <c r="AU64" s="159">
        <f t="shared" si="17"/>
        <v>0</v>
      </c>
      <c r="AW64" s="159">
        <f t="shared" si="18"/>
        <v>0</v>
      </c>
    </row>
    <row r="65" spans="1:49" x14ac:dyDescent="0.2">
      <c r="A65" s="538" t="str">
        <f>IF(Input!Q43&lt;&gt;1,"",IF(ISERROR(VLOOKUP(CONCATENATE(Input!D43," - Crushing Blow - ",$Y$1," - 1"),N:N,1,FALSE)),Input!D43,IF(RIGHT(VLOOKUP(CONCATENATE(Input!D43," - Crushing Blow - ",$Y$1," - 1"),N:N,1,FALSE),1)="1","",Input!D43)))</f>
        <v/>
      </c>
      <c r="B65" s="411" t="str">
        <f>IF(Input!Q43&lt;&gt;1,"",IF(ISERROR(VLOOKUP(CONCATENATE(Input!D43," - Crushing Blow - ",$Y$1," - 1"),N:N,1,FALSE)),"Crushing Blow",IF(RIGHT(VLOOKUP(CONCATENATE(Input!D43," - Crushing Blow - ",$Y$1," - 1"),N:N,1,FALSE),1)="1","","Crushing Blow")))</f>
        <v/>
      </c>
      <c r="C65" s="411" t="str">
        <f>IF(Input!Q43&lt;&gt;1,"",IF(ISERROR(VLOOKUP(CONCATENATE(Input!D43," - Crushing Blow - ",$Y$1," - 1"),N:N,1,FALSE)),$Y$1,IF(RIGHT(VLOOKUP(CONCATENATE(Input!D43," - Crushing Blow - ",$Y$1," - 1"),N:N,1,FALSE),1)="1","",$Y$1)))</f>
        <v/>
      </c>
      <c r="D65" s="411" t="str">
        <f>IF(Input!Q43&lt;&gt;1,"",IF(ISERROR(VLOOKUP(CONCATENATE(Input!D43," - Crushing Blow - ",$Y$1," - 1"),N:N,1,FALSE)),Input!$B$18,IF(RIGHT(VLOOKUP(CONCATENATE(Input!D43," - Crushing Blow - ",$Y$1," - 1"),N:N,1,FALSE),1)="1","",Input!$B$18)))</f>
        <v/>
      </c>
      <c r="E65" s="411" t="str">
        <f>IF(Input!Q43&lt;&gt;1,"",IF(ISERROR(VLOOKUP(CONCATENATE(Input!D43," - Crushing Blow - ",$Y$1," - 1"),N:N,1,FALSE)),D65+3,IF(RIGHT(VLOOKUP(CONCATENATE(Input!D43," - Crushing Blow - ",$Y$1," - 1"),N:N,1,FALSE),1)="1","",D65+3)))</f>
        <v/>
      </c>
      <c r="F65" s="540" t="str">
        <f>IF(Input!Q43&lt;&gt;1,"",IF(ISERROR(VLOOKUP(CONCATENATE(Input!D43," - Crushing Blow - ",$Y$1," - 1"),N:N,1,FALSE)),VLOOKUP(Input!D43,Math!$A$13:$AM$18,14,FALSE)*-0.75,IF(RIGHT(VLOOKUP(CONCATENATE(Input!D43," - Crushing Blow - ",$Y$1," - 1"),N:N,1,FALSE),1)="1","",VLOOKUP(Input!D43,Math!$A$13:$AM$18,14,FALSE)*-0.75)))</f>
        <v/>
      </c>
      <c r="G65" s="535"/>
      <c r="H65" s="536"/>
      <c r="I65" s="536"/>
      <c r="J65" s="536"/>
      <c r="K65" s="536"/>
      <c r="L65" s="537"/>
      <c r="M65" s="412">
        <f>IF(K65&gt;=Input!$B$18,1,0)</f>
        <v>0</v>
      </c>
      <c r="N65" s="159" t="str">
        <f t="shared" si="0"/>
        <v xml:space="preserve"> -  -  - 0</v>
      </c>
      <c r="O65" s="159">
        <f t="shared" si="1"/>
        <v>0</v>
      </c>
      <c r="Q65" s="159">
        <f t="shared" si="2"/>
        <v>0</v>
      </c>
      <c r="S65" s="159">
        <f t="shared" si="3"/>
        <v>0</v>
      </c>
      <c r="U65" s="159">
        <f t="shared" si="4"/>
        <v>0</v>
      </c>
      <c r="W65" s="159">
        <f t="shared" si="5"/>
        <v>0</v>
      </c>
      <c r="Y65" s="159">
        <f t="shared" si="6"/>
        <v>0</v>
      </c>
      <c r="AA65" s="159">
        <f t="shared" si="7"/>
        <v>0</v>
      </c>
      <c r="AC65" s="159">
        <f t="shared" si="8"/>
        <v>0</v>
      </c>
      <c r="AE65" s="159">
        <f t="shared" si="9"/>
        <v>0</v>
      </c>
      <c r="AG65" s="159">
        <f t="shared" si="10"/>
        <v>0</v>
      </c>
      <c r="AI65" s="159">
        <f t="shared" si="11"/>
        <v>0</v>
      </c>
      <c r="AK65" s="159">
        <f t="shared" si="12"/>
        <v>0</v>
      </c>
      <c r="AM65" s="159">
        <f t="shared" si="13"/>
        <v>0</v>
      </c>
      <c r="AO65" s="159">
        <f t="shared" si="14"/>
        <v>0</v>
      </c>
      <c r="AQ65" s="159">
        <f t="shared" si="15"/>
        <v>0</v>
      </c>
      <c r="AS65" s="159">
        <f t="shared" si="16"/>
        <v>0</v>
      </c>
      <c r="AU65" s="159">
        <f t="shared" si="17"/>
        <v>0</v>
      </c>
      <c r="AW65" s="159">
        <f t="shared" si="18"/>
        <v>0</v>
      </c>
    </row>
    <row r="66" spans="1:49" x14ac:dyDescent="0.2">
      <c r="A66" s="538" t="str">
        <f>IF(Input!Q44&lt;&gt;1,"",IF(ISERROR(VLOOKUP(CONCATENATE(Input!D44," - Crushing Blow - ",$Y$1," - 1"),N:N,1,FALSE)),Input!D44,IF(RIGHT(VLOOKUP(CONCATENATE(Input!D44," - Crushing Blow - ",$Y$1," - 1"),N:N,1,FALSE),1)="1","",Input!D44)))</f>
        <v/>
      </c>
      <c r="B66" s="411" t="str">
        <f>IF(Input!Q44&lt;&gt;1,"",IF(ISERROR(VLOOKUP(CONCATENATE(Input!D44," - Crushing Blow - ",$Y$1," - 1"),N:N,1,FALSE)),"Crushing Blow",IF(RIGHT(VLOOKUP(CONCATENATE(Input!D44," - Crushing Blow - ",$Y$1," - 1"),N:N,1,FALSE),1)="1","","Crushing Blow")))</f>
        <v/>
      </c>
      <c r="C66" s="411" t="str">
        <f>IF(Input!Q44&lt;&gt;1,"",IF(ISERROR(VLOOKUP(CONCATENATE(Input!D44," - Crushing Blow - ",$Y$1," - 1"),N:N,1,FALSE)),$Y$1,IF(RIGHT(VLOOKUP(CONCATENATE(Input!D44," - Crushing Blow - ",$Y$1," - 1"),N:N,1,FALSE),1)="1","",$Y$1)))</f>
        <v/>
      </c>
      <c r="D66" s="411" t="str">
        <f>IF(Input!Q44&lt;&gt;1,"",IF(ISERROR(VLOOKUP(CONCATENATE(Input!D44," - Crushing Blow - ",$Y$1," - 1"),N:N,1,FALSE)),Input!$B$18,IF(RIGHT(VLOOKUP(CONCATENATE(Input!D44," - Crushing Blow - ",$Y$1," - 1"),N:N,1,FALSE),1)="1","",Input!$B$18)))</f>
        <v/>
      </c>
      <c r="E66" s="411" t="str">
        <f>IF(Input!Q44&lt;&gt;1,"",IF(ISERROR(VLOOKUP(CONCATENATE(Input!D44," - Crushing Blow - ",$Y$1," - 1"),N:N,1,FALSE)),D66+3,IF(RIGHT(VLOOKUP(CONCATENATE(Input!D44," - Crushing Blow - ",$Y$1," - 1"),N:N,1,FALSE),1)="1","",D66+3)))</f>
        <v/>
      </c>
      <c r="F66" s="540" t="str">
        <f>IF(Input!Q44&lt;&gt;1,"",IF(ISERROR(VLOOKUP(CONCATENATE(Input!D44," - Crushing Blow - ",$Y$1," - 1"),N:N,1,FALSE)),VLOOKUP(Input!D44,Math!$A$13:$AM$18,14,FALSE)*-0.75,IF(RIGHT(VLOOKUP(CONCATENATE(Input!D44," - Crushing Blow - ",$Y$1," - 1"),N:N,1,FALSE),1)="1","",VLOOKUP(Input!D44,Math!$A$13:$AM$18,14,FALSE)*-0.75)))</f>
        <v/>
      </c>
      <c r="G66" s="535"/>
      <c r="H66" s="536"/>
      <c r="I66" s="536"/>
      <c r="J66" s="536"/>
      <c r="K66" s="536"/>
      <c r="L66" s="537"/>
      <c r="M66" s="412">
        <f>IF(K66&gt;=Input!$B$18,1,0)</f>
        <v>0</v>
      </c>
      <c r="N66" s="159" t="str">
        <f t="shared" si="0"/>
        <v xml:space="preserve"> -  -  - 0</v>
      </c>
      <c r="O66" s="159">
        <f t="shared" si="1"/>
        <v>0</v>
      </c>
      <c r="Q66" s="159">
        <f t="shared" si="2"/>
        <v>0</v>
      </c>
      <c r="S66" s="159">
        <f t="shared" si="3"/>
        <v>0</v>
      </c>
      <c r="U66" s="159">
        <f t="shared" si="4"/>
        <v>0</v>
      </c>
      <c r="W66" s="159">
        <f t="shared" si="5"/>
        <v>0</v>
      </c>
      <c r="Y66" s="159">
        <f t="shared" si="6"/>
        <v>0</v>
      </c>
      <c r="AA66" s="159">
        <f t="shared" si="7"/>
        <v>0</v>
      </c>
      <c r="AC66" s="159">
        <f t="shared" si="8"/>
        <v>0</v>
      </c>
      <c r="AE66" s="159">
        <f t="shared" si="9"/>
        <v>0</v>
      </c>
      <c r="AG66" s="159">
        <f t="shared" si="10"/>
        <v>0</v>
      </c>
      <c r="AI66" s="159">
        <f t="shared" si="11"/>
        <v>0</v>
      </c>
      <c r="AK66" s="159">
        <f t="shared" si="12"/>
        <v>0</v>
      </c>
      <c r="AM66" s="159">
        <f t="shared" si="13"/>
        <v>0</v>
      </c>
      <c r="AO66" s="159">
        <f t="shared" si="14"/>
        <v>0</v>
      </c>
      <c r="AQ66" s="159">
        <f t="shared" si="15"/>
        <v>0</v>
      </c>
      <c r="AS66" s="159">
        <f t="shared" si="16"/>
        <v>0</v>
      </c>
      <c r="AU66" s="159">
        <f t="shared" si="17"/>
        <v>0</v>
      </c>
      <c r="AW66" s="159">
        <f t="shared" si="18"/>
        <v>0</v>
      </c>
    </row>
    <row r="67" spans="1:49" x14ac:dyDescent="0.2">
      <c r="A67" s="538" t="str">
        <f>IF(Input!Q45&lt;&gt;1,"",IF(ISERROR(VLOOKUP(CONCATENATE(Input!D45," - Crushing Blow - ",$Y$1," - 1"),N:N,1,FALSE)),Input!D45,IF(RIGHT(VLOOKUP(CONCATENATE(Input!D45," - Crushing Blow - ",$Y$1," - 1"),N:N,1,FALSE),1)="1","",Input!D45)))</f>
        <v/>
      </c>
      <c r="B67" s="411" t="str">
        <f>IF(Input!Q45&lt;&gt;1,"",IF(ISERROR(VLOOKUP(CONCATENATE(Input!D45," - Crushing Blow - ",$Y$1," - 1"),N:N,1,FALSE)),"Crushing Blow",IF(RIGHT(VLOOKUP(CONCATENATE(Input!D45," - Crushing Blow - ",$Y$1," - 1"),N:N,1,FALSE),1)="1","","Crushing Blow")))</f>
        <v/>
      </c>
      <c r="C67" s="411" t="str">
        <f>IF(Input!Q45&lt;&gt;1,"",IF(ISERROR(VLOOKUP(CONCATENATE(Input!D45," - Crushing Blow - ",$Y$1," - 1"),N:N,1,FALSE)),$Y$1,IF(RIGHT(VLOOKUP(CONCATENATE(Input!D45," - Crushing Blow - ",$Y$1," - 1"),N:N,1,FALSE),1)="1","",$Y$1)))</f>
        <v/>
      </c>
      <c r="D67" s="411" t="str">
        <f>IF(Input!Q45&lt;&gt;1,"",IF(ISERROR(VLOOKUP(CONCATENATE(Input!D45," - Crushing Blow - ",$Y$1," - 1"),N:N,1,FALSE)),Input!$B$18,IF(RIGHT(VLOOKUP(CONCATENATE(Input!D45," - Crushing Blow - ",$Y$1," - 1"),N:N,1,FALSE),1)="1","",Input!$B$18)))</f>
        <v/>
      </c>
      <c r="E67" s="411" t="str">
        <f>IF(Input!Q45&lt;&gt;1,"",IF(ISERROR(VLOOKUP(CONCATENATE(Input!D45," - Crushing Blow - ",$Y$1," - 1"),N:N,1,FALSE)),D67+3,IF(RIGHT(VLOOKUP(CONCATENATE(Input!D45," - Crushing Blow - ",$Y$1," - 1"),N:N,1,FALSE),1)="1","",D67+3)))</f>
        <v/>
      </c>
      <c r="F67" s="540" t="str">
        <f>IF(Input!Q45&lt;&gt;1,"",IF(ISERROR(VLOOKUP(CONCATENATE(Input!D45," - Crushing Blow - ",$Y$1," - 1"),N:N,1,FALSE)),VLOOKUP(Input!D45,Math!$A$13:$AM$18,14,FALSE)*-0.75,IF(RIGHT(VLOOKUP(CONCATENATE(Input!D45," - Crushing Blow - ",$Y$1," - 1"),N:N,1,FALSE),1)="1","",VLOOKUP(Input!D45,Math!$A$13:$AM$18,14,FALSE)*-0.75)))</f>
        <v/>
      </c>
      <c r="G67" s="535"/>
      <c r="H67" s="536"/>
      <c r="I67" s="536"/>
      <c r="J67" s="536"/>
      <c r="K67" s="536"/>
      <c r="L67" s="537"/>
      <c r="M67" s="412">
        <f>IF(K67&gt;=Input!$B$18,1,0)</f>
        <v>0</v>
      </c>
      <c r="N67" s="159" t="str">
        <f t="shared" si="0"/>
        <v xml:space="preserve"> -  -  - 0</v>
      </c>
      <c r="O67" s="159">
        <f t="shared" si="1"/>
        <v>0</v>
      </c>
      <c r="Q67" s="159">
        <f t="shared" si="2"/>
        <v>0</v>
      </c>
      <c r="S67" s="159">
        <f t="shared" si="3"/>
        <v>0</v>
      </c>
      <c r="U67" s="159">
        <f t="shared" si="4"/>
        <v>0</v>
      </c>
      <c r="W67" s="159">
        <f t="shared" si="5"/>
        <v>0</v>
      </c>
      <c r="Y67" s="159">
        <f t="shared" si="6"/>
        <v>0</v>
      </c>
      <c r="AA67" s="159">
        <f t="shared" si="7"/>
        <v>0</v>
      </c>
      <c r="AC67" s="159">
        <f t="shared" si="8"/>
        <v>0</v>
      </c>
      <c r="AE67" s="159">
        <f t="shared" si="9"/>
        <v>0</v>
      </c>
      <c r="AG67" s="159">
        <f t="shared" si="10"/>
        <v>0</v>
      </c>
      <c r="AI67" s="159">
        <f t="shared" si="11"/>
        <v>0</v>
      </c>
      <c r="AK67" s="159">
        <f t="shared" si="12"/>
        <v>0</v>
      </c>
      <c r="AM67" s="159">
        <f t="shared" si="13"/>
        <v>0</v>
      </c>
      <c r="AO67" s="159">
        <f t="shared" si="14"/>
        <v>0</v>
      </c>
      <c r="AQ67" s="159">
        <f t="shared" si="15"/>
        <v>0</v>
      </c>
      <c r="AS67" s="159">
        <f t="shared" si="16"/>
        <v>0</v>
      </c>
      <c r="AU67" s="159">
        <f t="shared" si="17"/>
        <v>0</v>
      </c>
      <c r="AW67" s="159">
        <f t="shared" si="18"/>
        <v>0</v>
      </c>
    </row>
    <row r="68" spans="1:49" x14ac:dyDescent="0.2">
      <c r="A68" s="538" t="str">
        <f>IF(Input!Q46&lt;&gt;1,"",IF(ISERROR(VLOOKUP(CONCATENATE(Input!D46," - Crushing Blow - ",$Y$1," - 1"),N:N,1,FALSE)),Input!D46,IF(RIGHT(VLOOKUP(CONCATENATE(Input!D46," - Crushing Blow - ",$Y$1," - 1"),N:N,1,FALSE),1)="1","",Input!D46)))</f>
        <v/>
      </c>
      <c r="B68" s="411" t="str">
        <f>IF(Input!Q46&lt;&gt;1,"",IF(ISERROR(VLOOKUP(CONCATENATE(Input!D46," - Crushing Blow - ",$Y$1," - 1"),N:N,1,FALSE)),"Crushing Blow",IF(RIGHT(VLOOKUP(CONCATENATE(Input!D46," - Crushing Blow - ",$Y$1," - 1"),N:N,1,FALSE),1)="1","","Crushing Blow")))</f>
        <v/>
      </c>
      <c r="C68" s="411" t="str">
        <f>IF(Input!Q46&lt;&gt;1,"",IF(ISERROR(VLOOKUP(CONCATENATE(Input!D46," - Crushing Blow - ",$Y$1," - 1"),N:N,1,FALSE)),$Y$1,IF(RIGHT(VLOOKUP(CONCATENATE(Input!D46," - Crushing Blow - ",$Y$1," - 1"),N:N,1,FALSE),1)="1","",$Y$1)))</f>
        <v/>
      </c>
      <c r="D68" s="411" t="str">
        <f>IF(Input!Q46&lt;&gt;1,"",IF(ISERROR(VLOOKUP(CONCATENATE(Input!D46," - Crushing Blow - ",$Y$1," - 1"),N:N,1,FALSE)),Input!$B$18,IF(RIGHT(VLOOKUP(CONCATENATE(Input!D46," - Crushing Blow - ",$Y$1," - 1"),N:N,1,FALSE),1)="1","",Input!$B$18)))</f>
        <v/>
      </c>
      <c r="E68" s="411" t="str">
        <f>IF(Input!Q46&lt;&gt;1,"",IF(ISERROR(VLOOKUP(CONCATENATE(Input!D46," - Crushing Blow - ",$Y$1," - 1"),N:N,1,FALSE)),D68+3,IF(RIGHT(VLOOKUP(CONCATENATE(Input!D46," - Crushing Blow - ",$Y$1," - 1"),N:N,1,FALSE),1)="1","",D68+3)))</f>
        <v/>
      </c>
      <c r="F68" s="540" t="str">
        <f>IF(Input!Q46&lt;&gt;1,"",IF(ISERROR(VLOOKUP(CONCATENATE(Input!D46," - Crushing Blow - ",$Y$1," - 1"),N:N,1,FALSE)),VLOOKUP(Input!D46,Math!$A$13:$AM$18,14,FALSE)*-0.75,IF(RIGHT(VLOOKUP(CONCATENATE(Input!D46," - Crushing Blow - ",$Y$1," - 1"),N:N,1,FALSE),1)="1","",VLOOKUP(Input!D46,Math!$A$13:$AM$18,14,FALSE)*-0.75)))</f>
        <v/>
      </c>
      <c r="G68" s="535"/>
      <c r="H68" s="536"/>
      <c r="I68" s="536"/>
      <c r="J68" s="536"/>
      <c r="K68" s="536"/>
      <c r="L68" s="537"/>
      <c r="M68" s="412">
        <f>IF(K68&gt;=Input!$B$18,1,0)</f>
        <v>0</v>
      </c>
      <c r="N68" s="159" t="str">
        <f t="shared" si="0"/>
        <v xml:space="preserve"> -  -  - 0</v>
      </c>
      <c r="O68" s="159">
        <f t="shared" si="1"/>
        <v>0</v>
      </c>
      <c r="Q68" s="159">
        <f t="shared" si="2"/>
        <v>0</v>
      </c>
      <c r="S68" s="159">
        <f t="shared" si="3"/>
        <v>0</v>
      </c>
      <c r="U68" s="159">
        <f t="shared" si="4"/>
        <v>0</v>
      </c>
      <c r="W68" s="159">
        <f t="shared" si="5"/>
        <v>0</v>
      </c>
      <c r="Y68" s="159">
        <f t="shared" si="6"/>
        <v>0</v>
      </c>
      <c r="AA68" s="159">
        <f t="shared" si="7"/>
        <v>0</v>
      </c>
      <c r="AC68" s="159">
        <f t="shared" si="8"/>
        <v>0</v>
      </c>
      <c r="AE68" s="159">
        <f t="shared" si="9"/>
        <v>0</v>
      </c>
      <c r="AG68" s="159">
        <f t="shared" si="10"/>
        <v>0</v>
      </c>
      <c r="AI68" s="159">
        <f t="shared" si="11"/>
        <v>0</v>
      </c>
      <c r="AK68" s="159">
        <f t="shared" si="12"/>
        <v>0</v>
      </c>
      <c r="AM68" s="159">
        <f t="shared" si="13"/>
        <v>0</v>
      </c>
      <c r="AO68" s="159">
        <f t="shared" si="14"/>
        <v>0</v>
      </c>
      <c r="AQ68" s="159">
        <f t="shared" si="15"/>
        <v>0</v>
      </c>
      <c r="AS68" s="159">
        <f t="shared" si="16"/>
        <v>0</v>
      </c>
      <c r="AU68" s="159">
        <f t="shared" si="17"/>
        <v>0</v>
      </c>
      <c r="AW68" s="159">
        <f t="shared" si="18"/>
        <v>0</v>
      </c>
    </row>
    <row r="69" spans="1:49" x14ac:dyDescent="0.2">
      <c r="A69" s="541"/>
      <c r="B69" s="541"/>
      <c r="C69" s="541"/>
      <c r="D69" s="541"/>
      <c r="E69" s="541"/>
      <c r="F69" s="541"/>
      <c r="G69" s="535"/>
      <c r="H69" s="536"/>
      <c r="I69" s="536"/>
      <c r="J69" s="536"/>
      <c r="K69" s="536"/>
      <c r="L69" s="537"/>
      <c r="M69" s="412">
        <f>IF(K69&gt;=Input!$B$18,1,0)</f>
        <v>0</v>
      </c>
      <c r="N69" s="159" t="str">
        <f t="shared" si="0"/>
        <v xml:space="preserve"> -  -  - 0</v>
      </c>
      <c r="O69" s="159">
        <f t="shared" si="1"/>
        <v>0</v>
      </c>
      <c r="Q69" s="159">
        <f t="shared" si="2"/>
        <v>0</v>
      </c>
      <c r="S69" s="159">
        <f t="shared" si="3"/>
        <v>0</v>
      </c>
      <c r="U69" s="159">
        <f t="shared" si="4"/>
        <v>0</v>
      </c>
      <c r="W69" s="159">
        <f t="shared" si="5"/>
        <v>0</v>
      </c>
      <c r="Y69" s="159">
        <f t="shared" si="6"/>
        <v>0</v>
      </c>
      <c r="AA69" s="159">
        <f t="shared" si="7"/>
        <v>0</v>
      </c>
      <c r="AC69" s="159">
        <f t="shared" si="8"/>
        <v>0</v>
      </c>
      <c r="AE69" s="159">
        <f t="shared" si="9"/>
        <v>0</v>
      </c>
      <c r="AG69" s="159">
        <f t="shared" si="10"/>
        <v>0</v>
      </c>
      <c r="AI69" s="159">
        <f t="shared" si="11"/>
        <v>0</v>
      </c>
      <c r="AK69" s="159">
        <f t="shared" si="12"/>
        <v>0</v>
      </c>
      <c r="AM69" s="159">
        <f t="shared" si="13"/>
        <v>0</v>
      </c>
      <c r="AO69" s="159">
        <f t="shared" si="14"/>
        <v>0</v>
      </c>
      <c r="AQ69" s="159">
        <f t="shared" si="15"/>
        <v>0</v>
      </c>
      <c r="AS69" s="159">
        <f t="shared" si="16"/>
        <v>0</v>
      </c>
      <c r="AU69" s="159">
        <f t="shared" si="17"/>
        <v>0</v>
      </c>
      <c r="AW69" s="159">
        <f t="shared" si="18"/>
        <v>0</v>
      </c>
    </row>
    <row r="70" spans="1:49" x14ac:dyDescent="0.2">
      <c r="A70" s="411"/>
      <c r="B70" s="411"/>
      <c r="C70" s="411"/>
      <c r="D70" s="411"/>
      <c r="E70" s="411"/>
      <c r="F70" s="411"/>
      <c r="G70" s="535"/>
      <c r="H70" s="536"/>
      <c r="I70" s="536"/>
      <c r="J70" s="536"/>
      <c r="K70" s="536"/>
      <c r="L70" s="537"/>
      <c r="M70" s="412">
        <f>IF(K70&gt;=Input!$B$18,1,0)</f>
        <v>0</v>
      </c>
      <c r="N70" s="159" t="str">
        <f t="shared" si="0"/>
        <v xml:space="preserve"> -  -  - 0</v>
      </c>
      <c r="O70" s="159">
        <f t="shared" si="1"/>
        <v>0</v>
      </c>
      <c r="Q70" s="159">
        <f t="shared" si="2"/>
        <v>0</v>
      </c>
      <c r="S70" s="159">
        <f t="shared" si="3"/>
        <v>0</v>
      </c>
      <c r="U70" s="159">
        <f t="shared" si="4"/>
        <v>0</v>
      </c>
      <c r="W70" s="159">
        <f t="shared" si="5"/>
        <v>0</v>
      </c>
      <c r="Y70" s="159">
        <f t="shared" si="6"/>
        <v>0</v>
      </c>
      <c r="AA70" s="159">
        <f t="shared" si="7"/>
        <v>0</v>
      </c>
      <c r="AC70" s="159">
        <f t="shared" si="8"/>
        <v>0</v>
      </c>
      <c r="AE70" s="159">
        <f t="shared" si="9"/>
        <v>0</v>
      </c>
      <c r="AG70" s="159">
        <f t="shared" si="10"/>
        <v>0</v>
      </c>
      <c r="AI70" s="159">
        <f t="shared" si="11"/>
        <v>0</v>
      </c>
      <c r="AK70" s="159">
        <f t="shared" si="12"/>
        <v>0</v>
      </c>
      <c r="AM70" s="159">
        <f t="shared" si="13"/>
        <v>0</v>
      </c>
      <c r="AO70" s="159">
        <f t="shared" si="14"/>
        <v>0</v>
      </c>
      <c r="AQ70" s="159">
        <f t="shared" si="15"/>
        <v>0</v>
      </c>
      <c r="AS70" s="159">
        <f t="shared" si="16"/>
        <v>0</v>
      </c>
      <c r="AU70" s="159">
        <f t="shared" si="17"/>
        <v>0</v>
      </c>
      <c r="AW70" s="159">
        <f t="shared" si="18"/>
        <v>0</v>
      </c>
    </row>
    <row r="71" spans="1:49" x14ac:dyDescent="0.2">
      <c r="A71" s="411"/>
      <c r="B71" s="411"/>
      <c r="C71" s="611" t="s">
        <v>430</v>
      </c>
      <c r="D71" s="575"/>
      <c r="E71" s="411"/>
      <c r="F71" s="411"/>
      <c r="G71" s="535"/>
      <c r="H71" s="536"/>
      <c r="I71" s="536"/>
      <c r="J71" s="536"/>
      <c r="K71" s="536"/>
      <c r="L71" s="537"/>
      <c r="M71" s="412">
        <f>IF(K71&gt;=Input!$B$18,1,0)</f>
        <v>0</v>
      </c>
      <c r="N71" s="159" t="str">
        <f t="shared" si="0"/>
        <v xml:space="preserve"> -  -  - 0</v>
      </c>
      <c r="O71" s="159">
        <f t="shared" si="1"/>
        <v>0</v>
      </c>
      <c r="Q71" s="159">
        <f t="shared" si="2"/>
        <v>0</v>
      </c>
      <c r="S71" s="159">
        <f t="shared" si="3"/>
        <v>0</v>
      </c>
      <c r="U71" s="159">
        <f t="shared" si="4"/>
        <v>0</v>
      </c>
      <c r="W71" s="159">
        <f t="shared" si="5"/>
        <v>0</v>
      </c>
      <c r="Y71" s="159">
        <f t="shared" si="6"/>
        <v>0</v>
      </c>
      <c r="AA71" s="159">
        <f t="shared" si="7"/>
        <v>0</v>
      </c>
      <c r="AC71" s="159">
        <f t="shared" si="8"/>
        <v>0</v>
      </c>
      <c r="AE71" s="159">
        <f t="shared" si="9"/>
        <v>0</v>
      </c>
      <c r="AG71" s="159">
        <f t="shared" si="10"/>
        <v>0</v>
      </c>
      <c r="AI71" s="159">
        <f t="shared" si="11"/>
        <v>0</v>
      </c>
      <c r="AK71" s="159">
        <f t="shared" si="12"/>
        <v>0</v>
      </c>
      <c r="AM71" s="159">
        <f t="shared" si="13"/>
        <v>0</v>
      </c>
      <c r="AO71" s="159">
        <f t="shared" si="14"/>
        <v>0</v>
      </c>
      <c r="AQ71" s="159">
        <f t="shared" si="15"/>
        <v>0</v>
      </c>
      <c r="AS71" s="159">
        <f t="shared" si="16"/>
        <v>0</v>
      </c>
      <c r="AU71" s="159">
        <f t="shared" si="17"/>
        <v>0</v>
      </c>
      <c r="AW71" s="159">
        <f t="shared" si="18"/>
        <v>0</v>
      </c>
    </row>
    <row r="72" spans="1:49" x14ac:dyDescent="0.2">
      <c r="A72" s="411"/>
      <c r="B72" s="411"/>
      <c r="C72" s="200" t="s">
        <v>129</v>
      </c>
      <c r="D72" s="201">
        <v>3</v>
      </c>
      <c r="E72" s="411" t="s">
        <v>431</v>
      </c>
      <c r="F72" s="411"/>
      <c r="G72" s="535"/>
      <c r="H72" s="536"/>
      <c r="I72" s="536"/>
      <c r="J72" s="536"/>
      <c r="K72" s="536"/>
      <c r="L72" s="537"/>
      <c r="M72" s="412">
        <f>IF(K72&gt;=Input!$B$18,1,0)</f>
        <v>0</v>
      </c>
      <c r="N72" s="159" t="str">
        <f t="shared" si="0"/>
        <v xml:space="preserve"> -  -  - 0</v>
      </c>
      <c r="O72" s="159">
        <f t="shared" si="1"/>
        <v>0</v>
      </c>
      <c r="Q72" s="159">
        <f t="shared" si="2"/>
        <v>0</v>
      </c>
      <c r="S72" s="159">
        <f t="shared" si="3"/>
        <v>0</v>
      </c>
      <c r="U72" s="159">
        <f t="shared" si="4"/>
        <v>0</v>
      </c>
      <c r="W72" s="159">
        <f t="shared" si="5"/>
        <v>0</v>
      </c>
      <c r="Y72" s="159">
        <f t="shared" si="6"/>
        <v>0</v>
      </c>
      <c r="AA72" s="159">
        <f t="shared" si="7"/>
        <v>0</v>
      </c>
      <c r="AC72" s="159">
        <f t="shared" si="8"/>
        <v>0</v>
      </c>
      <c r="AE72" s="159">
        <f t="shared" si="9"/>
        <v>0</v>
      </c>
      <c r="AG72" s="159">
        <f t="shared" si="10"/>
        <v>0</v>
      </c>
      <c r="AI72" s="159">
        <f t="shared" si="11"/>
        <v>0</v>
      </c>
      <c r="AK72" s="159">
        <f t="shared" si="12"/>
        <v>0</v>
      </c>
      <c r="AM72" s="159">
        <f t="shared" si="13"/>
        <v>0</v>
      </c>
      <c r="AO72" s="159">
        <f t="shared" si="14"/>
        <v>0</v>
      </c>
      <c r="AQ72" s="159">
        <f t="shared" si="15"/>
        <v>0</v>
      </c>
      <c r="AS72" s="159">
        <f t="shared" si="16"/>
        <v>0</v>
      </c>
      <c r="AU72" s="159">
        <f t="shared" si="17"/>
        <v>0</v>
      </c>
      <c r="AW72" s="159">
        <f t="shared" si="18"/>
        <v>0</v>
      </c>
    </row>
    <row r="73" spans="1:49" x14ac:dyDescent="0.2">
      <c r="A73" s="411"/>
      <c r="B73" s="411"/>
      <c r="C73" s="171" t="s">
        <v>131</v>
      </c>
      <c r="D73" s="209">
        <v>3</v>
      </c>
      <c r="E73" s="542">
        <f>IF(HLOOKUP("*",A20:A34,D73-2,FALSE)="",0,1)</f>
        <v>0</v>
      </c>
      <c r="F73" s="411"/>
      <c r="G73" s="535"/>
      <c r="H73" s="536"/>
      <c r="I73" s="536"/>
      <c r="J73" s="536"/>
      <c r="K73" s="536"/>
      <c r="L73" s="537"/>
      <c r="M73" s="412">
        <f>IF(K73&gt;=Input!$B$18,1,0)</f>
        <v>0</v>
      </c>
      <c r="N73" s="159" t="str">
        <f t="shared" si="0"/>
        <v xml:space="preserve"> -  -  - 0</v>
      </c>
      <c r="O73" s="159">
        <f t="shared" si="1"/>
        <v>0</v>
      </c>
      <c r="Q73" s="159">
        <f t="shared" si="2"/>
        <v>0</v>
      </c>
      <c r="S73" s="159">
        <f t="shared" si="3"/>
        <v>0</v>
      </c>
      <c r="U73" s="159">
        <f t="shared" si="4"/>
        <v>0</v>
      </c>
      <c r="W73" s="159">
        <f t="shared" si="5"/>
        <v>0</v>
      </c>
      <c r="Y73" s="159">
        <f t="shared" si="6"/>
        <v>0</v>
      </c>
      <c r="AA73" s="159">
        <f t="shared" si="7"/>
        <v>0</v>
      </c>
      <c r="AC73" s="159">
        <f t="shared" si="8"/>
        <v>0</v>
      </c>
      <c r="AE73" s="159">
        <f t="shared" si="9"/>
        <v>0</v>
      </c>
      <c r="AG73" s="159">
        <f t="shared" si="10"/>
        <v>0</v>
      </c>
      <c r="AI73" s="159">
        <f t="shared" si="11"/>
        <v>0</v>
      </c>
      <c r="AK73" s="159">
        <f t="shared" si="12"/>
        <v>0</v>
      </c>
      <c r="AM73" s="159">
        <f t="shared" si="13"/>
        <v>0</v>
      </c>
      <c r="AO73" s="159">
        <f t="shared" si="14"/>
        <v>0</v>
      </c>
      <c r="AQ73" s="159">
        <f t="shared" si="15"/>
        <v>0</v>
      </c>
      <c r="AS73" s="159">
        <f t="shared" si="16"/>
        <v>0</v>
      </c>
      <c r="AU73" s="159">
        <f t="shared" si="17"/>
        <v>0</v>
      </c>
      <c r="AW73" s="159">
        <f t="shared" si="18"/>
        <v>0</v>
      </c>
    </row>
    <row r="74" spans="1:49" x14ac:dyDescent="0.2">
      <c r="A74" s="411"/>
      <c r="B74" s="411"/>
      <c r="C74" s="171" t="s">
        <v>133</v>
      </c>
      <c r="D74" s="209">
        <v>2</v>
      </c>
      <c r="E74" s="411"/>
      <c r="F74" s="411"/>
      <c r="G74" s="535"/>
      <c r="H74" s="536"/>
      <c r="I74" s="536"/>
      <c r="J74" s="536"/>
      <c r="K74" s="536"/>
      <c r="L74" s="537"/>
      <c r="M74" s="412">
        <f>IF(K74&gt;=Input!$B$18,1,0)</f>
        <v>0</v>
      </c>
      <c r="N74" s="159" t="str">
        <f t="shared" si="0"/>
        <v xml:space="preserve"> -  -  - 0</v>
      </c>
      <c r="O74" s="159">
        <f t="shared" si="1"/>
        <v>0</v>
      </c>
      <c r="Q74" s="159">
        <f t="shared" si="2"/>
        <v>0</v>
      </c>
      <c r="S74" s="159">
        <f t="shared" si="3"/>
        <v>0</v>
      </c>
      <c r="U74" s="159">
        <f t="shared" si="4"/>
        <v>0</v>
      </c>
      <c r="W74" s="159">
        <f t="shared" si="5"/>
        <v>0</v>
      </c>
      <c r="Y74" s="159">
        <f t="shared" si="6"/>
        <v>0</v>
      </c>
      <c r="AA74" s="159">
        <f t="shared" si="7"/>
        <v>0</v>
      </c>
      <c r="AC74" s="159">
        <f t="shared" si="8"/>
        <v>0</v>
      </c>
      <c r="AE74" s="159">
        <f t="shared" si="9"/>
        <v>0</v>
      </c>
      <c r="AG74" s="159">
        <f t="shared" si="10"/>
        <v>0</v>
      </c>
      <c r="AI74" s="159">
        <f t="shared" si="11"/>
        <v>0</v>
      </c>
      <c r="AK74" s="159">
        <f t="shared" si="12"/>
        <v>0</v>
      </c>
      <c r="AM74" s="159">
        <f t="shared" si="13"/>
        <v>0</v>
      </c>
      <c r="AO74" s="159">
        <f t="shared" si="14"/>
        <v>0</v>
      </c>
      <c r="AQ74" s="159">
        <f t="shared" si="15"/>
        <v>0</v>
      </c>
      <c r="AS74" s="159">
        <f t="shared" si="16"/>
        <v>0</v>
      </c>
      <c r="AU74" s="159">
        <f t="shared" si="17"/>
        <v>0</v>
      </c>
      <c r="AW74" s="159">
        <f t="shared" si="18"/>
        <v>0</v>
      </c>
    </row>
    <row r="75" spans="1:49" x14ac:dyDescent="0.2">
      <c r="A75" s="411"/>
      <c r="B75" s="411"/>
      <c r="C75" s="180" t="s">
        <v>134</v>
      </c>
      <c r="D75" s="218">
        <v>2</v>
      </c>
      <c r="E75" s="411"/>
      <c r="F75" s="411"/>
      <c r="G75" s="535"/>
      <c r="H75" s="536"/>
      <c r="I75" s="536"/>
      <c r="J75" s="536"/>
      <c r="K75" s="536"/>
      <c r="L75" s="537"/>
      <c r="M75" s="412">
        <f>IF(K75&gt;=Input!$B$18,1,0)</f>
        <v>0</v>
      </c>
      <c r="N75" s="159" t="str">
        <f t="shared" si="0"/>
        <v xml:space="preserve"> -  -  - 0</v>
      </c>
      <c r="O75" s="159">
        <f t="shared" si="1"/>
        <v>0</v>
      </c>
      <c r="Q75" s="159">
        <f t="shared" si="2"/>
        <v>0</v>
      </c>
      <c r="S75" s="159">
        <f t="shared" si="3"/>
        <v>0</v>
      </c>
      <c r="U75" s="159">
        <f t="shared" si="4"/>
        <v>0</v>
      </c>
      <c r="W75" s="159">
        <f t="shared" si="5"/>
        <v>0</v>
      </c>
      <c r="Y75" s="159">
        <f t="shared" si="6"/>
        <v>0</v>
      </c>
      <c r="AA75" s="159">
        <f t="shared" si="7"/>
        <v>0</v>
      </c>
      <c r="AC75" s="159">
        <f t="shared" si="8"/>
        <v>0</v>
      </c>
      <c r="AE75" s="159">
        <f t="shared" si="9"/>
        <v>0</v>
      </c>
      <c r="AG75" s="159">
        <f t="shared" si="10"/>
        <v>0</v>
      </c>
      <c r="AI75" s="159">
        <f t="shared" si="11"/>
        <v>0</v>
      </c>
      <c r="AK75" s="159">
        <f t="shared" si="12"/>
        <v>0</v>
      </c>
      <c r="AM75" s="159">
        <f t="shared" si="13"/>
        <v>0</v>
      </c>
      <c r="AO75" s="159">
        <f t="shared" si="14"/>
        <v>0</v>
      </c>
      <c r="AQ75" s="159">
        <f t="shared" si="15"/>
        <v>0</v>
      </c>
      <c r="AS75" s="159">
        <f t="shared" si="16"/>
        <v>0</v>
      </c>
      <c r="AU75" s="159">
        <f t="shared" si="17"/>
        <v>0</v>
      </c>
      <c r="AW75" s="159">
        <f t="shared" si="18"/>
        <v>0</v>
      </c>
    </row>
    <row r="76" spans="1:49" x14ac:dyDescent="0.2">
      <c r="A76" s="411"/>
      <c r="B76" s="411"/>
      <c r="C76" s="411"/>
      <c r="D76" s="411"/>
      <c r="E76" s="411"/>
      <c r="F76" s="411"/>
      <c r="G76" s="535"/>
      <c r="H76" s="536"/>
      <c r="I76" s="536"/>
      <c r="J76" s="536"/>
      <c r="K76" s="536"/>
      <c r="L76" s="537"/>
      <c r="M76" s="412">
        <f>IF(K76&gt;=Input!$B$18,1,0)</f>
        <v>0</v>
      </c>
      <c r="N76" s="159" t="str">
        <f t="shared" si="0"/>
        <v xml:space="preserve"> -  -  - 0</v>
      </c>
      <c r="O76" s="159">
        <f t="shared" si="1"/>
        <v>0</v>
      </c>
      <c r="Q76" s="159">
        <f t="shared" si="2"/>
        <v>0</v>
      </c>
      <c r="S76" s="159">
        <f t="shared" si="3"/>
        <v>0</v>
      </c>
      <c r="U76" s="159">
        <f t="shared" si="4"/>
        <v>0</v>
      </c>
      <c r="W76" s="159">
        <f t="shared" si="5"/>
        <v>0</v>
      </c>
      <c r="Y76" s="159">
        <f t="shared" si="6"/>
        <v>0</v>
      </c>
      <c r="AA76" s="159">
        <f t="shared" si="7"/>
        <v>0</v>
      </c>
      <c r="AC76" s="159">
        <f t="shared" si="8"/>
        <v>0</v>
      </c>
      <c r="AE76" s="159">
        <f t="shared" si="9"/>
        <v>0</v>
      </c>
      <c r="AG76" s="159">
        <f t="shared" si="10"/>
        <v>0</v>
      </c>
      <c r="AI76" s="159">
        <f t="shared" si="11"/>
        <v>0</v>
      </c>
      <c r="AK76" s="159">
        <f t="shared" si="12"/>
        <v>0</v>
      </c>
      <c r="AM76" s="159">
        <f t="shared" si="13"/>
        <v>0</v>
      </c>
      <c r="AO76" s="159">
        <f t="shared" si="14"/>
        <v>0</v>
      </c>
      <c r="AQ76" s="159">
        <f t="shared" si="15"/>
        <v>0</v>
      </c>
      <c r="AS76" s="159">
        <f t="shared" si="16"/>
        <v>0</v>
      </c>
      <c r="AU76" s="159">
        <f t="shared" si="17"/>
        <v>0</v>
      </c>
      <c r="AW76" s="159">
        <f t="shared" si="18"/>
        <v>0</v>
      </c>
    </row>
    <row r="77" spans="1:49" x14ac:dyDescent="0.2">
      <c r="A77" s="411"/>
      <c r="B77" s="411"/>
      <c r="C77" s="411"/>
      <c r="D77" s="411"/>
      <c r="E77" s="411"/>
      <c r="F77" s="411"/>
      <c r="G77" s="535"/>
      <c r="H77" s="536"/>
      <c r="I77" s="536"/>
      <c r="J77" s="536"/>
      <c r="K77" s="536"/>
      <c r="L77" s="537"/>
      <c r="M77" s="412">
        <f>IF(K77&gt;=Input!$B$18,1,0)</f>
        <v>0</v>
      </c>
      <c r="N77" s="159" t="str">
        <f t="shared" si="0"/>
        <v xml:space="preserve"> -  -  - 0</v>
      </c>
      <c r="O77" s="159">
        <f t="shared" si="1"/>
        <v>0</v>
      </c>
      <c r="Q77" s="159">
        <f t="shared" si="2"/>
        <v>0</v>
      </c>
      <c r="S77" s="159">
        <f t="shared" si="3"/>
        <v>0</v>
      </c>
      <c r="U77" s="159">
        <f t="shared" si="4"/>
        <v>0</v>
      </c>
      <c r="W77" s="159">
        <f t="shared" si="5"/>
        <v>0</v>
      </c>
      <c r="Y77" s="159">
        <f t="shared" si="6"/>
        <v>0</v>
      </c>
      <c r="AA77" s="159">
        <f t="shared" si="7"/>
        <v>0</v>
      </c>
      <c r="AC77" s="159">
        <f t="shared" si="8"/>
        <v>0</v>
      </c>
      <c r="AE77" s="159">
        <f t="shared" si="9"/>
        <v>0</v>
      </c>
      <c r="AG77" s="159">
        <f t="shared" si="10"/>
        <v>0</v>
      </c>
      <c r="AI77" s="159">
        <f t="shared" si="11"/>
        <v>0</v>
      </c>
      <c r="AK77" s="159">
        <f t="shared" si="12"/>
        <v>0</v>
      </c>
      <c r="AM77" s="159">
        <f t="shared" si="13"/>
        <v>0</v>
      </c>
      <c r="AO77" s="159">
        <f t="shared" si="14"/>
        <v>0</v>
      </c>
      <c r="AQ77" s="159">
        <f t="shared" si="15"/>
        <v>0</v>
      </c>
      <c r="AS77" s="159">
        <f t="shared" si="16"/>
        <v>0</v>
      </c>
      <c r="AU77" s="159">
        <f t="shared" si="17"/>
        <v>0</v>
      </c>
      <c r="AW77" s="159">
        <f t="shared" si="18"/>
        <v>0</v>
      </c>
    </row>
    <row r="78" spans="1:49" x14ac:dyDescent="0.2">
      <c r="A78" s="411"/>
      <c r="B78" s="411"/>
      <c r="C78" s="411"/>
      <c r="D78" s="411"/>
      <c r="E78" s="411"/>
      <c r="F78" s="411"/>
      <c r="G78" s="535"/>
      <c r="H78" s="536"/>
      <c r="I78" s="536"/>
      <c r="J78" s="536"/>
      <c r="K78" s="536"/>
      <c r="L78" s="537"/>
      <c r="M78" s="412">
        <f>IF(K78&gt;=Input!$B$18,1,0)</f>
        <v>0</v>
      </c>
      <c r="N78" s="159" t="str">
        <f t="shared" si="0"/>
        <v xml:space="preserve"> -  -  - 0</v>
      </c>
      <c r="O78" s="159">
        <f t="shared" si="1"/>
        <v>0</v>
      </c>
      <c r="Q78" s="159">
        <f t="shared" si="2"/>
        <v>0</v>
      </c>
      <c r="S78" s="159">
        <f t="shared" si="3"/>
        <v>0</v>
      </c>
      <c r="U78" s="159">
        <f t="shared" si="4"/>
        <v>0</v>
      </c>
      <c r="W78" s="159">
        <f t="shared" si="5"/>
        <v>0</v>
      </c>
      <c r="Y78" s="159">
        <f t="shared" si="6"/>
        <v>0</v>
      </c>
      <c r="AA78" s="159">
        <f t="shared" si="7"/>
        <v>0</v>
      </c>
      <c r="AC78" s="159">
        <f t="shared" si="8"/>
        <v>0</v>
      </c>
      <c r="AE78" s="159">
        <f t="shared" si="9"/>
        <v>0</v>
      </c>
      <c r="AG78" s="159">
        <f t="shared" si="10"/>
        <v>0</v>
      </c>
      <c r="AI78" s="159">
        <f t="shared" si="11"/>
        <v>0</v>
      </c>
      <c r="AK78" s="159">
        <f t="shared" si="12"/>
        <v>0</v>
      </c>
      <c r="AM78" s="159">
        <f t="shared" si="13"/>
        <v>0</v>
      </c>
      <c r="AO78" s="159">
        <f t="shared" si="14"/>
        <v>0</v>
      </c>
      <c r="AQ78" s="159">
        <f t="shared" si="15"/>
        <v>0</v>
      </c>
      <c r="AS78" s="159">
        <f t="shared" si="16"/>
        <v>0</v>
      </c>
      <c r="AU78" s="159">
        <f t="shared" si="17"/>
        <v>0</v>
      </c>
      <c r="AW78" s="159">
        <f t="shared" si="18"/>
        <v>0</v>
      </c>
    </row>
    <row r="79" spans="1:49" x14ac:dyDescent="0.2">
      <c r="A79" s="411"/>
      <c r="B79" s="411"/>
      <c r="C79" s="411"/>
      <c r="D79" s="411"/>
      <c r="E79" s="411"/>
      <c r="F79" s="411"/>
      <c r="G79" s="535"/>
      <c r="H79" s="536"/>
      <c r="I79" s="536"/>
      <c r="J79" s="536"/>
      <c r="K79" s="536"/>
      <c r="L79" s="537"/>
      <c r="M79" s="412">
        <f>IF(K79&gt;=Input!$B$18,1,0)</f>
        <v>0</v>
      </c>
      <c r="N79" s="159" t="str">
        <f t="shared" si="0"/>
        <v xml:space="preserve"> -  -  - 0</v>
      </c>
      <c r="O79" s="159">
        <f t="shared" si="1"/>
        <v>0</v>
      </c>
      <c r="Q79" s="159">
        <f t="shared" si="2"/>
        <v>0</v>
      </c>
      <c r="S79" s="159">
        <f t="shared" si="3"/>
        <v>0</v>
      </c>
      <c r="U79" s="159">
        <f t="shared" si="4"/>
        <v>0</v>
      </c>
      <c r="W79" s="159">
        <f t="shared" si="5"/>
        <v>0</v>
      </c>
      <c r="Y79" s="159">
        <f t="shared" si="6"/>
        <v>0</v>
      </c>
      <c r="AA79" s="159">
        <f t="shared" si="7"/>
        <v>0</v>
      </c>
      <c r="AC79" s="159">
        <f t="shared" si="8"/>
        <v>0</v>
      </c>
      <c r="AE79" s="159">
        <f t="shared" si="9"/>
        <v>0</v>
      </c>
      <c r="AG79" s="159">
        <f t="shared" si="10"/>
        <v>0</v>
      </c>
      <c r="AI79" s="159">
        <f t="shared" si="11"/>
        <v>0</v>
      </c>
      <c r="AK79" s="159">
        <f t="shared" si="12"/>
        <v>0</v>
      </c>
      <c r="AM79" s="159">
        <f t="shared" si="13"/>
        <v>0</v>
      </c>
      <c r="AO79" s="159">
        <f t="shared" si="14"/>
        <v>0</v>
      </c>
      <c r="AQ79" s="159">
        <f t="shared" si="15"/>
        <v>0</v>
      </c>
      <c r="AS79" s="159">
        <f t="shared" si="16"/>
        <v>0</v>
      </c>
      <c r="AU79" s="159">
        <f t="shared" si="17"/>
        <v>0</v>
      </c>
      <c r="AW79" s="159">
        <f t="shared" si="18"/>
        <v>0</v>
      </c>
    </row>
    <row r="80" spans="1:49" x14ac:dyDescent="0.2">
      <c r="A80" s="411"/>
      <c r="B80" s="411"/>
      <c r="C80" s="411"/>
      <c r="D80" s="411"/>
      <c r="E80" s="411"/>
      <c r="F80" s="411"/>
      <c r="G80" s="535"/>
      <c r="H80" s="536"/>
      <c r="I80" s="536"/>
      <c r="J80" s="536"/>
      <c r="K80" s="536"/>
      <c r="L80" s="537"/>
      <c r="M80" s="412">
        <f>IF(K80&gt;=Input!$B$18,1,0)</f>
        <v>0</v>
      </c>
      <c r="N80" s="159" t="str">
        <f t="shared" si="0"/>
        <v xml:space="preserve"> -  -  - 0</v>
      </c>
      <c r="O80" s="159">
        <f t="shared" si="1"/>
        <v>0</v>
      </c>
      <c r="Q80" s="159">
        <f t="shared" si="2"/>
        <v>0</v>
      </c>
      <c r="S80" s="159">
        <f t="shared" si="3"/>
        <v>0</v>
      </c>
      <c r="U80" s="159">
        <f t="shared" si="4"/>
        <v>0</v>
      </c>
      <c r="W80" s="159">
        <f t="shared" si="5"/>
        <v>0</v>
      </c>
      <c r="Y80" s="159">
        <f t="shared" si="6"/>
        <v>0</v>
      </c>
      <c r="AA80" s="159">
        <f t="shared" si="7"/>
        <v>0</v>
      </c>
      <c r="AC80" s="159">
        <f t="shared" si="8"/>
        <v>0</v>
      </c>
      <c r="AE80" s="159">
        <f t="shared" si="9"/>
        <v>0</v>
      </c>
      <c r="AG80" s="159">
        <f t="shared" si="10"/>
        <v>0</v>
      </c>
      <c r="AI80" s="159">
        <f t="shared" si="11"/>
        <v>0</v>
      </c>
      <c r="AK80" s="159">
        <f t="shared" si="12"/>
        <v>0</v>
      </c>
      <c r="AM80" s="159">
        <f t="shared" si="13"/>
        <v>0</v>
      </c>
      <c r="AO80" s="159">
        <f t="shared" si="14"/>
        <v>0</v>
      </c>
      <c r="AQ80" s="159">
        <f t="shared" si="15"/>
        <v>0</v>
      </c>
      <c r="AS80" s="159">
        <f t="shared" si="16"/>
        <v>0</v>
      </c>
      <c r="AU80" s="159">
        <f t="shared" si="17"/>
        <v>0</v>
      </c>
      <c r="AW80" s="159">
        <f t="shared" si="18"/>
        <v>0</v>
      </c>
    </row>
    <row r="81" spans="1:49" x14ac:dyDescent="0.2">
      <c r="A81" s="411"/>
      <c r="B81" s="411"/>
      <c r="C81" s="411"/>
      <c r="D81" s="411"/>
      <c r="E81" s="411"/>
      <c r="F81" s="411"/>
      <c r="G81" s="535"/>
      <c r="H81" s="536"/>
      <c r="I81" s="536"/>
      <c r="J81" s="536"/>
      <c r="K81" s="536"/>
      <c r="L81" s="537"/>
      <c r="M81" s="412">
        <f>IF(K81&gt;=Input!$B$18,1,0)</f>
        <v>0</v>
      </c>
      <c r="N81" s="159" t="str">
        <f t="shared" si="0"/>
        <v xml:space="preserve"> -  -  - 0</v>
      </c>
      <c r="O81" s="159">
        <f t="shared" si="1"/>
        <v>0</v>
      </c>
      <c r="Q81" s="159">
        <f t="shared" si="2"/>
        <v>0</v>
      </c>
      <c r="S81" s="159">
        <f t="shared" si="3"/>
        <v>0</v>
      </c>
      <c r="U81" s="159">
        <f t="shared" si="4"/>
        <v>0</v>
      </c>
      <c r="W81" s="159">
        <f t="shared" si="5"/>
        <v>0</v>
      </c>
      <c r="Y81" s="159">
        <f t="shared" si="6"/>
        <v>0</v>
      </c>
      <c r="AA81" s="159">
        <f t="shared" si="7"/>
        <v>0</v>
      </c>
      <c r="AC81" s="159">
        <f t="shared" si="8"/>
        <v>0</v>
      </c>
      <c r="AE81" s="159">
        <f t="shared" si="9"/>
        <v>0</v>
      </c>
      <c r="AG81" s="159">
        <f t="shared" si="10"/>
        <v>0</v>
      </c>
      <c r="AI81" s="159">
        <f t="shared" si="11"/>
        <v>0</v>
      </c>
      <c r="AK81" s="159">
        <f t="shared" si="12"/>
        <v>0</v>
      </c>
      <c r="AM81" s="159">
        <f t="shared" si="13"/>
        <v>0</v>
      </c>
      <c r="AO81" s="159">
        <f t="shared" si="14"/>
        <v>0</v>
      </c>
      <c r="AQ81" s="159">
        <f t="shared" si="15"/>
        <v>0</v>
      </c>
      <c r="AS81" s="159">
        <f t="shared" si="16"/>
        <v>0</v>
      </c>
      <c r="AU81" s="159">
        <f t="shared" si="17"/>
        <v>0</v>
      </c>
      <c r="AW81" s="159">
        <f t="shared" si="18"/>
        <v>0</v>
      </c>
    </row>
    <row r="82" spans="1:49" x14ac:dyDescent="0.2">
      <c r="A82" s="411"/>
      <c r="B82" s="411"/>
      <c r="C82" s="411"/>
      <c r="D82" s="411"/>
      <c r="E82" s="411"/>
      <c r="F82" s="411"/>
      <c r="G82" s="535"/>
      <c r="H82" s="536"/>
      <c r="I82" s="536"/>
      <c r="J82" s="536"/>
      <c r="K82" s="536"/>
      <c r="L82" s="537"/>
      <c r="M82" s="412">
        <f>IF(K82&gt;=Input!$B$18,1,0)</f>
        <v>0</v>
      </c>
      <c r="N82" s="159" t="str">
        <f t="shared" si="0"/>
        <v xml:space="preserve"> -  -  - 0</v>
      </c>
      <c r="O82" s="159">
        <f t="shared" si="1"/>
        <v>0</v>
      </c>
      <c r="Q82" s="159">
        <f t="shared" si="2"/>
        <v>0</v>
      </c>
      <c r="S82" s="159">
        <f t="shared" si="3"/>
        <v>0</v>
      </c>
      <c r="U82" s="159">
        <f t="shared" si="4"/>
        <v>0</v>
      </c>
      <c r="W82" s="159">
        <f t="shared" si="5"/>
        <v>0</v>
      </c>
      <c r="Y82" s="159">
        <f t="shared" si="6"/>
        <v>0</v>
      </c>
      <c r="AA82" s="159">
        <f t="shared" si="7"/>
        <v>0</v>
      </c>
      <c r="AC82" s="159">
        <f t="shared" si="8"/>
        <v>0</v>
      </c>
      <c r="AE82" s="159">
        <f t="shared" si="9"/>
        <v>0</v>
      </c>
      <c r="AG82" s="159">
        <f t="shared" si="10"/>
        <v>0</v>
      </c>
      <c r="AI82" s="159">
        <f t="shared" si="11"/>
        <v>0</v>
      </c>
      <c r="AK82" s="159">
        <f t="shared" si="12"/>
        <v>0</v>
      </c>
      <c r="AM82" s="159">
        <f t="shared" si="13"/>
        <v>0</v>
      </c>
      <c r="AO82" s="159">
        <f t="shared" si="14"/>
        <v>0</v>
      </c>
      <c r="AQ82" s="159">
        <f t="shared" si="15"/>
        <v>0</v>
      </c>
      <c r="AS82" s="159">
        <f t="shared" si="16"/>
        <v>0</v>
      </c>
      <c r="AU82" s="159">
        <f t="shared" si="17"/>
        <v>0</v>
      </c>
      <c r="AW82" s="159">
        <f t="shared" si="18"/>
        <v>0</v>
      </c>
    </row>
    <row r="83" spans="1:49" x14ac:dyDescent="0.2">
      <c r="A83" s="411"/>
      <c r="B83" s="411"/>
      <c r="C83" s="411"/>
      <c r="D83" s="411"/>
      <c r="E83" s="411"/>
      <c r="F83" s="411"/>
      <c r="G83" s="535"/>
      <c r="H83" s="536"/>
      <c r="I83" s="536"/>
      <c r="J83" s="536"/>
      <c r="K83" s="536"/>
      <c r="L83" s="537"/>
      <c r="M83" s="412">
        <f>IF(K83&gt;=Input!$B$18,1,0)</f>
        <v>0</v>
      </c>
      <c r="N83" s="159" t="str">
        <f t="shared" si="0"/>
        <v xml:space="preserve"> -  -  - 0</v>
      </c>
      <c r="O83" s="159">
        <f t="shared" si="1"/>
        <v>0</v>
      </c>
      <c r="Q83" s="159">
        <f t="shared" si="2"/>
        <v>0</v>
      </c>
      <c r="S83" s="159">
        <f t="shared" si="3"/>
        <v>0</v>
      </c>
      <c r="U83" s="159">
        <f t="shared" si="4"/>
        <v>0</v>
      </c>
      <c r="W83" s="159">
        <f t="shared" si="5"/>
        <v>0</v>
      </c>
      <c r="Y83" s="159">
        <f t="shared" si="6"/>
        <v>0</v>
      </c>
      <c r="AA83" s="159">
        <f t="shared" si="7"/>
        <v>0</v>
      </c>
      <c r="AC83" s="159">
        <f t="shared" si="8"/>
        <v>0</v>
      </c>
      <c r="AE83" s="159">
        <f t="shared" si="9"/>
        <v>0</v>
      </c>
      <c r="AG83" s="159">
        <f t="shared" si="10"/>
        <v>0</v>
      </c>
      <c r="AI83" s="159">
        <f t="shared" si="11"/>
        <v>0</v>
      </c>
      <c r="AK83" s="159">
        <f t="shared" si="12"/>
        <v>0</v>
      </c>
      <c r="AM83" s="159">
        <f t="shared" si="13"/>
        <v>0</v>
      </c>
      <c r="AO83" s="159">
        <f t="shared" si="14"/>
        <v>0</v>
      </c>
      <c r="AQ83" s="159">
        <f t="shared" si="15"/>
        <v>0</v>
      </c>
      <c r="AS83" s="159">
        <f t="shared" si="16"/>
        <v>0</v>
      </c>
      <c r="AU83" s="159">
        <f t="shared" si="17"/>
        <v>0</v>
      </c>
      <c r="AW83" s="159">
        <f t="shared" si="18"/>
        <v>0</v>
      </c>
    </row>
    <row r="84" spans="1:49" x14ac:dyDescent="0.2">
      <c r="A84" s="411"/>
      <c r="B84" s="411"/>
      <c r="C84" s="411"/>
      <c r="D84" s="411"/>
      <c r="E84" s="411"/>
      <c r="F84" s="411"/>
      <c r="G84" s="535"/>
      <c r="H84" s="536"/>
      <c r="I84" s="536"/>
      <c r="J84" s="536"/>
      <c r="K84" s="536"/>
      <c r="L84" s="537"/>
      <c r="M84" s="412">
        <f>IF(K84&gt;=Input!$B$18,1,0)</f>
        <v>0</v>
      </c>
      <c r="N84" s="159" t="str">
        <f t="shared" si="0"/>
        <v xml:space="preserve"> -  -  - 0</v>
      </c>
      <c r="O84" s="159">
        <f t="shared" si="1"/>
        <v>0</v>
      </c>
      <c r="Q84" s="159">
        <f t="shared" si="2"/>
        <v>0</v>
      </c>
      <c r="S84" s="159">
        <f t="shared" si="3"/>
        <v>0</v>
      </c>
      <c r="U84" s="159">
        <f t="shared" si="4"/>
        <v>0</v>
      </c>
      <c r="W84" s="159">
        <f t="shared" si="5"/>
        <v>0</v>
      </c>
      <c r="Y84" s="159">
        <f t="shared" si="6"/>
        <v>0</v>
      </c>
      <c r="AA84" s="159">
        <f t="shared" si="7"/>
        <v>0</v>
      </c>
      <c r="AC84" s="159">
        <f t="shared" si="8"/>
        <v>0</v>
      </c>
      <c r="AE84" s="159">
        <f t="shared" si="9"/>
        <v>0</v>
      </c>
      <c r="AG84" s="159">
        <f t="shared" si="10"/>
        <v>0</v>
      </c>
      <c r="AI84" s="159">
        <f t="shared" si="11"/>
        <v>0</v>
      </c>
      <c r="AK84" s="159">
        <f t="shared" si="12"/>
        <v>0</v>
      </c>
      <c r="AM84" s="159">
        <f t="shared" si="13"/>
        <v>0</v>
      </c>
      <c r="AO84" s="159">
        <f t="shared" si="14"/>
        <v>0</v>
      </c>
      <c r="AQ84" s="159">
        <f t="shared" si="15"/>
        <v>0</v>
      </c>
      <c r="AS84" s="159">
        <f t="shared" si="16"/>
        <v>0</v>
      </c>
      <c r="AU84" s="159">
        <f t="shared" si="17"/>
        <v>0</v>
      </c>
      <c r="AW84" s="159">
        <f t="shared" si="18"/>
        <v>0</v>
      </c>
    </row>
    <row r="85" spans="1:49" x14ac:dyDescent="0.2">
      <c r="A85" s="411"/>
      <c r="B85" s="411"/>
      <c r="C85" s="411"/>
      <c r="D85" s="411"/>
      <c r="E85" s="411"/>
      <c r="F85" s="411"/>
      <c r="G85" s="535"/>
      <c r="H85" s="536"/>
      <c r="I85" s="536"/>
      <c r="J85" s="536"/>
      <c r="K85" s="536"/>
      <c r="L85" s="537"/>
      <c r="M85" s="412">
        <f>IF(K85&gt;=Input!$B$18,1,0)</f>
        <v>0</v>
      </c>
      <c r="N85" s="159" t="str">
        <f t="shared" si="0"/>
        <v xml:space="preserve"> -  -  - 0</v>
      </c>
      <c r="O85" s="159">
        <f t="shared" si="1"/>
        <v>0</v>
      </c>
      <c r="Q85" s="159">
        <f t="shared" si="2"/>
        <v>0</v>
      </c>
      <c r="S85" s="159">
        <f t="shared" si="3"/>
        <v>0</v>
      </c>
      <c r="U85" s="159">
        <f t="shared" si="4"/>
        <v>0</v>
      </c>
      <c r="W85" s="159">
        <f t="shared" si="5"/>
        <v>0</v>
      </c>
      <c r="Y85" s="159">
        <f t="shared" si="6"/>
        <v>0</v>
      </c>
      <c r="AA85" s="159">
        <f t="shared" si="7"/>
        <v>0</v>
      </c>
      <c r="AC85" s="159">
        <f t="shared" si="8"/>
        <v>0</v>
      </c>
      <c r="AE85" s="159">
        <f t="shared" si="9"/>
        <v>0</v>
      </c>
      <c r="AG85" s="159">
        <f t="shared" si="10"/>
        <v>0</v>
      </c>
      <c r="AI85" s="159">
        <f t="shared" si="11"/>
        <v>0</v>
      </c>
      <c r="AK85" s="159">
        <f t="shared" si="12"/>
        <v>0</v>
      </c>
      <c r="AM85" s="159">
        <f t="shared" si="13"/>
        <v>0</v>
      </c>
      <c r="AO85" s="159">
        <f t="shared" si="14"/>
        <v>0</v>
      </c>
      <c r="AQ85" s="159">
        <f t="shared" si="15"/>
        <v>0</v>
      </c>
      <c r="AS85" s="159">
        <f t="shared" si="16"/>
        <v>0</v>
      </c>
      <c r="AU85" s="159">
        <f t="shared" si="17"/>
        <v>0</v>
      </c>
      <c r="AW85" s="159">
        <f t="shared" si="18"/>
        <v>0</v>
      </c>
    </row>
    <row r="86" spans="1:49" x14ac:dyDescent="0.2">
      <c r="A86" s="411"/>
      <c r="B86" s="411"/>
      <c r="C86" s="411"/>
      <c r="D86" s="411"/>
      <c r="E86" s="411"/>
      <c r="F86" s="411"/>
      <c r="G86" s="535"/>
      <c r="H86" s="536"/>
      <c r="I86" s="536"/>
      <c r="J86" s="536"/>
      <c r="K86" s="536"/>
      <c r="L86" s="537"/>
      <c r="M86" s="412">
        <f>IF(K86&gt;=Input!$B$18,1,0)</f>
        <v>0</v>
      </c>
      <c r="N86" s="159" t="str">
        <f t="shared" si="0"/>
        <v xml:space="preserve"> -  -  - 0</v>
      </c>
      <c r="O86" s="159">
        <f t="shared" si="1"/>
        <v>0</v>
      </c>
      <c r="Q86" s="159">
        <f t="shared" si="2"/>
        <v>0</v>
      </c>
      <c r="S86" s="159">
        <f t="shared" si="3"/>
        <v>0</v>
      </c>
      <c r="U86" s="159">
        <f t="shared" si="4"/>
        <v>0</v>
      </c>
      <c r="W86" s="159">
        <f t="shared" si="5"/>
        <v>0</v>
      </c>
      <c r="Y86" s="159">
        <f t="shared" si="6"/>
        <v>0</v>
      </c>
      <c r="AA86" s="159">
        <f t="shared" si="7"/>
        <v>0</v>
      </c>
      <c r="AC86" s="159">
        <f t="shared" si="8"/>
        <v>0</v>
      </c>
      <c r="AE86" s="159">
        <f t="shared" si="9"/>
        <v>0</v>
      </c>
      <c r="AG86" s="159">
        <f t="shared" si="10"/>
        <v>0</v>
      </c>
      <c r="AI86" s="159">
        <f t="shared" si="11"/>
        <v>0</v>
      </c>
      <c r="AK86" s="159">
        <f t="shared" si="12"/>
        <v>0</v>
      </c>
      <c r="AM86" s="159">
        <f t="shared" si="13"/>
        <v>0</v>
      </c>
      <c r="AO86" s="159">
        <f t="shared" si="14"/>
        <v>0</v>
      </c>
      <c r="AQ86" s="159">
        <f t="shared" si="15"/>
        <v>0</v>
      </c>
      <c r="AS86" s="159">
        <f t="shared" si="16"/>
        <v>0</v>
      </c>
      <c r="AU86" s="159">
        <f t="shared" si="17"/>
        <v>0</v>
      </c>
      <c r="AW86" s="159">
        <f t="shared" si="18"/>
        <v>0</v>
      </c>
    </row>
    <row r="87" spans="1:49" x14ac:dyDescent="0.2">
      <c r="A87" s="411"/>
      <c r="B87" s="411"/>
      <c r="C87" s="411"/>
      <c r="D87" s="411"/>
      <c r="E87" s="411"/>
      <c r="F87" s="411"/>
      <c r="G87" s="535"/>
      <c r="H87" s="536"/>
      <c r="I87" s="536"/>
      <c r="J87" s="536"/>
      <c r="K87" s="536"/>
      <c r="L87" s="537"/>
      <c r="M87" s="412">
        <f>IF(K87&gt;=Input!$B$18,1,0)</f>
        <v>0</v>
      </c>
      <c r="N87" s="159" t="str">
        <f t="shared" si="0"/>
        <v xml:space="preserve"> -  -  - 0</v>
      </c>
      <c r="O87" s="159">
        <f t="shared" si="1"/>
        <v>0</v>
      </c>
      <c r="Q87" s="159">
        <f t="shared" si="2"/>
        <v>0</v>
      </c>
      <c r="S87" s="159">
        <f t="shared" si="3"/>
        <v>0</v>
      </c>
      <c r="U87" s="159">
        <f t="shared" si="4"/>
        <v>0</v>
      </c>
      <c r="W87" s="159">
        <f t="shared" si="5"/>
        <v>0</v>
      </c>
      <c r="Y87" s="159">
        <f t="shared" si="6"/>
        <v>0</v>
      </c>
      <c r="AA87" s="159">
        <f t="shared" si="7"/>
        <v>0</v>
      </c>
      <c r="AC87" s="159">
        <f t="shared" si="8"/>
        <v>0</v>
      </c>
      <c r="AE87" s="159">
        <f t="shared" si="9"/>
        <v>0</v>
      </c>
      <c r="AG87" s="159">
        <f t="shared" si="10"/>
        <v>0</v>
      </c>
      <c r="AI87" s="159">
        <f t="shared" si="11"/>
        <v>0</v>
      </c>
      <c r="AK87" s="159">
        <f t="shared" si="12"/>
        <v>0</v>
      </c>
      <c r="AM87" s="159">
        <f t="shared" si="13"/>
        <v>0</v>
      </c>
      <c r="AO87" s="159">
        <f t="shared" si="14"/>
        <v>0</v>
      </c>
      <c r="AQ87" s="159">
        <f t="shared" si="15"/>
        <v>0</v>
      </c>
      <c r="AS87" s="159">
        <f t="shared" si="16"/>
        <v>0</v>
      </c>
      <c r="AU87" s="159">
        <f t="shared" si="17"/>
        <v>0</v>
      </c>
      <c r="AW87" s="159">
        <f t="shared" si="18"/>
        <v>0</v>
      </c>
    </row>
    <row r="88" spans="1:49" x14ac:dyDescent="0.2">
      <c r="A88" s="411"/>
      <c r="B88" s="411"/>
      <c r="C88" s="411"/>
      <c r="D88" s="411"/>
      <c r="E88" s="411"/>
      <c r="F88" s="411"/>
      <c r="G88" s="535"/>
      <c r="H88" s="536"/>
      <c r="I88" s="536"/>
      <c r="J88" s="536"/>
      <c r="K88" s="536"/>
      <c r="L88" s="537"/>
      <c r="M88" s="412">
        <f>IF(K88&gt;=Input!$B$18,1,0)</f>
        <v>0</v>
      </c>
      <c r="N88" s="159" t="str">
        <f t="shared" si="0"/>
        <v xml:space="preserve"> -  -  - 0</v>
      </c>
      <c r="O88" s="159">
        <f t="shared" si="1"/>
        <v>0</v>
      </c>
      <c r="Q88" s="159">
        <f t="shared" si="2"/>
        <v>0</v>
      </c>
      <c r="S88" s="159">
        <f t="shared" si="3"/>
        <v>0</v>
      </c>
      <c r="U88" s="159">
        <f t="shared" si="4"/>
        <v>0</v>
      </c>
      <c r="W88" s="159">
        <f t="shared" si="5"/>
        <v>0</v>
      </c>
      <c r="Y88" s="159">
        <f t="shared" si="6"/>
        <v>0</v>
      </c>
      <c r="AA88" s="159">
        <f t="shared" si="7"/>
        <v>0</v>
      </c>
      <c r="AC88" s="159">
        <f t="shared" si="8"/>
        <v>0</v>
      </c>
      <c r="AE88" s="159">
        <f t="shared" si="9"/>
        <v>0</v>
      </c>
      <c r="AG88" s="159">
        <f t="shared" si="10"/>
        <v>0</v>
      </c>
      <c r="AI88" s="159">
        <f t="shared" si="11"/>
        <v>0</v>
      </c>
      <c r="AK88" s="159">
        <f t="shared" si="12"/>
        <v>0</v>
      </c>
      <c r="AM88" s="159">
        <f t="shared" si="13"/>
        <v>0</v>
      </c>
      <c r="AO88" s="159">
        <f t="shared" si="14"/>
        <v>0</v>
      </c>
      <c r="AQ88" s="159">
        <f t="shared" si="15"/>
        <v>0</v>
      </c>
      <c r="AS88" s="159">
        <f t="shared" si="16"/>
        <v>0</v>
      </c>
      <c r="AU88" s="159">
        <f t="shared" si="17"/>
        <v>0</v>
      </c>
      <c r="AW88" s="159">
        <f t="shared" si="18"/>
        <v>0</v>
      </c>
    </row>
    <row r="89" spans="1:49" x14ac:dyDescent="0.2">
      <c r="A89" s="411"/>
      <c r="B89" s="411"/>
      <c r="C89" s="411"/>
      <c r="D89" s="411"/>
      <c r="E89" s="411"/>
      <c r="F89" s="411"/>
      <c r="G89" s="535"/>
      <c r="H89" s="536"/>
      <c r="I89" s="536"/>
      <c r="J89" s="536"/>
      <c r="K89" s="536"/>
      <c r="L89" s="537"/>
      <c r="M89" s="412">
        <f>IF(K89&gt;=Input!$B$18,1,0)</f>
        <v>0</v>
      </c>
      <c r="N89" s="159" t="str">
        <f t="shared" si="0"/>
        <v xml:space="preserve"> -  -  - 0</v>
      </c>
      <c r="O89" s="159">
        <f t="shared" si="1"/>
        <v>0</v>
      </c>
      <c r="Q89" s="159">
        <f t="shared" si="2"/>
        <v>0</v>
      </c>
      <c r="S89" s="159">
        <f t="shared" si="3"/>
        <v>0</v>
      </c>
      <c r="U89" s="159">
        <f t="shared" si="4"/>
        <v>0</v>
      </c>
      <c r="W89" s="159">
        <f t="shared" si="5"/>
        <v>0</v>
      </c>
      <c r="Y89" s="159">
        <f t="shared" si="6"/>
        <v>0</v>
      </c>
      <c r="AA89" s="159">
        <f t="shared" si="7"/>
        <v>0</v>
      </c>
      <c r="AC89" s="159">
        <f t="shared" si="8"/>
        <v>0</v>
      </c>
      <c r="AE89" s="159">
        <f t="shared" si="9"/>
        <v>0</v>
      </c>
      <c r="AG89" s="159">
        <f t="shared" si="10"/>
        <v>0</v>
      </c>
      <c r="AI89" s="159">
        <f t="shared" si="11"/>
        <v>0</v>
      </c>
      <c r="AK89" s="159">
        <f t="shared" si="12"/>
        <v>0</v>
      </c>
      <c r="AM89" s="159">
        <f t="shared" si="13"/>
        <v>0</v>
      </c>
      <c r="AO89" s="159">
        <f t="shared" si="14"/>
        <v>0</v>
      </c>
      <c r="AQ89" s="159">
        <f t="shared" si="15"/>
        <v>0</v>
      </c>
      <c r="AS89" s="159">
        <f t="shared" si="16"/>
        <v>0</v>
      </c>
      <c r="AU89" s="159">
        <f t="shared" si="17"/>
        <v>0</v>
      </c>
      <c r="AW89" s="159">
        <f t="shared" si="18"/>
        <v>0</v>
      </c>
    </row>
    <row r="90" spans="1:49" x14ac:dyDescent="0.2">
      <c r="A90" s="411"/>
      <c r="B90" s="411"/>
      <c r="C90" s="411"/>
      <c r="D90" s="411"/>
      <c r="E90" s="411"/>
      <c r="F90" s="411"/>
      <c r="G90" s="535"/>
      <c r="H90" s="536"/>
      <c r="I90" s="536"/>
      <c r="J90" s="536"/>
      <c r="K90" s="536"/>
      <c r="L90" s="537"/>
      <c r="M90" s="412">
        <f>IF(K90&gt;=Input!$B$18,1,0)</f>
        <v>0</v>
      </c>
      <c r="N90" s="159" t="str">
        <f t="shared" si="0"/>
        <v xml:space="preserve"> -  -  - 0</v>
      </c>
      <c r="O90" s="159">
        <f t="shared" si="1"/>
        <v>0</v>
      </c>
      <c r="Q90" s="159">
        <f t="shared" si="2"/>
        <v>0</v>
      </c>
      <c r="S90" s="159">
        <f t="shared" si="3"/>
        <v>0</v>
      </c>
      <c r="U90" s="159">
        <f t="shared" si="4"/>
        <v>0</v>
      </c>
      <c r="W90" s="159">
        <f t="shared" si="5"/>
        <v>0</v>
      </c>
      <c r="Y90" s="159">
        <f t="shared" si="6"/>
        <v>0</v>
      </c>
      <c r="AA90" s="159">
        <f t="shared" si="7"/>
        <v>0</v>
      </c>
      <c r="AC90" s="159">
        <f t="shared" si="8"/>
        <v>0</v>
      </c>
      <c r="AE90" s="159">
        <f t="shared" si="9"/>
        <v>0</v>
      </c>
      <c r="AG90" s="159">
        <f t="shared" si="10"/>
        <v>0</v>
      </c>
      <c r="AI90" s="159">
        <f t="shared" si="11"/>
        <v>0</v>
      </c>
      <c r="AK90" s="159">
        <f t="shared" si="12"/>
        <v>0</v>
      </c>
      <c r="AM90" s="159">
        <f t="shared" si="13"/>
        <v>0</v>
      </c>
      <c r="AO90" s="159">
        <f t="shared" si="14"/>
        <v>0</v>
      </c>
      <c r="AQ90" s="159">
        <f t="shared" si="15"/>
        <v>0</v>
      </c>
      <c r="AS90" s="159">
        <f t="shared" si="16"/>
        <v>0</v>
      </c>
      <c r="AU90" s="159">
        <f t="shared" si="17"/>
        <v>0</v>
      </c>
      <c r="AW90" s="159">
        <f t="shared" si="18"/>
        <v>0</v>
      </c>
    </row>
    <row r="91" spans="1:49" x14ac:dyDescent="0.2">
      <c r="A91" s="411"/>
      <c r="B91" s="411"/>
      <c r="C91" s="411"/>
      <c r="D91" s="411"/>
      <c r="E91" s="411"/>
      <c r="F91" s="411"/>
      <c r="G91" s="535"/>
      <c r="H91" s="536"/>
      <c r="I91" s="536"/>
      <c r="J91" s="536"/>
      <c r="K91" s="536"/>
      <c r="L91" s="537"/>
      <c r="M91" s="412">
        <f>IF(K91&gt;=Input!$B$18,1,0)</f>
        <v>0</v>
      </c>
      <c r="N91" s="159" t="str">
        <f t="shared" si="0"/>
        <v xml:space="preserve"> -  -  - 0</v>
      </c>
      <c r="O91" s="159">
        <f t="shared" si="1"/>
        <v>0</v>
      </c>
      <c r="Q91" s="159">
        <f t="shared" si="2"/>
        <v>0</v>
      </c>
      <c r="S91" s="159">
        <f t="shared" si="3"/>
        <v>0</v>
      </c>
      <c r="U91" s="159">
        <f t="shared" si="4"/>
        <v>0</v>
      </c>
      <c r="W91" s="159">
        <f t="shared" si="5"/>
        <v>0</v>
      </c>
      <c r="Y91" s="159">
        <f t="shared" si="6"/>
        <v>0</v>
      </c>
      <c r="AA91" s="159">
        <f t="shared" si="7"/>
        <v>0</v>
      </c>
      <c r="AC91" s="159">
        <f t="shared" si="8"/>
        <v>0</v>
      </c>
      <c r="AE91" s="159">
        <f t="shared" si="9"/>
        <v>0</v>
      </c>
      <c r="AG91" s="159">
        <f t="shared" si="10"/>
        <v>0</v>
      </c>
      <c r="AI91" s="159">
        <f t="shared" si="11"/>
        <v>0</v>
      </c>
      <c r="AK91" s="159">
        <f t="shared" si="12"/>
        <v>0</v>
      </c>
      <c r="AM91" s="159">
        <f t="shared" si="13"/>
        <v>0</v>
      </c>
      <c r="AO91" s="159">
        <f t="shared" si="14"/>
        <v>0</v>
      </c>
      <c r="AQ91" s="159">
        <f t="shared" si="15"/>
        <v>0</v>
      </c>
      <c r="AS91" s="159">
        <f t="shared" si="16"/>
        <v>0</v>
      </c>
      <c r="AU91" s="159">
        <f t="shared" si="17"/>
        <v>0</v>
      </c>
      <c r="AW91" s="159">
        <f t="shared" si="18"/>
        <v>0</v>
      </c>
    </row>
    <row r="92" spans="1:49" x14ac:dyDescent="0.2">
      <c r="A92" s="411"/>
      <c r="B92" s="411"/>
      <c r="C92" s="411"/>
      <c r="D92" s="411"/>
      <c r="E92" s="411"/>
      <c r="F92" s="411"/>
      <c r="G92" s="535"/>
      <c r="H92" s="536"/>
      <c r="I92" s="536"/>
      <c r="J92" s="536"/>
      <c r="K92" s="536"/>
      <c r="L92" s="537"/>
      <c r="M92" s="412">
        <f>IF(K92&gt;=Input!$B$18,1,0)</f>
        <v>0</v>
      </c>
      <c r="N92" s="159" t="str">
        <f t="shared" si="0"/>
        <v xml:space="preserve"> -  -  - 0</v>
      </c>
      <c r="O92" s="159">
        <f t="shared" si="1"/>
        <v>0</v>
      </c>
      <c r="Q92" s="159">
        <f t="shared" si="2"/>
        <v>0</v>
      </c>
      <c r="S92" s="159">
        <f t="shared" si="3"/>
        <v>0</v>
      </c>
      <c r="U92" s="159">
        <f t="shared" si="4"/>
        <v>0</v>
      </c>
      <c r="W92" s="159">
        <f t="shared" si="5"/>
        <v>0</v>
      </c>
      <c r="Y92" s="159">
        <f t="shared" si="6"/>
        <v>0</v>
      </c>
      <c r="AA92" s="159">
        <f t="shared" si="7"/>
        <v>0</v>
      </c>
      <c r="AC92" s="159">
        <f t="shared" si="8"/>
        <v>0</v>
      </c>
      <c r="AE92" s="159">
        <f t="shared" si="9"/>
        <v>0</v>
      </c>
      <c r="AG92" s="159">
        <f t="shared" si="10"/>
        <v>0</v>
      </c>
      <c r="AI92" s="159">
        <f t="shared" si="11"/>
        <v>0</v>
      </c>
      <c r="AK92" s="159">
        <f t="shared" si="12"/>
        <v>0</v>
      </c>
      <c r="AM92" s="159">
        <f t="shared" si="13"/>
        <v>0</v>
      </c>
      <c r="AO92" s="159">
        <f t="shared" si="14"/>
        <v>0</v>
      </c>
      <c r="AQ92" s="159">
        <f t="shared" si="15"/>
        <v>0</v>
      </c>
      <c r="AS92" s="159">
        <f t="shared" si="16"/>
        <v>0</v>
      </c>
      <c r="AU92" s="159">
        <f t="shared" si="17"/>
        <v>0</v>
      </c>
      <c r="AW92" s="159">
        <f t="shared" si="18"/>
        <v>0</v>
      </c>
    </row>
    <row r="93" spans="1:49" x14ac:dyDescent="0.2">
      <c r="A93" s="411"/>
      <c r="B93" s="411"/>
      <c r="C93" s="411"/>
      <c r="D93" s="411"/>
      <c r="E93" s="411"/>
      <c r="F93" s="411"/>
      <c r="G93" s="535"/>
      <c r="H93" s="536"/>
      <c r="I93" s="536"/>
      <c r="J93" s="536"/>
      <c r="K93" s="536"/>
      <c r="L93" s="537"/>
      <c r="M93" s="412">
        <f>IF(K93&gt;=Input!$B$18,1,0)</f>
        <v>0</v>
      </c>
      <c r="N93" s="159" t="str">
        <f t="shared" si="0"/>
        <v xml:space="preserve"> -  -  - 0</v>
      </c>
      <c r="O93" s="159">
        <f t="shared" si="1"/>
        <v>0</v>
      </c>
      <c r="Q93" s="159">
        <f t="shared" si="2"/>
        <v>0</v>
      </c>
      <c r="S93" s="159">
        <f t="shared" si="3"/>
        <v>0</v>
      </c>
      <c r="U93" s="159">
        <f t="shared" si="4"/>
        <v>0</v>
      </c>
      <c r="W93" s="159">
        <f t="shared" si="5"/>
        <v>0</v>
      </c>
      <c r="Y93" s="159">
        <f t="shared" si="6"/>
        <v>0</v>
      </c>
      <c r="AA93" s="159">
        <f t="shared" si="7"/>
        <v>0</v>
      </c>
      <c r="AC93" s="159">
        <f t="shared" si="8"/>
        <v>0</v>
      </c>
      <c r="AE93" s="159">
        <f t="shared" si="9"/>
        <v>0</v>
      </c>
      <c r="AG93" s="159">
        <f t="shared" si="10"/>
        <v>0</v>
      </c>
      <c r="AI93" s="159">
        <f t="shared" si="11"/>
        <v>0</v>
      </c>
      <c r="AK93" s="159">
        <f t="shared" si="12"/>
        <v>0</v>
      </c>
      <c r="AM93" s="159">
        <f t="shared" si="13"/>
        <v>0</v>
      </c>
      <c r="AO93" s="159">
        <f t="shared" si="14"/>
        <v>0</v>
      </c>
      <c r="AQ93" s="159">
        <f t="shared" si="15"/>
        <v>0</v>
      </c>
      <c r="AS93" s="159">
        <f t="shared" si="16"/>
        <v>0</v>
      </c>
      <c r="AU93" s="159">
        <f t="shared" si="17"/>
        <v>0</v>
      </c>
      <c r="AW93" s="159">
        <f t="shared" si="18"/>
        <v>0</v>
      </c>
    </row>
    <row r="94" spans="1:49" x14ac:dyDescent="0.2">
      <c r="A94" s="411"/>
      <c r="B94" s="411"/>
      <c r="C94" s="411"/>
      <c r="D94" s="411"/>
      <c r="E94" s="411"/>
      <c r="F94" s="411"/>
      <c r="G94" s="535"/>
      <c r="H94" s="536"/>
      <c r="I94" s="536"/>
      <c r="J94" s="536"/>
      <c r="K94" s="536"/>
      <c r="L94" s="537"/>
      <c r="M94" s="412">
        <f>IF(K94&gt;=Input!$B$18,1,0)</f>
        <v>0</v>
      </c>
      <c r="N94" s="159" t="str">
        <f t="shared" si="0"/>
        <v xml:space="preserve"> -  -  - 0</v>
      </c>
      <c r="O94" s="159">
        <f t="shared" si="1"/>
        <v>0</v>
      </c>
      <c r="Q94" s="159">
        <f t="shared" si="2"/>
        <v>0</v>
      </c>
      <c r="S94" s="159">
        <f t="shared" si="3"/>
        <v>0</v>
      </c>
      <c r="U94" s="159">
        <f t="shared" si="4"/>
        <v>0</v>
      </c>
      <c r="W94" s="159">
        <f t="shared" si="5"/>
        <v>0</v>
      </c>
      <c r="Y94" s="159">
        <f t="shared" si="6"/>
        <v>0</v>
      </c>
      <c r="AA94" s="159">
        <f t="shared" si="7"/>
        <v>0</v>
      </c>
      <c r="AC94" s="159">
        <f t="shared" si="8"/>
        <v>0</v>
      </c>
      <c r="AE94" s="159">
        <f t="shared" si="9"/>
        <v>0</v>
      </c>
      <c r="AG94" s="159">
        <f t="shared" si="10"/>
        <v>0</v>
      </c>
      <c r="AI94" s="159">
        <f t="shared" si="11"/>
        <v>0</v>
      </c>
      <c r="AK94" s="159">
        <f t="shared" si="12"/>
        <v>0</v>
      </c>
      <c r="AM94" s="159">
        <f t="shared" si="13"/>
        <v>0</v>
      </c>
      <c r="AO94" s="159">
        <f t="shared" si="14"/>
        <v>0</v>
      </c>
      <c r="AQ94" s="159">
        <f t="shared" si="15"/>
        <v>0</v>
      </c>
      <c r="AS94" s="159">
        <f t="shared" si="16"/>
        <v>0</v>
      </c>
      <c r="AU94" s="159">
        <f t="shared" si="17"/>
        <v>0</v>
      </c>
      <c r="AW94" s="159">
        <f t="shared" si="18"/>
        <v>0</v>
      </c>
    </row>
    <row r="95" spans="1:49" x14ac:dyDescent="0.2">
      <c r="A95" s="411"/>
      <c r="B95" s="411"/>
      <c r="C95" s="411"/>
      <c r="D95" s="411"/>
      <c r="E95" s="411"/>
      <c r="F95" s="411"/>
      <c r="G95" s="535"/>
      <c r="H95" s="536"/>
      <c r="I95" s="536"/>
      <c r="J95" s="536"/>
      <c r="K95" s="536"/>
      <c r="L95" s="537"/>
      <c r="M95" s="412">
        <f>IF(K95&gt;=Input!$B$18,1,0)</f>
        <v>0</v>
      </c>
      <c r="N95" s="159" t="str">
        <f t="shared" si="0"/>
        <v xml:space="preserve"> -  -  - 0</v>
      </c>
      <c r="O95" s="159">
        <f t="shared" si="1"/>
        <v>0</v>
      </c>
      <c r="Q95" s="159">
        <f t="shared" si="2"/>
        <v>0</v>
      </c>
      <c r="S95" s="159">
        <f t="shared" si="3"/>
        <v>0</v>
      </c>
      <c r="U95" s="159">
        <f t="shared" si="4"/>
        <v>0</v>
      </c>
      <c r="W95" s="159">
        <f t="shared" si="5"/>
        <v>0</v>
      </c>
      <c r="Y95" s="159">
        <f t="shared" si="6"/>
        <v>0</v>
      </c>
      <c r="AA95" s="159">
        <f t="shared" si="7"/>
        <v>0</v>
      </c>
      <c r="AC95" s="159">
        <f t="shared" si="8"/>
        <v>0</v>
      </c>
      <c r="AE95" s="159">
        <f t="shared" si="9"/>
        <v>0</v>
      </c>
      <c r="AG95" s="159">
        <f t="shared" si="10"/>
        <v>0</v>
      </c>
      <c r="AI95" s="159">
        <f t="shared" si="11"/>
        <v>0</v>
      </c>
      <c r="AK95" s="159">
        <f t="shared" si="12"/>
        <v>0</v>
      </c>
      <c r="AM95" s="159">
        <f t="shared" si="13"/>
        <v>0</v>
      </c>
      <c r="AO95" s="159">
        <f t="shared" si="14"/>
        <v>0</v>
      </c>
      <c r="AQ95" s="159">
        <f t="shared" si="15"/>
        <v>0</v>
      </c>
      <c r="AS95" s="159">
        <f t="shared" si="16"/>
        <v>0</v>
      </c>
      <c r="AU95" s="159">
        <f t="shared" si="17"/>
        <v>0</v>
      </c>
      <c r="AW95" s="159">
        <f t="shared" si="18"/>
        <v>0</v>
      </c>
    </row>
    <row r="96" spans="1:49" x14ac:dyDescent="0.2">
      <c r="A96" s="411"/>
      <c r="B96" s="411"/>
      <c r="C96" s="411"/>
      <c r="D96" s="411"/>
      <c r="E96" s="411"/>
      <c r="F96" s="411"/>
      <c r="G96" s="535"/>
      <c r="H96" s="536"/>
      <c r="I96" s="536"/>
      <c r="J96" s="536"/>
      <c r="K96" s="536"/>
      <c r="L96" s="537"/>
      <c r="M96" s="412">
        <f>IF(K96&gt;=Input!$B$18,1,0)</f>
        <v>0</v>
      </c>
      <c r="N96" s="159" t="str">
        <f t="shared" si="0"/>
        <v xml:space="preserve"> -  -  - 0</v>
      </c>
      <c r="O96" s="159">
        <f t="shared" si="1"/>
        <v>0</v>
      </c>
      <c r="Q96" s="159">
        <f t="shared" si="2"/>
        <v>0</v>
      </c>
      <c r="S96" s="159">
        <f t="shared" si="3"/>
        <v>0</v>
      </c>
      <c r="U96" s="159">
        <f t="shared" si="4"/>
        <v>0</v>
      </c>
      <c r="W96" s="159">
        <f t="shared" si="5"/>
        <v>0</v>
      </c>
      <c r="Y96" s="159">
        <f t="shared" si="6"/>
        <v>0</v>
      </c>
      <c r="AA96" s="159">
        <f t="shared" si="7"/>
        <v>0</v>
      </c>
      <c r="AC96" s="159">
        <f t="shared" si="8"/>
        <v>0</v>
      </c>
      <c r="AE96" s="159">
        <f t="shared" si="9"/>
        <v>0</v>
      </c>
      <c r="AG96" s="159">
        <f t="shared" si="10"/>
        <v>0</v>
      </c>
      <c r="AI96" s="159">
        <f t="shared" si="11"/>
        <v>0</v>
      </c>
      <c r="AK96" s="159">
        <f t="shared" si="12"/>
        <v>0</v>
      </c>
      <c r="AM96" s="159">
        <f t="shared" si="13"/>
        <v>0</v>
      </c>
      <c r="AO96" s="159">
        <f t="shared" si="14"/>
        <v>0</v>
      </c>
      <c r="AQ96" s="159">
        <f t="shared" si="15"/>
        <v>0</v>
      </c>
      <c r="AS96" s="159">
        <f t="shared" si="16"/>
        <v>0</v>
      </c>
      <c r="AU96" s="159">
        <f t="shared" si="17"/>
        <v>0</v>
      </c>
      <c r="AW96" s="159">
        <f t="shared" si="18"/>
        <v>0</v>
      </c>
    </row>
    <row r="97" spans="1:49" x14ac:dyDescent="0.2">
      <c r="A97" s="411"/>
      <c r="B97" s="411"/>
      <c r="C97" s="411"/>
      <c r="D97" s="411"/>
      <c r="E97" s="411"/>
      <c r="F97" s="411"/>
      <c r="G97" s="535"/>
      <c r="H97" s="536"/>
      <c r="I97" s="536"/>
      <c r="J97" s="536"/>
      <c r="K97" s="536"/>
      <c r="L97" s="537"/>
      <c r="M97" s="412">
        <f>IF(K97&gt;=Input!$B$18,1,0)</f>
        <v>0</v>
      </c>
      <c r="N97" s="159" t="str">
        <f t="shared" si="0"/>
        <v xml:space="preserve"> -  -  - 0</v>
      </c>
      <c r="O97" s="159">
        <f t="shared" si="1"/>
        <v>0</v>
      </c>
      <c r="Q97" s="159">
        <f t="shared" si="2"/>
        <v>0</v>
      </c>
      <c r="S97" s="159">
        <f t="shared" si="3"/>
        <v>0</v>
      </c>
      <c r="U97" s="159">
        <f t="shared" si="4"/>
        <v>0</v>
      </c>
      <c r="W97" s="159">
        <f t="shared" si="5"/>
        <v>0</v>
      </c>
      <c r="Y97" s="159">
        <f t="shared" si="6"/>
        <v>0</v>
      </c>
      <c r="AA97" s="159">
        <f t="shared" si="7"/>
        <v>0</v>
      </c>
      <c r="AC97" s="159">
        <f t="shared" si="8"/>
        <v>0</v>
      </c>
      <c r="AE97" s="159">
        <f t="shared" si="9"/>
        <v>0</v>
      </c>
      <c r="AG97" s="159">
        <f t="shared" si="10"/>
        <v>0</v>
      </c>
      <c r="AI97" s="159">
        <f t="shared" si="11"/>
        <v>0</v>
      </c>
      <c r="AK97" s="159">
        <f t="shared" si="12"/>
        <v>0</v>
      </c>
      <c r="AM97" s="159">
        <f t="shared" si="13"/>
        <v>0</v>
      </c>
      <c r="AO97" s="159">
        <f t="shared" si="14"/>
        <v>0</v>
      </c>
      <c r="AQ97" s="159">
        <f t="shared" si="15"/>
        <v>0</v>
      </c>
      <c r="AS97" s="159">
        <f t="shared" si="16"/>
        <v>0</v>
      </c>
      <c r="AU97" s="159">
        <f t="shared" si="17"/>
        <v>0</v>
      </c>
      <c r="AW97" s="159">
        <f t="shared" si="18"/>
        <v>0</v>
      </c>
    </row>
    <row r="98" spans="1:49" x14ac:dyDescent="0.2">
      <c r="A98" s="411"/>
      <c r="B98" s="411"/>
      <c r="C98" s="411"/>
      <c r="D98" s="411"/>
      <c r="E98" s="411"/>
      <c r="F98" s="411"/>
      <c r="G98" s="535"/>
      <c r="H98" s="536"/>
      <c r="I98" s="536"/>
      <c r="J98" s="536"/>
      <c r="K98" s="536"/>
      <c r="L98" s="537"/>
      <c r="M98" s="412">
        <f>IF(K98&gt;=Input!$B$18,1,0)</f>
        <v>0</v>
      </c>
      <c r="N98" s="159" t="str">
        <f t="shared" si="0"/>
        <v xml:space="preserve"> -  -  - 0</v>
      </c>
      <c r="O98" s="159">
        <f t="shared" si="1"/>
        <v>0</v>
      </c>
      <c r="Q98" s="159">
        <f t="shared" si="2"/>
        <v>0</v>
      </c>
      <c r="S98" s="159">
        <f t="shared" si="3"/>
        <v>0</v>
      </c>
      <c r="U98" s="159">
        <f t="shared" si="4"/>
        <v>0</v>
      </c>
      <c r="W98" s="159">
        <f t="shared" si="5"/>
        <v>0</v>
      </c>
      <c r="Y98" s="159">
        <f t="shared" si="6"/>
        <v>0</v>
      </c>
      <c r="AA98" s="159">
        <f t="shared" si="7"/>
        <v>0</v>
      </c>
      <c r="AC98" s="159">
        <f t="shared" si="8"/>
        <v>0</v>
      </c>
      <c r="AE98" s="159">
        <f t="shared" si="9"/>
        <v>0</v>
      </c>
      <c r="AG98" s="159">
        <f t="shared" si="10"/>
        <v>0</v>
      </c>
      <c r="AI98" s="159">
        <f t="shared" si="11"/>
        <v>0</v>
      </c>
      <c r="AK98" s="159">
        <f t="shared" si="12"/>
        <v>0</v>
      </c>
      <c r="AM98" s="159">
        <f t="shared" si="13"/>
        <v>0</v>
      </c>
      <c r="AO98" s="159">
        <f t="shared" si="14"/>
        <v>0</v>
      </c>
      <c r="AQ98" s="159">
        <f t="shared" si="15"/>
        <v>0</v>
      </c>
      <c r="AS98" s="159">
        <f t="shared" si="16"/>
        <v>0</v>
      </c>
      <c r="AU98" s="159">
        <f t="shared" si="17"/>
        <v>0</v>
      </c>
      <c r="AW98" s="159">
        <f t="shared" si="18"/>
        <v>0</v>
      </c>
    </row>
    <row r="99" spans="1:49" x14ac:dyDescent="0.2">
      <c r="A99" s="411"/>
      <c r="B99" s="411"/>
      <c r="C99" s="411"/>
      <c r="D99" s="411"/>
      <c r="E99" s="411"/>
      <c r="F99" s="411"/>
      <c r="G99" s="535"/>
      <c r="H99" s="536"/>
      <c r="I99" s="536"/>
      <c r="J99" s="536"/>
      <c r="K99" s="536"/>
      <c r="L99" s="537"/>
      <c r="M99" s="412">
        <f>IF(K99&gt;=Input!$B$18,1,0)</f>
        <v>0</v>
      </c>
      <c r="N99" s="159" t="str">
        <f t="shared" si="0"/>
        <v xml:space="preserve"> -  -  - 0</v>
      </c>
      <c r="O99" s="159">
        <f t="shared" si="1"/>
        <v>0</v>
      </c>
      <c r="Q99" s="159">
        <f t="shared" si="2"/>
        <v>0</v>
      </c>
      <c r="S99" s="159">
        <f t="shared" si="3"/>
        <v>0</v>
      </c>
      <c r="U99" s="159">
        <f t="shared" si="4"/>
        <v>0</v>
      </c>
      <c r="W99" s="159">
        <f t="shared" si="5"/>
        <v>0</v>
      </c>
      <c r="Y99" s="159">
        <f t="shared" si="6"/>
        <v>0</v>
      </c>
      <c r="AA99" s="159">
        <f t="shared" si="7"/>
        <v>0</v>
      </c>
      <c r="AC99" s="159">
        <f t="shared" si="8"/>
        <v>0</v>
      </c>
      <c r="AE99" s="159">
        <f t="shared" si="9"/>
        <v>0</v>
      </c>
      <c r="AG99" s="159">
        <f t="shared" si="10"/>
        <v>0</v>
      </c>
      <c r="AI99" s="159">
        <f t="shared" si="11"/>
        <v>0</v>
      </c>
      <c r="AK99" s="159">
        <f t="shared" si="12"/>
        <v>0</v>
      </c>
      <c r="AM99" s="159">
        <f t="shared" si="13"/>
        <v>0</v>
      </c>
      <c r="AO99" s="159">
        <f t="shared" si="14"/>
        <v>0</v>
      </c>
      <c r="AQ99" s="159">
        <f t="shared" si="15"/>
        <v>0</v>
      </c>
      <c r="AS99" s="159">
        <f t="shared" si="16"/>
        <v>0</v>
      </c>
      <c r="AU99" s="159">
        <f t="shared" si="17"/>
        <v>0</v>
      </c>
      <c r="AW99" s="159">
        <f t="shared" si="18"/>
        <v>0</v>
      </c>
    </row>
    <row r="100" spans="1:49" x14ac:dyDescent="0.2">
      <c r="A100" s="411"/>
      <c r="B100" s="411"/>
      <c r="C100" s="411"/>
      <c r="D100" s="411"/>
      <c r="E100" s="411"/>
      <c r="F100" s="411"/>
      <c r="G100" s="535"/>
      <c r="H100" s="536"/>
      <c r="I100" s="536"/>
      <c r="J100" s="536"/>
      <c r="K100" s="536"/>
      <c r="L100" s="537"/>
      <c r="M100" s="412">
        <f>IF(K100&gt;=Input!$B$18,1,0)</f>
        <v>0</v>
      </c>
      <c r="N100" s="159" t="str">
        <f t="shared" si="0"/>
        <v xml:space="preserve"> -  -  - 0</v>
      </c>
      <c r="O100" s="159">
        <f t="shared" si="1"/>
        <v>0</v>
      </c>
      <c r="Q100" s="159">
        <f t="shared" si="2"/>
        <v>0</v>
      </c>
      <c r="S100" s="159">
        <f t="shared" si="3"/>
        <v>0</v>
      </c>
      <c r="U100" s="159">
        <f t="shared" si="4"/>
        <v>0</v>
      </c>
      <c r="W100" s="159">
        <f t="shared" si="5"/>
        <v>0</v>
      </c>
      <c r="Y100" s="159">
        <f t="shared" si="6"/>
        <v>0</v>
      </c>
      <c r="AA100" s="159">
        <f t="shared" si="7"/>
        <v>0</v>
      </c>
      <c r="AC100" s="159">
        <f t="shared" si="8"/>
        <v>0</v>
      </c>
      <c r="AE100" s="159">
        <f t="shared" si="9"/>
        <v>0</v>
      </c>
      <c r="AG100" s="159">
        <f t="shared" si="10"/>
        <v>0</v>
      </c>
      <c r="AI100" s="159">
        <f t="shared" si="11"/>
        <v>0</v>
      </c>
      <c r="AK100" s="159">
        <f t="shared" si="12"/>
        <v>0</v>
      </c>
      <c r="AM100" s="159">
        <f t="shared" si="13"/>
        <v>0</v>
      </c>
      <c r="AO100" s="159">
        <f t="shared" si="14"/>
        <v>0</v>
      </c>
      <c r="AQ100" s="159">
        <f t="shared" si="15"/>
        <v>0</v>
      </c>
      <c r="AS100" s="159">
        <f t="shared" si="16"/>
        <v>0</v>
      </c>
      <c r="AU100" s="159">
        <f t="shared" si="17"/>
        <v>0</v>
      </c>
      <c r="AW100" s="159">
        <f t="shared" si="18"/>
        <v>0</v>
      </c>
    </row>
    <row r="101" spans="1:49" x14ac:dyDescent="0.2">
      <c r="A101" s="411"/>
      <c r="B101" s="411"/>
      <c r="C101" s="411"/>
      <c r="D101" s="411"/>
      <c r="E101" s="411"/>
      <c r="F101" s="411"/>
      <c r="G101" s="535"/>
      <c r="H101" s="536"/>
      <c r="I101" s="536"/>
      <c r="J101" s="536"/>
      <c r="K101" s="536"/>
      <c r="L101" s="537"/>
      <c r="M101" s="412">
        <f>IF(K101&gt;=Input!$B$18,1,0)</f>
        <v>0</v>
      </c>
      <c r="N101" s="159" t="str">
        <f t="shared" si="0"/>
        <v xml:space="preserve"> -  -  - 0</v>
      </c>
      <c r="O101" s="159">
        <f t="shared" si="1"/>
        <v>0</v>
      </c>
      <c r="Q101" s="159">
        <f t="shared" si="2"/>
        <v>0</v>
      </c>
      <c r="S101" s="159">
        <f t="shared" si="3"/>
        <v>0</v>
      </c>
      <c r="U101" s="159">
        <f t="shared" si="4"/>
        <v>0</v>
      </c>
      <c r="W101" s="159">
        <f t="shared" si="5"/>
        <v>0</v>
      </c>
      <c r="Y101" s="159">
        <f t="shared" si="6"/>
        <v>0</v>
      </c>
      <c r="AA101" s="159">
        <f t="shared" si="7"/>
        <v>0</v>
      </c>
      <c r="AC101" s="159">
        <f t="shared" si="8"/>
        <v>0</v>
      </c>
      <c r="AE101" s="159">
        <f t="shared" si="9"/>
        <v>0</v>
      </c>
      <c r="AG101" s="159">
        <f t="shared" si="10"/>
        <v>0</v>
      </c>
      <c r="AI101" s="159">
        <f t="shared" si="11"/>
        <v>0</v>
      </c>
      <c r="AK101" s="159">
        <f t="shared" si="12"/>
        <v>0</v>
      </c>
      <c r="AM101" s="159">
        <f t="shared" si="13"/>
        <v>0</v>
      </c>
      <c r="AO101" s="159">
        <f t="shared" si="14"/>
        <v>0</v>
      </c>
      <c r="AQ101" s="159">
        <f t="shared" si="15"/>
        <v>0</v>
      </c>
      <c r="AS101" s="159">
        <f t="shared" si="16"/>
        <v>0</v>
      </c>
      <c r="AU101" s="159">
        <f t="shared" si="17"/>
        <v>0</v>
      </c>
      <c r="AW101" s="159">
        <f t="shared" si="18"/>
        <v>0</v>
      </c>
    </row>
    <row r="102" spans="1:49" x14ac:dyDescent="0.2">
      <c r="A102" s="411"/>
      <c r="B102" s="411"/>
      <c r="C102" s="411"/>
      <c r="D102" s="411"/>
      <c r="E102" s="411"/>
      <c r="F102" s="411"/>
      <c r="G102" s="535"/>
      <c r="H102" s="536"/>
      <c r="I102" s="536"/>
      <c r="J102" s="536"/>
      <c r="K102" s="536"/>
      <c r="L102" s="537"/>
      <c r="M102" s="412">
        <f>IF(K102&gt;=Input!$B$18,1,0)</f>
        <v>0</v>
      </c>
      <c r="N102" s="159" t="str">
        <f t="shared" si="0"/>
        <v xml:space="preserve"> -  -  - 0</v>
      </c>
      <c r="O102" s="159">
        <f t="shared" si="1"/>
        <v>0</v>
      </c>
      <c r="Q102" s="159">
        <f t="shared" si="2"/>
        <v>0</v>
      </c>
      <c r="S102" s="159">
        <f t="shared" si="3"/>
        <v>0</v>
      </c>
      <c r="U102" s="159">
        <f t="shared" si="4"/>
        <v>0</v>
      </c>
      <c r="W102" s="159">
        <f t="shared" si="5"/>
        <v>0</v>
      </c>
      <c r="Y102" s="159">
        <f t="shared" si="6"/>
        <v>0</v>
      </c>
      <c r="AA102" s="159">
        <f t="shared" si="7"/>
        <v>0</v>
      </c>
      <c r="AC102" s="159">
        <f t="shared" si="8"/>
        <v>0</v>
      </c>
      <c r="AE102" s="159">
        <f t="shared" si="9"/>
        <v>0</v>
      </c>
      <c r="AG102" s="159">
        <f t="shared" si="10"/>
        <v>0</v>
      </c>
      <c r="AI102" s="159">
        <f t="shared" si="11"/>
        <v>0</v>
      </c>
      <c r="AK102" s="159">
        <f t="shared" si="12"/>
        <v>0</v>
      </c>
      <c r="AM102" s="159">
        <f t="shared" si="13"/>
        <v>0</v>
      </c>
      <c r="AO102" s="159">
        <f t="shared" si="14"/>
        <v>0</v>
      </c>
      <c r="AQ102" s="159">
        <f t="shared" si="15"/>
        <v>0</v>
      </c>
      <c r="AS102" s="159">
        <f t="shared" si="16"/>
        <v>0</v>
      </c>
      <c r="AU102" s="159">
        <f t="shared" si="17"/>
        <v>0</v>
      </c>
      <c r="AW102" s="159">
        <f t="shared" si="18"/>
        <v>0</v>
      </c>
    </row>
    <row r="103" spans="1:49" x14ac:dyDescent="0.2">
      <c r="A103" s="411"/>
      <c r="B103" s="411"/>
      <c r="C103" s="411"/>
      <c r="D103" s="411"/>
      <c r="E103" s="411"/>
      <c r="F103" s="411"/>
      <c r="G103" s="535"/>
      <c r="H103" s="536"/>
      <c r="I103" s="536"/>
      <c r="J103" s="536"/>
      <c r="K103" s="536"/>
      <c r="L103" s="537"/>
      <c r="M103" s="412">
        <f>IF(K103&gt;=Input!$B$18,1,0)</f>
        <v>0</v>
      </c>
      <c r="N103" s="159" t="str">
        <f t="shared" si="0"/>
        <v xml:space="preserve"> -  -  - 0</v>
      </c>
      <c r="O103" s="159">
        <f t="shared" si="1"/>
        <v>0</v>
      </c>
      <c r="Q103" s="159">
        <f t="shared" si="2"/>
        <v>0</v>
      </c>
      <c r="S103" s="159">
        <f t="shared" si="3"/>
        <v>0</v>
      </c>
      <c r="U103" s="159">
        <f t="shared" si="4"/>
        <v>0</v>
      </c>
      <c r="W103" s="159">
        <f t="shared" si="5"/>
        <v>0</v>
      </c>
      <c r="Y103" s="159">
        <f t="shared" si="6"/>
        <v>0</v>
      </c>
      <c r="AA103" s="159">
        <f t="shared" si="7"/>
        <v>0</v>
      </c>
      <c r="AC103" s="159">
        <f t="shared" si="8"/>
        <v>0</v>
      </c>
      <c r="AE103" s="159">
        <f t="shared" si="9"/>
        <v>0</v>
      </c>
      <c r="AG103" s="159">
        <f t="shared" si="10"/>
        <v>0</v>
      </c>
      <c r="AI103" s="159">
        <f t="shared" si="11"/>
        <v>0</v>
      </c>
      <c r="AK103" s="159">
        <f t="shared" si="12"/>
        <v>0</v>
      </c>
      <c r="AM103" s="159">
        <f t="shared" si="13"/>
        <v>0</v>
      </c>
      <c r="AO103" s="159">
        <f t="shared" si="14"/>
        <v>0</v>
      </c>
      <c r="AQ103" s="159">
        <f t="shared" si="15"/>
        <v>0</v>
      </c>
      <c r="AS103" s="159">
        <f t="shared" si="16"/>
        <v>0</v>
      </c>
      <c r="AU103" s="159">
        <f t="shared" si="17"/>
        <v>0</v>
      </c>
      <c r="AW103" s="159">
        <f t="shared" si="18"/>
        <v>0</v>
      </c>
    </row>
    <row r="104" spans="1:49" x14ac:dyDescent="0.2">
      <c r="A104" s="411"/>
      <c r="B104" s="411"/>
      <c r="C104" s="411"/>
      <c r="D104" s="411"/>
      <c r="E104" s="411"/>
      <c r="F104" s="411"/>
      <c r="G104" s="535"/>
      <c r="H104" s="536"/>
      <c r="I104" s="536"/>
      <c r="J104" s="536"/>
      <c r="K104" s="536"/>
      <c r="L104" s="537"/>
      <c r="M104" s="412">
        <f>IF(K104&gt;=Input!$B$18,1,0)</f>
        <v>0</v>
      </c>
      <c r="N104" s="159" t="str">
        <f t="shared" si="0"/>
        <v xml:space="preserve"> -  -  - 0</v>
      </c>
      <c r="O104" s="159">
        <f t="shared" si="1"/>
        <v>0</v>
      </c>
      <c r="Q104" s="159">
        <f t="shared" si="2"/>
        <v>0</v>
      </c>
      <c r="S104" s="159">
        <f t="shared" si="3"/>
        <v>0</v>
      </c>
      <c r="U104" s="159">
        <f t="shared" si="4"/>
        <v>0</v>
      </c>
      <c r="W104" s="159">
        <f t="shared" si="5"/>
        <v>0</v>
      </c>
      <c r="Y104" s="159">
        <f t="shared" si="6"/>
        <v>0</v>
      </c>
      <c r="AA104" s="159">
        <f t="shared" si="7"/>
        <v>0</v>
      </c>
      <c r="AC104" s="159">
        <f t="shared" si="8"/>
        <v>0</v>
      </c>
      <c r="AE104" s="159">
        <f t="shared" si="9"/>
        <v>0</v>
      </c>
      <c r="AG104" s="159">
        <f t="shared" si="10"/>
        <v>0</v>
      </c>
      <c r="AI104" s="159">
        <f t="shared" si="11"/>
        <v>0</v>
      </c>
      <c r="AK104" s="159">
        <f t="shared" si="12"/>
        <v>0</v>
      </c>
      <c r="AM104" s="159">
        <f t="shared" si="13"/>
        <v>0</v>
      </c>
      <c r="AO104" s="159">
        <f t="shared" si="14"/>
        <v>0</v>
      </c>
      <c r="AQ104" s="159">
        <f t="shared" si="15"/>
        <v>0</v>
      </c>
      <c r="AS104" s="159">
        <f t="shared" si="16"/>
        <v>0</v>
      </c>
      <c r="AU104" s="159">
        <f t="shared" si="17"/>
        <v>0</v>
      </c>
      <c r="AW104" s="159">
        <f t="shared" si="18"/>
        <v>0</v>
      </c>
    </row>
    <row r="105" spans="1:49" x14ac:dyDescent="0.2">
      <c r="A105" s="411"/>
      <c r="B105" s="411"/>
      <c r="C105" s="411"/>
      <c r="D105" s="411"/>
      <c r="E105" s="411"/>
      <c r="F105" s="411"/>
      <c r="G105" s="535"/>
      <c r="H105" s="536"/>
      <c r="I105" s="536"/>
      <c r="J105" s="536"/>
      <c r="K105" s="536"/>
      <c r="L105" s="537"/>
      <c r="M105" s="412">
        <f>IF(K105&gt;=Input!$B$18,1,0)</f>
        <v>0</v>
      </c>
      <c r="N105" s="159" t="str">
        <f t="shared" si="0"/>
        <v xml:space="preserve"> -  -  - 0</v>
      </c>
      <c r="O105" s="159">
        <f t="shared" si="1"/>
        <v>0</v>
      </c>
      <c r="Q105" s="159">
        <f t="shared" si="2"/>
        <v>0</v>
      </c>
      <c r="S105" s="159">
        <f t="shared" si="3"/>
        <v>0</v>
      </c>
      <c r="U105" s="159">
        <f t="shared" si="4"/>
        <v>0</v>
      </c>
      <c r="W105" s="159">
        <f t="shared" si="5"/>
        <v>0</v>
      </c>
      <c r="Y105" s="159">
        <f t="shared" si="6"/>
        <v>0</v>
      </c>
      <c r="AA105" s="159">
        <f t="shared" si="7"/>
        <v>0</v>
      </c>
      <c r="AC105" s="159">
        <f t="shared" si="8"/>
        <v>0</v>
      </c>
      <c r="AE105" s="159">
        <f t="shared" si="9"/>
        <v>0</v>
      </c>
      <c r="AG105" s="159">
        <f t="shared" si="10"/>
        <v>0</v>
      </c>
      <c r="AI105" s="159">
        <f t="shared" si="11"/>
        <v>0</v>
      </c>
      <c r="AK105" s="159">
        <f t="shared" si="12"/>
        <v>0</v>
      </c>
      <c r="AM105" s="159">
        <f t="shared" si="13"/>
        <v>0</v>
      </c>
      <c r="AO105" s="159">
        <f t="shared" si="14"/>
        <v>0</v>
      </c>
      <c r="AQ105" s="159">
        <f t="shared" si="15"/>
        <v>0</v>
      </c>
      <c r="AS105" s="159">
        <f t="shared" si="16"/>
        <v>0</v>
      </c>
      <c r="AU105" s="159">
        <f t="shared" si="17"/>
        <v>0</v>
      </c>
      <c r="AW105" s="159">
        <f t="shared" si="18"/>
        <v>0</v>
      </c>
    </row>
    <row r="106" spans="1:49" x14ac:dyDescent="0.2">
      <c r="A106" s="411"/>
      <c r="B106" s="411"/>
      <c r="C106" s="411"/>
      <c r="D106" s="411"/>
      <c r="E106" s="411"/>
      <c r="F106" s="411"/>
      <c r="G106" s="535"/>
      <c r="H106" s="536"/>
      <c r="I106" s="536"/>
      <c r="J106" s="536"/>
      <c r="K106" s="536"/>
      <c r="L106" s="537"/>
      <c r="M106" s="412">
        <f>IF(K106&gt;=Input!$B$18,1,0)</f>
        <v>0</v>
      </c>
      <c r="N106" s="159" t="str">
        <f t="shared" si="0"/>
        <v xml:space="preserve"> -  -  - 0</v>
      </c>
      <c r="O106" s="159">
        <f t="shared" si="1"/>
        <v>0</v>
      </c>
      <c r="Q106" s="159">
        <f t="shared" si="2"/>
        <v>0</v>
      </c>
      <c r="S106" s="159">
        <f t="shared" si="3"/>
        <v>0</v>
      </c>
      <c r="U106" s="159">
        <f t="shared" si="4"/>
        <v>0</v>
      </c>
      <c r="W106" s="159">
        <f t="shared" si="5"/>
        <v>0</v>
      </c>
      <c r="Y106" s="159">
        <f t="shared" si="6"/>
        <v>0</v>
      </c>
      <c r="AA106" s="159">
        <f t="shared" si="7"/>
        <v>0</v>
      </c>
      <c r="AC106" s="159">
        <f t="shared" si="8"/>
        <v>0</v>
      </c>
      <c r="AE106" s="159">
        <f t="shared" si="9"/>
        <v>0</v>
      </c>
      <c r="AG106" s="159">
        <f t="shared" si="10"/>
        <v>0</v>
      </c>
      <c r="AI106" s="159">
        <f t="shared" si="11"/>
        <v>0</v>
      </c>
      <c r="AK106" s="159">
        <f t="shared" si="12"/>
        <v>0</v>
      </c>
      <c r="AM106" s="159">
        <f t="shared" si="13"/>
        <v>0</v>
      </c>
      <c r="AO106" s="159">
        <f t="shared" si="14"/>
        <v>0</v>
      </c>
      <c r="AQ106" s="159">
        <f t="shared" si="15"/>
        <v>0</v>
      </c>
      <c r="AS106" s="159">
        <f t="shared" si="16"/>
        <v>0</v>
      </c>
      <c r="AU106" s="159">
        <f t="shared" si="17"/>
        <v>0</v>
      </c>
      <c r="AW106" s="159">
        <f t="shared" si="18"/>
        <v>0</v>
      </c>
    </row>
    <row r="107" spans="1:49" x14ac:dyDescent="0.2">
      <c r="A107" s="411"/>
      <c r="B107" s="411"/>
      <c r="C107" s="411"/>
      <c r="D107" s="411"/>
      <c r="E107" s="411"/>
      <c r="F107" s="411"/>
      <c r="G107" s="535"/>
      <c r="H107" s="536"/>
      <c r="I107" s="536"/>
      <c r="J107" s="536"/>
      <c r="K107" s="536"/>
      <c r="L107" s="537"/>
      <c r="M107" s="412">
        <f>IF(K107&gt;=Input!$B$18,1,0)</f>
        <v>0</v>
      </c>
      <c r="N107" s="159" t="str">
        <f t="shared" si="0"/>
        <v xml:space="preserve"> -  -  - 0</v>
      </c>
      <c r="O107" s="159">
        <f t="shared" si="1"/>
        <v>0</v>
      </c>
      <c r="Q107" s="159">
        <f t="shared" si="2"/>
        <v>0</v>
      </c>
      <c r="S107" s="159">
        <f t="shared" si="3"/>
        <v>0</v>
      </c>
      <c r="U107" s="159">
        <f t="shared" si="4"/>
        <v>0</v>
      </c>
      <c r="W107" s="159">
        <f t="shared" si="5"/>
        <v>0</v>
      </c>
      <c r="Y107" s="159">
        <f t="shared" si="6"/>
        <v>0</v>
      </c>
      <c r="AA107" s="159">
        <f t="shared" si="7"/>
        <v>0</v>
      </c>
      <c r="AC107" s="159">
        <f t="shared" si="8"/>
        <v>0</v>
      </c>
      <c r="AE107" s="159">
        <f t="shared" si="9"/>
        <v>0</v>
      </c>
      <c r="AG107" s="159">
        <f t="shared" si="10"/>
        <v>0</v>
      </c>
      <c r="AI107" s="159">
        <f t="shared" si="11"/>
        <v>0</v>
      </c>
      <c r="AK107" s="159">
        <f t="shared" si="12"/>
        <v>0</v>
      </c>
      <c r="AM107" s="159">
        <f t="shared" si="13"/>
        <v>0</v>
      </c>
      <c r="AO107" s="159">
        <f t="shared" si="14"/>
        <v>0</v>
      </c>
      <c r="AQ107" s="159">
        <f t="shared" si="15"/>
        <v>0</v>
      </c>
      <c r="AS107" s="159">
        <f t="shared" si="16"/>
        <v>0</v>
      </c>
      <c r="AU107" s="159">
        <f t="shared" si="17"/>
        <v>0</v>
      </c>
      <c r="AW107" s="159">
        <f t="shared" si="18"/>
        <v>0</v>
      </c>
    </row>
    <row r="108" spans="1:49" x14ac:dyDescent="0.2">
      <c r="A108" s="411"/>
      <c r="B108" s="411"/>
      <c r="C108" s="411"/>
      <c r="D108" s="411"/>
      <c r="E108" s="411"/>
      <c r="F108" s="411"/>
      <c r="G108" s="535"/>
      <c r="H108" s="536"/>
      <c r="I108" s="536"/>
      <c r="J108" s="536"/>
      <c r="K108" s="536"/>
      <c r="L108" s="537"/>
      <c r="M108" s="412">
        <f>IF(K108&gt;=Input!$B$18,1,0)</f>
        <v>0</v>
      </c>
      <c r="N108" s="159" t="str">
        <f t="shared" si="0"/>
        <v xml:space="preserve"> -  -  - 0</v>
      </c>
      <c r="O108" s="159">
        <f t="shared" si="1"/>
        <v>0</v>
      </c>
      <c r="Q108" s="159">
        <f t="shared" si="2"/>
        <v>0</v>
      </c>
      <c r="S108" s="159">
        <f t="shared" si="3"/>
        <v>0</v>
      </c>
      <c r="U108" s="159">
        <f t="shared" si="4"/>
        <v>0</v>
      </c>
      <c r="W108" s="159">
        <f t="shared" si="5"/>
        <v>0</v>
      </c>
      <c r="Y108" s="159">
        <f t="shared" si="6"/>
        <v>0</v>
      </c>
      <c r="AA108" s="159">
        <f t="shared" si="7"/>
        <v>0</v>
      </c>
      <c r="AC108" s="159">
        <f t="shared" si="8"/>
        <v>0</v>
      </c>
      <c r="AE108" s="159">
        <f t="shared" si="9"/>
        <v>0</v>
      </c>
      <c r="AG108" s="159">
        <f t="shared" si="10"/>
        <v>0</v>
      </c>
      <c r="AI108" s="159">
        <f t="shared" si="11"/>
        <v>0</v>
      </c>
      <c r="AK108" s="159">
        <f t="shared" si="12"/>
        <v>0</v>
      </c>
      <c r="AM108" s="159">
        <f t="shared" si="13"/>
        <v>0</v>
      </c>
      <c r="AO108" s="159">
        <f t="shared" si="14"/>
        <v>0</v>
      </c>
      <c r="AQ108" s="159">
        <f t="shared" si="15"/>
        <v>0</v>
      </c>
      <c r="AS108" s="159">
        <f t="shared" si="16"/>
        <v>0</v>
      </c>
      <c r="AU108" s="159">
        <f t="shared" si="17"/>
        <v>0</v>
      </c>
      <c r="AW108" s="159">
        <f t="shared" si="18"/>
        <v>0</v>
      </c>
    </row>
    <row r="109" spans="1:49" x14ac:dyDescent="0.2">
      <c r="A109" s="411"/>
      <c r="B109" s="411"/>
      <c r="C109" s="411"/>
      <c r="D109" s="411"/>
      <c r="E109" s="411"/>
      <c r="F109" s="411"/>
      <c r="G109" s="535"/>
      <c r="H109" s="536"/>
      <c r="I109" s="536"/>
      <c r="J109" s="536"/>
      <c r="K109" s="536"/>
      <c r="L109" s="537"/>
      <c r="M109" s="412">
        <f>IF(K109&gt;=Input!$B$18,1,0)</f>
        <v>0</v>
      </c>
      <c r="N109" s="159" t="str">
        <f t="shared" si="0"/>
        <v xml:space="preserve"> -  -  - 0</v>
      </c>
      <c r="O109" s="159">
        <f t="shared" si="1"/>
        <v>0</v>
      </c>
      <c r="Q109" s="159">
        <f t="shared" si="2"/>
        <v>0</v>
      </c>
      <c r="S109" s="159">
        <f t="shared" si="3"/>
        <v>0</v>
      </c>
      <c r="U109" s="159">
        <f t="shared" si="4"/>
        <v>0</v>
      </c>
      <c r="W109" s="159">
        <f t="shared" si="5"/>
        <v>0</v>
      </c>
      <c r="Y109" s="159">
        <f t="shared" si="6"/>
        <v>0</v>
      </c>
      <c r="AA109" s="159">
        <f t="shared" si="7"/>
        <v>0</v>
      </c>
      <c r="AC109" s="159">
        <f t="shared" si="8"/>
        <v>0</v>
      </c>
      <c r="AE109" s="159">
        <f t="shared" si="9"/>
        <v>0</v>
      </c>
      <c r="AG109" s="159">
        <f t="shared" si="10"/>
        <v>0</v>
      </c>
      <c r="AI109" s="159">
        <f t="shared" si="11"/>
        <v>0</v>
      </c>
      <c r="AK109" s="159">
        <f t="shared" si="12"/>
        <v>0</v>
      </c>
      <c r="AM109" s="159">
        <f t="shared" si="13"/>
        <v>0</v>
      </c>
      <c r="AO109" s="159">
        <f t="shared" si="14"/>
        <v>0</v>
      </c>
      <c r="AQ109" s="159">
        <f t="shared" si="15"/>
        <v>0</v>
      </c>
      <c r="AS109" s="159">
        <f t="shared" si="16"/>
        <v>0</v>
      </c>
      <c r="AU109" s="159">
        <f t="shared" si="17"/>
        <v>0</v>
      </c>
      <c r="AW109" s="159">
        <f t="shared" si="18"/>
        <v>0</v>
      </c>
    </row>
    <row r="110" spans="1:49" x14ac:dyDescent="0.2">
      <c r="A110" s="411"/>
      <c r="B110" s="411"/>
      <c r="C110" s="411"/>
      <c r="D110" s="411"/>
      <c r="E110" s="411"/>
      <c r="F110" s="411"/>
      <c r="G110" s="535"/>
      <c r="H110" s="536"/>
      <c r="I110" s="536"/>
      <c r="J110" s="536"/>
      <c r="K110" s="536"/>
      <c r="L110" s="537"/>
      <c r="M110" s="412">
        <f>IF(K110&gt;=Input!$B$18,1,0)</f>
        <v>0</v>
      </c>
      <c r="N110" s="159" t="str">
        <f t="shared" si="0"/>
        <v xml:space="preserve"> -  -  - 0</v>
      </c>
      <c r="O110" s="159">
        <f t="shared" si="1"/>
        <v>0</v>
      </c>
      <c r="Q110" s="159">
        <f t="shared" si="2"/>
        <v>0</v>
      </c>
      <c r="S110" s="159">
        <f t="shared" si="3"/>
        <v>0</v>
      </c>
      <c r="U110" s="159">
        <f t="shared" si="4"/>
        <v>0</v>
      </c>
      <c r="W110" s="159">
        <f t="shared" si="5"/>
        <v>0</v>
      </c>
      <c r="Y110" s="159">
        <f t="shared" si="6"/>
        <v>0</v>
      </c>
      <c r="AA110" s="159">
        <f t="shared" si="7"/>
        <v>0</v>
      </c>
      <c r="AC110" s="159">
        <f t="shared" si="8"/>
        <v>0</v>
      </c>
      <c r="AE110" s="159">
        <f t="shared" si="9"/>
        <v>0</v>
      </c>
      <c r="AG110" s="159">
        <f t="shared" si="10"/>
        <v>0</v>
      </c>
      <c r="AI110" s="159">
        <f t="shared" si="11"/>
        <v>0</v>
      </c>
      <c r="AK110" s="159">
        <f t="shared" si="12"/>
        <v>0</v>
      </c>
      <c r="AM110" s="159">
        <f t="shared" si="13"/>
        <v>0</v>
      </c>
      <c r="AO110" s="159">
        <f t="shared" si="14"/>
        <v>0</v>
      </c>
      <c r="AQ110" s="159">
        <f t="shared" si="15"/>
        <v>0</v>
      </c>
      <c r="AS110" s="159">
        <f t="shared" si="16"/>
        <v>0</v>
      </c>
      <c r="AU110" s="159">
        <f t="shared" si="17"/>
        <v>0</v>
      </c>
      <c r="AW110" s="159">
        <f t="shared" si="18"/>
        <v>0</v>
      </c>
    </row>
    <row r="111" spans="1:49" x14ac:dyDescent="0.2">
      <c r="A111" s="411"/>
      <c r="B111" s="411"/>
      <c r="C111" s="411"/>
      <c r="D111" s="411"/>
      <c r="E111" s="411"/>
      <c r="F111" s="411"/>
      <c r="G111" s="535"/>
      <c r="H111" s="536"/>
      <c r="I111" s="536"/>
      <c r="J111" s="536"/>
      <c r="K111" s="536"/>
      <c r="L111" s="537"/>
      <c r="M111" s="412">
        <f>IF(K111&gt;=Input!$B$18,1,0)</f>
        <v>0</v>
      </c>
      <c r="N111" s="159" t="str">
        <f t="shared" si="0"/>
        <v xml:space="preserve"> -  -  - 0</v>
      </c>
      <c r="O111" s="159">
        <f t="shared" si="1"/>
        <v>0</v>
      </c>
      <c r="Q111" s="159">
        <f t="shared" si="2"/>
        <v>0</v>
      </c>
      <c r="S111" s="159">
        <f t="shared" si="3"/>
        <v>0</v>
      </c>
      <c r="U111" s="159">
        <f t="shared" si="4"/>
        <v>0</v>
      </c>
      <c r="W111" s="159">
        <f t="shared" si="5"/>
        <v>0</v>
      </c>
      <c r="Y111" s="159">
        <f t="shared" si="6"/>
        <v>0</v>
      </c>
      <c r="AA111" s="159">
        <f t="shared" si="7"/>
        <v>0</v>
      </c>
      <c r="AC111" s="159">
        <f t="shared" si="8"/>
        <v>0</v>
      </c>
      <c r="AE111" s="159">
        <f t="shared" si="9"/>
        <v>0</v>
      </c>
      <c r="AG111" s="159">
        <f t="shared" si="10"/>
        <v>0</v>
      </c>
      <c r="AI111" s="159">
        <f t="shared" si="11"/>
        <v>0</v>
      </c>
      <c r="AK111" s="159">
        <f t="shared" si="12"/>
        <v>0</v>
      </c>
      <c r="AM111" s="159">
        <f t="shared" si="13"/>
        <v>0</v>
      </c>
      <c r="AO111" s="159">
        <f t="shared" si="14"/>
        <v>0</v>
      </c>
      <c r="AQ111" s="159">
        <f t="shared" si="15"/>
        <v>0</v>
      </c>
      <c r="AS111" s="159">
        <f t="shared" si="16"/>
        <v>0</v>
      </c>
      <c r="AU111" s="159">
        <f t="shared" si="17"/>
        <v>0</v>
      </c>
      <c r="AW111" s="159">
        <f t="shared" si="18"/>
        <v>0</v>
      </c>
    </row>
    <row r="112" spans="1:49" x14ac:dyDescent="0.2">
      <c r="A112" s="411"/>
      <c r="B112" s="411"/>
      <c r="C112" s="411"/>
      <c r="D112" s="411"/>
      <c r="E112" s="411"/>
      <c r="F112" s="411"/>
      <c r="G112" s="535"/>
      <c r="H112" s="536"/>
      <c r="I112" s="536"/>
      <c r="J112" s="536"/>
      <c r="K112" s="536"/>
      <c r="L112" s="537"/>
      <c r="M112" s="412">
        <f>IF(K112&gt;=Input!$B$18,1,0)</f>
        <v>0</v>
      </c>
      <c r="N112" s="159" t="str">
        <f t="shared" si="0"/>
        <v xml:space="preserve"> -  -  - 0</v>
      </c>
      <c r="O112" s="159">
        <f t="shared" si="1"/>
        <v>0</v>
      </c>
      <c r="Q112" s="159">
        <f t="shared" si="2"/>
        <v>0</v>
      </c>
      <c r="S112" s="159">
        <f t="shared" si="3"/>
        <v>0</v>
      </c>
      <c r="U112" s="159">
        <f t="shared" si="4"/>
        <v>0</v>
      </c>
      <c r="W112" s="159">
        <f t="shared" si="5"/>
        <v>0</v>
      </c>
      <c r="Y112" s="159">
        <f t="shared" si="6"/>
        <v>0</v>
      </c>
      <c r="AA112" s="159">
        <f t="shared" si="7"/>
        <v>0</v>
      </c>
      <c r="AC112" s="159">
        <f t="shared" si="8"/>
        <v>0</v>
      </c>
      <c r="AE112" s="159">
        <f t="shared" si="9"/>
        <v>0</v>
      </c>
      <c r="AG112" s="159">
        <f t="shared" si="10"/>
        <v>0</v>
      </c>
      <c r="AI112" s="159">
        <f t="shared" si="11"/>
        <v>0</v>
      </c>
      <c r="AK112" s="159">
        <f t="shared" si="12"/>
        <v>0</v>
      </c>
      <c r="AM112" s="159">
        <f t="shared" si="13"/>
        <v>0</v>
      </c>
      <c r="AO112" s="159">
        <f t="shared" si="14"/>
        <v>0</v>
      </c>
      <c r="AQ112" s="159">
        <f t="shared" si="15"/>
        <v>0</v>
      </c>
      <c r="AS112" s="159">
        <f t="shared" si="16"/>
        <v>0</v>
      </c>
      <c r="AU112" s="159">
        <f t="shared" si="17"/>
        <v>0</v>
      </c>
      <c r="AW112" s="159">
        <f t="shared" si="18"/>
        <v>0</v>
      </c>
    </row>
    <row r="113" spans="1:49" x14ac:dyDescent="0.2">
      <c r="A113" s="411"/>
      <c r="B113" s="411"/>
      <c r="C113" s="411"/>
      <c r="D113" s="411"/>
      <c r="E113" s="411"/>
      <c r="F113" s="411"/>
      <c r="G113" s="535"/>
      <c r="H113" s="536"/>
      <c r="I113" s="536"/>
      <c r="J113" s="536"/>
      <c r="K113" s="536"/>
      <c r="L113" s="537"/>
      <c r="M113" s="412">
        <f>IF(K113&gt;=Input!$B$18,1,0)</f>
        <v>0</v>
      </c>
      <c r="N113" s="159" t="str">
        <f t="shared" si="0"/>
        <v xml:space="preserve"> -  -  - 0</v>
      </c>
      <c r="O113" s="159">
        <f t="shared" si="1"/>
        <v>0</v>
      </c>
      <c r="Q113" s="159">
        <f t="shared" si="2"/>
        <v>0</v>
      </c>
      <c r="S113" s="159">
        <f t="shared" si="3"/>
        <v>0</v>
      </c>
      <c r="U113" s="159">
        <f t="shared" si="4"/>
        <v>0</v>
      </c>
      <c r="W113" s="159">
        <f t="shared" si="5"/>
        <v>0</v>
      </c>
      <c r="Y113" s="159">
        <f t="shared" si="6"/>
        <v>0</v>
      </c>
      <c r="AA113" s="159">
        <f t="shared" si="7"/>
        <v>0</v>
      </c>
      <c r="AC113" s="159">
        <f t="shared" si="8"/>
        <v>0</v>
      </c>
      <c r="AE113" s="159">
        <f t="shared" si="9"/>
        <v>0</v>
      </c>
      <c r="AG113" s="159">
        <f t="shared" si="10"/>
        <v>0</v>
      </c>
      <c r="AI113" s="159">
        <f t="shared" si="11"/>
        <v>0</v>
      </c>
      <c r="AK113" s="159">
        <f t="shared" si="12"/>
        <v>0</v>
      </c>
      <c r="AM113" s="159">
        <f t="shared" si="13"/>
        <v>0</v>
      </c>
      <c r="AO113" s="159">
        <f t="shared" si="14"/>
        <v>0</v>
      </c>
      <c r="AQ113" s="159">
        <f t="shared" si="15"/>
        <v>0</v>
      </c>
      <c r="AS113" s="159">
        <f t="shared" si="16"/>
        <v>0</v>
      </c>
      <c r="AU113" s="159">
        <f t="shared" si="17"/>
        <v>0</v>
      </c>
      <c r="AW113" s="159">
        <f t="shared" si="18"/>
        <v>0</v>
      </c>
    </row>
    <row r="114" spans="1:49" x14ac:dyDescent="0.2">
      <c r="A114" s="411"/>
      <c r="B114" s="411"/>
      <c r="C114" s="411"/>
      <c r="D114" s="411"/>
      <c r="E114" s="411"/>
      <c r="F114" s="411"/>
      <c r="G114" s="535"/>
      <c r="H114" s="536"/>
      <c r="I114" s="536"/>
      <c r="J114" s="536"/>
      <c r="K114" s="536"/>
      <c r="L114" s="537"/>
      <c r="M114" s="412">
        <f>IF(K114&gt;=Input!$B$18,1,0)</f>
        <v>0</v>
      </c>
      <c r="N114" s="159" t="str">
        <f t="shared" si="0"/>
        <v xml:space="preserve"> -  -  - 0</v>
      </c>
      <c r="O114" s="159">
        <f t="shared" si="1"/>
        <v>0</v>
      </c>
      <c r="Q114" s="159">
        <f t="shared" si="2"/>
        <v>0</v>
      </c>
      <c r="S114" s="159">
        <f t="shared" si="3"/>
        <v>0</v>
      </c>
      <c r="U114" s="159">
        <f t="shared" si="4"/>
        <v>0</v>
      </c>
      <c r="W114" s="159">
        <f t="shared" si="5"/>
        <v>0</v>
      </c>
      <c r="Y114" s="159">
        <f t="shared" si="6"/>
        <v>0</v>
      </c>
      <c r="AA114" s="159">
        <f t="shared" si="7"/>
        <v>0</v>
      </c>
      <c r="AC114" s="159">
        <f t="shared" si="8"/>
        <v>0</v>
      </c>
      <c r="AE114" s="159">
        <f t="shared" si="9"/>
        <v>0</v>
      </c>
      <c r="AG114" s="159">
        <f t="shared" si="10"/>
        <v>0</v>
      </c>
      <c r="AI114" s="159">
        <f t="shared" si="11"/>
        <v>0</v>
      </c>
      <c r="AK114" s="159">
        <f t="shared" si="12"/>
        <v>0</v>
      </c>
      <c r="AM114" s="159">
        <f t="shared" si="13"/>
        <v>0</v>
      </c>
      <c r="AO114" s="159">
        <f t="shared" si="14"/>
        <v>0</v>
      </c>
      <c r="AQ114" s="159">
        <f t="shared" si="15"/>
        <v>0</v>
      </c>
      <c r="AS114" s="159">
        <f t="shared" si="16"/>
        <v>0</v>
      </c>
      <c r="AU114" s="159">
        <f t="shared" si="17"/>
        <v>0</v>
      </c>
      <c r="AW114" s="159">
        <f t="shared" si="18"/>
        <v>0</v>
      </c>
    </row>
    <row r="115" spans="1:49" x14ac:dyDescent="0.2">
      <c r="A115" s="411"/>
      <c r="B115" s="411"/>
      <c r="C115" s="411"/>
      <c r="D115" s="411"/>
      <c r="E115" s="411"/>
      <c r="F115" s="411"/>
      <c r="G115" s="535"/>
      <c r="H115" s="536"/>
      <c r="I115" s="536"/>
      <c r="J115" s="536"/>
      <c r="K115" s="536"/>
      <c r="L115" s="537"/>
      <c r="M115" s="412">
        <f>IF(K115&gt;=Input!$B$18,1,0)</f>
        <v>0</v>
      </c>
      <c r="N115" s="159" t="str">
        <f t="shared" si="0"/>
        <v xml:space="preserve"> -  -  - 0</v>
      </c>
      <c r="O115" s="159">
        <f t="shared" si="1"/>
        <v>0</v>
      </c>
      <c r="Q115" s="159">
        <f t="shared" si="2"/>
        <v>0</v>
      </c>
      <c r="S115" s="159">
        <f t="shared" si="3"/>
        <v>0</v>
      </c>
      <c r="U115" s="159">
        <f t="shared" si="4"/>
        <v>0</v>
      </c>
      <c r="W115" s="159">
        <f t="shared" si="5"/>
        <v>0</v>
      </c>
      <c r="Y115" s="159">
        <f t="shared" si="6"/>
        <v>0</v>
      </c>
      <c r="AA115" s="159">
        <f t="shared" si="7"/>
        <v>0</v>
      </c>
      <c r="AC115" s="159">
        <f t="shared" si="8"/>
        <v>0</v>
      </c>
      <c r="AE115" s="159">
        <f t="shared" si="9"/>
        <v>0</v>
      </c>
      <c r="AG115" s="159">
        <f t="shared" si="10"/>
        <v>0</v>
      </c>
      <c r="AI115" s="159">
        <f t="shared" si="11"/>
        <v>0</v>
      </c>
      <c r="AK115" s="159">
        <f t="shared" si="12"/>
        <v>0</v>
      </c>
      <c r="AM115" s="159">
        <f t="shared" si="13"/>
        <v>0</v>
      </c>
      <c r="AO115" s="159">
        <f t="shared" si="14"/>
        <v>0</v>
      </c>
      <c r="AQ115" s="159">
        <f t="shared" si="15"/>
        <v>0</v>
      </c>
      <c r="AS115" s="159">
        <f t="shared" si="16"/>
        <v>0</v>
      </c>
      <c r="AU115" s="159">
        <f t="shared" si="17"/>
        <v>0</v>
      </c>
      <c r="AW115" s="159">
        <f t="shared" si="18"/>
        <v>0</v>
      </c>
    </row>
    <row r="116" spans="1:49" x14ac:dyDescent="0.2">
      <c r="A116" s="411"/>
      <c r="B116" s="411"/>
      <c r="C116" s="411"/>
      <c r="D116" s="411"/>
      <c r="E116" s="411"/>
      <c r="F116" s="411"/>
      <c r="G116" s="535"/>
      <c r="H116" s="536"/>
      <c r="I116" s="536"/>
      <c r="J116" s="536"/>
      <c r="K116" s="536"/>
      <c r="L116" s="537"/>
      <c r="M116" s="412">
        <f>IF(K116&gt;=Input!$B$18,1,0)</f>
        <v>0</v>
      </c>
      <c r="N116" s="159" t="str">
        <f t="shared" si="0"/>
        <v xml:space="preserve"> -  -  - 0</v>
      </c>
      <c r="O116" s="159">
        <f t="shared" si="1"/>
        <v>0</v>
      </c>
      <c r="Q116" s="159">
        <f t="shared" si="2"/>
        <v>0</v>
      </c>
      <c r="S116" s="159">
        <f t="shared" si="3"/>
        <v>0</v>
      </c>
      <c r="U116" s="159">
        <f t="shared" si="4"/>
        <v>0</v>
      </c>
      <c r="W116" s="159">
        <f t="shared" si="5"/>
        <v>0</v>
      </c>
      <c r="Y116" s="159">
        <f t="shared" si="6"/>
        <v>0</v>
      </c>
      <c r="AA116" s="159">
        <f t="shared" si="7"/>
        <v>0</v>
      </c>
      <c r="AC116" s="159">
        <f t="shared" si="8"/>
        <v>0</v>
      </c>
      <c r="AE116" s="159">
        <f t="shared" si="9"/>
        <v>0</v>
      </c>
      <c r="AG116" s="159">
        <f t="shared" si="10"/>
        <v>0</v>
      </c>
      <c r="AI116" s="159">
        <f t="shared" si="11"/>
        <v>0</v>
      </c>
      <c r="AK116" s="159">
        <f t="shared" si="12"/>
        <v>0</v>
      </c>
      <c r="AM116" s="159">
        <f t="shared" si="13"/>
        <v>0</v>
      </c>
      <c r="AO116" s="159">
        <f t="shared" si="14"/>
        <v>0</v>
      </c>
      <c r="AQ116" s="159">
        <f t="shared" si="15"/>
        <v>0</v>
      </c>
      <c r="AS116" s="159">
        <f t="shared" si="16"/>
        <v>0</v>
      </c>
      <c r="AU116" s="159">
        <f t="shared" si="17"/>
        <v>0</v>
      </c>
      <c r="AW116" s="159">
        <f t="shared" si="18"/>
        <v>0</v>
      </c>
    </row>
    <row r="117" spans="1:49" x14ac:dyDescent="0.2">
      <c r="A117" s="411"/>
      <c r="B117" s="411"/>
      <c r="C117" s="411"/>
      <c r="D117" s="411"/>
      <c r="E117" s="411"/>
      <c r="F117" s="411"/>
      <c r="G117" s="535"/>
      <c r="H117" s="536"/>
      <c r="I117" s="536"/>
      <c r="J117" s="536"/>
      <c r="K117" s="536"/>
      <c r="L117" s="537"/>
      <c r="M117" s="412">
        <f>IF(K117&gt;=Input!$B$18,1,0)</f>
        <v>0</v>
      </c>
      <c r="N117" s="159" t="str">
        <f t="shared" si="0"/>
        <v xml:space="preserve"> -  -  - 0</v>
      </c>
      <c r="O117" s="159">
        <f t="shared" si="1"/>
        <v>0</v>
      </c>
      <c r="Q117" s="159">
        <f t="shared" si="2"/>
        <v>0</v>
      </c>
      <c r="S117" s="159">
        <f t="shared" si="3"/>
        <v>0</v>
      </c>
      <c r="U117" s="159">
        <f t="shared" si="4"/>
        <v>0</v>
      </c>
      <c r="W117" s="159">
        <f t="shared" si="5"/>
        <v>0</v>
      </c>
      <c r="Y117" s="159">
        <f t="shared" si="6"/>
        <v>0</v>
      </c>
      <c r="AA117" s="159">
        <f t="shared" si="7"/>
        <v>0</v>
      </c>
      <c r="AC117" s="159">
        <f t="shared" si="8"/>
        <v>0</v>
      </c>
      <c r="AE117" s="159">
        <f t="shared" si="9"/>
        <v>0</v>
      </c>
      <c r="AG117" s="159">
        <f t="shared" si="10"/>
        <v>0</v>
      </c>
      <c r="AI117" s="159">
        <f t="shared" si="11"/>
        <v>0</v>
      </c>
      <c r="AK117" s="159">
        <f t="shared" si="12"/>
        <v>0</v>
      </c>
      <c r="AM117" s="159">
        <f t="shared" si="13"/>
        <v>0</v>
      </c>
      <c r="AO117" s="159">
        <f t="shared" si="14"/>
        <v>0</v>
      </c>
      <c r="AQ117" s="159">
        <f t="shared" si="15"/>
        <v>0</v>
      </c>
      <c r="AS117" s="159">
        <f t="shared" si="16"/>
        <v>0</v>
      </c>
      <c r="AU117" s="159">
        <f t="shared" si="17"/>
        <v>0</v>
      </c>
      <c r="AW117" s="159">
        <f t="shared" si="18"/>
        <v>0</v>
      </c>
    </row>
    <row r="118" spans="1:49" x14ac:dyDescent="0.2">
      <c r="A118" s="411"/>
      <c r="B118" s="411"/>
      <c r="C118" s="411"/>
      <c r="D118" s="411"/>
      <c r="E118" s="411"/>
      <c r="F118" s="411"/>
      <c r="G118" s="535"/>
      <c r="H118" s="536"/>
      <c r="I118" s="536"/>
      <c r="J118" s="536"/>
      <c r="K118" s="536"/>
      <c r="L118" s="537"/>
      <c r="M118" s="412">
        <f>IF(K118&gt;=Input!$B$18,1,0)</f>
        <v>0</v>
      </c>
      <c r="N118" s="159" t="str">
        <f t="shared" si="0"/>
        <v xml:space="preserve"> -  -  - 0</v>
      </c>
      <c r="O118" s="159">
        <f t="shared" si="1"/>
        <v>0</v>
      </c>
      <c r="Q118" s="159">
        <f t="shared" si="2"/>
        <v>0</v>
      </c>
      <c r="S118" s="159">
        <f t="shared" si="3"/>
        <v>0</v>
      </c>
      <c r="U118" s="159">
        <f t="shared" si="4"/>
        <v>0</v>
      </c>
      <c r="W118" s="159">
        <f t="shared" si="5"/>
        <v>0</v>
      </c>
      <c r="Y118" s="159">
        <f t="shared" si="6"/>
        <v>0</v>
      </c>
      <c r="AA118" s="159">
        <f t="shared" si="7"/>
        <v>0</v>
      </c>
      <c r="AC118" s="159">
        <f t="shared" si="8"/>
        <v>0</v>
      </c>
      <c r="AE118" s="159">
        <f t="shared" si="9"/>
        <v>0</v>
      </c>
      <c r="AG118" s="159">
        <f t="shared" si="10"/>
        <v>0</v>
      </c>
      <c r="AI118" s="159">
        <f t="shared" si="11"/>
        <v>0</v>
      </c>
      <c r="AK118" s="159">
        <f t="shared" si="12"/>
        <v>0</v>
      </c>
      <c r="AM118" s="159">
        <f t="shared" si="13"/>
        <v>0</v>
      </c>
      <c r="AO118" s="159">
        <f t="shared" si="14"/>
        <v>0</v>
      </c>
      <c r="AQ118" s="159">
        <f t="shared" si="15"/>
        <v>0</v>
      </c>
      <c r="AS118" s="159">
        <f t="shared" si="16"/>
        <v>0</v>
      </c>
      <c r="AU118" s="159">
        <f t="shared" si="17"/>
        <v>0</v>
      </c>
      <c r="AW118" s="159">
        <f t="shared" si="18"/>
        <v>0</v>
      </c>
    </row>
    <row r="119" spans="1:49" x14ac:dyDescent="0.2">
      <c r="A119" s="411"/>
      <c r="B119" s="411"/>
      <c r="C119" s="411"/>
      <c r="D119" s="411"/>
      <c r="E119" s="411"/>
      <c r="F119" s="411"/>
      <c r="G119" s="535"/>
      <c r="H119" s="536"/>
      <c r="I119" s="536"/>
      <c r="J119" s="536"/>
      <c r="K119" s="536"/>
      <c r="L119" s="537"/>
      <c r="M119" s="412">
        <f>IF(K119&gt;=Input!$B$18,1,0)</f>
        <v>0</v>
      </c>
      <c r="N119" s="159" t="str">
        <f t="shared" si="0"/>
        <v xml:space="preserve"> -  -  - 0</v>
      </c>
      <c r="O119" s="159">
        <f t="shared" si="1"/>
        <v>0</v>
      </c>
      <c r="Q119" s="159">
        <f t="shared" si="2"/>
        <v>0</v>
      </c>
      <c r="S119" s="159">
        <f t="shared" si="3"/>
        <v>0</v>
      </c>
      <c r="U119" s="159">
        <f t="shared" si="4"/>
        <v>0</v>
      </c>
      <c r="W119" s="159">
        <f t="shared" si="5"/>
        <v>0</v>
      </c>
      <c r="Y119" s="159">
        <f t="shared" si="6"/>
        <v>0</v>
      </c>
      <c r="AA119" s="159">
        <f t="shared" si="7"/>
        <v>0</v>
      </c>
      <c r="AC119" s="159">
        <f t="shared" si="8"/>
        <v>0</v>
      </c>
      <c r="AE119" s="159">
        <f t="shared" si="9"/>
        <v>0</v>
      </c>
      <c r="AG119" s="159">
        <f t="shared" si="10"/>
        <v>0</v>
      </c>
      <c r="AI119" s="159">
        <f t="shared" si="11"/>
        <v>0</v>
      </c>
      <c r="AK119" s="159">
        <f t="shared" si="12"/>
        <v>0</v>
      </c>
      <c r="AM119" s="159">
        <f t="shared" si="13"/>
        <v>0</v>
      </c>
      <c r="AO119" s="159">
        <f t="shared" si="14"/>
        <v>0</v>
      </c>
      <c r="AQ119" s="159">
        <f t="shared" si="15"/>
        <v>0</v>
      </c>
      <c r="AS119" s="159">
        <f t="shared" si="16"/>
        <v>0</v>
      </c>
      <c r="AU119" s="159">
        <f t="shared" si="17"/>
        <v>0</v>
      </c>
      <c r="AW119" s="159">
        <f t="shared" si="18"/>
        <v>0</v>
      </c>
    </row>
    <row r="120" spans="1:49" x14ac:dyDescent="0.2">
      <c r="A120" s="411"/>
      <c r="B120" s="411"/>
      <c r="C120" s="411"/>
      <c r="D120" s="411"/>
      <c r="E120" s="411"/>
      <c r="F120" s="411"/>
      <c r="G120" s="535"/>
      <c r="H120" s="536"/>
      <c r="I120" s="536"/>
      <c r="J120" s="536"/>
      <c r="K120" s="536"/>
      <c r="L120" s="537"/>
      <c r="M120" s="412">
        <f>IF(K120&gt;=Input!$B$18,1,0)</f>
        <v>0</v>
      </c>
      <c r="N120" s="159" t="str">
        <f t="shared" si="0"/>
        <v xml:space="preserve"> -  -  - 0</v>
      </c>
      <c r="O120" s="159">
        <f t="shared" si="1"/>
        <v>0</v>
      </c>
      <c r="Q120" s="159">
        <f t="shared" si="2"/>
        <v>0</v>
      </c>
      <c r="S120" s="159">
        <f t="shared" si="3"/>
        <v>0</v>
      </c>
      <c r="U120" s="159">
        <f t="shared" si="4"/>
        <v>0</v>
      </c>
      <c r="W120" s="159">
        <f t="shared" si="5"/>
        <v>0</v>
      </c>
      <c r="Y120" s="159">
        <f t="shared" si="6"/>
        <v>0</v>
      </c>
      <c r="AA120" s="159">
        <f t="shared" si="7"/>
        <v>0</v>
      </c>
      <c r="AC120" s="159">
        <f t="shared" si="8"/>
        <v>0</v>
      </c>
      <c r="AE120" s="159">
        <f t="shared" si="9"/>
        <v>0</v>
      </c>
      <c r="AG120" s="159">
        <f t="shared" si="10"/>
        <v>0</v>
      </c>
      <c r="AI120" s="159">
        <f t="shared" si="11"/>
        <v>0</v>
      </c>
      <c r="AK120" s="159">
        <f t="shared" si="12"/>
        <v>0</v>
      </c>
      <c r="AM120" s="159">
        <f t="shared" si="13"/>
        <v>0</v>
      </c>
      <c r="AO120" s="159">
        <f t="shared" si="14"/>
        <v>0</v>
      </c>
      <c r="AQ120" s="159">
        <f t="shared" si="15"/>
        <v>0</v>
      </c>
      <c r="AS120" s="159">
        <f t="shared" si="16"/>
        <v>0</v>
      </c>
      <c r="AU120" s="159">
        <f t="shared" si="17"/>
        <v>0</v>
      </c>
      <c r="AW120" s="159">
        <f t="shared" si="18"/>
        <v>0</v>
      </c>
    </row>
    <row r="121" spans="1:49" x14ac:dyDescent="0.2">
      <c r="A121" s="411"/>
      <c r="B121" s="411"/>
      <c r="C121" s="411"/>
      <c r="D121" s="411"/>
      <c r="E121" s="411"/>
      <c r="F121" s="411"/>
      <c r="G121" s="535"/>
      <c r="H121" s="536"/>
      <c r="I121" s="536"/>
      <c r="J121" s="536"/>
      <c r="K121" s="536"/>
      <c r="L121" s="537"/>
      <c r="M121" s="412">
        <f>IF(K121&gt;=Input!$B$18,1,0)</f>
        <v>0</v>
      </c>
      <c r="N121" s="159" t="str">
        <f t="shared" si="0"/>
        <v xml:space="preserve"> -  -  - 0</v>
      </c>
      <c r="O121" s="159">
        <f t="shared" si="1"/>
        <v>0</v>
      </c>
      <c r="Q121" s="159">
        <f t="shared" si="2"/>
        <v>0</v>
      </c>
      <c r="S121" s="159">
        <f t="shared" si="3"/>
        <v>0</v>
      </c>
      <c r="U121" s="159">
        <f t="shared" si="4"/>
        <v>0</v>
      </c>
      <c r="W121" s="159">
        <f t="shared" si="5"/>
        <v>0</v>
      </c>
      <c r="Y121" s="159">
        <f t="shared" si="6"/>
        <v>0</v>
      </c>
      <c r="AA121" s="159">
        <f t="shared" si="7"/>
        <v>0</v>
      </c>
      <c r="AC121" s="159">
        <f t="shared" si="8"/>
        <v>0</v>
      </c>
      <c r="AE121" s="159">
        <f t="shared" si="9"/>
        <v>0</v>
      </c>
      <c r="AG121" s="159">
        <f t="shared" si="10"/>
        <v>0</v>
      </c>
      <c r="AI121" s="159">
        <f t="shared" si="11"/>
        <v>0</v>
      </c>
      <c r="AK121" s="159">
        <f t="shared" si="12"/>
        <v>0</v>
      </c>
      <c r="AM121" s="159">
        <f t="shared" si="13"/>
        <v>0</v>
      </c>
      <c r="AO121" s="159">
        <f t="shared" si="14"/>
        <v>0</v>
      </c>
      <c r="AQ121" s="159">
        <f t="shared" si="15"/>
        <v>0</v>
      </c>
      <c r="AS121" s="159">
        <f t="shared" si="16"/>
        <v>0</v>
      </c>
      <c r="AU121" s="159">
        <f t="shared" si="17"/>
        <v>0</v>
      </c>
      <c r="AW121" s="159">
        <f t="shared" si="18"/>
        <v>0</v>
      </c>
    </row>
    <row r="122" spans="1:49" x14ac:dyDescent="0.2">
      <c r="A122" s="411"/>
      <c r="B122" s="411"/>
      <c r="C122" s="411"/>
      <c r="D122" s="411"/>
      <c r="E122" s="411"/>
      <c r="F122" s="411"/>
      <c r="G122" s="535"/>
      <c r="H122" s="536"/>
      <c r="I122" s="536"/>
      <c r="J122" s="536"/>
      <c r="K122" s="536"/>
      <c r="L122" s="537"/>
      <c r="M122" s="412">
        <f>IF(K122&gt;=Input!$B$18,1,0)</f>
        <v>0</v>
      </c>
      <c r="N122" s="159" t="str">
        <f t="shared" si="0"/>
        <v xml:space="preserve"> -  -  - 0</v>
      </c>
      <c r="O122" s="159">
        <f t="shared" si="1"/>
        <v>0</v>
      </c>
      <c r="Q122" s="159">
        <f t="shared" si="2"/>
        <v>0</v>
      </c>
      <c r="S122" s="159">
        <f t="shared" si="3"/>
        <v>0</v>
      </c>
      <c r="U122" s="159">
        <f t="shared" si="4"/>
        <v>0</v>
      </c>
      <c r="W122" s="159">
        <f t="shared" si="5"/>
        <v>0</v>
      </c>
      <c r="Y122" s="159">
        <f t="shared" si="6"/>
        <v>0</v>
      </c>
      <c r="AA122" s="159">
        <f t="shared" si="7"/>
        <v>0</v>
      </c>
      <c r="AC122" s="159">
        <f t="shared" si="8"/>
        <v>0</v>
      </c>
      <c r="AE122" s="159">
        <f t="shared" si="9"/>
        <v>0</v>
      </c>
      <c r="AG122" s="159">
        <f t="shared" si="10"/>
        <v>0</v>
      </c>
      <c r="AI122" s="159">
        <f t="shared" si="11"/>
        <v>0</v>
      </c>
      <c r="AK122" s="159">
        <f t="shared" si="12"/>
        <v>0</v>
      </c>
      <c r="AM122" s="159">
        <f t="shared" si="13"/>
        <v>0</v>
      </c>
      <c r="AO122" s="159">
        <f t="shared" si="14"/>
        <v>0</v>
      </c>
      <c r="AQ122" s="159">
        <f t="shared" si="15"/>
        <v>0</v>
      </c>
      <c r="AS122" s="159">
        <f t="shared" si="16"/>
        <v>0</v>
      </c>
      <c r="AU122" s="159">
        <f t="shared" si="17"/>
        <v>0</v>
      </c>
      <c r="AW122" s="159">
        <f t="shared" si="18"/>
        <v>0</v>
      </c>
    </row>
    <row r="123" spans="1:49" x14ac:dyDescent="0.2">
      <c r="A123" s="411"/>
      <c r="B123" s="411"/>
      <c r="C123" s="411"/>
      <c r="D123" s="411"/>
      <c r="E123" s="411"/>
      <c r="F123" s="411"/>
      <c r="G123" s="535"/>
      <c r="H123" s="536"/>
      <c r="I123" s="536"/>
      <c r="J123" s="536"/>
      <c r="K123" s="536"/>
      <c r="L123" s="537"/>
      <c r="M123" s="412">
        <f>IF(K123&gt;=Input!$B$18,1,0)</f>
        <v>0</v>
      </c>
      <c r="N123" s="159" t="str">
        <f t="shared" si="0"/>
        <v xml:space="preserve"> -  -  - 0</v>
      </c>
      <c r="O123" s="159">
        <f t="shared" si="1"/>
        <v>0</v>
      </c>
      <c r="Q123" s="159">
        <f t="shared" si="2"/>
        <v>0</v>
      </c>
      <c r="S123" s="159">
        <f t="shared" si="3"/>
        <v>0</v>
      </c>
      <c r="U123" s="159">
        <f t="shared" si="4"/>
        <v>0</v>
      </c>
      <c r="W123" s="159">
        <f t="shared" si="5"/>
        <v>0</v>
      </c>
      <c r="Y123" s="159">
        <f t="shared" si="6"/>
        <v>0</v>
      </c>
      <c r="AA123" s="159">
        <f t="shared" si="7"/>
        <v>0</v>
      </c>
      <c r="AC123" s="159">
        <f t="shared" si="8"/>
        <v>0</v>
      </c>
      <c r="AE123" s="159">
        <f t="shared" si="9"/>
        <v>0</v>
      </c>
      <c r="AG123" s="159">
        <f t="shared" si="10"/>
        <v>0</v>
      </c>
      <c r="AI123" s="159">
        <f t="shared" si="11"/>
        <v>0</v>
      </c>
      <c r="AK123" s="159">
        <f t="shared" si="12"/>
        <v>0</v>
      </c>
      <c r="AM123" s="159">
        <f t="shared" si="13"/>
        <v>0</v>
      </c>
      <c r="AO123" s="159">
        <f t="shared" si="14"/>
        <v>0</v>
      </c>
      <c r="AQ123" s="159">
        <f t="shared" si="15"/>
        <v>0</v>
      </c>
      <c r="AS123" s="159">
        <f t="shared" si="16"/>
        <v>0</v>
      </c>
      <c r="AU123" s="159">
        <f t="shared" si="17"/>
        <v>0</v>
      </c>
      <c r="AW123" s="159">
        <f t="shared" si="18"/>
        <v>0</v>
      </c>
    </row>
    <row r="124" spans="1:49" x14ac:dyDescent="0.2">
      <c r="A124" s="411"/>
      <c r="B124" s="411"/>
      <c r="C124" s="411"/>
      <c r="D124" s="411"/>
      <c r="E124" s="411"/>
      <c r="F124" s="411"/>
      <c r="G124" s="535"/>
      <c r="H124" s="536"/>
      <c r="I124" s="536"/>
      <c r="J124" s="536"/>
      <c r="K124" s="536"/>
      <c r="L124" s="537"/>
      <c r="M124" s="412">
        <f>IF(K124&gt;=Input!$B$18,1,0)</f>
        <v>0</v>
      </c>
      <c r="N124" s="159" t="str">
        <f t="shared" si="0"/>
        <v xml:space="preserve"> -  -  - 0</v>
      </c>
      <c r="O124" s="159">
        <f t="shared" si="1"/>
        <v>0</v>
      </c>
      <c r="Q124" s="159">
        <f t="shared" si="2"/>
        <v>0</v>
      </c>
      <c r="S124" s="159">
        <f t="shared" si="3"/>
        <v>0</v>
      </c>
      <c r="U124" s="159">
        <f t="shared" si="4"/>
        <v>0</v>
      </c>
      <c r="W124" s="159">
        <f t="shared" si="5"/>
        <v>0</v>
      </c>
      <c r="Y124" s="159">
        <f t="shared" si="6"/>
        <v>0</v>
      </c>
      <c r="AA124" s="159">
        <f t="shared" si="7"/>
        <v>0</v>
      </c>
      <c r="AC124" s="159">
        <f t="shared" si="8"/>
        <v>0</v>
      </c>
      <c r="AE124" s="159">
        <f t="shared" si="9"/>
        <v>0</v>
      </c>
      <c r="AG124" s="159">
        <f t="shared" si="10"/>
        <v>0</v>
      </c>
      <c r="AI124" s="159">
        <f t="shared" si="11"/>
        <v>0</v>
      </c>
      <c r="AK124" s="159">
        <f t="shared" si="12"/>
        <v>0</v>
      </c>
      <c r="AM124" s="159">
        <f t="shared" si="13"/>
        <v>0</v>
      </c>
      <c r="AO124" s="159">
        <f t="shared" si="14"/>
        <v>0</v>
      </c>
      <c r="AQ124" s="159">
        <f t="shared" si="15"/>
        <v>0</v>
      </c>
      <c r="AS124" s="159">
        <f t="shared" si="16"/>
        <v>0</v>
      </c>
      <c r="AU124" s="159">
        <f t="shared" si="17"/>
        <v>0</v>
      </c>
      <c r="AW124" s="159">
        <f t="shared" si="18"/>
        <v>0</v>
      </c>
    </row>
    <row r="125" spans="1:49" x14ac:dyDescent="0.2">
      <c r="A125" s="411"/>
      <c r="B125" s="411"/>
      <c r="C125" s="411"/>
      <c r="D125" s="411"/>
      <c r="E125" s="411"/>
      <c r="F125" s="411"/>
      <c r="G125" s="535"/>
      <c r="H125" s="536"/>
      <c r="I125" s="536"/>
      <c r="J125" s="536"/>
      <c r="K125" s="536"/>
      <c r="L125" s="537"/>
      <c r="M125" s="412">
        <f>IF(K125&gt;=Input!$B$18,1,0)</f>
        <v>0</v>
      </c>
      <c r="N125" s="159" t="str">
        <f t="shared" si="0"/>
        <v xml:space="preserve"> -  -  - 0</v>
      </c>
      <c r="O125" s="159">
        <f t="shared" si="1"/>
        <v>0</v>
      </c>
      <c r="Q125" s="159">
        <f t="shared" si="2"/>
        <v>0</v>
      </c>
      <c r="S125" s="159">
        <f t="shared" si="3"/>
        <v>0</v>
      </c>
      <c r="U125" s="159">
        <f t="shared" si="4"/>
        <v>0</v>
      </c>
      <c r="W125" s="159">
        <f t="shared" si="5"/>
        <v>0</v>
      </c>
      <c r="Y125" s="159">
        <f t="shared" si="6"/>
        <v>0</v>
      </c>
      <c r="AA125" s="159">
        <f t="shared" si="7"/>
        <v>0</v>
      </c>
      <c r="AC125" s="159">
        <f t="shared" si="8"/>
        <v>0</v>
      </c>
      <c r="AE125" s="159">
        <f t="shared" si="9"/>
        <v>0</v>
      </c>
      <c r="AG125" s="159">
        <f t="shared" si="10"/>
        <v>0</v>
      </c>
      <c r="AI125" s="159">
        <f t="shared" si="11"/>
        <v>0</v>
      </c>
      <c r="AK125" s="159">
        <f t="shared" si="12"/>
        <v>0</v>
      </c>
      <c r="AM125" s="159">
        <f t="shared" si="13"/>
        <v>0</v>
      </c>
      <c r="AO125" s="159">
        <f t="shared" si="14"/>
        <v>0</v>
      </c>
      <c r="AQ125" s="159">
        <f t="shared" si="15"/>
        <v>0</v>
      </c>
      <c r="AS125" s="159">
        <f t="shared" si="16"/>
        <v>0</v>
      </c>
      <c r="AU125" s="159">
        <f t="shared" si="17"/>
        <v>0</v>
      </c>
      <c r="AW125" s="159">
        <f t="shared" si="18"/>
        <v>0</v>
      </c>
    </row>
    <row r="126" spans="1:49" x14ac:dyDescent="0.2">
      <c r="A126" s="411"/>
      <c r="B126" s="411"/>
      <c r="C126" s="411"/>
      <c r="D126" s="411"/>
      <c r="E126" s="411"/>
      <c r="F126" s="411"/>
      <c r="G126" s="535"/>
      <c r="H126" s="536"/>
      <c r="I126" s="536"/>
      <c r="J126" s="536"/>
      <c r="K126" s="536"/>
      <c r="L126" s="537"/>
      <c r="M126" s="412">
        <f>IF(K126&gt;=Input!$B$18,1,0)</f>
        <v>0</v>
      </c>
      <c r="N126" s="159" t="str">
        <f t="shared" si="0"/>
        <v xml:space="preserve"> -  -  - 0</v>
      </c>
      <c r="O126" s="159">
        <f t="shared" si="1"/>
        <v>0</v>
      </c>
      <c r="Q126" s="159">
        <f t="shared" si="2"/>
        <v>0</v>
      </c>
      <c r="S126" s="159">
        <f t="shared" si="3"/>
        <v>0</v>
      </c>
      <c r="U126" s="159">
        <f t="shared" si="4"/>
        <v>0</v>
      </c>
      <c r="W126" s="159">
        <f t="shared" si="5"/>
        <v>0</v>
      </c>
      <c r="Y126" s="159">
        <f t="shared" si="6"/>
        <v>0</v>
      </c>
      <c r="AA126" s="159">
        <f t="shared" si="7"/>
        <v>0</v>
      </c>
      <c r="AC126" s="159">
        <f t="shared" si="8"/>
        <v>0</v>
      </c>
      <c r="AE126" s="159">
        <f t="shared" si="9"/>
        <v>0</v>
      </c>
      <c r="AG126" s="159">
        <f t="shared" si="10"/>
        <v>0</v>
      </c>
      <c r="AI126" s="159">
        <f t="shared" si="11"/>
        <v>0</v>
      </c>
      <c r="AK126" s="159">
        <f t="shared" si="12"/>
        <v>0</v>
      </c>
      <c r="AM126" s="159">
        <f t="shared" si="13"/>
        <v>0</v>
      </c>
      <c r="AO126" s="159">
        <f t="shared" si="14"/>
        <v>0</v>
      </c>
      <c r="AQ126" s="159">
        <f t="shared" si="15"/>
        <v>0</v>
      </c>
      <c r="AS126" s="159">
        <f t="shared" si="16"/>
        <v>0</v>
      </c>
      <c r="AU126" s="159">
        <f t="shared" si="17"/>
        <v>0</v>
      </c>
      <c r="AW126" s="159">
        <f t="shared" si="18"/>
        <v>0</v>
      </c>
    </row>
    <row r="127" spans="1:49" x14ac:dyDescent="0.2">
      <c r="A127" s="411"/>
      <c r="B127" s="411"/>
      <c r="C127" s="411"/>
      <c r="D127" s="411"/>
      <c r="E127" s="411"/>
      <c r="F127" s="411"/>
      <c r="G127" s="535"/>
      <c r="H127" s="536"/>
      <c r="I127" s="536"/>
      <c r="J127" s="536"/>
      <c r="K127" s="536"/>
      <c r="L127" s="537"/>
      <c r="M127" s="412">
        <f>IF(K127&gt;=Input!$B$18,1,0)</f>
        <v>0</v>
      </c>
      <c r="N127" s="159" t="str">
        <f t="shared" si="0"/>
        <v xml:space="preserve"> -  -  - 0</v>
      </c>
      <c r="O127" s="159">
        <f t="shared" si="1"/>
        <v>0</v>
      </c>
      <c r="Q127" s="159">
        <f t="shared" si="2"/>
        <v>0</v>
      </c>
      <c r="S127" s="159">
        <f t="shared" si="3"/>
        <v>0</v>
      </c>
      <c r="U127" s="159">
        <f t="shared" si="4"/>
        <v>0</v>
      </c>
      <c r="W127" s="159">
        <f t="shared" si="5"/>
        <v>0</v>
      </c>
      <c r="Y127" s="159">
        <f t="shared" si="6"/>
        <v>0</v>
      </c>
      <c r="AA127" s="159">
        <f t="shared" si="7"/>
        <v>0</v>
      </c>
      <c r="AC127" s="159">
        <f t="shared" si="8"/>
        <v>0</v>
      </c>
      <c r="AE127" s="159">
        <f t="shared" si="9"/>
        <v>0</v>
      </c>
      <c r="AG127" s="159">
        <f t="shared" si="10"/>
        <v>0</v>
      </c>
      <c r="AI127" s="159">
        <f t="shared" si="11"/>
        <v>0</v>
      </c>
      <c r="AK127" s="159">
        <f t="shared" si="12"/>
        <v>0</v>
      </c>
      <c r="AM127" s="159">
        <f t="shared" si="13"/>
        <v>0</v>
      </c>
      <c r="AO127" s="159">
        <f t="shared" si="14"/>
        <v>0</v>
      </c>
      <c r="AQ127" s="159">
        <f t="shared" si="15"/>
        <v>0</v>
      </c>
      <c r="AS127" s="159">
        <f t="shared" si="16"/>
        <v>0</v>
      </c>
      <c r="AU127" s="159">
        <f t="shared" si="17"/>
        <v>0</v>
      </c>
      <c r="AW127" s="159">
        <f t="shared" si="18"/>
        <v>0</v>
      </c>
    </row>
    <row r="128" spans="1:49" x14ac:dyDescent="0.2">
      <c r="A128" s="411"/>
      <c r="B128" s="411"/>
      <c r="C128" s="411"/>
      <c r="D128" s="411"/>
      <c r="E128" s="411"/>
      <c r="F128" s="411"/>
      <c r="G128" s="535"/>
      <c r="H128" s="536"/>
      <c r="I128" s="536"/>
      <c r="J128" s="536"/>
      <c r="K128" s="536"/>
      <c r="L128" s="537"/>
      <c r="M128" s="412">
        <f>IF(K128&gt;=Input!$B$18,1,0)</f>
        <v>0</v>
      </c>
      <c r="N128" s="159" t="str">
        <f t="shared" si="0"/>
        <v xml:space="preserve"> -  -  - 0</v>
      </c>
      <c r="O128" s="159">
        <f t="shared" si="1"/>
        <v>0</v>
      </c>
      <c r="Q128" s="159">
        <f t="shared" si="2"/>
        <v>0</v>
      </c>
      <c r="S128" s="159">
        <f t="shared" si="3"/>
        <v>0</v>
      </c>
      <c r="U128" s="159">
        <f t="shared" si="4"/>
        <v>0</v>
      </c>
      <c r="W128" s="159">
        <f t="shared" si="5"/>
        <v>0</v>
      </c>
      <c r="Y128" s="159">
        <f t="shared" si="6"/>
        <v>0</v>
      </c>
      <c r="AA128" s="159">
        <f t="shared" si="7"/>
        <v>0</v>
      </c>
      <c r="AC128" s="159">
        <f t="shared" si="8"/>
        <v>0</v>
      </c>
      <c r="AE128" s="159">
        <f t="shared" si="9"/>
        <v>0</v>
      </c>
      <c r="AG128" s="159">
        <f t="shared" si="10"/>
        <v>0</v>
      </c>
      <c r="AI128" s="159">
        <f t="shared" si="11"/>
        <v>0</v>
      </c>
      <c r="AK128" s="159">
        <f t="shared" si="12"/>
        <v>0</v>
      </c>
      <c r="AM128" s="159">
        <f t="shared" si="13"/>
        <v>0</v>
      </c>
      <c r="AO128" s="159">
        <f t="shared" si="14"/>
        <v>0</v>
      </c>
      <c r="AQ128" s="159">
        <f t="shared" si="15"/>
        <v>0</v>
      </c>
      <c r="AS128" s="159">
        <f t="shared" si="16"/>
        <v>0</v>
      </c>
      <c r="AU128" s="159">
        <f t="shared" si="17"/>
        <v>0</v>
      </c>
      <c r="AW128" s="159">
        <f t="shared" si="18"/>
        <v>0</v>
      </c>
    </row>
    <row r="129" spans="1:49" x14ac:dyDescent="0.2">
      <c r="A129" s="411"/>
      <c r="B129" s="411"/>
      <c r="C129" s="411"/>
      <c r="D129" s="411"/>
      <c r="E129" s="411"/>
      <c r="F129" s="411"/>
      <c r="G129" s="535"/>
      <c r="H129" s="536"/>
      <c r="I129" s="536"/>
      <c r="J129" s="536"/>
      <c r="K129" s="536"/>
      <c r="L129" s="537"/>
      <c r="M129" s="412">
        <f>IF(K129&gt;=Input!$B$18,1,0)</f>
        <v>0</v>
      </c>
      <c r="N129" s="159" t="str">
        <f t="shared" si="0"/>
        <v xml:space="preserve"> -  -  - 0</v>
      </c>
      <c r="O129" s="159">
        <f t="shared" si="1"/>
        <v>0</v>
      </c>
      <c r="Q129" s="159">
        <f t="shared" si="2"/>
        <v>0</v>
      </c>
      <c r="S129" s="159">
        <f t="shared" si="3"/>
        <v>0</v>
      </c>
      <c r="U129" s="159">
        <f t="shared" si="4"/>
        <v>0</v>
      </c>
      <c r="W129" s="159">
        <f t="shared" si="5"/>
        <v>0</v>
      </c>
      <c r="Y129" s="159">
        <f t="shared" si="6"/>
        <v>0</v>
      </c>
      <c r="AA129" s="159">
        <f t="shared" si="7"/>
        <v>0</v>
      </c>
      <c r="AC129" s="159">
        <f t="shared" si="8"/>
        <v>0</v>
      </c>
      <c r="AE129" s="159">
        <f t="shared" si="9"/>
        <v>0</v>
      </c>
      <c r="AG129" s="159">
        <f t="shared" si="10"/>
        <v>0</v>
      </c>
      <c r="AI129" s="159">
        <f t="shared" si="11"/>
        <v>0</v>
      </c>
      <c r="AK129" s="159">
        <f t="shared" si="12"/>
        <v>0</v>
      </c>
      <c r="AM129" s="159">
        <f t="shared" si="13"/>
        <v>0</v>
      </c>
      <c r="AO129" s="159">
        <f t="shared" si="14"/>
        <v>0</v>
      </c>
      <c r="AQ129" s="159">
        <f t="shared" si="15"/>
        <v>0</v>
      </c>
      <c r="AS129" s="159">
        <f t="shared" si="16"/>
        <v>0</v>
      </c>
      <c r="AU129" s="159">
        <f t="shared" si="17"/>
        <v>0</v>
      </c>
      <c r="AW129" s="159">
        <f t="shared" si="18"/>
        <v>0</v>
      </c>
    </row>
    <row r="130" spans="1:49" x14ac:dyDescent="0.2">
      <c r="A130" s="411"/>
      <c r="B130" s="411"/>
      <c r="C130" s="411"/>
      <c r="D130" s="411"/>
      <c r="E130" s="411"/>
      <c r="F130" s="411"/>
      <c r="G130" s="535"/>
      <c r="H130" s="536"/>
      <c r="I130" s="536"/>
      <c r="J130" s="536"/>
      <c r="K130" s="536"/>
      <c r="L130" s="537"/>
      <c r="M130" s="412">
        <f>IF(K130&gt;=Input!$B$18,1,0)</f>
        <v>0</v>
      </c>
      <c r="N130" s="159" t="str">
        <f t="shared" si="0"/>
        <v xml:space="preserve"> -  -  - 0</v>
      </c>
      <c r="O130" s="159">
        <f t="shared" si="1"/>
        <v>0</v>
      </c>
      <c r="Q130" s="159">
        <f t="shared" si="2"/>
        <v>0</v>
      </c>
      <c r="S130" s="159">
        <f t="shared" si="3"/>
        <v>0</v>
      </c>
      <c r="U130" s="159">
        <f t="shared" si="4"/>
        <v>0</v>
      </c>
      <c r="W130" s="159">
        <f t="shared" si="5"/>
        <v>0</v>
      </c>
      <c r="Y130" s="159">
        <f t="shared" si="6"/>
        <v>0</v>
      </c>
      <c r="AA130" s="159">
        <f t="shared" si="7"/>
        <v>0</v>
      </c>
      <c r="AC130" s="159">
        <f t="shared" si="8"/>
        <v>0</v>
      </c>
      <c r="AE130" s="159">
        <f t="shared" si="9"/>
        <v>0</v>
      </c>
      <c r="AG130" s="159">
        <f t="shared" si="10"/>
        <v>0</v>
      </c>
      <c r="AI130" s="159">
        <f t="shared" si="11"/>
        <v>0</v>
      </c>
      <c r="AK130" s="159">
        <f t="shared" si="12"/>
        <v>0</v>
      </c>
      <c r="AM130" s="159">
        <f t="shared" si="13"/>
        <v>0</v>
      </c>
      <c r="AO130" s="159">
        <f t="shared" si="14"/>
        <v>0</v>
      </c>
      <c r="AQ130" s="159">
        <f t="shared" si="15"/>
        <v>0</v>
      </c>
      <c r="AS130" s="159">
        <f t="shared" si="16"/>
        <v>0</v>
      </c>
      <c r="AU130" s="159">
        <f t="shared" si="17"/>
        <v>0</v>
      </c>
      <c r="AW130" s="159">
        <f t="shared" si="18"/>
        <v>0</v>
      </c>
    </row>
    <row r="131" spans="1:49" x14ac:dyDescent="0.2">
      <c r="A131" s="411"/>
      <c r="B131" s="411"/>
      <c r="C131" s="411"/>
      <c r="D131" s="411"/>
      <c r="E131" s="411"/>
      <c r="F131" s="411"/>
      <c r="G131" s="535"/>
      <c r="H131" s="536"/>
      <c r="I131" s="536"/>
      <c r="J131" s="536"/>
      <c r="K131" s="536"/>
      <c r="L131" s="537"/>
      <c r="M131" s="412">
        <f>IF(K131&gt;=Input!$B$18,1,0)</f>
        <v>0</v>
      </c>
      <c r="N131" s="159" t="str">
        <f t="shared" si="0"/>
        <v xml:space="preserve"> -  -  - 0</v>
      </c>
      <c r="O131" s="159">
        <f t="shared" si="1"/>
        <v>0</v>
      </c>
      <c r="Q131" s="159">
        <f t="shared" si="2"/>
        <v>0</v>
      </c>
      <c r="S131" s="159">
        <f t="shared" si="3"/>
        <v>0</v>
      </c>
      <c r="U131" s="159">
        <f t="shared" si="4"/>
        <v>0</v>
      </c>
      <c r="W131" s="159">
        <f t="shared" si="5"/>
        <v>0</v>
      </c>
      <c r="Y131" s="159">
        <f t="shared" si="6"/>
        <v>0</v>
      </c>
      <c r="AA131" s="159">
        <f t="shared" si="7"/>
        <v>0</v>
      </c>
      <c r="AC131" s="159">
        <f t="shared" si="8"/>
        <v>0</v>
      </c>
      <c r="AE131" s="159">
        <f t="shared" si="9"/>
        <v>0</v>
      </c>
      <c r="AG131" s="159">
        <f t="shared" si="10"/>
        <v>0</v>
      </c>
      <c r="AI131" s="159">
        <f t="shared" si="11"/>
        <v>0</v>
      </c>
      <c r="AK131" s="159">
        <f t="shared" si="12"/>
        <v>0</v>
      </c>
      <c r="AM131" s="159">
        <f t="shared" si="13"/>
        <v>0</v>
      </c>
      <c r="AO131" s="159">
        <f t="shared" si="14"/>
        <v>0</v>
      </c>
      <c r="AQ131" s="159">
        <f t="shared" si="15"/>
        <v>0</v>
      </c>
      <c r="AS131" s="159">
        <f t="shared" si="16"/>
        <v>0</v>
      </c>
      <c r="AU131" s="159">
        <f t="shared" si="17"/>
        <v>0</v>
      </c>
      <c r="AW131" s="159">
        <f t="shared" si="18"/>
        <v>0</v>
      </c>
    </row>
    <row r="132" spans="1:49" x14ac:dyDescent="0.2">
      <c r="A132" s="411"/>
      <c r="B132" s="411"/>
      <c r="C132" s="411"/>
      <c r="D132" s="411"/>
      <c r="E132" s="411"/>
      <c r="F132" s="411"/>
      <c r="G132" s="535"/>
      <c r="H132" s="536"/>
      <c r="I132" s="536"/>
      <c r="J132" s="536"/>
      <c r="K132" s="536"/>
      <c r="L132" s="537"/>
      <c r="M132" s="412">
        <f>IF(K132&gt;=Input!$B$18,1,0)</f>
        <v>0</v>
      </c>
      <c r="N132" s="159" t="str">
        <f t="shared" si="0"/>
        <v xml:space="preserve"> -  -  - 0</v>
      </c>
      <c r="O132" s="159">
        <f t="shared" si="1"/>
        <v>0</v>
      </c>
      <c r="Q132" s="159">
        <f t="shared" si="2"/>
        <v>0</v>
      </c>
      <c r="S132" s="159">
        <f t="shared" si="3"/>
        <v>0</v>
      </c>
      <c r="U132" s="159">
        <f t="shared" si="4"/>
        <v>0</v>
      </c>
      <c r="W132" s="159">
        <f t="shared" si="5"/>
        <v>0</v>
      </c>
      <c r="Y132" s="159">
        <f t="shared" si="6"/>
        <v>0</v>
      </c>
      <c r="AA132" s="159">
        <f t="shared" si="7"/>
        <v>0</v>
      </c>
      <c r="AC132" s="159">
        <f t="shared" si="8"/>
        <v>0</v>
      </c>
      <c r="AE132" s="159">
        <f t="shared" si="9"/>
        <v>0</v>
      </c>
      <c r="AG132" s="159">
        <f t="shared" si="10"/>
        <v>0</v>
      </c>
      <c r="AI132" s="159">
        <f t="shared" si="11"/>
        <v>0</v>
      </c>
      <c r="AK132" s="159">
        <f t="shared" si="12"/>
        <v>0</v>
      </c>
      <c r="AM132" s="159">
        <f t="shared" si="13"/>
        <v>0</v>
      </c>
      <c r="AO132" s="159">
        <f t="shared" si="14"/>
        <v>0</v>
      </c>
      <c r="AQ132" s="159">
        <f t="shared" si="15"/>
        <v>0</v>
      </c>
      <c r="AS132" s="159">
        <f t="shared" si="16"/>
        <v>0</v>
      </c>
      <c r="AU132" s="159">
        <f t="shared" si="17"/>
        <v>0</v>
      </c>
      <c r="AW132" s="159">
        <f t="shared" si="18"/>
        <v>0</v>
      </c>
    </row>
    <row r="133" spans="1:49" x14ac:dyDescent="0.2">
      <c r="A133" s="411"/>
      <c r="B133" s="411"/>
      <c r="C133" s="411"/>
      <c r="D133" s="411"/>
      <c r="E133" s="411"/>
      <c r="F133" s="411"/>
      <c r="G133" s="535"/>
      <c r="H133" s="536"/>
      <c r="I133" s="536"/>
      <c r="J133" s="536"/>
      <c r="K133" s="536"/>
      <c r="L133" s="537"/>
      <c r="M133" s="412">
        <f>IF(K133&gt;=Input!$B$18,1,0)</f>
        <v>0</v>
      </c>
      <c r="N133" s="159" t="str">
        <f t="shared" si="0"/>
        <v xml:space="preserve"> -  -  - 0</v>
      </c>
      <c r="O133" s="159">
        <f t="shared" si="1"/>
        <v>0</v>
      </c>
      <c r="Q133" s="159">
        <f t="shared" si="2"/>
        <v>0</v>
      </c>
      <c r="S133" s="159">
        <f t="shared" si="3"/>
        <v>0</v>
      </c>
      <c r="U133" s="159">
        <f t="shared" si="4"/>
        <v>0</v>
      </c>
      <c r="W133" s="159">
        <f t="shared" si="5"/>
        <v>0</v>
      </c>
      <c r="Y133" s="159">
        <f t="shared" si="6"/>
        <v>0</v>
      </c>
      <c r="AA133" s="159">
        <f t="shared" si="7"/>
        <v>0</v>
      </c>
      <c r="AC133" s="159">
        <f t="shared" si="8"/>
        <v>0</v>
      </c>
      <c r="AE133" s="159">
        <f t="shared" si="9"/>
        <v>0</v>
      </c>
      <c r="AG133" s="159">
        <f t="shared" si="10"/>
        <v>0</v>
      </c>
      <c r="AI133" s="159">
        <f t="shared" si="11"/>
        <v>0</v>
      </c>
      <c r="AK133" s="159">
        <f t="shared" si="12"/>
        <v>0</v>
      </c>
      <c r="AM133" s="159">
        <f t="shared" si="13"/>
        <v>0</v>
      </c>
      <c r="AO133" s="159">
        <f t="shared" si="14"/>
        <v>0</v>
      </c>
      <c r="AQ133" s="159">
        <f t="shared" si="15"/>
        <v>0</v>
      </c>
      <c r="AS133" s="159">
        <f t="shared" si="16"/>
        <v>0</v>
      </c>
      <c r="AU133" s="159">
        <f t="shared" si="17"/>
        <v>0</v>
      </c>
      <c r="AW133" s="159">
        <f t="shared" si="18"/>
        <v>0</v>
      </c>
    </row>
    <row r="134" spans="1:49" x14ac:dyDescent="0.2">
      <c r="A134" s="411"/>
      <c r="B134" s="411"/>
      <c r="C134" s="411"/>
      <c r="D134" s="411"/>
      <c r="E134" s="411"/>
      <c r="F134" s="411"/>
      <c r="G134" s="535"/>
      <c r="H134" s="536"/>
      <c r="I134" s="536"/>
      <c r="J134" s="536"/>
      <c r="K134" s="536"/>
      <c r="L134" s="537"/>
      <c r="M134" s="412">
        <f>IF(K134&gt;=Input!$B$18,1,0)</f>
        <v>0</v>
      </c>
      <c r="N134" s="159" t="str">
        <f t="shared" si="0"/>
        <v xml:space="preserve"> -  -  - 0</v>
      </c>
      <c r="O134" s="159">
        <f t="shared" si="1"/>
        <v>0</v>
      </c>
      <c r="Q134" s="159">
        <f t="shared" si="2"/>
        <v>0</v>
      </c>
      <c r="S134" s="159">
        <f t="shared" si="3"/>
        <v>0</v>
      </c>
      <c r="U134" s="159">
        <f t="shared" si="4"/>
        <v>0</v>
      </c>
      <c r="W134" s="159">
        <f t="shared" si="5"/>
        <v>0</v>
      </c>
      <c r="Y134" s="159">
        <f t="shared" si="6"/>
        <v>0</v>
      </c>
      <c r="AA134" s="159">
        <f t="shared" si="7"/>
        <v>0</v>
      </c>
      <c r="AC134" s="159">
        <f t="shared" si="8"/>
        <v>0</v>
      </c>
      <c r="AE134" s="159">
        <f t="shared" si="9"/>
        <v>0</v>
      </c>
      <c r="AG134" s="159">
        <f t="shared" si="10"/>
        <v>0</v>
      </c>
      <c r="AI134" s="159">
        <f t="shared" si="11"/>
        <v>0</v>
      </c>
      <c r="AK134" s="159">
        <f t="shared" si="12"/>
        <v>0</v>
      </c>
      <c r="AM134" s="159">
        <f t="shared" si="13"/>
        <v>0</v>
      </c>
      <c r="AO134" s="159">
        <f t="shared" si="14"/>
        <v>0</v>
      </c>
      <c r="AQ134" s="159">
        <f t="shared" si="15"/>
        <v>0</v>
      </c>
      <c r="AS134" s="159">
        <f t="shared" si="16"/>
        <v>0</v>
      </c>
      <c r="AU134" s="159">
        <f t="shared" si="17"/>
        <v>0</v>
      </c>
      <c r="AW134" s="159">
        <f t="shared" si="18"/>
        <v>0</v>
      </c>
    </row>
    <row r="135" spans="1:49" x14ac:dyDescent="0.2">
      <c r="A135" s="411"/>
      <c r="B135" s="411"/>
      <c r="C135" s="411"/>
      <c r="D135" s="411"/>
      <c r="E135" s="411"/>
      <c r="F135" s="411"/>
      <c r="G135" s="535"/>
      <c r="H135" s="536"/>
      <c r="I135" s="536"/>
      <c r="J135" s="536"/>
      <c r="K135" s="536"/>
      <c r="L135" s="537"/>
      <c r="M135" s="412">
        <f>IF(K135&gt;=Input!$B$18,1,0)</f>
        <v>0</v>
      </c>
      <c r="N135" s="159" t="str">
        <f t="shared" si="0"/>
        <v xml:space="preserve"> -  -  - 0</v>
      </c>
      <c r="O135" s="159">
        <f t="shared" si="1"/>
        <v>0</v>
      </c>
      <c r="Q135" s="159">
        <f t="shared" si="2"/>
        <v>0</v>
      </c>
      <c r="S135" s="159">
        <f t="shared" si="3"/>
        <v>0</v>
      </c>
      <c r="U135" s="159">
        <f t="shared" si="4"/>
        <v>0</v>
      </c>
      <c r="W135" s="159">
        <f t="shared" si="5"/>
        <v>0</v>
      </c>
      <c r="Y135" s="159">
        <f t="shared" si="6"/>
        <v>0</v>
      </c>
      <c r="AA135" s="159">
        <f t="shared" si="7"/>
        <v>0</v>
      </c>
      <c r="AC135" s="159">
        <f t="shared" si="8"/>
        <v>0</v>
      </c>
      <c r="AE135" s="159">
        <f t="shared" si="9"/>
        <v>0</v>
      </c>
      <c r="AG135" s="159">
        <f t="shared" si="10"/>
        <v>0</v>
      </c>
      <c r="AI135" s="159">
        <f t="shared" si="11"/>
        <v>0</v>
      </c>
      <c r="AK135" s="159">
        <f t="shared" si="12"/>
        <v>0</v>
      </c>
      <c r="AM135" s="159">
        <f t="shared" si="13"/>
        <v>0</v>
      </c>
      <c r="AO135" s="159">
        <f t="shared" si="14"/>
        <v>0</v>
      </c>
      <c r="AQ135" s="159">
        <f t="shared" si="15"/>
        <v>0</v>
      </c>
      <c r="AS135" s="159">
        <f t="shared" si="16"/>
        <v>0</v>
      </c>
      <c r="AU135" s="159">
        <f t="shared" si="17"/>
        <v>0</v>
      </c>
      <c r="AW135" s="159">
        <f t="shared" si="18"/>
        <v>0</v>
      </c>
    </row>
    <row r="136" spans="1:49" x14ac:dyDescent="0.2">
      <c r="A136" s="411"/>
      <c r="B136" s="411"/>
      <c r="C136" s="411"/>
      <c r="D136" s="411"/>
      <c r="E136" s="411"/>
      <c r="F136" s="411"/>
      <c r="G136" s="535"/>
      <c r="H136" s="536"/>
      <c r="I136" s="536"/>
      <c r="J136" s="536"/>
      <c r="K136" s="536"/>
      <c r="L136" s="537"/>
      <c r="M136" s="412">
        <f>IF(K136&gt;=Input!$B$18,1,0)</f>
        <v>0</v>
      </c>
      <c r="N136" s="159" t="str">
        <f t="shared" si="0"/>
        <v xml:space="preserve"> -  -  - 0</v>
      </c>
      <c r="O136" s="159">
        <f t="shared" si="1"/>
        <v>0</v>
      </c>
      <c r="Q136" s="159">
        <f t="shared" si="2"/>
        <v>0</v>
      </c>
      <c r="S136" s="159">
        <f t="shared" si="3"/>
        <v>0</v>
      </c>
      <c r="U136" s="159">
        <f t="shared" si="4"/>
        <v>0</v>
      </c>
      <c r="W136" s="159">
        <f t="shared" si="5"/>
        <v>0</v>
      </c>
      <c r="Y136" s="159">
        <f t="shared" si="6"/>
        <v>0</v>
      </c>
      <c r="AA136" s="159">
        <f t="shared" si="7"/>
        <v>0</v>
      </c>
      <c r="AC136" s="159">
        <f t="shared" si="8"/>
        <v>0</v>
      </c>
      <c r="AE136" s="159">
        <f t="shared" si="9"/>
        <v>0</v>
      </c>
      <c r="AG136" s="159">
        <f t="shared" si="10"/>
        <v>0</v>
      </c>
      <c r="AI136" s="159">
        <f t="shared" si="11"/>
        <v>0</v>
      </c>
      <c r="AK136" s="159">
        <f t="shared" si="12"/>
        <v>0</v>
      </c>
      <c r="AM136" s="159">
        <f t="shared" si="13"/>
        <v>0</v>
      </c>
      <c r="AO136" s="159">
        <f t="shared" si="14"/>
        <v>0</v>
      </c>
      <c r="AQ136" s="159">
        <f t="shared" si="15"/>
        <v>0</v>
      </c>
      <c r="AS136" s="159">
        <f t="shared" si="16"/>
        <v>0</v>
      </c>
      <c r="AU136" s="159">
        <f t="shared" si="17"/>
        <v>0</v>
      </c>
      <c r="AW136" s="159">
        <f t="shared" si="18"/>
        <v>0</v>
      </c>
    </row>
    <row r="137" spans="1:49" x14ac:dyDescent="0.2">
      <c r="A137" s="411"/>
      <c r="B137" s="411"/>
      <c r="C137" s="411"/>
      <c r="D137" s="411"/>
      <c r="E137" s="411"/>
      <c r="F137" s="411"/>
      <c r="G137" s="535"/>
      <c r="H137" s="536"/>
      <c r="I137" s="536"/>
      <c r="J137" s="536"/>
      <c r="K137" s="536"/>
      <c r="L137" s="537"/>
      <c r="M137" s="412">
        <f>IF(K137&gt;=Input!$B$18,1,0)</f>
        <v>0</v>
      </c>
      <c r="N137" s="159" t="str">
        <f t="shared" si="0"/>
        <v xml:space="preserve"> -  -  - 0</v>
      </c>
      <c r="O137" s="159">
        <f t="shared" si="1"/>
        <v>0</v>
      </c>
      <c r="Q137" s="159">
        <f t="shared" si="2"/>
        <v>0</v>
      </c>
      <c r="S137" s="159">
        <f t="shared" si="3"/>
        <v>0</v>
      </c>
      <c r="U137" s="159">
        <f t="shared" si="4"/>
        <v>0</v>
      </c>
      <c r="W137" s="159">
        <f t="shared" si="5"/>
        <v>0</v>
      </c>
      <c r="Y137" s="159">
        <f t="shared" si="6"/>
        <v>0</v>
      </c>
      <c r="AA137" s="159">
        <f t="shared" si="7"/>
        <v>0</v>
      </c>
      <c r="AC137" s="159">
        <f t="shared" si="8"/>
        <v>0</v>
      </c>
      <c r="AE137" s="159">
        <f t="shared" si="9"/>
        <v>0</v>
      </c>
      <c r="AG137" s="159">
        <f t="shared" si="10"/>
        <v>0</v>
      </c>
      <c r="AI137" s="159">
        <f t="shared" si="11"/>
        <v>0</v>
      </c>
      <c r="AK137" s="159">
        <f t="shared" si="12"/>
        <v>0</v>
      </c>
      <c r="AM137" s="159">
        <f t="shared" si="13"/>
        <v>0</v>
      </c>
      <c r="AO137" s="159">
        <f t="shared" si="14"/>
        <v>0</v>
      </c>
      <c r="AQ137" s="159">
        <f t="shared" si="15"/>
        <v>0</v>
      </c>
      <c r="AS137" s="159">
        <f t="shared" si="16"/>
        <v>0</v>
      </c>
      <c r="AU137" s="159">
        <f t="shared" si="17"/>
        <v>0</v>
      </c>
      <c r="AW137" s="159">
        <f t="shared" si="18"/>
        <v>0</v>
      </c>
    </row>
    <row r="138" spans="1:49" x14ac:dyDescent="0.2">
      <c r="A138" s="411"/>
      <c r="B138" s="411"/>
      <c r="C138" s="411"/>
      <c r="D138" s="411"/>
      <c r="E138" s="411"/>
      <c r="F138" s="411"/>
      <c r="G138" s="535"/>
      <c r="H138" s="536"/>
      <c r="I138" s="536"/>
      <c r="J138" s="536"/>
      <c r="K138" s="536"/>
      <c r="L138" s="537"/>
      <c r="M138" s="412">
        <f>IF(K138&gt;=Input!$B$18,1,0)</f>
        <v>0</v>
      </c>
      <c r="N138" s="159" t="str">
        <f t="shared" si="0"/>
        <v xml:space="preserve"> -  -  - 0</v>
      </c>
      <c r="O138" s="159">
        <f t="shared" si="1"/>
        <v>0</v>
      </c>
      <c r="Q138" s="159">
        <f t="shared" si="2"/>
        <v>0</v>
      </c>
      <c r="S138" s="159">
        <f t="shared" si="3"/>
        <v>0</v>
      </c>
      <c r="U138" s="159">
        <f t="shared" si="4"/>
        <v>0</v>
      </c>
      <c r="W138" s="159">
        <f t="shared" si="5"/>
        <v>0</v>
      </c>
      <c r="Y138" s="159">
        <f t="shared" si="6"/>
        <v>0</v>
      </c>
      <c r="AA138" s="159">
        <f t="shared" si="7"/>
        <v>0</v>
      </c>
      <c r="AC138" s="159">
        <f t="shared" si="8"/>
        <v>0</v>
      </c>
      <c r="AE138" s="159">
        <f t="shared" si="9"/>
        <v>0</v>
      </c>
      <c r="AG138" s="159">
        <f t="shared" si="10"/>
        <v>0</v>
      </c>
      <c r="AI138" s="159">
        <f t="shared" si="11"/>
        <v>0</v>
      </c>
      <c r="AK138" s="159">
        <f t="shared" si="12"/>
        <v>0</v>
      </c>
      <c r="AM138" s="159">
        <f t="shared" si="13"/>
        <v>0</v>
      </c>
      <c r="AO138" s="159">
        <f t="shared" si="14"/>
        <v>0</v>
      </c>
      <c r="AQ138" s="159">
        <f t="shared" si="15"/>
        <v>0</v>
      </c>
      <c r="AS138" s="159">
        <f t="shared" si="16"/>
        <v>0</v>
      </c>
      <c r="AU138" s="159">
        <f t="shared" si="17"/>
        <v>0</v>
      </c>
      <c r="AW138" s="159">
        <f t="shared" si="18"/>
        <v>0</v>
      </c>
    </row>
    <row r="139" spans="1:49" x14ac:dyDescent="0.2">
      <c r="A139" s="411"/>
      <c r="B139" s="411"/>
      <c r="C139" s="411"/>
      <c r="D139" s="411"/>
      <c r="E139" s="411"/>
      <c r="F139" s="411"/>
      <c r="G139" s="535"/>
      <c r="H139" s="536"/>
      <c r="I139" s="536"/>
      <c r="J139" s="536"/>
      <c r="K139" s="536"/>
      <c r="L139" s="537"/>
      <c r="M139" s="412">
        <f>IF(K139&gt;=Input!$B$18,1,0)</f>
        <v>0</v>
      </c>
      <c r="N139" s="159" t="str">
        <f t="shared" si="0"/>
        <v xml:space="preserve"> -  -  - 0</v>
      </c>
      <c r="O139" s="159">
        <f t="shared" si="1"/>
        <v>0</v>
      </c>
      <c r="Q139" s="159">
        <f t="shared" si="2"/>
        <v>0</v>
      </c>
      <c r="S139" s="159">
        <f t="shared" si="3"/>
        <v>0</v>
      </c>
      <c r="U139" s="159">
        <f t="shared" si="4"/>
        <v>0</v>
      </c>
      <c r="W139" s="159">
        <f t="shared" si="5"/>
        <v>0</v>
      </c>
      <c r="Y139" s="159">
        <f t="shared" si="6"/>
        <v>0</v>
      </c>
      <c r="AA139" s="159">
        <f t="shared" si="7"/>
        <v>0</v>
      </c>
      <c r="AC139" s="159">
        <f t="shared" si="8"/>
        <v>0</v>
      </c>
      <c r="AE139" s="159">
        <f t="shared" si="9"/>
        <v>0</v>
      </c>
      <c r="AG139" s="159">
        <f t="shared" si="10"/>
        <v>0</v>
      </c>
      <c r="AI139" s="159">
        <f t="shared" si="11"/>
        <v>0</v>
      </c>
      <c r="AK139" s="159">
        <f t="shared" si="12"/>
        <v>0</v>
      </c>
      <c r="AM139" s="159">
        <f t="shared" si="13"/>
        <v>0</v>
      </c>
      <c r="AO139" s="159">
        <f t="shared" si="14"/>
        <v>0</v>
      </c>
      <c r="AQ139" s="159">
        <f t="shared" si="15"/>
        <v>0</v>
      </c>
      <c r="AS139" s="159">
        <f t="shared" si="16"/>
        <v>0</v>
      </c>
      <c r="AU139" s="159">
        <f t="shared" si="17"/>
        <v>0</v>
      </c>
      <c r="AW139" s="159">
        <f t="shared" si="18"/>
        <v>0</v>
      </c>
    </row>
    <row r="140" spans="1:49" x14ac:dyDescent="0.2">
      <c r="A140" s="411"/>
      <c r="B140" s="411"/>
      <c r="C140" s="411"/>
      <c r="D140" s="411"/>
      <c r="E140" s="411"/>
      <c r="F140" s="411"/>
      <c r="G140" s="535"/>
      <c r="H140" s="536"/>
      <c r="I140" s="536"/>
      <c r="J140" s="536"/>
      <c r="K140" s="536"/>
      <c r="L140" s="537"/>
      <c r="M140" s="412">
        <f>IF(K140&gt;=Input!$B$18,1,0)</f>
        <v>0</v>
      </c>
      <c r="N140" s="159" t="str">
        <f t="shared" si="0"/>
        <v xml:space="preserve"> -  -  - 0</v>
      </c>
      <c r="O140" s="159">
        <f t="shared" si="1"/>
        <v>0</v>
      </c>
      <c r="Q140" s="159">
        <f t="shared" si="2"/>
        <v>0</v>
      </c>
      <c r="S140" s="159">
        <f t="shared" si="3"/>
        <v>0</v>
      </c>
      <c r="U140" s="159">
        <f t="shared" si="4"/>
        <v>0</v>
      </c>
      <c r="W140" s="159">
        <f t="shared" si="5"/>
        <v>0</v>
      </c>
      <c r="Y140" s="159">
        <f t="shared" si="6"/>
        <v>0</v>
      </c>
      <c r="AA140" s="159">
        <f t="shared" si="7"/>
        <v>0</v>
      </c>
      <c r="AC140" s="159">
        <f t="shared" si="8"/>
        <v>0</v>
      </c>
      <c r="AE140" s="159">
        <f t="shared" si="9"/>
        <v>0</v>
      </c>
      <c r="AG140" s="159">
        <f t="shared" si="10"/>
        <v>0</v>
      </c>
      <c r="AI140" s="159">
        <f t="shared" si="11"/>
        <v>0</v>
      </c>
      <c r="AK140" s="159">
        <f t="shared" si="12"/>
        <v>0</v>
      </c>
      <c r="AM140" s="159">
        <f t="shared" si="13"/>
        <v>0</v>
      </c>
      <c r="AO140" s="159">
        <f t="shared" si="14"/>
        <v>0</v>
      </c>
      <c r="AQ140" s="159">
        <f t="shared" si="15"/>
        <v>0</v>
      </c>
      <c r="AS140" s="159">
        <f t="shared" si="16"/>
        <v>0</v>
      </c>
      <c r="AU140" s="159">
        <f t="shared" si="17"/>
        <v>0</v>
      </c>
      <c r="AW140" s="159">
        <f t="shared" si="18"/>
        <v>0</v>
      </c>
    </row>
    <row r="141" spans="1:49" x14ac:dyDescent="0.2">
      <c r="A141" s="411"/>
      <c r="B141" s="411"/>
      <c r="C141" s="411"/>
      <c r="D141" s="411"/>
      <c r="E141" s="411"/>
      <c r="F141" s="411"/>
      <c r="G141" s="535"/>
      <c r="H141" s="536"/>
      <c r="I141" s="536"/>
      <c r="J141" s="536"/>
      <c r="K141" s="536"/>
      <c r="L141" s="537"/>
      <c r="M141" s="412">
        <f>IF(K141&gt;=Input!$B$18,1,0)</f>
        <v>0</v>
      </c>
      <c r="N141" s="159" t="str">
        <f t="shared" si="0"/>
        <v xml:space="preserve"> -  -  - 0</v>
      </c>
      <c r="O141" s="159">
        <f t="shared" si="1"/>
        <v>0</v>
      </c>
      <c r="Q141" s="159">
        <f t="shared" si="2"/>
        <v>0</v>
      </c>
      <c r="S141" s="159">
        <f t="shared" si="3"/>
        <v>0</v>
      </c>
      <c r="U141" s="159">
        <f t="shared" si="4"/>
        <v>0</v>
      </c>
      <c r="W141" s="159">
        <f t="shared" si="5"/>
        <v>0</v>
      </c>
      <c r="Y141" s="159">
        <f t="shared" si="6"/>
        <v>0</v>
      </c>
      <c r="AA141" s="159">
        <f t="shared" si="7"/>
        <v>0</v>
      </c>
      <c r="AC141" s="159">
        <f t="shared" si="8"/>
        <v>0</v>
      </c>
      <c r="AE141" s="159">
        <f t="shared" si="9"/>
        <v>0</v>
      </c>
      <c r="AG141" s="159">
        <f t="shared" si="10"/>
        <v>0</v>
      </c>
      <c r="AI141" s="159">
        <f t="shared" si="11"/>
        <v>0</v>
      </c>
      <c r="AK141" s="159">
        <f t="shared" si="12"/>
        <v>0</v>
      </c>
      <c r="AM141" s="159">
        <f t="shared" si="13"/>
        <v>0</v>
      </c>
      <c r="AO141" s="159">
        <f t="shared" si="14"/>
        <v>0</v>
      </c>
      <c r="AQ141" s="159">
        <f t="shared" si="15"/>
        <v>0</v>
      </c>
      <c r="AS141" s="159">
        <f t="shared" si="16"/>
        <v>0</v>
      </c>
      <c r="AU141" s="159">
        <f t="shared" si="17"/>
        <v>0</v>
      </c>
      <c r="AW141" s="159">
        <f t="shared" si="18"/>
        <v>0</v>
      </c>
    </row>
    <row r="142" spans="1:49" x14ac:dyDescent="0.2">
      <c r="A142" s="411"/>
      <c r="B142" s="411"/>
      <c r="C142" s="411"/>
      <c r="D142" s="411"/>
      <c r="E142" s="411"/>
      <c r="F142" s="411"/>
      <c r="G142" s="535"/>
      <c r="H142" s="536"/>
      <c r="I142" s="536"/>
      <c r="J142" s="536"/>
      <c r="K142" s="536"/>
      <c r="L142" s="537"/>
      <c r="M142" s="412">
        <f>IF(K142&gt;=Input!$B$18,1,0)</f>
        <v>0</v>
      </c>
      <c r="N142" s="159" t="str">
        <f t="shared" si="0"/>
        <v xml:space="preserve"> -  -  - 0</v>
      </c>
      <c r="O142" s="159">
        <f t="shared" si="1"/>
        <v>0</v>
      </c>
      <c r="Q142" s="159">
        <f t="shared" si="2"/>
        <v>0</v>
      </c>
      <c r="S142" s="159">
        <f t="shared" si="3"/>
        <v>0</v>
      </c>
      <c r="U142" s="159">
        <f t="shared" si="4"/>
        <v>0</v>
      </c>
      <c r="W142" s="159">
        <f t="shared" si="5"/>
        <v>0</v>
      </c>
      <c r="Y142" s="159">
        <f t="shared" si="6"/>
        <v>0</v>
      </c>
      <c r="AA142" s="159">
        <f t="shared" si="7"/>
        <v>0</v>
      </c>
      <c r="AC142" s="159">
        <f t="shared" si="8"/>
        <v>0</v>
      </c>
      <c r="AE142" s="159">
        <f t="shared" si="9"/>
        <v>0</v>
      </c>
      <c r="AG142" s="159">
        <f t="shared" si="10"/>
        <v>0</v>
      </c>
      <c r="AI142" s="159">
        <f t="shared" si="11"/>
        <v>0</v>
      </c>
      <c r="AK142" s="159">
        <f t="shared" si="12"/>
        <v>0</v>
      </c>
      <c r="AM142" s="159">
        <f t="shared" si="13"/>
        <v>0</v>
      </c>
      <c r="AO142" s="159">
        <f t="shared" si="14"/>
        <v>0</v>
      </c>
      <c r="AQ142" s="159">
        <f t="shared" si="15"/>
        <v>0</v>
      </c>
      <c r="AS142" s="159">
        <f t="shared" si="16"/>
        <v>0</v>
      </c>
      <c r="AU142" s="159">
        <f t="shared" si="17"/>
        <v>0</v>
      </c>
      <c r="AW142" s="159">
        <f t="shared" si="18"/>
        <v>0</v>
      </c>
    </row>
    <row r="143" spans="1:49" x14ac:dyDescent="0.2">
      <c r="A143" s="411"/>
      <c r="B143" s="411"/>
      <c r="C143" s="411"/>
      <c r="D143" s="411"/>
      <c r="E143" s="411"/>
      <c r="F143" s="411"/>
      <c r="G143" s="535"/>
      <c r="H143" s="536"/>
      <c r="I143" s="536"/>
      <c r="J143" s="536"/>
      <c r="K143" s="536"/>
      <c r="L143" s="537"/>
      <c r="M143" s="412">
        <f>IF(K143&gt;=Input!$B$18,1,0)</f>
        <v>0</v>
      </c>
      <c r="N143" s="159" t="str">
        <f t="shared" si="0"/>
        <v xml:space="preserve"> -  -  - 0</v>
      </c>
      <c r="O143" s="159">
        <f t="shared" si="1"/>
        <v>0</v>
      </c>
      <c r="Q143" s="159">
        <f t="shared" si="2"/>
        <v>0</v>
      </c>
      <c r="S143" s="159">
        <f t="shared" si="3"/>
        <v>0</v>
      </c>
      <c r="U143" s="159">
        <f t="shared" si="4"/>
        <v>0</v>
      </c>
      <c r="W143" s="159">
        <f t="shared" si="5"/>
        <v>0</v>
      </c>
      <c r="Y143" s="159">
        <f t="shared" si="6"/>
        <v>0</v>
      </c>
      <c r="AA143" s="159">
        <f t="shared" si="7"/>
        <v>0</v>
      </c>
      <c r="AC143" s="159">
        <f t="shared" si="8"/>
        <v>0</v>
      </c>
      <c r="AE143" s="159">
        <f t="shared" si="9"/>
        <v>0</v>
      </c>
      <c r="AG143" s="159">
        <f t="shared" si="10"/>
        <v>0</v>
      </c>
      <c r="AI143" s="159">
        <f t="shared" si="11"/>
        <v>0</v>
      </c>
      <c r="AK143" s="159">
        <f t="shared" si="12"/>
        <v>0</v>
      </c>
      <c r="AM143" s="159">
        <f t="shared" si="13"/>
        <v>0</v>
      </c>
      <c r="AO143" s="159">
        <f t="shared" si="14"/>
        <v>0</v>
      </c>
      <c r="AQ143" s="159">
        <f t="shared" si="15"/>
        <v>0</v>
      </c>
      <c r="AS143" s="159">
        <f t="shared" si="16"/>
        <v>0</v>
      </c>
      <c r="AU143" s="159">
        <f t="shared" si="17"/>
        <v>0</v>
      </c>
      <c r="AW143" s="159">
        <f t="shared" si="18"/>
        <v>0</v>
      </c>
    </row>
    <row r="144" spans="1:49" x14ac:dyDescent="0.2">
      <c r="A144" s="411"/>
      <c r="B144" s="411"/>
      <c r="C144" s="411"/>
      <c r="D144" s="411"/>
      <c r="E144" s="411"/>
      <c r="F144" s="411"/>
      <c r="G144" s="535"/>
      <c r="H144" s="536"/>
      <c r="I144" s="536"/>
      <c r="J144" s="536"/>
      <c r="K144" s="536"/>
      <c r="L144" s="537"/>
      <c r="M144" s="412">
        <f>IF(K144&gt;=Input!$B$18,1,0)</f>
        <v>0</v>
      </c>
      <c r="N144" s="159" t="str">
        <f t="shared" si="0"/>
        <v xml:space="preserve"> -  -  - 0</v>
      </c>
      <c r="O144" s="159">
        <f t="shared" si="1"/>
        <v>0</v>
      </c>
      <c r="Q144" s="159">
        <f t="shared" si="2"/>
        <v>0</v>
      </c>
      <c r="S144" s="159">
        <f t="shared" si="3"/>
        <v>0</v>
      </c>
      <c r="U144" s="159">
        <f t="shared" si="4"/>
        <v>0</v>
      </c>
      <c r="W144" s="159">
        <f t="shared" si="5"/>
        <v>0</v>
      </c>
      <c r="Y144" s="159">
        <f t="shared" si="6"/>
        <v>0</v>
      </c>
      <c r="AA144" s="159">
        <f t="shared" si="7"/>
        <v>0</v>
      </c>
      <c r="AC144" s="159">
        <f t="shared" si="8"/>
        <v>0</v>
      </c>
      <c r="AE144" s="159">
        <f t="shared" si="9"/>
        <v>0</v>
      </c>
      <c r="AG144" s="159">
        <f t="shared" si="10"/>
        <v>0</v>
      </c>
      <c r="AI144" s="159">
        <f t="shared" si="11"/>
        <v>0</v>
      </c>
      <c r="AK144" s="159">
        <f t="shared" si="12"/>
        <v>0</v>
      </c>
      <c r="AM144" s="159">
        <f t="shared" si="13"/>
        <v>0</v>
      </c>
      <c r="AO144" s="159">
        <f t="shared" si="14"/>
        <v>0</v>
      </c>
      <c r="AQ144" s="159">
        <f t="shared" si="15"/>
        <v>0</v>
      </c>
      <c r="AS144" s="159">
        <f t="shared" si="16"/>
        <v>0</v>
      </c>
      <c r="AU144" s="159">
        <f t="shared" si="17"/>
        <v>0</v>
      </c>
      <c r="AW144" s="159">
        <f t="shared" si="18"/>
        <v>0</v>
      </c>
    </row>
    <row r="145" spans="1:49" x14ac:dyDescent="0.2">
      <c r="A145" s="411"/>
      <c r="B145" s="411"/>
      <c r="C145" s="411"/>
      <c r="D145" s="411"/>
      <c r="E145" s="411"/>
      <c r="F145" s="411"/>
      <c r="G145" s="535"/>
      <c r="H145" s="536"/>
      <c r="I145" s="536"/>
      <c r="J145" s="536"/>
      <c r="K145" s="536"/>
      <c r="L145" s="537"/>
      <c r="M145" s="412">
        <f>IF(K145&gt;=Input!$B$18,1,0)</f>
        <v>0</v>
      </c>
      <c r="N145" s="159" t="str">
        <f t="shared" si="0"/>
        <v xml:space="preserve"> -  -  - 0</v>
      </c>
      <c r="O145" s="159">
        <f t="shared" si="1"/>
        <v>0</v>
      </c>
      <c r="Q145" s="159">
        <f t="shared" si="2"/>
        <v>0</v>
      </c>
      <c r="S145" s="159">
        <f t="shared" si="3"/>
        <v>0</v>
      </c>
      <c r="U145" s="159">
        <f t="shared" si="4"/>
        <v>0</v>
      </c>
      <c r="W145" s="159">
        <f t="shared" si="5"/>
        <v>0</v>
      </c>
      <c r="Y145" s="159">
        <f t="shared" si="6"/>
        <v>0</v>
      </c>
      <c r="AA145" s="159">
        <f t="shared" si="7"/>
        <v>0</v>
      </c>
      <c r="AC145" s="159">
        <f t="shared" si="8"/>
        <v>0</v>
      </c>
      <c r="AE145" s="159">
        <f t="shared" si="9"/>
        <v>0</v>
      </c>
      <c r="AG145" s="159">
        <f t="shared" si="10"/>
        <v>0</v>
      </c>
      <c r="AI145" s="159">
        <f t="shared" si="11"/>
        <v>0</v>
      </c>
      <c r="AK145" s="159">
        <f t="shared" si="12"/>
        <v>0</v>
      </c>
      <c r="AM145" s="159">
        <f t="shared" si="13"/>
        <v>0</v>
      </c>
      <c r="AO145" s="159">
        <f t="shared" si="14"/>
        <v>0</v>
      </c>
      <c r="AQ145" s="159">
        <f t="shared" si="15"/>
        <v>0</v>
      </c>
      <c r="AS145" s="159">
        <f t="shared" si="16"/>
        <v>0</v>
      </c>
      <c r="AU145" s="159">
        <f t="shared" si="17"/>
        <v>0</v>
      </c>
      <c r="AW145" s="159">
        <f t="shared" si="18"/>
        <v>0</v>
      </c>
    </row>
    <row r="146" spans="1:49" x14ac:dyDescent="0.2">
      <c r="A146" s="411"/>
      <c r="B146" s="411"/>
      <c r="C146" s="411"/>
      <c r="D146" s="411"/>
      <c r="E146" s="411"/>
      <c r="F146" s="411"/>
      <c r="G146" s="535"/>
      <c r="H146" s="536"/>
      <c r="I146" s="536"/>
      <c r="J146" s="536"/>
      <c r="K146" s="536"/>
      <c r="L146" s="537"/>
      <c r="M146" s="412">
        <f>IF(K146&gt;=Input!$B$18,1,0)</f>
        <v>0</v>
      </c>
      <c r="N146" s="159" t="str">
        <f t="shared" si="0"/>
        <v xml:space="preserve"> -  -  - 0</v>
      </c>
      <c r="O146" s="159">
        <f t="shared" si="1"/>
        <v>0</v>
      </c>
      <c r="Q146" s="159">
        <f t="shared" si="2"/>
        <v>0</v>
      </c>
      <c r="S146" s="159">
        <f t="shared" si="3"/>
        <v>0</v>
      </c>
      <c r="U146" s="159">
        <f t="shared" si="4"/>
        <v>0</v>
      </c>
      <c r="W146" s="159">
        <f t="shared" si="5"/>
        <v>0</v>
      </c>
      <c r="Y146" s="159">
        <f t="shared" si="6"/>
        <v>0</v>
      </c>
      <c r="AA146" s="159">
        <f t="shared" si="7"/>
        <v>0</v>
      </c>
      <c r="AC146" s="159">
        <f t="shared" si="8"/>
        <v>0</v>
      </c>
      <c r="AE146" s="159">
        <f t="shared" si="9"/>
        <v>0</v>
      </c>
      <c r="AG146" s="159">
        <f t="shared" si="10"/>
        <v>0</v>
      </c>
      <c r="AI146" s="159">
        <f t="shared" si="11"/>
        <v>0</v>
      </c>
      <c r="AK146" s="159">
        <f t="shared" si="12"/>
        <v>0</v>
      </c>
      <c r="AM146" s="159">
        <f t="shared" si="13"/>
        <v>0</v>
      </c>
      <c r="AO146" s="159">
        <f t="shared" si="14"/>
        <v>0</v>
      </c>
      <c r="AQ146" s="159">
        <f t="shared" si="15"/>
        <v>0</v>
      </c>
      <c r="AS146" s="159">
        <f t="shared" si="16"/>
        <v>0</v>
      </c>
      <c r="AU146" s="159">
        <f t="shared" si="17"/>
        <v>0</v>
      </c>
      <c r="AW146" s="159">
        <f t="shared" si="18"/>
        <v>0</v>
      </c>
    </row>
    <row r="147" spans="1:49" x14ac:dyDescent="0.2">
      <c r="A147" s="411"/>
      <c r="B147" s="411"/>
      <c r="C147" s="411"/>
      <c r="D147" s="411"/>
      <c r="E147" s="411"/>
      <c r="F147" s="411"/>
      <c r="G147" s="535"/>
      <c r="H147" s="536"/>
      <c r="I147" s="536"/>
      <c r="J147" s="536"/>
      <c r="K147" s="536"/>
      <c r="L147" s="537"/>
      <c r="M147" s="412">
        <f>IF(K147&gt;=Input!$B$18,1,0)</f>
        <v>0</v>
      </c>
      <c r="N147" s="159" t="str">
        <f t="shared" si="0"/>
        <v xml:space="preserve"> -  -  - 0</v>
      </c>
      <c r="O147" s="159">
        <f t="shared" si="1"/>
        <v>0</v>
      </c>
      <c r="Q147" s="159">
        <f t="shared" si="2"/>
        <v>0</v>
      </c>
      <c r="S147" s="159">
        <f t="shared" si="3"/>
        <v>0</v>
      </c>
      <c r="U147" s="159">
        <f t="shared" si="4"/>
        <v>0</v>
      </c>
      <c r="W147" s="159">
        <f t="shared" si="5"/>
        <v>0</v>
      </c>
      <c r="Y147" s="159">
        <f t="shared" si="6"/>
        <v>0</v>
      </c>
      <c r="AA147" s="159">
        <f t="shared" si="7"/>
        <v>0</v>
      </c>
      <c r="AC147" s="159">
        <f t="shared" si="8"/>
        <v>0</v>
      </c>
      <c r="AE147" s="159">
        <f t="shared" si="9"/>
        <v>0</v>
      </c>
      <c r="AG147" s="159">
        <f t="shared" si="10"/>
        <v>0</v>
      </c>
      <c r="AI147" s="159">
        <f t="shared" si="11"/>
        <v>0</v>
      </c>
      <c r="AK147" s="159">
        <f t="shared" si="12"/>
        <v>0</v>
      </c>
      <c r="AM147" s="159">
        <f t="shared" si="13"/>
        <v>0</v>
      </c>
      <c r="AO147" s="159">
        <f t="shared" si="14"/>
        <v>0</v>
      </c>
      <c r="AQ147" s="159">
        <f t="shared" si="15"/>
        <v>0</v>
      </c>
      <c r="AS147" s="159">
        <f t="shared" si="16"/>
        <v>0</v>
      </c>
      <c r="AU147" s="159">
        <f t="shared" si="17"/>
        <v>0</v>
      </c>
      <c r="AW147" s="159">
        <f t="shared" si="18"/>
        <v>0</v>
      </c>
    </row>
    <row r="148" spans="1:49" x14ac:dyDescent="0.2">
      <c r="A148" s="411"/>
      <c r="B148" s="411"/>
      <c r="C148" s="411"/>
      <c r="D148" s="411"/>
      <c r="E148" s="411"/>
      <c r="F148" s="411"/>
      <c r="G148" s="535"/>
      <c r="H148" s="536"/>
      <c r="I148" s="536"/>
      <c r="J148" s="536"/>
      <c r="K148" s="536"/>
      <c r="L148" s="537"/>
      <c r="M148" s="412">
        <f>IF(K148&gt;=Input!$B$18,1,0)</f>
        <v>0</v>
      </c>
      <c r="N148" s="159" t="str">
        <f t="shared" si="0"/>
        <v xml:space="preserve"> -  -  - 0</v>
      </c>
      <c r="O148" s="159">
        <f t="shared" si="1"/>
        <v>0</v>
      </c>
      <c r="Q148" s="159">
        <f t="shared" si="2"/>
        <v>0</v>
      </c>
      <c r="S148" s="159">
        <f t="shared" si="3"/>
        <v>0</v>
      </c>
      <c r="U148" s="159">
        <f t="shared" si="4"/>
        <v>0</v>
      </c>
      <c r="W148" s="159">
        <f t="shared" si="5"/>
        <v>0</v>
      </c>
      <c r="Y148" s="159">
        <f t="shared" si="6"/>
        <v>0</v>
      </c>
      <c r="AA148" s="159">
        <f t="shared" si="7"/>
        <v>0</v>
      </c>
      <c r="AC148" s="159">
        <f t="shared" si="8"/>
        <v>0</v>
      </c>
      <c r="AE148" s="159">
        <f t="shared" si="9"/>
        <v>0</v>
      </c>
      <c r="AG148" s="159">
        <f t="shared" si="10"/>
        <v>0</v>
      </c>
      <c r="AI148" s="159">
        <f t="shared" si="11"/>
        <v>0</v>
      </c>
      <c r="AK148" s="159">
        <f t="shared" si="12"/>
        <v>0</v>
      </c>
      <c r="AM148" s="159">
        <f t="shared" si="13"/>
        <v>0</v>
      </c>
      <c r="AO148" s="159">
        <f t="shared" si="14"/>
        <v>0</v>
      </c>
      <c r="AQ148" s="159">
        <f t="shared" si="15"/>
        <v>0</v>
      </c>
      <c r="AS148" s="159">
        <f t="shared" si="16"/>
        <v>0</v>
      </c>
      <c r="AU148" s="159">
        <f t="shared" si="17"/>
        <v>0</v>
      </c>
      <c r="AW148" s="159">
        <f t="shared" si="18"/>
        <v>0</v>
      </c>
    </row>
    <row r="149" spans="1:49" x14ac:dyDescent="0.2">
      <c r="A149" s="411"/>
      <c r="B149" s="411"/>
      <c r="C149" s="411"/>
      <c r="D149" s="411"/>
      <c r="E149" s="411"/>
      <c r="F149" s="411"/>
      <c r="G149" s="535"/>
      <c r="H149" s="536"/>
      <c r="I149" s="536"/>
      <c r="J149" s="536"/>
      <c r="K149" s="536"/>
      <c r="L149" s="537"/>
      <c r="M149" s="412">
        <f>IF(K149&gt;=Input!$B$18,1,0)</f>
        <v>0</v>
      </c>
      <c r="N149" s="159" t="str">
        <f t="shared" si="0"/>
        <v xml:space="preserve"> -  -  - 0</v>
      </c>
      <c r="O149" s="159">
        <f t="shared" si="1"/>
        <v>0</v>
      </c>
      <c r="Q149" s="159">
        <f t="shared" si="2"/>
        <v>0</v>
      </c>
      <c r="S149" s="159">
        <f t="shared" si="3"/>
        <v>0</v>
      </c>
      <c r="U149" s="159">
        <f t="shared" si="4"/>
        <v>0</v>
      </c>
      <c r="W149" s="159">
        <f t="shared" si="5"/>
        <v>0</v>
      </c>
      <c r="Y149" s="159">
        <f t="shared" si="6"/>
        <v>0</v>
      </c>
      <c r="AA149" s="159">
        <f t="shared" si="7"/>
        <v>0</v>
      </c>
      <c r="AC149" s="159">
        <f t="shared" si="8"/>
        <v>0</v>
      </c>
      <c r="AE149" s="159">
        <f t="shared" si="9"/>
        <v>0</v>
      </c>
      <c r="AG149" s="159">
        <f t="shared" si="10"/>
        <v>0</v>
      </c>
      <c r="AI149" s="159">
        <f t="shared" si="11"/>
        <v>0</v>
      </c>
      <c r="AK149" s="159">
        <f t="shared" si="12"/>
        <v>0</v>
      </c>
      <c r="AM149" s="159">
        <f t="shared" si="13"/>
        <v>0</v>
      </c>
      <c r="AO149" s="159">
        <f t="shared" si="14"/>
        <v>0</v>
      </c>
      <c r="AQ149" s="159">
        <f t="shared" si="15"/>
        <v>0</v>
      </c>
      <c r="AS149" s="159">
        <f t="shared" si="16"/>
        <v>0</v>
      </c>
      <c r="AU149" s="159">
        <f t="shared" si="17"/>
        <v>0</v>
      </c>
      <c r="AW149" s="159">
        <f t="shared" si="18"/>
        <v>0</v>
      </c>
    </row>
    <row r="150" spans="1:49" x14ac:dyDescent="0.2">
      <c r="A150" s="411"/>
      <c r="B150" s="411"/>
      <c r="C150" s="411"/>
      <c r="D150" s="411"/>
      <c r="E150" s="411"/>
      <c r="F150" s="411"/>
      <c r="G150" s="535"/>
      <c r="H150" s="536"/>
      <c r="I150" s="536"/>
      <c r="J150" s="536"/>
      <c r="K150" s="536"/>
      <c r="L150" s="537"/>
      <c r="M150" s="412">
        <f>IF(K150&gt;=Input!$B$18,1,0)</f>
        <v>0</v>
      </c>
      <c r="N150" s="159" t="str">
        <f t="shared" si="0"/>
        <v xml:space="preserve"> -  -  - 0</v>
      </c>
      <c r="O150" s="159">
        <f t="shared" si="1"/>
        <v>0</v>
      </c>
      <c r="Q150" s="159">
        <f t="shared" si="2"/>
        <v>0</v>
      </c>
      <c r="S150" s="159">
        <f t="shared" si="3"/>
        <v>0</v>
      </c>
      <c r="U150" s="159">
        <f t="shared" si="4"/>
        <v>0</v>
      </c>
      <c r="W150" s="159">
        <f t="shared" si="5"/>
        <v>0</v>
      </c>
      <c r="Y150" s="159">
        <f t="shared" si="6"/>
        <v>0</v>
      </c>
      <c r="AA150" s="159">
        <f t="shared" si="7"/>
        <v>0</v>
      </c>
      <c r="AC150" s="159">
        <f t="shared" si="8"/>
        <v>0</v>
      </c>
      <c r="AE150" s="159">
        <f t="shared" si="9"/>
        <v>0</v>
      </c>
      <c r="AG150" s="159">
        <f t="shared" si="10"/>
        <v>0</v>
      </c>
      <c r="AI150" s="159">
        <f t="shared" si="11"/>
        <v>0</v>
      </c>
      <c r="AK150" s="159">
        <f t="shared" si="12"/>
        <v>0</v>
      </c>
      <c r="AM150" s="159">
        <f t="shared" si="13"/>
        <v>0</v>
      </c>
      <c r="AO150" s="159">
        <f t="shared" si="14"/>
        <v>0</v>
      </c>
      <c r="AQ150" s="159">
        <f t="shared" si="15"/>
        <v>0</v>
      </c>
      <c r="AS150" s="159">
        <f t="shared" si="16"/>
        <v>0</v>
      </c>
      <c r="AU150" s="159">
        <f t="shared" si="17"/>
        <v>0</v>
      </c>
      <c r="AW150" s="159">
        <f t="shared" si="18"/>
        <v>0</v>
      </c>
    </row>
    <row r="151" spans="1:49" x14ac:dyDescent="0.2">
      <c r="A151" s="411"/>
      <c r="B151" s="411"/>
      <c r="C151" s="411"/>
      <c r="D151" s="411"/>
      <c r="E151" s="411"/>
      <c r="F151" s="411"/>
      <c r="G151" s="535"/>
      <c r="H151" s="536"/>
      <c r="I151" s="536"/>
      <c r="J151" s="536"/>
      <c r="K151" s="536"/>
      <c r="L151" s="537"/>
      <c r="M151" s="412">
        <f>IF(K151&gt;=Input!$B$18,1,0)</f>
        <v>0</v>
      </c>
      <c r="N151" s="159" t="str">
        <f t="shared" si="0"/>
        <v xml:space="preserve"> -  -  - 0</v>
      </c>
      <c r="O151" s="159">
        <f t="shared" si="1"/>
        <v>0</v>
      </c>
      <c r="Q151" s="159">
        <f t="shared" si="2"/>
        <v>0</v>
      </c>
      <c r="S151" s="159">
        <f t="shared" si="3"/>
        <v>0</v>
      </c>
      <c r="U151" s="159">
        <f t="shared" si="4"/>
        <v>0</v>
      </c>
      <c r="W151" s="159">
        <f t="shared" si="5"/>
        <v>0</v>
      </c>
      <c r="Y151" s="159">
        <f t="shared" si="6"/>
        <v>0</v>
      </c>
      <c r="AA151" s="159">
        <f t="shared" si="7"/>
        <v>0</v>
      </c>
      <c r="AC151" s="159">
        <f t="shared" si="8"/>
        <v>0</v>
      </c>
      <c r="AE151" s="159">
        <f t="shared" si="9"/>
        <v>0</v>
      </c>
      <c r="AG151" s="159">
        <f t="shared" si="10"/>
        <v>0</v>
      </c>
      <c r="AI151" s="159">
        <f t="shared" si="11"/>
        <v>0</v>
      </c>
      <c r="AK151" s="159">
        <f t="shared" si="12"/>
        <v>0</v>
      </c>
      <c r="AM151" s="159">
        <f t="shared" si="13"/>
        <v>0</v>
      </c>
      <c r="AO151" s="159">
        <f t="shared" si="14"/>
        <v>0</v>
      </c>
      <c r="AQ151" s="159">
        <f t="shared" si="15"/>
        <v>0</v>
      </c>
      <c r="AS151" s="159">
        <f t="shared" si="16"/>
        <v>0</v>
      </c>
      <c r="AU151" s="159">
        <f t="shared" si="17"/>
        <v>0</v>
      </c>
      <c r="AW151" s="159">
        <f t="shared" si="18"/>
        <v>0</v>
      </c>
    </row>
    <row r="152" spans="1:49" x14ac:dyDescent="0.2">
      <c r="A152" s="411"/>
      <c r="B152" s="411"/>
      <c r="C152" s="411"/>
      <c r="D152" s="411"/>
      <c r="E152" s="411"/>
      <c r="F152" s="411"/>
      <c r="G152" s="535"/>
      <c r="H152" s="536"/>
      <c r="I152" s="536"/>
      <c r="J152" s="536"/>
      <c r="K152" s="536"/>
      <c r="L152" s="537"/>
      <c r="M152" s="412">
        <f>IF(K152&gt;=Input!$B$18,1,0)</f>
        <v>0</v>
      </c>
      <c r="N152" s="159" t="str">
        <f t="shared" si="0"/>
        <v xml:space="preserve"> -  -  - 0</v>
      </c>
      <c r="O152" s="159">
        <f t="shared" si="1"/>
        <v>0</v>
      </c>
      <c r="Q152" s="159">
        <f t="shared" si="2"/>
        <v>0</v>
      </c>
      <c r="S152" s="159">
        <f t="shared" si="3"/>
        <v>0</v>
      </c>
      <c r="U152" s="159">
        <f t="shared" si="4"/>
        <v>0</v>
      </c>
      <c r="W152" s="159">
        <f t="shared" si="5"/>
        <v>0</v>
      </c>
      <c r="Y152" s="159">
        <f t="shared" si="6"/>
        <v>0</v>
      </c>
      <c r="AA152" s="159">
        <f t="shared" si="7"/>
        <v>0</v>
      </c>
      <c r="AC152" s="159">
        <f t="shared" si="8"/>
        <v>0</v>
      </c>
      <c r="AE152" s="159">
        <f t="shared" si="9"/>
        <v>0</v>
      </c>
      <c r="AG152" s="159">
        <f t="shared" si="10"/>
        <v>0</v>
      </c>
      <c r="AI152" s="159">
        <f t="shared" si="11"/>
        <v>0</v>
      </c>
      <c r="AK152" s="159">
        <f t="shared" si="12"/>
        <v>0</v>
      </c>
      <c r="AM152" s="159">
        <f t="shared" si="13"/>
        <v>0</v>
      </c>
      <c r="AO152" s="159">
        <f t="shared" si="14"/>
        <v>0</v>
      </c>
      <c r="AQ152" s="159">
        <f t="shared" si="15"/>
        <v>0</v>
      </c>
      <c r="AS152" s="159">
        <f t="shared" si="16"/>
        <v>0</v>
      </c>
      <c r="AU152" s="159">
        <f t="shared" si="17"/>
        <v>0</v>
      </c>
      <c r="AW152" s="159">
        <f t="shared" si="18"/>
        <v>0</v>
      </c>
    </row>
    <row r="153" spans="1:49" x14ac:dyDescent="0.2">
      <c r="A153" s="411"/>
      <c r="B153" s="411"/>
      <c r="C153" s="411"/>
      <c r="D153" s="411"/>
      <c r="E153" s="411"/>
      <c r="F153" s="411"/>
      <c r="G153" s="535"/>
      <c r="H153" s="536"/>
      <c r="I153" s="536"/>
      <c r="J153" s="536"/>
      <c r="K153" s="536"/>
      <c r="L153" s="537"/>
      <c r="M153" s="412">
        <f>IF(K153&gt;=Input!$B$18,1,0)</f>
        <v>0</v>
      </c>
      <c r="N153" s="159" t="str">
        <f t="shared" si="0"/>
        <v xml:space="preserve"> -  -  - 0</v>
      </c>
      <c r="O153" s="159">
        <f t="shared" si="1"/>
        <v>0</v>
      </c>
      <c r="Q153" s="159">
        <f t="shared" si="2"/>
        <v>0</v>
      </c>
      <c r="S153" s="159">
        <f t="shared" si="3"/>
        <v>0</v>
      </c>
      <c r="U153" s="159">
        <f t="shared" si="4"/>
        <v>0</v>
      </c>
      <c r="W153" s="159">
        <f t="shared" si="5"/>
        <v>0</v>
      </c>
      <c r="Y153" s="159">
        <f t="shared" si="6"/>
        <v>0</v>
      </c>
      <c r="AA153" s="159">
        <f t="shared" si="7"/>
        <v>0</v>
      </c>
      <c r="AC153" s="159">
        <f t="shared" si="8"/>
        <v>0</v>
      </c>
      <c r="AE153" s="159">
        <f t="shared" si="9"/>
        <v>0</v>
      </c>
      <c r="AG153" s="159">
        <f t="shared" si="10"/>
        <v>0</v>
      </c>
      <c r="AI153" s="159">
        <f t="shared" si="11"/>
        <v>0</v>
      </c>
      <c r="AK153" s="159">
        <f t="shared" si="12"/>
        <v>0</v>
      </c>
      <c r="AM153" s="159">
        <f t="shared" si="13"/>
        <v>0</v>
      </c>
      <c r="AO153" s="159">
        <f t="shared" si="14"/>
        <v>0</v>
      </c>
      <c r="AQ153" s="159">
        <f t="shared" si="15"/>
        <v>0</v>
      </c>
      <c r="AS153" s="159">
        <f t="shared" si="16"/>
        <v>0</v>
      </c>
      <c r="AU153" s="159">
        <f t="shared" si="17"/>
        <v>0</v>
      </c>
      <c r="AW153" s="159">
        <f t="shared" si="18"/>
        <v>0</v>
      </c>
    </row>
    <row r="154" spans="1:49" x14ac:dyDescent="0.2">
      <c r="A154" s="411"/>
      <c r="B154" s="411"/>
      <c r="C154" s="411"/>
      <c r="D154" s="411"/>
      <c r="E154" s="411"/>
      <c r="F154" s="411"/>
      <c r="G154" s="535"/>
      <c r="H154" s="536"/>
      <c r="I154" s="536"/>
      <c r="J154" s="536"/>
      <c r="K154" s="536"/>
      <c r="L154" s="537"/>
      <c r="M154" s="412">
        <f>IF(K154&gt;=Input!$B$18,1,0)</f>
        <v>0</v>
      </c>
      <c r="N154" s="159" t="str">
        <f t="shared" si="0"/>
        <v xml:space="preserve"> -  -  - 0</v>
      </c>
      <c r="O154" s="159">
        <f t="shared" si="1"/>
        <v>0</v>
      </c>
      <c r="Q154" s="159">
        <f t="shared" si="2"/>
        <v>0</v>
      </c>
      <c r="S154" s="159">
        <f t="shared" si="3"/>
        <v>0</v>
      </c>
      <c r="U154" s="159">
        <f t="shared" si="4"/>
        <v>0</v>
      </c>
      <c r="W154" s="159">
        <f t="shared" si="5"/>
        <v>0</v>
      </c>
      <c r="Y154" s="159">
        <f t="shared" si="6"/>
        <v>0</v>
      </c>
      <c r="AA154" s="159">
        <f t="shared" si="7"/>
        <v>0</v>
      </c>
      <c r="AC154" s="159">
        <f t="shared" si="8"/>
        <v>0</v>
      </c>
      <c r="AE154" s="159">
        <f t="shared" si="9"/>
        <v>0</v>
      </c>
      <c r="AG154" s="159">
        <f t="shared" si="10"/>
        <v>0</v>
      </c>
      <c r="AI154" s="159">
        <f t="shared" si="11"/>
        <v>0</v>
      </c>
      <c r="AK154" s="159">
        <f t="shared" si="12"/>
        <v>0</v>
      </c>
      <c r="AM154" s="159">
        <f t="shared" si="13"/>
        <v>0</v>
      </c>
      <c r="AO154" s="159">
        <f t="shared" si="14"/>
        <v>0</v>
      </c>
      <c r="AQ154" s="159">
        <f t="shared" si="15"/>
        <v>0</v>
      </c>
      <c r="AS154" s="159">
        <f t="shared" si="16"/>
        <v>0</v>
      </c>
      <c r="AU154" s="159">
        <f t="shared" si="17"/>
        <v>0</v>
      </c>
      <c r="AW154" s="159">
        <f t="shared" si="18"/>
        <v>0</v>
      </c>
    </row>
    <row r="155" spans="1:49" x14ac:dyDescent="0.2">
      <c r="A155" s="411"/>
      <c r="B155" s="411"/>
      <c r="C155" s="411"/>
      <c r="D155" s="411"/>
      <c r="E155" s="411"/>
      <c r="F155" s="411"/>
      <c r="G155" s="535"/>
      <c r="H155" s="536"/>
      <c r="I155" s="536"/>
      <c r="J155" s="536"/>
      <c r="K155" s="536"/>
      <c r="L155" s="537"/>
      <c r="M155" s="412">
        <f>IF(K155&gt;=Input!$B$18,1,0)</f>
        <v>0</v>
      </c>
      <c r="N155" s="159" t="str">
        <f t="shared" si="0"/>
        <v xml:space="preserve"> -  -  - 0</v>
      </c>
      <c r="O155" s="159">
        <f t="shared" si="1"/>
        <v>0</v>
      </c>
      <c r="Q155" s="159">
        <f t="shared" si="2"/>
        <v>0</v>
      </c>
      <c r="S155" s="159">
        <f t="shared" si="3"/>
        <v>0</v>
      </c>
      <c r="U155" s="159">
        <f t="shared" si="4"/>
        <v>0</v>
      </c>
      <c r="W155" s="159">
        <f t="shared" si="5"/>
        <v>0</v>
      </c>
      <c r="Y155" s="159">
        <f t="shared" si="6"/>
        <v>0</v>
      </c>
      <c r="AA155" s="159">
        <f t="shared" si="7"/>
        <v>0</v>
      </c>
      <c r="AC155" s="159">
        <f t="shared" si="8"/>
        <v>0</v>
      </c>
      <c r="AE155" s="159">
        <f t="shared" si="9"/>
        <v>0</v>
      </c>
      <c r="AG155" s="159">
        <f t="shared" si="10"/>
        <v>0</v>
      </c>
      <c r="AI155" s="159">
        <f t="shared" si="11"/>
        <v>0</v>
      </c>
      <c r="AK155" s="159">
        <f t="shared" si="12"/>
        <v>0</v>
      </c>
      <c r="AM155" s="159">
        <f t="shared" si="13"/>
        <v>0</v>
      </c>
      <c r="AO155" s="159">
        <f t="shared" si="14"/>
        <v>0</v>
      </c>
      <c r="AQ155" s="159">
        <f t="shared" si="15"/>
        <v>0</v>
      </c>
      <c r="AS155" s="159">
        <f t="shared" si="16"/>
        <v>0</v>
      </c>
      <c r="AU155" s="159">
        <f t="shared" si="17"/>
        <v>0</v>
      </c>
      <c r="AW155" s="159">
        <f t="shared" si="18"/>
        <v>0</v>
      </c>
    </row>
    <row r="156" spans="1:49" x14ac:dyDescent="0.2">
      <c r="A156" s="411"/>
      <c r="B156" s="411"/>
      <c r="C156" s="411"/>
      <c r="D156" s="411"/>
      <c r="E156" s="411"/>
      <c r="F156" s="411"/>
      <c r="G156" s="535"/>
      <c r="H156" s="536"/>
      <c r="I156" s="536"/>
      <c r="J156" s="536"/>
      <c r="K156" s="536"/>
      <c r="L156" s="537"/>
      <c r="M156" s="412">
        <f>IF(K156&gt;=Input!$B$18,1,0)</f>
        <v>0</v>
      </c>
      <c r="N156" s="159" t="str">
        <f t="shared" si="0"/>
        <v xml:space="preserve"> -  -  - 0</v>
      </c>
      <c r="O156" s="159">
        <f t="shared" si="1"/>
        <v>0</v>
      </c>
      <c r="Q156" s="159">
        <f t="shared" si="2"/>
        <v>0</v>
      </c>
      <c r="S156" s="159">
        <f t="shared" si="3"/>
        <v>0</v>
      </c>
      <c r="U156" s="159">
        <f t="shared" si="4"/>
        <v>0</v>
      </c>
      <c r="W156" s="159">
        <f t="shared" si="5"/>
        <v>0</v>
      </c>
      <c r="Y156" s="159">
        <f t="shared" si="6"/>
        <v>0</v>
      </c>
      <c r="AA156" s="159">
        <f t="shared" si="7"/>
        <v>0</v>
      </c>
      <c r="AC156" s="159">
        <f t="shared" si="8"/>
        <v>0</v>
      </c>
      <c r="AE156" s="159">
        <f t="shared" si="9"/>
        <v>0</v>
      </c>
      <c r="AG156" s="159">
        <f t="shared" si="10"/>
        <v>0</v>
      </c>
      <c r="AI156" s="159">
        <f t="shared" si="11"/>
        <v>0</v>
      </c>
      <c r="AK156" s="159">
        <f t="shared" si="12"/>
        <v>0</v>
      </c>
      <c r="AM156" s="159">
        <f t="shared" si="13"/>
        <v>0</v>
      </c>
      <c r="AO156" s="159">
        <f t="shared" si="14"/>
        <v>0</v>
      </c>
      <c r="AQ156" s="159">
        <f t="shared" si="15"/>
        <v>0</v>
      </c>
      <c r="AS156" s="159">
        <f t="shared" si="16"/>
        <v>0</v>
      </c>
      <c r="AU156" s="159">
        <f t="shared" si="17"/>
        <v>0</v>
      </c>
      <c r="AW156" s="159">
        <f t="shared" si="18"/>
        <v>0</v>
      </c>
    </row>
    <row r="157" spans="1:49" x14ac:dyDescent="0.2">
      <c r="A157" s="411"/>
      <c r="B157" s="411"/>
      <c r="C157" s="411"/>
      <c r="D157" s="411"/>
      <c r="E157" s="411"/>
      <c r="F157" s="411"/>
      <c r="G157" s="535"/>
      <c r="H157" s="536"/>
      <c r="I157" s="536"/>
      <c r="J157" s="536"/>
      <c r="K157" s="536"/>
      <c r="L157" s="537"/>
      <c r="M157" s="412">
        <f>IF(K157&gt;=Input!$B$18,1,0)</f>
        <v>0</v>
      </c>
      <c r="N157" s="159" t="str">
        <f t="shared" si="0"/>
        <v xml:space="preserve"> -  -  - 0</v>
      </c>
      <c r="O157" s="159">
        <f t="shared" si="1"/>
        <v>0</v>
      </c>
      <c r="Q157" s="159">
        <f t="shared" si="2"/>
        <v>0</v>
      </c>
      <c r="S157" s="159">
        <f t="shared" si="3"/>
        <v>0</v>
      </c>
      <c r="U157" s="159">
        <f t="shared" si="4"/>
        <v>0</v>
      </c>
      <c r="W157" s="159">
        <f t="shared" si="5"/>
        <v>0</v>
      </c>
      <c r="Y157" s="159">
        <f t="shared" si="6"/>
        <v>0</v>
      </c>
      <c r="AA157" s="159">
        <f t="shared" si="7"/>
        <v>0</v>
      </c>
      <c r="AC157" s="159">
        <f t="shared" si="8"/>
        <v>0</v>
      </c>
      <c r="AE157" s="159">
        <f t="shared" si="9"/>
        <v>0</v>
      </c>
      <c r="AG157" s="159">
        <f t="shared" si="10"/>
        <v>0</v>
      </c>
      <c r="AI157" s="159">
        <f t="shared" si="11"/>
        <v>0</v>
      </c>
      <c r="AK157" s="159">
        <f t="shared" si="12"/>
        <v>0</v>
      </c>
      <c r="AM157" s="159">
        <f t="shared" si="13"/>
        <v>0</v>
      </c>
      <c r="AO157" s="159">
        <f t="shared" si="14"/>
        <v>0</v>
      </c>
      <c r="AQ157" s="159">
        <f t="shared" si="15"/>
        <v>0</v>
      </c>
      <c r="AS157" s="159">
        <f t="shared" si="16"/>
        <v>0</v>
      </c>
      <c r="AU157" s="159">
        <f t="shared" si="17"/>
        <v>0</v>
      </c>
      <c r="AW157" s="159">
        <f t="shared" si="18"/>
        <v>0</v>
      </c>
    </row>
    <row r="158" spans="1:49" x14ac:dyDescent="0.2">
      <c r="A158" s="411"/>
      <c r="B158" s="411"/>
      <c r="C158" s="411"/>
      <c r="D158" s="411"/>
      <c r="E158" s="411"/>
      <c r="F158" s="411"/>
      <c r="G158" s="535"/>
      <c r="H158" s="536"/>
      <c r="I158" s="536"/>
      <c r="J158" s="536"/>
      <c r="K158" s="536"/>
      <c r="L158" s="537"/>
      <c r="M158" s="412">
        <f>IF(K158&gt;=Input!$B$18,1,0)</f>
        <v>0</v>
      </c>
      <c r="N158" s="159" t="str">
        <f t="shared" si="0"/>
        <v xml:space="preserve"> -  -  - 0</v>
      </c>
      <c r="O158" s="159">
        <f t="shared" si="1"/>
        <v>0</v>
      </c>
      <c r="Q158" s="159">
        <f t="shared" si="2"/>
        <v>0</v>
      </c>
      <c r="S158" s="159">
        <f t="shared" si="3"/>
        <v>0</v>
      </c>
      <c r="U158" s="159">
        <f t="shared" si="4"/>
        <v>0</v>
      </c>
      <c r="W158" s="159">
        <f t="shared" si="5"/>
        <v>0</v>
      </c>
      <c r="Y158" s="159">
        <f t="shared" si="6"/>
        <v>0</v>
      </c>
      <c r="AA158" s="159">
        <f t="shared" si="7"/>
        <v>0</v>
      </c>
      <c r="AC158" s="159">
        <f t="shared" si="8"/>
        <v>0</v>
      </c>
      <c r="AE158" s="159">
        <f t="shared" si="9"/>
        <v>0</v>
      </c>
      <c r="AG158" s="159">
        <f t="shared" si="10"/>
        <v>0</v>
      </c>
      <c r="AI158" s="159">
        <f t="shared" si="11"/>
        <v>0</v>
      </c>
      <c r="AK158" s="159">
        <f t="shared" si="12"/>
        <v>0</v>
      </c>
      <c r="AM158" s="159">
        <f t="shared" si="13"/>
        <v>0</v>
      </c>
      <c r="AO158" s="159">
        <f t="shared" si="14"/>
        <v>0</v>
      </c>
      <c r="AQ158" s="159">
        <f t="shared" si="15"/>
        <v>0</v>
      </c>
      <c r="AS158" s="159">
        <f t="shared" si="16"/>
        <v>0</v>
      </c>
      <c r="AU158" s="159">
        <f t="shared" si="17"/>
        <v>0</v>
      </c>
      <c r="AW158" s="159">
        <f t="shared" si="18"/>
        <v>0</v>
      </c>
    </row>
    <row r="159" spans="1:49" x14ac:dyDescent="0.2">
      <c r="A159" s="411"/>
      <c r="B159" s="411"/>
      <c r="C159" s="411"/>
      <c r="D159" s="411"/>
      <c r="E159" s="411"/>
      <c r="F159" s="411"/>
      <c r="G159" s="535"/>
      <c r="H159" s="536"/>
      <c r="I159" s="536"/>
      <c r="J159" s="536"/>
      <c r="K159" s="536"/>
      <c r="L159" s="537"/>
      <c r="M159" s="412">
        <f>IF(K159&gt;=Input!$B$18,1,0)</f>
        <v>0</v>
      </c>
      <c r="N159" s="159" t="str">
        <f t="shared" si="0"/>
        <v xml:space="preserve"> -  -  - 0</v>
      </c>
      <c r="O159" s="159">
        <f t="shared" si="1"/>
        <v>0</v>
      </c>
      <c r="Q159" s="159">
        <f t="shared" si="2"/>
        <v>0</v>
      </c>
      <c r="S159" s="159">
        <f t="shared" si="3"/>
        <v>0</v>
      </c>
      <c r="U159" s="159">
        <f t="shared" si="4"/>
        <v>0</v>
      </c>
      <c r="W159" s="159">
        <f t="shared" si="5"/>
        <v>0</v>
      </c>
      <c r="Y159" s="159">
        <f t="shared" si="6"/>
        <v>0</v>
      </c>
      <c r="AA159" s="159">
        <f t="shared" si="7"/>
        <v>0</v>
      </c>
      <c r="AC159" s="159">
        <f t="shared" si="8"/>
        <v>0</v>
      </c>
      <c r="AE159" s="159">
        <f t="shared" si="9"/>
        <v>0</v>
      </c>
      <c r="AG159" s="159">
        <f t="shared" si="10"/>
        <v>0</v>
      </c>
      <c r="AI159" s="159">
        <f t="shared" si="11"/>
        <v>0</v>
      </c>
      <c r="AK159" s="159">
        <f t="shared" si="12"/>
        <v>0</v>
      </c>
      <c r="AM159" s="159">
        <f t="shared" si="13"/>
        <v>0</v>
      </c>
      <c r="AO159" s="159">
        <f t="shared" si="14"/>
        <v>0</v>
      </c>
      <c r="AQ159" s="159">
        <f t="shared" si="15"/>
        <v>0</v>
      </c>
      <c r="AS159" s="159">
        <f t="shared" si="16"/>
        <v>0</v>
      </c>
      <c r="AU159" s="159">
        <f t="shared" si="17"/>
        <v>0</v>
      </c>
      <c r="AW159" s="159">
        <f t="shared" si="18"/>
        <v>0</v>
      </c>
    </row>
    <row r="160" spans="1:49" x14ac:dyDescent="0.2">
      <c r="A160" s="411"/>
      <c r="B160" s="411"/>
      <c r="C160" s="411"/>
      <c r="D160" s="411"/>
      <c r="E160" s="411"/>
      <c r="F160" s="411"/>
      <c r="G160" s="535"/>
      <c r="H160" s="536"/>
      <c r="I160" s="536"/>
      <c r="J160" s="536"/>
      <c r="K160" s="536"/>
      <c r="L160" s="537"/>
      <c r="M160" s="412">
        <f>IF(K160&gt;=Input!$B$18,1,0)</f>
        <v>0</v>
      </c>
      <c r="N160" s="159" t="str">
        <f t="shared" si="0"/>
        <v xml:space="preserve"> -  -  - 0</v>
      </c>
      <c r="O160" s="159">
        <f t="shared" si="1"/>
        <v>0</v>
      </c>
      <c r="Q160" s="159">
        <f t="shared" si="2"/>
        <v>0</v>
      </c>
      <c r="S160" s="159">
        <f t="shared" si="3"/>
        <v>0</v>
      </c>
      <c r="U160" s="159">
        <f t="shared" si="4"/>
        <v>0</v>
      </c>
      <c r="W160" s="159">
        <f t="shared" si="5"/>
        <v>0</v>
      </c>
      <c r="Y160" s="159">
        <f t="shared" si="6"/>
        <v>0</v>
      </c>
      <c r="AA160" s="159">
        <f t="shared" si="7"/>
        <v>0</v>
      </c>
      <c r="AC160" s="159">
        <f t="shared" si="8"/>
        <v>0</v>
      </c>
      <c r="AE160" s="159">
        <f t="shared" si="9"/>
        <v>0</v>
      </c>
      <c r="AG160" s="159">
        <f t="shared" si="10"/>
        <v>0</v>
      </c>
      <c r="AI160" s="159">
        <f t="shared" si="11"/>
        <v>0</v>
      </c>
      <c r="AK160" s="159">
        <f t="shared" si="12"/>
        <v>0</v>
      </c>
      <c r="AM160" s="159">
        <f t="shared" si="13"/>
        <v>0</v>
      </c>
      <c r="AO160" s="159">
        <f t="shared" si="14"/>
        <v>0</v>
      </c>
      <c r="AQ160" s="159">
        <f t="shared" si="15"/>
        <v>0</v>
      </c>
      <c r="AS160" s="159">
        <f t="shared" si="16"/>
        <v>0</v>
      </c>
      <c r="AU160" s="159">
        <f t="shared" si="17"/>
        <v>0</v>
      </c>
      <c r="AW160" s="159">
        <f t="shared" si="18"/>
        <v>0</v>
      </c>
    </row>
    <row r="161" spans="1:49" x14ac:dyDescent="0.2">
      <c r="A161" s="411"/>
      <c r="B161" s="411"/>
      <c r="C161" s="411"/>
      <c r="D161" s="411"/>
      <c r="E161" s="411"/>
      <c r="F161" s="411"/>
      <c r="G161" s="535"/>
      <c r="H161" s="536"/>
      <c r="I161" s="536"/>
      <c r="J161" s="536"/>
      <c r="K161" s="536"/>
      <c r="L161" s="537"/>
      <c r="M161" s="412">
        <f>IF(K161&gt;=Input!$B$18,1,0)</f>
        <v>0</v>
      </c>
      <c r="N161" s="159" t="str">
        <f t="shared" si="0"/>
        <v xml:space="preserve"> -  -  - 0</v>
      </c>
      <c r="O161" s="159">
        <f t="shared" si="1"/>
        <v>0</v>
      </c>
      <c r="Q161" s="159">
        <f t="shared" si="2"/>
        <v>0</v>
      </c>
      <c r="S161" s="159">
        <f t="shared" si="3"/>
        <v>0</v>
      </c>
      <c r="U161" s="159">
        <f t="shared" si="4"/>
        <v>0</v>
      </c>
      <c r="W161" s="159">
        <f t="shared" si="5"/>
        <v>0</v>
      </c>
      <c r="Y161" s="159">
        <f t="shared" si="6"/>
        <v>0</v>
      </c>
      <c r="AA161" s="159">
        <f t="shared" si="7"/>
        <v>0</v>
      </c>
      <c r="AC161" s="159">
        <f t="shared" si="8"/>
        <v>0</v>
      </c>
      <c r="AE161" s="159">
        <f t="shared" si="9"/>
        <v>0</v>
      </c>
      <c r="AG161" s="159">
        <f t="shared" si="10"/>
        <v>0</v>
      </c>
      <c r="AI161" s="159">
        <f t="shared" si="11"/>
        <v>0</v>
      </c>
      <c r="AK161" s="159">
        <f t="shared" si="12"/>
        <v>0</v>
      </c>
      <c r="AM161" s="159">
        <f t="shared" si="13"/>
        <v>0</v>
      </c>
      <c r="AO161" s="159">
        <f t="shared" si="14"/>
        <v>0</v>
      </c>
      <c r="AQ161" s="159">
        <f t="shared" si="15"/>
        <v>0</v>
      </c>
      <c r="AS161" s="159">
        <f t="shared" si="16"/>
        <v>0</v>
      </c>
      <c r="AU161" s="159">
        <f t="shared" si="17"/>
        <v>0</v>
      </c>
      <c r="AW161" s="159">
        <f t="shared" si="18"/>
        <v>0</v>
      </c>
    </row>
    <row r="162" spans="1:49" x14ac:dyDescent="0.2">
      <c r="A162" s="411"/>
      <c r="B162" s="411"/>
      <c r="C162" s="411"/>
      <c r="D162" s="411"/>
      <c r="E162" s="411"/>
      <c r="F162" s="411"/>
      <c r="G162" s="535"/>
      <c r="H162" s="536"/>
      <c r="I162" s="536"/>
      <c r="J162" s="536"/>
      <c r="K162" s="536"/>
      <c r="L162" s="537"/>
      <c r="M162" s="412">
        <f>IF(K162&gt;=Input!$B$18,1,0)</f>
        <v>0</v>
      </c>
      <c r="N162" s="159" t="str">
        <f t="shared" si="0"/>
        <v xml:space="preserve"> -  -  - 0</v>
      </c>
      <c r="O162" s="159">
        <f t="shared" si="1"/>
        <v>0</v>
      </c>
      <c r="Q162" s="159">
        <f t="shared" si="2"/>
        <v>0</v>
      </c>
      <c r="S162" s="159">
        <f t="shared" si="3"/>
        <v>0</v>
      </c>
      <c r="U162" s="159">
        <f t="shared" si="4"/>
        <v>0</v>
      </c>
      <c r="W162" s="159">
        <f t="shared" si="5"/>
        <v>0</v>
      </c>
      <c r="Y162" s="159">
        <f t="shared" si="6"/>
        <v>0</v>
      </c>
      <c r="AA162" s="159">
        <f t="shared" si="7"/>
        <v>0</v>
      </c>
      <c r="AC162" s="159">
        <f t="shared" si="8"/>
        <v>0</v>
      </c>
      <c r="AE162" s="159">
        <f t="shared" si="9"/>
        <v>0</v>
      </c>
      <c r="AG162" s="159">
        <f t="shared" si="10"/>
        <v>0</v>
      </c>
      <c r="AI162" s="159">
        <f t="shared" si="11"/>
        <v>0</v>
      </c>
      <c r="AK162" s="159">
        <f t="shared" si="12"/>
        <v>0</v>
      </c>
      <c r="AM162" s="159">
        <f t="shared" si="13"/>
        <v>0</v>
      </c>
      <c r="AO162" s="159">
        <f t="shared" si="14"/>
        <v>0</v>
      </c>
      <c r="AQ162" s="159">
        <f t="shared" si="15"/>
        <v>0</v>
      </c>
      <c r="AS162" s="159">
        <f t="shared" si="16"/>
        <v>0</v>
      </c>
      <c r="AU162" s="159">
        <f t="shared" si="17"/>
        <v>0</v>
      </c>
      <c r="AW162" s="159">
        <f t="shared" si="18"/>
        <v>0</v>
      </c>
    </row>
    <row r="163" spans="1:49" x14ac:dyDescent="0.2">
      <c r="A163" s="411"/>
      <c r="B163" s="411"/>
      <c r="C163" s="411"/>
      <c r="D163" s="411"/>
      <c r="E163" s="411"/>
      <c r="F163" s="411"/>
      <c r="G163" s="535"/>
      <c r="H163" s="536"/>
      <c r="I163" s="536"/>
      <c r="J163" s="536"/>
      <c r="K163" s="536"/>
      <c r="L163" s="537"/>
      <c r="M163" s="412">
        <f>IF(K163&gt;=Input!$B$18,1,0)</f>
        <v>0</v>
      </c>
      <c r="N163" s="159" t="str">
        <f t="shared" si="0"/>
        <v xml:space="preserve"> -  -  - 0</v>
      </c>
      <c r="O163" s="159">
        <f t="shared" si="1"/>
        <v>0</v>
      </c>
      <c r="Q163" s="159">
        <f t="shared" si="2"/>
        <v>0</v>
      </c>
      <c r="S163" s="159">
        <f t="shared" si="3"/>
        <v>0</v>
      </c>
      <c r="U163" s="159">
        <f t="shared" si="4"/>
        <v>0</v>
      </c>
      <c r="W163" s="159">
        <f t="shared" si="5"/>
        <v>0</v>
      </c>
      <c r="Y163" s="159">
        <f t="shared" si="6"/>
        <v>0</v>
      </c>
      <c r="AA163" s="159">
        <f t="shared" si="7"/>
        <v>0</v>
      </c>
      <c r="AC163" s="159">
        <f t="shared" si="8"/>
        <v>0</v>
      </c>
      <c r="AE163" s="159">
        <f t="shared" si="9"/>
        <v>0</v>
      </c>
      <c r="AG163" s="159">
        <f t="shared" si="10"/>
        <v>0</v>
      </c>
      <c r="AI163" s="159">
        <f t="shared" si="11"/>
        <v>0</v>
      </c>
      <c r="AK163" s="159">
        <f t="shared" si="12"/>
        <v>0</v>
      </c>
      <c r="AM163" s="159">
        <f t="shared" si="13"/>
        <v>0</v>
      </c>
      <c r="AO163" s="159">
        <f t="shared" si="14"/>
        <v>0</v>
      </c>
      <c r="AQ163" s="159">
        <f t="shared" si="15"/>
        <v>0</v>
      </c>
      <c r="AS163" s="159">
        <f t="shared" si="16"/>
        <v>0</v>
      </c>
      <c r="AU163" s="159">
        <f t="shared" si="17"/>
        <v>0</v>
      </c>
      <c r="AW163" s="159">
        <f t="shared" si="18"/>
        <v>0</v>
      </c>
    </row>
    <row r="164" spans="1:49" x14ac:dyDescent="0.2">
      <c r="A164" s="411"/>
      <c r="B164" s="411"/>
      <c r="C164" s="411"/>
      <c r="D164" s="411"/>
      <c r="E164" s="411"/>
      <c r="F164" s="411"/>
      <c r="G164" s="535"/>
      <c r="H164" s="536"/>
      <c r="I164" s="536"/>
      <c r="J164" s="536"/>
      <c r="K164" s="536"/>
      <c r="L164" s="537"/>
      <c r="M164" s="412">
        <f>IF(K164&gt;=Input!$B$18,1,0)</f>
        <v>0</v>
      </c>
      <c r="N164" s="159" t="str">
        <f t="shared" si="0"/>
        <v xml:space="preserve"> -  -  - 0</v>
      </c>
      <c r="O164" s="159">
        <f t="shared" si="1"/>
        <v>0</v>
      </c>
      <c r="Q164" s="159">
        <f t="shared" si="2"/>
        <v>0</v>
      </c>
      <c r="S164" s="159">
        <f t="shared" si="3"/>
        <v>0</v>
      </c>
      <c r="U164" s="159">
        <f t="shared" si="4"/>
        <v>0</v>
      </c>
      <c r="W164" s="159">
        <f t="shared" si="5"/>
        <v>0</v>
      </c>
      <c r="Y164" s="159">
        <f t="shared" si="6"/>
        <v>0</v>
      </c>
      <c r="AA164" s="159">
        <f t="shared" si="7"/>
        <v>0</v>
      </c>
      <c r="AC164" s="159">
        <f t="shared" si="8"/>
        <v>0</v>
      </c>
      <c r="AE164" s="159">
        <f t="shared" si="9"/>
        <v>0</v>
      </c>
      <c r="AG164" s="159">
        <f t="shared" si="10"/>
        <v>0</v>
      </c>
      <c r="AI164" s="159">
        <f t="shared" si="11"/>
        <v>0</v>
      </c>
      <c r="AK164" s="159">
        <f t="shared" si="12"/>
        <v>0</v>
      </c>
      <c r="AM164" s="159">
        <f t="shared" si="13"/>
        <v>0</v>
      </c>
      <c r="AO164" s="159">
        <f t="shared" si="14"/>
        <v>0</v>
      </c>
      <c r="AQ164" s="159">
        <f t="shared" si="15"/>
        <v>0</v>
      </c>
      <c r="AS164" s="159">
        <f t="shared" si="16"/>
        <v>0</v>
      </c>
      <c r="AU164" s="159">
        <f t="shared" si="17"/>
        <v>0</v>
      </c>
      <c r="AW164" s="159">
        <f t="shared" si="18"/>
        <v>0</v>
      </c>
    </row>
    <row r="165" spans="1:49" x14ac:dyDescent="0.2">
      <c r="A165" s="411"/>
      <c r="B165" s="411"/>
      <c r="C165" s="411"/>
      <c r="D165" s="411"/>
      <c r="E165" s="411"/>
      <c r="F165" s="411"/>
      <c r="G165" s="535"/>
      <c r="H165" s="536"/>
      <c r="I165" s="536"/>
      <c r="J165" s="536"/>
      <c r="K165" s="536"/>
      <c r="L165" s="537"/>
      <c r="M165" s="412">
        <f>IF(K165&gt;=Input!$B$18,1,0)</f>
        <v>0</v>
      </c>
      <c r="N165" s="159" t="str">
        <f t="shared" si="0"/>
        <v xml:space="preserve"> -  -  - 0</v>
      </c>
      <c r="O165" s="159">
        <f t="shared" si="1"/>
        <v>0</v>
      </c>
      <c r="Q165" s="159">
        <f t="shared" si="2"/>
        <v>0</v>
      </c>
      <c r="S165" s="159">
        <f t="shared" si="3"/>
        <v>0</v>
      </c>
      <c r="U165" s="159">
        <f t="shared" si="4"/>
        <v>0</v>
      </c>
      <c r="W165" s="159">
        <f t="shared" si="5"/>
        <v>0</v>
      </c>
      <c r="Y165" s="159">
        <f t="shared" si="6"/>
        <v>0</v>
      </c>
      <c r="AA165" s="159">
        <f t="shared" si="7"/>
        <v>0</v>
      </c>
      <c r="AC165" s="159">
        <f t="shared" si="8"/>
        <v>0</v>
      </c>
      <c r="AE165" s="159">
        <f t="shared" si="9"/>
        <v>0</v>
      </c>
      <c r="AG165" s="159">
        <f t="shared" si="10"/>
        <v>0</v>
      </c>
      <c r="AI165" s="159">
        <f t="shared" si="11"/>
        <v>0</v>
      </c>
      <c r="AK165" s="159">
        <f t="shared" si="12"/>
        <v>0</v>
      </c>
      <c r="AM165" s="159">
        <f t="shared" si="13"/>
        <v>0</v>
      </c>
      <c r="AO165" s="159">
        <f t="shared" si="14"/>
        <v>0</v>
      </c>
      <c r="AQ165" s="159">
        <f t="shared" si="15"/>
        <v>0</v>
      </c>
      <c r="AS165" s="159">
        <f t="shared" si="16"/>
        <v>0</v>
      </c>
      <c r="AU165" s="159">
        <f t="shared" si="17"/>
        <v>0</v>
      </c>
      <c r="AW165" s="159">
        <f t="shared" si="18"/>
        <v>0</v>
      </c>
    </row>
    <row r="166" spans="1:49" x14ac:dyDescent="0.2">
      <c r="A166" s="411"/>
      <c r="B166" s="411"/>
      <c r="C166" s="411"/>
      <c r="D166" s="411"/>
      <c r="E166" s="411"/>
      <c r="F166" s="411"/>
      <c r="G166" s="535"/>
      <c r="H166" s="536"/>
      <c r="I166" s="536"/>
      <c r="J166" s="536"/>
      <c r="K166" s="536"/>
      <c r="L166" s="537"/>
      <c r="M166" s="412">
        <f>IF(K166&gt;=Input!$B$18,1,0)</f>
        <v>0</v>
      </c>
      <c r="N166" s="159" t="str">
        <f t="shared" si="0"/>
        <v xml:space="preserve"> -  -  - 0</v>
      </c>
      <c r="O166" s="159">
        <f t="shared" si="1"/>
        <v>0</v>
      </c>
      <c r="Q166" s="159">
        <f t="shared" si="2"/>
        <v>0</v>
      </c>
      <c r="S166" s="159">
        <f t="shared" si="3"/>
        <v>0</v>
      </c>
      <c r="U166" s="159">
        <f t="shared" si="4"/>
        <v>0</v>
      </c>
      <c r="W166" s="159">
        <f t="shared" si="5"/>
        <v>0</v>
      </c>
      <c r="Y166" s="159">
        <f t="shared" si="6"/>
        <v>0</v>
      </c>
      <c r="AA166" s="159">
        <f t="shared" si="7"/>
        <v>0</v>
      </c>
      <c r="AC166" s="159">
        <f t="shared" si="8"/>
        <v>0</v>
      </c>
      <c r="AE166" s="159">
        <f t="shared" si="9"/>
        <v>0</v>
      </c>
      <c r="AG166" s="159">
        <f t="shared" si="10"/>
        <v>0</v>
      </c>
      <c r="AI166" s="159">
        <f t="shared" si="11"/>
        <v>0</v>
      </c>
      <c r="AK166" s="159">
        <f t="shared" si="12"/>
        <v>0</v>
      </c>
      <c r="AM166" s="159">
        <f t="shared" si="13"/>
        <v>0</v>
      </c>
      <c r="AO166" s="159">
        <f t="shared" si="14"/>
        <v>0</v>
      </c>
      <c r="AQ166" s="159">
        <f t="shared" si="15"/>
        <v>0</v>
      </c>
      <c r="AS166" s="159">
        <f t="shared" si="16"/>
        <v>0</v>
      </c>
      <c r="AU166" s="159">
        <f t="shared" si="17"/>
        <v>0</v>
      </c>
      <c r="AW166" s="159">
        <f t="shared" si="18"/>
        <v>0</v>
      </c>
    </row>
    <row r="167" spans="1:49" x14ac:dyDescent="0.2">
      <c r="A167" s="411"/>
      <c r="B167" s="411"/>
      <c r="C167" s="411"/>
      <c r="D167" s="411"/>
      <c r="E167" s="411"/>
      <c r="F167" s="411"/>
      <c r="G167" s="535"/>
      <c r="H167" s="536"/>
      <c r="I167" s="536"/>
      <c r="J167" s="536"/>
      <c r="K167" s="536"/>
      <c r="L167" s="537"/>
      <c r="M167" s="412">
        <f>IF(K167&gt;=Input!$B$18,1,0)</f>
        <v>0</v>
      </c>
      <c r="N167" s="159" t="str">
        <f t="shared" si="0"/>
        <v xml:space="preserve"> -  -  - 0</v>
      </c>
      <c r="O167" s="159">
        <f t="shared" si="1"/>
        <v>0</v>
      </c>
      <c r="Q167" s="159">
        <f t="shared" si="2"/>
        <v>0</v>
      </c>
      <c r="S167" s="159">
        <f t="shared" si="3"/>
        <v>0</v>
      </c>
      <c r="U167" s="159">
        <f t="shared" si="4"/>
        <v>0</v>
      </c>
      <c r="W167" s="159">
        <f t="shared" si="5"/>
        <v>0</v>
      </c>
      <c r="Y167" s="159">
        <f t="shared" si="6"/>
        <v>0</v>
      </c>
      <c r="AA167" s="159">
        <f t="shared" si="7"/>
        <v>0</v>
      </c>
      <c r="AC167" s="159">
        <f t="shared" si="8"/>
        <v>0</v>
      </c>
      <c r="AE167" s="159">
        <f t="shared" si="9"/>
        <v>0</v>
      </c>
      <c r="AG167" s="159">
        <f t="shared" si="10"/>
        <v>0</v>
      </c>
      <c r="AI167" s="159">
        <f t="shared" si="11"/>
        <v>0</v>
      </c>
      <c r="AK167" s="159">
        <f t="shared" si="12"/>
        <v>0</v>
      </c>
      <c r="AM167" s="159">
        <f t="shared" si="13"/>
        <v>0</v>
      </c>
      <c r="AO167" s="159">
        <f t="shared" si="14"/>
        <v>0</v>
      </c>
      <c r="AQ167" s="159">
        <f t="shared" si="15"/>
        <v>0</v>
      </c>
      <c r="AS167" s="159">
        <f t="shared" si="16"/>
        <v>0</v>
      </c>
      <c r="AU167" s="159">
        <f t="shared" si="17"/>
        <v>0</v>
      </c>
      <c r="AW167" s="159">
        <f t="shared" si="18"/>
        <v>0</v>
      </c>
    </row>
    <row r="168" spans="1:49" x14ac:dyDescent="0.2">
      <c r="A168" s="411"/>
      <c r="B168" s="411"/>
      <c r="C168" s="411"/>
      <c r="D168" s="411"/>
      <c r="E168" s="411"/>
      <c r="F168" s="411"/>
      <c r="G168" s="535"/>
      <c r="H168" s="536"/>
      <c r="I168" s="536"/>
      <c r="J168" s="536"/>
      <c r="K168" s="536"/>
      <c r="L168" s="537"/>
      <c r="M168" s="412">
        <f>IF(K168&gt;=Input!$B$18,1,0)</f>
        <v>0</v>
      </c>
      <c r="N168" s="159" t="str">
        <f t="shared" si="0"/>
        <v xml:space="preserve"> -  -  - 0</v>
      </c>
      <c r="O168" s="159">
        <f t="shared" si="1"/>
        <v>0</v>
      </c>
      <c r="Q168" s="159">
        <f t="shared" si="2"/>
        <v>0</v>
      </c>
      <c r="S168" s="159">
        <f t="shared" si="3"/>
        <v>0</v>
      </c>
      <c r="U168" s="159">
        <f t="shared" si="4"/>
        <v>0</v>
      </c>
      <c r="W168" s="159">
        <f t="shared" si="5"/>
        <v>0</v>
      </c>
      <c r="Y168" s="159">
        <f t="shared" si="6"/>
        <v>0</v>
      </c>
      <c r="AA168" s="159">
        <f t="shared" si="7"/>
        <v>0</v>
      </c>
      <c r="AC168" s="159">
        <f t="shared" si="8"/>
        <v>0</v>
      </c>
      <c r="AE168" s="159">
        <f t="shared" si="9"/>
        <v>0</v>
      </c>
      <c r="AG168" s="159">
        <f t="shared" si="10"/>
        <v>0</v>
      </c>
      <c r="AI168" s="159">
        <f t="shared" si="11"/>
        <v>0</v>
      </c>
      <c r="AK168" s="159">
        <f t="shared" si="12"/>
        <v>0</v>
      </c>
      <c r="AM168" s="159">
        <f t="shared" si="13"/>
        <v>0</v>
      </c>
      <c r="AO168" s="159">
        <f t="shared" si="14"/>
        <v>0</v>
      </c>
      <c r="AQ168" s="159">
        <f t="shared" si="15"/>
        <v>0</v>
      </c>
      <c r="AS168" s="159">
        <f t="shared" si="16"/>
        <v>0</v>
      </c>
      <c r="AU168" s="159">
        <f t="shared" si="17"/>
        <v>0</v>
      </c>
      <c r="AW168" s="159">
        <f t="shared" si="18"/>
        <v>0</v>
      </c>
    </row>
    <row r="169" spans="1:49" x14ac:dyDescent="0.2">
      <c r="A169" s="411"/>
      <c r="B169" s="411"/>
      <c r="C169" s="411"/>
      <c r="D169" s="411"/>
      <c r="E169" s="411"/>
      <c r="F169" s="411"/>
      <c r="G169" s="535"/>
      <c r="H169" s="536"/>
      <c r="I169" s="536"/>
      <c r="J169" s="536"/>
      <c r="K169" s="536"/>
      <c r="L169" s="537"/>
      <c r="M169" s="412">
        <f>IF(K169&gt;=Input!$B$18,1,0)</f>
        <v>0</v>
      </c>
      <c r="N169" s="159" t="str">
        <f t="shared" si="0"/>
        <v xml:space="preserve"> -  -  - 0</v>
      </c>
      <c r="O169" s="159">
        <f t="shared" si="1"/>
        <v>0</v>
      </c>
      <c r="Q169" s="159">
        <f t="shared" si="2"/>
        <v>0</v>
      </c>
      <c r="S169" s="159">
        <f t="shared" si="3"/>
        <v>0</v>
      </c>
      <c r="U169" s="159">
        <f t="shared" si="4"/>
        <v>0</v>
      </c>
      <c r="W169" s="159">
        <f t="shared" si="5"/>
        <v>0</v>
      </c>
      <c r="Y169" s="159">
        <f t="shared" si="6"/>
        <v>0</v>
      </c>
      <c r="AA169" s="159">
        <f t="shared" si="7"/>
        <v>0</v>
      </c>
      <c r="AC169" s="159">
        <f t="shared" si="8"/>
        <v>0</v>
      </c>
      <c r="AE169" s="159">
        <f t="shared" si="9"/>
        <v>0</v>
      </c>
      <c r="AG169" s="159">
        <f t="shared" si="10"/>
        <v>0</v>
      </c>
      <c r="AI169" s="159">
        <f t="shared" si="11"/>
        <v>0</v>
      </c>
      <c r="AK169" s="159">
        <f t="shared" si="12"/>
        <v>0</v>
      </c>
      <c r="AM169" s="159">
        <f t="shared" si="13"/>
        <v>0</v>
      </c>
      <c r="AO169" s="159">
        <f t="shared" si="14"/>
        <v>0</v>
      </c>
      <c r="AQ169" s="159">
        <f t="shared" si="15"/>
        <v>0</v>
      </c>
      <c r="AS169" s="159">
        <f t="shared" si="16"/>
        <v>0</v>
      </c>
      <c r="AU169" s="159">
        <f t="shared" si="17"/>
        <v>0</v>
      </c>
      <c r="AW169" s="159">
        <f t="shared" si="18"/>
        <v>0</v>
      </c>
    </row>
    <row r="170" spans="1:49" x14ac:dyDescent="0.2">
      <c r="A170" s="411"/>
      <c r="B170" s="411"/>
      <c r="C170" s="411"/>
      <c r="D170" s="411"/>
      <c r="E170" s="411"/>
      <c r="F170" s="411"/>
      <c r="G170" s="535"/>
      <c r="H170" s="536"/>
      <c r="I170" s="536"/>
      <c r="J170" s="536"/>
      <c r="K170" s="536"/>
      <c r="L170" s="537"/>
      <c r="M170" s="412">
        <f>IF(K170&gt;=Input!$B$18,1,0)</f>
        <v>0</v>
      </c>
      <c r="N170" s="159" t="str">
        <f t="shared" si="0"/>
        <v xml:space="preserve"> -  -  - 0</v>
      </c>
      <c r="O170" s="159">
        <f t="shared" si="1"/>
        <v>0</v>
      </c>
      <c r="Q170" s="159">
        <f t="shared" si="2"/>
        <v>0</v>
      </c>
      <c r="S170" s="159">
        <f t="shared" si="3"/>
        <v>0</v>
      </c>
      <c r="U170" s="159">
        <f t="shared" si="4"/>
        <v>0</v>
      </c>
      <c r="W170" s="159">
        <f t="shared" si="5"/>
        <v>0</v>
      </c>
      <c r="Y170" s="159">
        <f t="shared" si="6"/>
        <v>0</v>
      </c>
      <c r="AA170" s="159">
        <f t="shared" si="7"/>
        <v>0</v>
      </c>
      <c r="AC170" s="159">
        <f t="shared" si="8"/>
        <v>0</v>
      </c>
      <c r="AE170" s="159">
        <f t="shared" si="9"/>
        <v>0</v>
      </c>
      <c r="AG170" s="159">
        <f t="shared" si="10"/>
        <v>0</v>
      </c>
      <c r="AI170" s="159">
        <f t="shared" si="11"/>
        <v>0</v>
      </c>
      <c r="AK170" s="159">
        <f t="shared" si="12"/>
        <v>0</v>
      </c>
      <c r="AM170" s="159">
        <f t="shared" si="13"/>
        <v>0</v>
      </c>
      <c r="AO170" s="159">
        <f t="shared" si="14"/>
        <v>0</v>
      </c>
      <c r="AQ170" s="159">
        <f t="shared" si="15"/>
        <v>0</v>
      </c>
      <c r="AS170" s="159">
        <f t="shared" si="16"/>
        <v>0</v>
      </c>
      <c r="AU170" s="159">
        <f t="shared" si="17"/>
        <v>0</v>
      </c>
      <c r="AW170" s="159">
        <f t="shared" si="18"/>
        <v>0</v>
      </c>
    </row>
    <row r="171" spans="1:49" x14ac:dyDescent="0.2">
      <c r="A171" s="411"/>
      <c r="B171" s="411"/>
      <c r="C171" s="411"/>
      <c r="D171" s="411"/>
      <c r="E171" s="411"/>
      <c r="F171" s="411"/>
      <c r="G171" s="535"/>
      <c r="H171" s="536"/>
      <c r="I171" s="536"/>
      <c r="J171" s="536"/>
      <c r="K171" s="536"/>
      <c r="L171" s="537"/>
      <c r="M171" s="412">
        <f>IF(K171&gt;=Input!$B$18,1,0)</f>
        <v>0</v>
      </c>
      <c r="N171" s="159" t="str">
        <f t="shared" si="0"/>
        <v xml:space="preserve"> -  -  - 0</v>
      </c>
      <c r="O171" s="159">
        <f t="shared" si="1"/>
        <v>0</v>
      </c>
      <c r="Q171" s="159">
        <f t="shared" si="2"/>
        <v>0</v>
      </c>
      <c r="S171" s="159">
        <f t="shared" si="3"/>
        <v>0</v>
      </c>
      <c r="U171" s="159">
        <f t="shared" si="4"/>
        <v>0</v>
      </c>
      <c r="W171" s="159">
        <f t="shared" si="5"/>
        <v>0</v>
      </c>
      <c r="Y171" s="159">
        <f t="shared" si="6"/>
        <v>0</v>
      </c>
      <c r="AA171" s="159">
        <f t="shared" si="7"/>
        <v>0</v>
      </c>
      <c r="AC171" s="159">
        <f t="shared" si="8"/>
        <v>0</v>
      </c>
      <c r="AE171" s="159">
        <f t="shared" si="9"/>
        <v>0</v>
      </c>
      <c r="AG171" s="159">
        <f t="shared" si="10"/>
        <v>0</v>
      </c>
      <c r="AI171" s="159">
        <f t="shared" si="11"/>
        <v>0</v>
      </c>
      <c r="AK171" s="159">
        <f t="shared" si="12"/>
        <v>0</v>
      </c>
      <c r="AM171" s="159">
        <f t="shared" si="13"/>
        <v>0</v>
      </c>
      <c r="AO171" s="159">
        <f t="shared" si="14"/>
        <v>0</v>
      </c>
      <c r="AQ171" s="159">
        <f t="shared" si="15"/>
        <v>0</v>
      </c>
      <c r="AS171" s="159">
        <f t="shared" si="16"/>
        <v>0</v>
      </c>
      <c r="AU171" s="159">
        <f t="shared" si="17"/>
        <v>0</v>
      </c>
      <c r="AW171" s="159">
        <f t="shared" si="18"/>
        <v>0</v>
      </c>
    </row>
    <row r="172" spans="1:49" x14ac:dyDescent="0.2">
      <c r="A172" s="411"/>
      <c r="B172" s="411"/>
      <c r="C172" s="411"/>
      <c r="D172" s="411"/>
      <c r="E172" s="411"/>
      <c r="F172" s="411"/>
      <c r="G172" s="535"/>
      <c r="H172" s="536"/>
      <c r="I172" s="536"/>
      <c r="J172" s="536"/>
      <c r="K172" s="536"/>
      <c r="L172" s="537"/>
      <c r="M172" s="412">
        <f>IF(K172&gt;=Input!$B$18,1,0)</f>
        <v>0</v>
      </c>
      <c r="N172" s="159" t="str">
        <f t="shared" si="0"/>
        <v xml:space="preserve"> -  -  - 0</v>
      </c>
      <c r="O172" s="159">
        <f t="shared" si="1"/>
        <v>0</v>
      </c>
      <c r="Q172" s="159">
        <f t="shared" si="2"/>
        <v>0</v>
      </c>
      <c r="S172" s="159">
        <f t="shared" si="3"/>
        <v>0</v>
      </c>
      <c r="U172" s="159">
        <f t="shared" si="4"/>
        <v>0</v>
      </c>
      <c r="W172" s="159">
        <f t="shared" si="5"/>
        <v>0</v>
      </c>
      <c r="Y172" s="159">
        <f t="shared" si="6"/>
        <v>0</v>
      </c>
      <c r="AA172" s="159">
        <f t="shared" si="7"/>
        <v>0</v>
      </c>
      <c r="AC172" s="159">
        <f t="shared" si="8"/>
        <v>0</v>
      </c>
      <c r="AE172" s="159">
        <f t="shared" si="9"/>
        <v>0</v>
      </c>
      <c r="AG172" s="159">
        <f t="shared" si="10"/>
        <v>0</v>
      </c>
      <c r="AI172" s="159">
        <f t="shared" si="11"/>
        <v>0</v>
      </c>
      <c r="AK172" s="159">
        <f t="shared" si="12"/>
        <v>0</v>
      </c>
      <c r="AM172" s="159">
        <f t="shared" si="13"/>
        <v>0</v>
      </c>
      <c r="AO172" s="159">
        <f t="shared" si="14"/>
        <v>0</v>
      </c>
      <c r="AQ172" s="159">
        <f t="shared" si="15"/>
        <v>0</v>
      </c>
      <c r="AS172" s="159">
        <f t="shared" si="16"/>
        <v>0</v>
      </c>
      <c r="AU172" s="159">
        <f t="shared" si="17"/>
        <v>0</v>
      </c>
      <c r="AW172" s="159">
        <f t="shared" si="18"/>
        <v>0</v>
      </c>
    </row>
    <row r="173" spans="1:49" x14ac:dyDescent="0.2">
      <c r="A173" s="411"/>
      <c r="B173" s="411"/>
      <c r="C173" s="411"/>
      <c r="D173" s="411"/>
      <c r="E173" s="411"/>
      <c r="F173" s="411"/>
      <c r="G173" s="535"/>
      <c r="H173" s="536"/>
      <c r="I173" s="536"/>
      <c r="J173" s="536"/>
      <c r="K173" s="536"/>
      <c r="L173" s="537"/>
      <c r="M173" s="412">
        <f>IF(K173&gt;=Input!$B$18,1,0)</f>
        <v>0</v>
      </c>
      <c r="N173" s="159" t="str">
        <f t="shared" si="0"/>
        <v xml:space="preserve"> -  -  - 0</v>
      </c>
      <c r="O173" s="159">
        <f t="shared" si="1"/>
        <v>0</v>
      </c>
      <c r="Q173" s="159">
        <f t="shared" si="2"/>
        <v>0</v>
      </c>
      <c r="S173" s="159">
        <f t="shared" si="3"/>
        <v>0</v>
      </c>
      <c r="U173" s="159">
        <f t="shared" si="4"/>
        <v>0</v>
      </c>
      <c r="W173" s="159">
        <f t="shared" si="5"/>
        <v>0</v>
      </c>
      <c r="Y173" s="159">
        <f t="shared" si="6"/>
        <v>0</v>
      </c>
      <c r="AA173" s="159">
        <f t="shared" si="7"/>
        <v>0</v>
      </c>
      <c r="AC173" s="159">
        <f t="shared" si="8"/>
        <v>0</v>
      </c>
      <c r="AE173" s="159">
        <f t="shared" si="9"/>
        <v>0</v>
      </c>
      <c r="AG173" s="159">
        <f t="shared" si="10"/>
        <v>0</v>
      </c>
      <c r="AI173" s="159">
        <f t="shared" si="11"/>
        <v>0</v>
      </c>
      <c r="AK173" s="159">
        <f t="shared" si="12"/>
        <v>0</v>
      </c>
      <c r="AM173" s="159">
        <f t="shared" si="13"/>
        <v>0</v>
      </c>
      <c r="AO173" s="159">
        <f t="shared" si="14"/>
        <v>0</v>
      </c>
      <c r="AQ173" s="159">
        <f t="shared" si="15"/>
        <v>0</v>
      </c>
      <c r="AS173" s="159">
        <f t="shared" si="16"/>
        <v>0</v>
      </c>
      <c r="AU173" s="159">
        <f t="shared" si="17"/>
        <v>0</v>
      </c>
      <c r="AW173" s="159">
        <f t="shared" si="18"/>
        <v>0</v>
      </c>
    </row>
    <row r="174" spans="1:49" x14ac:dyDescent="0.2">
      <c r="A174" s="411"/>
      <c r="B174" s="411"/>
      <c r="C174" s="411"/>
      <c r="D174" s="411"/>
      <c r="E174" s="411"/>
      <c r="F174" s="411"/>
      <c r="G174" s="535"/>
      <c r="H174" s="536"/>
      <c r="I174" s="536"/>
      <c r="J174" s="536"/>
      <c r="K174" s="536"/>
      <c r="L174" s="537"/>
      <c r="M174" s="412">
        <f>IF(K174&gt;=Input!$B$18,1,0)</f>
        <v>0</v>
      </c>
      <c r="N174" s="159" t="str">
        <f t="shared" si="0"/>
        <v xml:space="preserve"> -  -  - 0</v>
      </c>
      <c r="O174" s="159">
        <f t="shared" si="1"/>
        <v>0</v>
      </c>
      <c r="Q174" s="159">
        <f t="shared" si="2"/>
        <v>0</v>
      </c>
      <c r="S174" s="159">
        <f t="shared" si="3"/>
        <v>0</v>
      </c>
      <c r="U174" s="159">
        <f t="shared" si="4"/>
        <v>0</v>
      </c>
      <c r="W174" s="159">
        <f t="shared" si="5"/>
        <v>0</v>
      </c>
      <c r="Y174" s="159">
        <f t="shared" si="6"/>
        <v>0</v>
      </c>
      <c r="AA174" s="159">
        <f t="shared" si="7"/>
        <v>0</v>
      </c>
      <c r="AC174" s="159">
        <f t="shared" si="8"/>
        <v>0</v>
      </c>
      <c r="AE174" s="159">
        <f t="shared" si="9"/>
        <v>0</v>
      </c>
      <c r="AG174" s="159">
        <f t="shared" si="10"/>
        <v>0</v>
      </c>
      <c r="AI174" s="159">
        <f t="shared" si="11"/>
        <v>0</v>
      </c>
      <c r="AK174" s="159">
        <f t="shared" si="12"/>
        <v>0</v>
      </c>
      <c r="AM174" s="159">
        <f t="shared" si="13"/>
        <v>0</v>
      </c>
      <c r="AO174" s="159">
        <f t="shared" si="14"/>
        <v>0</v>
      </c>
      <c r="AQ174" s="159">
        <f t="shared" si="15"/>
        <v>0</v>
      </c>
      <c r="AS174" s="159">
        <f t="shared" si="16"/>
        <v>0</v>
      </c>
      <c r="AU174" s="159">
        <f t="shared" si="17"/>
        <v>0</v>
      </c>
      <c r="AW174" s="159">
        <f t="shared" si="18"/>
        <v>0</v>
      </c>
    </row>
    <row r="175" spans="1:49" x14ac:dyDescent="0.2">
      <c r="A175" s="411"/>
      <c r="B175" s="411"/>
      <c r="C175" s="411"/>
      <c r="D175" s="411"/>
      <c r="E175" s="411"/>
      <c r="F175" s="411"/>
      <c r="G175" s="535"/>
      <c r="H175" s="536"/>
      <c r="I175" s="536"/>
      <c r="J175" s="536"/>
      <c r="K175" s="536"/>
      <c r="L175" s="537"/>
      <c r="M175" s="412">
        <f>IF(K175&gt;=Input!$B$18,1,0)</f>
        <v>0</v>
      </c>
      <c r="N175" s="159" t="str">
        <f t="shared" si="0"/>
        <v xml:space="preserve"> -  -  - 0</v>
      </c>
      <c r="O175" s="159">
        <f t="shared" si="1"/>
        <v>0</v>
      </c>
      <c r="Q175" s="159">
        <f t="shared" si="2"/>
        <v>0</v>
      </c>
      <c r="S175" s="159">
        <f t="shared" si="3"/>
        <v>0</v>
      </c>
      <c r="U175" s="159">
        <f t="shared" si="4"/>
        <v>0</v>
      </c>
      <c r="W175" s="159">
        <f t="shared" si="5"/>
        <v>0</v>
      </c>
      <c r="Y175" s="159">
        <f t="shared" si="6"/>
        <v>0</v>
      </c>
      <c r="AA175" s="159">
        <f t="shared" si="7"/>
        <v>0</v>
      </c>
      <c r="AC175" s="159">
        <f t="shared" si="8"/>
        <v>0</v>
      </c>
      <c r="AE175" s="159">
        <f t="shared" si="9"/>
        <v>0</v>
      </c>
      <c r="AG175" s="159">
        <f t="shared" si="10"/>
        <v>0</v>
      </c>
      <c r="AI175" s="159">
        <f t="shared" si="11"/>
        <v>0</v>
      </c>
      <c r="AK175" s="159">
        <f t="shared" si="12"/>
        <v>0</v>
      </c>
      <c r="AM175" s="159">
        <f t="shared" si="13"/>
        <v>0</v>
      </c>
      <c r="AO175" s="159">
        <f t="shared" si="14"/>
        <v>0</v>
      </c>
      <c r="AQ175" s="159">
        <f t="shared" si="15"/>
        <v>0</v>
      </c>
      <c r="AS175" s="159">
        <f t="shared" si="16"/>
        <v>0</v>
      </c>
      <c r="AU175" s="159">
        <f t="shared" si="17"/>
        <v>0</v>
      </c>
      <c r="AW175" s="159">
        <f t="shared" si="18"/>
        <v>0</v>
      </c>
    </row>
    <row r="176" spans="1:49" x14ac:dyDescent="0.2">
      <c r="A176" s="411"/>
      <c r="B176" s="411"/>
      <c r="C176" s="411"/>
      <c r="D176" s="411"/>
      <c r="E176" s="411"/>
      <c r="F176" s="411"/>
      <c r="G176" s="535"/>
      <c r="H176" s="536"/>
      <c r="I176" s="536"/>
      <c r="J176" s="536"/>
      <c r="K176" s="536"/>
      <c r="L176" s="537"/>
      <c r="M176" s="412">
        <f>IF(K176&gt;=Input!$B$18,1,0)</f>
        <v>0</v>
      </c>
      <c r="N176" s="159" t="str">
        <f t="shared" si="0"/>
        <v xml:space="preserve"> -  -  - 0</v>
      </c>
      <c r="O176" s="159">
        <f t="shared" si="1"/>
        <v>0</v>
      </c>
      <c r="Q176" s="159">
        <f t="shared" si="2"/>
        <v>0</v>
      </c>
      <c r="S176" s="159">
        <f t="shared" si="3"/>
        <v>0</v>
      </c>
      <c r="U176" s="159">
        <f t="shared" si="4"/>
        <v>0</v>
      </c>
      <c r="W176" s="159">
        <f t="shared" si="5"/>
        <v>0</v>
      </c>
      <c r="Y176" s="159">
        <f t="shared" si="6"/>
        <v>0</v>
      </c>
      <c r="AA176" s="159">
        <f t="shared" si="7"/>
        <v>0</v>
      </c>
      <c r="AC176" s="159">
        <f t="shared" si="8"/>
        <v>0</v>
      </c>
      <c r="AE176" s="159">
        <f t="shared" si="9"/>
        <v>0</v>
      </c>
      <c r="AG176" s="159">
        <f t="shared" si="10"/>
        <v>0</v>
      </c>
      <c r="AI176" s="159">
        <f t="shared" si="11"/>
        <v>0</v>
      </c>
      <c r="AK176" s="159">
        <f t="shared" si="12"/>
        <v>0</v>
      </c>
      <c r="AM176" s="159">
        <f t="shared" si="13"/>
        <v>0</v>
      </c>
      <c r="AO176" s="159">
        <f t="shared" si="14"/>
        <v>0</v>
      </c>
      <c r="AQ176" s="159">
        <f t="shared" si="15"/>
        <v>0</v>
      </c>
      <c r="AS176" s="159">
        <f t="shared" si="16"/>
        <v>0</v>
      </c>
      <c r="AU176" s="159">
        <f t="shared" si="17"/>
        <v>0</v>
      </c>
      <c r="AW176" s="159">
        <f t="shared" si="18"/>
        <v>0</v>
      </c>
    </row>
    <row r="177" spans="1:49" x14ac:dyDescent="0.2">
      <c r="A177" s="411"/>
      <c r="B177" s="411"/>
      <c r="C177" s="411"/>
      <c r="D177" s="411"/>
      <c r="E177" s="411"/>
      <c r="F177" s="411"/>
      <c r="G177" s="535"/>
      <c r="H177" s="536"/>
      <c r="I177" s="536"/>
      <c r="J177" s="536"/>
      <c r="K177" s="536"/>
      <c r="L177" s="537"/>
      <c r="M177" s="412">
        <f>IF(K177&gt;=Input!$B$18,1,0)</f>
        <v>0</v>
      </c>
      <c r="N177" s="159" t="str">
        <f t="shared" si="0"/>
        <v xml:space="preserve"> -  -  - 0</v>
      </c>
      <c r="O177" s="159">
        <f t="shared" si="1"/>
        <v>0</v>
      </c>
      <c r="Q177" s="159">
        <f t="shared" si="2"/>
        <v>0</v>
      </c>
      <c r="S177" s="159">
        <f t="shared" si="3"/>
        <v>0</v>
      </c>
      <c r="U177" s="159">
        <f t="shared" si="4"/>
        <v>0</v>
      </c>
      <c r="W177" s="159">
        <f t="shared" si="5"/>
        <v>0</v>
      </c>
      <c r="Y177" s="159">
        <f t="shared" si="6"/>
        <v>0</v>
      </c>
      <c r="AA177" s="159">
        <f t="shared" si="7"/>
        <v>0</v>
      </c>
      <c r="AC177" s="159">
        <f t="shared" si="8"/>
        <v>0</v>
      </c>
      <c r="AE177" s="159">
        <f t="shared" si="9"/>
        <v>0</v>
      </c>
      <c r="AG177" s="159">
        <f t="shared" si="10"/>
        <v>0</v>
      </c>
      <c r="AI177" s="159">
        <f t="shared" si="11"/>
        <v>0</v>
      </c>
      <c r="AK177" s="159">
        <f t="shared" si="12"/>
        <v>0</v>
      </c>
      <c r="AM177" s="159">
        <f t="shared" si="13"/>
        <v>0</v>
      </c>
      <c r="AO177" s="159">
        <f t="shared" si="14"/>
        <v>0</v>
      </c>
      <c r="AQ177" s="159">
        <f t="shared" si="15"/>
        <v>0</v>
      </c>
      <c r="AS177" s="159">
        <f t="shared" si="16"/>
        <v>0</v>
      </c>
      <c r="AU177" s="159">
        <f t="shared" si="17"/>
        <v>0</v>
      </c>
      <c r="AW177" s="159">
        <f t="shared" si="18"/>
        <v>0</v>
      </c>
    </row>
    <row r="178" spans="1:49" x14ac:dyDescent="0.2">
      <c r="A178" s="411"/>
      <c r="B178" s="411"/>
      <c r="C178" s="411"/>
      <c r="D178" s="411"/>
      <c r="E178" s="411"/>
      <c r="F178" s="411"/>
      <c r="G178" s="535"/>
      <c r="H178" s="536"/>
      <c r="I178" s="536"/>
      <c r="J178" s="536"/>
      <c r="K178" s="536"/>
      <c r="L178" s="537"/>
      <c r="M178" s="412">
        <f>IF(K178&gt;=Input!$B$18,1,0)</f>
        <v>0</v>
      </c>
      <c r="N178" s="159" t="str">
        <f t="shared" si="0"/>
        <v xml:space="preserve"> -  -  - 0</v>
      </c>
      <c r="O178" s="159">
        <f t="shared" si="1"/>
        <v>0</v>
      </c>
      <c r="Q178" s="159">
        <f t="shared" si="2"/>
        <v>0</v>
      </c>
      <c r="S178" s="159">
        <f t="shared" si="3"/>
        <v>0</v>
      </c>
      <c r="U178" s="159">
        <f t="shared" si="4"/>
        <v>0</v>
      </c>
      <c r="W178" s="159">
        <f t="shared" si="5"/>
        <v>0</v>
      </c>
      <c r="Y178" s="159">
        <f t="shared" si="6"/>
        <v>0</v>
      </c>
      <c r="AA178" s="159">
        <f t="shared" si="7"/>
        <v>0</v>
      </c>
      <c r="AC178" s="159">
        <f t="shared" si="8"/>
        <v>0</v>
      </c>
      <c r="AE178" s="159">
        <f t="shared" si="9"/>
        <v>0</v>
      </c>
      <c r="AG178" s="159">
        <f t="shared" si="10"/>
        <v>0</v>
      </c>
      <c r="AI178" s="159">
        <f t="shared" si="11"/>
        <v>0</v>
      </c>
      <c r="AK178" s="159">
        <f t="shared" si="12"/>
        <v>0</v>
      </c>
      <c r="AM178" s="159">
        <f t="shared" si="13"/>
        <v>0</v>
      </c>
      <c r="AO178" s="159">
        <f t="shared" si="14"/>
        <v>0</v>
      </c>
      <c r="AQ178" s="159">
        <f t="shared" si="15"/>
        <v>0</v>
      </c>
      <c r="AS178" s="159">
        <f t="shared" si="16"/>
        <v>0</v>
      </c>
      <c r="AU178" s="159">
        <f t="shared" si="17"/>
        <v>0</v>
      </c>
      <c r="AW178" s="159">
        <f t="shared" si="18"/>
        <v>0</v>
      </c>
    </row>
    <row r="179" spans="1:49" x14ac:dyDescent="0.2">
      <c r="A179" s="411"/>
      <c r="B179" s="411"/>
      <c r="C179" s="411"/>
      <c r="D179" s="411"/>
      <c r="E179" s="411"/>
      <c r="F179" s="411"/>
      <c r="G179" s="535"/>
      <c r="H179" s="536"/>
      <c r="I179" s="536"/>
      <c r="J179" s="536"/>
      <c r="K179" s="536"/>
      <c r="L179" s="537"/>
      <c r="M179" s="412">
        <f>IF(K179&gt;=Input!$B$18,1,0)</f>
        <v>0</v>
      </c>
      <c r="N179" s="159" t="str">
        <f t="shared" si="0"/>
        <v xml:space="preserve"> -  -  - 0</v>
      </c>
      <c r="O179" s="159">
        <f t="shared" si="1"/>
        <v>0</v>
      </c>
      <c r="Q179" s="159">
        <f t="shared" si="2"/>
        <v>0</v>
      </c>
      <c r="S179" s="159">
        <f t="shared" si="3"/>
        <v>0</v>
      </c>
      <c r="U179" s="159">
        <f t="shared" si="4"/>
        <v>0</v>
      </c>
      <c r="W179" s="159">
        <f t="shared" si="5"/>
        <v>0</v>
      </c>
      <c r="Y179" s="159">
        <f t="shared" si="6"/>
        <v>0</v>
      </c>
      <c r="AA179" s="159">
        <f t="shared" si="7"/>
        <v>0</v>
      </c>
      <c r="AC179" s="159">
        <f t="shared" si="8"/>
        <v>0</v>
      </c>
      <c r="AE179" s="159">
        <f t="shared" si="9"/>
        <v>0</v>
      </c>
      <c r="AG179" s="159">
        <f t="shared" si="10"/>
        <v>0</v>
      </c>
      <c r="AI179" s="159">
        <f t="shared" si="11"/>
        <v>0</v>
      </c>
      <c r="AK179" s="159">
        <f t="shared" si="12"/>
        <v>0</v>
      </c>
      <c r="AM179" s="159">
        <f t="shared" si="13"/>
        <v>0</v>
      </c>
      <c r="AO179" s="159">
        <f t="shared" si="14"/>
        <v>0</v>
      </c>
      <c r="AQ179" s="159">
        <f t="shared" si="15"/>
        <v>0</v>
      </c>
      <c r="AS179" s="159">
        <f t="shared" si="16"/>
        <v>0</v>
      </c>
      <c r="AU179" s="159">
        <f t="shared" si="17"/>
        <v>0</v>
      </c>
      <c r="AW179" s="159">
        <f t="shared" si="18"/>
        <v>0</v>
      </c>
    </row>
    <row r="180" spans="1:49" x14ac:dyDescent="0.2">
      <c r="A180" s="411"/>
      <c r="B180" s="411"/>
      <c r="C180" s="411"/>
      <c r="D180" s="411"/>
      <c r="E180" s="411"/>
      <c r="F180" s="411"/>
      <c r="G180" s="535"/>
      <c r="H180" s="536"/>
      <c r="I180" s="536"/>
      <c r="J180" s="536"/>
      <c r="K180" s="536"/>
      <c r="L180" s="537"/>
      <c r="M180" s="412">
        <f>IF(K180&gt;=Input!$B$18,1,0)</f>
        <v>0</v>
      </c>
      <c r="N180" s="159" t="str">
        <f t="shared" si="0"/>
        <v xml:space="preserve"> -  -  - 0</v>
      </c>
      <c r="O180" s="159">
        <f t="shared" si="1"/>
        <v>0</v>
      </c>
      <c r="Q180" s="159">
        <f t="shared" si="2"/>
        <v>0</v>
      </c>
      <c r="S180" s="159">
        <f t="shared" si="3"/>
        <v>0</v>
      </c>
      <c r="U180" s="159">
        <f t="shared" si="4"/>
        <v>0</v>
      </c>
      <c r="W180" s="159">
        <f t="shared" si="5"/>
        <v>0</v>
      </c>
      <c r="Y180" s="159">
        <f t="shared" si="6"/>
        <v>0</v>
      </c>
      <c r="AA180" s="159">
        <f t="shared" si="7"/>
        <v>0</v>
      </c>
      <c r="AC180" s="159">
        <f t="shared" si="8"/>
        <v>0</v>
      </c>
      <c r="AE180" s="159">
        <f t="shared" si="9"/>
        <v>0</v>
      </c>
      <c r="AG180" s="159">
        <f t="shared" si="10"/>
        <v>0</v>
      </c>
      <c r="AI180" s="159">
        <f t="shared" si="11"/>
        <v>0</v>
      </c>
      <c r="AK180" s="159">
        <f t="shared" si="12"/>
        <v>0</v>
      </c>
      <c r="AM180" s="159">
        <f t="shared" si="13"/>
        <v>0</v>
      </c>
      <c r="AO180" s="159">
        <f t="shared" si="14"/>
        <v>0</v>
      </c>
      <c r="AQ180" s="159">
        <f t="shared" si="15"/>
        <v>0</v>
      </c>
      <c r="AS180" s="159">
        <f t="shared" si="16"/>
        <v>0</v>
      </c>
      <c r="AU180" s="159">
        <f t="shared" si="17"/>
        <v>0</v>
      </c>
      <c r="AW180" s="159">
        <f t="shared" si="18"/>
        <v>0</v>
      </c>
    </row>
    <row r="181" spans="1:49" x14ac:dyDescent="0.2">
      <c r="A181" s="411"/>
      <c r="B181" s="411"/>
      <c r="C181" s="411"/>
      <c r="D181" s="411"/>
      <c r="E181" s="411"/>
      <c r="F181" s="411"/>
      <c r="G181" s="535"/>
      <c r="H181" s="536"/>
      <c r="I181" s="536"/>
      <c r="J181" s="536"/>
      <c r="K181" s="536"/>
      <c r="L181" s="537"/>
      <c r="M181" s="412">
        <f>IF(K181&gt;=Input!$B$18,1,0)</f>
        <v>0</v>
      </c>
      <c r="N181" s="159" t="str">
        <f t="shared" si="0"/>
        <v xml:space="preserve"> -  -  - 0</v>
      </c>
      <c r="O181" s="159">
        <f t="shared" si="1"/>
        <v>0</v>
      </c>
      <c r="Q181" s="159">
        <f t="shared" si="2"/>
        <v>0</v>
      </c>
      <c r="S181" s="159">
        <f t="shared" si="3"/>
        <v>0</v>
      </c>
      <c r="U181" s="159">
        <f t="shared" si="4"/>
        <v>0</v>
      </c>
      <c r="W181" s="159">
        <f t="shared" si="5"/>
        <v>0</v>
      </c>
      <c r="Y181" s="159">
        <f t="shared" si="6"/>
        <v>0</v>
      </c>
      <c r="AA181" s="159">
        <f t="shared" si="7"/>
        <v>0</v>
      </c>
      <c r="AC181" s="159">
        <f t="shared" si="8"/>
        <v>0</v>
      </c>
      <c r="AE181" s="159">
        <f t="shared" si="9"/>
        <v>0</v>
      </c>
      <c r="AG181" s="159">
        <f t="shared" si="10"/>
        <v>0</v>
      </c>
      <c r="AI181" s="159">
        <f t="shared" si="11"/>
        <v>0</v>
      </c>
      <c r="AK181" s="159">
        <f t="shared" si="12"/>
        <v>0</v>
      </c>
      <c r="AM181" s="159">
        <f t="shared" si="13"/>
        <v>0</v>
      </c>
      <c r="AO181" s="159">
        <f t="shared" si="14"/>
        <v>0</v>
      </c>
      <c r="AQ181" s="159">
        <f t="shared" si="15"/>
        <v>0</v>
      </c>
      <c r="AS181" s="159">
        <f t="shared" si="16"/>
        <v>0</v>
      </c>
      <c r="AU181" s="159">
        <f t="shared" si="17"/>
        <v>0</v>
      </c>
      <c r="AW181" s="159">
        <f t="shared" si="18"/>
        <v>0</v>
      </c>
    </row>
    <row r="182" spans="1:49" x14ac:dyDescent="0.2">
      <c r="A182" s="411"/>
      <c r="B182" s="411"/>
      <c r="C182" s="411"/>
      <c r="D182" s="411"/>
      <c r="E182" s="411"/>
      <c r="F182" s="411"/>
      <c r="G182" s="535"/>
      <c r="H182" s="536"/>
      <c r="I182" s="536"/>
      <c r="J182" s="536"/>
      <c r="K182" s="536"/>
      <c r="L182" s="537"/>
      <c r="M182" s="412">
        <f>IF(K182&gt;=Input!$B$18,1,0)</f>
        <v>0</v>
      </c>
      <c r="N182" s="159" t="str">
        <f t="shared" si="0"/>
        <v xml:space="preserve"> -  -  - 0</v>
      </c>
      <c r="O182" s="159">
        <f t="shared" si="1"/>
        <v>0</v>
      </c>
      <c r="Q182" s="159">
        <f t="shared" si="2"/>
        <v>0</v>
      </c>
      <c r="S182" s="159">
        <f t="shared" si="3"/>
        <v>0</v>
      </c>
      <c r="U182" s="159">
        <f t="shared" si="4"/>
        <v>0</v>
      </c>
      <c r="W182" s="159">
        <f t="shared" si="5"/>
        <v>0</v>
      </c>
      <c r="Y182" s="159">
        <f t="shared" si="6"/>
        <v>0</v>
      </c>
      <c r="AA182" s="159">
        <f t="shared" si="7"/>
        <v>0</v>
      </c>
      <c r="AC182" s="159">
        <f t="shared" si="8"/>
        <v>0</v>
      </c>
      <c r="AE182" s="159">
        <f t="shared" si="9"/>
        <v>0</v>
      </c>
      <c r="AG182" s="159">
        <f t="shared" si="10"/>
        <v>0</v>
      </c>
      <c r="AI182" s="159">
        <f t="shared" si="11"/>
        <v>0</v>
      </c>
      <c r="AK182" s="159">
        <f t="shared" si="12"/>
        <v>0</v>
      </c>
      <c r="AM182" s="159">
        <f t="shared" si="13"/>
        <v>0</v>
      </c>
      <c r="AO182" s="159">
        <f t="shared" si="14"/>
        <v>0</v>
      </c>
      <c r="AQ182" s="159">
        <f t="shared" si="15"/>
        <v>0</v>
      </c>
      <c r="AS182" s="159">
        <f t="shared" si="16"/>
        <v>0</v>
      </c>
      <c r="AU182" s="159">
        <f t="shared" si="17"/>
        <v>0</v>
      </c>
      <c r="AW182" s="159">
        <f t="shared" si="18"/>
        <v>0</v>
      </c>
    </row>
    <row r="183" spans="1:49" x14ac:dyDescent="0.2">
      <c r="A183" s="411"/>
      <c r="B183" s="411"/>
      <c r="C183" s="411"/>
      <c r="D183" s="411"/>
      <c r="E183" s="411"/>
      <c r="F183" s="411"/>
      <c r="G183" s="535"/>
      <c r="H183" s="536"/>
      <c r="I183" s="536"/>
      <c r="J183" s="536"/>
      <c r="K183" s="536"/>
      <c r="L183" s="537"/>
      <c r="M183" s="412">
        <f>IF(K183&gt;=Input!$B$18,1,0)</f>
        <v>0</v>
      </c>
      <c r="N183" s="159" t="str">
        <f t="shared" si="0"/>
        <v xml:space="preserve"> -  -  - 0</v>
      </c>
      <c r="O183" s="159">
        <f t="shared" si="1"/>
        <v>0</v>
      </c>
      <c r="Q183" s="159">
        <f t="shared" si="2"/>
        <v>0</v>
      </c>
      <c r="S183" s="159">
        <f t="shared" si="3"/>
        <v>0</v>
      </c>
      <c r="U183" s="159">
        <f t="shared" si="4"/>
        <v>0</v>
      </c>
      <c r="W183" s="159">
        <f t="shared" si="5"/>
        <v>0</v>
      </c>
      <c r="Y183" s="159">
        <f t="shared" si="6"/>
        <v>0</v>
      </c>
      <c r="AA183" s="159">
        <f t="shared" si="7"/>
        <v>0</v>
      </c>
      <c r="AC183" s="159">
        <f t="shared" si="8"/>
        <v>0</v>
      </c>
      <c r="AE183" s="159">
        <f t="shared" si="9"/>
        <v>0</v>
      </c>
      <c r="AG183" s="159">
        <f t="shared" si="10"/>
        <v>0</v>
      </c>
      <c r="AI183" s="159">
        <f t="shared" si="11"/>
        <v>0</v>
      </c>
      <c r="AK183" s="159">
        <f t="shared" si="12"/>
        <v>0</v>
      </c>
      <c r="AM183" s="159">
        <f t="shared" si="13"/>
        <v>0</v>
      </c>
      <c r="AO183" s="159">
        <f t="shared" si="14"/>
        <v>0</v>
      </c>
      <c r="AQ183" s="159">
        <f t="shared" si="15"/>
        <v>0</v>
      </c>
      <c r="AS183" s="159">
        <f t="shared" si="16"/>
        <v>0</v>
      </c>
      <c r="AU183" s="159">
        <f t="shared" si="17"/>
        <v>0</v>
      </c>
      <c r="AW183" s="159">
        <f t="shared" si="18"/>
        <v>0</v>
      </c>
    </row>
    <row r="184" spans="1:49" x14ac:dyDescent="0.2">
      <c r="A184" s="411"/>
      <c r="B184" s="411"/>
      <c r="C184" s="411"/>
      <c r="D184" s="411"/>
      <c r="E184" s="411"/>
      <c r="F184" s="411"/>
      <c r="G184" s="535"/>
      <c r="H184" s="536"/>
      <c r="I184" s="536"/>
      <c r="J184" s="536"/>
      <c r="K184" s="536"/>
      <c r="L184" s="537"/>
      <c r="M184" s="412">
        <f>IF(K184&gt;=Input!$B$18,1,0)</f>
        <v>0</v>
      </c>
      <c r="N184" s="159" t="str">
        <f t="shared" si="0"/>
        <v xml:space="preserve"> -  -  - 0</v>
      </c>
      <c r="O184" s="159">
        <f t="shared" si="1"/>
        <v>0</v>
      </c>
      <c r="Q184" s="159">
        <f t="shared" si="2"/>
        <v>0</v>
      </c>
      <c r="S184" s="159">
        <f t="shared" si="3"/>
        <v>0</v>
      </c>
      <c r="U184" s="159">
        <f t="shared" si="4"/>
        <v>0</v>
      </c>
      <c r="W184" s="159">
        <f t="shared" si="5"/>
        <v>0</v>
      </c>
      <c r="Y184" s="159">
        <f t="shared" si="6"/>
        <v>0</v>
      </c>
      <c r="AA184" s="159">
        <f t="shared" si="7"/>
        <v>0</v>
      </c>
      <c r="AC184" s="159">
        <f t="shared" si="8"/>
        <v>0</v>
      </c>
      <c r="AE184" s="159">
        <f t="shared" si="9"/>
        <v>0</v>
      </c>
      <c r="AG184" s="159">
        <f t="shared" si="10"/>
        <v>0</v>
      </c>
      <c r="AI184" s="159">
        <f t="shared" si="11"/>
        <v>0</v>
      </c>
      <c r="AK184" s="159">
        <f t="shared" si="12"/>
        <v>0</v>
      </c>
      <c r="AM184" s="159">
        <f t="shared" si="13"/>
        <v>0</v>
      </c>
      <c r="AO184" s="159">
        <f t="shared" si="14"/>
        <v>0</v>
      </c>
      <c r="AQ184" s="159">
        <f t="shared" si="15"/>
        <v>0</v>
      </c>
      <c r="AS184" s="159">
        <f t="shared" si="16"/>
        <v>0</v>
      </c>
      <c r="AU184" s="159">
        <f t="shared" si="17"/>
        <v>0</v>
      </c>
      <c r="AW184" s="159">
        <f t="shared" si="18"/>
        <v>0</v>
      </c>
    </row>
    <row r="185" spans="1:49" x14ac:dyDescent="0.2">
      <c r="A185" s="411"/>
      <c r="B185" s="411"/>
      <c r="C185" s="411"/>
      <c r="D185" s="411"/>
      <c r="E185" s="411"/>
      <c r="F185" s="411"/>
      <c r="G185" s="535"/>
      <c r="H185" s="536"/>
      <c r="I185" s="536"/>
      <c r="J185" s="536"/>
      <c r="K185" s="536"/>
      <c r="L185" s="537"/>
      <c r="M185" s="412">
        <f>IF(K185&gt;=Input!$B$18,1,0)</f>
        <v>0</v>
      </c>
      <c r="N185" s="159" t="str">
        <f t="shared" si="0"/>
        <v xml:space="preserve"> -  -  - 0</v>
      </c>
      <c r="O185" s="159">
        <f t="shared" si="1"/>
        <v>0</v>
      </c>
      <c r="Q185" s="159">
        <f t="shared" si="2"/>
        <v>0</v>
      </c>
      <c r="S185" s="159">
        <f t="shared" si="3"/>
        <v>0</v>
      </c>
      <c r="U185" s="159">
        <f t="shared" si="4"/>
        <v>0</v>
      </c>
      <c r="W185" s="159">
        <f t="shared" si="5"/>
        <v>0</v>
      </c>
      <c r="Y185" s="159">
        <f t="shared" si="6"/>
        <v>0</v>
      </c>
      <c r="AA185" s="159">
        <f t="shared" si="7"/>
        <v>0</v>
      </c>
      <c r="AC185" s="159">
        <f t="shared" si="8"/>
        <v>0</v>
      </c>
      <c r="AE185" s="159">
        <f t="shared" si="9"/>
        <v>0</v>
      </c>
      <c r="AG185" s="159">
        <f t="shared" si="10"/>
        <v>0</v>
      </c>
      <c r="AI185" s="159">
        <f t="shared" si="11"/>
        <v>0</v>
      </c>
      <c r="AK185" s="159">
        <f t="shared" si="12"/>
        <v>0</v>
      </c>
      <c r="AM185" s="159">
        <f t="shared" si="13"/>
        <v>0</v>
      </c>
      <c r="AO185" s="159">
        <f t="shared" si="14"/>
        <v>0</v>
      </c>
      <c r="AQ185" s="159">
        <f t="shared" si="15"/>
        <v>0</v>
      </c>
      <c r="AS185" s="159">
        <f t="shared" si="16"/>
        <v>0</v>
      </c>
      <c r="AU185" s="159">
        <f t="shared" si="17"/>
        <v>0</v>
      </c>
      <c r="AW185" s="159">
        <f t="shared" si="18"/>
        <v>0</v>
      </c>
    </row>
    <row r="186" spans="1:49" x14ac:dyDescent="0.2">
      <c r="A186" s="411"/>
      <c r="B186" s="411"/>
      <c r="C186" s="411"/>
      <c r="D186" s="411"/>
      <c r="E186" s="411"/>
      <c r="F186" s="411"/>
      <c r="G186" s="535"/>
      <c r="H186" s="536"/>
      <c r="I186" s="536"/>
      <c r="J186" s="536"/>
      <c r="K186" s="536"/>
      <c r="L186" s="537"/>
      <c r="M186" s="412">
        <f>IF(K186&gt;=Input!$B$18,1,0)</f>
        <v>0</v>
      </c>
      <c r="N186" s="159" t="str">
        <f t="shared" si="0"/>
        <v xml:space="preserve"> -  -  - 0</v>
      </c>
      <c r="O186" s="159">
        <f t="shared" si="1"/>
        <v>0</v>
      </c>
      <c r="Q186" s="159">
        <f t="shared" si="2"/>
        <v>0</v>
      </c>
      <c r="S186" s="159">
        <f t="shared" si="3"/>
        <v>0</v>
      </c>
      <c r="U186" s="159">
        <f t="shared" si="4"/>
        <v>0</v>
      </c>
      <c r="W186" s="159">
        <f t="shared" si="5"/>
        <v>0</v>
      </c>
      <c r="Y186" s="159">
        <f t="shared" si="6"/>
        <v>0</v>
      </c>
      <c r="AA186" s="159">
        <f t="shared" si="7"/>
        <v>0</v>
      </c>
      <c r="AC186" s="159">
        <f t="shared" si="8"/>
        <v>0</v>
      </c>
      <c r="AE186" s="159">
        <f t="shared" si="9"/>
        <v>0</v>
      </c>
      <c r="AG186" s="159">
        <f t="shared" si="10"/>
        <v>0</v>
      </c>
      <c r="AI186" s="159">
        <f t="shared" si="11"/>
        <v>0</v>
      </c>
      <c r="AK186" s="159">
        <f t="shared" si="12"/>
        <v>0</v>
      </c>
      <c r="AM186" s="159">
        <f t="shared" si="13"/>
        <v>0</v>
      </c>
      <c r="AO186" s="159">
        <f t="shared" si="14"/>
        <v>0</v>
      </c>
      <c r="AQ186" s="159">
        <f t="shared" si="15"/>
        <v>0</v>
      </c>
      <c r="AS186" s="159">
        <f t="shared" si="16"/>
        <v>0</v>
      </c>
      <c r="AU186" s="159">
        <f t="shared" si="17"/>
        <v>0</v>
      </c>
      <c r="AW186" s="159">
        <f t="shared" si="18"/>
        <v>0</v>
      </c>
    </row>
    <row r="187" spans="1:49" x14ac:dyDescent="0.2">
      <c r="A187" s="411"/>
      <c r="B187" s="411"/>
      <c r="C187" s="411"/>
      <c r="D187" s="411"/>
      <c r="E187" s="411"/>
      <c r="F187" s="411"/>
      <c r="G187" s="535"/>
      <c r="H187" s="536"/>
      <c r="I187" s="536"/>
      <c r="J187" s="536"/>
      <c r="K187" s="536"/>
      <c r="L187" s="537"/>
      <c r="M187" s="412">
        <f>IF(K187&gt;=Input!$B$18,1,0)</f>
        <v>0</v>
      </c>
      <c r="N187" s="159" t="str">
        <f t="shared" si="0"/>
        <v xml:space="preserve"> -  -  - 0</v>
      </c>
      <c r="O187" s="159">
        <f t="shared" si="1"/>
        <v>0</v>
      </c>
      <c r="Q187" s="159">
        <f t="shared" si="2"/>
        <v>0</v>
      </c>
      <c r="S187" s="159">
        <f t="shared" si="3"/>
        <v>0</v>
      </c>
      <c r="U187" s="159">
        <f t="shared" si="4"/>
        <v>0</v>
      </c>
      <c r="W187" s="159">
        <f t="shared" si="5"/>
        <v>0</v>
      </c>
      <c r="Y187" s="159">
        <f t="shared" si="6"/>
        <v>0</v>
      </c>
      <c r="AA187" s="159">
        <f t="shared" si="7"/>
        <v>0</v>
      </c>
      <c r="AC187" s="159">
        <f t="shared" si="8"/>
        <v>0</v>
      </c>
      <c r="AE187" s="159">
        <f t="shared" si="9"/>
        <v>0</v>
      </c>
      <c r="AG187" s="159">
        <f t="shared" si="10"/>
        <v>0</v>
      </c>
      <c r="AI187" s="159">
        <f t="shared" si="11"/>
        <v>0</v>
      </c>
      <c r="AK187" s="159">
        <f t="shared" si="12"/>
        <v>0</v>
      </c>
      <c r="AM187" s="159">
        <f t="shared" si="13"/>
        <v>0</v>
      </c>
      <c r="AO187" s="159">
        <f t="shared" si="14"/>
        <v>0</v>
      </c>
      <c r="AQ187" s="159">
        <f t="shared" si="15"/>
        <v>0</v>
      </c>
      <c r="AS187" s="159">
        <f t="shared" si="16"/>
        <v>0</v>
      </c>
      <c r="AU187" s="159">
        <f t="shared" si="17"/>
        <v>0</v>
      </c>
      <c r="AW187" s="159">
        <f t="shared" si="18"/>
        <v>0</v>
      </c>
    </row>
    <row r="188" spans="1:49" x14ac:dyDescent="0.2">
      <c r="A188" s="411"/>
      <c r="B188" s="411"/>
      <c r="C188" s="411"/>
      <c r="D188" s="411"/>
      <c r="E188" s="411"/>
      <c r="F188" s="411"/>
      <c r="G188" s="535"/>
      <c r="H188" s="536"/>
      <c r="I188" s="536"/>
      <c r="J188" s="536"/>
      <c r="K188" s="536"/>
      <c r="L188" s="537"/>
      <c r="M188" s="412">
        <f>IF(K188&gt;=Input!$B$18,1,0)</f>
        <v>0</v>
      </c>
      <c r="N188" s="159" t="str">
        <f t="shared" si="0"/>
        <v xml:space="preserve"> -  -  - 0</v>
      </c>
      <c r="O188" s="159">
        <f t="shared" si="1"/>
        <v>0</v>
      </c>
      <c r="Q188" s="159">
        <f t="shared" si="2"/>
        <v>0</v>
      </c>
      <c r="S188" s="159">
        <f t="shared" si="3"/>
        <v>0</v>
      </c>
      <c r="U188" s="159">
        <f t="shared" si="4"/>
        <v>0</v>
      </c>
      <c r="W188" s="159">
        <f t="shared" si="5"/>
        <v>0</v>
      </c>
      <c r="Y188" s="159">
        <f t="shared" si="6"/>
        <v>0</v>
      </c>
      <c r="AA188" s="159">
        <f t="shared" si="7"/>
        <v>0</v>
      </c>
      <c r="AC188" s="159">
        <f t="shared" si="8"/>
        <v>0</v>
      </c>
      <c r="AE188" s="159">
        <f t="shared" si="9"/>
        <v>0</v>
      </c>
      <c r="AG188" s="159">
        <f t="shared" si="10"/>
        <v>0</v>
      </c>
      <c r="AI188" s="159">
        <f t="shared" si="11"/>
        <v>0</v>
      </c>
      <c r="AK188" s="159">
        <f t="shared" si="12"/>
        <v>0</v>
      </c>
      <c r="AM188" s="159">
        <f t="shared" si="13"/>
        <v>0</v>
      </c>
      <c r="AO188" s="159">
        <f t="shared" si="14"/>
        <v>0</v>
      </c>
      <c r="AQ188" s="159">
        <f t="shared" si="15"/>
        <v>0</v>
      </c>
      <c r="AS188" s="159">
        <f t="shared" si="16"/>
        <v>0</v>
      </c>
      <c r="AU188" s="159">
        <f t="shared" si="17"/>
        <v>0</v>
      </c>
      <c r="AW188" s="159">
        <f t="shared" si="18"/>
        <v>0</v>
      </c>
    </row>
    <row r="189" spans="1:49" x14ac:dyDescent="0.2">
      <c r="A189" s="411"/>
      <c r="B189" s="411"/>
      <c r="C189" s="411"/>
      <c r="D189" s="411"/>
      <c r="E189" s="411"/>
      <c r="F189" s="411"/>
      <c r="G189" s="535"/>
      <c r="H189" s="536"/>
      <c r="I189" s="536"/>
      <c r="J189" s="536"/>
      <c r="K189" s="536"/>
      <c r="L189" s="537"/>
      <c r="M189" s="412">
        <f>IF(K189&gt;=Input!$B$18,1,0)</f>
        <v>0</v>
      </c>
      <c r="N189" s="159" t="str">
        <f t="shared" si="0"/>
        <v xml:space="preserve"> -  -  - 0</v>
      </c>
      <c r="O189" s="159">
        <f t="shared" si="1"/>
        <v>0</v>
      </c>
      <c r="Q189" s="159">
        <f t="shared" si="2"/>
        <v>0</v>
      </c>
      <c r="S189" s="159">
        <f t="shared" si="3"/>
        <v>0</v>
      </c>
      <c r="U189" s="159">
        <f t="shared" si="4"/>
        <v>0</v>
      </c>
      <c r="W189" s="159">
        <f t="shared" si="5"/>
        <v>0</v>
      </c>
      <c r="Y189" s="159">
        <f t="shared" si="6"/>
        <v>0</v>
      </c>
      <c r="AA189" s="159">
        <f t="shared" si="7"/>
        <v>0</v>
      </c>
      <c r="AC189" s="159">
        <f t="shared" si="8"/>
        <v>0</v>
      </c>
      <c r="AE189" s="159">
        <f t="shared" si="9"/>
        <v>0</v>
      </c>
      <c r="AG189" s="159">
        <f t="shared" si="10"/>
        <v>0</v>
      </c>
      <c r="AI189" s="159">
        <f t="shared" si="11"/>
        <v>0</v>
      </c>
      <c r="AK189" s="159">
        <f t="shared" si="12"/>
        <v>0</v>
      </c>
      <c r="AM189" s="159">
        <f t="shared" si="13"/>
        <v>0</v>
      </c>
      <c r="AO189" s="159">
        <f t="shared" si="14"/>
        <v>0</v>
      </c>
      <c r="AQ189" s="159">
        <f t="shared" si="15"/>
        <v>0</v>
      </c>
      <c r="AS189" s="159">
        <f t="shared" si="16"/>
        <v>0</v>
      </c>
      <c r="AU189" s="159">
        <f t="shared" si="17"/>
        <v>0</v>
      </c>
      <c r="AW189" s="159">
        <f t="shared" si="18"/>
        <v>0</v>
      </c>
    </row>
    <row r="190" spans="1:49" x14ac:dyDescent="0.2">
      <c r="A190" s="411"/>
      <c r="B190" s="411"/>
      <c r="C190" s="411"/>
      <c r="D190" s="411"/>
      <c r="E190" s="411"/>
      <c r="F190" s="411"/>
      <c r="G190" s="535"/>
      <c r="H190" s="536"/>
      <c r="I190" s="536"/>
      <c r="J190" s="536"/>
      <c r="K190" s="536"/>
      <c r="L190" s="537"/>
      <c r="M190" s="412">
        <f>IF(K190&gt;=Input!$B$18,1,0)</f>
        <v>0</v>
      </c>
      <c r="N190" s="159" t="str">
        <f t="shared" si="0"/>
        <v xml:space="preserve"> -  -  - 0</v>
      </c>
      <c r="O190" s="159">
        <f t="shared" si="1"/>
        <v>0</v>
      </c>
      <c r="Q190" s="159">
        <f t="shared" si="2"/>
        <v>0</v>
      </c>
      <c r="S190" s="159">
        <f t="shared" si="3"/>
        <v>0</v>
      </c>
      <c r="U190" s="159">
        <f t="shared" si="4"/>
        <v>0</v>
      </c>
      <c r="W190" s="159">
        <f t="shared" si="5"/>
        <v>0</v>
      </c>
      <c r="Y190" s="159">
        <f t="shared" si="6"/>
        <v>0</v>
      </c>
      <c r="AA190" s="159">
        <f t="shared" si="7"/>
        <v>0</v>
      </c>
      <c r="AC190" s="159">
        <f t="shared" si="8"/>
        <v>0</v>
      </c>
      <c r="AE190" s="159">
        <f t="shared" si="9"/>
        <v>0</v>
      </c>
      <c r="AG190" s="159">
        <f t="shared" si="10"/>
        <v>0</v>
      </c>
      <c r="AI190" s="159">
        <f t="shared" si="11"/>
        <v>0</v>
      </c>
      <c r="AK190" s="159">
        <f t="shared" si="12"/>
        <v>0</v>
      </c>
      <c r="AM190" s="159">
        <f t="shared" si="13"/>
        <v>0</v>
      </c>
      <c r="AO190" s="159">
        <f t="shared" si="14"/>
        <v>0</v>
      </c>
      <c r="AQ190" s="159">
        <f t="shared" si="15"/>
        <v>0</v>
      </c>
      <c r="AS190" s="159">
        <f t="shared" si="16"/>
        <v>0</v>
      </c>
      <c r="AU190" s="159">
        <f t="shared" si="17"/>
        <v>0</v>
      </c>
      <c r="AW190" s="159">
        <f t="shared" si="18"/>
        <v>0</v>
      </c>
    </row>
    <row r="191" spans="1:49" x14ac:dyDescent="0.2">
      <c r="A191" s="411"/>
      <c r="B191" s="411"/>
      <c r="C191" s="411"/>
      <c r="D191" s="411"/>
      <c r="E191" s="411"/>
      <c r="F191" s="411"/>
      <c r="G191" s="535"/>
      <c r="H191" s="536"/>
      <c r="I191" s="536"/>
      <c r="J191" s="536"/>
      <c r="K191" s="536"/>
      <c r="L191" s="537"/>
      <c r="M191" s="412">
        <f>IF(K191&gt;=Input!$B$18,1,0)</f>
        <v>0</v>
      </c>
      <c r="N191" s="159" t="str">
        <f t="shared" si="0"/>
        <v xml:space="preserve"> -  -  - 0</v>
      </c>
      <c r="O191" s="159">
        <f t="shared" si="1"/>
        <v>0</v>
      </c>
      <c r="Q191" s="159">
        <f t="shared" si="2"/>
        <v>0</v>
      </c>
      <c r="S191" s="159">
        <f t="shared" si="3"/>
        <v>0</v>
      </c>
      <c r="U191" s="159">
        <f t="shared" si="4"/>
        <v>0</v>
      </c>
      <c r="W191" s="159">
        <f t="shared" si="5"/>
        <v>0</v>
      </c>
      <c r="Y191" s="159">
        <f t="shared" si="6"/>
        <v>0</v>
      </c>
      <c r="AA191" s="159">
        <f t="shared" si="7"/>
        <v>0</v>
      </c>
      <c r="AC191" s="159">
        <f t="shared" si="8"/>
        <v>0</v>
      </c>
      <c r="AE191" s="159">
        <f t="shared" si="9"/>
        <v>0</v>
      </c>
      <c r="AG191" s="159">
        <f t="shared" si="10"/>
        <v>0</v>
      </c>
      <c r="AI191" s="159">
        <f t="shared" si="11"/>
        <v>0</v>
      </c>
      <c r="AK191" s="159">
        <f t="shared" si="12"/>
        <v>0</v>
      </c>
      <c r="AM191" s="159">
        <f t="shared" si="13"/>
        <v>0</v>
      </c>
      <c r="AO191" s="159">
        <f t="shared" si="14"/>
        <v>0</v>
      </c>
      <c r="AQ191" s="159">
        <f t="shared" si="15"/>
        <v>0</v>
      </c>
      <c r="AS191" s="159">
        <f t="shared" si="16"/>
        <v>0</v>
      </c>
      <c r="AU191" s="159">
        <f t="shared" si="17"/>
        <v>0</v>
      </c>
      <c r="AW191" s="159">
        <f t="shared" si="18"/>
        <v>0</v>
      </c>
    </row>
    <row r="192" spans="1:49" x14ac:dyDescent="0.2">
      <c r="A192" s="411"/>
      <c r="B192" s="411"/>
      <c r="C192" s="411"/>
      <c r="D192" s="411"/>
      <c r="E192" s="411"/>
      <c r="F192" s="411"/>
      <c r="G192" s="535"/>
      <c r="H192" s="536"/>
      <c r="I192" s="536"/>
      <c r="J192" s="536"/>
      <c r="K192" s="536"/>
      <c r="L192" s="537"/>
      <c r="M192" s="412">
        <f>IF(K192&gt;=Input!$B$18,1,0)</f>
        <v>0</v>
      </c>
      <c r="N192" s="159" t="str">
        <f t="shared" si="0"/>
        <v xml:space="preserve"> -  -  - 0</v>
      </c>
      <c r="O192" s="159">
        <f t="shared" si="1"/>
        <v>0</v>
      </c>
      <c r="Q192" s="159">
        <f t="shared" si="2"/>
        <v>0</v>
      </c>
      <c r="S192" s="159">
        <f t="shared" si="3"/>
        <v>0</v>
      </c>
      <c r="U192" s="159">
        <f t="shared" si="4"/>
        <v>0</v>
      </c>
      <c r="W192" s="159">
        <f t="shared" si="5"/>
        <v>0</v>
      </c>
      <c r="Y192" s="159">
        <f t="shared" si="6"/>
        <v>0</v>
      </c>
      <c r="AA192" s="159">
        <f t="shared" si="7"/>
        <v>0</v>
      </c>
      <c r="AC192" s="159">
        <f t="shared" si="8"/>
        <v>0</v>
      </c>
      <c r="AE192" s="159">
        <f t="shared" si="9"/>
        <v>0</v>
      </c>
      <c r="AG192" s="159">
        <f t="shared" si="10"/>
        <v>0</v>
      </c>
      <c r="AI192" s="159">
        <f t="shared" si="11"/>
        <v>0</v>
      </c>
      <c r="AK192" s="159">
        <f t="shared" si="12"/>
        <v>0</v>
      </c>
      <c r="AM192" s="159">
        <f t="shared" si="13"/>
        <v>0</v>
      </c>
      <c r="AO192" s="159">
        <f t="shared" si="14"/>
        <v>0</v>
      </c>
      <c r="AQ192" s="159">
        <f t="shared" si="15"/>
        <v>0</v>
      </c>
      <c r="AS192" s="159">
        <f t="shared" si="16"/>
        <v>0</v>
      </c>
      <c r="AU192" s="159">
        <f t="shared" si="17"/>
        <v>0</v>
      </c>
      <c r="AW192" s="159">
        <f t="shared" si="18"/>
        <v>0</v>
      </c>
    </row>
    <row r="193" spans="1:49" x14ac:dyDescent="0.2">
      <c r="A193" s="411"/>
      <c r="B193" s="411"/>
      <c r="C193" s="411"/>
      <c r="D193" s="411"/>
      <c r="E193" s="411"/>
      <c r="F193" s="411"/>
      <c r="G193" s="535"/>
      <c r="H193" s="536"/>
      <c r="I193" s="536"/>
      <c r="J193" s="536"/>
      <c r="K193" s="536"/>
      <c r="L193" s="537"/>
      <c r="M193" s="412">
        <f>IF(K193&gt;=Input!$B$18,1,0)</f>
        <v>0</v>
      </c>
      <c r="N193" s="159" t="str">
        <f t="shared" si="0"/>
        <v xml:space="preserve"> -  -  - 0</v>
      </c>
      <c r="O193" s="159">
        <f t="shared" si="1"/>
        <v>0</v>
      </c>
      <c r="Q193" s="159">
        <f t="shared" si="2"/>
        <v>0</v>
      </c>
      <c r="S193" s="159">
        <f t="shared" si="3"/>
        <v>0</v>
      </c>
      <c r="U193" s="159">
        <f t="shared" si="4"/>
        <v>0</v>
      </c>
      <c r="W193" s="159">
        <f t="shared" si="5"/>
        <v>0</v>
      </c>
      <c r="Y193" s="159">
        <f t="shared" si="6"/>
        <v>0</v>
      </c>
      <c r="AA193" s="159">
        <f t="shared" si="7"/>
        <v>0</v>
      </c>
      <c r="AC193" s="159">
        <f t="shared" si="8"/>
        <v>0</v>
      </c>
      <c r="AE193" s="159">
        <f t="shared" si="9"/>
        <v>0</v>
      </c>
      <c r="AG193" s="159">
        <f t="shared" si="10"/>
        <v>0</v>
      </c>
      <c r="AI193" s="159">
        <f t="shared" si="11"/>
        <v>0</v>
      </c>
      <c r="AK193" s="159">
        <f t="shared" si="12"/>
        <v>0</v>
      </c>
      <c r="AM193" s="159">
        <f t="shared" si="13"/>
        <v>0</v>
      </c>
      <c r="AO193" s="159">
        <f t="shared" si="14"/>
        <v>0</v>
      </c>
      <c r="AQ193" s="159">
        <f t="shared" si="15"/>
        <v>0</v>
      </c>
      <c r="AS193" s="159">
        <f t="shared" si="16"/>
        <v>0</v>
      </c>
      <c r="AU193" s="159">
        <f t="shared" si="17"/>
        <v>0</v>
      </c>
      <c r="AW193" s="159">
        <f t="shared" si="18"/>
        <v>0</v>
      </c>
    </row>
    <row r="194" spans="1:49" x14ac:dyDescent="0.2">
      <c r="A194" s="411"/>
      <c r="B194" s="411"/>
      <c r="C194" s="411"/>
      <c r="D194" s="411"/>
      <c r="E194" s="411"/>
      <c r="F194" s="411"/>
      <c r="G194" s="535"/>
      <c r="H194" s="536"/>
      <c r="I194" s="536"/>
      <c r="J194" s="536"/>
      <c r="K194" s="536"/>
      <c r="L194" s="537"/>
      <c r="M194" s="412">
        <f>IF(K194&gt;=Input!$B$18,1,0)</f>
        <v>0</v>
      </c>
      <c r="N194" s="159" t="str">
        <f t="shared" si="0"/>
        <v xml:space="preserve"> -  -  - 0</v>
      </c>
      <c r="O194" s="159">
        <f t="shared" si="1"/>
        <v>0</v>
      </c>
      <c r="Q194" s="159">
        <f t="shared" si="2"/>
        <v>0</v>
      </c>
      <c r="S194" s="159">
        <f t="shared" si="3"/>
        <v>0</v>
      </c>
      <c r="U194" s="159">
        <f t="shared" si="4"/>
        <v>0</v>
      </c>
      <c r="W194" s="159">
        <f t="shared" si="5"/>
        <v>0</v>
      </c>
      <c r="Y194" s="159">
        <f t="shared" si="6"/>
        <v>0</v>
      </c>
      <c r="AA194" s="159">
        <f t="shared" si="7"/>
        <v>0</v>
      </c>
      <c r="AC194" s="159">
        <f t="shared" si="8"/>
        <v>0</v>
      </c>
      <c r="AE194" s="159">
        <f t="shared" si="9"/>
        <v>0</v>
      </c>
      <c r="AG194" s="159">
        <f t="shared" si="10"/>
        <v>0</v>
      </c>
      <c r="AI194" s="159">
        <f t="shared" si="11"/>
        <v>0</v>
      </c>
      <c r="AK194" s="159">
        <f t="shared" si="12"/>
        <v>0</v>
      </c>
      <c r="AM194" s="159">
        <f t="shared" si="13"/>
        <v>0</v>
      </c>
      <c r="AO194" s="159">
        <f t="shared" si="14"/>
        <v>0</v>
      </c>
      <c r="AQ194" s="159">
        <f t="shared" si="15"/>
        <v>0</v>
      </c>
      <c r="AS194" s="159">
        <f t="shared" si="16"/>
        <v>0</v>
      </c>
      <c r="AU194" s="159">
        <f t="shared" si="17"/>
        <v>0</v>
      </c>
      <c r="AW194" s="159">
        <f t="shared" si="18"/>
        <v>0</v>
      </c>
    </row>
    <row r="195" spans="1:49" x14ac:dyDescent="0.2">
      <c r="A195" s="411"/>
      <c r="B195" s="411"/>
      <c r="C195" s="411"/>
      <c r="D195" s="411"/>
      <c r="E195" s="411"/>
      <c r="F195" s="411"/>
      <c r="G195" s="535"/>
      <c r="H195" s="536"/>
      <c r="I195" s="536"/>
      <c r="J195" s="536"/>
      <c r="K195" s="536"/>
      <c r="L195" s="537"/>
      <c r="M195" s="412">
        <f>IF(K195&gt;=Input!$B$18,1,0)</f>
        <v>0</v>
      </c>
      <c r="N195" s="159" t="str">
        <f t="shared" si="0"/>
        <v xml:space="preserve"> -  -  - 0</v>
      </c>
      <c r="O195" s="159">
        <f t="shared" si="1"/>
        <v>0</v>
      </c>
      <c r="Q195" s="159">
        <f t="shared" si="2"/>
        <v>0</v>
      </c>
      <c r="S195" s="159">
        <f t="shared" si="3"/>
        <v>0</v>
      </c>
      <c r="U195" s="159">
        <f t="shared" si="4"/>
        <v>0</v>
      </c>
      <c r="W195" s="159">
        <f t="shared" si="5"/>
        <v>0</v>
      </c>
      <c r="Y195" s="159">
        <f t="shared" si="6"/>
        <v>0</v>
      </c>
      <c r="AA195" s="159">
        <f t="shared" si="7"/>
        <v>0</v>
      </c>
      <c r="AC195" s="159">
        <f t="shared" si="8"/>
        <v>0</v>
      </c>
      <c r="AE195" s="159">
        <f t="shared" si="9"/>
        <v>0</v>
      </c>
      <c r="AG195" s="159">
        <f t="shared" si="10"/>
        <v>0</v>
      </c>
      <c r="AI195" s="159">
        <f t="shared" si="11"/>
        <v>0</v>
      </c>
      <c r="AK195" s="159">
        <f t="shared" si="12"/>
        <v>0</v>
      </c>
      <c r="AM195" s="159">
        <f t="shared" si="13"/>
        <v>0</v>
      </c>
      <c r="AO195" s="159">
        <f t="shared" si="14"/>
        <v>0</v>
      </c>
      <c r="AQ195" s="159">
        <f t="shared" si="15"/>
        <v>0</v>
      </c>
      <c r="AS195" s="159">
        <f t="shared" si="16"/>
        <v>0</v>
      </c>
      <c r="AU195" s="159">
        <f t="shared" si="17"/>
        <v>0</v>
      </c>
      <c r="AW195" s="159">
        <f t="shared" si="18"/>
        <v>0</v>
      </c>
    </row>
    <row r="196" spans="1:49" x14ac:dyDescent="0.2">
      <c r="A196" s="411"/>
      <c r="B196" s="411"/>
      <c r="C196" s="411"/>
      <c r="D196" s="411"/>
      <c r="E196" s="411"/>
      <c r="F196" s="411"/>
      <c r="G196" s="535"/>
      <c r="H196" s="536"/>
      <c r="I196" s="536"/>
      <c r="J196" s="536"/>
      <c r="K196" s="536"/>
      <c r="L196" s="537"/>
      <c r="M196" s="412">
        <f>IF(K196&gt;=Input!$B$18,1,0)</f>
        <v>0</v>
      </c>
      <c r="N196" s="159" t="str">
        <f t="shared" si="0"/>
        <v xml:space="preserve"> -  -  - 0</v>
      </c>
      <c r="O196" s="159">
        <f t="shared" si="1"/>
        <v>0</v>
      </c>
      <c r="Q196" s="159">
        <f t="shared" si="2"/>
        <v>0</v>
      </c>
      <c r="S196" s="159">
        <f t="shared" si="3"/>
        <v>0</v>
      </c>
      <c r="U196" s="159">
        <f t="shared" si="4"/>
        <v>0</v>
      </c>
      <c r="W196" s="159">
        <f t="shared" si="5"/>
        <v>0</v>
      </c>
      <c r="Y196" s="159">
        <f t="shared" si="6"/>
        <v>0</v>
      </c>
      <c r="AA196" s="159">
        <f t="shared" si="7"/>
        <v>0</v>
      </c>
      <c r="AC196" s="159">
        <f t="shared" si="8"/>
        <v>0</v>
      </c>
      <c r="AE196" s="159">
        <f t="shared" si="9"/>
        <v>0</v>
      </c>
      <c r="AG196" s="159">
        <f t="shared" si="10"/>
        <v>0</v>
      </c>
      <c r="AI196" s="159">
        <f t="shared" si="11"/>
        <v>0</v>
      </c>
      <c r="AK196" s="159">
        <f t="shared" si="12"/>
        <v>0</v>
      </c>
      <c r="AM196" s="159">
        <f t="shared" si="13"/>
        <v>0</v>
      </c>
      <c r="AO196" s="159">
        <f t="shared" si="14"/>
        <v>0</v>
      </c>
      <c r="AQ196" s="159">
        <f t="shared" si="15"/>
        <v>0</v>
      </c>
      <c r="AS196" s="159">
        <f t="shared" si="16"/>
        <v>0</v>
      </c>
      <c r="AU196" s="159">
        <f t="shared" si="17"/>
        <v>0</v>
      </c>
      <c r="AW196" s="159">
        <f t="shared" si="18"/>
        <v>0</v>
      </c>
    </row>
    <row r="197" spans="1:49" x14ac:dyDescent="0.2">
      <c r="A197" s="411"/>
      <c r="B197" s="411"/>
      <c r="C197" s="411"/>
      <c r="D197" s="411"/>
      <c r="E197" s="411"/>
      <c r="F197" s="411"/>
      <c r="G197" s="535"/>
      <c r="H197" s="536"/>
      <c r="I197" s="536"/>
      <c r="J197" s="536"/>
      <c r="K197" s="536"/>
      <c r="L197" s="537"/>
      <c r="M197" s="412">
        <f>IF(K197&gt;=Input!$B$18,1,0)</f>
        <v>0</v>
      </c>
      <c r="N197" s="159" t="str">
        <f t="shared" si="0"/>
        <v xml:space="preserve"> -  -  - 0</v>
      </c>
      <c r="O197" s="159">
        <f t="shared" si="1"/>
        <v>0</v>
      </c>
      <c r="Q197" s="159">
        <f t="shared" si="2"/>
        <v>0</v>
      </c>
      <c r="S197" s="159">
        <f t="shared" si="3"/>
        <v>0</v>
      </c>
      <c r="U197" s="159">
        <f t="shared" si="4"/>
        <v>0</v>
      </c>
      <c r="W197" s="159">
        <f t="shared" si="5"/>
        <v>0</v>
      </c>
      <c r="Y197" s="159">
        <f t="shared" si="6"/>
        <v>0</v>
      </c>
      <c r="AA197" s="159">
        <f t="shared" si="7"/>
        <v>0</v>
      </c>
      <c r="AC197" s="159">
        <f t="shared" si="8"/>
        <v>0</v>
      </c>
      <c r="AE197" s="159">
        <f t="shared" si="9"/>
        <v>0</v>
      </c>
      <c r="AG197" s="159">
        <f t="shared" si="10"/>
        <v>0</v>
      </c>
      <c r="AI197" s="159">
        <f t="shared" si="11"/>
        <v>0</v>
      </c>
      <c r="AK197" s="159">
        <f t="shared" si="12"/>
        <v>0</v>
      </c>
      <c r="AM197" s="159">
        <f t="shared" si="13"/>
        <v>0</v>
      </c>
      <c r="AO197" s="159">
        <f t="shared" si="14"/>
        <v>0</v>
      </c>
      <c r="AQ197" s="159">
        <f t="shared" si="15"/>
        <v>0</v>
      </c>
      <c r="AS197" s="159">
        <f t="shared" si="16"/>
        <v>0</v>
      </c>
      <c r="AU197" s="159">
        <f t="shared" si="17"/>
        <v>0</v>
      </c>
      <c r="AW197" s="159">
        <f t="shared" si="18"/>
        <v>0</v>
      </c>
    </row>
    <row r="198" spans="1:49" x14ac:dyDescent="0.2">
      <c r="A198" s="411"/>
      <c r="B198" s="411"/>
      <c r="C198" s="411"/>
      <c r="D198" s="411"/>
      <c r="E198" s="411"/>
      <c r="F198" s="411"/>
      <c r="G198" s="535"/>
      <c r="H198" s="536"/>
      <c r="I198" s="536"/>
      <c r="J198" s="536"/>
      <c r="K198" s="536"/>
      <c r="L198" s="537"/>
      <c r="M198" s="412">
        <f>IF(K198&gt;=Input!$B$18,1,0)</f>
        <v>0</v>
      </c>
      <c r="N198" s="159" t="str">
        <f t="shared" si="0"/>
        <v xml:space="preserve"> -  -  - 0</v>
      </c>
      <c r="O198" s="159">
        <f t="shared" si="1"/>
        <v>0</v>
      </c>
      <c r="Q198" s="159">
        <f t="shared" si="2"/>
        <v>0</v>
      </c>
      <c r="S198" s="159">
        <f t="shared" si="3"/>
        <v>0</v>
      </c>
      <c r="U198" s="159">
        <f t="shared" si="4"/>
        <v>0</v>
      </c>
      <c r="W198" s="159">
        <f t="shared" si="5"/>
        <v>0</v>
      </c>
      <c r="Y198" s="159">
        <f t="shared" si="6"/>
        <v>0</v>
      </c>
      <c r="AA198" s="159">
        <f t="shared" si="7"/>
        <v>0</v>
      </c>
      <c r="AC198" s="159">
        <f t="shared" si="8"/>
        <v>0</v>
      </c>
      <c r="AE198" s="159">
        <f t="shared" si="9"/>
        <v>0</v>
      </c>
      <c r="AG198" s="159">
        <f t="shared" si="10"/>
        <v>0</v>
      </c>
      <c r="AI198" s="159">
        <f t="shared" si="11"/>
        <v>0</v>
      </c>
      <c r="AK198" s="159">
        <f t="shared" si="12"/>
        <v>0</v>
      </c>
      <c r="AM198" s="159">
        <f t="shared" si="13"/>
        <v>0</v>
      </c>
      <c r="AO198" s="159">
        <f t="shared" si="14"/>
        <v>0</v>
      </c>
      <c r="AQ198" s="159">
        <f t="shared" si="15"/>
        <v>0</v>
      </c>
      <c r="AS198" s="159">
        <f t="shared" si="16"/>
        <v>0</v>
      </c>
      <c r="AU198" s="159">
        <f t="shared" si="17"/>
        <v>0</v>
      </c>
      <c r="AW198" s="159">
        <f t="shared" si="18"/>
        <v>0</v>
      </c>
    </row>
    <row r="199" spans="1:49" x14ac:dyDescent="0.2">
      <c r="A199" s="411"/>
      <c r="B199" s="411"/>
      <c r="C199" s="411"/>
      <c r="D199" s="411"/>
      <c r="E199" s="411"/>
      <c r="F199" s="411"/>
      <c r="G199" s="535"/>
      <c r="H199" s="536"/>
      <c r="I199" s="536"/>
      <c r="J199" s="536"/>
      <c r="K199" s="536"/>
      <c r="L199" s="537"/>
      <c r="M199" s="412">
        <f>IF(K199&gt;=Input!$B$18,1,0)</f>
        <v>0</v>
      </c>
      <c r="N199" s="159" t="str">
        <f t="shared" si="0"/>
        <v xml:space="preserve"> -  -  - 0</v>
      </c>
      <c r="O199" s="159">
        <f t="shared" si="1"/>
        <v>0</v>
      </c>
      <c r="Q199" s="159">
        <f t="shared" si="2"/>
        <v>0</v>
      </c>
      <c r="S199" s="159">
        <f t="shared" si="3"/>
        <v>0</v>
      </c>
      <c r="U199" s="159">
        <f t="shared" si="4"/>
        <v>0</v>
      </c>
      <c r="W199" s="159">
        <f t="shared" si="5"/>
        <v>0</v>
      </c>
      <c r="Y199" s="159">
        <f t="shared" si="6"/>
        <v>0</v>
      </c>
      <c r="AA199" s="159">
        <f t="shared" si="7"/>
        <v>0</v>
      </c>
      <c r="AC199" s="159">
        <f t="shared" si="8"/>
        <v>0</v>
      </c>
      <c r="AE199" s="159">
        <f t="shared" si="9"/>
        <v>0</v>
      </c>
      <c r="AG199" s="159">
        <f t="shared" si="10"/>
        <v>0</v>
      </c>
      <c r="AI199" s="159">
        <f t="shared" si="11"/>
        <v>0</v>
      </c>
      <c r="AK199" s="159">
        <f t="shared" si="12"/>
        <v>0</v>
      </c>
      <c r="AM199" s="159">
        <f t="shared" si="13"/>
        <v>0</v>
      </c>
      <c r="AO199" s="159">
        <f t="shared" si="14"/>
        <v>0</v>
      </c>
      <c r="AQ199" s="159">
        <f t="shared" si="15"/>
        <v>0</v>
      </c>
      <c r="AS199" s="159">
        <f t="shared" si="16"/>
        <v>0</v>
      </c>
      <c r="AU199" s="159">
        <f t="shared" si="17"/>
        <v>0</v>
      </c>
      <c r="AW199" s="159">
        <f t="shared" si="18"/>
        <v>0</v>
      </c>
    </row>
    <row r="200" spans="1:49" x14ac:dyDescent="0.2">
      <c r="A200" s="411"/>
      <c r="B200" s="411"/>
      <c r="C200" s="411"/>
      <c r="D200" s="411"/>
      <c r="E200" s="411"/>
      <c r="F200" s="411"/>
      <c r="G200" s="535"/>
      <c r="H200" s="536"/>
      <c r="I200" s="536"/>
      <c r="J200" s="536"/>
      <c r="K200" s="536"/>
      <c r="L200" s="537"/>
      <c r="M200" s="412">
        <f>IF(K200&gt;=Input!$B$18,1,0)</f>
        <v>0</v>
      </c>
      <c r="N200" s="159" t="str">
        <f t="shared" si="0"/>
        <v xml:space="preserve"> -  -  - 0</v>
      </c>
      <c r="O200" s="159">
        <f t="shared" si="1"/>
        <v>0</v>
      </c>
      <c r="Q200" s="159">
        <f t="shared" si="2"/>
        <v>0</v>
      </c>
      <c r="S200" s="159">
        <f t="shared" si="3"/>
        <v>0</v>
      </c>
      <c r="U200" s="159">
        <f t="shared" si="4"/>
        <v>0</v>
      </c>
      <c r="W200" s="159">
        <f t="shared" si="5"/>
        <v>0</v>
      </c>
      <c r="Y200" s="159">
        <f t="shared" si="6"/>
        <v>0</v>
      </c>
      <c r="AA200" s="159">
        <f t="shared" si="7"/>
        <v>0</v>
      </c>
      <c r="AC200" s="159">
        <f t="shared" si="8"/>
        <v>0</v>
      </c>
      <c r="AE200" s="159">
        <f t="shared" si="9"/>
        <v>0</v>
      </c>
      <c r="AG200" s="159">
        <f t="shared" si="10"/>
        <v>0</v>
      </c>
      <c r="AI200" s="159">
        <f t="shared" si="11"/>
        <v>0</v>
      </c>
      <c r="AK200" s="159">
        <f t="shared" si="12"/>
        <v>0</v>
      </c>
      <c r="AM200" s="159">
        <f t="shared" si="13"/>
        <v>0</v>
      </c>
      <c r="AO200" s="159">
        <f t="shared" si="14"/>
        <v>0</v>
      </c>
      <c r="AQ200" s="159">
        <f t="shared" si="15"/>
        <v>0</v>
      </c>
      <c r="AS200" s="159">
        <f t="shared" si="16"/>
        <v>0</v>
      </c>
      <c r="AU200" s="159">
        <f t="shared" si="17"/>
        <v>0</v>
      </c>
      <c r="AW200" s="159">
        <f t="shared" si="18"/>
        <v>0</v>
      </c>
    </row>
    <row r="201" spans="1:49" x14ac:dyDescent="0.2">
      <c r="A201" s="411"/>
      <c r="B201" s="411"/>
      <c r="C201" s="411"/>
      <c r="D201" s="411"/>
      <c r="E201" s="411"/>
      <c r="F201" s="411"/>
      <c r="G201" s="535"/>
      <c r="H201" s="536"/>
      <c r="I201" s="536"/>
      <c r="J201" s="536"/>
      <c r="K201" s="536"/>
      <c r="L201" s="537"/>
      <c r="M201" s="412">
        <f>IF(K201&gt;=Input!$B$18,1,0)</f>
        <v>0</v>
      </c>
      <c r="N201" s="159" t="str">
        <f t="shared" si="0"/>
        <v xml:space="preserve"> -  -  - 0</v>
      </c>
      <c r="O201" s="159">
        <f t="shared" si="1"/>
        <v>0</v>
      </c>
      <c r="Q201" s="159">
        <f t="shared" si="2"/>
        <v>0</v>
      </c>
      <c r="S201" s="159">
        <f t="shared" si="3"/>
        <v>0</v>
      </c>
      <c r="U201" s="159">
        <f t="shared" si="4"/>
        <v>0</v>
      </c>
      <c r="W201" s="159">
        <f t="shared" si="5"/>
        <v>0</v>
      </c>
      <c r="Y201" s="159">
        <f t="shared" si="6"/>
        <v>0</v>
      </c>
      <c r="AA201" s="159">
        <f t="shared" si="7"/>
        <v>0</v>
      </c>
      <c r="AC201" s="159">
        <f t="shared" si="8"/>
        <v>0</v>
      </c>
      <c r="AE201" s="159">
        <f t="shared" si="9"/>
        <v>0</v>
      </c>
      <c r="AG201" s="159">
        <f t="shared" si="10"/>
        <v>0</v>
      </c>
      <c r="AI201" s="159">
        <f t="shared" si="11"/>
        <v>0</v>
      </c>
      <c r="AK201" s="159">
        <f t="shared" si="12"/>
        <v>0</v>
      </c>
      <c r="AM201" s="159">
        <f t="shared" si="13"/>
        <v>0</v>
      </c>
      <c r="AO201" s="159">
        <f t="shared" si="14"/>
        <v>0</v>
      </c>
      <c r="AQ201" s="159">
        <f t="shared" si="15"/>
        <v>0</v>
      </c>
      <c r="AS201" s="159">
        <f t="shared" si="16"/>
        <v>0</v>
      </c>
      <c r="AU201" s="159">
        <f t="shared" si="17"/>
        <v>0</v>
      </c>
      <c r="AW201" s="159">
        <f t="shared" si="18"/>
        <v>0</v>
      </c>
    </row>
    <row r="202" spans="1:49" x14ac:dyDescent="0.2">
      <c r="A202" s="411"/>
      <c r="B202" s="411"/>
      <c r="C202" s="411"/>
      <c r="D202" s="411"/>
      <c r="E202" s="411"/>
      <c r="F202" s="411"/>
      <c r="G202" s="535"/>
      <c r="H202" s="536"/>
      <c r="I202" s="536"/>
      <c r="J202" s="536"/>
      <c r="K202" s="536"/>
      <c r="L202" s="537"/>
      <c r="M202" s="412">
        <f>IF(K202&gt;=Input!$B$18,1,0)</f>
        <v>0</v>
      </c>
      <c r="N202" s="159" t="str">
        <f t="shared" si="0"/>
        <v xml:space="preserve"> -  -  - 0</v>
      </c>
      <c r="O202" s="159">
        <f t="shared" si="1"/>
        <v>0</v>
      </c>
      <c r="Q202" s="159">
        <f t="shared" si="2"/>
        <v>0</v>
      </c>
      <c r="S202" s="159">
        <f t="shared" si="3"/>
        <v>0</v>
      </c>
      <c r="U202" s="159">
        <f t="shared" si="4"/>
        <v>0</v>
      </c>
      <c r="W202" s="159">
        <f t="shared" si="5"/>
        <v>0</v>
      </c>
      <c r="Y202" s="159">
        <f t="shared" si="6"/>
        <v>0</v>
      </c>
      <c r="AA202" s="159">
        <f t="shared" si="7"/>
        <v>0</v>
      </c>
      <c r="AC202" s="159">
        <f t="shared" si="8"/>
        <v>0</v>
      </c>
      <c r="AE202" s="159">
        <f t="shared" si="9"/>
        <v>0</v>
      </c>
      <c r="AG202" s="159">
        <f t="shared" si="10"/>
        <v>0</v>
      </c>
      <c r="AI202" s="159">
        <f t="shared" si="11"/>
        <v>0</v>
      </c>
      <c r="AK202" s="159">
        <f t="shared" si="12"/>
        <v>0</v>
      </c>
      <c r="AM202" s="159">
        <f t="shared" si="13"/>
        <v>0</v>
      </c>
      <c r="AO202" s="159">
        <f t="shared" si="14"/>
        <v>0</v>
      </c>
      <c r="AQ202" s="159">
        <f t="shared" si="15"/>
        <v>0</v>
      </c>
      <c r="AS202" s="159">
        <f t="shared" si="16"/>
        <v>0</v>
      </c>
      <c r="AU202" s="159">
        <f t="shared" si="17"/>
        <v>0</v>
      </c>
      <c r="AW202" s="159">
        <f t="shared" si="18"/>
        <v>0</v>
      </c>
    </row>
    <row r="203" spans="1:49" x14ac:dyDescent="0.2">
      <c r="A203" s="411"/>
      <c r="B203" s="411"/>
      <c r="C203" s="411"/>
      <c r="D203" s="411"/>
      <c r="E203" s="411"/>
      <c r="F203" s="411"/>
      <c r="G203" s="535"/>
      <c r="H203" s="536"/>
      <c r="I203" s="536"/>
      <c r="J203" s="536"/>
      <c r="K203" s="536"/>
      <c r="L203" s="537"/>
      <c r="M203" s="412">
        <f>IF(K203&gt;=Input!$B$18,1,0)</f>
        <v>0</v>
      </c>
      <c r="N203" s="159" t="str">
        <f t="shared" si="0"/>
        <v xml:space="preserve"> -  -  - 0</v>
      </c>
      <c r="O203" s="159">
        <f t="shared" si="1"/>
        <v>0</v>
      </c>
      <c r="Q203" s="159">
        <f t="shared" si="2"/>
        <v>0</v>
      </c>
      <c r="S203" s="159">
        <f t="shared" si="3"/>
        <v>0</v>
      </c>
      <c r="U203" s="159">
        <f t="shared" si="4"/>
        <v>0</v>
      </c>
      <c r="W203" s="159">
        <f t="shared" si="5"/>
        <v>0</v>
      </c>
      <c r="Y203" s="159">
        <f t="shared" si="6"/>
        <v>0</v>
      </c>
      <c r="AA203" s="159">
        <f t="shared" si="7"/>
        <v>0</v>
      </c>
      <c r="AC203" s="159">
        <f t="shared" si="8"/>
        <v>0</v>
      </c>
      <c r="AE203" s="159">
        <f t="shared" si="9"/>
        <v>0</v>
      </c>
      <c r="AG203" s="159">
        <f t="shared" si="10"/>
        <v>0</v>
      </c>
      <c r="AI203" s="159">
        <f t="shared" si="11"/>
        <v>0</v>
      </c>
      <c r="AK203" s="159">
        <f t="shared" si="12"/>
        <v>0</v>
      </c>
      <c r="AM203" s="159">
        <f t="shared" si="13"/>
        <v>0</v>
      </c>
      <c r="AO203" s="159">
        <f t="shared" si="14"/>
        <v>0</v>
      </c>
      <c r="AQ203" s="159">
        <f t="shared" si="15"/>
        <v>0</v>
      </c>
      <c r="AS203" s="159">
        <f t="shared" si="16"/>
        <v>0</v>
      </c>
      <c r="AU203" s="159">
        <f t="shared" si="17"/>
        <v>0</v>
      </c>
      <c r="AW203" s="159">
        <f t="shared" si="18"/>
        <v>0</v>
      </c>
    </row>
    <row r="204" spans="1:49" x14ac:dyDescent="0.2">
      <c r="A204" s="411"/>
      <c r="B204" s="411"/>
      <c r="C204" s="411"/>
      <c r="D204" s="411"/>
      <c r="E204" s="411"/>
      <c r="F204" s="411"/>
      <c r="G204" s="535"/>
      <c r="H204" s="536"/>
      <c r="I204" s="536"/>
      <c r="J204" s="536"/>
      <c r="K204" s="536"/>
      <c r="L204" s="537"/>
      <c r="M204" s="412">
        <f>IF(K204&gt;=Input!$B$18,1,0)</f>
        <v>0</v>
      </c>
      <c r="N204" s="159" t="str">
        <f t="shared" si="0"/>
        <v xml:space="preserve"> -  -  - 0</v>
      </c>
      <c r="O204" s="159">
        <f t="shared" si="1"/>
        <v>0</v>
      </c>
      <c r="Q204" s="159">
        <f t="shared" si="2"/>
        <v>0</v>
      </c>
      <c r="S204" s="159">
        <f t="shared" si="3"/>
        <v>0</v>
      </c>
      <c r="U204" s="159">
        <f t="shared" si="4"/>
        <v>0</v>
      </c>
      <c r="W204" s="159">
        <f t="shared" si="5"/>
        <v>0</v>
      </c>
      <c r="Y204" s="159">
        <f t="shared" si="6"/>
        <v>0</v>
      </c>
      <c r="AA204" s="159">
        <f t="shared" si="7"/>
        <v>0</v>
      </c>
      <c r="AC204" s="159">
        <f t="shared" si="8"/>
        <v>0</v>
      </c>
      <c r="AE204" s="159">
        <f t="shared" si="9"/>
        <v>0</v>
      </c>
      <c r="AG204" s="159">
        <f t="shared" si="10"/>
        <v>0</v>
      </c>
      <c r="AI204" s="159">
        <f t="shared" si="11"/>
        <v>0</v>
      </c>
      <c r="AK204" s="159">
        <f t="shared" si="12"/>
        <v>0</v>
      </c>
      <c r="AM204" s="159">
        <f t="shared" si="13"/>
        <v>0</v>
      </c>
      <c r="AO204" s="159">
        <f t="shared" si="14"/>
        <v>0</v>
      </c>
      <c r="AQ204" s="159">
        <f t="shared" si="15"/>
        <v>0</v>
      </c>
      <c r="AS204" s="159">
        <f t="shared" si="16"/>
        <v>0</v>
      </c>
      <c r="AU204" s="159">
        <f t="shared" si="17"/>
        <v>0</v>
      </c>
      <c r="AW204" s="159">
        <f t="shared" si="18"/>
        <v>0</v>
      </c>
    </row>
    <row r="205" spans="1:49" x14ac:dyDescent="0.2">
      <c r="A205" s="411"/>
      <c r="B205" s="411"/>
      <c r="C205" s="411"/>
      <c r="D205" s="411"/>
      <c r="E205" s="411"/>
      <c r="F205" s="411"/>
      <c r="G205" s="535"/>
      <c r="H205" s="536"/>
      <c r="I205" s="536"/>
      <c r="J205" s="536"/>
      <c r="K205" s="536"/>
      <c r="L205" s="537"/>
      <c r="M205" s="412">
        <f>IF(K205&gt;=Input!$B$18,1,0)</f>
        <v>0</v>
      </c>
      <c r="N205" s="159" t="str">
        <f t="shared" si="0"/>
        <v xml:space="preserve"> -  -  - 0</v>
      </c>
      <c r="O205" s="159">
        <f t="shared" si="1"/>
        <v>0</v>
      </c>
      <c r="Q205" s="159">
        <f t="shared" si="2"/>
        <v>0</v>
      </c>
      <c r="S205" s="159">
        <f t="shared" si="3"/>
        <v>0</v>
      </c>
      <c r="U205" s="159">
        <f t="shared" si="4"/>
        <v>0</v>
      </c>
      <c r="W205" s="159">
        <f t="shared" si="5"/>
        <v>0</v>
      </c>
      <c r="Y205" s="159">
        <f t="shared" si="6"/>
        <v>0</v>
      </c>
      <c r="AA205" s="159">
        <f t="shared" si="7"/>
        <v>0</v>
      </c>
      <c r="AC205" s="159">
        <f t="shared" si="8"/>
        <v>0</v>
      </c>
      <c r="AE205" s="159">
        <f t="shared" si="9"/>
        <v>0</v>
      </c>
      <c r="AG205" s="159">
        <f t="shared" si="10"/>
        <v>0</v>
      </c>
      <c r="AI205" s="159">
        <f t="shared" si="11"/>
        <v>0</v>
      </c>
      <c r="AK205" s="159">
        <f t="shared" si="12"/>
        <v>0</v>
      </c>
      <c r="AM205" s="159">
        <f t="shared" si="13"/>
        <v>0</v>
      </c>
      <c r="AO205" s="159">
        <f t="shared" si="14"/>
        <v>0</v>
      </c>
      <c r="AQ205" s="159">
        <f t="shared" si="15"/>
        <v>0</v>
      </c>
      <c r="AS205" s="159">
        <f t="shared" si="16"/>
        <v>0</v>
      </c>
      <c r="AU205" s="159">
        <f t="shared" si="17"/>
        <v>0</v>
      </c>
      <c r="AW205" s="159">
        <f t="shared" si="18"/>
        <v>0</v>
      </c>
    </row>
    <row r="206" spans="1:49" x14ac:dyDescent="0.2">
      <c r="A206" s="411"/>
      <c r="B206" s="411"/>
      <c r="C206" s="411"/>
      <c r="D206" s="411"/>
      <c r="E206" s="411"/>
      <c r="F206" s="411"/>
      <c r="G206" s="535"/>
      <c r="H206" s="536"/>
      <c r="I206" s="536"/>
      <c r="J206" s="536"/>
      <c r="K206" s="536"/>
      <c r="L206" s="537"/>
      <c r="M206" s="412">
        <f>IF(K206&gt;=Input!$B$18,1,0)</f>
        <v>0</v>
      </c>
      <c r="N206" s="159" t="str">
        <f t="shared" si="0"/>
        <v xml:space="preserve"> -  -  - 0</v>
      </c>
      <c r="O206" s="159">
        <f t="shared" si="1"/>
        <v>0</v>
      </c>
      <c r="Q206" s="159">
        <f t="shared" si="2"/>
        <v>0</v>
      </c>
      <c r="S206" s="159">
        <f t="shared" si="3"/>
        <v>0</v>
      </c>
      <c r="U206" s="159">
        <f t="shared" si="4"/>
        <v>0</v>
      </c>
      <c r="W206" s="159">
        <f t="shared" si="5"/>
        <v>0</v>
      </c>
      <c r="Y206" s="159">
        <f t="shared" si="6"/>
        <v>0</v>
      </c>
      <c r="AA206" s="159">
        <f t="shared" si="7"/>
        <v>0</v>
      </c>
      <c r="AC206" s="159">
        <f t="shared" si="8"/>
        <v>0</v>
      </c>
      <c r="AE206" s="159">
        <f t="shared" si="9"/>
        <v>0</v>
      </c>
      <c r="AG206" s="159">
        <f t="shared" si="10"/>
        <v>0</v>
      </c>
      <c r="AI206" s="159">
        <f t="shared" si="11"/>
        <v>0</v>
      </c>
      <c r="AK206" s="159">
        <f t="shared" si="12"/>
        <v>0</v>
      </c>
      <c r="AM206" s="159">
        <f t="shared" si="13"/>
        <v>0</v>
      </c>
      <c r="AO206" s="159">
        <f t="shared" si="14"/>
        <v>0</v>
      </c>
      <c r="AQ206" s="159">
        <f t="shared" si="15"/>
        <v>0</v>
      </c>
      <c r="AS206" s="159">
        <f t="shared" si="16"/>
        <v>0</v>
      </c>
      <c r="AU206" s="159">
        <f t="shared" si="17"/>
        <v>0</v>
      </c>
      <c r="AW206" s="159">
        <f t="shared" si="18"/>
        <v>0</v>
      </c>
    </row>
    <row r="207" spans="1:49" x14ac:dyDescent="0.2">
      <c r="A207" s="411"/>
      <c r="B207" s="411"/>
      <c r="C207" s="411"/>
      <c r="D207" s="411"/>
      <c r="E207" s="411"/>
      <c r="F207" s="411"/>
      <c r="G207" s="535"/>
      <c r="H207" s="536"/>
      <c r="I207" s="536"/>
      <c r="J207" s="536"/>
      <c r="K207" s="536"/>
      <c r="L207" s="537"/>
      <c r="M207" s="412">
        <f>IF(K207&gt;=Input!$B$18,1,0)</f>
        <v>0</v>
      </c>
      <c r="N207" s="159" t="str">
        <f t="shared" si="0"/>
        <v xml:space="preserve"> -  -  - 0</v>
      </c>
      <c r="O207" s="159">
        <f t="shared" si="1"/>
        <v>0</v>
      </c>
      <c r="Q207" s="159">
        <f t="shared" si="2"/>
        <v>0</v>
      </c>
      <c r="S207" s="159">
        <f t="shared" si="3"/>
        <v>0</v>
      </c>
      <c r="U207" s="159">
        <f t="shared" si="4"/>
        <v>0</v>
      </c>
      <c r="W207" s="159">
        <f t="shared" si="5"/>
        <v>0</v>
      </c>
      <c r="Y207" s="159">
        <f t="shared" si="6"/>
        <v>0</v>
      </c>
      <c r="AA207" s="159">
        <f t="shared" si="7"/>
        <v>0</v>
      </c>
      <c r="AC207" s="159">
        <f t="shared" si="8"/>
        <v>0</v>
      </c>
      <c r="AE207" s="159">
        <f t="shared" si="9"/>
        <v>0</v>
      </c>
      <c r="AG207" s="159">
        <f t="shared" si="10"/>
        <v>0</v>
      </c>
      <c r="AI207" s="159">
        <f t="shared" si="11"/>
        <v>0</v>
      </c>
      <c r="AK207" s="159">
        <f t="shared" si="12"/>
        <v>0</v>
      </c>
      <c r="AM207" s="159">
        <f t="shared" si="13"/>
        <v>0</v>
      </c>
      <c r="AO207" s="159">
        <f t="shared" si="14"/>
        <v>0</v>
      </c>
      <c r="AQ207" s="159">
        <f t="shared" si="15"/>
        <v>0</v>
      </c>
      <c r="AS207" s="159">
        <f t="shared" si="16"/>
        <v>0</v>
      </c>
      <c r="AU207" s="159">
        <f t="shared" si="17"/>
        <v>0</v>
      </c>
      <c r="AW207" s="159">
        <f t="shared" si="18"/>
        <v>0</v>
      </c>
    </row>
    <row r="208" spans="1:49" x14ac:dyDescent="0.2">
      <c r="A208" s="411"/>
      <c r="B208" s="411"/>
      <c r="C208" s="411"/>
      <c r="D208" s="411"/>
      <c r="E208" s="411"/>
      <c r="F208" s="411"/>
      <c r="G208" s="535"/>
      <c r="H208" s="536"/>
      <c r="I208" s="536"/>
      <c r="J208" s="536"/>
      <c r="K208" s="536"/>
      <c r="L208" s="537"/>
      <c r="M208" s="412">
        <f>IF(K208&gt;=Input!$B$18,1,0)</f>
        <v>0</v>
      </c>
      <c r="N208" s="159" t="str">
        <f t="shared" si="0"/>
        <v xml:space="preserve"> -  -  - 0</v>
      </c>
      <c r="O208" s="159">
        <f t="shared" si="1"/>
        <v>0</v>
      </c>
      <c r="Q208" s="159">
        <f t="shared" si="2"/>
        <v>0</v>
      </c>
      <c r="S208" s="159">
        <f t="shared" si="3"/>
        <v>0</v>
      </c>
      <c r="U208" s="159">
        <f t="shared" si="4"/>
        <v>0</v>
      </c>
      <c r="W208" s="159">
        <f t="shared" si="5"/>
        <v>0</v>
      </c>
      <c r="Y208" s="159">
        <f t="shared" si="6"/>
        <v>0</v>
      </c>
      <c r="AA208" s="159">
        <f t="shared" si="7"/>
        <v>0</v>
      </c>
      <c r="AC208" s="159">
        <f t="shared" si="8"/>
        <v>0</v>
      </c>
      <c r="AE208" s="159">
        <f t="shared" si="9"/>
        <v>0</v>
      </c>
      <c r="AG208" s="159">
        <f t="shared" si="10"/>
        <v>0</v>
      </c>
      <c r="AI208" s="159">
        <f t="shared" si="11"/>
        <v>0</v>
      </c>
      <c r="AK208" s="159">
        <f t="shared" si="12"/>
        <v>0</v>
      </c>
      <c r="AM208" s="159">
        <f t="shared" si="13"/>
        <v>0</v>
      </c>
      <c r="AO208" s="159">
        <f t="shared" si="14"/>
        <v>0</v>
      </c>
      <c r="AQ208" s="159">
        <f t="shared" si="15"/>
        <v>0</v>
      </c>
      <c r="AS208" s="159">
        <f t="shared" si="16"/>
        <v>0</v>
      </c>
      <c r="AU208" s="159">
        <f t="shared" si="17"/>
        <v>0</v>
      </c>
      <c r="AW208" s="159">
        <f t="shared" si="18"/>
        <v>0</v>
      </c>
    </row>
    <row r="209" spans="1:49" x14ac:dyDescent="0.2">
      <c r="A209" s="411"/>
      <c r="B209" s="411"/>
      <c r="C209" s="411"/>
      <c r="D209" s="411"/>
      <c r="E209" s="411"/>
      <c r="F209" s="411"/>
      <c r="G209" s="535"/>
      <c r="H209" s="536"/>
      <c r="I209" s="536"/>
      <c r="J209" s="536"/>
      <c r="K209" s="536"/>
      <c r="L209" s="537"/>
      <c r="M209" s="412">
        <f>IF(K209&gt;=Input!$B$18,1,0)</f>
        <v>0</v>
      </c>
      <c r="N209" s="159" t="str">
        <f t="shared" si="0"/>
        <v xml:space="preserve"> -  -  - 0</v>
      </c>
      <c r="O209" s="159">
        <f t="shared" si="1"/>
        <v>0</v>
      </c>
      <c r="Q209" s="159">
        <f t="shared" si="2"/>
        <v>0</v>
      </c>
      <c r="S209" s="159">
        <f t="shared" si="3"/>
        <v>0</v>
      </c>
      <c r="U209" s="159">
        <f t="shared" si="4"/>
        <v>0</v>
      </c>
      <c r="W209" s="159">
        <f t="shared" si="5"/>
        <v>0</v>
      </c>
      <c r="Y209" s="159">
        <f t="shared" si="6"/>
        <v>0</v>
      </c>
      <c r="AA209" s="159">
        <f t="shared" si="7"/>
        <v>0</v>
      </c>
      <c r="AC209" s="159">
        <f t="shared" si="8"/>
        <v>0</v>
      </c>
      <c r="AE209" s="159">
        <f t="shared" si="9"/>
        <v>0</v>
      </c>
      <c r="AG209" s="159">
        <f t="shared" si="10"/>
        <v>0</v>
      </c>
      <c r="AI209" s="159">
        <f t="shared" si="11"/>
        <v>0</v>
      </c>
      <c r="AK209" s="159">
        <f t="shared" si="12"/>
        <v>0</v>
      </c>
      <c r="AM209" s="159">
        <f t="shared" si="13"/>
        <v>0</v>
      </c>
      <c r="AO209" s="159">
        <f t="shared" si="14"/>
        <v>0</v>
      </c>
      <c r="AQ209" s="159">
        <f t="shared" si="15"/>
        <v>0</v>
      </c>
      <c r="AS209" s="159">
        <f t="shared" si="16"/>
        <v>0</v>
      </c>
      <c r="AU209" s="159">
        <f t="shared" si="17"/>
        <v>0</v>
      </c>
      <c r="AW209" s="159">
        <f t="shared" si="18"/>
        <v>0</v>
      </c>
    </row>
    <row r="210" spans="1:49" x14ac:dyDescent="0.2">
      <c r="A210" s="411"/>
      <c r="B210" s="411"/>
      <c r="C210" s="411"/>
      <c r="D210" s="411"/>
      <c r="E210" s="411"/>
      <c r="F210" s="411"/>
      <c r="G210" s="535"/>
      <c r="H210" s="536"/>
      <c r="I210" s="536"/>
      <c r="J210" s="536"/>
      <c r="K210" s="536"/>
      <c r="L210" s="537"/>
      <c r="M210" s="412">
        <f>IF(K210&gt;=Input!$B$18,1,0)</f>
        <v>0</v>
      </c>
      <c r="N210" s="159" t="str">
        <f t="shared" si="0"/>
        <v xml:space="preserve"> -  -  - 0</v>
      </c>
      <c r="O210" s="159">
        <f t="shared" si="1"/>
        <v>0</v>
      </c>
      <c r="Q210" s="159">
        <f t="shared" si="2"/>
        <v>0</v>
      </c>
      <c r="S210" s="159">
        <f t="shared" si="3"/>
        <v>0</v>
      </c>
      <c r="U210" s="159">
        <f t="shared" si="4"/>
        <v>0</v>
      </c>
      <c r="W210" s="159">
        <f t="shared" si="5"/>
        <v>0</v>
      </c>
      <c r="Y210" s="159">
        <f t="shared" si="6"/>
        <v>0</v>
      </c>
      <c r="AA210" s="159">
        <f t="shared" si="7"/>
        <v>0</v>
      </c>
      <c r="AC210" s="159">
        <f t="shared" si="8"/>
        <v>0</v>
      </c>
      <c r="AE210" s="159">
        <f t="shared" si="9"/>
        <v>0</v>
      </c>
      <c r="AG210" s="159">
        <f t="shared" si="10"/>
        <v>0</v>
      </c>
      <c r="AI210" s="159">
        <f t="shared" si="11"/>
        <v>0</v>
      </c>
      <c r="AK210" s="159">
        <f t="shared" si="12"/>
        <v>0</v>
      </c>
      <c r="AM210" s="159">
        <f t="shared" si="13"/>
        <v>0</v>
      </c>
      <c r="AO210" s="159">
        <f t="shared" si="14"/>
        <v>0</v>
      </c>
      <c r="AQ210" s="159">
        <f t="shared" si="15"/>
        <v>0</v>
      </c>
      <c r="AS210" s="159">
        <f t="shared" si="16"/>
        <v>0</v>
      </c>
      <c r="AU210" s="159">
        <f t="shared" si="17"/>
        <v>0</v>
      </c>
      <c r="AW210" s="159">
        <f t="shared" si="18"/>
        <v>0</v>
      </c>
    </row>
    <row r="211" spans="1:49" x14ac:dyDescent="0.2">
      <c r="A211" s="411"/>
      <c r="B211" s="411"/>
      <c r="C211" s="411"/>
      <c r="D211" s="411"/>
      <c r="E211" s="411"/>
      <c r="F211" s="411"/>
      <c r="G211" s="535"/>
      <c r="H211" s="536"/>
      <c r="I211" s="536"/>
      <c r="J211" s="536"/>
      <c r="K211" s="536"/>
      <c r="L211" s="537"/>
      <c r="M211" s="412">
        <f>IF(K211&gt;=Input!$B$18,1,0)</f>
        <v>0</v>
      </c>
      <c r="N211" s="159" t="str">
        <f t="shared" si="0"/>
        <v xml:space="preserve"> -  -  - 0</v>
      </c>
      <c r="O211" s="159">
        <f t="shared" si="1"/>
        <v>0</v>
      </c>
      <c r="Q211" s="159">
        <f t="shared" si="2"/>
        <v>0</v>
      </c>
      <c r="S211" s="159">
        <f t="shared" si="3"/>
        <v>0</v>
      </c>
      <c r="U211" s="159">
        <f t="shared" si="4"/>
        <v>0</v>
      </c>
      <c r="W211" s="159">
        <f t="shared" si="5"/>
        <v>0</v>
      </c>
      <c r="Y211" s="159">
        <f t="shared" si="6"/>
        <v>0</v>
      </c>
      <c r="AA211" s="159">
        <f t="shared" si="7"/>
        <v>0</v>
      </c>
      <c r="AC211" s="159">
        <f t="shared" si="8"/>
        <v>0</v>
      </c>
      <c r="AE211" s="159">
        <f t="shared" si="9"/>
        <v>0</v>
      </c>
      <c r="AG211" s="159">
        <f t="shared" si="10"/>
        <v>0</v>
      </c>
      <c r="AI211" s="159">
        <f t="shared" si="11"/>
        <v>0</v>
      </c>
      <c r="AK211" s="159">
        <f t="shared" si="12"/>
        <v>0</v>
      </c>
      <c r="AM211" s="159">
        <f t="shared" si="13"/>
        <v>0</v>
      </c>
      <c r="AO211" s="159">
        <f t="shared" si="14"/>
        <v>0</v>
      </c>
      <c r="AQ211" s="159">
        <f t="shared" si="15"/>
        <v>0</v>
      </c>
      <c r="AS211" s="159">
        <f t="shared" si="16"/>
        <v>0</v>
      </c>
      <c r="AU211" s="159">
        <f t="shared" si="17"/>
        <v>0</v>
      </c>
      <c r="AW211" s="159">
        <f t="shared" si="18"/>
        <v>0</v>
      </c>
    </row>
    <row r="212" spans="1:49" x14ac:dyDescent="0.2">
      <c r="A212" s="411"/>
      <c r="B212" s="411"/>
      <c r="C212" s="411"/>
      <c r="D212" s="411"/>
      <c r="E212" s="411"/>
      <c r="F212" s="411"/>
      <c r="G212" s="535"/>
      <c r="H212" s="536"/>
      <c r="I212" s="536"/>
      <c r="J212" s="536"/>
      <c r="K212" s="536"/>
      <c r="L212" s="537"/>
      <c r="M212" s="412">
        <f>IF(K212&gt;=Input!$B$18,1,0)</f>
        <v>0</v>
      </c>
      <c r="N212" s="159" t="str">
        <f t="shared" si="0"/>
        <v xml:space="preserve"> -  -  - 0</v>
      </c>
      <c r="O212" s="159">
        <f t="shared" si="1"/>
        <v>0</v>
      </c>
      <c r="Q212" s="159">
        <f t="shared" si="2"/>
        <v>0</v>
      </c>
      <c r="S212" s="159">
        <f t="shared" si="3"/>
        <v>0</v>
      </c>
      <c r="U212" s="159">
        <f t="shared" si="4"/>
        <v>0</v>
      </c>
      <c r="W212" s="159">
        <f t="shared" si="5"/>
        <v>0</v>
      </c>
      <c r="Y212" s="159">
        <f t="shared" si="6"/>
        <v>0</v>
      </c>
      <c r="AA212" s="159">
        <f t="shared" si="7"/>
        <v>0</v>
      </c>
      <c r="AC212" s="159">
        <f t="shared" si="8"/>
        <v>0</v>
      </c>
      <c r="AE212" s="159">
        <f t="shared" si="9"/>
        <v>0</v>
      </c>
      <c r="AG212" s="159">
        <f t="shared" si="10"/>
        <v>0</v>
      </c>
      <c r="AI212" s="159">
        <f t="shared" si="11"/>
        <v>0</v>
      </c>
      <c r="AK212" s="159">
        <f t="shared" si="12"/>
        <v>0</v>
      </c>
      <c r="AM212" s="159">
        <f t="shared" si="13"/>
        <v>0</v>
      </c>
      <c r="AO212" s="159">
        <f t="shared" si="14"/>
        <v>0</v>
      </c>
      <c r="AQ212" s="159">
        <f t="shared" si="15"/>
        <v>0</v>
      </c>
      <c r="AS212" s="159">
        <f t="shared" si="16"/>
        <v>0</v>
      </c>
      <c r="AU212" s="159">
        <f t="shared" si="17"/>
        <v>0</v>
      </c>
      <c r="AW212" s="159">
        <f t="shared" si="18"/>
        <v>0</v>
      </c>
    </row>
    <row r="213" spans="1:49" x14ac:dyDescent="0.2">
      <c r="A213" s="411"/>
      <c r="B213" s="411"/>
      <c r="C213" s="411"/>
      <c r="D213" s="411"/>
      <c r="E213" s="411"/>
      <c r="F213" s="411"/>
      <c r="G213" s="535"/>
      <c r="H213" s="536"/>
      <c r="I213" s="536"/>
      <c r="J213" s="536"/>
      <c r="K213" s="536"/>
      <c r="L213" s="537"/>
      <c r="M213" s="412">
        <f>IF(K213&gt;=Input!$B$18,1,0)</f>
        <v>0</v>
      </c>
      <c r="N213" s="159" t="str">
        <f t="shared" si="0"/>
        <v xml:space="preserve"> -  -  - 0</v>
      </c>
      <c r="O213" s="159">
        <f t="shared" si="1"/>
        <v>0</v>
      </c>
      <c r="Q213" s="159">
        <f t="shared" si="2"/>
        <v>0</v>
      </c>
      <c r="S213" s="159">
        <f t="shared" si="3"/>
        <v>0</v>
      </c>
      <c r="U213" s="159">
        <f t="shared" si="4"/>
        <v>0</v>
      </c>
      <c r="W213" s="159">
        <f t="shared" si="5"/>
        <v>0</v>
      </c>
      <c r="Y213" s="159">
        <f t="shared" si="6"/>
        <v>0</v>
      </c>
      <c r="AA213" s="159">
        <f t="shared" si="7"/>
        <v>0</v>
      </c>
      <c r="AC213" s="159">
        <f t="shared" si="8"/>
        <v>0</v>
      </c>
      <c r="AE213" s="159">
        <f t="shared" si="9"/>
        <v>0</v>
      </c>
      <c r="AG213" s="159">
        <f t="shared" si="10"/>
        <v>0</v>
      </c>
      <c r="AI213" s="159">
        <f t="shared" si="11"/>
        <v>0</v>
      </c>
      <c r="AK213" s="159">
        <f t="shared" si="12"/>
        <v>0</v>
      </c>
      <c r="AM213" s="159">
        <f t="shared" si="13"/>
        <v>0</v>
      </c>
      <c r="AO213" s="159">
        <f t="shared" si="14"/>
        <v>0</v>
      </c>
      <c r="AQ213" s="159">
        <f t="shared" si="15"/>
        <v>0</v>
      </c>
      <c r="AS213" s="159">
        <f t="shared" si="16"/>
        <v>0</v>
      </c>
      <c r="AU213" s="159">
        <f t="shared" si="17"/>
        <v>0</v>
      </c>
      <c r="AW213" s="159">
        <f t="shared" si="18"/>
        <v>0</v>
      </c>
    </row>
    <row r="214" spans="1:49" x14ac:dyDescent="0.2">
      <c r="A214" s="411"/>
      <c r="B214" s="411"/>
      <c r="C214" s="411"/>
      <c r="D214" s="411"/>
      <c r="E214" s="411"/>
      <c r="F214" s="411"/>
      <c r="G214" s="535"/>
      <c r="H214" s="536"/>
      <c r="I214" s="536"/>
      <c r="J214" s="536"/>
      <c r="K214" s="536"/>
      <c r="L214" s="537"/>
      <c r="M214" s="412">
        <f>IF(K214&gt;=Input!$B$18,1,0)</f>
        <v>0</v>
      </c>
      <c r="N214" s="159" t="str">
        <f t="shared" si="0"/>
        <v xml:space="preserve"> -  -  - 0</v>
      </c>
      <c r="O214" s="159">
        <f t="shared" si="1"/>
        <v>0</v>
      </c>
      <c r="Q214" s="159">
        <f t="shared" si="2"/>
        <v>0</v>
      </c>
      <c r="S214" s="159">
        <f t="shared" si="3"/>
        <v>0</v>
      </c>
      <c r="U214" s="159">
        <f t="shared" si="4"/>
        <v>0</v>
      </c>
      <c r="W214" s="159">
        <f t="shared" si="5"/>
        <v>0</v>
      </c>
      <c r="Y214" s="159">
        <f t="shared" si="6"/>
        <v>0</v>
      </c>
      <c r="AA214" s="159">
        <f t="shared" si="7"/>
        <v>0</v>
      </c>
      <c r="AC214" s="159">
        <f t="shared" si="8"/>
        <v>0</v>
      </c>
      <c r="AE214" s="159">
        <f t="shared" si="9"/>
        <v>0</v>
      </c>
      <c r="AG214" s="159">
        <f t="shared" si="10"/>
        <v>0</v>
      </c>
      <c r="AI214" s="159">
        <f t="shared" si="11"/>
        <v>0</v>
      </c>
      <c r="AK214" s="159">
        <f t="shared" si="12"/>
        <v>0</v>
      </c>
      <c r="AM214" s="159">
        <f t="shared" si="13"/>
        <v>0</v>
      </c>
      <c r="AO214" s="159">
        <f t="shared" si="14"/>
        <v>0</v>
      </c>
      <c r="AQ214" s="159">
        <f t="shared" si="15"/>
        <v>0</v>
      </c>
      <c r="AS214" s="159">
        <f t="shared" si="16"/>
        <v>0</v>
      </c>
      <c r="AU214" s="159">
        <f t="shared" si="17"/>
        <v>0</v>
      </c>
      <c r="AW214" s="159">
        <f t="shared" si="18"/>
        <v>0</v>
      </c>
    </row>
    <row r="215" spans="1:49" x14ac:dyDescent="0.2">
      <c r="A215" s="411"/>
      <c r="B215" s="411"/>
      <c r="C215" s="411"/>
      <c r="D215" s="411"/>
      <c r="E215" s="411"/>
      <c r="F215" s="411"/>
      <c r="G215" s="535"/>
      <c r="H215" s="536"/>
      <c r="I215" s="536"/>
      <c r="J215" s="536"/>
      <c r="K215" s="536"/>
      <c r="L215" s="537"/>
      <c r="M215" s="412">
        <f>IF(K215&gt;=Input!$B$18,1,0)</f>
        <v>0</v>
      </c>
      <c r="N215" s="159" t="str">
        <f t="shared" si="0"/>
        <v xml:space="preserve"> -  -  - 0</v>
      </c>
      <c r="O215" s="159">
        <f t="shared" si="1"/>
        <v>0</v>
      </c>
      <c r="Q215" s="159">
        <f t="shared" si="2"/>
        <v>0</v>
      </c>
      <c r="S215" s="159">
        <f t="shared" si="3"/>
        <v>0</v>
      </c>
      <c r="U215" s="159">
        <f t="shared" si="4"/>
        <v>0</v>
      </c>
      <c r="W215" s="159">
        <f t="shared" si="5"/>
        <v>0</v>
      </c>
      <c r="Y215" s="159">
        <f t="shared" si="6"/>
        <v>0</v>
      </c>
      <c r="AA215" s="159">
        <f t="shared" si="7"/>
        <v>0</v>
      </c>
      <c r="AC215" s="159">
        <f t="shared" si="8"/>
        <v>0</v>
      </c>
      <c r="AE215" s="159">
        <f t="shared" si="9"/>
        <v>0</v>
      </c>
      <c r="AG215" s="159">
        <f t="shared" si="10"/>
        <v>0</v>
      </c>
      <c r="AI215" s="159">
        <f t="shared" si="11"/>
        <v>0</v>
      </c>
      <c r="AK215" s="159">
        <f t="shared" si="12"/>
        <v>0</v>
      </c>
      <c r="AM215" s="159">
        <f t="shared" si="13"/>
        <v>0</v>
      </c>
      <c r="AO215" s="159">
        <f t="shared" si="14"/>
        <v>0</v>
      </c>
      <c r="AQ215" s="159">
        <f t="shared" si="15"/>
        <v>0</v>
      </c>
      <c r="AS215" s="159">
        <f t="shared" si="16"/>
        <v>0</v>
      </c>
      <c r="AU215" s="159">
        <f t="shared" si="17"/>
        <v>0</v>
      </c>
      <c r="AW215" s="159">
        <f t="shared" si="18"/>
        <v>0</v>
      </c>
    </row>
    <row r="216" spans="1:49" x14ac:dyDescent="0.2">
      <c r="A216" s="411"/>
      <c r="B216" s="411"/>
      <c r="C216" s="411"/>
      <c r="D216" s="411"/>
      <c r="E216" s="411"/>
      <c r="F216" s="411"/>
      <c r="G216" s="535"/>
      <c r="H216" s="536"/>
      <c r="I216" s="536"/>
      <c r="J216" s="536"/>
      <c r="K216" s="536"/>
      <c r="L216" s="537"/>
      <c r="M216" s="412">
        <f>IF(K216&gt;=Input!$B$18,1,0)</f>
        <v>0</v>
      </c>
      <c r="N216" s="159" t="str">
        <f t="shared" si="0"/>
        <v xml:space="preserve"> -  -  - 0</v>
      </c>
      <c r="O216" s="159">
        <f t="shared" si="1"/>
        <v>0</v>
      </c>
      <c r="Q216" s="159">
        <f t="shared" si="2"/>
        <v>0</v>
      </c>
      <c r="S216" s="159">
        <f t="shared" si="3"/>
        <v>0</v>
      </c>
      <c r="U216" s="159">
        <f t="shared" si="4"/>
        <v>0</v>
      </c>
      <c r="W216" s="159">
        <f t="shared" si="5"/>
        <v>0</v>
      </c>
      <c r="Y216" s="159">
        <f t="shared" si="6"/>
        <v>0</v>
      </c>
      <c r="AA216" s="159">
        <f t="shared" si="7"/>
        <v>0</v>
      </c>
      <c r="AC216" s="159">
        <f t="shared" si="8"/>
        <v>0</v>
      </c>
      <c r="AE216" s="159">
        <f t="shared" si="9"/>
        <v>0</v>
      </c>
      <c r="AG216" s="159">
        <f t="shared" si="10"/>
        <v>0</v>
      </c>
      <c r="AI216" s="159">
        <f t="shared" si="11"/>
        <v>0</v>
      </c>
      <c r="AK216" s="159">
        <f t="shared" si="12"/>
        <v>0</v>
      </c>
      <c r="AM216" s="159">
        <f t="shared" si="13"/>
        <v>0</v>
      </c>
      <c r="AO216" s="159">
        <f t="shared" si="14"/>
        <v>0</v>
      </c>
      <c r="AQ216" s="159">
        <f t="shared" si="15"/>
        <v>0</v>
      </c>
      <c r="AS216" s="159">
        <f t="shared" si="16"/>
        <v>0</v>
      </c>
      <c r="AU216" s="159">
        <f t="shared" si="17"/>
        <v>0</v>
      </c>
      <c r="AW216" s="159">
        <f t="shared" si="18"/>
        <v>0</v>
      </c>
    </row>
    <row r="217" spans="1:49" x14ac:dyDescent="0.2">
      <c r="A217" s="411"/>
      <c r="B217" s="411"/>
      <c r="C217" s="411"/>
      <c r="D217" s="411"/>
      <c r="E217" s="411"/>
      <c r="F217" s="411"/>
      <c r="G217" s="535"/>
      <c r="H217" s="536"/>
      <c r="I217" s="536"/>
      <c r="J217" s="536"/>
      <c r="K217" s="536"/>
      <c r="L217" s="537"/>
      <c r="M217" s="412">
        <f>IF(K217&gt;=Input!$B$18,1,0)</f>
        <v>0</v>
      </c>
      <c r="N217" s="159" t="str">
        <f t="shared" si="0"/>
        <v xml:space="preserve"> -  -  - 0</v>
      </c>
      <c r="O217" s="159">
        <f t="shared" si="1"/>
        <v>0</v>
      </c>
      <c r="Q217" s="159">
        <f t="shared" si="2"/>
        <v>0</v>
      </c>
      <c r="S217" s="159">
        <f t="shared" si="3"/>
        <v>0</v>
      </c>
      <c r="U217" s="159">
        <f t="shared" si="4"/>
        <v>0</v>
      </c>
      <c r="W217" s="159">
        <f t="shared" si="5"/>
        <v>0</v>
      </c>
      <c r="Y217" s="159">
        <f t="shared" si="6"/>
        <v>0</v>
      </c>
      <c r="AA217" s="159">
        <f t="shared" si="7"/>
        <v>0</v>
      </c>
      <c r="AC217" s="159">
        <f t="shared" si="8"/>
        <v>0</v>
      </c>
      <c r="AE217" s="159">
        <f t="shared" si="9"/>
        <v>0</v>
      </c>
      <c r="AG217" s="159">
        <f t="shared" si="10"/>
        <v>0</v>
      </c>
      <c r="AI217" s="159">
        <f t="shared" si="11"/>
        <v>0</v>
      </c>
      <c r="AK217" s="159">
        <f t="shared" si="12"/>
        <v>0</v>
      </c>
      <c r="AM217" s="159">
        <f t="shared" si="13"/>
        <v>0</v>
      </c>
      <c r="AO217" s="159">
        <f t="shared" si="14"/>
        <v>0</v>
      </c>
      <c r="AQ217" s="159">
        <f t="shared" si="15"/>
        <v>0</v>
      </c>
      <c r="AS217" s="159">
        <f t="shared" si="16"/>
        <v>0</v>
      </c>
      <c r="AU217" s="159">
        <f t="shared" si="17"/>
        <v>0</v>
      </c>
      <c r="AW217" s="159">
        <f t="shared" si="18"/>
        <v>0</v>
      </c>
    </row>
    <row r="218" spans="1:49" x14ac:dyDescent="0.2">
      <c r="A218" s="411"/>
      <c r="B218" s="411"/>
      <c r="C218" s="411"/>
      <c r="D218" s="411"/>
      <c r="E218" s="411"/>
      <c r="F218" s="411"/>
      <c r="G218" s="535"/>
      <c r="H218" s="536"/>
      <c r="I218" s="536"/>
      <c r="J218" s="536"/>
      <c r="K218" s="536"/>
      <c r="L218" s="537"/>
      <c r="M218" s="412">
        <f>IF(K218&gt;=Input!$B$18,1,0)</f>
        <v>0</v>
      </c>
      <c r="N218" s="159" t="str">
        <f t="shared" si="0"/>
        <v xml:space="preserve"> -  -  - 0</v>
      </c>
      <c r="O218" s="159">
        <f t="shared" si="1"/>
        <v>0</v>
      </c>
      <c r="Q218" s="159">
        <f t="shared" si="2"/>
        <v>0</v>
      </c>
      <c r="S218" s="159">
        <f t="shared" si="3"/>
        <v>0</v>
      </c>
      <c r="U218" s="159">
        <f t="shared" si="4"/>
        <v>0</v>
      </c>
      <c r="W218" s="159">
        <f t="shared" si="5"/>
        <v>0</v>
      </c>
      <c r="Y218" s="159">
        <f t="shared" si="6"/>
        <v>0</v>
      </c>
      <c r="AA218" s="159">
        <f t="shared" si="7"/>
        <v>0</v>
      </c>
      <c r="AC218" s="159">
        <f t="shared" si="8"/>
        <v>0</v>
      </c>
      <c r="AE218" s="159">
        <f t="shared" si="9"/>
        <v>0</v>
      </c>
      <c r="AG218" s="159">
        <f t="shared" si="10"/>
        <v>0</v>
      </c>
      <c r="AI218" s="159">
        <f t="shared" si="11"/>
        <v>0</v>
      </c>
      <c r="AK218" s="159">
        <f t="shared" si="12"/>
        <v>0</v>
      </c>
      <c r="AM218" s="159">
        <f t="shared" si="13"/>
        <v>0</v>
      </c>
      <c r="AO218" s="159">
        <f t="shared" si="14"/>
        <v>0</v>
      </c>
      <c r="AQ218" s="159">
        <f t="shared" si="15"/>
        <v>0</v>
      </c>
      <c r="AS218" s="159">
        <f t="shared" si="16"/>
        <v>0</v>
      </c>
      <c r="AU218" s="159">
        <f t="shared" si="17"/>
        <v>0</v>
      </c>
      <c r="AW218" s="159">
        <f t="shared" si="18"/>
        <v>0</v>
      </c>
    </row>
    <row r="219" spans="1:49" x14ac:dyDescent="0.2">
      <c r="A219" s="411"/>
      <c r="B219" s="411"/>
      <c r="C219" s="411"/>
      <c r="D219" s="411"/>
      <c r="E219" s="411"/>
      <c r="F219" s="411"/>
      <c r="G219" s="535"/>
      <c r="H219" s="536"/>
      <c r="I219" s="536"/>
      <c r="J219" s="536"/>
      <c r="K219" s="536"/>
      <c r="L219" s="537"/>
      <c r="M219" s="412">
        <f>IF(K219&gt;=Input!$B$18,1,0)</f>
        <v>0</v>
      </c>
      <c r="N219" s="159" t="str">
        <f t="shared" si="0"/>
        <v xml:space="preserve"> -  -  - 0</v>
      </c>
      <c r="O219" s="159">
        <f t="shared" si="1"/>
        <v>0</v>
      </c>
      <c r="Q219" s="159">
        <f t="shared" si="2"/>
        <v>0</v>
      </c>
      <c r="S219" s="159">
        <f t="shared" si="3"/>
        <v>0</v>
      </c>
      <c r="U219" s="159">
        <f t="shared" si="4"/>
        <v>0</v>
      </c>
      <c r="W219" s="159">
        <f t="shared" si="5"/>
        <v>0</v>
      </c>
      <c r="Y219" s="159">
        <f t="shared" si="6"/>
        <v>0</v>
      </c>
      <c r="AA219" s="159">
        <f t="shared" si="7"/>
        <v>0</v>
      </c>
      <c r="AC219" s="159">
        <f t="shared" si="8"/>
        <v>0</v>
      </c>
      <c r="AE219" s="159">
        <f t="shared" si="9"/>
        <v>0</v>
      </c>
      <c r="AG219" s="159">
        <f t="shared" si="10"/>
        <v>0</v>
      </c>
      <c r="AI219" s="159">
        <f t="shared" si="11"/>
        <v>0</v>
      </c>
      <c r="AK219" s="159">
        <f t="shared" si="12"/>
        <v>0</v>
      </c>
      <c r="AM219" s="159">
        <f t="shared" si="13"/>
        <v>0</v>
      </c>
      <c r="AO219" s="159">
        <f t="shared" si="14"/>
        <v>0</v>
      </c>
      <c r="AQ219" s="159">
        <f t="shared" si="15"/>
        <v>0</v>
      </c>
      <c r="AS219" s="159">
        <f t="shared" si="16"/>
        <v>0</v>
      </c>
      <c r="AU219" s="159">
        <f t="shared" si="17"/>
        <v>0</v>
      </c>
      <c r="AW219" s="159">
        <f t="shared" si="18"/>
        <v>0</v>
      </c>
    </row>
    <row r="220" spans="1:49" x14ac:dyDescent="0.2">
      <c r="A220" s="411"/>
      <c r="B220" s="411"/>
      <c r="C220" s="411"/>
      <c r="D220" s="411"/>
      <c r="E220" s="411"/>
      <c r="F220" s="411"/>
      <c r="G220" s="535"/>
      <c r="H220" s="536"/>
      <c r="I220" s="536"/>
      <c r="J220" s="536"/>
      <c r="K220" s="536"/>
      <c r="L220" s="537"/>
      <c r="M220" s="412">
        <f>IF(K220&gt;=Input!$B$18,1,0)</f>
        <v>0</v>
      </c>
      <c r="N220" s="159" t="str">
        <f t="shared" si="0"/>
        <v xml:space="preserve"> -  -  - 0</v>
      </c>
      <c r="O220" s="159">
        <f t="shared" si="1"/>
        <v>0</v>
      </c>
      <c r="Q220" s="159">
        <f t="shared" si="2"/>
        <v>0</v>
      </c>
      <c r="S220" s="159">
        <f t="shared" si="3"/>
        <v>0</v>
      </c>
      <c r="U220" s="159">
        <f t="shared" si="4"/>
        <v>0</v>
      </c>
      <c r="W220" s="159">
        <f t="shared" si="5"/>
        <v>0</v>
      </c>
      <c r="Y220" s="159">
        <f t="shared" si="6"/>
        <v>0</v>
      </c>
      <c r="AA220" s="159">
        <f t="shared" si="7"/>
        <v>0</v>
      </c>
      <c r="AC220" s="159">
        <f t="shared" si="8"/>
        <v>0</v>
      </c>
      <c r="AE220" s="159">
        <f t="shared" si="9"/>
        <v>0</v>
      </c>
      <c r="AG220" s="159">
        <f t="shared" si="10"/>
        <v>0</v>
      </c>
      <c r="AI220" s="159">
        <f t="shared" si="11"/>
        <v>0</v>
      </c>
      <c r="AK220" s="159">
        <f t="shared" si="12"/>
        <v>0</v>
      </c>
      <c r="AM220" s="159">
        <f t="shared" si="13"/>
        <v>0</v>
      </c>
      <c r="AO220" s="159">
        <f t="shared" si="14"/>
        <v>0</v>
      </c>
      <c r="AQ220" s="159">
        <f t="shared" si="15"/>
        <v>0</v>
      </c>
      <c r="AS220" s="159">
        <f t="shared" si="16"/>
        <v>0</v>
      </c>
      <c r="AU220" s="159">
        <f t="shared" si="17"/>
        <v>0</v>
      </c>
      <c r="AW220" s="159">
        <f t="shared" si="18"/>
        <v>0</v>
      </c>
    </row>
    <row r="221" spans="1:49" x14ac:dyDescent="0.2">
      <c r="A221" s="411"/>
      <c r="B221" s="411"/>
      <c r="C221" s="411"/>
      <c r="D221" s="411"/>
      <c r="E221" s="411"/>
      <c r="F221" s="411"/>
      <c r="G221" s="535"/>
      <c r="H221" s="536"/>
      <c r="I221" s="536"/>
      <c r="J221" s="536"/>
      <c r="K221" s="536"/>
      <c r="L221" s="537"/>
      <c r="M221" s="412">
        <f>IF(K221&gt;=Input!$B$18,1,0)</f>
        <v>0</v>
      </c>
      <c r="N221" s="159" t="str">
        <f t="shared" si="0"/>
        <v xml:space="preserve"> -  -  - 0</v>
      </c>
      <c r="O221" s="159">
        <f t="shared" si="1"/>
        <v>0</v>
      </c>
      <c r="Q221" s="159">
        <f t="shared" si="2"/>
        <v>0</v>
      </c>
      <c r="S221" s="159">
        <f t="shared" si="3"/>
        <v>0</v>
      </c>
      <c r="U221" s="159">
        <f t="shared" si="4"/>
        <v>0</v>
      </c>
      <c r="W221" s="159">
        <f t="shared" si="5"/>
        <v>0</v>
      </c>
      <c r="Y221" s="159">
        <f t="shared" si="6"/>
        <v>0</v>
      </c>
      <c r="AA221" s="159">
        <f t="shared" si="7"/>
        <v>0</v>
      </c>
      <c r="AC221" s="159">
        <f t="shared" si="8"/>
        <v>0</v>
      </c>
      <c r="AE221" s="159">
        <f t="shared" si="9"/>
        <v>0</v>
      </c>
      <c r="AG221" s="159">
        <f t="shared" si="10"/>
        <v>0</v>
      </c>
      <c r="AI221" s="159">
        <f t="shared" si="11"/>
        <v>0</v>
      </c>
      <c r="AK221" s="159">
        <f t="shared" si="12"/>
        <v>0</v>
      </c>
      <c r="AM221" s="159">
        <f t="shared" si="13"/>
        <v>0</v>
      </c>
      <c r="AO221" s="159">
        <f t="shared" si="14"/>
        <v>0</v>
      </c>
      <c r="AQ221" s="159">
        <f t="shared" si="15"/>
        <v>0</v>
      </c>
      <c r="AS221" s="159">
        <f t="shared" si="16"/>
        <v>0</v>
      </c>
      <c r="AU221" s="159">
        <f t="shared" si="17"/>
        <v>0</v>
      </c>
      <c r="AW221" s="159">
        <f t="shared" si="18"/>
        <v>0</v>
      </c>
    </row>
    <row r="222" spans="1:49" x14ac:dyDescent="0.2">
      <c r="A222" s="411"/>
      <c r="B222" s="411"/>
      <c r="C222" s="411"/>
      <c r="D222" s="411"/>
      <c r="E222" s="411"/>
      <c r="F222" s="411"/>
      <c r="G222" s="535"/>
      <c r="H222" s="536"/>
      <c r="I222" s="536"/>
      <c r="J222" s="536"/>
      <c r="K222" s="536"/>
      <c r="L222" s="537"/>
      <c r="M222" s="412">
        <f>IF(K222&gt;=Input!$B$18,1,0)</f>
        <v>0</v>
      </c>
      <c r="N222" s="159" t="str">
        <f t="shared" si="0"/>
        <v xml:space="preserve"> -  -  - 0</v>
      </c>
      <c r="O222" s="159">
        <f t="shared" si="1"/>
        <v>0</v>
      </c>
      <c r="Q222" s="159">
        <f t="shared" si="2"/>
        <v>0</v>
      </c>
      <c r="S222" s="159">
        <f t="shared" si="3"/>
        <v>0</v>
      </c>
      <c r="U222" s="159">
        <f t="shared" si="4"/>
        <v>0</v>
      </c>
      <c r="W222" s="159">
        <f t="shared" si="5"/>
        <v>0</v>
      </c>
      <c r="Y222" s="159">
        <f t="shared" si="6"/>
        <v>0</v>
      </c>
      <c r="AA222" s="159">
        <f t="shared" si="7"/>
        <v>0</v>
      </c>
      <c r="AC222" s="159">
        <f t="shared" si="8"/>
        <v>0</v>
      </c>
      <c r="AE222" s="159">
        <f t="shared" si="9"/>
        <v>0</v>
      </c>
      <c r="AG222" s="159">
        <f t="shared" si="10"/>
        <v>0</v>
      </c>
      <c r="AI222" s="159">
        <f t="shared" si="11"/>
        <v>0</v>
      </c>
      <c r="AK222" s="159">
        <f t="shared" si="12"/>
        <v>0</v>
      </c>
      <c r="AM222" s="159">
        <f t="shared" si="13"/>
        <v>0</v>
      </c>
      <c r="AO222" s="159">
        <f t="shared" si="14"/>
        <v>0</v>
      </c>
      <c r="AQ222" s="159">
        <f t="shared" si="15"/>
        <v>0</v>
      </c>
      <c r="AS222" s="159">
        <f t="shared" si="16"/>
        <v>0</v>
      </c>
      <c r="AU222" s="159">
        <f t="shared" si="17"/>
        <v>0</v>
      </c>
      <c r="AW222" s="159">
        <f t="shared" si="18"/>
        <v>0</v>
      </c>
    </row>
    <row r="223" spans="1:49" x14ac:dyDescent="0.2">
      <c r="A223" s="411"/>
      <c r="B223" s="411"/>
      <c r="C223" s="411"/>
      <c r="D223" s="411"/>
      <c r="E223" s="411"/>
      <c r="F223" s="411"/>
      <c r="G223" s="535"/>
      <c r="H223" s="536"/>
      <c r="I223" s="536"/>
      <c r="J223" s="536"/>
      <c r="K223" s="536"/>
      <c r="L223" s="537"/>
      <c r="M223" s="412">
        <f>IF(K223&gt;=Input!$B$18,1,0)</f>
        <v>0</v>
      </c>
      <c r="N223" s="159" t="str">
        <f t="shared" si="0"/>
        <v xml:space="preserve"> -  -  - 0</v>
      </c>
      <c r="O223" s="159">
        <f t="shared" si="1"/>
        <v>0</v>
      </c>
      <c r="Q223" s="159">
        <f t="shared" si="2"/>
        <v>0</v>
      </c>
      <c r="S223" s="159">
        <f t="shared" si="3"/>
        <v>0</v>
      </c>
      <c r="U223" s="159">
        <f t="shared" si="4"/>
        <v>0</v>
      </c>
      <c r="W223" s="159">
        <f t="shared" si="5"/>
        <v>0</v>
      </c>
      <c r="Y223" s="159">
        <f t="shared" si="6"/>
        <v>0</v>
      </c>
      <c r="AA223" s="159">
        <f t="shared" si="7"/>
        <v>0</v>
      </c>
      <c r="AC223" s="159">
        <f t="shared" si="8"/>
        <v>0</v>
      </c>
      <c r="AE223" s="159">
        <f t="shared" si="9"/>
        <v>0</v>
      </c>
      <c r="AG223" s="159">
        <f t="shared" si="10"/>
        <v>0</v>
      </c>
      <c r="AI223" s="159">
        <f t="shared" si="11"/>
        <v>0</v>
      </c>
      <c r="AK223" s="159">
        <f t="shared" si="12"/>
        <v>0</v>
      </c>
      <c r="AM223" s="159">
        <f t="shared" si="13"/>
        <v>0</v>
      </c>
      <c r="AO223" s="159">
        <f t="shared" si="14"/>
        <v>0</v>
      </c>
      <c r="AQ223" s="159">
        <f t="shared" si="15"/>
        <v>0</v>
      </c>
      <c r="AS223" s="159">
        <f t="shared" si="16"/>
        <v>0</v>
      </c>
      <c r="AU223" s="159">
        <f t="shared" si="17"/>
        <v>0</v>
      </c>
      <c r="AW223" s="159">
        <f t="shared" si="18"/>
        <v>0</v>
      </c>
    </row>
    <row r="224" spans="1:49" x14ac:dyDescent="0.2">
      <c r="A224" s="411"/>
      <c r="B224" s="411"/>
      <c r="C224" s="411"/>
      <c r="D224" s="411"/>
      <c r="E224" s="411"/>
      <c r="F224" s="411"/>
      <c r="G224" s="535"/>
      <c r="H224" s="536"/>
      <c r="I224" s="536"/>
      <c r="J224" s="536"/>
      <c r="K224" s="536"/>
      <c r="L224" s="537"/>
      <c r="M224" s="412">
        <f>IF(K224&gt;=Input!$B$18,1,0)</f>
        <v>0</v>
      </c>
      <c r="N224" s="159" t="str">
        <f t="shared" si="0"/>
        <v xml:space="preserve"> -  -  - 0</v>
      </c>
      <c r="O224" s="159">
        <f t="shared" si="1"/>
        <v>0</v>
      </c>
      <c r="Q224" s="159">
        <f t="shared" si="2"/>
        <v>0</v>
      </c>
      <c r="S224" s="159">
        <f t="shared" si="3"/>
        <v>0</v>
      </c>
      <c r="U224" s="159">
        <f t="shared" si="4"/>
        <v>0</v>
      </c>
      <c r="W224" s="159">
        <f t="shared" si="5"/>
        <v>0</v>
      </c>
      <c r="Y224" s="159">
        <f t="shared" si="6"/>
        <v>0</v>
      </c>
      <c r="AA224" s="159">
        <f t="shared" si="7"/>
        <v>0</v>
      </c>
      <c r="AC224" s="159">
        <f t="shared" si="8"/>
        <v>0</v>
      </c>
      <c r="AE224" s="159">
        <f t="shared" si="9"/>
        <v>0</v>
      </c>
      <c r="AG224" s="159">
        <f t="shared" si="10"/>
        <v>0</v>
      </c>
      <c r="AI224" s="159">
        <f t="shared" si="11"/>
        <v>0</v>
      </c>
      <c r="AK224" s="159">
        <f t="shared" si="12"/>
        <v>0</v>
      </c>
      <c r="AM224" s="159">
        <f t="shared" si="13"/>
        <v>0</v>
      </c>
      <c r="AO224" s="159">
        <f t="shared" si="14"/>
        <v>0</v>
      </c>
      <c r="AQ224" s="159">
        <f t="shared" si="15"/>
        <v>0</v>
      </c>
      <c r="AS224" s="159">
        <f t="shared" si="16"/>
        <v>0</v>
      </c>
      <c r="AU224" s="159">
        <f t="shared" si="17"/>
        <v>0</v>
      </c>
      <c r="AW224" s="159">
        <f t="shared" si="18"/>
        <v>0</v>
      </c>
    </row>
    <row r="225" spans="1:49" x14ac:dyDescent="0.2">
      <c r="A225" s="411"/>
      <c r="B225" s="411"/>
      <c r="C225" s="411"/>
      <c r="D225" s="411"/>
      <c r="E225" s="411"/>
      <c r="F225" s="411"/>
      <c r="G225" s="535"/>
      <c r="H225" s="536"/>
      <c r="I225" s="536"/>
      <c r="J225" s="536"/>
      <c r="K225" s="536"/>
      <c r="L225" s="537"/>
      <c r="M225" s="412">
        <f>IF(K225&gt;=Input!$B$18,1,0)</f>
        <v>0</v>
      </c>
      <c r="N225" s="159" t="str">
        <f t="shared" si="0"/>
        <v xml:space="preserve"> -  -  - 0</v>
      </c>
      <c r="O225" s="159">
        <f t="shared" si="1"/>
        <v>0</v>
      </c>
      <c r="Q225" s="159">
        <f t="shared" si="2"/>
        <v>0</v>
      </c>
      <c r="S225" s="159">
        <f t="shared" si="3"/>
        <v>0</v>
      </c>
      <c r="U225" s="159">
        <f t="shared" si="4"/>
        <v>0</v>
      </c>
      <c r="W225" s="159">
        <f t="shared" si="5"/>
        <v>0</v>
      </c>
      <c r="Y225" s="159">
        <f t="shared" si="6"/>
        <v>0</v>
      </c>
      <c r="AA225" s="159">
        <f t="shared" si="7"/>
        <v>0</v>
      </c>
      <c r="AC225" s="159">
        <f t="shared" si="8"/>
        <v>0</v>
      </c>
      <c r="AE225" s="159">
        <f t="shared" si="9"/>
        <v>0</v>
      </c>
      <c r="AG225" s="159">
        <f t="shared" si="10"/>
        <v>0</v>
      </c>
      <c r="AI225" s="159">
        <f t="shared" si="11"/>
        <v>0</v>
      </c>
      <c r="AK225" s="159">
        <f t="shared" si="12"/>
        <v>0</v>
      </c>
      <c r="AM225" s="159">
        <f t="shared" si="13"/>
        <v>0</v>
      </c>
      <c r="AO225" s="159">
        <f t="shared" si="14"/>
        <v>0</v>
      </c>
      <c r="AQ225" s="159">
        <f t="shared" si="15"/>
        <v>0</v>
      </c>
      <c r="AS225" s="159">
        <f t="shared" si="16"/>
        <v>0</v>
      </c>
      <c r="AU225" s="159">
        <f t="shared" si="17"/>
        <v>0</v>
      </c>
      <c r="AW225" s="159">
        <f t="shared" si="18"/>
        <v>0</v>
      </c>
    </row>
    <row r="226" spans="1:49" x14ac:dyDescent="0.2">
      <c r="A226" s="411"/>
      <c r="B226" s="411"/>
      <c r="C226" s="411"/>
      <c r="D226" s="411"/>
      <c r="E226" s="411"/>
      <c r="F226" s="411"/>
      <c r="G226" s="535"/>
      <c r="H226" s="536"/>
      <c r="I226" s="536"/>
      <c r="J226" s="536"/>
      <c r="K226" s="536"/>
      <c r="L226" s="537"/>
      <c r="M226" s="412">
        <f>IF(K226&gt;=Input!$B$18,1,0)</f>
        <v>0</v>
      </c>
      <c r="N226" s="159" t="str">
        <f t="shared" si="0"/>
        <v xml:space="preserve"> -  -  - 0</v>
      </c>
      <c r="O226" s="159">
        <f t="shared" si="1"/>
        <v>0</v>
      </c>
      <c r="Q226" s="159">
        <f t="shared" si="2"/>
        <v>0</v>
      </c>
      <c r="S226" s="159">
        <f t="shared" si="3"/>
        <v>0</v>
      </c>
      <c r="U226" s="159">
        <f t="shared" si="4"/>
        <v>0</v>
      </c>
      <c r="W226" s="159">
        <f t="shared" si="5"/>
        <v>0</v>
      </c>
      <c r="Y226" s="159">
        <f t="shared" si="6"/>
        <v>0</v>
      </c>
      <c r="AA226" s="159">
        <f t="shared" si="7"/>
        <v>0</v>
      </c>
      <c r="AC226" s="159">
        <f t="shared" si="8"/>
        <v>0</v>
      </c>
      <c r="AE226" s="159">
        <f t="shared" si="9"/>
        <v>0</v>
      </c>
      <c r="AG226" s="159">
        <f t="shared" si="10"/>
        <v>0</v>
      </c>
      <c r="AI226" s="159">
        <f t="shared" si="11"/>
        <v>0</v>
      </c>
      <c r="AK226" s="159">
        <f t="shared" si="12"/>
        <v>0</v>
      </c>
      <c r="AM226" s="159">
        <f t="shared" si="13"/>
        <v>0</v>
      </c>
      <c r="AO226" s="159">
        <f t="shared" si="14"/>
        <v>0</v>
      </c>
      <c r="AQ226" s="159">
        <f t="shared" si="15"/>
        <v>0</v>
      </c>
      <c r="AS226" s="159">
        <f t="shared" si="16"/>
        <v>0</v>
      </c>
      <c r="AU226" s="159">
        <f t="shared" si="17"/>
        <v>0</v>
      </c>
      <c r="AW226" s="159">
        <f t="shared" si="18"/>
        <v>0</v>
      </c>
    </row>
    <row r="227" spans="1:49" x14ac:dyDescent="0.2">
      <c r="A227" s="411"/>
      <c r="B227" s="411"/>
      <c r="C227" s="411"/>
      <c r="D227" s="411"/>
      <c r="E227" s="411"/>
      <c r="F227" s="411"/>
      <c r="G227" s="535"/>
      <c r="H227" s="536"/>
      <c r="I227" s="536"/>
      <c r="J227" s="536"/>
      <c r="K227" s="536"/>
      <c r="L227" s="537"/>
      <c r="M227" s="412">
        <f>IF(K227&gt;=Input!$B$18,1,0)</f>
        <v>0</v>
      </c>
      <c r="N227" s="159" t="str">
        <f t="shared" si="0"/>
        <v xml:space="preserve"> -  -  - 0</v>
      </c>
      <c r="O227" s="159">
        <f t="shared" si="1"/>
        <v>0</v>
      </c>
      <c r="Q227" s="159">
        <f t="shared" si="2"/>
        <v>0</v>
      </c>
      <c r="S227" s="159">
        <f t="shared" si="3"/>
        <v>0</v>
      </c>
      <c r="U227" s="159">
        <f t="shared" si="4"/>
        <v>0</v>
      </c>
      <c r="W227" s="159">
        <f t="shared" si="5"/>
        <v>0</v>
      </c>
      <c r="Y227" s="159">
        <f t="shared" si="6"/>
        <v>0</v>
      </c>
      <c r="AA227" s="159">
        <f t="shared" si="7"/>
        <v>0</v>
      </c>
      <c r="AC227" s="159">
        <f t="shared" si="8"/>
        <v>0</v>
      </c>
      <c r="AE227" s="159">
        <f t="shared" si="9"/>
        <v>0</v>
      </c>
      <c r="AG227" s="159">
        <f t="shared" si="10"/>
        <v>0</v>
      </c>
      <c r="AI227" s="159">
        <f t="shared" si="11"/>
        <v>0</v>
      </c>
      <c r="AK227" s="159">
        <f t="shared" si="12"/>
        <v>0</v>
      </c>
      <c r="AM227" s="159">
        <f t="shared" si="13"/>
        <v>0</v>
      </c>
      <c r="AO227" s="159">
        <f t="shared" si="14"/>
        <v>0</v>
      </c>
      <c r="AQ227" s="159">
        <f t="shared" si="15"/>
        <v>0</v>
      </c>
      <c r="AS227" s="159">
        <f t="shared" si="16"/>
        <v>0</v>
      </c>
      <c r="AU227" s="159">
        <f t="shared" si="17"/>
        <v>0</v>
      </c>
      <c r="AW227" s="159">
        <f t="shared" si="18"/>
        <v>0</v>
      </c>
    </row>
    <row r="228" spans="1:49" x14ac:dyDescent="0.2">
      <c r="A228" s="411"/>
      <c r="B228" s="411"/>
      <c r="C228" s="411"/>
      <c r="D228" s="411"/>
      <c r="E228" s="411"/>
      <c r="F228" s="411"/>
      <c r="G228" s="535"/>
      <c r="H228" s="536"/>
      <c r="I228" s="536"/>
      <c r="J228" s="536"/>
      <c r="K228" s="536"/>
      <c r="L228" s="537"/>
      <c r="M228" s="412">
        <f>IF(K228&gt;=Input!$B$18,1,0)</f>
        <v>0</v>
      </c>
      <c r="N228" s="159" t="str">
        <f t="shared" si="0"/>
        <v xml:space="preserve"> -  -  - 0</v>
      </c>
      <c r="O228" s="159">
        <f t="shared" si="1"/>
        <v>0</v>
      </c>
      <c r="Q228" s="159">
        <f t="shared" si="2"/>
        <v>0</v>
      </c>
      <c r="S228" s="159">
        <f t="shared" si="3"/>
        <v>0</v>
      </c>
      <c r="U228" s="159">
        <f t="shared" si="4"/>
        <v>0</v>
      </c>
      <c r="W228" s="159">
        <f t="shared" si="5"/>
        <v>0</v>
      </c>
      <c r="Y228" s="159">
        <f t="shared" si="6"/>
        <v>0</v>
      </c>
      <c r="AA228" s="159">
        <f t="shared" si="7"/>
        <v>0</v>
      </c>
      <c r="AC228" s="159">
        <f t="shared" si="8"/>
        <v>0</v>
      </c>
      <c r="AE228" s="159">
        <f t="shared" si="9"/>
        <v>0</v>
      </c>
      <c r="AG228" s="159">
        <f t="shared" si="10"/>
        <v>0</v>
      </c>
      <c r="AI228" s="159">
        <f t="shared" si="11"/>
        <v>0</v>
      </c>
      <c r="AK228" s="159">
        <f t="shared" si="12"/>
        <v>0</v>
      </c>
      <c r="AM228" s="159">
        <f t="shared" si="13"/>
        <v>0</v>
      </c>
      <c r="AO228" s="159">
        <f t="shared" si="14"/>
        <v>0</v>
      </c>
      <c r="AQ228" s="159">
        <f t="shared" si="15"/>
        <v>0</v>
      </c>
      <c r="AS228" s="159">
        <f t="shared" si="16"/>
        <v>0</v>
      </c>
      <c r="AU228" s="159">
        <f t="shared" si="17"/>
        <v>0</v>
      </c>
      <c r="AW228" s="159">
        <f t="shared" si="18"/>
        <v>0</v>
      </c>
    </row>
    <row r="229" spans="1:49" x14ac:dyDescent="0.2">
      <c r="A229" s="411"/>
      <c r="B229" s="411"/>
      <c r="C229" s="411"/>
      <c r="D229" s="411"/>
      <c r="E229" s="411"/>
      <c r="F229" s="411"/>
      <c r="G229" s="535"/>
      <c r="H229" s="536"/>
      <c r="I229" s="536"/>
      <c r="J229" s="536"/>
      <c r="K229" s="536"/>
      <c r="L229" s="537"/>
      <c r="M229" s="412">
        <f>IF(K229&gt;=Input!$B$18,1,0)</f>
        <v>0</v>
      </c>
      <c r="N229" s="159" t="str">
        <f t="shared" si="0"/>
        <v xml:space="preserve"> -  -  - 0</v>
      </c>
      <c r="O229" s="159">
        <f t="shared" si="1"/>
        <v>0</v>
      </c>
      <c r="Q229" s="159">
        <f t="shared" si="2"/>
        <v>0</v>
      </c>
      <c r="S229" s="159">
        <f t="shared" si="3"/>
        <v>0</v>
      </c>
      <c r="U229" s="159">
        <f t="shared" si="4"/>
        <v>0</v>
      </c>
      <c r="W229" s="159">
        <f t="shared" si="5"/>
        <v>0</v>
      </c>
      <c r="Y229" s="159">
        <f t="shared" si="6"/>
        <v>0</v>
      </c>
      <c r="AA229" s="159">
        <f t="shared" si="7"/>
        <v>0</v>
      </c>
      <c r="AC229" s="159">
        <f t="shared" si="8"/>
        <v>0</v>
      </c>
      <c r="AE229" s="159">
        <f t="shared" si="9"/>
        <v>0</v>
      </c>
      <c r="AG229" s="159">
        <f t="shared" si="10"/>
        <v>0</v>
      </c>
      <c r="AI229" s="159">
        <f t="shared" si="11"/>
        <v>0</v>
      </c>
      <c r="AK229" s="159">
        <f t="shared" si="12"/>
        <v>0</v>
      </c>
      <c r="AM229" s="159">
        <f t="shared" si="13"/>
        <v>0</v>
      </c>
      <c r="AO229" s="159">
        <f t="shared" si="14"/>
        <v>0</v>
      </c>
      <c r="AQ229" s="159">
        <f t="shared" si="15"/>
        <v>0</v>
      </c>
      <c r="AS229" s="159">
        <f t="shared" si="16"/>
        <v>0</v>
      </c>
      <c r="AU229" s="159">
        <f t="shared" si="17"/>
        <v>0</v>
      </c>
      <c r="AW229" s="159">
        <f t="shared" si="18"/>
        <v>0</v>
      </c>
    </row>
    <row r="230" spans="1:49" x14ac:dyDescent="0.2">
      <c r="A230" s="411"/>
      <c r="B230" s="411"/>
      <c r="C230" s="411"/>
      <c r="D230" s="411"/>
      <c r="E230" s="411"/>
      <c r="F230" s="411"/>
      <c r="G230" s="535"/>
      <c r="H230" s="536"/>
      <c r="I230" s="536"/>
      <c r="J230" s="536"/>
      <c r="K230" s="536"/>
      <c r="L230" s="537"/>
      <c r="M230" s="412">
        <f>IF(K230&gt;=Input!$B$18,1,0)</f>
        <v>0</v>
      </c>
      <c r="N230" s="159" t="str">
        <f t="shared" si="0"/>
        <v xml:space="preserve"> -  -  - 0</v>
      </c>
      <c r="O230" s="159">
        <f t="shared" si="1"/>
        <v>0</v>
      </c>
      <c r="Q230" s="159">
        <f t="shared" si="2"/>
        <v>0</v>
      </c>
      <c r="S230" s="159">
        <f t="shared" si="3"/>
        <v>0</v>
      </c>
      <c r="U230" s="159">
        <f t="shared" si="4"/>
        <v>0</v>
      </c>
      <c r="W230" s="159">
        <f t="shared" si="5"/>
        <v>0</v>
      </c>
      <c r="Y230" s="159">
        <f t="shared" si="6"/>
        <v>0</v>
      </c>
      <c r="AA230" s="159">
        <f t="shared" si="7"/>
        <v>0</v>
      </c>
      <c r="AC230" s="159">
        <f t="shared" si="8"/>
        <v>0</v>
      </c>
      <c r="AE230" s="159">
        <f t="shared" si="9"/>
        <v>0</v>
      </c>
      <c r="AG230" s="159">
        <f t="shared" si="10"/>
        <v>0</v>
      </c>
      <c r="AI230" s="159">
        <f t="shared" si="11"/>
        <v>0</v>
      </c>
      <c r="AK230" s="159">
        <f t="shared" si="12"/>
        <v>0</v>
      </c>
      <c r="AM230" s="159">
        <f t="shared" si="13"/>
        <v>0</v>
      </c>
      <c r="AO230" s="159">
        <f t="shared" si="14"/>
        <v>0</v>
      </c>
      <c r="AQ230" s="159">
        <f t="shared" si="15"/>
        <v>0</v>
      </c>
      <c r="AS230" s="159">
        <f t="shared" si="16"/>
        <v>0</v>
      </c>
      <c r="AU230" s="159">
        <f t="shared" si="17"/>
        <v>0</v>
      </c>
      <c r="AW230" s="159">
        <f t="shared" si="18"/>
        <v>0</v>
      </c>
    </row>
    <row r="231" spans="1:49" x14ac:dyDescent="0.2">
      <c r="A231" s="411"/>
      <c r="B231" s="411"/>
      <c r="C231" s="411"/>
      <c r="D231" s="411"/>
      <c r="E231" s="411"/>
      <c r="F231" s="411"/>
      <c r="G231" s="535"/>
      <c r="H231" s="536"/>
      <c r="I231" s="536"/>
      <c r="J231" s="536"/>
      <c r="K231" s="536"/>
      <c r="L231" s="537"/>
      <c r="M231" s="412">
        <f>IF(K231&gt;=Input!$B$18,1,0)</f>
        <v>0</v>
      </c>
      <c r="N231" s="159" t="str">
        <f t="shared" si="0"/>
        <v xml:space="preserve"> -  -  - 0</v>
      </c>
      <c r="O231" s="159">
        <f t="shared" si="1"/>
        <v>0</v>
      </c>
      <c r="Q231" s="159">
        <f t="shared" si="2"/>
        <v>0</v>
      </c>
      <c r="S231" s="159">
        <f t="shared" si="3"/>
        <v>0</v>
      </c>
      <c r="U231" s="159">
        <f t="shared" si="4"/>
        <v>0</v>
      </c>
      <c r="W231" s="159">
        <f t="shared" si="5"/>
        <v>0</v>
      </c>
      <c r="Y231" s="159">
        <f t="shared" si="6"/>
        <v>0</v>
      </c>
      <c r="AA231" s="159">
        <f t="shared" si="7"/>
        <v>0</v>
      </c>
      <c r="AC231" s="159">
        <f t="shared" si="8"/>
        <v>0</v>
      </c>
      <c r="AE231" s="159">
        <f t="shared" si="9"/>
        <v>0</v>
      </c>
      <c r="AG231" s="159">
        <f t="shared" si="10"/>
        <v>0</v>
      </c>
      <c r="AI231" s="159">
        <f t="shared" si="11"/>
        <v>0</v>
      </c>
      <c r="AK231" s="159">
        <f t="shared" si="12"/>
        <v>0</v>
      </c>
      <c r="AM231" s="159">
        <f t="shared" si="13"/>
        <v>0</v>
      </c>
      <c r="AO231" s="159">
        <f t="shared" si="14"/>
        <v>0</v>
      </c>
      <c r="AQ231" s="159">
        <f t="shared" si="15"/>
        <v>0</v>
      </c>
      <c r="AS231" s="159">
        <f t="shared" si="16"/>
        <v>0</v>
      </c>
      <c r="AU231" s="159">
        <f t="shared" si="17"/>
        <v>0</v>
      </c>
      <c r="AW231" s="159">
        <f t="shared" si="18"/>
        <v>0</v>
      </c>
    </row>
    <row r="232" spans="1:49" x14ac:dyDescent="0.2">
      <c r="A232" s="411"/>
      <c r="B232" s="411"/>
      <c r="C232" s="411"/>
      <c r="D232" s="411"/>
      <c r="E232" s="411"/>
      <c r="F232" s="411"/>
      <c r="G232" s="535"/>
      <c r="H232" s="536"/>
      <c r="I232" s="536"/>
      <c r="J232" s="536"/>
      <c r="K232" s="536"/>
      <c r="L232" s="537"/>
      <c r="M232" s="412">
        <f>IF(K232&gt;=Input!$B$18,1,0)</f>
        <v>0</v>
      </c>
      <c r="N232" s="159" t="str">
        <f t="shared" si="0"/>
        <v xml:space="preserve"> -  -  - 0</v>
      </c>
      <c r="O232" s="159">
        <f t="shared" si="1"/>
        <v>0</v>
      </c>
      <c r="Q232" s="159">
        <f t="shared" si="2"/>
        <v>0</v>
      </c>
      <c r="S232" s="159">
        <f t="shared" si="3"/>
        <v>0</v>
      </c>
      <c r="U232" s="159">
        <f t="shared" si="4"/>
        <v>0</v>
      </c>
      <c r="W232" s="159">
        <f t="shared" si="5"/>
        <v>0</v>
      </c>
      <c r="Y232" s="159">
        <f t="shared" si="6"/>
        <v>0</v>
      </c>
      <c r="AA232" s="159">
        <f t="shared" si="7"/>
        <v>0</v>
      </c>
      <c r="AC232" s="159">
        <f t="shared" si="8"/>
        <v>0</v>
      </c>
      <c r="AE232" s="159">
        <f t="shared" si="9"/>
        <v>0</v>
      </c>
      <c r="AG232" s="159">
        <f t="shared" si="10"/>
        <v>0</v>
      </c>
      <c r="AI232" s="159">
        <f t="shared" si="11"/>
        <v>0</v>
      </c>
      <c r="AK232" s="159">
        <f t="shared" si="12"/>
        <v>0</v>
      </c>
      <c r="AM232" s="159">
        <f t="shared" si="13"/>
        <v>0</v>
      </c>
      <c r="AO232" s="159">
        <f t="shared" si="14"/>
        <v>0</v>
      </c>
      <c r="AQ232" s="159">
        <f t="shared" si="15"/>
        <v>0</v>
      </c>
      <c r="AS232" s="159">
        <f t="shared" si="16"/>
        <v>0</v>
      </c>
      <c r="AU232" s="159">
        <f t="shared" si="17"/>
        <v>0</v>
      </c>
      <c r="AW232" s="159">
        <f t="shared" si="18"/>
        <v>0</v>
      </c>
    </row>
    <row r="233" spans="1:49" x14ac:dyDescent="0.2">
      <c r="A233" s="411"/>
      <c r="B233" s="411"/>
      <c r="C233" s="411"/>
      <c r="D233" s="411"/>
      <c r="E233" s="411"/>
      <c r="F233" s="411"/>
      <c r="G233" s="535"/>
      <c r="H233" s="536"/>
      <c r="I233" s="536"/>
      <c r="J233" s="536"/>
      <c r="K233" s="536"/>
      <c r="L233" s="537"/>
      <c r="M233" s="412">
        <f>IF(K233&gt;=Input!$B$18,1,0)</f>
        <v>0</v>
      </c>
      <c r="N233" s="159" t="str">
        <f t="shared" si="0"/>
        <v xml:space="preserve"> -  -  - 0</v>
      </c>
      <c r="O233" s="159">
        <f t="shared" si="1"/>
        <v>0</v>
      </c>
      <c r="Q233" s="159">
        <f t="shared" si="2"/>
        <v>0</v>
      </c>
      <c r="S233" s="159">
        <f t="shared" si="3"/>
        <v>0</v>
      </c>
      <c r="U233" s="159">
        <f t="shared" si="4"/>
        <v>0</v>
      </c>
      <c r="W233" s="159">
        <f t="shared" si="5"/>
        <v>0</v>
      </c>
      <c r="Y233" s="159">
        <f t="shared" si="6"/>
        <v>0</v>
      </c>
      <c r="AA233" s="159">
        <f t="shared" si="7"/>
        <v>0</v>
      </c>
      <c r="AC233" s="159">
        <f t="shared" si="8"/>
        <v>0</v>
      </c>
      <c r="AE233" s="159">
        <f t="shared" si="9"/>
        <v>0</v>
      </c>
      <c r="AG233" s="159">
        <f t="shared" si="10"/>
        <v>0</v>
      </c>
      <c r="AI233" s="159">
        <f t="shared" si="11"/>
        <v>0</v>
      </c>
      <c r="AK233" s="159">
        <f t="shared" si="12"/>
        <v>0</v>
      </c>
      <c r="AM233" s="159">
        <f t="shared" si="13"/>
        <v>0</v>
      </c>
      <c r="AO233" s="159">
        <f t="shared" si="14"/>
        <v>0</v>
      </c>
      <c r="AQ233" s="159">
        <f t="shared" si="15"/>
        <v>0</v>
      </c>
      <c r="AS233" s="159">
        <f t="shared" si="16"/>
        <v>0</v>
      </c>
      <c r="AU233" s="159">
        <f t="shared" si="17"/>
        <v>0</v>
      </c>
      <c r="AW233" s="159">
        <f t="shared" si="18"/>
        <v>0</v>
      </c>
    </row>
    <row r="234" spans="1:49" x14ac:dyDescent="0.2">
      <c r="A234" s="411"/>
      <c r="B234" s="411"/>
      <c r="C234" s="411"/>
      <c r="D234" s="411"/>
      <c r="E234" s="411"/>
      <c r="F234" s="411"/>
      <c r="G234" s="535"/>
      <c r="H234" s="536"/>
      <c r="I234" s="536"/>
      <c r="J234" s="536"/>
      <c r="K234" s="536"/>
      <c r="L234" s="537"/>
      <c r="M234" s="412">
        <f>IF(K234&gt;=Input!$B$18,1,0)</f>
        <v>0</v>
      </c>
      <c r="N234" s="159" t="str">
        <f t="shared" si="0"/>
        <v xml:space="preserve"> -  -  - 0</v>
      </c>
      <c r="O234" s="159">
        <f t="shared" si="1"/>
        <v>0</v>
      </c>
      <c r="Q234" s="159">
        <f t="shared" si="2"/>
        <v>0</v>
      </c>
      <c r="S234" s="159">
        <f t="shared" si="3"/>
        <v>0</v>
      </c>
      <c r="U234" s="159">
        <f t="shared" si="4"/>
        <v>0</v>
      </c>
      <c r="W234" s="159">
        <f t="shared" si="5"/>
        <v>0</v>
      </c>
      <c r="Y234" s="159">
        <f t="shared" si="6"/>
        <v>0</v>
      </c>
      <c r="AA234" s="159">
        <f t="shared" si="7"/>
        <v>0</v>
      </c>
      <c r="AC234" s="159">
        <f t="shared" si="8"/>
        <v>0</v>
      </c>
      <c r="AE234" s="159">
        <f t="shared" si="9"/>
        <v>0</v>
      </c>
      <c r="AG234" s="159">
        <f t="shared" si="10"/>
        <v>0</v>
      </c>
      <c r="AI234" s="159">
        <f t="shared" si="11"/>
        <v>0</v>
      </c>
      <c r="AK234" s="159">
        <f t="shared" si="12"/>
        <v>0</v>
      </c>
      <c r="AM234" s="159">
        <f t="shared" si="13"/>
        <v>0</v>
      </c>
      <c r="AO234" s="159">
        <f t="shared" si="14"/>
        <v>0</v>
      </c>
      <c r="AQ234" s="159">
        <f t="shared" si="15"/>
        <v>0</v>
      </c>
      <c r="AS234" s="159">
        <f t="shared" si="16"/>
        <v>0</v>
      </c>
      <c r="AU234" s="159">
        <f t="shared" si="17"/>
        <v>0</v>
      </c>
      <c r="AW234" s="159">
        <f t="shared" si="18"/>
        <v>0</v>
      </c>
    </row>
    <row r="235" spans="1:49" x14ac:dyDescent="0.2">
      <c r="A235" s="411"/>
      <c r="B235" s="411"/>
      <c r="C235" s="411"/>
      <c r="D235" s="411"/>
      <c r="E235" s="411"/>
      <c r="F235" s="411"/>
      <c r="G235" s="535"/>
      <c r="H235" s="536"/>
      <c r="I235" s="536"/>
      <c r="J235" s="536"/>
      <c r="K235" s="536"/>
      <c r="L235" s="537"/>
      <c r="M235" s="412">
        <f>IF(K235&gt;=Input!$B$18,1,0)</f>
        <v>0</v>
      </c>
      <c r="N235" s="159" t="str">
        <f t="shared" si="0"/>
        <v xml:space="preserve"> -  -  - 0</v>
      </c>
      <c r="O235" s="159">
        <f t="shared" si="1"/>
        <v>0</v>
      </c>
      <c r="Q235" s="159">
        <f t="shared" si="2"/>
        <v>0</v>
      </c>
      <c r="S235" s="159">
        <f t="shared" si="3"/>
        <v>0</v>
      </c>
      <c r="U235" s="159">
        <f t="shared" si="4"/>
        <v>0</v>
      </c>
      <c r="W235" s="159">
        <f t="shared" si="5"/>
        <v>0</v>
      </c>
      <c r="Y235" s="159">
        <f t="shared" si="6"/>
        <v>0</v>
      </c>
      <c r="AA235" s="159">
        <f t="shared" si="7"/>
        <v>0</v>
      </c>
      <c r="AC235" s="159">
        <f t="shared" si="8"/>
        <v>0</v>
      </c>
      <c r="AE235" s="159">
        <f t="shared" si="9"/>
        <v>0</v>
      </c>
      <c r="AG235" s="159">
        <f t="shared" si="10"/>
        <v>0</v>
      </c>
      <c r="AI235" s="159">
        <f t="shared" si="11"/>
        <v>0</v>
      </c>
      <c r="AK235" s="159">
        <f t="shared" si="12"/>
        <v>0</v>
      </c>
      <c r="AM235" s="159">
        <f t="shared" si="13"/>
        <v>0</v>
      </c>
      <c r="AO235" s="159">
        <f t="shared" si="14"/>
        <v>0</v>
      </c>
      <c r="AQ235" s="159">
        <f t="shared" si="15"/>
        <v>0</v>
      </c>
      <c r="AS235" s="159">
        <f t="shared" si="16"/>
        <v>0</v>
      </c>
      <c r="AU235" s="159">
        <f t="shared" si="17"/>
        <v>0</v>
      </c>
      <c r="AW235" s="159">
        <f t="shared" si="18"/>
        <v>0</v>
      </c>
    </row>
    <row r="236" spans="1:49" x14ac:dyDescent="0.2">
      <c r="A236" s="411"/>
      <c r="B236" s="411"/>
      <c r="C236" s="411"/>
      <c r="D236" s="411"/>
      <c r="E236" s="411"/>
      <c r="F236" s="411"/>
      <c r="G236" s="535"/>
      <c r="H236" s="536"/>
      <c r="I236" s="536"/>
      <c r="J236" s="536"/>
      <c r="K236" s="536"/>
      <c r="L236" s="537"/>
      <c r="M236" s="412">
        <f>IF(K236&gt;=Input!$B$18,1,0)</f>
        <v>0</v>
      </c>
      <c r="N236" s="159" t="str">
        <f t="shared" si="0"/>
        <v xml:space="preserve"> -  -  - 0</v>
      </c>
      <c r="O236" s="159">
        <f t="shared" si="1"/>
        <v>0</v>
      </c>
      <c r="Q236" s="159">
        <f t="shared" si="2"/>
        <v>0</v>
      </c>
      <c r="S236" s="159">
        <f t="shared" si="3"/>
        <v>0</v>
      </c>
      <c r="U236" s="159">
        <f t="shared" si="4"/>
        <v>0</v>
      </c>
      <c r="W236" s="159">
        <f t="shared" si="5"/>
        <v>0</v>
      </c>
      <c r="Y236" s="159">
        <f t="shared" si="6"/>
        <v>0</v>
      </c>
      <c r="AA236" s="159">
        <f t="shared" si="7"/>
        <v>0</v>
      </c>
      <c r="AC236" s="159">
        <f t="shared" si="8"/>
        <v>0</v>
      </c>
      <c r="AE236" s="159">
        <f t="shared" si="9"/>
        <v>0</v>
      </c>
      <c r="AG236" s="159">
        <f t="shared" si="10"/>
        <v>0</v>
      </c>
      <c r="AI236" s="159">
        <f t="shared" si="11"/>
        <v>0</v>
      </c>
      <c r="AK236" s="159">
        <f t="shared" si="12"/>
        <v>0</v>
      </c>
      <c r="AM236" s="159">
        <f t="shared" si="13"/>
        <v>0</v>
      </c>
      <c r="AO236" s="159">
        <f t="shared" si="14"/>
        <v>0</v>
      </c>
      <c r="AQ236" s="159">
        <f t="shared" si="15"/>
        <v>0</v>
      </c>
      <c r="AS236" s="159">
        <f t="shared" si="16"/>
        <v>0</v>
      </c>
      <c r="AU236" s="159">
        <f t="shared" si="17"/>
        <v>0</v>
      </c>
      <c r="AW236" s="159">
        <f t="shared" si="18"/>
        <v>0</v>
      </c>
    </row>
    <row r="237" spans="1:49" x14ac:dyDescent="0.2">
      <c r="A237" s="411"/>
      <c r="B237" s="411"/>
      <c r="C237" s="411"/>
      <c r="D237" s="411"/>
      <c r="E237" s="411"/>
      <c r="F237" s="411"/>
      <c r="G237" s="535"/>
      <c r="H237" s="536"/>
      <c r="I237" s="536"/>
      <c r="J237" s="536"/>
      <c r="K237" s="536"/>
      <c r="L237" s="537"/>
      <c r="M237" s="412">
        <f>IF(K237&gt;=Input!$B$18,1,0)</f>
        <v>0</v>
      </c>
      <c r="N237" s="159" t="str">
        <f t="shared" si="0"/>
        <v xml:space="preserve"> -  -  - 0</v>
      </c>
      <c r="O237" s="159">
        <f t="shared" si="1"/>
        <v>0</v>
      </c>
      <c r="Q237" s="159">
        <f t="shared" si="2"/>
        <v>0</v>
      </c>
      <c r="S237" s="159">
        <f t="shared" si="3"/>
        <v>0</v>
      </c>
      <c r="U237" s="159">
        <f t="shared" si="4"/>
        <v>0</v>
      </c>
      <c r="W237" s="159">
        <f t="shared" si="5"/>
        <v>0</v>
      </c>
      <c r="Y237" s="159">
        <f t="shared" si="6"/>
        <v>0</v>
      </c>
      <c r="AA237" s="159">
        <f t="shared" si="7"/>
        <v>0</v>
      </c>
      <c r="AC237" s="159">
        <f t="shared" si="8"/>
        <v>0</v>
      </c>
      <c r="AE237" s="159">
        <f t="shared" si="9"/>
        <v>0</v>
      </c>
      <c r="AG237" s="159">
        <f t="shared" si="10"/>
        <v>0</v>
      </c>
      <c r="AI237" s="159">
        <f t="shared" si="11"/>
        <v>0</v>
      </c>
      <c r="AK237" s="159">
        <f t="shared" si="12"/>
        <v>0</v>
      </c>
      <c r="AM237" s="159">
        <f t="shared" si="13"/>
        <v>0</v>
      </c>
      <c r="AO237" s="159">
        <f t="shared" si="14"/>
        <v>0</v>
      </c>
      <c r="AQ237" s="159">
        <f t="shared" si="15"/>
        <v>0</v>
      </c>
      <c r="AS237" s="159">
        <f t="shared" si="16"/>
        <v>0</v>
      </c>
      <c r="AU237" s="159">
        <f t="shared" si="17"/>
        <v>0</v>
      </c>
      <c r="AW237" s="159">
        <f t="shared" si="18"/>
        <v>0</v>
      </c>
    </row>
    <row r="238" spans="1:49" x14ac:dyDescent="0.2">
      <c r="A238" s="411"/>
      <c r="B238" s="411"/>
      <c r="C238" s="411"/>
      <c r="D238" s="411"/>
      <c r="E238" s="411"/>
      <c r="F238" s="411"/>
      <c r="G238" s="535"/>
      <c r="H238" s="536"/>
      <c r="I238" s="536"/>
      <c r="J238" s="536"/>
      <c r="K238" s="536"/>
      <c r="L238" s="537"/>
      <c r="M238" s="412">
        <f>IF(K238&gt;=Input!$B$18,1,0)</f>
        <v>0</v>
      </c>
      <c r="N238" s="159" t="str">
        <f t="shared" si="0"/>
        <v xml:space="preserve"> -  -  - 0</v>
      </c>
      <c r="O238" s="159">
        <f t="shared" si="1"/>
        <v>0</v>
      </c>
      <c r="Q238" s="159">
        <f t="shared" si="2"/>
        <v>0</v>
      </c>
      <c r="S238" s="159">
        <f t="shared" si="3"/>
        <v>0</v>
      </c>
      <c r="U238" s="159">
        <f t="shared" si="4"/>
        <v>0</v>
      </c>
      <c r="W238" s="159">
        <f t="shared" si="5"/>
        <v>0</v>
      </c>
      <c r="Y238" s="159">
        <f t="shared" si="6"/>
        <v>0</v>
      </c>
      <c r="AA238" s="159">
        <f t="shared" si="7"/>
        <v>0</v>
      </c>
      <c r="AC238" s="159">
        <f t="shared" si="8"/>
        <v>0</v>
      </c>
      <c r="AE238" s="159">
        <f t="shared" si="9"/>
        <v>0</v>
      </c>
      <c r="AG238" s="159">
        <f t="shared" si="10"/>
        <v>0</v>
      </c>
      <c r="AI238" s="159">
        <f t="shared" si="11"/>
        <v>0</v>
      </c>
      <c r="AK238" s="159">
        <f t="shared" si="12"/>
        <v>0</v>
      </c>
      <c r="AM238" s="159">
        <f t="shared" si="13"/>
        <v>0</v>
      </c>
      <c r="AO238" s="159">
        <f t="shared" si="14"/>
        <v>0</v>
      </c>
      <c r="AQ238" s="159">
        <f t="shared" si="15"/>
        <v>0</v>
      </c>
      <c r="AS238" s="159">
        <f t="shared" si="16"/>
        <v>0</v>
      </c>
      <c r="AU238" s="159">
        <f t="shared" si="17"/>
        <v>0</v>
      </c>
      <c r="AW238" s="159">
        <f t="shared" si="18"/>
        <v>0</v>
      </c>
    </row>
    <row r="239" spans="1:49" x14ac:dyDescent="0.2">
      <c r="A239" s="411"/>
      <c r="B239" s="411"/>
      <c r="C239" s="411"/>
      <c r="D239" s="411"/>
      <c r="E239" s="411"/>
      <c r="F239" s="411"/>
      <c r="G239" s="535"/>
      <c r="H239" s="536"/>
      <c r="I239" s="536"/>
      <c r="J239" s="536"/>
      <c r="K239" s="536"/>
      <c r="L239" s="537"/>
      <c r="M239" s="412">
        <f>IF(K239&gt;=Input!$B$18,1,0)</f>
        <v>0</v>
      </c>
      <c r="N239" s="159" t="str">
        <f t="shared" si="0"/>
        <v xml:space="preserve"> -  -  - 0</v>
      </c>
      <c r="O239" s="159">
        <f t="shared" si="1"/>
        <v>0</v>
      </c>
      <c r="Q239" s="159">
        <f t="shared" si="2"/>
        <v>0</v>
      </c>
      <c r="S239" s="159">
        <f t="shared" si="3"/>
        <v>0</v>
      </c>
      <c r="U239" s="159">
        <f t="shared" si="4"/>
        <v>0</v>
      </c>
      <c r="W239" s="159">
        <f t="shared" si="5"/>
        <v>0</v>
      </c>
      <c r="Y239" s="159">
        <f t="shared" si="6"/>
        <v>0</v>
      </c>
      <c r="AA239" s="159">
        <f t="shared" si="7"/>
        <v>0</v>
      </c>
      <c r="AC239" s="159">
        <f t="shared" si="8"/>
        <v>0</v>
      </c>
      <c r="AE239" s="159">
        <f t="shared" si="9"/>
        <v>0</v>
      </c>
      <c r="AG239" s="159">
        <f t="shared" si="10"/>
        <v>0</v>
      </c>
      <c r="AI239" s="159">
        <f t="shared" si="11"/>
        <v>0</v>
      </c>
      <c r="AK239" s="159">
        <f t="shared" si="12"/>
        <v>0</v>
      </c>
      <c r="AM239" s="159">
        <f t="shared" si="13"/>
        <v>0</v>
      </c>
      <c r="AO239" s="159">
        <f t="shared" si="14"/>
        <v>0</v>
      </c>
      <c r="AQ239" s="159">
        <f t="shared" si="15"/>
        <v>0</v>
      </c>
      <c r="AS239" s="159">
        <f t="shared" si="16"/>
        <v>0</v>
      </c>
      <c r="AU239" s="159">
        <f t="shared" si="17"/>
        <v>0</v>
      </c>
      <c r="AW239" s="159">
        <f t="shared" si="18"/>
        <v>0</v>
      </c>
    </row>
    <row r="240" spans="1:49" x14ac:dyDescent="0.2">
      <c r="A240" s="411"/>
      <c r="B240" s="411"/>
      <c r="C240" s="411"/>
      <c r="D240" s="411"/>
      <c r="E240" s="411"/>
      <c r="F240" s="411"/>
      <c r="G240" s="535"/>
      <c r="H240" s="536"/>
      <c r="I240" s="536"/>
      <c r="J240" s="536"/>
      <c r="K240" s="536"/>
      <c r="L240" s="537"/>
      <c r="M240" s="412">
        <f>IF(K240&gt;=Input!$B$18,1,0)</f>
        <v>0</v>
      </c>
      <c r="N240" s="159" t="str">
        <f t="shared" si="0"/>
        <v xml:space="preserve"> -  -  - 0</v>
      </c>
      <c r="O240" s="159">
        <f t="shared" si="1"/>
        <v>0</v>
      </c>
      <c r="Q240" s="159">
        <f t="shared" si="2"/>
        <v>0</v>
      </c>
      <c r="S240" s="159">
        <f t="shared" si="3"/>
        <v>0</v>
      </c>
      <c r="U240" s="159">
        <f t="shared" si="4"/>
        <v>0</v>
      </c>
      <c r="W240" s="159">
        <f t="shared" si="5"/>
        <v>0</v>
      </c>
      <c r="Y240" s="159">
        <f t="shared" si="6"/>
        <v>0</v>
      </c>
      <c r="AA240" s="159">
        <f t="shared" si="7"/>
        <v>0</v>
      </c>
      <c r="AC240" s="159">
        <f t="shared" si="8"/>
        <v>0</v>
      </c>
      <c r="AE240" s="159">
        <f t="shared" si="9"/>
        <v>0</v>
      </c>
      <c r="AG240" s="159">
        <f t="shared" si="10"/>
        <v>0</v>
      </c>
      <c r="AI240" s="159">
        <f t="shared" si="11"/>
        <v>0</v>
      </c>
      <c r="AK240" s="159">
        <f t="shared" si="12"/>
        <v>0</v>
      </c>
      <c r="AM240" s="159">
        <f t="shared" si="13"/>
        <v>0</v>
      </c>
      <c r="AO240" s="159">
        <f t="shared" si="14"/>
        <v>0</v>
      </c>
      <c r="AQ240" s="159">
        <f t="shared" si="15"/>
        <v>0</v>
      </c>
      <c r="AS240" s="159">
        <f t="shared" si="16"/>
        <v>0</v>
      </c>
      <c r="AU240" s="159">
        <f t="shared" si="17"/>
        <v>0</v>
      </c>
      <c r="AW240" s="159">
        <f t="shared" si="18"/>
        <v>0</v>
      </c>
    </row>
    <row r="241" spans="1:49" x14ac:dyDescent="0.2">
      <c r="A241" s="411"/>
      <c r="B241" s="411"/>
      <c r="C241" s="411"/>
      <c r="D241" s="411"/>
      <c r="E241" s="411"/>
      <c r="F241" s="411"/>
      <c r="G241" s="535"/>
      <c r="H241" s="536"/>
      <c r="I241" s="536"/>
      <c r="J241" s="536"/>
      <c r="K241" s="536"/>
      <c r="L241" s="537"/>
      <c r="M241" s="412">
        <f>IF(K241&gt;=Input!$B$18,1,0)</f>
        <v>0</v>
      </c>
      <c r="N241" s="159" t="str">
        <f t="shared" si="0"/>
        <v xml:space="preserve"> -  -  - 0</v>
      </c>
      <c r="O241" s="159">
        <f t="shared" si="1"/>
        <v>0</v>
      </c>
      <c r="Q241" s="159">
        <f t="shared" si="2"/>
        <v>0</v>
      </c>
      <c r="S241" s="159">
        <f t="shared" si="3"/>
        <v>0</v>
      </c>
      <c r="U241" s="159">
        <f t="shared" si="4"/>
        <v>0</v>
      </c>
      <c r="W241" s="159">
        <f t="shared" si="5"/>
        <v>0</v>
      </c>
      <c r="Y241" s="159">
        <f t="shared" si="6"/>
        <v>0</v>
      </c>
      <c r="AA241" s="159">
        <f t="shared" si="7"/>
        <v>0</v>
      </c>
      <c r="AC241" s="159">
        <f t="shared" si="8"/>
        <v>0</v>
      </c>
      <c r="AE241" s="159">
        <f t="shared" si="9"/>
        <v>0</v>
      </c>
      <c r="AG241" s="159">
        <f t="shared" si="10"/>
        <v>0</v>
      </c>
      <c r="AI241" s="159">
        <f t="shared" si="11"/>
        <v>0</v>
      </c>
      <c r="AK241" s="159">
        <f t="shared" si="12"/>
        <v>0</v>
      </c>
      <c r="AM241" s="159">
        <f t="shared" si="13"/>
        <v>0</v>
      </c>
      <c r="AO241" s="159">
        <f t="shared" si="14"/>
        <v>0</v>
      </c>
      <c r="AQ241" s="159">
        <f t="shared" si="15"/>
        <v>0</v>
      </c>
      <c r="AS241" s="159">
        <f t="shared" si="16"/>
        <v>0</v>
      </c>
      <c r="AU241" s="159">
        <f t="shared" si="17"/>
        <v>0</v>
      </c>
      <c r="AW241" s="159">
        <f t="shared" si="18"/>
        <v>0</v>
      </c>
    </row>
    <row r="242" spans="1:49" x14ac:dyDescent="0.2">
      <c r="A242" s="411"/>
      <c r="B242" s="411"/>
      <c r="C242" s="411"/>
      <c r="D242" s="411"/>
      <c r="E242" s="411"/>
      <c r="F242" s="411"/>
      <c r="G242" s="535"/>
      <c r="H242" s="536"/>
      <c r="I242" s="536"/>
      <c r="J242" s="536"/>
      <c r="K242" s="536"/>
      <c r="L242" s="537"/>
      <c r="M242" s="412">
        <f>IF(K242&gt;=Input!$B$18,1,0)</f>
        <v>0</v>
      </c>
      <c r="N242" s="159" t="str">
        <f t="shared" si="0"/>
        <v xml:space="preserve"> -  -  - 0</v>
      </c>
      <c r="O242" s="159">
        <f t="shared" si="1"/>
        <v>0</v>
      </c>
      <c r="Q242" s="159">
        <f t="shared" si="2"/>
        <v>0</v>
      </c>
      <c r="S242" s="159">
        <f t="shared" si="3"/>
        <v>0</v>
      </c>
      <c r="U242" s="159">
        <f t="shared" si="4"/>
        <v>0</v>
      </c>
      <c r="W242" s="159">
        <f t="shared" si="5"/>
        <v>0</v>
      </c>
      <c r="Y242" s="159">
        <f t="shared" si="6"/>
        <v>0</v>
      </c>
      <c r="AA242" s="159">
        <f t="shared" si="7"/>
        <v>0</v>
      </c>
      <c r="AC242" s="159">
        <f t="shared" si="8"/>
        <v>0</v>
      </c>
      <c r="AE242" s="159">
        <f t="shared" si="9"/>
        <v>0</v>
      </c>
      <c r="AG242" s="159">
        <f t="shared" si="10"/>
        <v>0</v>
      </c>
      <c r="AI242" s="159">
        <f t="shared" si="11"/>
        <v>0</v>
      </c>
      <c r="AK242" s="159">
        <f t="shared" si="12"/>
        <v>0</v>
      </c>
      <c r="AM242" s="159">
        <f t="shared" si="13"/>
        <v>0</v>
      </c>
      <c r="AO242" s="159">
        <f t="shared" si="14"/>
        <v>0</v>
      </c>
      <c r="AQ242" s="159">
        <f t="shared" si="15"/>
        <v>0</v>
      </c>
      <c r="AS242" s="159">
        <f t="shared" si="16"/>
        <v>0</v>
      </c>
      <c r="AU242" s="159">
        <f t="shared" si="17"/>
        <v>0</v>
      </c>
      <c r="AW242" s="159">
        <f t="shared" si="18"/>
        <v>0</v>
      </c>
    </row>
    <row r="243" spans="1:49" x14ac:dyDescent="0.2">
      <c r="A243" s="411"/>
      <c r="B243" s="411"/>
      <c r="C243" s="411"/>
      <c r="D243" s="411"/>
      <c r="E243" s="411"/>
      <c r="F243" s="411"/>
      <c r="G243" s="535"/>
      <c r="H243" s="536"/>
      <c r="I243" s="536"/>
      <c r="J243" s="536"/>
      <c r="K243" s="536"/>
      <c r="L243" s="537"/>
      <c r="M243" s="412">
        <f>IF(K243&gt;=Input!$B$18,1,0)</f>
        <v>0</v>
      </c>
      <c r="N243" s="159" t="str">
        <f t="shared" si="0"/>
        <v xml:space="preserve"> -  -  - 0</v>
      </c>
      <c r="O243" s="159">
        <f t="shared" si="1"/>
        <v>0</v>
      </c>
      <c r="Q243" s="159">
        <f t="shared" si="2"/>
        <v>0</v>
      </c>
      <c r="S243" s="159">
        <f t="shared" si="3"/>
        <v>0</v>
      </c>
      <c r="U243" s="159">
        <f t="shared" si="4"/>
        <v>0</v>
      </c>
      <c r="W243" s="159">
        <f t="shared" si="5"/>
        <v>0</v>
      </c>
      <c r="Y243" s="159">
        <f t="shared" si="6"/>
        <v>0</v>
      </c>
      <c r="AA243" s="159">
        <f t="shared" si="7"/>
        <v>0</v>
      </c>
      <c r="AC243" s="159">
        <f t="shared" si="8"/>
        <v>0</v>
      </c>
      <c r="AE243" s="159">
        <f t="shared" si="9"/>
        <v>0</v>
      </c>
      <c r="AG243" s="159">
        <f t="shared" si="10"/>
        <v>0</v>
      </c>
      <c r="AI243" s="159">
        <f t="shared" si="11"/>
        <v>0</v>
      </c>
      <c r="AK243" s="159">
        <f t="shared" si="12"/>
        <v>0</v>
      </c>
      <c r="AM243" s="159">
        <f t="shared" si="13"/>
        <v>0</v>
      </c>
      <c r="AO243" s="159">
        <f t="shared" si="14"/>
        <v>0</v>
      </c>
      <c r="AQ243" s="159">
        <f t="shared" si="15"/>
        <v>0</v>
      </c>
      <c r="AS243" s="159">
        <f t="shared" si="16"/>
        <v>0</v>
      </c>
      <c r="AU243" s="159">
        <f t="shared" si="17"/>
        <v>0</v>
      </c>
      <c r="AW243" s="159">
        <f t="shared" si="18"/>
        <v>0</v>
      </c>
    </row>
    <row r="244" spans="1:49" x14ac:dyDescent="0.2">
      <c r="A244" s="411"/>
      <c r="B244" s="411"/>
      <c r="C244" s="411"/>
      <c r="D244" s="411"/>
      <c r="E244" s="411"/>
      <c r="F244" s="411"/>
      <c r="G244" s="535"/>
      <c r="H244" s="536"/>
      <c r="I244" s="536"/>
      <c r="J244" s="536"/>
      <c r="K244" s="536"/>
      <c r="L244" s="537"/>
      <c r="M244" s="412">
        <f>IF(K244&gt;=Input!$B$18,1,0)</f>
        <v>0</v>
      </c>
      <c r="N244" s="159" t="str">
        <f t="shared" si="0"/>
        <v xml:space="preserve"> -  -  - 0</v>
      </c>
      <c r="O244" s="159">
        <f t="shared" si="1"/>
        <v>0</v>
      </c>
      <c r="Q244" s="159">
        <f t="shared" si="2"/>
        <v>0</v>
      </c>
      <c r="S244" s="159">
        <f t="shared" si="3"/>
        <v>0</v>
      </c>
      <c r="U244" s="159">
        <f t="shared" si="4"/>
        <v>0</v>
      </c>
      <c r="W244" s="159">
        <f t="shared" si="5"/>
        <v>0</v>
      </c>
      <c r="Y244" s="159">
        <f t="shared" si="6"/>
        <v>0</v>
      </c>
      <c r="AA244" s="159">
        <f t="shared" si="7"/>
        <v>0</v>
      </c>
      <c r="AC244" s="159">
        <f t="shared" si="8"/>
        <v>0</v>
      </c>
      <c r="AE244" s="159">
        <f t="shared" si="9"/>
        <v>0</v>
      </c>
      <c r="AG244" s="159">
        <f t="shared" si="10"/>
        <v>0</v>
      </c>
      <c r="AI244" s="159">
        <f t="shared" si="11"/>
        <v>0</v>
      </c>
      <c r="AK244" s="159">
        <f t="shared" si="12"/>
        <v>0</v>
      </c>
      <c r="AM244" s="159">
        <f t="shared" si="13"/>
        <v>0</v>
      </c>
      <c r="AO244" s="159">
        <f t="shared" si="14"/>
        <v>0</v>
      </c>
      <c r="AQ244" s="159">
        <f t="shared" si="15"/>
        <v>0</v>
      </c>
      <c r="AS244" s="159">
        <f t="shared" si="16"/>
        <v>0</v>
      </c>
      <c r="AU244" s="159">
        <f t="shared" si="17"/>
        <v>0</v>
      </c>
      <c r="AW244" s="159">
        <f t="shared" si="18"/>
        <v>0</v>
      </c>
    </row>
    <row r="245" spans="1:49" x14ac:dyDescent="0.2">
      <c r="A245" s="411"/>
      <c r="B245" s="411"/>
      <c r="C245" s="411"/>
      <c r="D245" s="411"/>
      <c r="E245" s="411"/>
      <c r="F245" s="411"/>
      <c r="G245" s="535"/>
      <c r="H245" s="536"/>
      <c r="I245" s="536"/>
      <c r="J245" s="536"/>
      <c r="K245" s="536"/>
      <c r="L245" s="537"/>
      <c r="M245" s="412">
        <f>IF(K245&gt;=Input!$B$18,1,0)</f>
        <v>0</v>
      </c>
      <c r="N245" s="159" t="str">
        <f t="shared" si="0"/>
        <v xml:space="preserve"> -  -  - 0</v>
      </c>
      <c r="O245" s="159">
        <f t="shared" si="1"/>
        <v>0</v>
      </c>
      <c r="Q245" s="159">
        <f t="shared" si="2"/>
        <v>0</v>
      </c>
      <c r="S245" s="159">
        <f t="shared" si="3"/>
        <v>0</v>
      </c>
      <c r="U245" s="159">
        <f t="shared" si="4"/>
        <v>0</v>
      </c>
      <c r="W245" s="159">
        <f t="shared" si="5"/>
        <v>0</v>
      </c>
      <c r="Y245" s="159">
        <f t="shared" si="6"/>
        <v>0</v>
      </c>
      <c r="AA245" s="159">
        <f t="shared" si="7"/>
        <v>0</v>
      </c>
      <c r="AC245" s="159">
        <f t="shared" si="8"/>
        <v>0</v>
      </c>
      <c r="AE245" s="159">
        <f t="shared" si="9"/>
        <v>0</v>
      </c>
      <c r="AG245" s="159">
        <f t="shared" si="10"/>
        <v>0</v>
      </c>
      <c r="AI245" s="159">
        <f t="shared" si="11"/>
        <v>0</v>
      </c>
      <c r="AK245" s="159">
        <f t="shared" si="12"/>
        <v>0</v>
      </c>
      <c r="AM245" s="159">
        <f t="shared" si="13"/>
        <v>0</v>
      </c>
      <c r="AO245" s="159">
        <f t="shared" si="14"/>
        <v>0</v>
      </c>
      <c r="AQ245" s="159">
        <f t="shared" si="15"/>
        <v>0</v>
      </c>
      <c r="AS245" s="159">
        <f t="shared" si="16"/>
        <v>0</v>
      </c>
      <c r="AU245" s="159">
        <f t="shared" si="17"/>
        <v>0</v>
      </c>
      <c r="AW245" s="159">
        <f t="shared" si="18"/>
        <v>0</v>
      </c>
    </row>
    <row r="246" spans="1:49" x14ac:dyDescent="0.2">
      <c r="A246" s="411"/>
      <c r="B246" s="411"/>
      <c r="C246" s="411"/>
      <c r="D246" s="411"/>
      <c r="E246" s="411"/>
      <c r="F246" s="411"/>
      <c r="G246" s="535"/>
      <c r="H246" s="536"/>
      <c r="I246" s="536"/>
      <c r="J246" s="536"/>
      <c r="K246" s="536"/>
      <c r="L246" s="537"/>
      <c r="M246" s="412">
        <f>IF(K246&gt;=Input!$B$18,1,0)</f>
        <v>0</v>
      </c>
      <c r="N246" s="159" t="str">
        <f t="shared" si="0"/>
        <v xml:space="preserve"> -  -  - 0</v>
      </c>
      <c r="O246" s="159">
        <f t="shared" si="1"/>
        <v>0</v>
      </c>
      <c r="Q246" s="159">
        <f t="shared" si="2"/>
        <v>0</v>
      </c>
      <c r="S246" s="159">
        <f t="shared" si="3"/>
        <v>0</v>
      </c>
      <c r="U246" s="159">
        <f t="shared" si="4"/>
        <v>0</v>
      </c>
      <c r="W246" s="159">
        <f t="shared" si="5"/>
        <v>0</v>
      </c>
      <c r="Y246" s="159">
        <f t="shared" si="6"/>
        <v>0</v>
      </c>
      <c r="AA246" s="159">
        <f t="shared" si="7"/>
        <v>0</v>
      </c>
      <c r="AC246" s="159">
        <f t="shared" si="8"/>
        <v>0</v>
      </c>
      <c r="AE246" s="159">
        <f t="shared" si="9"/>
        <v>0</v>
      </c>
      <c r="AG246" s="159">
        <f t="shared" si="10"/>
        <v>0</v>
      </c>
      <c r="AI246" s="159">
        <f t="shared" si="11"/>
        <v>0</v>
      </c>
      <c r="AK246" s="159">
        <f t="shared" si="12"/>
        <v>0</v>
      </c>
      <c r="AM246" s="159">
        <f t="shared" si="13"/>
        <v>0</v>
      </c>
      <c r="AO246" s="159">
        <f t="shared" si="14"/>
        <v>0</v>
      </c>
      <c r="AQ246" s="159">
        <f t="shared" si="15"/>
        <v>0</v>
      </c>
      <c r="AS246" s="159">
        <f t="shared" si="16"/>
        <v>0</v>
      </c>
      <c r="AU246" s="159">
        <f t="shared" si="17"/>
        <v>0</v>
      </c>
      <c r="AW246" s="159">
        <f t="shared" si="18"/>
        <v>0</v>
      </c>
    </row>
    <row r="247" spans="1:49" x14ac:dyDescent="0.2">
      <c r="A247" s="411"/>
      <c r="B247" s="411"/>
      <c r="C247" s="411"/>
      <c r="D247" s="411"/>
      <c r="E247" s="411"/>
      <c r="F247" s="411"/>
      <c r="G247" s="535"/>
      <c r="H247" s="536"/>
      <c r="I247" s="536"/>
      <c r="J247" s="536"/>
      <c r="K247" s="536"/>
      <c r="L247" s="537"/>
      <c r="M247" s="412">
        <f>IF(K247&gt;=Input!$B$18,1,0)</f>
        <v>0</v>
      </c>
      <c r="N247" s="159" t="str">
        <f t="shared" si="0"/>
        <v xml:space="preserve"> -  -  - 0</v>
      </c>
      <c r="O247" s="159">
        <f t="shared" si="1"/>
        <v>0</v>
      </c>
      <c r="Q247" s="159">
        <f t="shared" si="2"/>
        <v>0</v>
      </c>
      <c r="S247" s="159">
        <f t="shared" si="3"/>
        <v>0</v>
      </c>
      <c r="U247" s="159">
        <f t="shared" si="4"/>
        <v>0</v>
      </c>
      <c r="W247" s="159">
        <f t="shared" si="5"/>
        <v>0</v>
      </c>
      <c r="Y247" s="159">
        <f t="shared" si="6"/>
        <v>0</v>
      </c>
      <c r="AA247" s="159">
        <f t="shared" si="7"/>
        <v>0</v>
      </c>
      <c r="AC247" s="159">
        <f t="shared" si="8"/>
        <v>0</v>
      </c>
      <c r="AE247" s="159">
        <f t="shared" si="9"/>
        <v>0</v>
      </c>
      <c r="AG247" s="159">
        <f t="shared" si="10"/>
        <v>0</v>
      </c>
      <c r="AI247" s="159">
        <f t="shared" si="11"/>
        <v>0</v>
      </c>
      <c r="AK247" s="159">
        <f t="shared" si="12"/>
        <v>0</v>
      </c>
      <c r="AM247" s="159">
        <f t="shared" si="13"/>
        <v>0</v>
      </c>
      <c r="AO247" s="159">
        <f t="shared" si="14"/>
        <v>0</v>
      </c>
      <c r="AQ247" s="159">
        <f t="shared" si="15"/>
        <v>0</v>
      </c>
      <c r="AS247" s="159">
        <f t="shared" si="16"/>
        <v>0</v>
      </c>
      <c r="AU247" s="159">
        <f t="shared" si="17"/>
        <v>0</v>
      </c>
      <c r="AW247" s="159">
        <f t="shared" si="18"/>
        <v>0</v>
      </c>
    </row>
    <row r="248" spans="1:49" x14ac:dyDescent="0.2">
      <c r="A248" s="411"/>
      <c r="B248" s="411"/>
      <c r="C248" s="411"/>
      <c r="D248" s="411"/>
      <c r="E248" s="411"/>
      <c r="F248" s="411"/>
      <c r="G248" s="535"/>
      <c r="H248" s="536"/>
      <c r="I248" s="536"/>
      <c r="J248" s="536"/>
      <c r="K248" s="536"/>
      <c r="L248" s="537"/>
      <c r="M248" s="412">
        <f>IF(K248&gt;=Input!$B$18,1,0)</f>
        <v>0</v>
      </c>
      <c r="N248" s="159" t="str">
        <f t="shared" si="0"/>
        <v xml:space="preserve"> -  -  - 0</v>
      </c>
      <c r="O248" s="159">
        <f t="shared" si="1"/>
        <v>0</v>
      </c>
      <c r="Q248" s="159">
        <f t="shared" si="2"/>
        <v>0</v>
      </c>
      <c r="S248" s="159">
        <f t="shared" si="3"/>
        <v>0</v>
      </c>
      <c r="U248" s="159">
        <f t="shared" si="4"/>
        <v>0</v>
      </c>
      <c r="W248" s="159">
        <f t="shared" si="5"/>
        <v>0</v>
      </c>
      <c r="Y248" s="159">
        <f t="shared" si="6"/>
        <v>0</v>
      </c>
      <c r="AA248" s="159">
        <f t="shared" si="7"/>
        <v>0</v>
      </c>
      <c r="AC248" s="159">
        <f t="shared" si="8"/>
        <v>0</v>
      </c>
      <c r="AE248" s="159">
        <f t="shared" si="9"/>
        <v>0</v>
      </c>
      <c r="AG248" s="159">
        <f t="shared" si="10"/>
        <v>0</v>
      </c>
      <c r="AI248" s="159">
        <f t="shared" si="11"/>
        <v>0</v>
      </c>
      <c r="AK248" s="159">
        <f t="shared" si="12"/>
        <v>0</v>
      </c>
      <c r="AM248" s="159">
        <f t="shared" si="13"/>
        <v>0</v>
      </c>
      <c r="AO248" s="159">
        <f t="shared" si="14"/>
        <v>0</v>
      </c>
      <c r="AQ248" s="159">
        <f t="shared" si="15"/>
        <v>0</v>
      </c>
      <c r="AS248" s="159">
        <f t="shared" si="16"/>
        <v>0</v>
      </c>
      <c r="AU248" s="159">
        <f t="shared" si="17"/>
        <v>0</v>
      </c>
      <c r="AW248" s="159">
        <f t="shared" si="18"/>
        <v>0</v>
      </c>
    </row>
    <row r="249" spans="1:49" x14ac:dyDescent="0.2">
      <c r="A249" s="411"/>
      <c r="B249" s="411"/>
      <c r="C249" s="411"/>
      <c r="D249" s="411"/>
      <c r="E249" s="411"/>
      <c r="F249" s="411"/>
      <c r="G249" s="535"/>
      <c r="H249" s="536"/>
      <c r="I249" s="536"/>
      <c r="J249" s="536"/>
      <c r="K249" s="536"/>
      <c r="L249" s="537"/>
      <c r="M249" s="412">
        <f>IF(K249&gt;=Input!$B$18,1,0)</f>
        <v>0</v>
      </c>
      <c r="N249" s="159" t="str">
        <f t="shared" si="0"/>
        <v xml:space="preserve"> -  -  - 0</v>
      </c>
      <c r="O249" s="159">
        <f t="shared" si="1"/>
        <v>0</v>
      </c>
      <c r="Q249" s="159">
        <f t="shared" si="2"/>
        <v>0</v>
      </c>
      <c r="S249" s="159">
        <f t="shared" si="3"/>
        <v>0</v>
      </c>
      <c r="U249" s="159">
        <f t="shared" si="4"/>
        <v>0</v>
      </c>
      <c r="W249" s="159">
        <f t="shared" si="5"/>
        <v>0</v>
      </c>
      <c r="Y249" s="159">
        <f t="shared" si="6"/>
        <v>0</v>
      </c>
      <c r="AA249" s="159">
        <f t="shared" si="7"/>
        <v>0</v>
      </c>
      <c r="AC249" s="159">
        <f t="shared" si="8"/>
        <v>0</v>
      </c>
      <c r="AE249" s="159">
        <f t="shared" si="9"/>
        <v>0</v>
      </c>
      <c r="AG249" s="159">
        <f t="shared" si="10"/>
        <v>0</v>
      </c>
      <c r="AI249" s="159">
        <f t="shared" si="11"/>
        <v>0</v>
      </c>
      <c r="AK249" s="159">
        <f t="shared" si="12"/>
        <v>0</v>
      </c>
      <c r="AM249" s="159">
        <f t="shared" si="13"/>
        <v>0</v>
      </c>
      <c r="AO249" s="159">
        <f t="shared" si="14"/>
        <v>0</v>
      </c>
      <c r="AQ249" s="159">
        <f t="shared" si="15"/>
        <v>0</v>
      </c>
      <c r="AS249" s="159">
        <f t="shared" si="16"/>
        <v>0</v>
      </c>
      <c r="AU249" s="159">
        <f t="shared" si="17"/>
        <v>0</v>
      </c>
      <c r="AW249" s="159">
        <f t="shared" si="18"/>
        <v>0</v>
      </c>
    </row>
    <row r="250" spans="1:49" x14ac:dyDescent="0.2">
      <c r="A250" s="411"/>
      <c r="B250" s="411"/>
      <c r="C250" s="411"/>
      <c r="D250" s="411"/>
      <c r="E250" s="411"/>
      <c r="F250" s="411"/>
      <c r="G250" s="535"/>
      <c r="H250" s="536"/>
      <c r="I250" s="536"/>
      <c r="J250" s="536"/>
      <c r="K250" s="536"/>
      <c r="L250" s="537"/>
      <c r="M250" s="412">
        <f>IF(K250&gt;=Input!$B$18,1,0)</f>
        <v>0</v>
      </c>
      <c r="N250" s="159" t="str">
        <f t="shared" si="0"/>
        <v xml:space="preserve"> -  -  - 0</v>
      </c>
      <c r="O250" s="159">
        <f t="shared" si="1"/>
        <v>0</v>
      </c>
      <c r="Q250" s="159">
        <f t="shared" si="2"/>
        <v>0</v>
      </c>
      <c r="S250" s="159">
        <f t="shared" si="3"/>
        <v>0</v>
      </c>
      <c r="U250" s="159">
        <f t="shared" si="4"/>
        <v>0</v>
      </c>
      <c r="W250" s="159">
        <f t="shared" si="5"/>
        <v>0</v>
      </c>
      <c r="Y250" s="159">
        <f t="shared" si="6"/>
        <v>0</v>
      </c>
      <c r="AA250" s="159">
        <f t="shared" si="7"/>
        <v>0</v>
      </c>
      <c r="AC250" s="159">
        <f t="shared" si="8"/>
        <v>0</v>
      </c>
      <c r="AE250" s="159">
        <f t="shared" si="9"/>
        <v>0</v>
      </c>
      <c r="AG250" s="159">
        <f t="shared" si="10"/>
        <v>0</v>
      </c>
      <c r="AI250" s="159">
        <f t="shared" si="11"/>
        <v>0</v>
      </c>
      <c r="AK250" s="159">
        <f t="shared" si="12"/>
        <v>0</v>
      </c>
      <c r="AM250" s="159">
        <f t="shared" si="13"/>
        <v>0</v>
      </c>
      <c r="AO250" s="159">
        <f t="shared" si="14"/>
        <v>0</v>
      </c>
      <c r="AQ250" s="159">
        <f t="shared" si="15"/>
        <v>0</v>
      </c>
      <c r="AS250" s="159">
        <f t="shared" si="16"/>
        <v>0</v>
      </c>
      <c r="AU250" s="159">
        <f t="shared" si="17"/>
        <v>0</v>
      </c>
      <c r="AW250" s="159">
        <f t="shared" si="18"/>
        <v>0</v>
      </c>
    </row>
    <row r="251" spans="1:49" x14ac:dyDescent="0.2">
      <c r="A251" s="411"/>
      <c r="B251" s="411"/>
      <c r="C251" s="411"/>
      <c r="D251" s="411"/>
      <c r="E251" s="411"/>
      <c r="F251" s="411"/>
      <c r="G251" s="535"/>
      <c r="H251" s="536"/>
      <c r="I251" s="536"/>
      <c r="J251" s="536"/>
      <c r="K251" s="536"/>
      <c r="L251" s="537"/>
      <c r="M251" s="412">
        <f>IF(K251&gt;=Input!$B$18,1,0)</f>
        <v>0</v>
      </c>
      <c r="N251" s="159" t="str">
        <f t="shared" si="0"/>
        <v xml:space="preserve"> -  -  - 0</v>
      </c>
      <c r="O251" s="159">
        <f t="shared" si="1"/>
        <v>0</v>
      </c>
      <c r="Q251" s="159">
        <f t="shared" si="2"/>
        <v>0</v>
      </c>
      <c r="S251" s="159">
        <f t="shared" si="3"/>
        <v>0</v>
      </c>
      <c r="U251" s="159">
        <f t="shared" si="4"/>
        <v>0</v>
      </c>
      <c r="W251" s="159">
        <f t="shared" si="5"/>
        <v>0</v>
      </c>
      <c r="Y251" s="159">
        <f t="shared" si="6"/>
        <v>0</v>
      </c>
      <c r="AA251" s="159">
        <f t="shared" si="7"/>
        <v>0</v>
      </c>
      <c r="AC251" s="159">
        <f t="shared" si="8"/>
        <v>0</v>
      </c>
      <c r="AE251" s="159">
        <f t="shared" si="9"/>
        <v>0</v>
      </c>
      <c r="AG251" s="159">
        <f t="shared" si="10"/>
        <v>0</v>
      </c>
      <c r="AI251" s="159">
        <f t="shared" si="11"/>
        <v>0</v>
      </c>
      <c r="AK251" s="159">
        <f t="shared" si="12"/>
        <v>0</v>
      </c>
      <c r="AM251" s="159">
        <f t="shared" si="13"/>
        <v>0</v>
      </c>
      <c r="AO251" s="159">
        <f t="shared" si="14"/>
        <v>0</v>
      </c>
      <c r="AQ251" s="159">
        <f t="shared" si="15"/>
        <v>0</v>
      </c>
      <c r="AS251" s="159">
        <f t="shared" si="16"/>
        <v>0</v>
      </c>
      <c r="AU251" s="159">
        <f t="shared" si="17"/>
        <v>0</v>
      </c>
      <c r="AW251" s="159">
        <f t="shared" si="18"/>
        <v>0</v>
      </c>
    </row>
    <row r="252" spans="1:49" x14ac:dyDescent="0.2">
      <c r="A252" s="411"/>
      <c r="B252" s="411"/>
      <c r="C252" s="411"/>
      <c r="D252" s="411"/>
      <c r="E252" s="411"/>
      <c r="F252" s="411"/>
      <c r="G252" s="535"/>
      <c r="H252" s="536"/>
      <c r="I252" s="536"/>
      <c r="J252" s="536"/>
      <c r="K252" s="536"/>
      <c r="L252" s="537"/>
      <c r="M252" s="412">
        <f>IF(K252&gt;=Input!$B$18,1,0)</f>
        <v>0</v>
      </c>
      <c r="N252" s="159" t="str">
        <f t="shared" si="0"/>
        <v xml:space="preserve"> -  -  - 0</v>
      </c>
      <c r="O252" s="159">
        <f t="shared" si="1"/>
        <v>0</v>
      </c>
      <c r="Q252" s="159">
        <f t="shared" si="2"/>
        <v>0</v>
      </c>
      <c r="S252" s="159">
        <f t="shared" si="3"/>
        <v>0</v>
      </c>
      <c r="U252" s="159">
        <f t="shared" si="4"/>
        <v>0</v>
      </c>
      <c r="W252" s="159">
        <f t="shared" si="5"/>
        <v>0</v>
      </c>
      <c r="Y252" s="159">
        <f t="shared" si="6"/>
        <v>0</v>
      </c>
      <c r="AA252" s="159">
        <f t="shared" si="7"/>
        <v>0</v>
      </c>
      <c r="AC252" s="159">
        <f t="shared" si="8"/>
        <v>0</v>
      </c>
      <c r="AE252" s="159">
        <f t="shared" si="9"/>
        <v>0</v>
      </c>
      <c r="AG252" s="159">
        <f t="shared" si="10"/>
        <v>0</v>
      </c>
      <c r="AI252" s="159">
        <f t="shared" si="11"/>
        <v>0</v>
      </c>
      <c r="AK252" s="159">
        <f t="shared" si="12"/>
        <v>0</v>
      </c>
      <c r="AM252" s="159">
        <f t="shared" si="13"/>
        <v>0</v>
      </c>
      <c r="AO252" s="159">
        <f t="shared" si="14"/>
        <v>0</v>
      </c>
      <c r="AQ252" s="159">
        <f t="shared" si="15"/>
        <v>0</v>
      </c>
      <c r="AS252" s="159">
        <f t="shared" si="16"/>
        <v>0</v>
      </c>
      <c r="AU252" s="159">
        <f t="shared" si="17"/>
        <v>0</v>
      </c>
      <c r="AW252" s="159">
        <f t="shared" si="18"/>
        <v>0</v>
      </c>
    </row>
    <row r="253" spans="1:49" x14ac:dyDescent="0.2">
      <c r="A253" s="411"/>
      <c r="B253" s="411"/>
      <c r="C253" s="411"/>
      <c r="D253" s="411"/>
      <c r="E253" s="411"/>
      <c r="F253" s="411"/>
      <c r="G253" s="535"/>
      <c r="H253" s="536"/>
      <c r="I253" s="536"/>
      <c r="J253" s="536"/>
      <c r="K253" s="536"/>
      <c r="L253" s="537"/>
      <c r="M253" s="412">
        <f>IF(K253&gt;=Input!$B$18,1,0)</f>
        <v>0</v>
      </c>
      <c r="N253" s="159" t="str">
        <f t="shared" si="0"/>
        <v xml:space="preserve"> -  -  - 0</v>
      </c>
      <c r="O253" s="159">
        <f t="shared" si="1"/>
        <v>0</v>
      </c>
      <c r="Q253" s="159">
        <f t="shared" si="2"/>
        <v>0</v>
      </c>
      <c r="S253" s="159">
        <f t="shared" si="3"/>
        <v>0</v>
      </c>
      <c r="U253" s="159">
        <f t="shared" si="4"/>
        <v>0</v>
      </c>
      <c r="W253" s="159">
        <f t="shared" si="5"/>
        <v>0</v>
      </c>
      <c r="Y253" s="159">
        <f t="shared" si="6"/>
        <v>0</v>
      </c>
      <c r="AA253" s="159">
        <f t="shared" si="7"/>
        <v>0</v>
      </c>
      <c r="AC253" s="159">
        <f t="shared" si="8"/>
        <v>0</v>
      </c>
      <c r="AE253" s="159">
        <f t="shared" si="9"/>
        <v>0</v>
      </c>
      <c r="AG253" s="159">
        <f t="shared" si="10"/>
        <v>0</v>
      </c>
      <c r="AI253" s="159">
        <f t="shared" si="11"/>
        <v>0</v>
      </c>
      <c r="AK253" s="159">
        <f t="shared" si="12"/>
        <v>0</v>
      </c>
      <c r="AM253" s="159">
        <f t="shared" si="13"/>
        <v>0</v>
      </c>
      <c r="AO253" s="159">
        <f t="shared" si="14"/>
        <v>0</v>
      </c>
      <c r="AQ253" s="159">
        <f t="shared" si="15"/>
        <v>0</v>
      </c>
      <c r="AS253" s="159">
        <f t="shared" si="16"/>
        <v>0</v>
      </c>
      <c r="AU253" s="159">
        <f t="shared" si="17"/>
        <v>0</v>
      </c>
      <c r="AW253" s="159">
        <f t="shared" si="18"/>
        <v>0</v>
      </c>
    </row>
    <row r="254" spans="1:49" x14ac:dyDescent="0.2">
      <c r="A254" s="411"/>
      <c r="B254" s="411"/>
      <c r="C254" s="411"/>
      <c r="D254" s="411"/>
      <c r="E254" s="411"/>
      <c r="F254" s="411"/>
      <c r="G254" s="535"/>
      <c r="H254" s="536"/>
      <c r="I254" s="536"/>
      <c r="J254" s="536"/>
      <c r="K254" s="536"/>
      <c r="L254" s="537"/>
      <c r="M254" s="412">
        <f>IF(K254&gt;=Input!$B$18,1,0)</f>
        <v>0</v>
      </c>
      <c r="N254" s="159" t="str">
        <f t="shared" si="0"/>
        <v xml:space="preserve"> -  -  - 0</v>
      </c>
      <c r="O254" s="159">
        <f t="shared" si="1"/>
        <v>0</v>
      </c>
      <c r="Q254" s="159">
        <f t="shared" si="2"/>
        <v>0</v>
      </c>
      <c r="S254" s="159">
        <f t="shared" si="3"/>
        <v>0</v>
      </c>
      <c r="U254" s="159">
        <f t="shared" si="4"/>
        <v>0</v>
      </c>
      <c r="W254" s="159">
        <f t="shared" si="5"/>
        <v>0</v>
      </c>
      <c r="Y254" s="159">
        <f t="shared" si="6"/>
        <v>0</v>
      </c>
      <c r="AA254" s="159">
        <f t="shared" si="7"/>
        <v>0</v>
      </c>
      <c r="AC254" s="159">
        <f t="shared" si="8"/>
        <v>0</v>
      </c>
      <c r="AE254" s="159">
        <f t="shared" si="9"/>
        <v>0</v>
      </c>
      <c r="AG254" s="159">
        <f t="shared" si="10"/>
        <v>0</v>
      </c>
      <c r="AI254" s="159">
        <f t="shared" si="11"/>
        <v>0</v>
      </c>
      <c r="AK254" s="159">
        <f t="shared" si="12"/>
        <v>0</v>
      </c>
      <c r="AM254" s="159">
        <f t="shared" si="13"/>
        <v>0</v>
      </c>
      <c r="AO254" s="159">
        <f t="shared" si="14"/>
        <v>0</v>
      </c>
      <c r="AQ254" s="159">
        <f t="shared" si="15"/>
        <v>0</v>
      </c>
      <c r="AS254" s="159">
        <f t="shared" si="16"/>
        <v>0</v>
      </c>
      <c r="AU254" s="159">
        <f t="shared" si="17"/>
        <v>0</v>
      </c>
      <c r="AW254" s="159">
        <f t="shared" si="18"/>
        <v>0</v>
      </c>
    </row>
    <row r="255" spans="1:49" x14ac:dyDescent="0.2">
      <c r="A255" s="411"/>
      <c r="B255" s="411"/>
      <c r="C255" s="411"/>
      <c r="D255" s="411"/>
      <c r="E255" s="411"/>
      <c r="F255" s="411"/>
      <c r="G255" s="535"/>
      <c r="H255" s="536"/>
      <c r="I255" s="536"/>
      <c r="J255" s="536"/>
      <c r="K255" s="536"/>
      <c r="L255" s="537"/>
      <c r="M255" s="412">
        <f>IF(K255&gt;=Input!$B$18,1,0)</f>
        <v>0</v>
      </c>
      <c r="N255" s="159" t="str">
        <f t="shared" si="0"/>
        <v xml:space="preserve"> -  -  - 0</v>
      </c>
      <c r="O255" s="159">
        <f t="shared" si="1"/>
        <v>0</v>
      </c>
      <c r="Q255" s="159">
        <f t="shared" si="2"/>
        <v>0</v>
      </c>
      <c r="S255" s="159">
        <f t="shared" si="3"/>
        <v>0</v>
      </c>
      <c r="U255" s="159">
        <f t="shared" si="4"/>
        <v>0</v>
      </c>
      <c r="W255" s="159">
        <f t="shared" si="5"/>
        <v>0</v>
      </c>
      <c r="Y255" s="159">
        <f t="shared" si="6"/>
        <v>0</v>
      </c>
      <c r="AA255" s="159">
        <f t="shared" si="7"/>
        <v>0</v>
      </c>
      <c r="AC255" s="159">
        <f t="shared" si="8"/>
        <v>0</v>
      </c>
      <c r="AE255" s="159">
        <f t="shared" si="9"/>
        <v>0</v>
      </c>
      <c r="AG255" s="159">
        <f t="shared" si="10"/>
        <v>0</v>
      </c>
      <c r="AI255" s="159">
        <f t="shared" si="11"/>
        <v>0</v>
      </c>
      <c r="AK255" s="159">
        <f t="shared" si="12"/>
        <v>0</v>
      </c>
      <c r="AM255" s="159">
        <f t="shared" si="13"/>
        <v>0</v>
      </c>
      <c r="AO255" s="159">
        <f t="shared" si="14"/>
        <v>0</v>
      </c>
      <c r="AQ255" s="159">
        <f t="shared" si="15"/>
        <v>0</v>
      </c>
      <c r="AS255" s="159">
        <f t="shared" si="16"/>
        <v>0</v>
      </c>
      <c r="AU255" s="159">
        <f t="shared" si="17"/>
        <v>0</v>
      </c>
      <c r="AW255" s="159">
        <f t="shared" si="18"/>
        <v>0</v>
      </c>
    </row>
    <row r="256" spans="1:49" x14ac:dyDescent="0.2">
      <c r="A256" s="411"/>
      <c r="B256" s="411"/>
      <c r="C256" s="411"/>
      <c r="D256" s="411"/>
      <c r="E256" s="411"/>
      <c r="F256" s="411"/>
      <c r="G256" s="535"/>
      <c r="H256" s="536"/>
      <c r="I256" s="536"/>
      <c r="J256" s="536"/>
      <c r="K256" s="536"/>
      <c r="L256" s="537"/>
      <c r="M256" s="412">
        <f>IF(K256&gt;=Input!$B$18,1,0)</f>
        <v>0</v>
      </c>
      <c r="N256" s="159" t="str">
        <f t="shared" si="0"/>
        <v xml:space="preserve"> -  -  - 0</v>
      </c>
      <c r="O256" s="159">
        <f t="shared" si="1"/>
        <v>0</v>
      </c>
      <c r="Q256" s="159">
        <f t="shared" si="2"/>
        <v>0</v>
      </c>
      <c r="S256" s="159">
        <f t="shared" si="3"/>
        <v>0</v>
      </c>
      <c r="U256" s="159">
        <f t="shared" si="4"/>
        <v>0</v>
      </c>
      <c r="W256" s="159">
        <f t="shared" si="5"/>
        <v>0</v>
      </c>
      <c r="Y256" s="159">
        <f t="shared" si="6"/>
        <v>0</v>
      </c>
      <c r="AA256" s="159">
        <f t="shared" si="7"/>
        <v>0</v>
      </c>
      <c r="AC256" s="159">
        <f t="shared" si="8"/>
        <v>0</v>
      </c>
      <c r="AE256" s="159">
        <f t="shared" si="9"/>
        <v>0</v>
      </c>
      <c r="AG256" s="159">
        <f t="shared" si="10"/>
        <v>0</v>
      </c>
      <c r="AI256" s="159">
        <f t="shared" si="11"/>
        <v>0</v>
      </c>
      <c r="AK256" s="159">
        <f t="shared" si="12"/>
        <v>0</v>
      </c>
      <c r="AM256" s="159">
        <f t="shared" si="13"/>
        <v>0</v>
      </c>
      <c r="AO256" s="159">
        <f t="shared" si="14"/>
        <v>0</v>
      </c>
      <c r="AQ256" s="159">
        <f t="shared" si="15"/>
        <v>0</v>
      </c>
      <c r="AS256" s="159">
        <f t="shared" si="16"/>
        <v>0</v>
      </c>
      <c r="AU256" s="159">
        <f t="shared" si="17"/>
        <v>0</v>
      </c>
      <c r="AW256" s="159">
        <f t="shared" si="18"/>
        <v>0</v>
      </c>
    </row>
    <row r="257" spans="1:49" x14ac:dyDescent="0.2">
      <c r="A257" s="411"/>
      <c r="B257" s="411"/>
      <c r="C257" s="411"/>
      <c r="D257" s="411"/>
      <c r="E257" s="411"/>
      <c r="F257" s="411"/>
      <c r="G257" s="535"/>
      <c r="H257" s="536"/>
      <c r="I257" s="536"/>
      <c r="J257" s="536"/>
      <c r="K257" s="536"/>
      <c r="L257" s="537"/>
      <c r="M257" s="412">
        <f>IF(K257&gt;=Input!$B$18,1,0)</f>
        <v>0</v>
      </c>
      <c r="N257" s="159" t="str">
        <f t="shared" ref="N257:N301" si="19">CONCATENATE(G257," - ",H257," - ",I257," - ",M257)</f>
        <v xml:space="preserve"> -  -  - 0</v>
      </c>
      <c r="O257" s="159">
        <f t="shared" ref="O257:O301" si="20">IF($I257=O$1,IF($M257=1,$L257,0),0)</f>
        <v>0</v>
      </c>
      <c r="Q257" s="159">
        <f t="shared" ref="Q257:Q301" si="21">IF($I257=Q$1,IF($M257=1,$L257,0),0)</f>
        <v>0</v>
      </c>
      <c r="S257" s="159">
        <f t="shared" ref="S257:S301" si="22">IF($I257=S$1,IF($M257=1,$L257,0),0)</f>
        <v>0</v>
      </c>
      <c r="U257" s="159">
        <f t="shared" ref="U257:U301" si="23">IF($I257=U$1,IF($M257=1,$L257,0),0)</f>
        <v>0</v>
      </c>
      <c r="W257" s="159">
        <f t="shared" ref="W257:W301" si="24">IF($I257=W$1,IF($M257=1,$L257,0),0)</f>
        <v>0</v>
      </c>
      <c r="Y257" s="159">
        <f t="shared" ref="Y257:Y301" si="25">IF($I257=Y$1,IF($M257=1,$L257,0),0)</f>
        <v>0</v>
      </c>
      <c r="AA257" s="159">
        <f t="shared" ref="AA257:AA301" si="26">IF($I257=AA$1,IF($M257=1,$L257,0),0)</f>
        <v>0</v>
      </c>
      <c r="AC257" s="159">
        <f t="shared" ref="AC257:AC301" si="27">IF($I257=AC$1,IF($M257=1,$L257,0),0)</f>
        <v>0</v>
      </c>
      <c r="AE257" s="159">
        <f t="shared" ref="AE257:AE301" si="28">IF($I257=AE$1,IF($M257=1,$L257,0),0)</f>
        <v>0</v>
      </c>
      <c r="AG257" s="159">
        <f t="shared" ref="AG257:AG301" si="29">IF($I257=AG$1,IF($M257=1,$L257,0),0)</f>
        <v>0</v>
      </c>
      <c r="AI257" s="159">
        <f t="shared" ref="AI257:AI301" si="30">IF($I257=AI$1,IF($M257=1,$L257,0),0)</f>
        <v>0</v>
      </c>
      <c r="AK257" s="159">
        <f t="shared" ref="AK257:AK301" si="31">IF($I257=AK$1,IF($M257=1,$L257,0),0)</f>
        <v>0</v>
      </c>
      <c r="AM257" s="159">
        <f t="shared" ref="AM257:AM301" si="32">IF($I257=AM$1,IF($M257=1,$L257,0),0)</f>
        <v>0</v>
      </c>
      <c r="AO257" s="159">
        <f t="shared" ref="AO257:AO301" si="33">IF($I257=AO$1,IF($M257=1,$L257,0),0)</f>
        <v>0</v>
      </c>
      <c r="AQ257" s="159">
        <f t="shared" ref="AQ257:AQ301" si="34">IF($I257=AQ$1,IF($M257=1,$L257,0),0)</f>
        <v>0</v>
      </c>
      <c r="AS257" s="159">
        <f t="shared" ref="AS257:AS301" si="35">IF($I257=AS$1,IF($M257=1,$L257,0),0)</f>
        <v>0</v>
      </c>
      <c r="AU257" s="159">
        <f t="shared" ref="AU257:AU301" si="36">IF($I257=AU$1,IF($M257=1,$L257,0),0)</f>
        <v>0</v>
      </c>
      <c r="AW257" s="159">
        <f t="shared" ref="AW257:AW301" si="37">IF($I257=AW$1,IF($M257=1,$L257,0),0)</f>
        <v>0</v>
      </c>
    </row>
    <row r="258" spans="1:49" x14ac:dyDescent="0.2">
      <c r="A258" s="411"/>
      <c r="B258" s="411"/>
      <c r="C258" s="411"/>
      <c r="D258" s="411"/>
      <c r="E258" s="411"/>
      <c r="F258" s="411"/>
      <c r="G258" s="535"/>
      <c r="H258" s="536"/>
      <c r="I258" s="536"/>
      <c r="J258" s="536"/>
      <c r="K258" s="536"/>
      <c r="L258" s="537"/>
      <c r="M258" s="412">
        <f>IF(K258&gt;=Input!$B$18,1,0)</f>
        <v>0</v>
      </c>
      <c r="N258" s="159" t="str">
        <f t="shared" si="19"/>
        <v xml:space="preserve"> -  -  - 0</v>
      </c>
      <c r="O258" s="159">
        <f t="shared" si="20"/>
        <v>0</v>
      </c>
      <c r="Q258" s="159">
        <f t="shared" si="21"/>
        <v>0</v>
      </c>
      <c r="S258" s="159">
        <f t="shared" si="22"/>
        <v>0</v>
      </c>
      <c r="U258" s="159">
        <f t="shared" si="23"/>
        <v>0</v>
      </c>
      <c r="W258" s="159">
        <f t="shared" si="24"/>
        <v>0</v>
      </c>
      <c r="Y258" s="159">
        <f t="shared" si="25"/>
        <v>0</v>
      </c>
      <c r="AA258" s="159">
        <f t="shared" si="26"/>
        <v>0</v>
      </c>
      <c r="AC258" s="159">
        <f t="shared" si="27"/>
        <v>0</v>
      </c>
      <c r="AE258" s="159">
        <f t="shared" si="28"/>
        <v>0</v>
      </c>
      <c r="AG258" s="159">
        <f t="shared" si="29"/>
        <v>0</v>
      </c>
      <c r="AI258" s="159">
        <f t="shared" si="30"/>
        <v>0</v>
      </c>
      <c r="AK258" s="159">
        <f t="shared" si="31"/>
        <v>0</v>
      </c>
      <c r="AM258" s="159">
        <f t="shared" si="32"/>
        <v>0</v>
      </c>
      <c r="AO258" s="159">
        <f t="shared" si="33"/>
        <v>0</v>
      </c>
      <c r="AQ258" s="159">
        <f t="shared" si="34"/>
        <v>0</v>
      </c>
      <c r="AS258" s="159">
        <f t="shared" si="35"/>
        <v>0</v>
      </c>
      <c r="AU258" s="159">
        <f t="shared" si="36"/>
        <v>0</v>
      </c>
      <c r="AW258" s="159">
        <f t="shared" si="37"/>
        <v>0</v>
      </c>
    </row>
    <row r="259" spans="1:49" x14ac:dyDescent="0.2">
      <c r="A259" s="411"/>
      <c r="B259" s="411"/>
      <c r="C259" s="411"/>
      <c r="D259" s="411"/>
      <c r="E259" s="411"/>
      <c r="F259" s="411"/>
      <c r="G259" s="535"/>
      <c r="H259" s="536"/>
      <c r="I259" s="536"/>
      <c r="J259" s="536"/>
      <c r="K259" s="536"/>
      <c r="L259" s="537"/>
      <c r="M259" s="412">
        <f>IF(K259&gt;=Input!$B$18,1,0)</f>
        <v>0</v>
      </c>
      <c r="N259" s="159" t="str">
        <f t="shared" si="19"/>
        <v xml:space="preserve"> -  -  - 0</v>
      </c>
      <c r="O259" s="159">
        <f t="shared" si="20"/>
        <v>0</v>
      </c>
      <c r="Q259" s="159">
        <f t="shared" si="21"/>
        <v>0</v>
      </c>
      <c r="S259" s="159">
        <f t="shared" si="22"/>
        <v>0</v>
      </c>
      <c r="U259" s="159">
        <f t="shared" si="23"/>
        <v>0</v>
      </c>
      <c r="W259" s="159">
        <f t="shared" si="24"/>
        <v>0</v>
      </c>
      <c r="Y259" s="159">
        <f t="shared" si="25"/>
        <v>0</v>
      </c>
      <c r="AA259" s="159">
        <f t="shared" si="26"/>
        <v>0</v>
      </c>
      <c r="AC259" s="159">
        <f t="shared" si="27"/>
        <v>0</v>
      </c>
      <c r="AE259" s="159">
        <f t="shared" si="28"/>
        <v>0</v>
      </c>
      <c r="AG259" s="159">
        <f t="shared" si="29"/>
        <v>0</v>
      </c>
      <c r="AI259" s="159">
        <f t="shared" si="30"/>
        <v>0</v>
      </c>
      <c r="AK259" s="159">
        <f t="shared" si="31"/>
        <v>0</v>
      </c>
      <c r="AM259" s="159">
        <f t="shared" si="32"/>
        <v>0</v>
      </c>
      <c r="AO259" s="159">
        <f t="shared" si="33"/>
        <v>0</v>
      </c>
      <c r="AQ259" s="159">
        <f t="shared" si="34"/>
        <v>0</v>
      </c>
      <c r="AS259" s="159">
        <f t="shared" si="35"/>
        <v>0</v>
      </c>
      <c r="AU259" s="159">
        <f t="shared" si="36"/>
        <v>0</v>
      </c>
      <c r="AW259" s="159">
        <f t="shared" si="37"/>
        <v>0</v>
      </c>
    </row>
    <row r="260" spans="1:49" x14ac:dyDescent="0.2">
      <c r="A260" s="411"/>
      <c r="B260" s="411"/>
      <c r="C260" s="411"/>
      <c r="D260" s="411"/>
      <c r="E260" s="411"/>
      <c r="F260" s="411"/>
      <c r="G260" s="535"/>
      <c r="H260" s="536"/>
      <c r="I260" s="536"/>
      <c r="J260" s="536"/>
      <c r="K260" s="536"/>
      <c r="L260" s="537"/>
      <c r="M260" s="412">
        <f>IF(K260&gt;=Input!$B$18,1,0)</f>
        <v>0</v>
      </c>
      <c r="N260" s="159" t="str">
        <f t="shared" si="19"/>
        <v xml:space="preserve"> -  -  - 0</v>
      </c>
      <c r="O260" s="159">
        <f t="shared" si="20"/>
        <v>0</v>
      </c>
      <c r="Q260" s="159">
        <f t="shared" si="21"/>
        <v>0</v>
      </c>
      <c r="S260" s="159">
        <f t="shared" si="22"/>
        <v>0</v>
      </c>
      <c r="U260" s="159">
        <f t="shared" si="23"/>
        <v>0</v>
      </c>
      <c r="W260" s="159">
        <f t="shared" si="24"/>
        <v>0</v>
      </c>
      <c r="Y260" s="159">
        <f t="shared" si="25"/>
        <v>0</v>
      </c>
      <c r="AA260" s="159">
        <f t="shared" si="26"/>
        <v>0</v>
      </c>
      <c r="AC260" s="159">
        <f t="shared" si="27"/>
        <v>0</v>
      </c>
      <c r="AE260" s="159">
        <f t="shared" si="28"/>
        <v>0</v>
      </c>
      <c r="AG260" s="159">
        <f t="shared" si="29"/>
        <v>0</v>
      </c>
      <c r="AI260" s="159">
        <f t="shared" si="30"/>
        <v>0</v>
      </c>
      <c r="AK260" s="159">
        <f t="shared" si="31"/>
        <v>0</v>
      </c>
      <c r="AM260" s="159">
        <f t="shared" si="32"/>
        <v>0</v>
      </c>
      <c r="AO260" s="159">
        <f t="shared" si="33"/>
        <v>0</v>
      </c>
      <c r="AQ260" s="159">
        <f t="shared" si="34"/>
        <v>0</v>
      </c>
      <c r="AS260" s="159">
        <f t="shared" si="35"/>
        <v>0</v>
      </c>
      <c r="AU260" s="159">
        <f t="shared" si="36"/>
        <v>0</v>
      </c>
      <c r="AW260" s="159">
        <f t="shared" si="37"/>
        <v>0</v>
      </c>
    </row>
    <row r="261" spans="1:49" x14ac:dyDescent="0.2">
      <c r="A261" s="411"/>
      <c r="B261" s="411"/>
      <c r="C261" s="411"/>
      <c r="D261" s="411"/>
      <c r="E261" s="411"/>
      <c r="F261" s="411"/>
      <c r="G261" s="535"/>
      <c r="H261" s="536"/>
      <c r="I261" s="536"/>
      <c r="J261" s="536"/>
      <c r="K261" s="536"/>
      <c r="L261" s="537"/>
      <c r="M261" s="412">
        <f>IF(K261&gt;=Input!$B$18,1,0)</f>
        <v>0</v>
      </c>
      <c r="N261" s="159" t="str">
        <f t="shared" si="19"/>
        <v xml:space="preserve"> -  -  - 0</v>
      </c>
      <c r="O261" s="159">
        <f t="shared" si="20"/>
        <v>0</v>
      </c>
      <c r="Q261" s="159">
        <f t="shared" si="21"/>
        <v>0</v>
      </c>
      <c r="S261" s="159">
        <f t="shared" si="22"/>
        <v>0</v>
      </c>
      <c r="U261" s="159">
        <f t="shared" si="23"/>
        <v>0</v>
      </c>
      <c r="W261" s="159">
        <f t="shared" si="24"/>
        <v>0</v>
      </c>
      <c r="Y261" s="159">
        <f t="shared" si="25"/>
        <v>0</v>
      </c>
      <c r="AA261" s="159">
        <f t="shared" si="26"/>
        <v>0</v>
      </c>
      <c r="AC261" s="159">
        <f t="shared" si="27"/>
        <v>0</v>
      </c>
      <c r="AE261" s="159">
        <f t="shared" si="28"/>
        <v>0</v>
      </c>
      <c r="AG261" s="159">
        <f t="shared" si="29"/>
        <v>0</v>
      </c>
      <c r="AI261" s="159">
        <f t="shared" si="30"/>
        <v>0</v>
      </c>
      <c r="AK261" s="159">
        <f t="shared" si="31"/>
        <v>0</v>
      </c>
      <c r="AM261" s="159">
        <f t="shared" si="32"/>
        <v>0</v>
      </c>
      <c r="AO261" s="159">
        <f t="shared" si="33"/>
        <v>0</v>
      </c>
      <c r="AQ261" s="159">
        <f t="shared" si="34"/>
        <v>0</v>
      </c>
      <c r="AS261" s="159">
        <f t="shared" si="35"/>
        <v>0</v>
      </c>
      <c r="AU261" s="159">
        <f t="shared" si="36"/>
        <v>0</v>
      </c>
      <c r="AW261" s="159">
        <f t="shared" si="37"/>
        <v>0</v>
      </c>
    </row>
    <row r="262" spans="1:49" x14ac:dyDescent="0.2">
      <c r="A262" s="411"/>
      <c r="B262" s="411"/>
      <c r="C262" s="411"/>
      <c r="D262" s="411"/>
      <c r="E262" s="411"/>
      <c r="F262" s="411"/>
      <c r="G262" s="535"/>
      <c r="H262" s="536"/>
      <c r="I262" s="536"/>
      <c r="J262" s="536"/>
      <c r="K262" s="536"/>
      <c r="L262" s="537"/>
      <c r="M262" s="412">
        <f>IF(K262&gt;=Input!$B$18,1,0)</f>
        <v>0</v>
      </c>
      <c r="N262" s="159" t="str">
        <f t="shared" si="19"/>
        <v xml:space="preserve"> -  -  - 0</v>
      </c>
      <c r="O262" s="159">
        <f t="shared" si="20"/>
        <v>0</v>
      </c>
      <c r="Q262" s="159">
        <f t="shared" si="21"/>
        <v>0</v>
      </c>
      <c r="S262" s="159">
        <f t="shared" si="22"/>
        <v>0</v>
      </c>
      <c r="U262" s="159">
        <f t="shared" si="23"/>
        <v>0</v>
      </c>
      <c r="W262" s="159">
        <f t="shared" si="24"/>
        <v>0</v>
      </c>
      <c r="Y262" s="159">
        <f t="shared" si="25"/>
        <v>0</v>
      </c>
      <c r="AA262" s="159">
        <f t="shared" si="26"/>
        <v>0</v>
      </c>
      <c r="AC262" s="159">
        <f t="shared" si="27"/>
        <v>0</v>
      </c>
      <c r="AE262" s="159">
        <f t="shared" si="28"/>
        <v>0</v>
      </c>
      <c r="AG262" s="159">
        <f t="shared" si="29"/>
        <v>0</v>
      </c>
      <c r="AI262" s="159">
        <f t="shared" si="30"/>
        <v>0</v>
      </c>
      <c r="AK262" s="159">
        <f t="shared" si="31"/>
        <v>0</v>
      </c>
      <c r="AM262" s="159">
        <f t="shared" si="32"/>
        <v>0</v>
      </c>
      <c r="AO262" s="159">
        <f t="shared" si="33"/>
        <v>0</v>
      </c>
      <c r="AQ262" s="159">
        <f t="shared" si="34"/>
        <v>0</v>
      </c>
      <c r="AS262" s="159">
        <f t="shared" si="35"/>
        <v>0</v>
      </c>
      <c r="AU262" s="159">
        <f t="shared" si="36"/>
        <v>0</v>
      </c>
      <c r="AW262" s="159">
        <f t="shared" si="37"/>
        <v>0</v>
      </c>
    </row>
    <row r="263" spans="1:49" x14ac:dyDescent="0.2">
      <c r="A263" s="411"/>
      <c r="B263" s="411"/>
      <c r="C263" s="411"/>
      <c r="D263" s="411"/>
      <c r="E263" s="411"/>
      <c r="F263" s="411"/>
      <c r="G263" s="535"/>
      <c r="H263" s="536"/>
      <c r="I263" s="536"/>
      <c r="J263" s="536"/>
      <c r="K263" s="536"/>
      <c r="L263" s="537"/>
      <c r="M263" s="412">
        <f>IF(K263&gt;=Input!$B$18,1,0)</f>
        <v>0</v>
      </c>
      <c r="N263" s="159" t="str">
        <f t="shared" si="19"/>
        <v xml:space="preserve"> -  -  - 0</v>
      </c>
      <c r="O263" s="159">
        <f t="shared" si="20"/>
        <v>0</v>
      </c>
      <c r="Q263" s="159">
        <f t="shared" si="21"/>
        <v>0</v>
      </c>
      <c r="S263" s="159">
        <f t="shared" si="22"/>
        <v>0</v>
      </c>
      <c r="U263" s="159">
        <f t="shared" si="23"/>
        <v>0</v>
      </c>
      <c r="W263" s="159">
        <f t="shared" si="24"/>
        <v>0</v>
      </c>
      <c r="Y263" s="159">
        <f t="shared" si="25"/>
        <v>0</v>
      </c>
      <c r="AA263" s="159">
        <f t="shared" si="26"/>
        <v>0</v>
      </c>
      <c r="AC263" s="159">
        <f t="shared" si="27"/>
        <v>0</v>
      </c>
      <c r="AE263" s="159">
        <f t="shared" si="28"/>
        <v>0</v>
      </c>
      <c r="AG263" s="159">
        <f t="shared" si="29"/>
        <v>0</v>
      </c>
      <c r="AI263" s="159">
        <f t="shared" si="30"/>
        <v>0</v>
      </c>
      <c r="AK263" s="159">
        <f t="shared" si="31"/>
        <v>0</v>
      </c>
      <c r="AM263" s="159">
        <f t="shared" si="32"/>
        <v>0</v>
      </c>
      <c r="AO263" s="159">
        <f t="shared" si="33"/>
        <v>0</v>
      </c>
      <c r="AQ263" s="159">
        <f t="shared" si="34"/>
        <v>0</v>
      </c>
      <c r="AS263" s="159">
        <f t="shared" si="35"/>
        <v>0</v>
      </c>
      <c r="AU263" s="159">
        <f t="shared" si="36"/>
        <v>0</v>
      </c>
      <c r="AW263" s="159">
        <f t="shared" si="37"/>
        <v>0</v>
      </c>
    </row>
    <row r="264" spans="1:49" x14ac:dyDescent="0.2">
      <c r="A264" s="411"/>
      <c r="B264" s="411"/>
      <c r="C264" s="411"/>
      <c r="D264" s="411"/>
      <c r="E264" s="411"/>
      <c r="F264" s="411"/>
      <c r="G264" s="535"/>
      <c r="H264" s="536"/>
      <c r="I264" s="536"/>
      <c r="J264" s="536"/>
      <c r="K264" s="536"/>
      <c r="L264" s="537"/>
      <c r="M264" s="412">
        <f>IF(K264&gt;=Input!$B$18,1,0)</f>
        <v>0</v>
      </c>
      <c r="N264" s="159" t="str">
        <f t="shared" si="19"/>
        <v xml:space="preserve"> -  -  - 0</v>
      </c>
      <c r="O264" s="159">
        <f t="shared" si="20"/>
        <v>0</v>
      </c>
      <c r="Q264" s="159">
        <f t="shared" si="21"/>
        <v>0</v>
      </c>
      <c r="S264" s="159">
        <f t="shared" si="22"/>
        <v>0</v>
      </c>
      <c r="U264" s="159">
        <f t="shared" si="23"/>
        <v>0</v>
      </c>
      <c r="W264" s="159">
        <f t="shared" si="24"/>
        <v>0</v>
      </c>
      <c r="Y264" s="159">
        <f t="shared" si="25"/>
        <v>0</v>
      </c>
      <c r="AA264" s="159">
        <f t="shared" si="26"/>
        <v>0</v>
      </c>
      <c r="AC264" s="159">
        <f t="shared" si="27"/>
        <v>0</v>
      </c>
      <c r="AE264" s="159">
        <f t="shared" si="28"/>
        <v>0</v>
      </c>
      <c r="AG264" s="159">
        <f t="shared" si="29"/>
        <v>0</v>
      </c>
      <c r="AI264" s="159">
        <f t="shared" si="30"/>
        <v>0</v>
      </c>
      <c r="AK264" s="159">
        <f t="shared" si="31"/>
        <v>0</v>
      </c>
      <c r="AM264" s="159">
        <f t="shared" si="32"/>
        <v>0</v>
      </c>
      <c r="AO264" s="159">
        <f t="shared" si="33"/>
        <v>0</v>
      </c>
      <c r="AQ264" s="159">
        <f t="shared" si="34"/>
        <v>0</v>
      </c>
      <c r="AS264" s="159">
        <f t="shared" si="35"/>
        <v>0</v>
      </c>
      <c r="AU264" s="159">
        <f t="shared" si="36"/>
        <v>0</v>
      </c>
      <c r="AW264" s="159">
        <f t="shared" si="37"/>
        <v>0</v>
      </c>
    </row>
    <row r="265" spans="1:49" x14ac:dyDescent="0.2">
      <c r="A265" s="411"/>
      <c r="B265" s="411"/>
      <c r="C265" s="411"/>
      <c r="D265" s="411"/>
      <c r="E265" s="411"/>
      <c r="F265" s="411"/>
      <c r="G265" s="535"/>
      <c r="H265" s="536"/>
      <c r="I265" s="536"/>
      <c r="J265" s="536"/>
      <c r="K265" s="536"/>
      <c r="L265" s="537"/>
      <c r="M265" s="412">
        <f>IF(K265&gt;=Input!$B$18,1,0)</f>
        <v>0</v>
      </c>
      <c r="N265" s="159" t="str">
        <f t="shared" si="19"/>
        <v xml:space="preserve"> -  -  - 0</v>
      </c>
      <c r="O265" s="159">
        <f t="shared" si="20"/>
        <v>0</v>
      </c>
      <c r="Q265" s="159">
        <f t="shared" si="21"/>
        <v>0</v>
      </c>
      <c r="S265" s="159">
        <f t="shared" si="22"/>
        <v>0</v>
      </c>
      <c r="U265" s="159">
        <f t="shared" si="23"/>
        <v>0</v>
      </c>
      <c r="W265" s="159">
        <f t="shared" si="24"/>
        <v>0</v>
      </c>
      <c r="Y265" s="159">
        <f t="shared" si="25"/>
        <v>0</v>
      </c>
      <c r="AA265" s="159">
        <f t="shared" si="26"/>
        <v>0</v>
      </c>
      <c r="AC265" s="159">
        <f t="shared" si="27"/>
        <v>0</v>
      </c>
      <c r="AE265" s="159">
        <f t="shared" si="28"/>
        <v>0</v>
      </c>
      <c r="AG265" s="159">
        <f t="shared" si="29"/>
        <v>0</v>
      </c>
      <c r="AI265" s="159">
        <f t="shared" si="30"/>
        <v>0</v>
      </c>
      <c r="AK265" s="159">
        <f t="shared" si="31"/>
        <v>0</v>
      </c>
      <c r="AM265" s="159">
        <f t="shared" si="32"/>
        <v>0</v>
      </c>
      <c r="AO265" s="159">
        <f t="shared" si="33"/>
        <v>0</v>
      </c>
      <c r="AQ265" s="159">
        <f t="shared" si="34"/>
        <v>0</v>
      </c>
      <c r="AS265" s="159">
        <f t="shared" si="35"/>
        <v>0</v>
      </c>
      <c r="AU265" s="159">
        <f t="shared" si="36"/>
        <v>0</v>
      </c>
      <c r="AW265" s="159">
        <f t="shared" si="37"/>
        <v>0</v>
      </c>
    </row>
    <row r="266" spans="1:49" x14ac:dyDescent="0.2">
      <c r="A266" s="411"/>
      <c r="B266" s="411"/>
      <c r="C266" s="411"/>
      <c r="D266" s="411"/>
      <c r="E266" s="411"/>
      <c r="F266" s="411"/>
      <c r="G266" s="535"/>
      <c r="H266" s="536"/>
      <c r="I266" s="536"/>
      <c r="J266" s="536"/>
      <c r="K266" s="536"/>
      <c r="L266" s="537"/>
      <c r="M266" s="412">
        <f>IF(K266&gt;=Input!$B$18,1,0)</f>
        <v>0</v>
      </c>
      <c r="N266" s="159" t="str">
        <f t="shared" si="19"/>
        <v xml:space="preserve"> -  -  - 0</v>
      </c>
      <c r="O266" s="159">
        <f t="shared" si="20"/>
        <v>0</v>
      </c>
      <c r="Q266" s="159">
        <f t="shared" si="21"/>
        <v>0</v>
      </c>
      <c r="S266" s="159">
        <f t="shared" si="22"/>
        <v>0</v>
      </c>
      <c r="U266" s="159">
        <f t="shared" si="23"/>
        <v>0</v>
      </c>
      <c r="W266" s="159">
        <f t="shared" si="24"/>
        <v>0</v>
      </c>
      <c r="Y266" s="159">
        <f t="shared" si="25"/>
        <v>0</v>
      </c>
      <c r="AA266" s="159">
        <f t="shared" si="26"/>
        <v>0</v>
      </c>
      <c r="AC266" s="159">
        <f t="shared" si="27"/>
        <v>0</v>
      </c>
      <c r="AE266" s="159">
        <f t="shared" si="28"/>
        <v>0</v>
      </c>
      <c r="AG266" s="159">
        <f t="shared" si="29"/>
        <v>0</v>
      </c>
      <c r="AI266" s="159">
        <f t="shared" si="30"/>
        <v>0</v>
      </c>
      <c r="AK266" s="159">
        <f t="shared" si="31"/>
        <v>0</v>
      </c>
      <c r="AM266" s="159">
        <f t="shared" si="32"/>
        <v>0</v>
      </c>
      <c r="AO266" s="159">
        <f t="shared" si="33"/>
        <v>0</v>
      </c>
      <c r="AQ266" s="159">
        <f t="shared" si="34"/>
        <v>0</v>
      </c>
      <c r="AS266" s="159">
        <f t="shared" si="35"/>
        <v>0</v>
      </c>
      <c r="AU266" s="159">
        <f t="shared" si="36"/>
        <v>0</v>
      </c>
      <c r="AW266" s="159">
        <f t="shared" si="37"/>
        <v>0</v>
      </c>
    </row>
    <row r="267" spans="1:49" x14ac:dyDescent="0.2">
      <c r="A267" s="411"/>
      <c r="B267" s="411"/>
      <c r="C267" s="411"/>
      <c r="D267" s="411"/>
      <c r="E267" s="411"/>
      <c r="F267" s="411"/>
      <c r="G267" s="535"/>
      <c r="H267" s="536"/>
      <c r="I267" s="536"/>
      <c r="J267" s="536"/>
      <c r="K267" s="536"/>
      <c r="L267" s="537"/>
      <c r="M267" s="412">
        <f>IF(K267&gt;=Input!$B$18,1,0)</f>
        <v>0</v>
      </c>
      <c r="N267" s="159" t="str">
        <f t="shared" si="19"/>
        <v xml:space="preserve"> -  -  - 0</v>
      </c>
      <c r="O267" s="159">
        <f t="shared" si="20"/>
        <v>0</v>
      </c>
      <c r="Q267" s="159">
        <f t="shared" si="21"/>
        <v>0</v>
      </c>
      <c r="S267" s="159">
        <f t="shared" si="22"/>
        <v>0</v>
      </c>
      <c r="U267" s="159">
        <f t="shared" si="23"/>
        <v>0</v>
      </c>
      <c r="W267" s="159">
        <f t="shared" si="24"/>
        <v>0</v>
      </c>
      <c r="Y267" s="159">
        <f t="shared" si="25"/>
        <v>0</v>
      </c>
      <c r="AA267" s="159">
        <f t="shared" si="26"/>
        <v>0</v>
      </c>
      <c r="AC267" s="159">
        <f t="shared" si="27"/>
        <v>0</v>
      </c>
      <c r="AE267" s="159">
        <f t="shared" si="28"/>
        <v>0</v>
      </c>
      <c r="AG267" s="159">
        <f t="shared" si="29"/>
        <v>0</v>
      </c>
      <c r="AI267" s="159">
        <f t="shared" si="30"/>
        <v>0</v>
      </c>
      <c r="AK267" s="159">
        <f t="shared" si="31"/>
        <v>0</v>
      </c>
      <c r="AM267" s="159">
        <f t="shared" si="32"/>
        <v>0</v>
      </c>
      <c r="AO267" s="159">
        <f t="shared" si="33"/>
        <v>0</v>
      </c>
      <c r="AQ267" s="159">
        <f t="shared" si="34"/>
        <v>0</v>
      </c>
      <c r="AS267" s="159">
        <f t="shared" si="35"/>
        <v>0</v>
      </c>
      <c r="AU267" s="159">
        <f t="shared" si="36"/>
        <v>0</v>
      </c>
      <c r="AW267" s="159">
        <f t="shared" si="37"/>
        <v>0</v>
      </c>
    </row>
    <row r="268" spans="1:49" x14ac:dyDescent="0.2">
      <c r="A268" s="411"/>
      <c r="B268" s="411"/>
      <c r="C268" s="411"/>
      <c r="D268" s="411"/>
      <c r="E268" s="411"/>
      <c r="F268" s="411"/>
      <c r="G268" s="535"/>
      <c r="H268" s="536"/>
      <c r="I268" s="536"/>
      <c r="J268" s="536"/>
      <c r="K268" s="536"/>
      <c r="L268" s="537"/>
      <c r="M268" s="412">
        <f>IF(K268&gt;=Input!$B$18,1,0)</f>
        <v>0</v>
      </c>
      <c r="N268" s="159" t="str">
        <f t="shared" si="19"/>
        <v xml:space="preserve"> -  -  - 0</v>
      </c>
      <c r="O268" s="159">
        <f t="shared" si="20"/>
        <v>0</v>
      </c>
      <c r="Q268" s="159">
        <f t="shared" si="21"/>
        <v>0</v>
      </c>
      <c r="S268" s="159">
        <f t="shared" si="22"/>
        <v>0</v>
      </c>
      <c r="U268" s="159">
        <f t="shared" si="23"/>
        <v>0</v>
      </c>
      <c r="W268" s="159">
        <f t="shared" si="24"/>
        <v>0</v>
      </c>
      <c r="Y268" s="159">
        <f t="shared" si="25"/>
        <v>0</v>
      </c>
      <c r="AA268" s="159">
        <f t="shared" si="26"/>
        <v>0</v>
      </c>
      <c r="AC268" s="159">
        <f t="shared" si="27"/>
        <v>0</v>
      </c>
      <c r="AE268" s="159">
        <f t="shared" si="28"/>
        <v>0</v>
      </c>
      <c r="AG268" s="159">
        <f t="shared" si="29"/>
        <v>0</v>
      </c>
      <c r="AI268" s="159">
        <f t="shared" si="30"/>
        <v>0</v>
      </c>
      <c r="AK268" s="159">
        <f t="shared" si="31"/>
        <v>0</v>
      </c>
      <c r="AM268" s="159">
        <f t="shared" si="32"/>
        <v>0</v>
      </c>
      <c r="AO268" s="159">
        <f t="shared" si="33"/>
        <v>0</v>
      </c>
      <c r="AQ268" s="159">
        <f t="shared" si="34"/>
        <v>0</v>
      </c>
      <c r="AS268" s="159">
        <f t="shared" si="35"/>
        <v>0</v>
      </c>
      <c r="AU268" s="159">
        <f t="shared" si="36"/>
        <v>0</v>
      </c>
      <c r="AW268" s="159">
        <f t="shared" si="37"/>
        <v>0</v>
      </c>
    </row>
    <row r="269" spans="1:49" x14ac:dyDescent="0.2">
      <c r="A269" s="411"/>
      <c r="B269" s="411"/>
      <c r="C269" s="411"/>
      <c r="D269" s="411"/>
      <c r="E269" s="411"/>
      <c r="F269" s="411"/>
      <c r="G269" s="535"/>
      <c r="H269" s="536"/>
      <c r="I269" s="536"/>
      <c r="J269" s="536"/>
      <c r="K269" s="536"/>
      <c r="L269" s="537"/>
      <c r="M269" s="412">
        <f>IF(K269&gt;=Input!$B$18,1,0)</f>
        <v>0</v>
      </c>
      <c r="N269" s="159" t="str">
        <f t="shared" si="19"/>
        <v xml:space="preserve"> -  -  - 0</v>
      </c>
      <c r="O269" s="159">
        <f t="shared" si="20"/>
        <v>0</v>
      </c>
      <c r="Q269" s="159">
        <f t="shared" si="21"/>
        <v>0</v>
      </c>
      <c r="S269" s="159">
        <f t="shared" si="22"/>
        <v>0</v>
      </c>
      <c r="U269" s="159">
        <f t="shared" si="23"/>
        <v>0</v>
      </c>
      <c r="W269" s="159">
        <f t="shared" si="24"/>
        <v>0</v>
      </c>
      <c r="Y269" s="159">
        <f t="shared" si="25"/>
        <v>0</v>
      </c>
      <c r="AA269" s="159">
        <f t="shared" si="26"/>
        <v>0</v>
      </c>
      <c r="AC269" s="159">
        <f t="shared" si="27"/>
        <v>0</v>
      </c>
      <c r="AE269" s="159">
        <f t="shared" si="28"/>
        <v>0</v>
      </c>
      <c r="AG269" s="159">
        <f t="shared" si="29"/>
        <v>0</v>
      </c>
      <c r="AI269" s="159">
        <f t="shared" si="30"/>
        <v>0</v>
      </c>
      <c r="AK269" s="159">
        <f t="shared" si="31"/>
        <v>0</v>
      </c>
      <c r="AM269" s="159">
        <f t="shared" si="32"/>
        <v>0</v>
      </c>
      <c r="AO269" s="159">
        <f t="shared" si="33"/>
        <v>0</v>
      </c>
      <c r="AQ269" s="159">
        <f t="shared" si="34"/>
        <v>0</v>
      </c>
      <c r="AS269" s="159">
        <f t="shared" si="35"/>
        <v>0</v>
      </c>
      <c r="AU269" s="159">
        <f t="shared" si="36"/>
        <v>0</v>
      </c>
      <c r="AW269" s="159">
        <f t="shared" si="37"/>
        <v>0</v>
      </c>
    </row>
    <row r="270" spans="1:49" x14ac:dyDescent="0.2">
      <c r="A270" s="411"/>
      <c r="B270" s="411"/>
      <c r="C270" s="411"/>
      <c r="D270" s="411"/>
      <c r="E270" s="411"/>
      <c r="F270" s="411"/>
      <c r="G270" s="535"/>
      <c r="H270" s="536"/>
      <c r="I270" s="536"/>
      <c r="J270" s="536"/>
      <c r="K270" s="536"/>
      <c r="L270" s="537"/>
      <c r="M270" s="412">
        <f>IF(K270&gt;=Input!$B$18,1,0)</f>
        <v>0</v>
      </c>
      <c r="N270" s="159" t="str">
        <f t="shared" si="19"/>
        <v xml:space="preserve"> -  -  - 0</v>
      </c>
      <c r="O270" s="159">
        <f t="shared" si="20"/>
        <v>0</v>
      </c>
      <c r="Q270" s="159">
        <f t="shared" si="21"/>
        <v>0</v>
      </c>
      <c r="S270" s="159">
        <f t="shared" si="22"/>
        <v>0</v>
      </c>
      <c r="U270" s="159">
        <f t="shared" si="23"/>
        <v>0</v>
      </c>
      <c r="W270" s="159">
        <f t="shared" si="24"/>
        <v>0</v>
      </c>
      <c r="Y270" s="159">
        <f t="shared" si="25"/>
        <v>0</v>
      </c>
      <c r="AA270" s="159">
        <f t="shared" si="26"/>
        <v>0</v>
      </c>
      <c r="AC270" s="159">
        <f t="shared" si="27"/>
        <v>0</v>
      </c>
      <c r="AE270" s="159">
        <f t="shared" si="28"/>
        <v>0</v>
      </c>
      <c r="AG270" s="159">
        <f t="shared" si="29"/>
        <v>0</v>
      </c>
      <c r="AI270" s="159">
        <f t="shared" si="30"/>
        <v>0</v>
      </c>
      <c r="AK270" s="159">
        <f t="shared" si="31"/>
        <v>0</v>
      </c>
      <c r="AM270" s="159">
        <f t="shared" si="32"/>
        <v>0</v>
      </c>
      <c r="AO270" s="159">
        <f t="shared" si="33"/>
        <v>0</v>
      </c>
      <c r="AQ270" s="159">
        <f t="shared" si="34"/>
        <v>0</v>
      </c>
      <c r="AS270" s="159">
        <f t="shared" si="35"/>
        <v>0</v>
      </c>
      <c r="AU270" s="159">
        <f t="shared" si="36"/>
        <v>0</v>
      </c>
      <c r="AW270" s="159">
        <f t="shared" si="37"/>
        <v>0</v>
      </c>
    </row>
    <row r="271" spans="1:49" x14ac:dyDescent="0.2">
      <c r="A271" s="411"/>
      <c r="B271" s="411"/>
      <c r="C271" s="411"/>
      <c r="D271" s="411"/>
      <c r="E271" s="411"/>
      <c r="F271" s="411"/>
      <c r="G271" s="535"/>
      <c r="H271" s="536"/>
      <c r="I271" s="536"/>
      <c r="J271" s="536"/>
      <c r="K271" s="536"/>
      <c r="L271" s="537"/>
      <c r="M271" s="412">
        <f>IF(K271&gt;=Input!$B$18,1,0)</f>
        <v>0</v>
      </c>
      <c r="N271" s="159" t="str">
        <f t="shared" si="19"/>
        <v xml:space="preserve"> -  -  - 0</v>
      </c>
      <c r="O271" s="159">
        <f t="shared" si="20"/>
        <v>0</v>
      </c>
      <c r="Q271" s="159">
        <f t="shared" si="21"/>
        <v>0</v>
      </c>
      <c r="S271" s="159">
        <f t="shared" si="22"/>
        <v>0</v>
      </c>
      <c r="U271" s="159">
        <f t="shared" si="23"/>
        <v>0</v>
      </c>
      <c r="W271" s="159">
        <f t="shared" si="24"/>
        <v>0</v>
      </c>
      <c r="Y271" s="159">
        <f t="shared" si="25"/>
        <v>0</v>
      </c>
      <c r="AA271" s="159">
        <f t="shared" si="26"/>
        <v>0</v>
      </c>
      <c r="AC271" s="159">
        <f t="shared" si="27"/>
        <v>0</v>
      </c>
      <c r="AE271" s="159">
        <f t="shared" si="28"/>
        <v>0</v>
      </c>
      <c r="AG271" s="159">
        <f t="shared" si="29"/>
        <v>0</v>
      </c>
      <c r="AI271" s="159">
        <f t="shared" si="30"/>
        <v>0</v>
      </c>
      <c r="AK271" s="159">
        <f t="shared" si="31"/>
        <v>0</v>
      </c>
      <c r="AM271" s="159">
        <f t="shared" si="32"/>
        <v>0</v>
      </c>
      <c r="AO271" s="159">
        <f t="shared" si="33"/>
        <v>0</v>
      </c>
      <c r="AQ271" s="159">
        <f t="shared" si="34"/>
        <v>0</v>
      </c>
      <c r="AS271" s="159">
        <f t="shared" si="35"/>
        <v>0</v>
      </c>
      <c r="AU271" s="159">
        <f t="shared" si="36"/>
        <v>0</v>
      </c>
      <c r="AW271" s="159">
        <f t="shared" si="37"/>
        <v>0</v>
      </c>
    </row>
    <row r="272" spans="1:49" x14ac:dyDescent="0.2">
      <c r="A272" s="411"/>
      <c r="B272" s="411"/>
      <c r="C272" s="411"/>
      <c r="D272" s="411"/>
      <c r="E272" s="411"/>
      <c r="F272" s="411"/>
      <c r="G272" s="535"/>
      <c r="H272" s="536"/>
      <c r="I272" s="536"/>
      <c r="J272" s="536"/>
      <c r="K272" s="536"/>
      <c r="L272" s="537"/>
      <c r="M272" s="412">
        <f>IF(K272&gt;=Input!$B$18,1,0)</f>
        <v>0</v>
      </c>
      <c r="N272" s="159" t="str">
        <f t="shared" si="19"/>
        <v xml:space="preserve"> -  -  - 0</v>
      </c>
      <c r="O272" s="159">
        <f t="shared" si="20"/>
        <v>0</v>
      </c>
      <c r="Q272" s="159">
        <f t="shared" si="21"/>
        <v>0</v>
      </c>
      <c r="S272" s="159">
        <f t="shared" si="22"/>
        <v>0</v>
      </c>
      <c r="U272" s="159">
        <f t="shared" si="23"/>
        <v>0</v>
      </c>
      <c r="W272" s="159">
        <f t="shared" si="24"/>
        <v>0</v>
      </c>
      <c r="Y272" s="159">
        <f t="shared" si="25"/>
        <v>0</v>
      </c>
      <c r="AA272" s="159">
        <f t="shared" si="26"/>
        <v>0</v>
      </c>
      <c r="AC272" s="159">
        <f t="shared" si="27"/>
        <v>0</v>
      </c>
      <c r="AE272" s="159">
        <f t="shared" si="28"/>
        <v>0</v>
      </c>
      <c r="AG272" s="159">
        <f t="shared" si="29"/>
        <v>0</v>
      </c>
      <c r="AI272" s="159">
        <f t="shared" si="30"/>
        <v>0</v>
      </c>
      <c r="AK272" s="159">
        <f t="shared" si="31"/>
        <v>0</v>
      </c>
      <c r="AM272" s="159">
        <f t="shared" si="32"/>
        <v>0</v>
      </c>
      <c r="AO272" s="159">
        <f t="shared" si="33"/>
        <v>0</v>
      </c>
      <c r="AQ272" s="159">
        <f t="shared" si="34"/>
        <v>0</v>
      </c>
      <c r="AS272" s="159">
        <f t="shared" si="35"/>
        <v>0</v>
      </c>
      <c r="AU272" s="159">
        <f t="shared" si="36"/>
        <v>0</v>
      </c>
      <c r="AW272" s="159">
        <f t="shared" si="37"/>
        <v>0</v>
      </c>
    </row>
    <row r="273" spans="1:49" x14ac:dyDescent="0.2">
      <c r="A273" s="411"/>
      <c r="B273" s="411"/>
      <c r="C273" s="411"/>
      <c r="D273" s="411"/>
      <c r="E273" s="411"/>
      <c r="F273" s="411"/>
      <c r="G273" s="535"/>
      <c r="H273" s="536"/>
      <c r="I273" s="536"/>
      <c r="J273" s="536"/>
      <c r="K273" s="536"/>
      <c r="L273" s="537"/>
      <c r="M273" s="412">
        <f>IF(K273&gt;=Input!$B$18,1,0)</f>
        <v>0</v>
      </c>
      <c r="N273" s="159" t="str">
        <f t="shared" si="19"/>
        <v xml:space="preserve"> -  -  - 0</v>
      </c>
      <c r="O273" s="159">
        <f t="shared" si="20"/>
        <v>0</v>
      </c>
      <c r="Q273" s="159">
        <f t="shared" si="21"/>
        <v>0</v>
      </c>
      <c r="S273" s="159">
        <f t="shared" si="22"/>
        <v>0</v>
      </c>
      <c r="U273" s="159">
        <f t="shared" si="23"/>
        <v>0</v>
      </c>
      <c r="W273" s="159">
        <f t="shared" si="24"/>
        <v>0</v>
      </c>
      <c r="Y273" s="159">
        <f t="shared" si="25"/>
        <v>0</v>
      </c>
      <c r="AA273" s="159">
        <f t="shared" si="26"/>
        <v>0</v>
      </c>
      <c r="AC273" s="159">
        <f t="shared" si="27"/>
        <v>0</v>
      </c>
      <c r="AE273" s="159">
        <f t="shared" si="28"/>
        <v>0</v>
      </c>
      <c r="AG273" s="159">
        <f t="shared" si="29"/>
        <v>0</v>
      </c>
      <c r="AI273" s="159">
        <f t="shared" si="30"/>
        <v>0</v>
      </c>
      <c r="AK273" s="159">
        <f t="shared" si="31"/>
        <v>0</v>
      </c>
      <c r="AM273" s="159">
        <f t="shared" si="32"/>
        <v>0</v>
      </c>
      <c r="AO273" s="159">
        <f t="shared" si="33"/>
        <v>0</v>
      </c>
      <c r="AQ273" s="159">
        <f t="shared" si="34"/>
        <v>0</v>
      </c>
      <c r="AS273" s="159">
        <f t="shared" si="35"/>
        <v>0</v>
      </c>
      <c r="AU273" s="159">
        <f t="shared" si="36"/>
        <v>0</v>
      </c>
      <c r="AW273" s="159">
        <f t="shared" si="37"/>
        <v>0</v>
      </c>
    </row>
    <row r="274" spans="1:49" x14ac:dyDescent="0.2">
      <c r="A274" s="411"/>
      <c r="B274" s="411"/>
      <c r="C274" s="411"/>
      <c r="D274" s="411"/>
      <c r="E274" s="411"/>
      <c r="F274" s="411"/>
      <c r="G274" s="535"/>
      <c r="H274" s="536"/>
      <c r="I274" s="536"/>
      <c r="J274" s="536"/>
      <c r="K274" s="536"/>
      <c r="L274" s="537"/>
      <c r="M274" s="412">
        <f>IF(K274&gt;=Input!$B$18,1,0)</f>
        <v>0</v>
      </c>
      <c r="N274" s="159" t="str">
        <f t="shared" si="19"/>
        <v xml:space="preserve"> -  -  - 0</v>
      </c>
      <c r="O274" s="159">
        <f t="shared" si="20"/>
        <v>0</v>
      </c>
      <c r="Q274" s="159">
        <f t="shared" si="21"/>
        <v>0</v>
      </c>
      <c r="S274" s="159">
        <f t="shared" si="22"/>
        <v>0</v>
      </c>
      <c r="U274" s="159">
        <f t="shared" si="23"/>
        <v>0</v>
      </c>
      <c r="W274" s="159">
        <f t="shared" si="24"/>
        <v>0</v>
      </c>
      <c r="Y274" s="159">
        <f t="shared" si="25"/>
        <v>0</v>
      </c>
      <c r="AA274" s="159">
        <f t="shared" si="26"/>
        <v>0</v>
      </c>
      <c r="AC274" s="159">
        <f t="shared" si="27"/>
        <v>0</v>
      </c>
      <c r="AE274" s="159">
        <f t="shared" si="28"/>
        <v>0</v>
      </c>
      <c r="AG274" s="159">
        <f t="shared" si="29"/>
        <v>0</v>
      </c>
      <c r="AI274" s="159">
        <f t="shared" si="30"/>
        <v>0</v>
      </c>
      <c r="AK274" s="159">
        <f t="shared" si="31"/>
        <v>0</v>
      </c>
      <c r="AM274" s="159">
        <f t="shared" si="32"/>
        <v>0</v>
      </c>
      <c r="AO274" s="159">
        <f t="shared" si="33"/>
        <v>0</v>
      </c>
      <c r="AQ274" s="159">
        <f t="shared" si="34"/>
        <v>0</v>
      </c>
      <c r="AS274" s="159">
        <f t="shared" si="35"/>
        <v>0</v>
      </c>
      <c r="AU274" s="159">
        <f t="shared" si="36"/>
        <v>0</v>
      </c>
      <c r="AW274" s="159">
        <f t="shared" si="37"/>
        <v>0</v>
      </c>
    </row>
    <row r="275" spans="1:49" x14ac:dyDescent="0.2">
      <c r="A275" s="411"/>
      <c r="B275" s="411"/>
      <c r="C275" s="411"/>
      <c r="D275" s="411"/>
      <c r="E275" s="411"/>
      <c r="F275" s="411"/>
      <c r="G275" s="535"/>
      <c r="H275" s="536"/>
      <c r="I275" s="536"/>
      <c r="J275" s="536"/>
      <c r="K275" s="536"/>
      <c r="L275" s="537"/>
      <c r="M275" s="412">
        <f>IF(K275&gt;=Input!$B$18,1,0)</f>
        <v>0</v>
      </c>
      <c r="N275" s="159" t="str">
        <f t="shared" si="19"/>
        <v xml:space="preserve"> -  -  - 0</v>
      </c>
      <c r="O275" s="159">
        <f t="shared" si="20"/>
        <v>0</v>
      </c>
      <c r="Q275" s="159">
        <f t="shared" si="21"/>
        <v>0</v>
      </c>
      <c r="S275" s="159">
        <f t="shared" si="22"/>
        <v>0</v>
      </c>
      <c r="U275" s="159">
        <f t="shared" si="23"/>
        <v>0</v>
      </c>
      <c r="W275" s="159">
        <f t="shared" si="24"/>
        <v>0</v>
      </c>
      <c r="Y275" s="159">
        <f t="shared" si="25"/>
        <v>0</v>
      </c>
      <c r="AA275" s="159">
        <f t="shared" si="26"/>
        <v>0</v>
      </c>
      <c r="AC275" s="159">
        <f t="shared" si="27"/>
        <v>0</v>
      </c>
      <c r="AE275" s="159">
        <f t="shared" si="28"/>
        <v>0</v>
      </c>
      <c r="AG275" s="159">
        <f t="shared" si="29"/>
        <v>0</v>
      </c>
      <c r="AI275" s="159">
        <f t="shared" si="30"/>
        <v>0</v>
      </c>
      <c r="AK275" s="159">
        <f t="shared" si="31"/>
        <v>0</v>
      </c>
      <c r="AM275" s="159">
        <f t="shared" si="32"/>
        <v>0</v>
      </c>
      <c r="AO275" s="159">
        <f t="shared" si="33"/>
        <v>0</v>
      </c>
      <c r="AQ275" s="159">
        <f t="shared" si="34"/>
        <v>0</v>
      </c>
      <c r="AS275" s="159">
        <f t="shared" si="35"/>
        <v>0</v>
      </c>
      <c r="AU275" s="159">
        <f t="shared" si="36"/>
        <v>0</v>
      </c>
      <c r="AW275" s="159">
        <f t="shared" si="37"/>
        <v>0</v>
      </c>
    </row>
    <row r="276" spans="1:49" x14ac:dyDescent="0.2">
      <c r="A276" s="411"/>
      <c r="B276" s="411"/>
      <c r="C276" s="411"/>
      <c r="D276" s="411"/>
      <c r="E276" s="411"/>
      <c r="F276" s="411"/>
      <c r="G276" s="535"/>
      <c r="H276" s="536"/>
      <c r="I276" s="536"/>
      <c r="J276" s="536"/>
      <c r="K276" s="536"/>
      <c r="L276" s="537"/>
      <c r="M276" s="412">
        <f>IF(K276&gt;=Input!$B$18,1,0)</f>
        <v>0</v>
      </c>
      <c r="N276" s="159" t="str">
        <f t="shared" si="19"/>
        <v xml:space="preserve"> -  -  - 0</v>
      </c>
      <c r="O276" s="159">
        <f t="shared" si="20"/>
        <v>0</v>
      </c>
      <c r="Q276" s="159">
        <f t="shared" si="21"/>
        <v>0</v>
      </c>
      <c r="S276" s="159">
        <f t="shared" si="22"/>
        <v>0</v>
      </c>
      <c r="U276" s="159">
        <f t="shared" si="23"/>
        <v>0</v>
      </c>
      <c r="W276" s="159">
        <f t="shared" si="24"/>
        <v>0</v>
      </c>
      <c r="Y276" s="159">
        <f t="shared" si="25"/>
        <v>0</v>
      </c>
      <c r="AA276" s="159">
        <f t="shared" si="26"/>
        <v>0</v>
      </c>
      <c r="AC276" s="159">
        <f t="shared" si="27"/>
        <v>0</v>
      </c>
      <c r="AE276" s="159">
        <f t="shared" si="28"/>
        <v>0</v>
      </c>
      <c r="AG276" s="159">
        <f t="shared" si="29"/>
        <v>0</v>
      </c>
      <c r="AI276" s="159">
        <f t="shared" si="30"/>
        <v>0</v>
      </c>
      <c r="AK276" s="159">
        <f t="shared" si="31"/>
        <v>0</v>
      </c>
      <c r="AM276" s="159">
        <f t="shared" si="32"/>
        <v>0</v>
      </c>
      <c r="AO276" s="159">
        <f t="shared" si="33"/>
        <v>0</v>
      </c>
      <c r="AQ276" s="159">
        <f t="shared" si="34"/>
        <v>0</v>
      </c>
      <c r="AS276" s="159">
        <f t="shared" si="35"/>
        <v>0</v>
      </c>
      <c r="AU276" s="159">
        <f t="shared" si="36"/>
        <v>0</v>
      </c>
      <c r="AW276" s="159">
        <f t="shared" si="37"/>
        <v>0</v>
      </c>
    </row>
    <row r="277" spans="1:49" x14ac:dyDescent="0.2">
      <c r="A277" s="411"/>
      <c r="B277" s="411"/>
      <c r="C277" s="411"/>
      <c r="D277" s="411"/>
      <c r="E277" s="411"/>
      <c r="F277" s="411"/>
      <c r="G277" s="535"/>
      <c r="H277" s="536"/>
      <c r="I277" s="536"/>
      <c r="J277" s="536"/>
      <c r="K277" s="536"/>
      <c r="L277" s="537"/>
      <c r="M277" s="412">
        <f>IF(K277&gt;=Input!$B$18,1,0)</f>
        <v>0</v>
      </c>
      <c r="N277" s="159" t="str">
        <f t="shared" si="19"/>
        <v xml:space="preserve"> -  -  - 0</v>
      </c>
      <c r="O277" s="159">
        <f t="shared" si="20"/>
        <v>0</v>
      </c>
      <c r="Q277" s="159">
        <f t="shared" si="21"/>
        <v>0</v>
      </c>
      <c r="S277" s="159">
        <f t="shared" si="22"/>
        <v>0</v>
      </c>
      <c r="U277" s="159">
        <f t="shared" si="23"/>
        <v>0</v>
      </c>
      <c r="W277" s="159">
        <f t="shared" si="24"/>
        <v>0</v>
      </c>
      <c r="Y277" s="159">
        <f t="shared" si="25"/>
        <v>0</v>
      </c>
      <c r="AA277" s="159">
        <f t="shared" si="26"/>
        <v>0</v>
      </c>
      <c r="AC277" s="159">
        <f t="shared" si="27"/>
        <v>0</v>
      </c>
      <c r="AE277" s="159">
        <f t="shared" si="28"/>
        <v>0</v>
      </c>
      <c r="AG277" s="159">
        <f t="shared" si="29"/>
        <v>0</v>
      </c>
      <c r="AI277" s="159">
        <f t="shared" si="30"/>
        <v>0</v>
      </c>
      <c r="AK277" s="159">
        <f t="shared" si="31"/>
        <v>0</v>
      </c>
      <c r="AM277" s="159">
        <f t="shared" si="32"/>
        <v>0</v>
      </c>
      <c r="AO277" s="159">
        <f t="shared" si="33"/>
        <v>0</v>
      </c>
      <c r="AQ277" s="159">
        <f t="shared" si="34"/>
        <v>0</v>
      </c>
      <c r="AS277" s="159">
        <f t="shared" si="35"/>
        <v>0</v>
      </c>
      <c r="AU277" s="159">
        <f t="shared" si="36"/>
        <v>0</v>
      </c>
      <c r="AW277" s="159">
        <f t="shared" si="37"/>
        <v>0</v>
      </c>
    </row>
    <row r="278" spans="1:49" x14ac:dyDescent="0.2">
      <c r="A278" s="411"/>
      <c r="B278" s="411"/>
      <c r="C278" s="411"/>
      <c r="D278" s="411"/>
      <c r="E278" s="411"/>
      <c r="F278" s="411"/>
      <c r="G278" s="535"/>
      <c r="H278" s="536"/>
      <c r="I278" s="536"/>
      <c r="J278" s="536"/>
      <c r="K278" s="536"/>
      <c r="L278" s="537"/>
      <c r="M278" s="412">
        <f>IF(K278&gt;=Input!$B$18,1,0)</f>
        <v>0</v>
      </c>
      <c r="N278" s="159" t="str">
        <f t="shared" si="19"/>
        <v xml:space="preserve"> -  -  - 0</v>
      </c>
      <c r="O278" s="159">
        <f t="shared" si="20"/>
        <v>0</v>
      </c>
      <c r="Q278" s="159">
        <f t="shared" si="21"/>
        <v>0</v>
      </c>
      <c r="S278" s="159">
        <f t="shared" si="22"/>
        <v>0</v>
      </c>
      <c r="U278" s="159">
        <f t="shared" si="23"/>
        <v>0</v>
      </c>
      <c r="W278" s="159">
        <f t="shared" si="24"/>
        <v>0</v>
      </c>
      <c r="Y278" s="159">
        <f t="shared" si="25"/>
        <v>0</v>
      </c>
      <c r="AA278" s="159">
        <f t="shared" si="26"/>
        <v>0</v>
      </c>
      <c r="AC278" s="159">
        <f t="shared" si="27"/>
        <v>0</v>
      </c>
      <c r="AE278" s="159">
        <f t="shared" si="28"/>
        <v>0</v>
      </c>
      <c r="AG278" s="159">
        <f t="shared" si="29"/>
        <v>0</v>
      </c>
      <c r="AI278" s="159">
        <f t="shared" si="30"/>
        <v>0</v>
      </c>
      <c r="AK278" s="159">
        <f t="shared" si="31"/>
        <v>0</v>
      </c>
      <c r="AM278" s="159">
        <f t="shared" si="32"/>
        <v>0</v>
      </c>
      <c r="AO278" s="159">
        <f t="shared" si="33"/>
        <v>0</v>
      </c>
      <c r="AQ278" s="159">
        <f t="shared" si="34"/>
        <v>0</v>
      </c>
      <c r="AS278" s="159">
        <f t="shared" si="35"/>
        <v>0</v>
      </c>
      <c r="AU278" s="159">
        <f t="shared" si="36"/>
        <v>0</v>
      </c>
      <c r="AW278" s="159">
        <f t="shared" si="37"/>
        <v>0</v>
      </c>
    </row>
    <row r="279" spans="1:49" x14ac:dyDescent="0.2">
      <c r="A279" s="411"/>
      <c r="B279" s="411"/>
      <c r="C279" s="411"/>
      <c r="D279" s="411"/>
      <c r="E279" s="411"/>
      <c r="F279" s="411"/>
      <c r="G279" s="535"/>
      <c r="H279" s="536"/>
      <c r="I279" s="536"/>
      <c r="J279" s="536"/>
      <c r="K279" s="536"/>
      <c r="L279" s="537"/>
      <c r="M279" s="412">
        <f>IF(K279&gt;=Input!$B$18,1,0)</f>
        <v>0</v>
      </c>
      <c r="N279" s="159" t="str">
        <f t="shared" si="19"/>
        <v xml:space="preserve"> -  -  - 0</v>
      </c>
      <c r="O279" s="159">
        <f t="shared" si="20"/>
        <v>0</v>
      </c>
      <c r="Q279" s="159">
        <f t="shared" si="21"/>
        <v>0</v>
      </c>
      <c r="S279" s="159">
        <f t="shared" si="22"/>
        <v>0</v>
      </c>
      <c r="U279" s="159">
        <f t="shared" si="23"/>
        <v>0</v>
      </c>
      <c r="W279" s="159">
        <f t="shared" si="24"/>
        <v>0</v>
      </c>
      <c r="Y279" s="159">
        <f t="shared" si="25"/>
        <v>0</v>
      </c>
      <c r="AA279" s="159">
        <f t="shared" si="26"/>
        <v>0</v>
      </c>
      <c r="AC279" s="159">
        <f t="shared" si="27"/>
        <v>0</v>
      </c>
      <c r="AE279" s="159">
        <f t="shared" si="28"/>
        <v>0</v>
      </c>
      <c r="AG279" s="159">
        <f t="shared" si="29"/>
        <v>0</v>
      </c>
      <c r="AI279" s="159">
        <f t="shared" si="30"/>
        <v>0</v>
      </c>
      <c r="AK279" s="159">
        <f t="shared" si="31"/>
        <v>0</v>
      </c>
      <c r="AM279" s="159">
        <f t="shared" si="32"/>
        <v>0</v>
      </c>
      <c r="AO279" s="159">
        <f t="shared" si="33"/>
        <v>0</v>
      </c>
      <c r="AQ279" s="159">
        <f t="shared" si="34"/>
        <v>0</v>
      </c>
      <c r="AS279" s="159">
        <f t="shared" si="35"/>
        <v>0</v>
      </c>
      <c r="AU279" s="159">
        <f t="shared" si="36"/>
        <v>0</v>
      </c>
      <c r="AW279" s="159">
        <f t="shared" si="37"/>
        <v>0</v>
      </c>
    </row>
    <row r="280" spans="1:49" x14ac:dyDescent="0.2">
      <c r="A280" s="411"/>
      <c r="B280" s="411"/>
      <c r="C280" s="411"/>
      <c r="D280" s="411"/>
      <c r="E280" s="411"/>
      <c r="F280" s="411"/>
      <c r="G280" s="535"/>
      <c r="H280" s="536"/>
      <c r="I280" s="536"/>
      <c r="J280" s="536"/>
      <c r="K280" s="536"/>
      <c r="L280" s="537"/>
      <c r="M280" s="412">
        <f>IF(K280&gt;=Input!$B$18,1,0)</f>
        <v>0</v>
      </c>
      <c r="N280" s="159" t="str">
        <f t="shared" si="19"/>
        <v xml:space="preserve"> -  -  - 0</v>
      </c>
      <c r="O280" s="159">
        <f t="shared" si="20"/>
        <v>0</v>
      </c>
      <c r="Q280" s="159">
        <f t="shared" si="21"/>
        <v>0</v>
      </c>
      <c r="S280" s="159">
        <f t="shared" si="22"/>
        <v>0</v>
      </c>
      <c r="U280" s="159">
        <f t="shared" si="23"/>
        <v>0</v>
      </c>
      <c r="W280" s="159">
        <f t="shared" si="24"/>
        <v>0</v>
      </c>
      <c r="Y280" s="159">
        <f t="shared" si="25"/>
        <v>0</v>
      </c>
      <c r="AA280" s="159">
        <f t="shared" si="26"/>
        <v>0</v>
      </c>
      <c r="AC280" s="159">
        <f t="shared" si="27"/>
        <v>0</v>
      </c>
      <c r="AE280" s="159">
        <f t="shared" si="28"/>
        <v>0</v>
      </c>
      <c r="AG280" s="159">
        <f t="shared" si="29"/>
        <v>0</v>
      </c>
      <c r="AI280" s="159">
        <f t="shared" si="30"/>
        <v>0</v>
      </c>
      <c r="AK280" s="159">
        <f t="shared" si="31"/>
        <v>0</v>
      </c>
      <c r="AM280" s="159">
        <f t="shared" si="32"/>
        <v>0</v>
      </c>
      <c r="AO280" s="159">
        <f t="shared" si="33"/>
        <v>0</v>
      </c>
      <c r="AQ280" s="159">
        <f t="shared" si="34"/>
        <v>0</v>
      </c>
      <c r="AS280" s="159">
        <f t="shared" si="35"/>
        <v>0</v>
      </c>
      <c r="AU280" s="159">
        <f t="shared" si="36"/>
        <v>0</v>
      </c>
      <c r="AW280" s="159">
        <f t="shared" si="37"/>
        <v>0</v>
      </c>
    </row>
    <row r="281" spans="1:49" x14ac:dyDescent="0.2">
      <c r="A281" s="411"/>
      <c r="B281" s="411"/>
      <c r="C281" s="411"/>
      <c r="D281" s="411"/>
      <c r="E281" s="411"/>
      <c r="F281" s="411"/>
      <c r="G281" s="535"/>
      <c r="H281" s="536"/>
      <c r="I281" s="536"/>
      <c r="J281" s="536"/>
      <c r="K281" s="536"/>
      <c r="L281" s="537"/>
      <c r="M281" s="412">
        <f>IF(K281&gt;=Input!$B$18,1,0)</f>
        <v>0</v>
      </c>
      <c r="N281" s="159" t="str">
        <f t="shared" si="19"/>
        <v xml:space="preserve"> -  -  - 0</v>
      </c>
      <c r="O281" s="159">
        <f t="shared" si="20"/>
        <v>0</v>
      </c>
      <c r="Q281" s="159">
        <f t="shared" si="21"/>
        <v>0</v>
      </c>
      <c r="S281" s="159">
        <f t="shared" si="22"/>
        <v>0</v>
      </c>
      <c r="U281" s="159">
        <f t="shared" si="23"/>
        <v>0</v>
      </c>
      <c r="W281" s="159">
        <f t="shared" si="24"/>
        <v>0</v>
      </c>
      <c r="Y281" s="159">
        <f t="shared" si="25"/>
        <v>0</v>
      </c>
      <c r="AA281" s="159">
        <f t="shared" si="26"/>
        <v>0</v>
      </c>
      <c r="AC281" s="159">
        <f t="shared" si="27"/>
        <v>0</v>
      </c>
      <c r="AE281" s="159">
        <f t="shared" si="28"/>
        <v>0</v>
      </c>
      <c r="AG281" s="159">
        <f t="shared" si="29"/>
        <v>0</v>
      </c>
      <c r="AI281" s="159">
        <f t="shared" si="30"/>
        <v>0</v>
      </c>
      <c r="AK281" s="159">
        <f t="shared" si="31"/>
        <v>0</v>
      </c>
      <c r="AM281" s="159">
        <f t="shared" si="32"/>
        <v>0</v>
      </c>
      <c r="AO281" s="159">
        <f t="shared" si="33"/>
        <v>0</v>
      </c>
      <c r="AQ281" s="159">
        <f t="shared" si="34"/>
        <v>0</v>
      </c>
      <c r="AS281" s="159">
        <f t="shared" si="35"/>
        <v>0</v>
      </c>
      <c r="AU281" s="159">
        <f t="shared" si="36"/>
        <v>0</v>
      </c>
      <c r="AW281" s="159">
        <f t="shared" si="37"/>
        <v>0</v>
      </c>
    </row>
    <row r="282" spans="1:49" x14ac:dyDescent="0.2">
      <c r="A282" s="411"/>
      <c r="B282" s="411"/>
      <c r="C282" s="411"/>
      <c r="D282" s="411"/>
      <c r="E282" s="411"/>
      <c r="F282" s="411"/>
      <c r="G282" s="535"/>
      <c r="H282" s="536"/>
      <c r="I282" s="536"/>
      <c r="J282" s="536"/>
      <c r="K282" s="536"/>
      <c r="L282" s="537"/>
      <c r="M282" s="412">
        <f>IF(K282&gt;=Input!$B$18,1,0)</f>
        <v>0</v>
      </c>
      <c r="N282" s="159" t="str">
        <f t="shared" si="19"/>
        <v xml:space="preserve"> -  -  - 0</v>
      </c>
      <c r="O282" s="159">
        <f t="shared" si="20"/>
        <v>0</v>
      </c>
      <c r="Q282" s="159">
        <f t="shared" si="21"/>
        <v>0</v>
      </c>
      <c r="S282" s="159">
        <f t="shared" si="22"/>
        <v>0</v>
      </c>
      <c r="U282" s="159">
        <f t="shared" si="23"/>
        <v>0</v>
      </c>
      <c r="W282" s="159">
        <f t="shared" si="24"/>
        <v>0</v>
      </c>
      <c r="Y282" s="159">
        <f t="shared" si="25"/>
        <v>0</v>
      </c>
      <c r="AA282" s="159">
        <f t="shared" si="26"/>
        <v>0</v>
      </c>
      <c r="AC282" s="159">
        <f t="shared" si="27"/>
        <v>0</v>
      </c>
      <c r="AE282" s="159">
        <f t="shared" si="28"/>
        <v>0</v>
      </c>
      <c r="AG282" s="159">
        <f t="shared" si="29"/>
        <v>0</v>
      </c>
      <c r="AI282" s="159">
        <f t="shared" si="30"/>
        <v>0</v>
      </c>
      <c r="AK282" s="159">
        <f t="shared" si="31"/>
        <v>0</v>
      </c>
      <c r="AM282" s="159">
        <f t="shared" si="32"/>
        <v>0</v>
      </c>
      <c r="AO282" s="159">
        <f t="shared" si="33"/>
        <v>0</v>
      </c>
      <c r="AQ282" s="159">
        <f t="shared" si="34"/>
        <v>0</v>
      </c>
      <c r="AS282" s="159">
        <f t="shared" si="35"/>
        <v>0</v>
      </c>
      <c r="AU282" s="159">
        <f t="shared" si="36"/>
        <v>0</v>
      </c>
      <c r="AW282" s="159">
        <f t="shared" si="37"/>
        <v>0</v>
      </c>
    </row>
    <row r="283" spans="1:49" x14ac:dyDescent="0.2">
      <c r="A283" s="411"/>
      <c r="B283" s="411"/>
      <c r="C283" s="411"/>
      <c r="D283" s="411"/>
      <c r="E283" s="411"/>
      <c r="F283" s="411"/>
      <c r="G283" s="535"/>
      <c r="H283" s="536"/>
      <c r="I283" s="536"/>
      <c r="J283" s="536"/>
      <c r="K283" s="536"/>
      <c r="L283" s="537"/>
      <c r="M283" s="412">
        <f>IF(K283&gt;=Input!$B$18,1,0)</f>
        <v>0</v>
      </c>
      <c r="N283" s="159" t="str">
        <f t="shared" si="19"/>
        <v xml:space="preserve"> -  -  - 0</v>
      </c>
      <c r="O283" s="159">
        <f t="shared" si="20"/>
        <v>0</v>
      </c>
      <c r="Q283" s="159">
        <f t="shared" si="21"/>
        <v>0</v>
      </c>
      <c r="S283" s="159">
        <f t="shared" si="22"/>
        <v>0</v>
      </c>
      <c r="U283" s="159">
        <f t="shared" si="23"/>
        <v>0</v>
      </c>
      <c r="W283" s="159">
        <f t="shared" si="24"/>
        <v>0</v>
      </c>
      <c r="Y283" s="159">
        <f t="shared" si="25"/>
        <v>0</v>
      </c>
      <c r="AA283" s="159">
        <f t="shared" si="26"/>
        <v>0</v>
      </c>
      <c r="AC283" s="159">
        <f t="shared" si="27"/>
        <v>0</v>
      </c>
      <c r="AE283" s="159">
        <f t="shared" si="28"/>
        <v>0</v>
      </c>
      <c r="AG283" s="159">
        <f t="shared" si="29"/>
        <v>0</v>
      </c>
      <c r="AI283" s="159">
        <f t="shared" si="30"/>
        <v>0</v>
      </c>
      <c r="AK283" s="159">
        <f t="shared" si="31"/>
        <v>0</v>
      </c>
      <c r="AM283" s="159">
        <f t="shared" si="32"/>
        <v>0</v>
      </c>
      <c r="AO283" s="159">
        <f t="shared" si="33"/>
        <v>0</v>
      </c>
      <c r="AQ283" s="159">
        <f t="shared" si="34"/>
        <v>0</v>
      </c>
      <c r="AS283" s="159">
        <f t="shared" si="35"/>
        <v>0</v>
      </c>
      <c r="AU283" s="159">
        <f t="shared" si="36"/>
        <v>0</v>
      </c>
      <c r="AW283" s="159">
        <f t="shared" si="37"/>
        <v>0</v>
      </c>
    </row>
    <row r="284" spans="1:49" x14ac:dyDescent="0.2">
      <c r="A284" s="411"/>
      <c r="B284" s="411"/>
      <c r="C284" s="411"/>
      <c r="D284" s="411"/>
      <c r="E284" s="411"/>
      <c r="F284" s="411"/>
      <c r="G284" s="535"/>
      <c r="H284" s="536"/>
      <c r="I284" s="536"/>
      <c r="J284" s="536"/>
      <c r="K284" s="536"/>
      <c r="L284" s="537"/>
      <c r="M284" s="412">
        <f>IF(K284&gt;=Input!$B$18,1,0)</f>
        <v>0</v>
      </c>
      <c r="N284" s="159" t="str">
        <f t="shared" si="19"/>
        <v xml:space="preserve"> -  -  - 0</v>
      </c>
      <c r="O284" s="159">
        <f t="shared" si="20"/>
        <v>0</v>
      </c>
      <c r="Q284" s="159">
        <f t="shared" si="21"/>
        <v>0</v>
      </c>
      <c r="S284" s="159">
        <f t="shared" si="22"/>
        <v>0</v>
      </c>
      <c r="U284" s="159">
        <f t="shared" si="23"/>
        <v>0</v>
      </c>
      <c r="W284" s="159">
        <f t="shared" si="24"/>
        <v>0</v>
      </c>
      <c r="Y284" s="159">
        <f t="shared" si="25"/>
        <v>0</v>
      </c>
      <c r="AA284" s="159">
        <f t="shared" si="26"/>
        <v>0</v>
      </c>
      <c r="AC284" s="159">
        <f t="shared" si="27"/>
        <v>0</v>
      </c>
      <c r="AE284" s="159">
        <f t="shared" si="28"/>
        <v>0</v>
      </c>
      <c r="AG284" s="159">
        <f t="shared" si="29"/>
        <v>0</v>
      </c>
      <c r="AI284" s="159">
        <f t="shared" si="30"/>
        <v>0</v>
      </c>
      <c r="AK284" s="159">
        <f t="shared" si="31"/>
        <v>0</v>
      </c>
      <c r="AM284" s="159">
        <f t="shared" si="32"/>
        <v>0</v>
      </c>
      <c r="AO284" s="159">
        <f t="shared" si="33"/>
        <v>0</v>
      </c>
      <c r="AQ284" s="159">
        <f t="shared" si="34"/>
        <v>0</v>
      </c>
      <c r="AS284" s="159">
        <f t="shared" si="35"/>
        <v>0</v>
      </c>
      <c r="AU284" s="159">
        <f t="shared" si="36"/>
        <v>0</v>
      </c>
      <c r="AW284" s="159">
        <f t="shared" si="37"/>
        <v>0</v>
      </c>
    </row>
    <row r="285" spans="1:49" x14ac:dyDescent="0.2">
      <c r="A285" s="411"/>
      <c r="B285" s="411"/>
      <c r="C285" s="411"/>
      <c r="D285" s="411"/>
      <c r="E285" s="411"/>
      <c r="F285" s="411"/>
      <c r="G285" s="535"/>
      <c r="H285" s="536"/>
      <c r="I285" s="536"/>
      <c r="J285" s="536"/>
      <c r="K285" s="536"/>
      <c r="L285" s="537"/>
      <c r="M285" s="412">
        <f>IF(K285&gt;=Input!$B$18,1,0)</f>
        <v>0</v>
      </c>
      <c r="N285" s="159" t="str">
        <f t="shared" si="19"/>
        <v xml:space="preserve"> -  -  - 0</v>
      </c>
      <c r="O285" s="159">
        <f t="shared" si="20"/>
        <v>0</v>
      </c>
      <c r="Q285" s="159">
        <f t="shared" si="21"/>
        <v>0</v>
      </c>
      <c r="S285" s="159">
        <f t="shared" si="22"/>
        <v>0</v>
      </c>
      <c r="U285" s="159">
        <f t="shared" si="23"/>
        <v>0</v>
      </c>
      <c r="W285" s="159">
        <f t="shared" si="24"/>
        <v>0</v>
      </c>
      <c r="Y285" s="159">
        <f t="shared" si="25"/>
        <v>0</v>
      </c>
      <c r="AA285" s="159">
        <f t="shared" si="26"/>
        <v>0</v>
      </c>
      <c r="AC285" s="159">
        <f t="shared" si="27"/>
        <v>0</v>
      </c>
      <c r="AE285" s="159">
        <f t="shared" si="28"/>
        <v>0</v>
      </c>
      <c r="AG285" s="159">
        <f t="shared" si="29"/>
        <v>0</v>
      </c>
      <c r="AI285" s="159">
        <f t="shared" si="30"/>
        <v>0</v>
      </c>
      <c r="AK285" s="159">
        <f t="shared" si="31"/>
        <v>0</v>
      </c>
      <c r="AM285" s="159">
        <f t="shared" si="32"/>
        <v>0</v>
      </c>
      <c r="AO285" s="159">
        <f t="shared" si="33"/>
        <v>0</v>
      </c>
      <c r="AQ285" s="159">
        <f t="shared" si="34"/>
        <v>0</v>
      </c>
      <c r="AS285" s="159">
        <f t="shared" si="35"/>
        <v>0</v>
      </c>
      <c r="AU285" s="159">
        <f t="shared" si="36"/>
        <v>0</v>
      </c>
      <c r="AW285" s="159">
        <f t="shared" si="37"/>
        <v>0</v>
      </c>
    </row>
    <row r="286" spans="1:49" x14ac:dyDescent="0.2">
      <c r="A286" s="411"/>
      <c r="B286" s="411"/>
      <c r="C286" s="411"/>
      <c r="D286" s="411"/>
      <c r="E286" s="411"/>
      <c r="F286" s="411"/>
      <c r="G286" s="535"/>
      <c r="H286" s="536"/>
      <c r="I286" s="536"/>
      <c r="J286" s="536"/>
      <c r="K286" s="536"/>
      <c r="L286" s="537"/>
      <c r="M286" s="412">
        <f>IF(K286&gt;=Input!$B$18,1,0)</f>
        <v>0</v>
      </c>
      <c r="N286" s="159" t="str">
        <f t="shared" si="19"/>
        <v xml:space="preserve"> -  -  - 0</v>
      </c>
      <c r="O286" s="159">
        <f t="shared" si="20"/>
        <v>0</v>
      </c>
      <c r="Q286" s="159">
        <f t="shared" si="21"/>
        <v>0</v>
      </c>
      <c r="S286" s="159">
        <f t="shared" si="22"/>
        <v>0</v>
      </c>
      <c r="U286" s="159">
        <f t="shared" si="23"/>
        <v>0</v>
      </c>
      <c r="W286" s="159">
        <f t="shared" si="24"/>
        <v>0</v>
      </c>
      <c r="Y286" s="159">
        <f t="shared" si="25"/>
        <v>0</v>
      </c>
      <c r="AA286" s="159">
        <f t="shared" si="26"/>
        <v>0</v>
      </c>
      <c r="AC286" s="159">
        <f t="shared" si="27"/>
        <v>0</v>
      </c>
      <c r="AE286" s="159">
        <f t="shared" si="28"/>
        <v>0</v>
      </c>
      <c r="AG286" s="159">
        <f t="shared" si="29"/>
        <v>0</v>
      </c>
      <c r="AI286" s="159">
        <f t="shared" si="30"/>
        <v>0</v>
      </c>
      <c r="AK286" s="159">
        <f t="shared" si="31"/>
        <v>0</v>
      </c>
      <c r="AM286" s="159">
        <f t="shared" si="32"/>
        <v>0</v>
      </c>
      <c r="AO286" s="159">
        <f t="shared" si="33"/>
        <v>0</v>
      </c>
      <c r="AQ286" s="159">
        <f t="shared" si="34"/>
        <v>0</v>
      </c>
      <c r="AS286" s="159">
        <f t="shared" si="35"/>
        <v>0</v>
      </c>
      <c r="AU286" s="159">
        <f t="shared" si="36"/>
        <v>0</v>
      </c>
      <c r="AW286" s="159">
        <f t="shared" si="37"/>
        <v>0</v>
      </c>
    </row>
    <row r="287" spans="1:49" x14ac:dyDescent="0.2">
      <c r="A287" s="411"/>
      <c r="B287" s="411"/>
      <c r="C287" s="411"/>
      <c r="D287" s="411"/>
      <c r="E287" s="411"/>
      <c r="F287" s="411"/>
      <c r="G287" s="535"/>
      <c r="H287" s="536"/>
      <c r="I287" s="536"/>
      <c r="J287" s="536"/>
      <c r="K287" s="536"/>
      <c r="L287" s="537"/>
      <c r="M287" s="412">
        <f>IF(K287&gt;=Input!$B$18,1,0)</f>
        <v>0</v>
      </c>
      <c r="N287" s="159" t="str">
        <f t="shared" si="19"/>
        <v xml:space="preserve"> -  -  - 0</v>
      </c>
      <c r="O287" s="159">
        <f t="shared" si="20"/>
        <v>0</v>
      </c>
      <c r="Q287" s="159">
        <f t="shared" si="21"/>
        <v>0</v>
      </c>
      <c r="S287" s="159">
        <f t="shared" si="22"/>
        <v>0</v>
      </c>
      <c r="U287" s="159">
        <f t="shared" si="23"/>
        <v>0</v>
      </c>
      <c r="W287" s="159">
        <f t="shared" si="24"/>
        <v>0</v>
      </c>
      <c r="Y287" s="159">
        <f t="shared" si="25"/>
        <v>0</v>
      </c>
      <c r="AA287" s="159">
        <f t="shared" si="26"/>
        <v>0</v>
      </c>
      <c r="AC287" s="159">
        <f t="shared" si="27"/>
        <v>0</v>
      </c>
      <c r="AE287" s="159">
        <f t="shared" si="28"/>
        <v>0</v>
      </c>
      <c r="AG287" s="159">
        <f t="shared" si="29"/>
        <v>0</v>
      </c>
      <c r="AI287" s="159">
        <f t="shared" si="30"/>
        <v>0</v>
      </c>
      <c r="AK287" s="159">
        <f t="shared" si="31"/>
        <v>0</v>
      </c>
      <c r="AM287" s="159">
        <f t="shared" si="32"/>
        <v>0</v>
      </c>
      <c r="AO287" s="159">
        <f t="shared" si="33"/>
        <v>0</v>
      </c>
      <c r="AQ287" s="159">
        <f t="shared" si="34"/>
        <v>0</v>
      </c>
      <c r="AS287" s="159">
        <f t="shared" si="35"/>
        <v>0</v>
      </c>
      <c r="AU287" s="159">
        <f t="shared" si="36"/>
        <v>0</v>
      </c>
      <c r="AW287" s="159">
        <f t="shared" si="37"/>
        <v>0</v>
      </c>
    </row>
    <row r="288" spans="1:49" x14ac:dyDescent="0.2">
      <c r="A288" s="411"/>
      <c r="B288" s="411"/>
      <c r="C288" s="411"/>
      <c r="D288" s="411"/>
      <c r="E288" s="411"/>
      <c r="F288" s="411"/>
      <c r="G288" s="535"/>
      <c r="H288" s="536"/>
      <c r="I288" s="536"/>
      <c r="J288" s="536"/>
      <c r="K288" s="536"/>
      <c r="L288" s="537"/>
      <c r="M288" s="412">
        <f>IF(K288&gt;=Input!$B$18,1,0)</f>
        <v>0</v>
      </c>
      <c r="N288" s="159" t="str">
        <f t="shared" si="19"/>
        <v xml:space="preserve"> -  -  - 0</v>
      </c>
      <c r="O288" s="159">
        <f t="shared" si="20"/>
        <v>0</v>
      </c>
      <c r="Q288" s="159">
        <f t="shared" si="21"/>
        <v>0</v>
      </c>
      <c r="S288" s="159">
        <f t="shared" si="22"/>
        <v>0</v>
      </c>
      <c r="U288" s="159">
        <f t="shared" si="23"/>
        <v>0</v>
      </c>
      <c r="W288" s="159">
        <f t="shared" si="24"/>
        <v>0</v>
      </c>
      <c r="Y288" s="159">
        <f t="shared" si="25"/>
        <v>0</v>
      </c>
      <c r="AA288" s="159">
        <f t="shared" si="26"/>
        <v>0</v>
      </c>
      <c r="AC288" s="159">
        <f t="shared" si="27"/>
        <v>0</v>
      </c>
      <c r="AE288" s="159">
        <f t="shared" si="28"/>
        <v>0</v>
      </c>
      <c r="AG288" s="159">
        <f t="shared" si="29"/>
        <v>0</v>
      </c>
      <c r="AI288" s="159">
        <f t="shared" si="30"/>
        <v>0</v>
      </c>
      <c r="AK288" s="159">
        <f t="shared" si="31"/>
        <v>0</v>
      </c>
      <c r="AM288" s="159">
        <f t="shared" si="32"/>
        <v>0</v>
      </c>
      <c r="AO288" s="159">
        <f t="shared" si="33"/>
        <v>0</v>
      </c>
      <c r="AQ288" s="159">
        <f t="shared" si="34"/>
        <v>0</v>
      </c>
      <c r="AS288" s="159">
        <f t="shared" si="35"/>
        <v>0</v>
      </c>
      <c r="AU288" s="159">
        <f t="shared" si="36"/>
        <v>0</v>
      </c>
      <c r="AW288" s="159">
        <f t="shared" si="37"/>
        <v>0</v>
      </c>
    </row>
    <row r="289" spans="1:49" x14ac:dyDescent="0.2">
      <c r="A289" s="411"/>
      <c r="B289" s="411"/>
      <c r="C289" s="411"/>
      <c r="D289" s="411"/>
      <c r="E289" s="411"/>
      <c r="F289" s="411"/>
      <c r="G289" s="535"/>
      <c r="H289" s="536"/>
      <c r="I289" s="536"/>
      <c r="J289" s="536"/>
      <c r="K289" s="536"/>
      <c r="L289" s="537"/>
      <c r="M289" s="412">
        <f>IF(K289&gt;=Input!$B$18,1,0)</f>
        <v>0</v>
      </c>
      <c r="N289" s="159" t="str">
        <f t="shared" si="19"/>
        <v xml:space="preserve"> -  -  - 0</v>
      </c>
      <c r="O289" s="159">
        <f t="shared" si="20"/>
        <v>0</v>
      </c>
      <c r="Q289" s="159">
        <f t="shared" si="21"/>
        <v>0</v>
      </c>
      <c r="S289" s="159">
        <f t="shared" si="22"/>
        <v>0</v>
      </c>
      <c r="U289" s="159">
        <f t="shared" si="23"/>
        <v>0</v>
      </c>
      <c r="W289" s="159">
        <f t="shared" si="24"/>
        <v>0</v>
      </c>
      <c r="Y289" s="159">
        <f t="shared" si="25"/>
        <v>0</v>
      </c>
      <c r="AA289" s="159">
        <f t="shared" si="26"/>
        <v>0</v>
      </c>
      <c r="AC289" s="159">
        <f t="shared" si="27"/>
        <v>0</v>
      </c>
      <c r="AE289" s="159">
        <f t="shared" si="28"/>
        <v>0</v>
      </c>
      <c r="AG289" s="159">
        <f t="shared" si="29"/>
        <v>0</v>
      </c>
      <c r="AI289" s="159">
        <f t="shared" si="30"/>
        <v>0</v>
      </c>
      <c r="AK289" s="159">
        <f t="shared" si="31"/>
        <v>0</v>
      </c>
      <c r="AM289" s="159">
        <f t="shared" si="32"/>
        <v>0</v>
      </c>
      <c r="AO289" s="159">
        <f t="shared" si="33"/>
        <v>0</v>
      </c>
      <c r="AQ289" s="159">
        <f t="shared" si="34"/>
        <v>0</v>
      </c>
      <c r="AS289" s="159">
        <f t="shared" si="35"/>
        <v>0</v>
      </c>
      <c r="AU289" s="159">
        <f t="shared" si="36"/>
        <v>0</v>
      </c>
      <c r="AW289" s="159">
        <f t="shared" si="37"/>
        <v>0</v>
      </c>
    </row>
    <row r="290" spans="1:49" x14ac:dyDescent="0.2">
      <c r="A290" s="411"/>
      <c r="B290" s="411"/>
      <c r="C290" s="411"/>
      <c r="D290" s="411"/>
      <c r="E290" s="411"/>
      <c r="F290" s="411"/>
      <c r="G290" s="535"/>
      <c r="H290" s="536"/>
      <c r="I290" s="536"/>
      <c r="J290" s="536"/>
      <c r="K290" s="536"/>
      <c r="L290" s="537"/>
      <c r="M290" s="412">
        <f>IF(K290&gt;=Input!$B$18,1,0)</f>
        <v>0</v>
      </c>
      <c r="N290" s="159" t="str">
        <f t="shared" si="19"/>
        <v xml:space="preserve"> -  -  - 0</v>
      </c>
      <c r="O290" s="159">
        <f t="shared" si="20"/>
        <v>0</v>
      </c>
      <c r="Q290" s="159">
        <f t="shared" si="21"/>
        <v>0</v>
      </c>
      <c r="S290" s="159">
        <f t="shared" si="22"/>
        <v>0</v>
      </c>
      <c r="U290" s="159">
        <f t="shared" si="23"/>
        <v>0</v>
      </c>
      <c r="W290" s="159">
        <f t="shared" si="24"/>
        <v>0</v>
      </c>
      <c r="Y290" s="159">
        <f t="shared" si="25"/>
        <v>0</v>
      </c>
      <c r="AA290" s="159">
        <f t="shared" si="26"/>
        <v>0</v>
      </c>
      <c r="AC290" s="159">
        <f t="shared" si="27"/>
        <v>0</v>
      </c>
      <c r="AE290" s="159">
        <f t="shared" si="28"/>
        <v>0</v>
      </c>
      <c r="AG290" s="159">
        <f t="shared" si="29"/>
        <v>0</v>
      </c>
      <c r="AI290" s="159">
        <f t="shared" si="30"/>
        <v>0</v>
      </c>
      <c r="AK290" s="159">
        <f t="shared" si="31"/>
        <v>0</v>
      </c>
      <c r="AM290" s="159">
        <f t="shared" si="32"/>
        <v>0</v>
      </c>
      <c r="AO290" s="159">
        <f t="shared" si="33"/>
        <v>0</v>
      </c>
      <c r="AQ290" s="159">
        <f t="shared" si="34"/>
        <v>0</v>
      </c>
      <c r="AS290" s="159">
        <f t="shared" si="35"/>
        <v>0</v>
      </c>
      <c r="AU290" s="159">
        <f t="shared" si="36"/>
        <v>0</v>
      </c>
      <c r="AW290" s="159">
        <f t="shared" si="37"/>
        <v>0</v>
      </c>
    </row>
    <row r="291" spans="1:49" x14ac:dyDescent="0.2">
      <c r="A291" s="411"/>
      <c r="B291" s="411"/>
      <c r="C291" s="411"/>
      <c r="D291" s="411"/>
      <c r="E291" s="411"/>
      <c r="F291" s="411"/>
      <c r="G291" s="535"/>
      <c r="H291" s="536"/>
      <c r="I291" s="536"/>
      <c r="J291" s="536"/>
      <c r="K291" s="536"/>
      <c r="L291" s="537"/>
      <c r="M291" s="412">
        <f>IF(K291&gt;=Input!$B$18,1,0)</f>
        <v>0</v>
      </c>
      <c r="N291" s="159" t="str">
        <f t="shared" si="19"/>
        <v xml:space="preserve"> -  -  - 0</v>
      </c>
      <c r="O291" s="159">
        <f t="shared" si="20"/>
        <v>0</v>
      </c>
      <c r="Q291" s="159">
        <f t="shared" si="21"/>
        <v>0</v>
      </c>
      <c r="S291" s="159">
        <f t="shared" si="22"/>
        <v>0</v>
      </c>
      <c r="U291" s="159">
        <f t="shared" si="23"/>
        <v>0</v>
      </c>
      <c r="W291" s="159">
        <f t="shared" si="24"/>
        <v>0</v>
      </c>
      <c r="Y291" s="159">
        <f t="shared" si="25"/>
        <v>0</v>
      </c>
      <c r="AA291" s="159">
        <f t="shared" si="26"/>
        <v>0</v>
      </c>
      <c r="AC291" s="159">
        <f t="shared" si="27"/>
        <v>0</v>
      </c>
      <c r="AE291" s="159">
        <f t="shared" si="28"/>
        <v>0</v>
      </c>
      <c r="AG291" s="159">
        <f t="shared" si="29"/>
        <v>0</v>
      </c>
      <c r="AI291" s="159">
        <f t="shared" si="30"/>
        <v>0</v>
      </c>
      <c r="AK291" s="159">
        <f t="shared" si="31"/>
        <v>0</v>
      </c>
      <c r="AM291" s="159">
        <f t="shared" si="32"/>
        <v>0</v>
      </c>
      <c r="AO291" s="159">
        <f t="shared" si="33"/>
        <v>0</v>
      </c>
      <c r="AQ291" s="159">
        <f t="shared" si="34"/>
        <v>0</v>
      </c>
      <c r="AS291" s="159">
        <f t="shared" si="35"/>
        <v>0</v>
      </c>
      <c r="AU291" s="159">
        <f t="shared" si="36"/>
        <v>0</v>
      </c>
      <c r="AW291" s="159">
        <f t="shared" si="37"/>
        <v>0</v>
      </c>
    </row>
    <row r="292" spans="1:49" x14ac:dyDescent="0.2">
      <c r="A292" s="411"/>
      <c r="B292" s="411"/>
      <c r="C292" s="411"/>
      <c r="D292" s="411"/>
      <c r="E292" s="411"/>
      <c r="F292" s="411"/>
      <c r="G292" s="535"/>
      <c r="H292" s="536"/>
      <c r="I292" s="536"/>
      <c r="J292" s="536"/>
      <c r="K292" s="536"/>
      <c r="L292" s="537"/>
      <c r="M292" s="412">
        <f>IF(K292&gt;=Input!$B$18,1,0)</f>
        <v>0</v>
      </c>
      <c r="N292" s="159" t="str">
        <f t="shared" si="19"/>
        <v xml:space="preserve"> -  -  - 0</v>
      </c>
      <c r="O292" s="159">
        <f t="shared" si="20"/>
        <v>0</v>
      </c>
      <c r="Q292" s="159">
        <f t="shared" si="21"/>
        <v>0</v>
      </c>
      <c r="S292" s="159">
        <f t="shared" si="22"/>
        <v>0</v>
      </c>
      <c r="U292" s="159">
        <f t="shared" si="23"/>
        <v>0</v>
      </c>
      <c r="W292" s="159">
        <f t="shared" si="24"/>
        <v>0</v>
      </c>
      <c r="Y292" s="159">
        <f t="shared" si="25"/>
        <v>0</v>
      </c>
      <c r="AA292" s="159">
        <f t="shared" si="26"/>
        <v>0</v>
      </c>
      <c r="AC292" s="159">
        <f t="shared" si="27"/>
        <v>0</v>
      </c>
      <c r="AE292" s="159">
        <f t="shared" si="28"/>
        <v>0</v>
      </c>
      <c r="AG292" s="159">
        <f t="shared" si="29"/>
        <v>0</v>
      </c>
      <c r="AI292" s="159">
        <f t="shared" si="30"/>
        <v>0</v>
      </c>
      <c r="AK292" s="159">
        <f t="shared" si="31"/>
        <v>0</v>
      </c>
      <c r="AM292" s="159">
        <f t="shared" si="32"/>
        <v>0</v>
      </c>
      <c r="AO292" s="159">
        <f t="shared" si="33"/>
        <v>0</v>
      </c>
      <c r="AQ292" s="159">
        <f t="shared" si="34"/>
        <v>0</v>
      </c>
      <c r="AS292" s="159">
        <f t="shared" si="35"/>
        <v>0</v>
      </c>
      <c r="AU292" s="159">
        <f t="shared" si="36"/>
        <v>0</v>
      </c>
      <c r="AW292" s="159">
        <f t="shared" si="37"/>
        <v>0</v>
      </c>
    </row>
    <row r="293" spans="1:49" x14ac:dyDescent="0.2">
      <c r="A293" s="411"/>
      <c r="B293" s="411"/>
      <c r="C293" s="411"/>
      <c r="D293" s="411"/>
      <c r="E293" s="411"/>
      <c r="F293" s="411"/>
      <c r="G293" s="535"/>
      <c r="H293" s="536"/>
      <c r="I293" s="536"/>
      <c r="J293" s="536"/>
      <c r="K293" s="536"/>
      <c r="L293" s="537"/>
      <c r="M293" s="412">
        <f>IF(K293&gt;=Input!$B$18,1,0)</f>
        <v>0</v>
      </c>
      <c r="N293" s="159" t="str">
        <f t="shared" si="19"/>
        <v xml:space="preserve"> -  -  - 0</v>
      </c>
      <c r="O293" s="159">
        <f t="shared" si="20"/>
        <v>0</v>
      </c>
      <c r="Q293" s="159">
        <f t="shared" si="21"/>
        <v>0</v>
      </c>
      <c r="S293" s="159">
        <f t="shared" si="22"/>
        <v>0</v>
      </c>
      <c r="U293" s="159">
        <f t="shared" si="23"/>
        <v>0</v>
      </c>
      <c r="W293" s="159">
        <f t="shared" si="24"/>
        <v>0</v>
      </c>
      <c r="Y293" s="159">
        <f t="shared" si="25"/>
        <v>0</v>
      </c>
      <c r="AA293" s="159">
        <f t="shared" si="26"/>
        <v>0</v>
      </c>
      <c r="AC293" s="159">
        <f t="shared" si="27"/>
        <v>0</v>
      </c>
      <c r="AE293" s="159">
        <f t="shared" si="28"/>
        <v>0</v>
      </c>
      <c r="AG293" s="159">
        <f t="shared" si="29"/>
        <v>0</v>
      </c>
      <c r="AI293" s="159">
        <f t="shared" si="30"/>
        <v>0</v>
      </c>
      <c r="AK293" s="159">
        <f t="shared" si="31"/>
        <v>0</v>
      </c>
      <c r="AM293" s="159">
        <f t="shared" si="32"/>
        <v>0</v>
      </c>
      <c r="AO293" s="159">
        <f t="shared" si="33"/>
        <v>0</v>
      </c>
      <c r="AQ293" s="159">
        <f t="shared" si="34"/>
        <v>0</v>
      </c>
      <c r="AS293" s="159">
        <f t="shared" si="35"/>
        <v>0</v>
      </c>
      <c r="AU293" s="159">
        <f t="shared" si="36"/>
        <v>0</v>
      </c>
      <c r="AW293" s="159">
        <f t="shared" si="37"/>
        <v>0</v>
      </c>
    </row>
    <row r="294" spans="1:49" x14ac:dyDescent="0.2">
      <c r="A294" s="411"/>
      <c r="B294" s="411"/>
      <c r="C294" s="411"/>
      <c r="D294" s="411"/>
      <c r="E294" s="411"/>
      <c r="F294" s="411"/>
      <c r="G294" s="535"/>
      <c r="H294" s="536"/>
      <c r="I294" s="536"/>
      <c r="J294" s="536"/>
      <c r="K294" s="536"/>
      <c r="L294" s="537"/>
      <c r="M294" s="412">
        <f>IF(K294&gt;=Input!$B$18,1,0)</f>
        <v>0</v>
      </c>
      <c r="N294" s="159" t="str">
        <f t="shared" si="19"/>
        <v xml:space="preserve"> -  -  - 0</v>
      </c>
      <c r="O294" s="159">
        <f t="shared" si="20"/>
        <v>0</v>
      </c>
      <c r="Q294" s="159">
        <f t="shared" si="21"/>
        <v>0</v>
      </c>
      <c r="S294" s="159">
        <f t="shared" si="22"/>
        <v>0</v>
      </c>
      <c r="U294" s="159">
        <f t="shared" si="23"/>
        <v>0</v>
      </c>
      <c r="W294" s="159">
        <f t="shared" si="24"/>
        <v>0</v>
      </c>
      <c r="Y294" s="159">
        <f t="shared" si="25"/>
        <v>0</v>
      </c>
      <c r="AA294" s="159">
        <f t="shared" si="26"/>
        <v>0</v>
      </c>
      <c r="AC294" s="159">
        <f t="shared" si="27"/>
        <v>0</v>
      </c>
      <c r="AE294" s="159">
        <f t="shared" si="28"/>
        <v>0</v>
      </c>
      <c r="AG294" s="159">
        <f t="shared" si="29"/>
        <v>0</v>
      </c>
      <c r="AI294" s="159">
        <f t="shared" si="30"/>
        <v>0</v>
      </c>
      <c r="AK294" s="159">
        <f t="shared" si="31"/>
        <v>0</v>
      </c>
      <c r="AM294" s="159">
        <f t="shared" si="32"/>
        <v>0</v>
      </c>
      <c r="AO294" s="159">
        <f t="shared" si="33"/>
        <v>0</v>
      </c>
      <c r="AQ294" s="159">
        <f t="shared" si="34"/>
        <v>0</v>
      </c>
      <c r="AS294" s="159">
        <f t="shared" si="35"/>
        <v>0</v>
      </c>
      <c r="AU294" s="159">
        <f t="shared" si="36"/>
        <v>0</v>
      </c>
      <c r="AW294" s="159">
        <f t="shared" si="37"/>
        <v>0</v>
      </c>
    </row>
    <row r="295" spans="1:49" x14ac:dyDescent="0.2">
      <c r="A295" s="411"/>
      <c r="B295" s="411"/>
      <c r="C295" s="411"/>
      <c r="D295" s="411"/>
      <c r="E295" s="411"/>
      <c r="F295" s="411"/>
      <c r="G295" s="535"/>
      <c r="H295" s="536"/>
      <c r="I295" s="536"/>
      <c r="J295" s="536"/>
      <c r="K295" s="536"/>
      <c r="L295" s="537"/>
      <c r="M295" s="412">
        <f>IF(K295&gt;=Input!$B$18,1,0)</f>
        <v>0</v>
      </c>
      <c r="N295" s="159" t="str">
        <f t="shared" si="19"/>
        <v xml:space="preserve"> -  -  - 0</v>
      </c>
      <c r="O295" s="159">
        <f t="shared" si="20"/>
        <v>0</v>
      </c>
      <c r="Q295" s="159">
        <f t="shared" si="21"/>
        <v>0</v>
      </c>
      <c r="S295" s="159">
        <f t="shared" si="22"/>
        <v>0</v>
      </c>
      <c r="U295" s="159">
        <f t="shared" si="23"/>
        <v>0</v>
      </c>
      <c r="W295" s="159">
        <f t="shared" si="24"/>
        <v>0</v>
      </c>
      <c r="Y295" s="159">
        <f t="shared" si="25"/>
        <v>0</v>
      </c>
      <c r="AA295" s="159">
        <f t="shared" si="26"/>
        <v>0</v>
      </c>
      <c r="AC295" s="159">
        <f t="shared" si="27"/>
        <v>0</v>
      </c>
      <c r="AE295" s="159">
        <f t="shared" si="28"/>
        <v>0</v>
      </c>
      <c r="AG295" s="159">
        <f t="shared" si="29"/>
        <v>0</v>
      </c>
      <c r="AI295" s="159">
        <f t="shared" si="30"/>
        <v>0</v>
      </c>
      <c r="AK295" s="159">
        <f t="shared" si="31"/>
        <v>0</v>
      </c>
      <c r="AM295" s="159">
        <f t="shared" si="32"/>
        <v>0</v>
      </c>
      <c r="AO295" s="159">
        <f t="shared" si="33"/>
        <v>0</v>
      </c>
      <c r="AQ295" s="159">
        <f t="shared" si="34"/>
        <v>0</v>
      </c>
      <c r="AS295" s="159">
        <f t="shared" si="35"/>
        <v>0</v>
      </c>
      <c r="AU295" s="159">
        <f t="shared" si="36"/>
        <v>0</v>
      </c>
      <c r="AW295" s="159">
        <f t="shared" si="37"/>
        <v>0</v>
      </c>
    </row>
    <row r="296" spans="1:49" x14ac:dyDescent="0.2">
      <c r="A296" s="411"/>
      <c r="B296" s="411"/>
      <c r="C296" s="411"/>
      <c r="D296" s="411"/>
      <c r="E296" s="411"/>
      <c r="F296" s="411"/>
      <c r="G296" s="535"/>
      <c r="H296" s="536"/>
      <c r="I296" s="536"/>
      <c r="J296" s="536"/>
      <c r="K296" s="536"/>
      <c r="L296" s="537"/>
      <c r="M296" s="412">
        <f>IF(K296&gt;=Input!$B$18,1,0)</f>
        <v>0</v>
      </c>
      <c r="N296" s="159" t="str">
        <f t="shared" si="19"/>
        <v xml:space="preserve"> -  -  - 0</v>
      </c>
      <c r="O296" s="159">
        <f t="shared" si="20"/>
        <v>0</v>
      </c>
      <c r="Q296" s="159">
        <f t="shared" si="21"/>
        <v>0</v>
      </c>
      <c r="S296" s="159">
        <f t="shared" si="22"/>
        <v>0</v>
      </c>
      <c r="U296" s="159">
        <f t="shared" si="23"/>
        <v>0</v>
      </c>
      <c r="W296" s="159">
        <f t="shared" si="24"/>
        <v>0</v>
      </c>
      <c r="Y296" s="159">
        <f t="shared" si="25"/>
        <v>0</v>
      </c>
      <c r="AA296" s="159">
        <f t="shared" si="26"/>
        <v>0</v>
      </c>
      <c r="AC296" s="159">
        <f t="shared" si="27"/>
        <v>0</v>
      </c>
      <c r="AE296" s="159">
        <f t="shared" si="28"/>
        <v>0</v>
      </c>
      <c r="AG296" s="159">
        <f t="shared" si="29"/>
        <v>0</v>
      </c>
      <c r="AI296" s="159">
        <f t="shared" si="30"/>
        <v>0</v>
      </c>
      <c r="AK296" s="159">
        <f t="shared" si="31"/>
        <v>0</v>
      </c>
      <c r="AM296" s="159">
        <f t="shared" si="32"/>
        <v>0</v>
      </c>
      <c r="AO296" s="159">
        <f t="shared" si="33"/>
        <v>0</v>
      </c>
      <c r="AQ296" s="159">
        <f t="shared" si="34"/>
        <v>0</v>
      </c>
      <c r="AS296" s="159">
        <f t="shared" si="35"/>
        <v>0</v>
      </c>
      <c r="AU296" s="159">
        <f t="shared" si="36"/>
        <v>0</v>
      </c>
      <c r="AW296" s="159">
        <f t="shared" si="37"/>
        <v>0</v>
      </c>
    </row>
    <row r="297" spans="1:49" x14ac:dyDescent="0.2">
      <c r="A297" s="411"/>
      <c r="B297" s="411"/>
      <c r="C297" s="411"/>
      <c r="D297" s="411"/>
      <c r="E297" s="411"/>
      <c r="F297" s="411"/>
      <c r="G297" s="535"/>
      <c r="H297" s="536"/>
      <c r="I297" s="536"/>
      <c r="J297" s="536"/>
      <c r="K297" s="536"/>
      <c r="L297" s="537"/>
      <c r="M297" s="412">
        <f>IF(K297&gt;=Input!$B$18,1,0)</f>
        <v>0</v>
      </c>
      <c r="N297" s="159" t="str">
        <f t="shared" si="19"/>
        <v xml:space="preserve"> -  -  - 0</v>
      </c>
      <c r="O297" s="159">
        <f t="shared" si="20"/>
        <v>0</v>
      </c>
      <c r="Q297" s="159">
        <f t="shared" si="21"/>
        <v>0</v>
      </c>
      <c r="S297" s="159">
        <f t="shared" si="22"/>
        <v>0</v>
      </c>
      <c r="U297" s="159">
        <f t="shared" si="23"/>
        <v>0</v>
      </c>
      <c r="W297" s="159">
        <f t="shared" si="24"/>
        <v>0</v>
      </c>
      <c r="Y297" s="159">
        <f t="shared" si="25"/>
        <v>0</v>
      </c>
      <c r="AA297" s="159">
        <f t="shared" si="26"/>
        <v>0</v>
      </c>
      <c r="AC297" s="159">
        <f t="shared" si="27"/>
        <v>0</v>
      </c>
      <c r="AE297" s="159">
        <f t="shared" si="28"/>
        <v>0</v>
      </c>
      <c r="AG297" s="159">
        <f t="shared" si="29"/>
        <v>0</v>
      </c>
      <c r="AI297" s="159">
        <f t="shared" si="30"/>
        <v>0</v>
      </c>
      <c r="AK297" s="159">
        <f t="shared" si="31"/>
        <v>0</v>
      </c>
      <c r="AM297" s="159">
        <f t="shared" si="32"/>
        <v>0</v>
      </c>
      <c r="AO297" s="159">
        <f t="shared" si="33"/>
        <v>0</v>
      </c>
      <c r="AQ297" s="159">
        <f t="shared" si="34"/>
        <v>0</v>
      </c>
      <c r="AS297" s="159">
        <f t="shared" si="35"/>
        <v>0</v>
      </c>
      <c r="AU297" s="159">
        <f t="shared" si="36"/>
        <v>0</v>
      </c>
      <c r="AW297" s="159">
        <f t="shared" si="37"/>
        <v>0</v>
      </c>
    </row>
    <row r="298" spans="1:49" x14ac:dyDescent="0.2">
      <c r="A298" s="411"/>
      <c r="B298" s="411"/>
      <c r="C298" s="411"/>
      <c r="D298" s="411"/>
      <c r="E298" s="411"/>
      <c r="F298" s="411"/>
      <c r="G298" s="535"/>
      <c r="H298" s="536"/>
      <c r="I298" s="536"/>
      <c r="J298" s="536"/>
      <c r="K298" s="536"/>
      <c r="L298" s="537"/>
      <c r="M298" s="412">
        <f>IF(K298&gt;=Input!$B$18,1,0)</f>
        <v>0</v>
      </c>
      <c r="N298" s="159" t="str">
        <f t="shared" si="19"/>
        <v xml:space="preserve"> -  -  - 0</v>
      </c>
      <c r="O298" s="159">
        <f t="shared" si="20"/>
        <v>0</v>
      </c>
      <c r="Q298" s="159">
        <f t="shared" si="21"/>
        <v>0</v>
      </c>
      <c r="S298" s="159">
        <f t="shared" si="22"/>
        <v>0</v>
      </c>
      <c r="U298" s="159">
        <f t="shared" si="23"/>
        <v>0</v>
      </c>
      <c r="W298" s="159">
        <f t="shared" si="24"/>
        <v>0</v>
      </c>
      <c r="Y298" s="159">
        <f t="shared" si="25"/>
        <v>0</v>
      </c>
      <c r="AA298" s="159">
        <f t="shared" si="26"/>
        <v>0</v>
      </c>
      <c r="AC298" s="159">
        <f t="shared" si="27"/>
        <v>0</v>
      </c>
      <c r="AE298" s="159">
        <f t="shared" si="28"/>
        <v>0</v>
      </c>
      <c r="AG298" s="159">
        <f t="shared" si="29"/>
        <v>0</v>
      </c>
      <c r="AI298" s="159">
        <f t="shared" si="30"/>
        <v>0</v>
      </c>
      <c r="AK298" s="159">
        <f t="shared" si="31"/>
        <v>0</v>
      </c>
      <c r="AM298" s="159">
        <f t="shared" si="32"/>
        <v>0</v>
      </c>
      <c r="AO298" s="159">
        <f t="shared" si="33"/>
        <v>0</v>
      </c>
      <c r="AQ298" s="159">
        <f t="shared" si="34"/>
        <v>0</v>
      </c>
      <c r="AS298" s="159">
        <f t="shared" si="35"/>
        <v>0</v>
      </c>
      <c r="AU298" s="159">
        <f t="shared" si="36"/>
        <v>0</v>
      </c>
      <c r="AW298" s="159">
        <f t="shared" si="37"/>
        <v>0</v>
      </c>
    </row>
    <row r="299" spans="1:49" x14ac:dyDescent="0.2">
      <c r="A299" s="411"/>
      <c r="B299" s="411"/>
      <c r="C299" s="411"/>
      <c r="D299" s="411"/>
      <c r="E299" s="411"/>
      <c r="F299" s="411"/>
      <c r="G299" s="535"/>
      <c r="H299" s="536"/>
      <c r="I299" s="536"/>
      <c r="J299" s="536"/>
      <c r="K299" s="536"/>
      <c r="L299" s="537"/>
      <c r="M299" s="412">
        <f>IF(K299&gt;=Input!$B$18,1,0)</f>
        <v>0</v>
      </c>
      <c r="N299" s="159" t="str">
        <f t="shared" si="19"/>
        <v xml:space="preserve"> -  -  - 0</v>
      </c>
      <c r="O299" s="159">
        <f t="shared" si="20"/>
        <v>0</v>
      </c>
      <c r="Q299" s="159">
        <f t="shared" si="21"/>
        <v>0</v>
      </c>
      <c r="S299" s="159">
        <f t="shared" si="22"/>
        <v>0</v>
      </c>
      <c r="U299" s="159">
        <f t="shared" si="23"/>
        <v>0</v>
      </c>
      <c r="W299" s="159">
        <f t="shared" si="24"/>
        <v>0</v>
      </c>
      <c r="Y299" s="159">
        <f t="shared" si="25"/>
        <v>0</v>
      </c>
      <c r="AA299" s="159">
        <f t="shared" si="26"/>
        <v>0</v>
      </c>
      <c r="AC299" s="159">
        <f t="shared" si="27"/>
        <v>0</v>
      </c>
      <c r="AE299" s="159">
        <f t="shared" si="28"/>
        <v>0</v>
      </c>
      <c r="AG299" s="159">
        <f t="shared" si="29"/>
        <v>0</v>
      </c>
      <c r="AI299" s="159">
        <f t="shared" si="30"/>
        <v>0</v>
      </c>
      <c r="AK299" s="159">
        <f t="shared" si="31"/>
        <v>0</v>
      </c>
      <c r="AM299" s="159">
        <f t="shared" si="32"/>
        <v>0</v>
      </c>
      <c r="AO299" s="159">
        <f t="shared" si="33"/>
        <v>0</v>
      </c>
      <c r="AQ299" s="159">
        <f t="shared" si="34"/>
        <v>0</v>
      </c>
      <c r="AS299" s="159">
        <f t="shared" si="35"/>
        <v>0</v>
      </c>
      <c r="AU299" s="159">
        <f t="shared" si="36"/>
        <v>0</v>
      </c>
      <c r="AW299" s="159">
        <f t="shared" si="37"/>
        <v>0</v>
      </c>
    </row>
    <row r="300" spans="1:49" x14ac:dyDescent="0.2">
      <c r="A300" s="411"/>
      <c r="B300" s="411"/>
      <c r="C300" s="411"/>
      <c r="D300" s="411"/>
      <c r="E300" s="411"/>
      <c r="F300" s="411"/>
      <c r="G300" s="535"/>
      <c r="H300" s="536"/>
      <c r="I300" s="536"/>
      <c r="J300" s="536"/>
      <c r="K300" s="536"/>
      <c r="L300" s="537"/>
      <c r="M300" s="412">
        <f>IF(K300&gt;=Input!$B$18,1,0)</f>
        <v>0</v>
      </c>
      <c r="N300" s="159" t="str">
        <f t="shared" si="19"/>
        <v xml:space="preserve"> -  -  - 0</v>
      </c>
      <c r="O300" s="159">
        <f t="shared" si="20"/>
        <v>0</v>
      </c>
      <c r="Q300" s="159">
        <f t="shared" si="21"/>
        <v>0</v>
      </c>
      <c r="S300" s="159">
        <f t="shared" si="22"/>
        <v>0</v>
      </c>
      <c r="U300" s="159">
        <f t="shared" si="23"/>
        <v>0</v>
      </c>
      <c r="W300" s="159">
        <f t="shared" si="24"/>
        <v>0</v>
      </c>
      <c r="Y300" s="159">
        <f t="shared" si="25"/>
        <v>0</v>
      </c>
      <c r="AA300" s="159">
        <f t="shared" si="26"/>
        <v>0</v>
      </c>
      <c r="AC300" s="159">
        <f t="shared" si="27"/>
        <v>0</v>
      </c>
      <c r="AE300" s="159">
        <f t="shared" si="28"/>
        <v>0</v>
      </c>
      <c r="AG300" s="159">
        <f t="shared" si="29"/>
        <v>0</v>
      </c>
      <c r="AI300" s="159">
        <f t="shared" si="30"/>
        <v>0</v>
      </c>
      <c r="AK300" s="159">
        <f t="shared" si="31"/>
        <v>0</v>
      </c>
      <c r="AM300" s="159">
        <f t="shared" si="32"/>
        <v>0</v>
      </c>
      <c r="AO300" s="159">
        <f t="shared" si="33"/>
        <v>0</v>
      </c>
      <c r="AQ300" s="159">
        <f t="shared" si="34"/>
        <v>0</v>
      </c>
      <c r="AS300" s="159">
        <f t="shared" si="35"/>
        <v>0</v>
      </c>
      <c r="AU300" s="159">
        <f t="shared" si="36"/>
        <v>0</v>
      </c>
      <c r="AW300" s="159">
        <f t="shared" si="37"/>
        <v>0</v>
      </c>
    </row>
    <row r="301" spans="1:49" x14ac:dyDescent="0.2">
      <c r="A301" s="411"/>
      <c r="B301" s="411"/>
      <c r="C301" s="411"/>
      <c r="D301" s="411"/>
      <c r="E301" s="411"/>
      <c r="F301" s="411"/>
      <c r="G301" s="543"/>
      <c r="H301" s="544"/>
      <c r="I301" s="544"/>
      <c r="J301" s="544"/>
      <c r="K301" s="544"/>
      <c r="L301" s="545"/>
      <c r="M301" s="412">
        <f>IF(K301&gt;=Input!$B$18,1,0)</f>
        <v>0</v>
      </c>
      <c r="N301" s="159" t="str">
        <f t="shared" si="19"/>
        <v xml:space="preserve"> -  -  - 0</v>
      </c>
      <c r="O301" s="159">
        <f t="shared" si="20"/>
        <v>0</v>
      </c>
      <c r="Q301" s="159">
        <f t="shared" si="21"/>
        <v>0</v>
      </c>
      <c r="S301" s="159">
        <f t="shared" si="22"/>
        <v>0</v>
      </c>
      <c r="U301" s="159">
        <f t="shared" si="23"/>
        <v>0</v>
      </c>
      <c r="W301" s="159">
        <f t="shared" si="24"/>
        <v>0</v>
      </c>
      <c r="Y301" s="159">
        <f t="shared" si="25"/>
        <v>0</v>
      </c>
      <c r="AA301" s="159">
        <f t="shared" si="26"/>
        <v>0</v>
      </c>
      <c r="AC301" s="159">
        <f t="shared" si="27"/>
        <v>0</v>
      </c>
      <c r="AE301" s="159">
        <f t="shared" si="28"/>
        <v>0</v>
      </c>
      <c r="AG301" s="159">
        <f t="shared" si="29"/>
        <v>0</v>
      </c>
      <c r="AI301" s="159">
        <f t="shared" si="30"/>
        <v>0</v>
      </c>
      <c r="AK301" s="159">
        <f t="shared" si="31"/>
        <v>0</v>
      </c>
      <c r="AM301" s="159">
        <f t="shared" si="32"/>
        <v>0</v>
      </c>
      <c r="AO301" s="159">
        <f t="shared" si="33"/>
        <v>0</v>
      </c>
      <c r="AQ301" s="159">
        <f t="shared" si="34"/>
        <v>0</v>
      </c>
      <c r="AS301" s="159">
        <f t="shared" si="35"/>
        <v>0</v>
      </c>
      <c r="AU301" s="159">
        <f t="shared" si="36"/>
        <v>0</v>
      </c>
      <c r="AW301" s="159">
        <f t="shared" si="37"/>
        <v>0</v>
      </c>
    </row>
  </sheetData>
  <mergeCells count="5">
    <mergeCell ref="A1:F1"/>
    <mergeCell ref="A18:F18"/>
    <mergeCell ref="A35:F35"/>
    <mergeCell ref="A52:F52"/>
    <mergeCell ref="C71:D7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C00-000000000000}">
          <x14:formula1>
            <xm:f>Math!$A$4:$A$9</xm:f>
          </x14:formula1>
          <xm:sqref>G2:G301</xm:sqref>
        </x14:dataValidation>
        <x14:dataValidation type="list" allowBlank="1" xr:uid="{00000000-0002-0000-0C00-000001000000}">
          <x14:formula1>
            <xm:f>Math!$AE$58:$AE$75</xm:f>
          </x14:formula1>
          <xm:sqref>I2:I301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1000"/>
  <sheetViews>
    <sheetView workbookViewId="0"/>
  </sheetViews>
  <sheetFormatPr defaultColWidth="12.5703125" defaultRowHeight="15.75" customHeight="1" x14ac:dyDescent="0.2"/>
  <cols>
    <col min="2" max="2" width="68.28515625" customWidth="1"/>
    <col min="3" max="3" width="110.5703125" customWidth="1"/>
    <col min="4" max="4" width="15.7109375" customWidth="1"/>
    <col min="5" max="5" width="16.140625" customWidth="1"/>
    <col min="6" max="6" width="11.42578125" customWidth="1"/>
    <col min="7" max="7" width="16.28515625" customWidth="1"/>
  </cols>
  <sheetData>
    <row r="1" spans="1:12" x14ac:dyDescent="0.2">
      <c r="A1" s="321" t="s">
        <v>432</v>
      </c>
      <c r="B1" s="321" t="s">
        <v>411</v>
      </c>
      <c r="C1" s="321" t="s">
        <v>98</v>
      </c>
      <c r="D1" s="321" t="s">
        <v>433</v>
      </c>
      <c r="E1" s="321" t="s">
        <v>434</v>
      </c>
      <c r="F1" s="324" t="s">
        <v>435</v>
      </c>
      <c r="G1" s="324" t="s">
        <v>102</v>
      </c>
      <c r="H1" s="324" t="s">
        <v>436</v>
      </c>
      <c r="I1" s="323"/>
      <c r="J1" s="323"/>
      <c r="K1" s="323"/>
      <c r="L1" s="323"/>
    </row>
    <row r="2" spans="1:12" x14ac:dyDescent="0.2">
      <c r="A2" s="325" t="s">
        <v>36</v>
      </c>
      <c r="B2" s="326" t="s">
        <v>437</v>
      </c>
      <c r="C2" s="159" t="s">
        <v>438</v>
      </c>
      <c r="D2" s="323">
        <v>1</v>
      </c>
      <c r="E2" s="323">
        <v>5</v>
      </c>
      <c r="F2" s="348">
        <v>0.1</v>
      </c>
      <c r="G2" s="323" t="s">
        <v>22</v>
      </c>
      <c r="H2" s="323"/>
      <c r="I2" s="323"/>
      <c r="J2" s="323"/>
      <c r="K2" s="323"/>
      <c r="L2" s="323"/>
    </row>
    <row r="3" spans="1:12" x14ac:dyDescent="0.2">
      <c r="A3" s="325" t="s">
        <v>38</v>
      </c>
      <c r="B3" s="326" t="s">
        <v>439</v>
      </c>
      <c r="C3" s="159" t="s">
        <v>440</v>
      </c>
      <c r="D3" s="323">
        <v>1</v>
      </c>
      <c r="E3" s="323">
        <v>5</v>
      </c>
      <c r="F3" s="348">
        <v>0.1</v>
      </c>
      <c r="G3" s="323" t="s">
        <v>20</v>
      </c>
      <c r="H3" s="323"/>
      <c r="I3" s="323"/>
      <c r="J3" s="323"/>
      <c r="K3" s="323"/>
      <c r="L3" s="323"/>
    </row>
    <row r="4" spans="1:12" x14ac:dyDescent="0.2">
      <c r="A4" s="325" t="s">
        <v>40</v>
      </c>
      <c r="B4" s="326" t="s">
        <v>441</v>
      </c>
      <c r="C4" s="159" t="s">
        <v>442</v>
      </c>
      <c r="D4" s="323">
        <v>1</v>
      </c>
      <c r="E4" s="323">
        <v>5</v>
      </c>
      <c r="F4" s="348">
        <v>0.1</v>
      </c>
      <c r="G4" s="323" t="s">
        <v>20</v>
      </c>
      <c r="H4" s="323"/>
      <c r="I4" s="323"/>
      <c r="J4" s="323"/>
      <c r="K4" s="323"/>
      <c r="L4" s="323"/>
    </row>
    <row r="5" spans="1:12" x14ac:dyDescent="0.2">
      <c r="A5" s="325" t="s">
        <v>42</v>
      </c>
      <c r="B5" s="326" t="s">
        <v>443</v>
      </c>
      <c r="C5" s="159" t="s">
        <v>444</v>
      </c>
      <c r="D5" s="323">
        <v>1</v>
      </c>
      <c r="E5" s="323">
        <v>5</v>
      </c>
      <c r="F5" s="348">
        <v>0.1</v>
      </c>
      <c r="G5" s="323" t="s">
        <v>18</v>
      </c>
      <c r="H5" s="323"/>
      <c r="I5" s="323"/>
      <c r="J5" s="323"/>
      <c r="K5" s="323"/>
      <c r="L5" s="323"/>
    </row>
    <row r="6" spans="1:12" x14ac:dyDescent="0.2">
      <c r="A6" s="325" t="s">
        <v>44</v>
      </c>
      <c r="B6" s="326" t="s">
        <v>445</v>
      </c>
      <c r="C6" s="159" t="s">
        <v>446</v>
      </c>
      <c r="D6" s="323">
        <v>1</v>
      </c>
      <c r="E6" s="323">
        <v>5</v>
      </c>
      <c r="F6" s="348">
        <v>0.1</v>
      </c>
      <c r="G6" s="323" t="s">
        <v>22</v>
      </c>
      <c r="H6" s="323"/>
      <c r="I6" s="323"/>
      <c r="J6" s="323"/>
      <c r="K6" s="323"/>
      <c r="L6" s="323"/>
    </row>
    <row r="7" spans="1:12" x14ac:dyDescent="0.2">
      <c r="A7" s="325" t="s">
        <v>46</v>
      </c>
      <c r="B7" s="326" t="s">
        <v>447</v>
      </c>
      <c r="C7" s="159" t="s">
        <v>448</v>
      </c>
      <c r="D7" s="323">
        <v>1</v>
      </c>
      <c r="E7" s="323">
        <v>5</v>
      </c>
      <c r="F7" s="348">
        <v>0.1</v>
      </c>
      <c r="G7" s="323" t="s">
        <v>18</v>
      </c>
      <c r="H7" s="323"/>
      <c r="I7" s="323"/>
      <c r="J7" s="323"/>
      <c r="K7" s="323"/>
      <c r="L7" s="323"/>
    </row>
    <row r="8" spans="1:12" x14ac:dyDescent="0.2">
      <c r="C8" s="323"/>
      <c r="D8" s="323"/>
    </row>
    <row r="9" spans="1:12" x14ac:dyDescent="0.2">
      <c r="C9" s="323"/>
      <c r="D9" s="323"/>
    </row>
    <row r="10" spans="1:12" x14ac:dyDescent="0.2">
      <c r="C10" s="323"/>
      <c r="D10" s="323"/>
    </row>
    <row r="11" spans="1:12" x14ac:dyDescent="0.2">
      <c r="C11" s="323"/>
      <c r="D11" s="323"/>
    </row>
    <row r="12" spans="1:12" x14ac:dyDescent="0.2">
      <c r="C12" s="323"/>
      <c r="D12" s="323"/>
    </row>
    <row r="13" spans="1:12" x14ac:dyDescent="0.2">
      <c r="C13" s="323"/>
      <c r="D13" s="323"/>
    </row>
    <row r="14" spans="1:12" x14ac:dyDescent="0.2">
      <c r="B14" s="638" t="s">
        <v>449</v>
      </c>
      <c r="C14" s="558"/>
      <c r="D14" s="558"/>
      <c r="E14" s="558"/>
    </row>
    <row r="15" spans="1:12" x14ac:dyDescent="0.2">
      <c r="B15" s="326" t="s">
        <v>450</v>
      </c>
      <c r="C15" s="159" t="s">
        <v>451</v>
      </c>
      <c r="D15" s="323"/>
    </row>
    <row r="16" spans="1:12" x14ac:dyDescent="0.2">
      <c r="B16" s="326" t="s">
        <v>452</v>
      </c>
      <c r="C16" s="159" t="s">
        <v>453</v>
      </c>
      <c r="D16" s="323"/>
    </row>
    <row r="17" spans="2:4" x14ac:dyDescent="0.2">
      <c r="B17" s="326" t="s">
        <v>454</v>
      </c>
      <c r="C17" s="159" t="s">
        <v>455</v>
      </c>
      <c r="D17" s="323"/>
    </row>
    <row r="18" spans="2:4" x14ac:dyDescent="0.2">
      <c r="B18" s="326" t="s">
        <v>456</v>
      </c>
      <c r="C18" s="159" t="s">
        <v>457</v>
      </c>
      <c r="D18" s="323"/>
    </row>
    <row r="19" spans="2:4" x14ac:dyDescent="0.2">
      <c r="B19" s="326" t="s">
        <v>458</v>
      </c>
      <c r="C19" s="159" t="s">
        <v>459</v>
      </c>
      <c r="D19" s="323"/>
    </row>
    <row r="20" spans="2:4" x14ac:dyDescent="0.2">
      <c r="B20" s="326" t="s">
        <v>460</v>
      </c>
      <c r="C20" s="159" t="s">
        <v>461</v>
      </c>
      <c r="D20" s="323"/>
    </row>
    <row r="21" spans="2:4" x14ac:dyDescent="0.2">
      <c r="C21" s="323"/>
      <c r="D21" s="323"/>
    </row>
    <row r="22" spans="2:4" x14ac:dyDescent="0.2">
      <c r="C22" s="323"/>
      <c r="D22" s="323"/>
    </row>
    <row r="23" spans="2:4" x14ac:dyDescent="0.2">
      <c r="C23" s="323"/>
      <c r="D23" s="323"/>
    </row>
    <row r="24" spans="2:4" x14ac:dyDescent="0.2">
      <c r="C24" s="323"/>
      <c r="D24" s="323"/>
    </row>
    <row r="25" spans="2:4" x14ac:dyDescent="0.2">
      <c r="C25" s="323"/>
      <c r="D25" s="323"/>
    </row>
    <row r="26" spans="2:4" x14ac:dyDescent="0.2">
      <c r="C26" s="323"/>
      <c r="D26" s="323"/>
    </row>
    <row r="27" spans="2:4" x14ac:dyDescent="0.2">
      <c r="C27" s="323"/>
      <c r="D27" s="323"/>
    </row>
    <row r="28" spans="2:4" x14ac:dyDescent="0.2">
      <c r="C28" s="323"/>
      <c r="D28" s="323"/>
    </row>
    <row r="29" spans="2:4" x14ac:dyDescent="0.2">
      <c r="C29" s="323"/>
      <c r="D29" s="323"/>
    </row>
    <row r="30" spans="2:4" x14ac:dyDescent="0.2">
      <c r="C30" s="323"/>
      <c r="D30" s="323"/>
    </row>
    <row r="31" spans="2:4" x14ac:dyDescent="0.2">
      <c r="C31" s="323"/>
      <c r="D31" s="323"/>
    </row>
    <row r="32" spans="2:4" x14ac:dyDescent="0.2">
      <c r="C32" s="323"/>
      <c r="D32" s="323"/>
    </row>
    <row r="33" spans="3:4" x14ac:dyDescent="0.2">
      <c r="C33" s="323"/>
      <c r="D33" s="323"/>
    </row>
    <row r="34" spans="3:4" x14ac:dyDescent="0.2">
      <c r="C34" s="323"/>
      <c r="D34" s="323"/>
    </row>
    <row r="35" spans="3:4" x14ac:dyDescent="0.2">
      <c r="C35" s="323"/>
      <c r="D35" s="323"/>
    </row>
    <row r="36" spans="3:4" x14ac:dyDescent="0.2">
      <c r="C36" s="323"/>
      <c r="D36" s="323"/>
    </row>
    <row r="37" spans="3:4" x14ac:dyDescent="0.2">
      <c r="C37" s="323"/>
      <c r="D37" s="323"/>
    </row>
    <row r="38" spans="3:4" x14ac:dyDescent="0.2">
      <c r="C38" s="323"/>
      <c r="D38" s="323"/>
    </row>
    <row r="39" spans="3:4" x14ac:dyDescent="0.2">
      <c r="C39" s="323"/>
      <c r="D39" s="323"/>
    </row>
    <row r="40" spans="3:4" x14ac:dyDescent="0.2">
      <c r="C40" s="323"/>
      <c r="D40" s="323"/>
    </row>
    <row r="41" spans="3:4" x14ac:dyDescent="0.2">
      <c r="C41" s="323"/>
      <c r="D41" s="323"/>
    </row>
    <row r="42" spans="3:4" x14ac:dyDescent="0.2">
      <c r="C42" s="323"/>
      <c r="D42" s="323"/>
    </row>
    <row r="43" spans="3:4" x14ac:dyDescent="0.2">
      <c r="C43" s="323"/>
      <c r="D43" s="323"/>
    </row>
    <row r="44" spans="3:4" x14ac:dyDescent="0.2">
      <c r="C44" s="323"/>
      <c r="D44" s="323"/>
    </row>
    <row r="45" spans="3:4" x14ac:dyDescent="0.2">
      <c r="C45" s="323"/>
      <c r="D45" s="323"/>
    </row>
    <row r="46" spans="3:4" x14ac:dyDescent="0.2">
      <c r="C46" s="323"/>
      <c r="D46" s="323"/>
    </row>
    <row r="47" spans="3:4" x14ac:dyDescent="0.2">
      <c r="C47" s="323"/>
      <c r="D47" s="323"/>
    </row>
    <row r="48" spans="3:4" x14ac:dyDescent="0.2">
      <c r="C48" s="323"/>
      <c r="D48" s="323"/>
    </row>
    <row r="49" spans="3:4" x14ac:dyDescent="0.2">
      <c r="C49" s="323"/>
      <c r="D49" s="323"/>
    </row>
    <row r="50" spans="3:4" x14ac:dyDescent="0.2">
      <c r="C50" s="323"/>
      <c r="D50" s="323"/>
    </row>
    <row r="51" spans="3:4" x14ac:dyDescent="0.2">
      <c r="C51" s="323"/>
      <c r="D51" s="323"/>
    </row>
    <row r="52" spans="3:4" x14ac:dyDescent="0.2">
      <c r="C52" s="323"/>
      <c r="D52" s="323"/>
    </row>
    <row r="53" spans="3:4" x14ac:dyDescent="0.2">
      <c r="C53" s="323"/>
      <c r="D53" s="323"/>
    </row>
    <row r="54" spans="3:4" x14ac:dyDescent="0.2">
      <c r="C54" s="323"/>
      <c r="D54" s="323"/>
    </row>
    <row r="55" spans="3:4" x14ac:dyDescent="0.2">
      <c r="C55" s="323"/>
      <c r="D55" s="323"/>
    </row>
    <row r="56" spans="3:4" x14ac:dyDescent="0.2">
      <c r="C56" s="323"/>
      <c r="D56" s="323"/>
    </row>
    <row r="57" spans="3:4" x14ac:dyDescent="0.2">
      <c r="C57" s="323"/>
      <c r="D57" s="323"/>
    </row>
    <row r="58" spans="3:4" x14ac:dyDescent="0.2">
      <c r="C58" s="323"/>
      <c r="D58" s="323"/>
    </row>
    <row r="59" spans="3:4" x14ac:dyDescent="0.2">
      <c r="C59" s="323"/>
      <c r="D59" s="323"/>
    </row>
    <row r="60" spans="3:4" x14ac:dyDescent="0.2">
      <c r="C60" s="323"/>
      <c r="D60" s="323"/>
    </row>
    <row r="61" spans="3:4" x14ac:dyDescent="0.2">
      <c r="C61" s="323"/>
      <c r="D61" s="323"/>
    </row>
    <row r="62" spans="3:4" x14ac:dyDescent="0.2">
      <c r="C62" s="323"/>
      <c r="D62" s="323"/>
    </row>
    <row r="63" spans="3:4" x14ac:dyDescent="0.2">
      <c r="C63" s="323"/>
      <c r="D63" s="323"/>
    </row>
    <row r="64" spans="3:4" x14ac:dyDescent="0.2">
      <c r="C64" s="323"/>
      <c r="D64" s="323"/>
    </row>
    <row r="65" spans="3:4" x14ac:dyDescent="0.2">
      <c r="C65" s="323"/>
      <c r="D65" s="323"/>
    </row>
    <row r="66" spans="3:4" x14ac:dyDescent="0.2">
      <c r="C66" s="323"/>
      <c r="D66" s="323"/>
    </row>
    <row r="67" spans="3:4" x14ac:dyDescent="0.2">
      <c r="C67" s="323"/>
      <c r="D67" s="323"/>
    </row>
    <row r="68" spans="3:4" x14ac:dyDescent="0.2">
      <c r="C68" s="323"/>
      <c r="D68" s="323"/>
    </row>
    <row r="69" spans="3:4" x14ac:dyDescent="0.2">
      <c r="C69" s="323"/>
      <c r="D69" s="323"/>
    </row>
    <row r="70" spans="3:4" x14ac:dyDescent="0.2">
      <c r="C70" s="323"/>
      <c r="D70" s="323"/>
    </row>
    <row r="71" spans="3:4" x14ac:dyDescent="0.2">
      <c r="C71" s="323"/>
      <c r="D71" s="323"/>
    </row>
    <row r="72" spans="3:4" x14ac:dyDescent="0.2">
      <c r="C72" s="323"/>
      <c r="D72" s="323"/>
    </row>
    <row r="73" spans="3:4" x14ac:dyDescent="0.2">
      <c r="C73" s="323"/>
      <c r="D73" s="323"/>
    </row>
    <row r="74" spans="3:4" x14ac:dyDescent="0.2">
      <c r="C74" s="323"/>
      <c r="D74" s="323"/>
    </row>
    <row r="75" spans="3:4" x14ac:dyDescent="0.2">
      <c r="C75" s="323"/>
      <c r="D75" s="323"/>
    </row>
    <row r="76" spans="3:4" x14ac:dyDescent="0.2">
      <c r="C76" s="323"/>
      <c r="D76" s="323"/>
    </row>
    <row r="77" spans="3:4" x14ac:dyDescent="0.2">
      <c r="C77" s="323"/>
      <c r="D77" s="323"/>
    </row>
    <row r="78" spans="3:4" x14ac:dyDescent="0.2">
      <c r="C78" s="323"/>
      <c r="D78" s="323"/>
    </row>
    <row r="79" spans="3:4" x14ac:dyDescent="0.2">
      <c r="C79" s="323"/>
      <c r="D79" s="323"/>
    </row>
    <row r="80" spans="3:4" x14ac:dyDescent="0.2">
      <c r="C80" s="323"/>
      <c r="D80" s="323"/>
    </row>
    <row r="81" spans="3:4" x14ac:dyDescent="0.2">
      <c r="C81" s="323"/>
      <c r="D81" s="323"/>
    </row>
    <row r="82" spans="3:4" x14ac:dyDescent="0.2">
      <c r="C82" s="323"/>
      <c r="D82" s="323"/>
    </row>
    <row r="83" spans="3:4" x14ac:dyDescent="0.2">
      <c r="C83" s="323"/>
      <c r="D83" s="323"/>
    </row>
    <row r="84" spans="3:4" x14ac:dyDescent="0.2">
      <c r="C84" s="323"/>
      <c r="D84" s="323"/>
    </row>
    <row r="85" spans="3:4" x14ac:dyDescent="0.2">
      <c r="C85" s="323"/>
      <c r="D85" s="323"/>
    </row>
    <row r="86" spans="3:4" x14ac:dyDescent="0.2">
      <c r="C86" s="323"/>
      <c r="D86" s="323"/>
    </row>
    <row r="87" spans="3:4" x14ac:dyDescent="0.2">
      <c r="C87" s="323"/>
      <c r="D87" s="323"/>
    </row>
    <row r="88" spans="3:4" x14ac:dyDescent="0.2">
      <c r="C88" s="323"/>
      <c r="D88" s="323"/>
    </row>
    <row r="89" spans="3:4" x14ac:dyDescent="0.2">
      <c r="C89" s="323"/>
      <c r="D89" s="323"/>
    </row>
    <row r="90" spans="3:4" x14ac:dyDescent="0.2">
      <c r="C90" s="323"/>
      <c r="D90" s="323"/>
    </row>
    <row r="91" spans="3:4" x14ac:dyDescent="0.2">
      <c r="C91" s="323"/>
      <c r="D91" s="323"/>
    </row>
    <row r="92" spans="3:4" x14ac:dyDescent="0.2">
      <c r="C92" s="323"/>
      <c r="D92" s="323"/>
    </row>
    <row r="93" spans="3:4" x14ac:dyDescent="0.2">
      <c r="C93" s="323"/>
      <c r="D93" s="323"/>
    </row>
    <row r="94" spans="3:4" x14ac:dyDescent="0.2">
      <c r="C94" s="323"/>
      <c r="D94" s="323"/>
    </row>
    <row r="95" spans="3:4" x14ac:dyDescent="0.2">
      <c r="C95" s="323"/>
      <c r="D95" s="323"/>
    </row>
    <row r="96" spans="3:4" x14ac:dyDescent="0.2">
      <c r="C96" s="323"/>
      <c r="D96" s="323"/>
    </row>
    <row r="97" spans="3:4" x14ac:dyDescent="0.2">
      <c r="C97" s="323"/>
      <c r="D97" s="323"/>
    </row>
    <row r="98" spans="3:4" x14ac:dyDescent="0.2">
      <c r="C98" s="323"/>
      <c r="D98" s="323"/>
    </row>
    <row r="99" spans="3:4" x14ac:dyDescent="0.2">
      <c r="C99" s="323"/>
      <c r="D99" s="323"/>
    </row>
    <row r="100" spans="3:4" x14ac:dyDescent="0.2">
      <c r="C100" s="323"/>
      <c r="D100" s="323"/>
    </row>
    <row r="101" spans="3:4" x14ac:dyDescent="0.2">
      <c r="C101" s="323"/>
      <c r="D101" s="323"/>
    </row>
    <row r="102" spans="3:4" x14ac:dyDescent="0.2">
      <c r="C102" s="323"/>
      <c r="D102" s="323"/>
    </row>
    <row r="103" spans="3:4" x14ac:dyDescent="0.2">
      <c r="C103" s="323"/>
      <c r="D103" s="323"/>
    </row>
    <row r="104" spans="3:4" x14ac:dyDescent="0.2">
      <c r="C104" s="323"/>
      <c r="D104" s="323"/>
    </row>
    <row r="105" spans="3:4" x14ac:dyDescent="0.2">
      <c r="C105" s="323"/>
      <c r="D105" s="323"/>
    </row>
    <row r="106" spans="3:4" x14ac:dyDescent="0.2">
      <c r="C106" s="323"/>
      <c r="D106" s="323"/>
    </row>
    <row r="107" spans="3:4" x14ac:dyDescent="0.2">
      <c r="C107" s="323"/>
      <c r="D107" s="323"/>
    </row>
    <row r="108" spans="3:4" x14ac:dyDescent="0.2">
      <c r="C108" s="323"/>
      <c r="D108" s="323"/>
    </row>
    <row r="109" spans="3:4" x14ac:dyDescent="0.2">
      <c r="C109" s="323"/>
      <c r="D109" s="323"/>
    </row>
    <row r="110" spans="3:4" x14ac:dyDescent="0.2">
      <c r="C110" s="323"/>
      <c r="D110" s="323"/>
    </row>
    <row r="111" spans="3:4" x14ac:dyDescent="0.2">
      <c r="C111" s="323"/>
      <c r="D111" s="323"/>
    </row>
    <row r="112" spans="3:4" x14ac:dyDescent="0.2">
      <c r="C112" s="323"/>
      <c r="D112" s="323"/>
    </row>
    <row r="113" spans="3:4" x14ac:dyDescent="0.2">
      <c r="C113" s="323"/>
      <c r="D113" s="323"/>
    </row>
    <row r="114" spans="3:4" x14ac:dyDescent="0.2">
      <c r="C114" s="323"/>
      <c r="D114" s="323"/>
    </row>
    <row r="115" spans="3:4" x14ac:dyDescent="0.2">
      <c r="C115" s="323"/>
      <c r="D115" s="323"/>
    </row>
    <row r="116" spans="3:4" x14ac:dyDescent="0.2">
      <c r="C116" s="323"/>
      <c r="D116" s="323"/>
    </row>
    <row r="117" spans="3:4" x14ac:dyDescent="0.2">
      <c r="C117" s="323"/>
      <c r="D117" s="323"/>
    </row>
    <row r="118" spans="3:4" x14ac:dyDescent="0.2">
      <c r="C118" s="323"/>
      <c r="D118" s="323"/>
    </row>
    <row r="119" spans="3:4" x14ac:dyDescent="0.2">
      <c r="C119" s="323"/>
      <c r="D119" s="323"/>
    </row>
    <row r="120" spans="3:4" x14ac:dyDescent="0.2">
      <c r="C120" s="323"/>
      <c r="D120" s="323"/>
    </row>
    <row r="121" spans="3:4" x14ac:dyDescent="0.2">
      <c r="C121" s="323"/>
      <c r="D121" s="323"/>
    </row>
    <row r="122" spans="3:4" x14ac:dyDescent="0.2">
      <c r="C122" s="323"/>
      <c r="D122" s="323"/>
    </row>
    <row r="123" spans="3:4" x14ac:dyDescent="0.2">
      <c r="C123" s="323"/>
      <c r="D123" s="323"/>
    </row>
    <row r="124" spans="3:4" x14ac:dyDescent="0.2">
      <c r="C124" s="323"/>
      <c r="D124" s="323"/>
    </row>
    <row r="125" spans="3:4" x14ac:dyDescent="0.2">
      <c r="C125" s="323"/>
      <c r="D125" s="323"/>
    </row>
    <row r="126" spans="3:4" x14ac:dyDescent="0.2">
      <c r="C126" s="323"/>
      <c r="D126" s="323"/>
    </row>
    <row r="127" spans="3:4" x14ac:dyDescent="0.2">
      <c r="C127" s="323"/>
      <c r="D127" s="323"/>
    </row>
    <row r="128" spans="3:4" x14ac:dyDescent="0.2">
      <c r="C128" s="323"/>
      <c r="D128" s="323"/>
    </row>
    <row r="129" spans="3:4" x14ac:dyDescent="0.2">
      <c r="C129" s="323"/>
      <c r="D129" s="323"/>
    </row>
    <row r="130" spans="3:4" x14ac:dyDescent="0.2">
      <c r="C130" s="323"/>
      <c r="D130" s="323"/>
    </row>
    <row r="131" spans="3:4" x14ac:dyDescent="0.2">
      <c r="C131" s="323"/>
      <c r="D131" s="323"/>
    </row>
    <row r="132" spans="3:4" x14ac:dyDescent="0.2">
      <c r="C132" s="323"/>
      <c r="D132" s="323"/>
    </row>
    <row r="133" spans="3:4" x14ac:dyDescent="0.2">
      <c r="C133" s="323"/>
      <c r="D133" s="323"/>
    </row>
    <row r="134" spans="3:4" x14ac:dyDescent="0.2">
      <c r="C134" s="323"/>
      <c r="D134" s="323"/>
    </row>
    <row r="135" spans="3:4" x14ac:dyDescent="0.2">
      <c r="C135" s="323"/>
      <c r="D135" s="323"/>
    </row>
    <row r="136" spans="3:4" x14ac:dyDescent="0.2">
      <c r="C136" s="323"/>
      <c r="D136" s="323"/>
    </row>
    <row r="137" spans="3:4" x14ac:dyDescent="0.2">
      <c r="C137" s="323"/>
      <c r="D137" s="323"/>
    </row>
    <row r="138" spans="3:4" x14ac:dyDescent="0.2">
      <c r="C138" s="323"/>
      <c r="D138" s="323"/>
    </row>
    <row r="139" spans="3:4" x14ac:dyDescent="0.2">
      <c r="C139" s="323"/>
      <c r="D139" s="323"/>
    </row>
    <row r="140" spans="3:4" x14ac:dyDescent="0.2">
      <c r="C140" s="323"/>
      <c r="D140" s="323"/>
    </row>
    <row r="141" spans="3:4" x14ac:dyDescent="0.2">
      <c r="C141" s="323"/>
      <c r="D141" s="323"/>
    </row>
    <row r="142" spans="3:4" x14ac:dyDescent="0.2">
      <c r="C142" s="323"/>
      <c r="D142" s="323"/>
    </row>
    <row r="143" spans="3:4" x14ac:dyDescent="0.2">
      <c r="C143" s="323"/>
      <c r="D143" s="323"/>
    </row>
    <row r="144" spans="3:4" x14ac:dyDescent="0.2">
      <c r="C144" s="323"/>
      <c r="D144" s="323"/>
    </row>
    <row r="145" spans="3:4" x14ac:dyDescent="0.2">
      <c r="C145" s="323"/>
      <c r="D145" s="323"/>
    </row>
    <row r="146" spans="3:4" x14ac:dyDescent="0.2">
      <c r="C146" s="323"/>
      <c r="D146" s="323"/>
    </row>
    <row r="147" spans="3:4" x14ac:dyDescent="0.2">
      <c r="C147" s="323"/>
      <c r="D147" s="323"/>
    </row>
    <row r="148" spans="3:4" x14ac:dyDescent="0.2">
      <c r="C148" s="323"/>
      <c r="D148" s="323"/>
    </row>
    <row r="149" spans="3:4" x14ac:dyDescent="0.2">
      <c r="C149" s="323"/>
      <c r="D149" s="323"/>
    </row>
    <row r="150" spans="3:4" x14ac:dyDescent="0.2">
      <c r="C150" s="323"/>
      <c r="D150" s="323"/>
    </row>
    <row r="151" spans="3:4" x14ac:dyDescent="0.2">
      <c r="C151" s="323"/>
      <c r="D151" s="323"/>
    </row>
    <row r="152" spans="3:4" x14ac:dyDescent="0.2">
      <c r="C152" s="323"/>
      <c r="D152" s="323"/>
    </row>
    <row r="153" spans="3:4" x14ac:dyDescent="0.2">
      <c r="C153" s="323"/>
      <c r="D153" s="323"/>
    </row>
    <row r="154" spans="3:4" x14ac:dyDescent="0.2">
      <c r="C154" s="323"/>
      <c r="D154" s="323"/>
    </row>
    <row r="155" spans="3:4" x14ac:dyDescent="0.2">
      <c r="C155" s="323"/>
      <c r="D155" s="323"/>
    </row>
    <row r="156" spans="3:4" x14ac:dyDescent="0.2">
      <c r="C156" s="323"/>
      <c r="D156" s="323"/>
    </row>
    <row r="157" spans="3:4" x14ac:dyDescent="0.2">
      <c r="C157" s="323"/>
      <c r="D157" s="323"/>
    </row>
    <row r="158" spans="3:4" x14ac:dyDescent="0.2">
      <c r="C158" s="323"/>
      <c r="D158" s="323"/>
    </row>
    <row r="159" spans="3:4" x14ac:dyDescent="0.2">
      <c r="C159" s="323"/>
      <c r="D159" s="323"/>
    </row>
    <row r="160" spans="3:4" x14ac:dyDescent="0.2">
      <c r="C160" s="323"/>
      <c r="D160" s="323"/>
    </row>
    <row r="161" spans="3:4" x14ac:dyDescent="0.2">
      <c r="C161" s="323"/>
      <c r="D161" s="323"/>
    </row>
    <row r="162" spans="3:4" x14ac:dyDescent="0.2">
      <c r="C162" s="323"/>
      <c r="D162" s="323"/>
    </row>
    <row r="163" spans="3:4" x14ac:dyDescent="0.2">
      <c r="C163" s="323"/>
      <c r="D163" s="323"/>
    </row>
    <row r="164" spans="3:4" x14ac:dyDescent="0.2">
      <c r="C164" s="323"/>
      <c r="D164" s="323"/>
    </row>
    <row r="165" spans="3:4" x14ac:dyDescent="0.2">
      <c r="C165" s="323"/>
      <c r="D165" s="323"/>
    </row>
    <row r="166" spans="3:4" x14ac:dyDescent="0.2">
      <c r="C166" s="323"/>
      <c r="D166" s="323"/>
    </row>
    <row r="167" spans="3:4" x14ac:dyDescent="0.2">
      <c r="C167" s="323"/>
      <c r="D167" s="323"/>
    </row>
    <row r="168" spans="3:4" x14ac:dyDescent="0.2">
      <c r="C168" s="323"/>
      <c r="D168" s="323"/>
    </row>
    <row r="169" spans="3:4" x14ac:dyDescent="0.2">
      <c r="C169" s="323"/>
      <c r="D169" s="323"/>
    </row>
    <row r="170" spans="3:4" x14ac:dyDescent="0.2">
      <c r="C170" s="323"/>
      <c r="D170" s="323"/>
    </row>
    <row r="171" spans="3:4" x14ac:dyDescent="0.2">
      <c r="C171" s="323"/>
      <c r="D171" s="323"/>
    </row>
    <row r="172" spans="3:4" x14ac:dyDescent="0.2">
      <c r="C172" s="323"/>
      <c r="D172" s="323"/>
    </row>
    <row r="173" spans="3:4" x14ac:dyDescent="0.2">
      <c r="C173" s="323"/>
      <c r="D173" s="323"/>
    </row>
    <row r="174" spans="3:4" x14ac:dyDescent="0.2">
      <c r="C174" s="323"/>
      <c r="D174" s="323"/>
    </row>
    <row r="175" spans="3:4" x14ac:dyDescent="0.2">
      <c r="C175" s="323"/>
      <c r="D175" s="323"/>
    </row>
    <row r="176" spans="3:4" x14ac:dyDescent="0.2">
      <c r="C176" s="323"/>
      <c r="D176" s="323"/>
    </row>
    <row r="177" spans="3:4" x14ac:dyDescent="0.2">
      <c r="C177" s="323"/>
      <c r="D177" s="323"/>
    </row>
    <row r="178" spans="3:4" x14ac:dyDescent="0.2">
      <c r="C178" s="323"/>
      <c r="D178" s="323"/>
    </row>
    <row r="179" spans="3:4" x14ac:dyDescent="0.2">
      <c r="C179" s="323"/>
      <c r="D179" s="323"/>
    </row>
    <row r="180" spans="3:4" x14ac:dyDescent="0.2">
      <c r="C180" s="323"/>
      <c r="D180" s="323"/>
    </row>
    <row r="181" spans="3:4" x14ac:dyDescent="0.2">
      <c r="C181" s="323"/>
      <c r="D181" s="323"/>
    </row>
    <row r="182" spans="3:4" x14ac:dyDescent="0.2">
      <c r="C182" s="323"/>
      <c r="D182" s="323"/>
    </row>
    <row r="183" spans="3:4" x14ac:dyDescent="0.2">
      <c r="C183" s="323"/>
      <c r="D183" s="323"/>
    </row>
    <row r="184" spans="3:4" x14ac:dyDescent="0.2">
      <c r="C184" s="323"/>
      <c r="D184" s="323"/>
    </row>
    <row r="185" spans="3:4" x14ac:dyDescent="0.2">
      <c r="C185" s="323"/>
      <c r="D185" s="323"/>
    </row>
    <row r="186" spans="3:4" x14ac:dyDescent="0.2">
      <c r="C186" s="323"/>
      <c r="D186" s="323"/>
    </row>
    <row r="187" spans="3:4" x14ac:dyDescent="0.2">
      <c r="C187" s="323"/>
      <c r="D187" s="323"/>
    </row>
    <row r="188" spans="3:4" x14ac:dyDescent="0.2">
      <c r="C188" s="323"/>
      <c r="D188" s="323"/>
    </row>
    <row r="189" spans="3:4" x14ac:dyDescent="0.2">
      <c r="C189" s="323"/>
      <c r="D189" s="323"/>
    </row>
    <row r="190" spans="3:4" x14ac:dyDescent="0.2">
      <c r="C190" s="323"/>
      <c r="D190" s="323"/>
    </row>
    <row r="191" spans="3:4" x14ac:dyDescent="0.2">
      <c r="C191" s="323"/>
      <c r="D191" s="323"/>
    </row>
    <row r="192" spans="3:4" x14ac:dyDescent="0.2">
      <c r="C192" s="323"/>
      <c r="D192" s="323"/>
    </row>
    <row r="193" spans="3:4" x14ac:dyDescent="0.2">
      <c r="C193" s="323"/>
      <c r="D193" s="323"/>
    </row>
    <row r="194" spans="3:4" x14ac:dyDescent="0.2">
      <c r="C194" s="323"/>
      <c r="D194" s="323"/>
    </row>
    <row r="195" spans="3:4" x14ac:dyDescent="0.2">
      <c r="C195" s="323"/>
      <c r="D195" s="323"/>
    </row>
    <row r="196" spans="3:4" x14ac:dyDescent="0.2">
      <c r="C196" s="323"/>
      <c r="D196" s="323"/>
    </row>
    <row r="197" spans="3:4" x14ac:dyDescent="0.2">
      <c r="C197" s="323"/>
      <c r="D197" s="323"/>
    </row>
    <row r="198" spans="3:4" x14ac:dyDescent="0.2">
      <c r="C198" s="323"/>
      <c r="D198" s="323"/>
    </row>
    <row r="199" spans="3:4" x14ac:dyDescent="0.2">
      <c r="C199" s="323"/>
      <c r="D199" s="323"/>
    </row>
    <row r="200" spans="3:4" x14ac:dyDescent="0.2">
      <c r="C200" s="323"/>
      <c r="D200" s="323"/>
    </row>
    <row r="201" spans="3:4" x14ac:dyDescent="0.2">
      <c r="C201" s="323"/>
      <c r="D201" s="323"/>
    </row>
    <row r="202" spans="3:4" x14ac:dyDescent="0.2">
      <c r="C202" s="323"/>
      <c r="D202" s="323"/>
    </row>
    <row r="203" spans="3:4" x14ac:dyDescent="0.2">
      <c r="C203" s="323"/>
      <c r="D203" s="323"/>
    </row>
    <row r="204" spans="3:4" x14ac:dyDescent="0.2">
      <c r="C204" s="323"/>
      <c r="D204" s="323"/>
    </row>
    <row r="205" spans="3:4" x14ac:dyDescent="0.2">
      <c r="C205" s="323"/>
      <c r="D205" s="323"/>
    </row>
    <row r="206" spans="3:4" x14ac:dyDescent="0.2">
      <c r="C206" s="323"/>
      <c r="D206" s="323"/>
    </row>
    <row r="207" spans="3:4" x14ac:dyDescent="0.2">
      <c r="C207" s="323"/>
      <c r="D207" s="323"/>
    </row>
    <row r="208" spans="3:4" x14ac:dyDescent="0.2">
      <c r="C208" s="323"/>
      <c r="D208" s="323"/>
    </row>
    <row r="209" spans="3:4" x14ac:dyDescent="0.2">
      <c r="C209" s="323"/>
      <c r="D209" s="323"/>
    </row>
    <row r="210" spans="3:4" x14ac:dyDescent="0.2">
      <c r="C210" s="323"/>
      <c r="D210" s="323"/>
    </row>
    <row r="211" spans="3:4" x14ac:dyDescent="0.2">
      <c r="C211" s="323"/>
      <c r="D211" s="323"/>
    </row>
    <row r="212" spans="3:4" x14ac:dyDescent="0.2">
      <c r="C212" s="323"/>
      <c r="D212" s="323"/>
    </row>
    <row r="213" spans="3:4" x14ac:dyDescent="0.2">
      <c r="C213" s="323"/>
      <c r="D213" s="323"/>
    </row>
    <row r="214" spans="3:4" x14ac:dyDescent="0.2">
      <c r="C214" s="323"/>
      <c r="D214" s="323"/>
    </row>
    <row r="215" spans="3:4" x14ac:dyDescent="0.2">
      <c r="C215" s="323"/>
      <c r="D215" s="323"/>
    </row>
    <row r="216" spans="3:4" x14ac:dyDescent="0.2">
      <c r="C216" s="323"/>
      <c r="D216" s="323"/>
    </row>
    <row r="217" spans="3:4" x14ac:dyDescent="0.2">
      <c r="C217" s="323"/>
      <c r="D217" s="323"/>
    </row>
    <row r="218" spans="3:4" x14ac:dyDescent="0.2">
      <c r="C218" s="323"/>
      <c r="D218" s="323"/>
    </row>
    <row r="219" spans="3:4" x14ac:dyDescent="0.2">
      <c r="C219" s="323"/>
      <c r="D219" s="323"/>
    </row>
    <row r="220" spans="3:4" x14ac:dyDescent="0.2">
      <c r="C220" s="323"/>
      <c r="D220" s="323"/>
    </row>
    <row r="221" spans="3:4" x14ac:dyDescent="0.2">
      <c r="C221" s="323"/>
      <c r="D221" s="323"/>
    </row>
    <row r="222" spans="3:4" x14ac:dyDescent="0.2">
      <c r="C222" s="323"/>
      <c r="D222" s="323"/>
    </row>
    <row r="223" spans="3:4" x14ac:dyDescent="0.2">
      <c r="C223" s="323"/>
      <c r="D223" s="323"/>
    </row>
    <row r="224" spans="3:4" x14ac:dyDescent="0.2">
      <c r="C224" s="323"/>
      <c r="D224" s="323"/>
    </row>
    <row r="225" spans="3:4" x14ac:dyDescent="0.2">
      <c r="C225" s="323"/>
      <c r="D225" s="323"/>
    </row>
    <row r="226" spans="3:4" x14ac:dyDescent="0.2">
      <c r="C226" s="323"/>
      <c r="D226" s="323"/>
    </row>
    <row r="227" spans="3:4" x14ac:dyDescent="0.2">
      <c r="C227" s="323"/>
      <c r="D227" s="323"/>
    </row>
    <row r="228" spans="3:4" x14ac:dyDescent="0.2">
      <c r="C228" s="323"/>
      <c r="D228" s="323"/>
    </row>
    <row r="229" spans="3:4" x14ac:dyDescent="0.2">
      <c r="C229" s="323"/>
      <c r="D229" s="323"/>
    </row>
    <row r="230" spans="3:4" x14ac:dyDescent="0.2">
      <c r="C230" s="323"/>
      <c r="D230" s="323"/>
    </row>
    <row r="231" spans="3:4" x14ac:dyDescent="0.2">
      <c r="C231" s="323"/>
      <c r="D231" s="323"/>
    </row>
    <row r="232" spans="3:4" x14ac:dyDescent="0.2">
      <c r="C232" s="323"/>
      <c r="D232" s="323"/>
    </row>
    <row r="233" spans="3:4" x14ac:dyDescent="0.2">
      <c r="C233" s="323"/>
      <c r="D233" s="323"/>
    </row>
    <row r="234" spans="3:4" x14ac:dyDescent="0.2">
      <c r="C234" s="323"/>
      <c r="D234" s="323"/>
    </row>
    <row r="235" spans="3:4" x14ac:dyDescent="0.2">
      <c r="C235" s="323"/>
      <c r="D235" s="323"/>
    </row>
    <row r="236" spans="3:4" x14ac:dyDescent="0.2">
      <c r="C236" s="323"/>
      <c r="D236" s="323"/>
    </row>
    <row r="237" spans="3:4" x14ac:dyDescent="0.2">
      <c r="C237" s="323"/>
      <c r="D237" s="323"/>
    </row>
    <row r="238" spans="3:4" x14ac:dyDescent="0.2">
      <c r="C238" s="323"/>
      <c r="D238" s="323"/>
    </row>
    <row r="239" spans="3:4" x14ac:dyDescent="0.2">
      <c r="C239" s="323"/>
      <c r="D239" s="323"/>
    </row>
    <row r="240" spans="3:4" x14ac:dyDescent="0.2">
      <c r="C240" s="323"/>
      <c r="D240" s="323"/>
    </row>
    <row r="241" spans="3:4" x14ac:dyDescent="0.2">
      <c r="C241" s="323"/>
      <c r="D241" s="323"/>
    </row>
    <row r="242" spans="3:4" x14ac:dyDescent="0.2">
      <c r="C242" s="323"/>
      <c r="D242" s="323"/>
    </row>
    <row r="243" spans="3:4" x14ac:dyDescent="0.2">
      <c r="C243" s="323"/>
      <c r="D243" s="323"/>
    </row>
    <row r="244" spans="3:4" x14ac:dyDescent="0.2">
      <c r="C244" s="323"/>
      <c r="D244" s="323"/>
    </row>
    <row r="245" spans="3:4" x14ac:dyDescent="0.2">
      <c r="C245" s="323"/>
      <c r="D245" s="323"/>
    </row>
    <row r="246" spans="3:4" x14ac:dyDescent="0.2">
      <c r="C246" s="323"/>
      <c r="D246" s="323"/>
    </row>
    <row r="247" spans="3:4" x14ac:dyDescent="0.2">
      <c r="C247" s="323"/>
      <c r="D247" s="323"/>
    </row>
    <row r="248" spans="3:4" x14ac:dyDescent="0.2">
      <c r="C248" s="323"/>
      <c r="D248" s="323"/>
    </row>
    <row r="249" spans="3:4" x14ac:dyDescent="0.2">
      <c r="C249" s="323"/>
      <c r="D249" s="323"/>
    </row>
    <row r="250" spans="3:4" x14ac:dyDescent="0.2">
      <c r="C250" s="323"/>
      <c r="D250" s="323"/>
    </row>
    <row r="251" spans="3:4" x14ac:dyDescent="0.2">
      <c r="C251" s="323"/>
      <c r="D251" s="323"/>
    </row>
    <row r="252" spans="3:4" x14ac:dyDescent="0.2">
      <c r="C252" s="323"/>
      <c r="D252" s="323"/>
    </row>
    <row r="253" spans="3:4" x14ac:dyDescent="0.2">
      <c r="C253" s="323"/>
      <c r="D253" s="323"/>
    </row>
    <row r="254" spans="3:4" x14ac:dyDescent="0.2">
      <c r="C254" s="323"/>
      <c r="D254" s="323"/>
    </row>
    <row r="255" spans="3:4" x14ac:dyDescent="0.2">
      <c r="C255" s="323"/>
      <c r="D255" s="323"/>
    </row>
    <row r="256" spans="3:4" x14ac:dyDescent="0.2">
      <c r="C256" s="323"/>
      <c r="D256" s="323"/>
    </row>
    <row r="257" spans="3:4" x14ac:dyDescent="0.2">
      <c r="C257" s="323"/>
      <c r="D257" s="323"/>
    </row>
    <row r="258" spans="3:4" x14ac:dyDescent="0.2">
      <c r="C258" s="323"/>
      <c r="D258" s="323"/>
    </row>
    <row r="259" spans="3:4" x14ac:dyDescent="0.2">
      <c r="C259" s="323"/>
      <c r="D259" s="323"/>
    </row>
    <row r="260" spans="3:4" x14ac:dyDescent="0.2">
      <c r="C260" s="323"/>
      <c r="D260" s="323"/>
    </row>
    <row r="261" spans="3:4" x14ac:dyDescent="0.2">
      <c r="C261" s="323"/>
      <c r="D261" s="323"/>
    </row>
    <row r="262" spans="3:4" x14ac:dyDescent="0.2">
      <c r="C262" s="323"/>
      <c r="D262" s="323"/>
    </row>
    <row r="263" spans="3:4" x14ac:dyDescent="0.2">
      <c r="C263" s="323"/>
      <c r="D263" s="323"/>
    </row>
    <row r="264" spans="3:4" x14ac:dyDescent="0.2">
      <c r="C264" s="323"/>
      <c r="D264" s="323"/>
    </row>
    <row r="265" spans="3:4" x14ac:dyDescent="0.2">
      <c r="C265" s="323"/>
      <c r="D265" s="323"/>
    </row>
    <row r="266" spans="3:4" x14ac:dyDescent="0.2">
      <c r="C266" s="323"/>
      <c r="D266" s="323"/>
    </row>
    <row r="267" spans="3:4" x14ac:dyDescent="0.2">
      <c r="C267" s="323"/>
      <c r="D267" s="323"/>
    </row>
    <row r="268" spans="3:4" x14ac:dyDescent="0.2">
      <c r="C268" s="323"/>
      <c r="D268" s="323"/>
    </row>
    <row r="269" spans="3:4" x14ac:dyDescent="0.2">
      <c r="C269" s="323"/>
      <c r="D269" s="323"/>
    </row>
    <row r="270" spans="3:4" x14ac:dyDescent="0.2">
      <c r="C270" s="323"/>
      <c r="D270" s="323"/>
    </row>
    <row r="271" spans="3:4" x14ac:dyDescent="0.2">
      <c r="C271" s="323"/>
      <c r="D271" s="323"/>
    </row>
    <row r="272" spans="3:4" x14ac:dyDescent="0.2">
      <c r="C272" s="323"/>
      <c r="D272" s="323"/>
    </row>
    <row r="273" spans="3:4" x14ac:dyDescent="0.2">
      <c r="C273" s="323"/>
      <c r="D273" s="323"/>
    </row>
    <row r="274" spans="3:4" x14ac:dyDescent="0.2">
      <c r="C274" s="323"/>
      <c r="D274" s="323"/>
    </row>
    <row r="275" spans="3:4" x14ac:dyDescent="0.2">
      <c r="C275" s="323"/>
      <c r="D275" s="323"/>
    </row>
    <row r="276" spans="3:4" x14ac:dyDescent="0.2">
      <c r="C276" s="323"/>
      <c r="D276" s="323"/>
    </row>
    <row r="277" spans="3:4" x14ac:dyDescent="0.2">
      <c r="C277" s="323"/>
      <c r="D277" s="323"/>
    </row>
    <row r="278" spans="3:4" x14ac:dyDescent="0.2">
      <c r="C278" s="323"/>
      <c r="D278" s="323"/>
    </row>
    <row r="279" spans="3:4" x14ac:dyDescent="0.2">
      <c r="C279" s="323"/>
      <c r="D279" s="323"/>
    </row>
    <row r="280" spans="3:4" x14ac:dyDescent="0.2">
      <c r="C280" s="323"/>
      <c r="D280" s="323"/>
    </row>
    <row r="281" spans="3:4" x14ac:dyDescent="0.2">
      <c r="C281" s="323"/>
      <c r="D281" s="323"/>
    </row>
    <row r="282" spans="3:4" x14ac:dyDescent="0.2">
      <c r="C282" s="323"/>
      <c r="D282" s="323"/>
    </row>
    <row r="283" spans="3:4" x14ac:dyDescent="0.2">
      <c r="C283" s="323"/>
      <c r="D283" s="323"/>
    </row>
    <row r="284" spans="3:4" x14ac:dyDescent="0.2">
      <c r="C284" s="323"/>
      <c r="D284" s="323"/>
    </row>
    <row r="285" spans="3:4" x14ac:dyDescent="0.2">
      <c r="C285" s="323"/>
      <c r="D285" s="323"/>
    </row>
    <row r="286" spans="3:4" x14ac:dyDescent="0.2">
      <c r="C286" s="323"/>
      <c r="D286" s="323"/>
    </row>
    <row r="287" spans="3:4" x14ac:dyDescent="0.2">
      <c r="C287" s="323"/>
      <c r="D287" s="323"/>
    </row>
    <row r="288" spans="3:4" x14ac:dyDescent="0.2">
      <c r="C288" s="323"/>
      <c r="D288" s="323"/>
    </row>
    <row r="289" spans="3:4" x14ac:dyDescent="0.2">
      <c r="C289" s="323"/>
      <c r="D289" s="323"/>
    </row>
    <row r="290" spans="3:4" x14ac:dyDescent="0.2">
      <c r="C290" s="323"/>
      <c r="D290" s="323"/>
    </row>
    <row r="291" spans="3:4" x14ac:dyDescent="0.2">
      <c r="C291" s="323"/>
      <c r="D291" s="323"/>
    </row>
    <row r="292" spans="3:4" x14ac:dyDescent="0.2">
      <c r="C292" s="323"/>
      <c r="D292" s="323"/>
    </row>
    <row r="293" spans="3:4" x14ac:dyDescent="0.2">
      <c r="C293" s="323"/>
      <c r="D293" s="323"/>
    </row>
    <row r="294" spans="3:4" x14ac:dyDescent="0.2">
      <c r="C294" s="323"/>
      <c r="D294" s="323"/>
    </row>
    <row r="295" spans="3:4" x14ac:dyDescent="0.2">
      <c r="C295" s="323"/>
      <c r="D295" s="323"/>
    </row>
    <row r="296" spans="3:4" x14ac:dyDescent="0.2">
      <c r="C296" s="323"/>
      <c r="D296" s="323"/>
    </row>
    <row r="297" spans="3:4" x14ac:dyDescent="0.2">
      <c r="C297" s="323"/>
      <c r="D297" s="323"/>
    </row>
    <row r="298" spans="3:4" x14ac:dyDescent="0.2">
      <c r="C298" s="323"/>
      <c r="D298" s="323"/>
    </row>
    <row r="299" spans="3:4" x14ac:dyDescent="0.2">
      <c r="C299" s="323"/>
      <c r="D299" s="323"/>
    </row>
    <row r="300" spans="3:4" x14ac:dyDescent="0.2">
      <c r="C300" s="323"/>
      <c r="D300" s="323"/>
    </row>
    <row r="301" spans="3:4" x14ac:dyDescent="0.2">
      <c r="C301" s="323"/>
      <c r="D301" s="323"/>
    </row>
    <row r="302" spans="3:4" x14ac:dyDescent="0.2">
      <c r="C302" s="323"/>
      <c r="D302" s="323"/>
    </row>
    <row r="303" spans="3:4" x14ac:dyDescent="0.2">
      <c r="C303" s="323"/>
      <c r="D303" s="323"/>
    </row>
    <row r="304" spans="3:4" x14ac:dyDescent="0.2">
      <c r="C304" s="323"/>
      <c r="D304" s="323"/>
    </row>
    <row r="305" spans="3:4" x14ac:dyDescent="0.2">
      <c r="C305" s="323"/>
      <c r="D305" s="323"/>
    </row>
    <row r="306" spans="3:4" x14ac:dyDescent="0.2">
      <c r="C306" s="323"/>
      <c r="D306" s="323"/>
    </row>
    <row r="307" spans="3:4" x14ac:dyDescent="0.2">
      <c r="C307" s="323"/>
      <c r="D307" s="323"/>
    </row>
    <row r="308" spans="3:4" x14ac:dyDescent="0.2">
      <c r="C308" s="323"/>
      <c r="D308" s="323"/>
    </row>
    <row r="309" spans="3:4" x14ac:dyDescent="0.2">
      <c r="C309" s="323"/>
      <c r="D309" s="323"/>
    </row>
    <row r="310" spans="3:4" x14ac:dyDescent="0.2">
      <c r="C310" s="323"/>
      <c r="D310" s="323"/>
    </row>
    <row r="311" spans="3:4" x14ac:dyDescent="0.2">
      <c r="C311" s="323"/>
      <c r="D311" s="323"/>
    </row>
    <row r="312" spans="3:4" x14ac:dyDescent="0.2">
      <c r="C312" s="323"/>
      <c r="D312" s="323"/>
    </row>
    <row r="313" spans="3:4" x14ac:dyDescent="0.2">
      <c r="C313" s="323"/>
      <c r="D313" s="323"/>
    </row>
    <row r="314" spans="3:4" x14ac:dyDescent="0.2">
      <c r="C314" s="323"/>
      <c r="D314" s="323"/>
    </row>
    <row r="315" spans="3:4" x14ac:dyDescent="0.2">
      <c r="C315" s="323"/>
      <c r="D315" s="323"/>
    </row>
    <row r="316" spans="3:4" x14ac:dyDescent="0.2">
      <c r="C316" s="323"/>
      <c r="D316" s="323"/>
    </row>
    <row r="317" spans="3:4" x14ac:dyDescent="0.2">
      <c r="C317" s="323"/>
      <c r="D317" s="323"/>
    </row>
    <row r="318" spans="3:4" x14ac:dyDescent="0.2">
      <c r="C318" s="323"/>
      <c r="D318" s="323"/>
    </row>
    <row r="319" spans="3:4" x14ac:dyDescent="0.2">
      <c r="C319" s="323"/>
      <c r="D319" s="323"/>
    </row>
    <row r="320" spans="3:4" x14ac:dyDescent="0.2">
      <c r="C320" s="323"/>
      <c r="D320" s="323"/>
    </row>
    <row r="321" spans="3:4" x14ac:dyDescent="0.2">
      <c r="C321" s="323"/>
      <c r="D321" s="323"/>
    </row>
    <row r="322" spans="3:4" x14ac:dyDescent="0.2">
      <c r="C322" s="323"/>
      <c r="D322" s="323"/>
    </row>
    <row r="323" spans="3:4" x14ac:dyDescent="0.2">
      <c r="C323" s="323"/>
      <c r="D323" s="323"/>
    </row>
    <row r="324" spans="3:4" x14ac:dyDescent="0.2">
      <c r="C324" s="323"/>
      <c r="D324" s="323"/>
    </row>
    <row r="325" spans="3:4" x14ac:dyDescent="0.2">
      <c r="C325" s="323"/>
      <c r="D325" s="323"/>
    </row>
    <row r="326" spans="3:4" x14ac:dyDescent="0.2">
      <c r="C326" s="323"/>
      <c r="D326" s="323"/>
    </row>
    <row r="327" spans="3:4" x14ac:dyDescent="0.2">
      <c r="C327" s="323"/>
      <c r="D327" s="323"/>
    </row>
    <row r="328" spans="3:4" x14ac:dyDescent="0.2">
      <c r="C328" s="323"/>
      <c r="D328" s="323"/>
    </row>
    <row r="329" spans="3:4" x14ac:dyDescent="0.2">
      <c r="C329" s="323"/>
      <c r="D329" s="323"/>
    </row>
    <row r="330" spans="3:4" x14ac:dyDescent="0.2">
      <c r="C330" s="323"/>
      <c r="D330" s="323"/>
    </row>
    <row r="331" spans="3:4" x14ac:dyDescent="0.2">
      <c r="C331" s="323"/>
      <c r="D331" s="323"/>
    </row>
    <row r="332" spans="3:4" x14ac:dyDescent="0.2">
      <c r="C332" s="323"/>
      <c r="D332" s="323"/>
    </row>
    <row r="333" spans="3:4" x14ac:dyDescent="0.2">
      <c r="C333" s="323"/>
      <c r="D333" s="323"/>
    </row>
    <row r="334" spans="3:4" x14ac:dyDescent="0.2">
      <c r="C334" s="323"/>
      <c r="D334" s="323"/>
    </row>
    <row r="335" spans="3:4" x14ac:dyDescent="0.2">
      <c r="C335" s="323"/>
      <c r="D335" s="323"/>
    </row>
    <row r="336" spans="3:4" x14ac:dyDescent="0.2">
      <c r="C336" s="323"/>
      <c r="D336" s="323"/>
    </row>
    <row r="337" spans="3:4" x14ac:dyDescent="0.2">
      <c r="C337" s="323"/>
      <c r="D337" s="323"/>
    </row>
    <row r="338" spans="3:4" x14ac:dyDescent="0.2">
      <c r="C338" s="323"/>
      <c r="D338" s="323"/>
    </row>
    <row r="339" spans="3:4" x14ac:dyDescent="0.2">
      <c r="C339" s="323"/>
      <c r="D339" s="323"/>
    </row>
    <row r="340" spans="3:4" x14ac:dyDescent="0.2">
      <c r="C340" s="323"/>
      <c r="D340" s="323"/>
    </row>
    <row r="341" spans="3:4" x14ac:dyDescent="0.2">
      <c r="C341" s="323"/>
      <c r="D341" s="323"/>
    </row>
    <row r="342" spans="3:4" x14ac:dyDescent="0.2">
      <c r="C342" s="323"/>
      <c r="D342" s="323"/>
    </row>
    <row r="343" spans="3:4" x14ac:dyDescent="0.2">
      <c r="C343" s="323"/>
      <c r="D343" s="323"/>
    </row>
    <row r="344" spans="3:4" x14ac:dyDescent="0.2">
      <c r="C344" s="323"/>
      <c r="D344" s="323"/>
    </row>
    <row r="345" spans="3:4" x14ac:dyDescent="0.2">
      <c r="C345" s="323"/>
      <c r="D345" s="323"/>
    </row>
    <row r="346" spans="3:4" x14ac:dyDescent="0.2">
      <c r="C346" s="323"/>
      <c r="D346" s="323"/>
    </row>
    <row r="347" spans="3:4" x14ac:dyDescent="0.2">
      <c r="C347" s="323"/>
      <c r="D347" s="323"/>
    </row>
    <row r="348" spans="3:4" x14ac:dyDescent="0.2">
      <c r="C348" s="323"/>
      <c r="D348" s="323"/>
    </row>
    <row r="349" spans="3:4" x14ac:dyDescent="0.2">
      <c r="C349" s="323"/>
      <c r="D349" s="323"/>
    </row>
    <row r="350" spans="3:4" x14ac:dyDescent="0.2">
      <c r="C350" s="323"/>
      <c r="D350" s="323"/>
    </row>
    <row r="351" spans="3:4" x14ac:dyDescent="0.2">
      <c r="C351" s="323"/>
      <c r="D351" s="323"/>
    </row>
    <row r="352" spans="3:4" x14ac:dyDescent="0.2">
      <c r="C352" s="323"/>
      <c r="D352" s="323"/>
    </row>
    <row r="353" spans="3:4" x14ac:dyDescent="0.2">
      <c r="C353" s="323"/>
      <c r="D353" s="323"/>
    </row>
    <row r="354" spans="3:4" x14ac:dyDescent="0.2">
      <c r="C354" s="323"/>
      <c r="D354" s="323"/>
    </row>
    <row r="355" spans="3:4" x14ac:dyDescent="0.2">
      <c r="C355" s="323"/>
      <c r="D355" s="323"/>
    </row>
    <row r="356" spans="3:4" x14ac:dyDescent="0.2">
      <c r="C356" s="323"/>
      <c r="D356" s="323"/>
    </row>
    <row r="357" spans="3:4" x14ac:dyDescent="0.2">
      <c r="C357" s="323"/>
      <c r="D357" s="323"/>
    </row>
    <row r="358" spans="3:4" x14ac:dyDescent="0.2">
      <c r="C358" s="323"/>
      <c r="D358" s="323"/>
    </row>
    <row r="359" spans="3:4" x14ac:dyDescent="0.2">
      <c r="C359" s="323"/>
      <c r="D359" s="323"/>
    </row>
    <row r="360" spans="3:4" x14ac:dyDescent="0.2">
      <c r="C360" s="323"/>
      <c r="D360" s="323"/>
    </row>
    <row r="361" spans="3:4" x14ac:dyDescent="0.2">
      <c r="C361" s="323"/>
      <c r="D361" s="323"/>
    </row>
    <row r="362" spans="3:4" x14ac:dyDescent="0.2">
      <c r="C362" s="323"/>
      <c r="D362" s="323"/>
    </row>
    <row r="363" spans="3:4" x14ac:dyDescent="0.2">
      <c r="C363" s="323"/>
      <c r="D363" s="323"/>
    </row>
    <row r="364" spans="3:4" x14ac:dyDescent="0.2">
      <c r="C364" s="323"/>
      <c r="D364" s="323"/>
    </row>
    <row r="365" spans="3:4" x14ac:dyDescent="0.2">
      <c r="C365" s="323"/>
      <c r="D365" s="323"/>
    </row>
    <row r="366" spans="3:4" x14ac:dyDescent="0.2">
      <c r="C366" s="323"/>
      <c r="D366" s="323"/>
    </row>
    <row r="367" spans="3:4" x14ac:dyDescent="0.2">
      <c r="C367" s="323"/>
      <c r="D367" s="323"/>
    </row>
    <row r="368" spans="3:4" x14ac:dyDescent="0.2">
      <c r="C368" s="323"/>
      <c r="D368" s="323"/>
    </row>
    <row r="369" spans="3:4" x14ac:dyDescent="0.2">
      <c r="C369" s="323"/>
      <c r="D369" s="323"/>
    </row>
    <row r="370" spans="3:4" x14ac:dyDescent="0.2">
      <c r="C370" s="323"/>
      <c r="D370" s="323"/>
    </row>
    <row r="371" spans="3:4" x14ac:dyDescent="0.2">
      <c r="C371" s="323"/>
      <c r="D371" s="323"/>
    </row>
    <row r="372" spans="3:4" x14ac:dyDescent="0.2">
      <c r="C372" s="323"/>
      <c r="D372" s="323"/>
    </row>
    <row r="373" spans="3:4" x14ac:dyDescent="0.2">
      <c r="C373" s="323"/>
      <c r="D373" s="323"/>
    </row>
    <row r="374" spans="3:4" x14ac:dyDescent="0.2">
      <c r="C374" s="323"/>
      <c r="D374" s="323"/>
    </row>
    <row r="375" spans="3:4" x14ac:dyDescent="0.2">
      <c r="C375" s="323"/>
      <c r="D375" s="323"/>
    </row>
    <row r="376" spans="3:4" x14ac:dyDescent="0.2">
      <c r="C376" s="323"/>
      <c r="D376" s="323"/>
    </row>
    <row r="377" spans="3:4" x14ac:dyDescent="0.2">
      <c r="C377" s="323"/>
      <c r="D377" s="323"/>
    </row>
    <row r="378" spans="3:4" x14ac:dyDescent="0.2">
      <c r="C378" s="323"/>
      <c r="D378" s="323"/>
    </row>
    <row r="379" spans="3:4" x14ac:dyDescent="0.2">
      <c r="C379" s="323"/>
      <c r="D379" s="323"/>
    </row>
    <row r="380" spans="3:4" x14ac:dyDescent="0.2">
      <c r="C380" s="323"/>
      <c r="D380" s="323"/>
    </row>
    <row r="381" spans="3:4" x14ac:dyDescent="0.2">
      <c r="C381" s="323"/>
      <c r="D381" s="323"/>
    </row>
    <row r="382" spans="3:4" x14ac:dyDescent="0.2">
      <c r="C382" s="323"/>
      <c r="D382" s="323"/>
    </row>
    <row r="383" spans="3:4" x14ac:dyDescent="0.2">
      <c r="C383" s="323"/>
      <c r="D383" s="323"/>
    </row>
    <row r="384" spans="3:4" x14ac:dyDescent="0.2">
      <c r="C384" s="323"/>
      <c r="D384" s="323"/>
    </row>
    <row r="385" spans="3:4" x14ac:dyDescent="0.2">
      <c r="C385" s="323"/>
      <c r="D385" s="323"/>
    </row>
    <row r="386" spans="3:4" x14ac:dyDescent="0.2">
      <c r="C386" s="323"/>
      <c r="D386" s="323"/>
    </row>
    <row r="387" spans="3:4" x14ac:dyDescent="0.2">
      <c r="C387" s="323"/>
      <c r="D387" s="323"/>
    </row>
    <row r="388" spans="3:4" x14ac:dyDescent="0.2">
      <c r="C388" s="323"/>
      <c r="D388" s="323"/>
    </row>
    <row r="389" spans="3:4" x14ac:dyDescent="0.2">
      <c r="C389" s="323"/>
      <c r="D389" s="323"/>
    </row>
    <row r="390" spans="3:4" x14ac:dyDescent="0.2">
      <c r="C390" s="323"/>
      <c r="D390" s="323"/>
    </row>
    <row r="391" spans="3:4" x14ac:dyDescent="0.2">
      <c r="C391" s="323"/>
      <c r="D391" s="323"/>
    </row>
    <row r="392" spans="3:4" x14ac:dyDescent="0.2">
      <c r="C392" s="323"/>
      <c r="D392" s="323"/>
    </row>
    <row r="393" spans="3:4" x14ac:dyDescent="0.2">
      <c r="C393" s="323"/>
      <c r="D393" s="323"/>
    </row>
    <row r="394" spans="3:4" x14ac:dyDescent="0.2">
      <c r="C394" s="323"/>
      <c r="D394" s="323"/>
    </row>
    <row r="395" spans="3:4" x14ac:dyDescent="0.2">
      <c r="C395" s="323"/>
      <c r="D395" s="323"/>
    </row>
    <row r="396" spans="3:4" x14ac:dyDescent="0.2">
      <c r="C396" s="323"/>
      <c r="D396" s="323"/>
    </row>
    <row r="397" spans="3:4" x14ac:dyDescent="0.2">
      <c r="C397" s="323"/>
      <c r="D397" s="323"/>
    </row>
    <row r="398" spans="3:4" x14ac:dyDescent="0.2">
      <c r="C398" s="323"/>
      <c r="D398" s="323"/>
    </row>
    <row r="399" spans="3:4" x14ac:dyDescent="0.2">
      <c r="C399" s="323"/>
      <c r="D399" s="323"/>
    </row>
    <row r="400" spans="3:4" x14ac:dyDescent="0.2">
      <c r="C400" s="323"/>
      <c r="D400" s="323"/>
    </row>
    <row r="401" spans="3:4" x14ac:dyDescent="0.2">
      <c r="C401" s="323"/>
      <c r="D401" s="323"/>
    </row>
    <row r="402" spans="3:4" x14ac:dyDescent="0.2">
      <c r="C402" s="323"/>
      <c r="D402" s="323"/>
    </row>
    <row r="403" spans="3:4" x14ac:dyDescent="0.2">
      <c r="C403" s="323"/>
      <c r="D403" s="323"/>
    </row>
    <row r="404" spans="3:4" x14ac:dyDescent="0.2">
      <c r="C404" s="323"/>
      <c r="D404" s="323"/>
    </row>
    <row r="405" spans="3:4" x14ac:dyDescent="0.2">
      <c r="C405" s="323"/>
      <c r="D405" s="323"/>
    </row>
    <row r="406" spans="3:4" x14ac:dyDescent="0.2">
      <c r="C406" s="323"/>
      <c r="D406" s="323"/>
    </row>
    <row r="407" spans="3:4" x14ac:dyDescent="0.2">
      <c r="C407" s="323"/>
      <c r="D407" s="323"/>
    </row>
    <row r="408" spans="3:4" x14ac:dyDescent="0.2">
      <c r="C408" s="323"/>
      <c r="D408" s="323"/>
    </row>
    <row r="409" spans="3:4" x14ac:dyDescent="0.2">
      <c r="C409" s="323"/>
      <c r="D409" s="323"/>
    </row>
    <row r="410" spans="3:4" x14ac:dyDescent="0.2">
      <c r="C410" s="323"/>
      <c r="D410" s="323"/>
    </row>
    <row r="411" spans="3:4" x14ac:dyDescent="0.2">
      <c r="C411" s="323"/>
      <c r="D411" s="323"/>
    </row>
    <row r="412" spans="3:4" x14ac:dyDescent="0.2">
      <c r="C412" s="323"/>
      <c r="D412" s="323"/>
    </row>
    <row r="413" spans="3:4" x14ac:dyDescent="0.2">
      <c r="C413" s="323"/>
      <c r="D413" s="323"/>
    </row>
    <row r="414" spans="3:4" x14ac:dyDescent="0.2">
      <c r="C414" s="323"/>
      <c r="D414" s="323"/>
    </row>
    <row r="415" spans="3:4" x14ac:dyDescent="0.2">
      <c r="C415" s="323"/>
      <c r="D415" s="323"/>
    </row>
    <row r="416" spans="3:4" x14ac:dyDescent="0.2">
      <c r="C416" s="323"/>
      <c r="D416" s="323"/>
    </row>
    <row r="417" spans="3:4" x14ac:dyDescent="0.2">
      <c r="C417" s="323"/>
      <c r="D417" s="323"/>
    </row>
    <row r="418" spans="3:4" x14ac:dyDescent="0.2">
      <c r="C418" s="323"/>
      <c r="D418" s="323"/>
    </row>
    <row r="419" spans="3:4" x14ac:dyDescent="0.2">
      <c r="C419" s="323"/>
      <c r="D419" s="323"/>
    </row>
    <row r="420" spans="3:4" x14ac:dyDescent="0.2">
      <c r="C420" s="323"/>
      <c r="D420" s="323"/>
    </row>
    <row r="421" spans="3:4" x14ac:dyDescent="0.2">
      <c r="C421" s="323"/>
      <c r="D421" s="323"/>
    </row>
    <row r="422" spans="3:4" x14ac:dyDescent="0.2">
      <c r="C422" s="323"/>
      <c r="D422" s="323"/>
    </row>
    <row r="423" spans="3:4" x14ac:dyDescent="0.2">
      <c r="C423" s="323"/>
      <c r="D423" s="323"/>
    </row>
    <row r="424" spans="3:4" x14ac:dyDescent="0.2">
      <c r="C424" s="323"/>
      <c r="D424" s="323"/>
    </row>
    <row r="425" spans="3:4" x14ac:dyDescent="0.2">
      <c r="C425" s="323"/>
      <c r="D425" s="323"/>
    </row>
    <row r="426" spans="3:4" x14ac:dyDescent="0.2">
      <c r="C426" s="323"/>
      <c r="D426" s="323"/>
    </row>
    <row r="427" spans="3:4" x14ac:dyDescent="0.2">
      <c r="C427" s="323"/>
      <c r="D427" s="323"/>
    </row>
    <row r="428" spans="3:4" x14ac:dyDescent="0.2">
      <c r="C428" s="323"/>
      <c r="D428" s="323"/>
    </row>
    <row r="429" spans="3:4" x14ac:dyDescent="0.2">
      <c r="C429" s="323"/>
      <c r="D429" s="323"/>
    </row>
    <row r="430" spans="3:4" x14ac:dyDescent="0.2">
      <c r="C430" s="323"/>
      <c r="D430" s="323"/>
    </row>
    <row r="431" spans="3:4" x14ac:dyDescent="0.2">
      <c r="C431" s="323"/>
      <c r="D431" s="323"/>
    </row>
    <row r="432" spans="3:4" x14ac:dyDescent="0.2">
      <c r="C432" s="323"/>
      <c r="D432" s="323"/>
    </row>
    <row r="433" spans="3:4" x14ac:dyDescent="0.2">
      <c r="C433" s="323"/>
      <c r="D433" s="323"/>
    </row>
    <row r="434" spans="3:4" x14ac:dyDescent="0.2">
      <c r="C434" s="323"/>
      <c r="D434" s="323"/>
    </row>
    <row r="435" spans="3:4" x14ac:dyDescent="0.2">
      <c r="C435" s="323"/>
      <c r="D435" s="323"/>
    </row>
    <row r="436" spans="3:4" x14ac:dyDescent="0.2">
      <c r="C436" s="323"/>
      <c r="D436" s="323"/>
    </row>
    <row r="437" spans="3:4" x14ac:dyDescent="0.2">
      <c r="C437" s="323"/>
      <c r="D437" s="323"/>
    </row>
    <row r="438" spans="3:4" x14ac:dyDescent="0.2">
      <c r="C438" s="323"/>
      <c r="D438" s="323"/>
    </row>
    <row r="439" spans="3:4" x14ac:dyDescent="0.2">
      <c r="C439" s="323"/>
      <c r="D439" s="323"/>
    </row>
    <row r="440" spans="3:4" x14ac:dyDescent="0.2">
      <c r="C440" s="323"/>
      <c r="D440" s="323"/>
    </row>
    <row r="441" spans="3:4" x14ac:dyDescent="0.2">
      <c r="C441" s="323"/>
      <c r="D441" s="323"/>
    </row>
    <row r="442" spans="3:4" x14ac:dyDescent="0.2">
      <c r="C442" s="323"/>
      <c r="D442" s="323"/>
    </row>
    <row r="443" spans="3:4" x14ac:dyDescent="0.2">
      <c r="C443" s="323"/>
      <c r="D443" s="323"/>
    </row>
    <row r="444" spans="3:4" x14ac:dyDescent="0.2">
      <c r="C444" s="323"/>
      <c r="D444" s="323"/>
    </row>
    <row r="445" spans="3:4" x14ac:dyDescent="0.2">
      <c r="C445" s="323"/>
      <c r="D445" s="323"/>
    </row>
    <row r="446" spans="3:4" x14ac:dyDescent="0.2">
      <c r="C446" s="323"/>
      <c r="D446" s="323"/>
    </row>
    <row r="447" spans="3:4" x14ac:dyDescent="0.2">
      <c r="C447" s="323"/>
      <c r="D447" s="323"/>
    </row>
    <row r="448" spans="3:4" x14ac:dyDescent="0.2">
      <c r="C448" s="323"/>
      <c r="D448" s="323"/>
    </row>
    <row r="449" spans="3:4" x14ac:dyDescent="0.2">
      <c r="C449" s="323"/>
      <c r="D449" s="323"/>
    </row>
    <row r="450" spans="3:4" x14ac:dyDescent="0.2">
      <c r="C450" s="323"/>
      <c r="D450" s="323"/>
    </row>
    <row r="451" spans="3:4" x14ac:dyDescent="0.2">
      <c r="C451" s="323"/>
      <c r="D451" s="323"/>
    </row>
    <row r="452" spans="3:4" x14ac:dyDescent="0.2">
      <c r="C452" s="323"/>
      <c r="D452" s="323"/>
    </row>
    <row r="453" spans="3:4" x14ac:dyDescent="0.2">
      <c r="C453" s="323"/>
      <c r="D453" s="323"/>
    </row>
    <row r="454" spans="3:4" x14ac:dyDescent="0.2">
      <c r="C454" s="323"/>
      <c r="D454" s="323"/>
    </row>
    <row r="455" spans="3:4" x14ac:dyDescent="0.2">
      <c r="C455" s="323"/>
      <c r="D455" s="323"/>
    </row>
    <row r="456" spans="3:4" x14ac:dyDescent="0.2">
      <c r="C456" s="323"/>
      <c r="D456" s="323"/>
    </row>
    <row r="457" spans="3:4" x14ac:dyDescent="0.2">
      <c r="C457" s="323"/>
      <c r="D457" s="323"/>
    </row>
    <row r="458" spans="3:4" x14ac:dyDescent="0.2">
      <c r="C458" s="323"/>
      <c r="D458" s="323"/>
    </row>
    <row r="459" spans="3:4" x14ac:dyDescent="0.2">
      <c r="C459" s="323"/>
      <c r="D459" s="323"/>
    </row>
    <row r="460" spans="3:4" x14ac:dyDescent="0.2">
      <c r="C460" s="323"/>
      <c r="D460" s="323"/>
    </row>
    <row r="461" spans="3:4" x14ac:dyDescent="0.2">
      <c r="C461" s="323"/>
      <c r="D461" s="323"/>
    </row>
    <row r="462" spans="3:4" x14ac:dyDescent="0.2">
      <c r="C462" s="323"/>
      <c r="D462" s="323"/>
    </row>
    <row r="463" spans="3:4" x14ac:dyDescent="0.2">
      <c r="C463" s="323"/>
      <c r="D463" s="323"/>
    </row>
    <row r="464" spans="3:4" x14ac:dyDescent="0.2">
      <c r="C464" s="323"/>
      <c r="D464" s="323"/>
    </row>
    <row r="465" spans="3:4" x14ac:dyDescent="0.2">
      <c r="C465" s="323"/>
      <c r="D465" s="323"/>
    </row>
    <row r="466" spans="3:4" x14ac:dyDescent="0.2">
      <c r="C466" s="323"/>
      <c r="D466" s="323"/>
    </row>
    <row r="467" spans="3:4" x14ac:dyDescent="0.2">
      <c r="C467" s="323"/>
      <c r="D467" s="323"/>
    </row>
    <row r="468" spans="3:4" x14ac:dyDescent="0.2">
      <c r="C468" s="323"/>
      <c r="D468" s="323"/>
    </row>
    <row r="469" spans="3:4" x14ac:dyDescent="0.2">
      <c r="C469" s="323"/>
      <c r="D469" s="323"/>
    </row>
    <row r="470" spans="3:4" x14ac:dyDescent="0.2">
      <c r="C470" s="323"/>
      <c r="D470" s="323"/>
    </row>
    <row r="471" spans="3:4" x14ac:dyDescent="0.2">
      <c r="C471" s="323"/>
      <c r="D471" s="323"/>
    </row>
    <row r="472" spans="3:4" x14ac:dyDescent="0.2">
      <c r="C472" s="323"/>
      <c r="D472" s="323"/>
    </row>
    <row r="473" spans="3:4" x14ac:dyDescent="0.2">
      <c r="C473" s="323"/>
      <c r="D473" s="323"/>
    </row>
    <row r="474" spans="3:4" x14ac:dyDescent="0.2">
      <c r="C474" s="323"/>
      <c r="D474" s="323"/>
    </row>
    <row r="475" spans="3:4" x14ac:dyDescent="0.2">
      <c r="C475" s="323"/>
      <c r="D475" s="323"/>
    </row>
    <row r="476" spans="3:4" x14ac:dyDescent="0.2">
      <c r="C476" s="323"/>
      <c r="D476" s="323"/>
    </row>
    <row r="477" spans="3:4" x14ac:dyDescent="0.2">
      <c r="C477" s="323"/>
      <c r="D477" s="323"/>
    </row>
    <row r="478" spans="3:4" x14ac:dyDescent="0.2">
      <c r="C478" s="323"/>
      <c r="D478" s="323"/>
    </row>
    <row r="479" spans="3:4" x14ac:dyDescent="0.2">
      <c r="C479" s="323"/>
      <c r="D479" s="323"/>
    </row>
    <row r="480" spans="3:4" x14ac:dyDescent="0.2">
      <c r="C480" s="323"/>
      <c r="D480" s="323"/>
    </row>
    <row r="481" spans="3:4" x14ac:dyDescent="0.2">
      <c r="C481" s="323"/>
      <c r="D481" s="323"/>
    </row>
    <row r="482" spans="3:4" x14ac:dyDescent="0.2">
      <c r="C482" s="323"/>
      <c r="D482" s="323"/>
    </row>
    <row r="483" spans="3:4" x14ac:dyDescent="0.2">
      <c r="C483" s="323"/>
      <c r="D483" s="323"/>
    </row>
    <row r="484" spans="3:4" x14ac:dyDescent="0.2">
      <c r="C484" s="323"/>
      <c r="D484" s="323"/>
    </row>
    <row r="485" spans="3:4" x14ac:dyDescent="0.2">
      <c r="C485" s="323"/>
      <c r="D485" s="323"/>
    </row>
    <row r="486" spans="3:4" x14ac:dyDescent="0.2">
      <c r="C486" s="323"/>
      <c r="D486" s="323"/>
    </row>
    <row r="487" spans="3:4" x14ac:dyDescent="0.2">
      <c r="C487" s="323"/>
      <c r="D487" s="323"/>
    </row>
    <row r="488" spans="3:4" x14ac:dyDescent="0.2">
      <c r="C488" s="323"/>
      <c r="D488" s="323"/>
    </row>
    <row r="489" spans="3:4" x14ac:dyDescent="0.2">
      <c r="C489" s="323"/>
      <c r="D489" s="323"/>
    </row>
    <row r="490" spans="3:4" x14ac:dyDescent="0.2">
      <c r="C490" s="323"/>
      <c r="D490" s="323"/>
    </row>
    <row r="491" spans="3:4" x14ac:dyDescent="0.2">
      <c r="C491" s="323"/>
      <c r="D491" s="323"/>
    </row>
    <row r="492" spans="3:4" x14ac:dyDescent="0.2">
      <c r="C492" s="323"/>
      <c r="D492" s="323"/>
    </row>
    <row r="493" spans="3:4" x14ac:dyDescent="0.2">
      <c r="C493" s="323"/>
      <c r="D493" s="323"/>
    </row>
    <row r="494" spans="3:4" x14ac:dyDescent="0.2">
      <c r="C494" s="323"/>
      <c r="D494" s="323"/>
    </row>
    <row r="495" spans="3:4" x14ac:dyDescent="0.2">
      <c r="C495" s="323"/>
      <c r="D495" s="323"/>
    </row>
    <row r="496" spans="3:4" x14ac:dyDescent="0.2">
      <c r="C496" s="323"/>
      <c r="D496" s="323"/>
    </row>
    <row r="497" spans="3:4" x14ac:dyDescent="0.2">
      <c r="C497" s="323"/>
      <c r="D497" s="323"/>
    </row>
    <row r="498" spans="3:4" x14ac:dyDescent="0.2">
      <c r="C498" s="323"/>
      <c r="D498" s="323"/>
    </row>
    <row r="499" spans="3:4" x14ac:dyDescent="0.2">
      <c r="C499" s="323"/>
      <c r="D499" s="323"/>
    </row>
    <row r="500" spans="3:4" x14ac:dyDescent="0.2">
      <c r="C500" s="323"/>
      <c r="D500" s="323"/>
    </row>
    <row r="501" spans="3:4" x14ac:dyDescent="0.2">
      <c r="C501" s="323"/>
      <c r="D501" s="323"/>
    </row>
    <row r="502" spans="3:4" x14ac:dyDescent="0.2">
      <c r="C502" s="323"/>
      <c r="D502" s="323"/>
    </row>
    <row r="503" spans="3:4" x14ac:dyDescent="0.2">
      <c r="C503" s="323"/>
      <c r="D503" s="323"/>
    </row>
    <row r="504" spans="3:4" x14ac:dyDescent="0.2">
      <c r="C504" s="323"/>
      <c r="D504" s="323"/>
    </row>
    <row r="505" spans="3:4" x14ac:dyDescent="0.2">
      <c r="C505" s="323"/>
      <c r="D505" s="323"/>
    </row>
    <row r="506" spans="3:4" x14ac:dyDescent="0.2">
      <c r="C506" s="323"/>
      <c r="D506" s="323"/>
    </row>
    <row r="507" spans="3:4" x14ac:dyDescent="0.2">
      <c r="C507" s="323"/>
      <c r="D507" s="323"/>
    </row>
    <row r="508" spans="3:4" x14ac:dyDescent="0.2">
      <c r="C508" s="323"/>
      <c r="D508" s="323"/>
    </row>
    <row r="509" spans="3:4" x14ac:dyDescent="0.2">
      <c r="C509" s="323"/>
      <c r="D509" s="323"/>
    </row>
    <row r="510" spans="3:4" x14ac:dyDescent="0.2">
      <c r="C510" s="323"/>
      <c r="D510" s="323"/>
    </row>
    <row r="511" spans="3:4" x14ac:dyDescent="0.2">
      <c r="C511" s="323"/>
      <c r="D511" s="323"/>
    </row>
    <row r="512" spans="3:4" x14ac:dyDescent="0.2">
      <c r="C512" s="323"/>
      <c r="D512" s="323"/>
    </row>
    <row r="513" spans="3:4" x14ac:dyDescent="0.2">
      <c r="C513" s="323"/>
      <c r="D513" s="323"/>
    </row>
    <row r="514" spans="3:4" x14ac:dyDescent="0.2">
      <c r="C514" s="323"/>
      <c r="D514" s="323"/>
    </row>
    <row r="515" spans="3:4" x14ac:dyDescent="0.2">
      <c r="C515" s="323"/>
      <c r="D515" s="323"/>
    </row>
    <row r="516" spans="3:4" x14ac:dyDescent="0.2">
      <c r="C516" s="323"/>
      <c r="D516" s="323"/>
    </row>
    <row r="517" spans="3:4" x14ac:dyDescent="0.2">
      <c r="C517" s="323"/>
      <c r="D517" s="323"/>
    </row>
    <row r="518" spans="3:4" x14ac:dyDescent="0.2">
      <c r="C518" s="323"/>
      <c r="D518" s="323"/>
    </row>
    <row r="519" spans="3:4" x14ac:dyDescent="0.2">
      <c r="C519" s="323"/>
      <c r="D519" s="323"/>
    </row>
    <row r="520" spans="3:4" x14ac:dyDescent="0.2">
      <c r="C520" s="323"/>
      <c r="D520" s="323"/>
    </row>
    <row r="521" spans="3:4" x14ac:dyDescent="0.2">
      <c r="C521" s="323"/>
      <c r="D521" s="323"/>
    </row>
    <row r="522" spans="3:4" x14ac:dyDescent="0.2">
      <c r="C522" s="323"/>
      <c r="D522" s="323"/>
    </row>
    <row r="523" spans="3:4" x14ac:dyDescent="0.2">
      <c r="C523" s="323"/>
      <c r="D523" s="323"/>
    </row>
    <row r="524" spans="3:4" x14ac:dyDescent="0.2">
      <c r="C524" s="323"/>
      <c r="D524" s="323"/>
    </row>
    <row r="525" spans="3:4" x14ac:dyDescent="0.2">
      <c r="C525" s="323"/>
      <c r="D525" s="323"/>
    </row>
    <row r="526" spans="3:4" x14ac:dyDescent="0.2">
      <c r="C526" s="323"/>
      <c r="D526" s="323"/>
    </row>
    <row r="527" spans="3:4" x14ac:dyDescent="0.2">
      <c r="C527" s="323"/>
      <c r="D527" s="323"/>
    </row>
    <row r="528" spans="3:4" x14ac:dyDescent="0.2">
      <c r="C528" s="323"/>
      <c r="D528" s="323"/>
    </row>
    <row r="529" spans="3:4" x14ac:dyDescent="0.2">
      <c r="C529" s="323"/>
      <c r="D529" s="323"/>
    </row>
    <row r="530" spans="3:4" x14ac:dyDescent="0.2">
      <c r="C530" s="323"/>
      <c r="D530" s="323"/>
    </row>
    <row r="531" spans="3:4" x14ac:dyDescent="0.2">
      <c r="C531" s="323"/>
      <c r="D531" s="323"/>
    </row>
    <row r="532" spans="3:4" x14ac:dyDescent="0.2">
      <c r="C532" s="323"/>
      <c r="D532" s="323"/>
    </row>
    <row r="533" spans="3:4" x14ac:dyDescent="0.2">
      <c r="C533" s="323"/>
      <c r="D533" s="323"/>
    </row>
    <row r="534" spans="3:4" x14ac:dyDescent="0.2">
      <c r="C534" s="323"/>
      <c r="D534" s="323"/>
    </row>
    <row r="535" spans="3:4" x14ac:dyDescent="0.2">
      <c r="C535" s="323"/>
      <c r="D535" s="323"/>
    </row>
    <row r="536" spans="3:4" x14ac:dyDescent="0.2">
      <c r="C536" s="323"/>
      <c r="D536" s="323"/>
    </row>
    <row r="537" spans="3:4" x14ac:dyDescent="0.2">
      <c r="C537" s="323"/>
      <c r="D537" s="323"/>
    </row>
    <row r="538" spans="3:4" x14ac:dyDescent="0.2">
      <c r="C538" s="323"/>
      <c r="D538" s="323"/>
    </row>
    <row r="539" spans="3:4" x14ac:dyDescent="0.2">
      <c r="C539" s="323"/>
      <c r="D539" s="323"/>
    </row>
    <row r="540" spans="3:4" x14ac:dyDescent="0.2">
      <c r="C540" s="323"/>
      <c r="D540" s="323"/>
    </row>
    <row r="541" spans="3:4" x14ac:dyDescent="0.2">
      <c r="C541" s="323"/>
      <c r="D541" s="323"/>
    </row>
    <row r="542" spans="3:4" x14ac:dyDescent="0.2">
      <c r="C542" s="323"/>
      <c r="D542" s="323"/>
    </row>
    <row r="543" spans="3:4" x14ac:dyDescent="0.2">
      <c r="C543" s="323"/>
      <c r="D543" s="323"/>
    </row>
    <row r="544" spans="3:4" x14ac:dyDescent="0.2">
      <c r="C544" s="323"/>
      <c r="D544" s="323"/>
    </row>
    <row r="545" spans="3:4" x14ac:dyDescent="0.2">
      <c r="C545" s="323"/>
      <c r="D545" s="323"/>
    </row>
    <row r="546" spans="3:4" x14ac:dyDescent="0.2">
      <c r="C546" s="323"/>
      <c r="D546" s="323"/>
    </row>
    <row r="547" spans="3:4" x14ac:dyDescent="0.2">
      <c r="C547" s="323"/>
      <c r="D547" s="323"/>
    </row>
    <row r="548" spans="3:4" x14ac:dyDescent="0.2">
      <c r="C548" s="323"/>
      <c r="D548" s="323"/>
    </row>
    <row r="549" spans="3:4" x14ac:dyDescent="0.2">
      <c r="C549" s="323"/>
      <c r="D549" s="323"/>
    </row>
    <row r="550" spans="3:4" x14ac:dyDescent="0.2">
      <c r="C550" s="323"/>
      <c r="D550" s="323"/>
    </row>
    <row r="551" spans="3:4" x14ac:dyDescent="0.2">
      <c r="C551" s="323"/>
      <c r="D551" s="323"/>
    </row>
    <row r="552" spans="3:4" x14ac:dyDescent="0.2">
      <c r="C552" s="323"/>
      <c r="D552" s="323"/>
    </row>
    <row r="553" spans="3:4" x14ac:dyDescent="0.2">
      <c r="C553" s="323"/>
      <c r="D553" s="323"/>
    </row>
    <row r="554" spans="3:4" x14ac:dyDescent="0.2">
      <c r="C554" s="323"/>
      <c r="D554" s="323"/>
    </row>
    <row r="555" spans="3:4" x14ac:dyDescent="0.2">
      <c r="C555" s="323"/>
      <c r="D555" s="323"/>
    </row>
    <row r="556" spans="3:4" x14ac:dyDescent="0.2">
      <c r="C556" s="323"/>
      <c r="D556" s="323"/>
    </row>
    <row r="557" spans="3:4" x14ac:dyDescent="0.2">
      <c r="C557" s="323"/>
      <c r="D557" s="323"/>
    </row>
    <row r="558" spans="3:4" x14ac:dyDescent="0.2">
      <c r="C558" s="323"/>
      <c r="D558" s="323"/>
    </row>
    <row r="559" spans="3:4" x14ac:dyDescent="0.2">
      <c r="C559" s="323"/>
      <c r="D559" s="323"/>
    </row>
    <row r="560" spans="3:4" x14ac:dyDescent="0.2">
      <c r="C560" s="323"/>
      <c r="D560" s="323"/>
    </row>
    <row r="561" spans="3:4" x14ac:dyDescent="0.2">
      <c r="C561" s="323"/>
      <c r="D561" s="323"/>
    </row>
    <row r="562" spans="3:4" x14ac:dyDescent="0.2">
      <c r="C562" s="323"/>
      <c r="D562" s="323"/>
    </row>
    <row r="563" spans="3:4" x14ac:dyDescent="0.2">
      <c r="C563" s="323"/>
      <c r="D563" s="323"/>
    </row>
    <row r="564" spans="3:4" x14ac:dyDescent="0.2">
      <c r="C564" s="323"/>
      <c r="D564" s="323"/>
    </row>
    <row r="565" spans="3:4" x14ac:dyDescent="0.2">
      <c r="C565" s="323"/>
      <c r="D565" s="323"/>
    </row>
    <row r="566" spans="3:4" x14ac:dyDescent="0.2">
      <c r="C566" s="323"/>
      <c r="D566" s="323"/>
    </row>
    <row r="567" spans="3:4" x14ac:dyDescent="0.2">
      <c r="C567" s="323"/>
      <c r="D567" s="323"/>
    </row>
    <row r="568" spans="3:4" x14ac:dyDescent="0.2">
      <c r="C568" s="323"/>
      <c r="D568" s="323"/>
    </row>
    <row r="569" spans="3:4" x14ac:dyDescent="0.2">
      <c r="C569" s="323"/>
      <c r="D569" s="323"/>
    </row>
    <row r="570" spans="3:4" x14ac:dyDescent="0.2">
      <c r="C570" s="323"/>
      <c r="D570" s="323"/>
    </row>
    <row r="571" spans="3:4" x14ac:dyDescent="0.2">
      <c r="C571" s="323"/>
      <c r="D571" s="323"/>
    </row>
    <row r="572" spans="3:4" x14ac:dyDescent="0.2">
      <c r="C572" s="323"/>
      <c r="D572" s="323"/>
    </row>
    <row r="573" spans="3:4" x14ac:dyDescent="0.2">
      <c r="C573" s="323"/>
      <c r="D573" s="323"/>
    </row>
    <row r="574" spans="3:4" x14ac:dyDescent="0.2">
      <c r="C574" s="323"/>
      <c r="D574" s="323"/>
    </row>
    <row r="575" spans="3:4" x14ac:dyDescent="0.2">
      <c r="C575" s="323"/>
      <c r="D575" s="323"/>
    </row>
    <row r="576" spans="3:4" x14ac:dyDescent="0.2">
      <c r="C576" s="323"/>
      <c r="D576" s="323"/>
    </row>
    <row r="577" spans="3:4" x14ac:dyDescent="0.2">
      <c r="C577" s="323"/>
      <c r="D577" s="323"/>
    </row>
    <row r="578" spans="3:4" x14ac:dyDescent="0.2">
      <c r="C578" s="323"/>
      <c r="D578" s="323"/>
    </row>
    <row r="579" spans="3:4" x14ac:dyDescent="0.2">
      <c r="C579" s="323"/>
      <c r="D579" s="323"/>
    </row>
    <row r="580" spans="3:4" x14ac:dyDescent="0.2">
      <c r="C580" s="323"/>
      <c r="D580" s="323"/>
    </row>
    <row r="581" spans="3:4" x14ac:dyDescent="0.2">
      <c r="C581" s="323"/>
      <c r="D581" s="323"/>
    </row>
    <row r="582" spans="3:4" x14ac:dyDescent="0.2">
      <c r="C582" s="323"/>
      <c r="D582" s="323"/>
    </row>
    <row r="583" spans="3:4" x14ac:dyDescent="0.2">
      <c r="C583" s="323"/>
      <c r="D583" s="323"/>
    </row>
    <row r="584" spans="3:4" x14ac:dyDescent="0.2">
      <c r="C584" s="323"/>
      <c r="D584" s="323"/>
    </row>
    <row r="585" spans="3:4" x14ac:dyDescent="0.2">
      <c r="C585" s="323"/>
      <c r="D585" s="323"/>
    </row>
    <row r="586" spans="3:4" x14ac:dyDescent="0.2">
      <c r="C586" s="323"/>
      <c r="D586" s="323"/>
    </row>
    <row r="587" spans="3:4" x14ac:dyDescent="0.2">
      <c r="C587" s="323"/>
      <c r="D587" s="323"/>
    </row>
    <row r="588" spans="3:4" x14ac:dyDescent="0.2">
      <c r="C588" s="323"/>
      <c r="D588" s="323"/>
    </row>
    <row r="589" spans="3:4" x14ac:dyDescent="0.2">
      <c r="C589" s="323"/>
      <c r="D589" s="323"/>
    </row>
    <row r="590" spans="3:4" x14ac:dyDescent="0.2">
      <c r="C590" s="323"/>
      <c r="D590" s="323"/>
    </row>
    <row r="591" spans="3:4" x14ac:dyDescent="0.2">
      <c r="C591" s="323"/>
      <c r="D591" s="323"/>
    </row>
    <row r="592" spans="3:4" x14ac:dyDescent="0.2">
      <c r="C592" s="323"/>
      <c r="D592" s="323"/>
    </row>
    <row r="593" spans="3:4" x14ac:dyDescent="0.2">
      <c r="C593" s="323"/>
      <c r="D593" s="323"/>
    </row>
    <row r="594" spans="3:4" x14ac:dyDescent="0.2">
      <c r="C594" s="323"/>
      <c r="D594" s="323"/>
    </row>
    <row r="595" spans="3:4" x14ac:dyDescent="0.2">
      <c r="C595" s="323"/>
      <c r="D595" s="323"/>
    </row>
    <row r="596" spans="3:4" x14ac:dyDescent="0.2">
      <c r="C596" s="323"/>
      <c r="D596" s="323"/>
    </row>
    <row r="597" spans="3:4" x14ac:dyDescent="0.2">
      <c r="C597" s="323"/>
      <c r="D597" s="323"/>
    </row>
    <row r="598" spans="3:4" x14ac:dyDescent="0.2">
      <c r="C598" s="323"/>
      <c r="D598" s="323"/>
    </row>
    <row r="599" spans="3:4" x14ac:dyDescent="0.2">
      <c r="C599" s="323"/>
      <c r="D599" s="323"/>
    </row>
    <row r="600" spans="3:4" x14ac:dyDescent="0.2">
      <c r="C600" s="323"/>
      <c r="D600" s="323"/>
    </row>
    <row r="601" spans="3:4" x14ac:dyDescent="0.2">
      <c r="C601" s="323"/>
      <c r="D601" s="323"/>
    </row>
    <row r="602" spans="3:4" x14ac:dyDescent="0.2">
      <c r="C602" s="323"/>
      <c r="D602" s="323"/>
    </row>
    <row r="603" spans="3:4" x14ac:dyDescent="0.2">
      <c r="C603" s="323"/>
      <c r="D603" s="323"/>
    </row>
    <row r="604" spans="3:4" x14ac:dyDescent="0.2">
      <c r="C604" s="323"/>
      <c r="D604" s="323"/>
    </row>
    <row r="605" spans="3:4" x14ac:dyDescent="0.2">
      <c r="C605" s="323"/>
      <c r="D605" s="323"/>
    </row>
    <row r="606" spans="3:4" x14ac:dyDescent="0.2">
      <c r="C606" s="323"/>
      <c r="D606" s="323"/>
    </row>
    <row r="607" spans="3:4" x14ac:dyDescent="0.2">
      <c r="C607" s="323"/>
      <c r="D607" s="323"/>
    </row>
    <row r="608" spans="3:4" x14ac:dyDescent="0.2">
      <c r="C608" s="323"/>
      <c r="D608" s="323"/>
    </row>
    <row r="609" spans="3:4" x14ac:dyDescent="0.2">
      <c r="C609" s="323"/>
      <c r="D609" s="323"/>
    </row>
    <row r="610" spans="3:4" x14ac:dyDescent="0.2">
      <c r="C610" s="323"/>
      <c r="D610" s="323"/>
    </row>
    <row r="611" spans="3:4" x14ac:dyDescent="0.2">
      <c r="C611" s="323"/>
      <c r="D611" s="323"/>
    </row>
    <row r="612" spans="3:4" x14ac:dyDescent="0.2">
      <c r="C612" s="323"/>
      <c r="D612" s="323"/>
    </row>
    <row r="613" spans="3:4" x14ac:dyDescent="0.2">
      <c r="C613" s="323"/>
      <c r="D613" s="323"/>
    </row>
    <row r="614" spans="3:4" x14ac:dyDescent="0.2">
      <c r="C614" s="323"/>
      <c r="D614" s="323"/>
    </row>
    <row r="615" spans="3:4" x14ac:dyDescent="0.2">
      <c r="C615" s="323"/>
      <c r="D615" s="323"/>
    </row>
    <row r="616" spans="3:4" x14ac:dyDescent="0.2">
      <c r="C616" s="323"/>
      <c r="D616" s="323"/>
    </row>
    <row r="617" spans="3:4" x14ac:dyDescent="0.2">
      <c r="C617" s="323"/>
      <c r="D617" s="323"/>
    </row>
    <row r="618" spans="3:4" x14ac:dyDescent="0.2">
      <c r="C618" s="323"/>
      <c r="D618" s="323"/>
    </row>
    <row r="619" spans="3:4" x14ac:dyDescent="0.2">
      <c r="C619" s="323"/>
      <c r="D619" s="323"/>
    </row>
    <row r="620" spans="3:4" x14ac:dyDescent="0.2">
      <c r="C620" s="323"/>
      <c r="D620" s="323"/>
    </row>
    <row r="621" spans="3:4" x14ac:dyDescent="0.2">
      <c r="C621" s="323"/>
      <c r="D621" s="323"/>
    </row>
    <row r="622" spans="3:4" x14ac:dyDescent="0.2">
      <c r="C622" s="323"/>
      <c r="D622" s="323"/>
    </row>
    <row r="623" spans="3:4" x14ac:dyDescent="0.2">
      <c r="C623" s="323"/>
      <c r="D623" s="323"/>
    </row>
    <row r="624" spans="3:4" x14ac:dyDescent="0.2">
      <c r="C624" s="323"/>
      <c r="D624" s="323"/>
    </row>
    <row r="625" spans="3:4" x14ac:dyDescent="0.2">
      <c r="C625" s="323"/>
      <c r="D625" s="323"/>
    </row>
    <row r="626" spans="3:4" x14ac:dyDescent="0.2">
      <c r="C626" s="323"/>
      <c r="D626" s="323"/>
    </row>
    <row r="627" spans="3:4" x14ac:dyDescent="0.2">
      <c r="C627" s="323"/>
      <c r="D627" s="323"/>
    </row>
    <row r="628" spans="3:4" x14ac:dyDescent="0.2">
      <c r="C628" s="323"/>
      <c r="D628" s="323"/>
    </row>
    <row r="629" spans="3:4" x14ac:dyDescent="0.2">
      <c r="C629" s="323"/>
      <c r="D629" s="323"/>
    </row>
    <row r="630" spans="3:4" x14ac:dyDescent="0.2">
      <c r="C630" s="323"/>
      <c r="D630" s="323"/>
    </row>
    <row r="631" spans="3:4" x14ac:dyDescent="0.2">
      <c r="C631" s="323"/>
      <c r="D631" s="323"/>
    </row>
    <row r="632" spans="3:4" x14ac:dyDescent="0.2">
      <c r="C632" s="323"/>
      <c r="D632" s="323"/>
    </row>
    <row r="633" spans="3:4" x14ac:dyDescent="0.2">
      <c r="C633" s="323"/>
      <c r="D633" s="323"/>
    </row>
    <row r="634" spans="3:4" x14ac:dyDescent="0.2">
      <c r="C634" s="323"/>
      <c r="D634" s="323"/>
    </row>
    <row r="635" spans="3:4" x14ac:dyDescent="0.2">
      <c r="C635" s="323"/>
      <c r="D635" s="323"/>
    </row>
    <row r="636" spans="3:4" x14ac:dyDescent="0.2">
      <c r="C636" s="323"/>
      <c r="D636" s="323"/>
    </row>
    <row r="637" spans="3:4" x14ac:dyDescent="0.2">
      <c r="C637" s="323"/>
      <c r="D637" s="323"/>
    </row>
    <row r="638" spans="3:4" x14ac:dyDescent="0.2">
      <c r="C638" s="323"/>
      <c r="D638" s="323"/>
    </row>
    <row r="639" spans="3:4" x14ac:dyDescent="0.2">
      <c r="C639" s="323"/>
      <c r="D639" s="323"/>
    </row>
    <row r="640" spans="3:4" x14ac:dyDescent="0.2">
      <c r="C640" s="323"/>
      <c r="D640" s="323"/>
    </row>
    <row r="641" spans="3:4" x14ac:dyDescent="0.2">
      <c r="C641" s="323"/>
      <c r="D641" s="323"/>
    </row>
    <row r="642" spans="3:4" x14ac:dyDescent="0.2">
      <c r="C642" s="323"/>
      <c r="D642" s="323"/>
    </row>
    <row r="643" spans="3:4" x14ac:dyDescent="0.2">
      <c r="C643" s="323"/>
      <c r="D643" s="323"/>
    </row>
    <row r="644" spans="3:4" x14ac:dyDescent="0.2">
      <c r="C644" s="323"/>
      <c r="D644" s="323"/>
    </row>
    <row r="645" spans="3:4" x14ac:dyDescent="0.2">
      <c r="C645" s="323"/>
      <c r="D645" s="323"/>
    </row>
    <row r="646" spans="3:4" x14ac:dyDescent="0.2">
      <c r="C646" s="323"/>
      <c r="D646" s="323"/>
    </row>
    <row r="647" spans="3:4" x14ac:dyDescent="0.2">
      <c r="C647" s="323"/>
      <c r="D647" s="323"/>
    </row>
    <row r="648" spans="3:4" x14ac:dyDescent="0.2">
      <c r="C648" s="323"/>
      <c r="D648" s="323"/>
    </row>
    <row r="649" spans="3:4" x14ac:dyDescent="0.2">
      <c r="C649" s="323"/>
      <c r="D649" s="323"/>
    </row>
    <row r="650" spans="3:4" x14ac:dyDescent="0.2">
      <c r="C650" s="323"/>
      <c r="D650" s="323"/>
    </row>
    <row r="651" spans="3:4" x14ac:dyDescent="0.2">
      <c r="C651" s="323"/>
      <c r="D651" s="323"/>
    </row>
    <row r="652" spans="3:4" x14ac:dyDescent="0.2">
      <c r="C652" s="323"/>
      <c r="D652" s="323"/>
    </row>
    <row r="653" spans="3:4" x14ac:dyDescent="0.2">
      <c r="C653" s="323"/>
      <c r="D653" s="323"/>
    </row>
    <row r="654" spans="3:4" x14ac:dyDescent="0.2">
      <c r="C654" s="323"/>
      <c r="D654" s="323"/>
    </row>
    <row r="655" spans="3:4" x14ac:dyDescent="0.2">
      <c r="C655" s="323"/>
      <c r="D655" s="323"/>
    </row>
    <row r="656" spans="3:4" x14ac:dyDescent="0.2">
      <c r="C656" s="323"/>
      <c r="D656" s="323"/>
    </row>
    <row r="657" spans="3:4" x14ac:dyDescent="0.2">
      <c r="C657" s="323"/>
      <c r="D657" s="323"/>
    </row>
    <row r="658" spans="3:4" x14ac:dyDescent="0.2">
      <c r="C658" s="323"/>
      <c r="D658" s="323"/>
    </row>
    <row r="659" spans="3:4" x14ac:dyDescent="0.2">
      <c r="C659" s="323"/>
      <c r="D659" s="323"/>
    </row>
    <row r="660" spans="3:4" x14ac:dyDescent="0.2">
      <c r="C660" s="323"/>
      <c r="D660" s="323"/>
    </row>
    <row r="661" spans="3:4" x14ac:dyDescent="0.2">
      <c r="C661" s="323"/>
      <c r="D661" s="323"/>
    </row>
    <row r="662" spans="3:4" x14ac:dyDescent="0.2">
      <c r="C662" s="323"/>
      <c r="D662" s="323"/>
    </row>
    <row r="663" spans="3:4" x14ac:dyDescent="0.2">
      <c r="C663" s="323"/>
      <c r="D663" s="323"/>
    </row>
    <row r="664" spans="3:4" x14ac:dyDescent="0.2">
      <c r="C664" s="323"/>
      <c r="D664" s="323"/>
    </row>
    <row r="665" spans="3:4" x14ac:dyDescent="0.2">
      <c r="C665" s="323"/>
      <c r="D665" s="323"/>
    </row>
    <row r="666" spans="3:4" x14ac:dyDescent="0.2">
      <c r="C666" s="323"/>
      <c r="D666" s="323"/>
    </row>
    <row r="667" spans="3:4" x14ac:dyDescent="0.2">
      <c r="C667" s="323"/>
      <c r="D667" s="323"/>
    </row>
    <row r="668" spans="3:4" x14ac:dyDescent="0.2">
      <c r="C668" s="323"/>
      <c r="D668" s="323"/>
    </row>
    <row r="669" spans="3:4" x14ac:dyDescent="0.2">
      <c r="C669" s="323"/>
      <c r="D669" s="323"/>
    </row>
    <row r="670" spans="3:4" x14ac:dyDescent="0.2">
      <c r="C670" s="323"/>
      <c r="D670" s="323"/>
    </row>
    <row r="671" spans="3:4" x14ac:dyDescent="0.2">
      <c r="C671" s="323"/>
      <c r="D671" s="323"/>
    </row>
    <row r="672" spans="3:4" x14ac:dyDescent="0.2">
      <c r="C672" s="323"/>
      <c r="D672" s="323"/>
    </row>
    <row r="673" spans="3:4" x14ac:dyDescent="0.2">
      <c r="C673" s="323"/>
      <c r="D673" s="323"/>
    </row>
    <row r="674" spans="3:4" x14ac:dyDescent="0.2">
      <c r="C674" s="323"/>
      <c r="D674" s="323"/>
    </row>
    <row r="675" spans="3:4" x14ac:dyDescent="0.2">
      <c r="C675" s="323"/>
      <c r="D675" s="323"/>
    </row>
    <row r="676" spans="3:4" x14ac:dyDescent="0.2">
      <c r="C676" s="323"/>
      <c r="D676" s="323"/>
    </row>
    <row r="677" spans="3:4" x14ac:dyDescent="0.2">
      <c r="C677" s="323"/>
      <c r="D677" s="323"/>
    </row>
    <row r="678" spans="3:4" x14ac:dyDescent="0.2">
      <c r="C678" s="323"/>
      <c r="D678" s="323"/>
    </row>
    <row r="679" spans="3:4" x14ac:dyDescent="0.2">
      <c r="C679" s="323"/>
      <c r="D679" s="323"/>
    </row>
    <row r="680" spans="3:4" x14ac:dyDescent="0.2">
      <c r="C680" s="323"/>
      <c r="D680" s="323"/>
    </row>
    <row r="681" spans="3:4" x14ac:dyDescent="0.2">
      <c r="C681" s="323"/>
      <c r="D681" s="323"/>
    </row>
    <row r="682" spans="3:4" x14ac:dyDescent="0.2">
      <c r="C682" s="323"/>
      <c r="D682" s="323"/>
    </row>
    <row r="683" spans="3:4" x14ac:dyDescent="0.2">
      <c r="C683" s="323"/>
      <c r="D683" s="323"/>
    </row>
    <row r="684" spans="3:4" x14ac:dyDescent="0.2">
      <c r="C684" s="323"/>
      <c r="D684" s="323"/>
    </row>
    <row r="685" spans="3:4" x14ac:dyDescent="0.2">
      <c r="C685" s="323"/>
      <c r="D685" s="323"/>
    </row>
    <row r="686" spans="3:4" x14ac:dyDescent="0.2">
      <c r="C686" s="323"/>
      <c r="D686" s="323"/>
    </row>
    <row r="687" spans="3:4" x14ac:dyDescent="0.2">
      <c r="C687" s="323"/>
      <c r="D687" s="323"/>
    </row>
    <row r="688" spans="3:4" x14ac:dyDescent="0.2">
      <c r="C688" s="323"/>
      <c r="D688" s="323"/>
    </row>
    <row r="689" spans="3:4" x14ac:dyDescent="0.2">
      <c r="C689" s="323"/>
      <c r="D689" s="323"/>
    </row>
    <row r="690" spans="3:4" x14ac:dyDescent="0.2">
      <c r="C690" s="323"/>
      <c r="D690" s="323"/>
    </row>
    <row r="691" spans="3:4" x14ac:dyDescent="0.2">
      <c r="C691" s="323"/>
      <c r="D691" s="323"/>
    </row>
    <row r="692" spans="3:4" x14ac:dyDescent="0.2">
      <c r="C692" s="323"/>
      <c r="D692" s="323"/>
    </row>
    <row r="693" spans="3:4" x14ac:dyDescent="0.2">
      <c r="C693" s="323"/>
      <c r="D693" s="323"/>
    </row>
    <row r="694" spans="3:4" x14ac:dyDescent="0.2">
      <c r="C694" s="323"/>
      <c r="D694" s="323"/>
    </row>
    <row r="695" spans="3:4" x14ac:dyDescent="0.2">
      <c r="C695" s="323"/>
      <c r="D695" s="323"/>
    </row>
    <row r="696" spans="3:4" x14ac:dyDescent="0.2">
      <c r="C696" s="323"/>
      <c r="D696" s="323"/>
    </row>
    <row r="697" spans="3:4" x14ac:dyDescent="0.2">
      <c r="C697" s="323"/>
      <c r="D697" s="323"/>
    </row>
    <row r="698" spans="3:4" x14ac:dyDescent="0.2">
      <c r="C698" s="323"/>
      <c r="D698" s="323"/>
    </row>
    <row r="699" spans="3:4" x14ac:dyDescent="0.2">
      <c r="C699" s="323"/>
      <c r="D699" s="323"/>
    </row>
    <row r="700" spans="3:4" x14ac:dyDescent="0.2">
      <c r="C700" s="323"/>
      <c r="D700" s="323"/>
    </row>
    <row r="701" spans="3:4" x14ac:dyDescent="0.2">
      <c r="C701" s="323"/>
      <c r="D701" s="323"/>
    </row>
    <row r="702" spans="3:4" x14ac:dyDescent="0.2">
      <c r="C702" s="323"/>
      <c r="D702" s="323"/>
    </row>
    <row r="703" spans="3:4" x14ac:dyDescent="0.2">
      <c r="C703" s="323"/>
      <c r="D703" s="323"/>
    </row>
    <row r="704" spans="3:4" x14ac:dyDescent="0.2">
      <c r="C704" s="323"/>
      <c r="D704" s="323"/>
    </row>
    <row r="705" spans="3:4" x14ac:dyDescent="0.2">
      <c r="C705" s="323"/>
      <c r="D705" s="323"/>
    </row>
    <row r="706" spans="3:4" x14ac:dyDescent="0.2">
      <c r="C706" s="323"/>
      <c r="D706" s="323"/>
    </row>
    <row r="707" spans="3:4" x14ac:dyDescent="0.2">
      <c r="C707" s="323"/>
      <c r="D707" s="323"/>
    </row>
    <row r="708" spans="3:4" x14ac:dyDescent="0.2">
      <c r="C708" s="323"/>
      <c r="D708" s="323"/>
    </row>
    <row r="709" spans="3:4" x14ac:dyDescent="0.2">
      <c r="C709" s="323"/>
      <c r="D709" s="323"/>
    </row>
    <row r="710" spans="3:4" x14ac:dyDescent="0.2">
      <c r="C710" s="323"/>
      <c r="D710" s="323"/>
    </row>
    <row r="711" spans="3:4" x14ac:dyDescent="0.2">
      <c r="C711" s="323"/>
      <c r="D711" s="323"/>
    </row>
    <row r="712" spans="3:4" x14ac:dyDescent="0.2">
      <c r="C712" s="323"/>
      <c r="D712" s="323"/>
    </row>
    <row r="713" spans="3:4" x14ac:dyDescent="0.2">
      <c r="C713" s="323"/>
      <c r="D713" s="323"/>
    </row>
    <row r="714" spans="3:4" x14ac:dyDescent="0.2">
      <c r="C714" s="323"/>
      <c r="D714" s="323"/>
    </row>
    <row r="715" spans="3:4" x14ac:dyDescent="0.2">
      <c r="C715" s="323"/>
      <c r="D715" s="323"/>
    </row>
    <row r="716" spans="3:4" x14ac:dyDescent="0.2">
      <c r="C716" s="323"/>
      <c r="D716" s="323"/>
    </row>
    <row r="717" spans="3:4" x14ac:dyDescent="0.2">
      <c r="C717" s="323"/>
      <c r="D717" s="323"/>
    </row>
    <row r="718" spans="3:4" x14ac:dyDescent="0.2">
      <c r="C718" s="323"/>
      <c r="D718" s="323"/>
    </row>
    <row r="719" spans="3:4" x14ac:dyDescent="0.2">
      <c r="C719" s="323"/>
      <c r="D719" s="323"/>
    </row>
    <row r="720" spans="3:4" x14ac:dyDescent="0.2">
      <c r="C720" s="323"/>
      <c r="D720" s="323"/>
    </row>
    <row r="721" spans="3:4" x14ac:dyDescent="0.2">
      <c r="C721" s="323"/>
      <c r="D721" s="323"/>
    </row>
    <row r="722" spans="3:4" x14ac:dyDescent="0.2">
      <c r="C722" s="323"/>
      <c r="D722" s="323"/>
    </row>
    <row r="723" spans="3:4" x14ac:dyDescent="0.2">
      <c r="C723" s="323"/>
      <c r="D723" s="323"/>
    </row>
    <row r="724" spans="3:4" x14ac:dyDescent="0.2">
      <c r="C724" s="323"/>
      <c r="D724" s="323"/>
    </row>
    <row r="725" spans="3:4" x14ac:dyDescent="0.2">
      <c r="C725" s="323"/>
      <c r="D725" s="323"/>
    </row>
    <row r="726" spans="3:4" x14ac:dyDescent="0.2">
      <c r="C726" s="323"/>
      <c r="D726" s="323"/>
    </row>
    <row r="727" spans="3:4" x14ac:dyDescent="0.2">
      <c r="C727" s="323"/>
      <c r="D727" s="323"/>
    </row>
    <row r="728" spans="3:4" x14ac:dyDescent="0.2">
      <c r="C728" s="323"/>
      <c r="D728" s="323"/>
    </row>
    <row r="729" spans="3:4" x14ac:dyDescent="0.2">
      <c r="C729" s="323"/>
      <c r="D729" s="323"/>
    </row>
    <row r="730" spans="3:4" x14ac:dyDescent="0.2">
      <c r="C730" s="323"/>
      <c r="D730" s="323"/>
    </row>
    <row r="731" spans="3:4" x14ac:dyDescent="0.2">
      <c r="C731" s="323"/>
      <c r="D731" s="323"/>
    </row>
    <row r="732" spans="3:4" x14ac:dyDescent="0.2">
      <c r="C732" s="323"/>
      <c r="D732" s="323"/>
    </row>
    <row r="733" spans="3:4" x14ac:dyDescent="0.2">
      <c r="C733" s="323"/>
      <c r="D733" s="323"/>
    </row>
    <row r="734" spans="3:4" x14ac:dyDescent="0.2">
      <c r="C734" s="323"/>
      <c r="D734" s="323"/>
    </row>
    <row r="735" spans="3:4" x14ac:dyDescent="0.2">
      <c r="C735" s="323"/>
      <c r="D735" s="323"/>
    </row>
    <row r="736" spans="3:4" x14ac:dyDescent="0.2">
      <c r="C736" s="323"/>
      <c r="D736" s="323"/>
    </row>
    <row r="737" spans="3:4" x14ac:dyDescent="0.2">
      <c r="C737" s="323"/>
      <c r="D737" s="323"/>
    </row>
    <row r="738" spans="3:4" x14ac:dyDescent="0.2">
      <c r="C738" s="323"/>
      <c r="D738" s="323"/>
    </row>
    <row r="739" spans="3:4" x14ac:dyDescent="0.2">
      <c r="C739" s="323"/>
      <c r="D739" s="323"/>
    </row>
    <row r="740" spans="3:4" x14ac:dyDescent="0.2">
      <c r="C740" s="323"/>
      <c r="D740" s="323"/>
    </row>
    <row r="741" spans="3:4" x14ac:dyDescent="0.2">
      <c r="C741" s="323"/>
      <c r="D741" s="323"/>
    </row>
    <row r="742" spans="3:4" x14ac:dyDescent="0.2">
      <c r="C742" s="323"/>
      <c r="D742" s="323"/>
    </row>
    <row r="743" spans="3:4" x14ac:dyDescent="0.2">
      <c r="C743" s="323"/>
      <c r="D743" s="323"/>
    </row>
    <row r="744" spans="3:4" x14ac:dyDescent="0.2">
      <c r="C744" s="323"/>
      <c r="D744" s="323"/>
    </row>
    <row r="745" spans="3:4" x14ac:dyDescent="0.2">
      <c r="C745" s="323"/>
      <c r="D745" s="323"/>
    </row>
    <row r="746" spans="3:4" x14ac:dyDescent="0.2">
      <c r="C746" s="323"/>
      <c r="D746" s="323"/>
    </row>
    <row r="747" spans="3:4" x14ac:dyDescent="0.2">
      <c r="C747" s="323"/>
      <c r="D747" s="323"/>
    </row>
    <row r="748" spans="3:4" x14ac:dyDescent="0.2">
      <c r="C748" s="323"/>
      <c r="D748" s="323"/>
    </row>
    <row r="749" spans="3:4" x14ac:dyDescent="0.2">
      <c r="C749" s="323"/>
      <c r="D749" s="323"/>
    </row>
    <row r="750" spans="3:4" x14ac:dyDescent="0.2">
      <c r="C750" s="323"/>
      <c r="D750" s="323"/>
    </row>
    <row r="751" spans="3:4" x14ac:dyDescent="0.2">
      <c r="C751" s="323"/>
      <c r="D751" s="323"/>
    </row>
    <row r="752" spans="3:4" x14ac:dyDescent="0.2">
      <c r="C752" s="323"/>
      <c r="D752" s="323"/>
    </row>
    <row r="753" spans="3:4" x14ac:dyDescent="0.2">
      <c r="C753" s="323"/>
      <c r="D753" s="323"/>
    </row>
    <row r="754" spans="3:4" x14ac:dyDescent="0.2">
      <c r="C754" s="323"/>
      <c r="D754" s="323"/>
    </row>
    <row r="755" spans="3:4" x14ac:dyDescent="0.2">
      <c r="C755" s="323"/>
      <c r="D755" s="323"/>
    </row>
    <row r="756" spans="3:4" x14ac:dyDescent="0.2">
      <c r="C756" s="323"/>
      <c r="D756" s="323"/>
    </row>
    <row r="757" spans="3:4" x14ac:dyDescent="0.2">
      <c r="C757" s="323"/>
      <c r="D757" s="323"/>
    </row>
    <row r="758" spans="3:4" x14ac:dyDescent="0.2">
      <c r="C758" s="323"/>
      <c r="D758" s="323"/>
    </row>
    <row r="759" spans="3:4" x14ac:dyDescent="0.2">
      <c r="C759" s="323"/>
      <c r="D759" s="323"/>
    </row>
    <row r="760" spans="3:4" x14ac:dyDescent="0.2">
      <c r="C760" s="323"/>
      <c r="D760" s="323"/>
    </row>
    <row r="761" spans="3:4" x14ac:dyDescent="0.2">
      <c r="C761" s="323"/>
      <c r="D761" s="323"/>
    </row>
    <row r="762" spans="3:4" x14ac:dyDescent="0.2">
      <c r="C762" s="323"/>
      <c r="D762" s="323"/>
    </row>
    <row r="763" spans="3:4" x14ac:dyDescent="0.2">
      <c r="C763" s="323"/>
      <c r="D763" s="323"/>
    </row>
    <row r="764" spans="3:4" x14ac:dyDescent="0.2">
      <c r="C764" s="323"/>
      <c r="D764" s="323"/>
    </row>
    <row r="765" spans="3:4" x14ac:dyDescent="0.2">
      <c r="C765" s="323"/>
      <c r="D765" s="323"/>
    </row>
    <row r="766" spans="3:4" x14ac:dyDescent="0.2">
      <c r="C766" s="323"/>
      <c r="D766" s="323"/>
    </row>
    <row r="767" spans="3:4" x14ac:dyDescent="0.2">
      <c r="C767" s="323"/>
      <c r="D767" s="323"/>
    </row>
    <row r="768" spans="3:4" x14ac:dyDescent="0.2">
      <c r="C768" s="323"/>
      <c r="D768" s="323"/>
    </row>
    <row r="769" spans="3:4" x14ac:dyDescent="0.2">
      <c r="C769" s="323"/>
      <c r="D769" s="323"/>
    </row>
    <row r="770" spans="3:4" x14ac:dyDescent="0.2">
      <c r="C770" s="323"/>
      <c r="D770" s="323"/>
    </row>
    <row r="771" spans="3:4" x14ac:dyDescent="0.2">
      <c r="C771" s="323"/>
      <c r="D771" s="323"/>
    </row>
    <row r="772" spans="3:4" x14ac:dyDescent="0.2">
      <c r="C772" s="323"/>
      <c r="D772" s="323"/>
    </row>
    <row r="773" spans="3:4" x14ac:dyDescent="0.2">
      <c r="C773" s="323"/>
      <c r="D773" s="323"/>
    </row>
    <row r="774" spans="3:4" x14ac:dyDescent="0.2">
      <c r="C774" s="323"/>
      <c r="D774" s="323"/>
    </row>
    <row r="775" spans="3:4" x14ac:dyDescent="0.2">
      <c r="C775" s="323"/>
      <c r="D775" s="323"/>
    </row>
    <row r="776" spans="3:4" x14ac:dyDescent="0.2">
      <c r="C776" s="323"/>
      <c r="D776" s="323"/>
    </row>
    <row r="777" spans="3:4" x14ac:dyDescent="0.2">
      <c r="C777" s="323"/>
      <c r="D777" s="323"/>
    </row>
    <row r="778" spans="3:4" x14ac:dyDescent="0.2">
      <c r="C778" s="323"/>
      <c r="D778" s="323"/>
    </row>
    <row r="779" spans="3:4" x14ac:dyDescent="0.2">
      <c r="C779" s="323"/>
      <c r="D779" s="323"/>
    </row>
    <row r="780" spans="3:4" x14ac:dyDescent="0.2">
      <c r="C780" s="323"/>
      <c r="D780" s="323"/>
    </row>
    <row r="781" spans="3:4" x14ac:dyDescent="0.2">
      <c r="C781" s="323"/>
      <c r="D781" s="323"/>
    </row>
    <row r="782" spans="3:4" x14ac:dyDescent="0.2">
      <c r="C782" s="323"/>
      <c r="D782" s="323"/>
    </row>
    <row r="783" spans="3:4" x14ac:dyDescent="0.2">
      <c r="C783" s="323"/>
      <c r="D783" s="323"/>
    </row>
    <row r="784" spans="3:4" x14ac:dyDescent="0.2">
      <c r="C784" s="323"/>
      <c r="D784" s="323"/>
    </row>
    <row r="785" spans="3:4" x14ac:dyDescent="0.2">
      <c r="C785" s="323"/>
      <c r="D785" s="323"/>
    </row>
    <row r="786" spans="3:4" x14ac:dyDescent="0.2">
      <c r="C786" s="323"/>
      <c r="D786" s="323"/>
    </row>
    <row r="787" spans="3:4" x14ac:dyDescent="0.2">
      <c r="C787" s="323"/>
      <c r="D787" s="323"/>
    </row>
    <row r="788" spans="3:4" x14ac:dyDescent="0.2">
      <c r="C788" s="323"/>
      <c r="D788" s="323"/>
    </row>
    <row r="789" spans="3:4" x14ac:dyDescent="0.2">
      <c r="C789" s="323"/>
      <c r="D789" s="323"/>
    </row>
    <row r="790" spans="3:4" x14ac:dyDescent="0.2">
      <c r="C790" s="323"/>
      <c r="D790" s="323"/>
    </row>
    <row r="791" spans="3:4" x14ac:dyDescent="0.2">
      <c r="C791" s="323"/>
      <c r="D791" s="323"/>
    </row>
    <row r="792" spans="3:4" x14ac:dyDescent="0.2">
      <c r="C792" s="323"/>
      <c r="D792" s="323"/>
    </row>
    <row r="793" spans="3:4" x14ac:dyDescent="0.2">
      <c r="C793" s="323"/>
      <c r="D793" s="323"/>
    </row>
    <row r="794" spans="3:4" x14ac:dyDescent="0.2">
      <c r="C794" s="323"/>
      <c r="D794" s="323"/>
    </row>
    <row r="795" spans="3:4" x14ac:dyDescent="0.2">
      <c r="C795" s="323"/>
      <c r="D795" s="323"/>
    </row>
    <row r="796" spans="3:4" x14ac:dyDescent="0.2">
      <c r="C796" s="323"/>
      <c r="D796" s="323"/>
    </row>
    <row r="797" spans="3:4" x14ac:dyDescent="0.2">
      <c r="C797" s="323"/>
      <c r="D797" s="323"/>
    </row>
    <row r="798" spans="3:4" x14ac:dyDescent="0.2">
      <c r="C798" s="323"/>
      <c r="D798" s="323"/>
    </row>
    <row r="799" spans="3:4" x14ac:dyDescent="0.2">
      <c r="C799" s="323"/>
      <c r="D799" s="323"/>
    </row>
    <row r="800" spans="3:4" x14ac:dyDescent="0.2">
      <c r="C800" s="323"/>
      <c r="D800" s="323"/>
    </row>
    <row r="801" spans="3:4" x14ac:dyDescent="0.2">
      <c r="C801" s="323"/>
      <c r="D801" s="323"/>
    </row>
    <row r="802" spans="3:4" x14ac:dyDescent="0.2">
      <c r="C802" s="323"/>
      <c r="D802" s="323"/>
    </row>
    <row r="803" spans="3:4" x14ac:dyDescent="0.2">
      <c r="C803" s="323"/>
      <c r="D803" s="323"/>
    </row>
    <row r="804" spans="3:4" x14ac:dyDescent="0.2">
      <c r="C804" s="323"/>
      <c r="D804" s="323"/>
    </row>
    <row r="805" spans="3:4" x14ac:dyDescent="0.2">
      <c r="C805" s="323"/>
      <c r="D805" s="323"/>
    </row>
    <row r="806" spans="3:4" x14ac:dyDescent="0.2">
      <c r="C806" s="323"/>
      <c r="D806" s="323"/>
    </row>
    <row r="807" spans="3:4" x14ac:dyDescent="0.2">
      <c r="C807" s="323"/>
      <c r="D807" s="323"/>
    </row>
    <row r="808" spans="3:4" x14ac:dyDescent="0.2">
      <c r="C808" s="323"/>
      <c r="D808" s="323"/>
    </row>
    <row r="809" spans="3:4" x14ac:dyDescent="0.2">
      <c r="C809" s="323"/>
      <c r="D809" s="323"/>
    </row>
    <row r="810" spans="3:4" x14ac:dyDescent="0.2">
      <c r="C810" s="323"/>
      <c r="D810" s="323"/>
    </row>
    <row r="811" spans="3:4" x14ac:dyDescent="0.2">
      <c r="C811" s="323"/>
      <c r="D811" s="323"/>
    </row>
    <row r="812" spans="3:4" x14ac:dyDescent="0.2">
      <c r="C812" s="323"/>
      <c r="D812" s="323"/>
    </row>
    <row r="813" spans="3:4" x14ac:dyDescent="0.2">
      <c r="C813" s="323"/>
      <c r="D813" s="323"/>
    </row>
    <row r="814" spans="3:4" x14ac:dyDescent="0.2">
      <c r="C814" s="323"/>
      <c r="D814" s="323"/>
    </row>
    <row r="815" spans="3:4" x14ac:dyDescent="0.2">
      <c r="C815" s="323"/>
      <c r="D815" s="323"/>
    </row>
    <row r="816" spans="3:4" x14ac:dyDescent="0.2">
      <c r="C816" s="323"/>
      <c r="D816" s="323"/>
    </row>
    <row r="817" spans="3:4" x14ac:dyDescent="0.2">
      <c r="C817" s="323"/>
      <c r="D817" s="323"/>
    </row>
    <row r="818" spans="3:4" x14ac:dyDescent="0.2">
      <c r="C818" s="323"/>
      <c r="D818" s="323"/>
    </row>
    <row r="819" spans="3:4" x14ac:dyDescent="0.2">
      <c r="C819" s="323"/>
      <c r="D819" s="323"/>
    </row>
    <row r="820" spans="3:4" x14ac:dyDescent="0.2">
      <c r="C820" s="323"/>
      <c r="D820" s="323"/>
    </row>
    <row r="821" spans="3:4" x14ac:dyDescent="0.2">
      <c r="C821" s="323"/>
      <c r="D821" s="323"/>
    </row>
    <row r="822" spans="3:4" x14ac:dyDescent="0.2">
      <c r="C822" s="323"/>
      <c r="D822" s="323"/>
    </row>
    <row r="823" spans="3:4" x14ac:dyDescent="0.2">
      <c r="C823" s="323"/>
      <c r="D823" s="323"/>
    </row>
    <row r="824" spans="3:4" x14ac:dyDescent="0.2">
      <c r="C824" s="323"/>
      <c r="D824" s="323"/>
    </row>
    <row r="825" spans="3:4" x14ac:dyDescent="0.2">
      <c r="C825" s="323"/>
      <c r="D825" s="323"/>
    </row>
    <row r="826" spans="3:4" x14ac:dyDescent="0.2">
      <c r="C826" s="323"/>
      <c r="D826" s="323"/>
    </row>
    <row r="827" spans="3:4" x14ac:dyDescent="0.2">
      <c r="C827" s="323"/>
      <c r="D827" s="323"/>
    </row>
    <row r="828" spans="3:4" x14ac:dyDescent="0.2">
      <c r="C828" s="323"/>
      <c r="D828" s="323"/>
    </row>
    <row r="829" spans="3:4" x14ac:dyDescent="0.2">
      <c r="C829" s="323"/>
      <c r="D829" s="323"/>
    </row>
    <row r="830" spans="3:4" x14ac:dyDescent="0.2">
      <c r="C830" s="323"/>
      <c r="D830" s="323"/>
    </row>
    <row r="831" spans="3:4" x14ac:dyDescent="0.2">
      <c r="C831" s="323"/>
      <c r="D831" s="323"/>
    </row>
    <row r="832" spans="3:4" x14ac:dyDescent="0.2">
      <c r="C832" s="323"/>
      <c r="D832" s="323"/>
    </row>
    <row r="833" spans="3:4" x14ac:dyDescent="0.2">
      <c r="C833" s="323"/>
      <c r="D833" s="323"/>
    </row>
    <row r="834" spans="3:4" x14ac:dyDescent="0.2">
      <c r="C834" s="323"/>
      <c r="D834" s="323"/>
    </row>
    <row r="835" spans="3:4" x14ac:dyDescent="0.2">
      <c r="C835" s="323"/>
      <c r="D835" s="323"/>
    </row>
    <row r="836" spans="3:4" x14ac:dyDescent="0.2">
      <c r="C836" s="323"/>
      <c r="D836" s="323"/>
    </row>
    <row r="837" spans="3:4" x14ac:dyDescent="0.2">
      <c r="C837" s="323"/>
      <c r="D837" s="323"/>
    </row>
    <row r="838" spans="3:4" x14ac:dyDescent="0.2">
      <c r="C838" s="323"/>
      <c r="D838" s="323"/>
    </row>
    <row r="839" spans="3:4" x14ac:dyDescent="0.2">
      <c r="C839" s="323"/>
      <c r="D839" s="323"/>
    </row>
    <row r="840" spans="3:4" x14ac:dyDescent="0.2">
      <c r="C840" s="323"/>
      <c r="D840" s="323"/>
    </row>
    <row r="841" spans="3:4" x14ac:dyDescent="0.2">
      <c r="C841" s="323"/>
      <c r="D841" s="323"/>
    </row>
    <row r="842" spans="3:4" x14ac:dyDescent="0.2">
      <c r="C842" s="323"/>
      <c r="D842" s="323"/>
    </row>
    <row r="843" spans="3:4" x14ac:dyDescent="0.2">
      <c r="C843" s="323"/>
      <c r="D843" s="323"/>
    </row>
    <row r="844" spans="3:4" x14ac:dyDescent="0.2">
      <c r="C844" s="323"/>
      <c r="D844" s="323"/>
    </row>
    <row r="845" spans="3:4" x14ac:dyDescent="0.2">
      <c r="C845" s="323"/>
      <c r="D845" s="323"/>
    </row>
    <row r="846" spans="3:4" x14ac:dyDescent="0.2">
      <c r="C846" s="323"/>
      <c r="D846" s="323"/>
    </row>
    <row r="847" spans="3:4" x14ac:dyDescent="0.2">
      <c r="C847" s="323"/>
      <c r="D847" s="323"/>
    </row>
    <row r="848" spans="3:4" x14ac:dyDescent="0.2">
      <c r="C848" s="323"/>
      <c r="D848" s="323"/>
    </row>
    <row r="849" spans="3:4" x14ac:dyDescent="0.2">
      <c r="C849" s="323"/>
      <c r="D849" s="323"/>
    </row>
    <row r="850" spans="3:4" x14ac:dyDescent="0.2">
      <c r="C850" s="323"/>
      <c r="D850" s="323"/>
    </row>
    <row r="851" spans="3:4" x14ac:dyDescent="0.2">
      <c r="C851" s="323"/>
      <c r="D851" s="323"/>
    </row>
    <row r="852" spans="3:4" x14ac:dyDescent="0.2">
      <c r="C852" s="323"/>
      <c r="D852" s="323"/>
    </row>
    <row r="853" spans="3:4" x14ac:dyDescent="0.2">
      <c r="C853" s="323"/>
      <c r="D853" s="323"/>
    </row>
    <row r="854" spans="3:4" x14ac:dyDescent="0.2">
      <c r="C854" s="323"/>
      <c r="D854" s="323"/>
    </row>
    <row r="855" spans="3:4" x14ac:dyDescent="0.2">
      <c r="C855" s="323"/>
      <c r="D855" s="323"/>
    </row>
    <row r="856" spans="3:4" x14ac:dyDescent="0.2">
      <c r="C856" s="323"/>
      <c r="D856" s="323"/>
    </row>
    <row r="857" spans="3:4" x14ac:dyDescent="0.2">
      <c r="C857" s="323"/>
      <c r="D857" s="323"/>
    </row>
    <row r="858" spans="3:4" x14ac:dyDescent="0.2">
      <c r="C858" s="323"/>
      <c r="D858" s="323"/>
    </row>
    <row r="859" spans="3:4" x14ac:dyDescent="0.2">
      <c r="C859" s="323"/>
      <c r="D859" s="323"/>
    </row>
    <row r="860" spans="3:4" x14ac:dyDescent="0.2">
      <c r="C860" s="323"/>
      <c r="D860" s="323"/>
    </row>
    <row r="861" spans="3:4" x14ac:dyDescent="0.2">
      <c r="C861" s="323"/>
      <c r="D861" s="323"/>
    </row>
    <row r="862" spans="3:4" x14ac:dyDescent="0.2">
      <c r="C862" s="323"/>
      <c r="D862" s="323"/>
    </row>
    <row r="863" spans="3:4" x14ac:dyDescent="0.2">
      <c r="C863" s="323"/>
      <c r="D863" s="323"/>
    </row>
    <row r="864" spans="3:4" x14ac:dyDescent="0.2">
      <c r="C864" s="323"/>
      <c r="D864" s="323"/>
    </row>
    <row r="865" spans="3:4" x14ac:dyDescent="0.2">
      <c r="C865" s="323"/>
      <c r="D865" s="323"/>
    </row>
    <row r="866" spans="3:4" x14ac:dyDescent="0.2">
      <c r="C866" s="323"/>
      <c r="D866" s="323"/>
    </row>
    <row r="867" spans="3:4" x14ac:dyDescent="0.2">
      <c r="C867" s="323"/>
      <c r="D867" s="323"/>
    </row>
    <row r="868" spans="3:4" x14ac:dyDescent="0.2">
      <c r="C868" s="323"/>
      <c r="D868" s="323"/>
    </row>
    <row r="869" spans="3:4" x14ac:dyDescent="0.2">
      <c r="C869" s="323"/>
      <c r="D869" s="323"/>
    </row>
    <row r="870" spans="3:4" x14ac:dyDescent="0.2">
      <c r="C870" s="323"/>
      <c r="D870" s="323"/>
    </row>
    <row r="871" spans="3:4" x14ac:dyDescent="0.2">
      <c r="C871" s="323"/>
      <c r="D871" s="323"/>
    </row>
    <row r="872" spans="3:4" x14ac:dyDescent="0.2">
      <c r="C872" s="323"/>
      <c r="D872" s="323"/>
    </row>
    <row r="873" spans="3:4" x14ac:dyDescent="0.2">
      <c r="C873" s="323"/>
      <c r="D873" s="323"/>
    </row>
    <row r="874" spans="3:4" x14ac:dyDescent="0.2">
      <c r="C874" s="323"/>
      <c r="D874" s="323"/>
    </row>
    <row r="875" spans="3:4" x14ac:dyDescent="0.2">
      <c r="C875" s="323"/>
      <c r="D875" s="323"/>
    </row>
    <row r="876" spans="3:4" x14ac:dyDescent="0.2">
      <c r="C876" s="323"/>
      <c r="D876" s="323"/>
    </row>
    <row r="877" spans="3:4" x14ac:dyDescent="0.2">
      <c r="C877" s="323"/>
      <c r="D877" s="323"/>
    </row>
    <row r="878" spans="3:4" x14ac:dyDescent="0.2">
      <c r="C878" s="323"/>
      <c r="D878" s="323"/>
    </row>
    <row r="879" spans="3:4" x14ac:dyDescent="0.2">
      <c r="C879" s="323"/>
      <c r="D879" s="323"/>
    </row>
    <row r="880" spans="3:4" x14ac:dyDescent="0.2">
      <c r="C880" s="323"/>
      <c r="D880" s="323"/>
    </row>
    <row r="881" spans="3:4" x14ac:dyDescent="0.2">
      <c r="C881" s="323"/>
      <c r="D881" s="323"/>
    </row>
    <row r="882" spans="3:4" x14ac:dyDescent="0.2">
      <c r="C882" s="323"/>
      <c r="D882" s="323"/>
    </row>
    <row r="883" spans="3:4" x14ac:dyDescent="0.2">
      <c r="C883" s="323"/>
      <c r="D883" s="323"/>
    </row>
    <row r="884" spans="3:4" x14ac:dyDescent="0.2">
      <c r="C884" s="323"/>
      <c r="D884" s="323"/>
    </row>
    <row r="885" spans="3:4" x14ac:dyDescent="0.2">
      <c r="C885" s="323"/>
      <c r="D885" s="323"/>
    </row>
    <row r="886" spans="3:4" x14ac:dyDescent="0.2">
      <c r="C886" s="323"/>
      <c r="D886" s="323"/>
    </row>
    <row r="887" spans="3:4" x14ac:dyDescent="0.2">
      <c r="C887" s="323"/>
      <c r="D887" s="323"/>
    </row>
    <row r="888" spans="3:4" x14ac:dyDescent="0.2">
      <c r="C888" s="323"/>
      <c r="D888" s="323"/>
    </row>
    <row r="889" spans="3:4" x14ac:dyDescent="0.2">
      <c r="C889" s="323"/>
      <c r="D889" s="323"/>
    </row>
    <row r="890" spans="3:4" x14ac:dyDescent="0.2">
      <c r="C890" s="323"/>
      <c r="D890" s="323"/>
    </row>
    <row r="891" spans="3:4" x14ac:dyDescent="0.2">
      <c r="C891" s="323"/>
      <c r="D891" s="323"/>
    </row>
    <row r="892" spans="3:4" x14ac:dyDescent="0.2">
      <c r="C892" s="323"/>
      <c r="D892" s="323"/>
    </row>
    <row r="893" spans="3:4" x14ac:dyDescent="0.2">
      <c r="C893" s="323"/>
      <c r="D893" s="323"/>
    </row>
    <row r="894" spans="3:4" x14ac:dyDescent="0.2">
      <c r="C894" s="323"/>
      <c r="D894" s="323"/>
    </row>
    <row r="895" spans="3:4" x14ac:dyDescent="0.2">
      <c r="C895" s="323"/>
      <c r="D895" s="323"/>
    </row>
    <row r="896" spans="3:4" x14ac:dyDescent="0.2">
      <c r="C896" s="323"/>
      <c r="D896" s="323"/>
    </row>
    <row r="897" spans="3:4" x14ac:dyDescent="0.2">
      <c r="C897" s="323"/>
      <c r="D897" s="323"/>
    </row>
    <row r="898" spans="3:4" x14ac:dyDescent="0.2">
      <c r="C898" s="323"/>
      <c r="D898" s="323"/>
    </row>
    <row r="899" spans="3:4" x14ac:dyDescent="0.2">
      <c r="C899" s="323"/>
      <c r="D899" s="323"/>
    </row>
    <row r="900" spans="3:4" x14ac:dyDescent="0.2">
      <c r="C900" s="323"/>
      <c r="D900" s="323"/>
    </row>
    <row r="901" spans="3:4" x14ac:dyDescent="0.2">
      <c r="C901" s="323"/>
      <c r="D901" s="323"/>
    </row>
    <row r="902" spans="3:4" x14ac:dyDescent="0.2">
      <c r="C902" s="323"/>
      <c r="D902" s="323"/>
    </row>
    <row r="903" spans="3:4" x14ac:dyDescent="0.2">
      <c r="C903" s="323"/>
      <c r="D903" s="323"/>
    </row>
    <row r="904" spans="3:4" x14ac:dyDescent="0.2">
      <c r="C904" s="323"/>
      <c r="D904" s="323"/>
    </row>
    <row r="905" spans="3:4" x14ac:dyDescent="0.2">
      <c r="C905" s="323"/>
      <c r="D905" s="323"/>
    </row>
    <row r="906" spans="3:4" x14ac:dyDescent="0.2">
      <c r="C906" s="323"/>
      <c r="D906" s="323"/>
    </row>
    <row r="907" spans="3:4" x14ac:dyDescent="0.2">
      <c r="C907" s="323"/>
      <c r="D907" s="323"/>
    </row>
    <row r="908" spans="3:4" x14ac:dyDescent="0.2">
      <c r="C908" s="323"/>
      <c r="D908" s="323"/>
    </row>
    <row r="909" spans="3:4" x14ac:dyDescent="0.2">
      <c r="C909" s="323"/>
      <c r="D909" s="323"/>
    </row>
    <row r="910" spans="3:4" x14ac:dyDescent="0.2">
      <c r="C910" s="323"/>
      <c r="D910" s="323"/>
    </row>
    <row r="911" spans="3:4" x14ac:dyDescent="0.2">
      <c r="C911" s="323"/>
      <c r="D911" s="323"/>
    </row>
    <row r="912" spans="3:4" x14ac:dyDescent="0.2">
      <c r="C912" s="323"/>
      <c r="D912" s="323"/>
    </row>
    <row r="913" spans="3:4" x14ac:dyDescent="0.2">
      <c r="C913" s="323"/>
      <c r="D913" s="323"/>
    </row>
    <row r="914" spans="3:4" x14ac:dyDescent="0.2">
      <c r="C914" s="323"/>
      <c r="D914" s="323"/>
    </row>
    <row r="915" spans="3:4" x14ac:dyDescent="0.2">
      <c r="C915" s="323"/>
      <c r="D915" s="323"/>
    </row>
    <row r="916" spans="3:4" x14ac:dyDescent="0.2">
      <c r="C916" s="323"/>
      <c r="D916" s="323"/>
    </row>
    <row r="917" spans="3:4" x14ac:dyDescent="0.2">
      <c r="C917" s="323"/>
      <c r="D917" s="323"/>
    </row>
    <row r="918" spans="3:4" x14ac:dyDescent="0.2">
      <c r="C918" s="323"/>
      <c r="D918" s="323"/>
    </row>
    <row r="919" spans="3:4" x14ac:dyDescent="0.2">
      <c r="C919" s="323"/>
      <c r="D919" s="323"/>
    </row>
    <row r="920" spans="3:4" x14ac:dyDescent="0.2">
      <c r="C920" s="323"/>
      <c r="D920" s="323"/>
    </row>
    <row r="921" spans="3:4" x14ac:dyDescent="0.2">
      <c r="C921" s="323"/>
      <c r="D921" s="323"/>
    </row>
    <row r="922" spans="3:4" x14ac:dyDescent="0.2">
      <c r="C922" s="323"/>
      <c r="D922" s="323"/>
    </row>
    <row r="923" spans="3:4" x14ac:dyDescent="0.2">
      <c r="C923" s="323"/>
      <c r="D923" s="323"/>
    </row>
    <row r="924" spans="3:4" x14ac:dyDescent="0.2">
      <c r="C924" s="323"/>
      <c r="D924" s="323"/>
    </row>
    <row r="925" spans="3:4" x14ac:dyDescent="0.2">
      <c r="C925" s="323"/>
      <c r="D925" s="323"/>
    </row>
    <row r="926" spans="3:4" x14ac:dyDescent="0.2">
      <c r="C926" s="323"/>
      <c r="D926" s="323"/>
    </row>
    <row r="927" spans="3:4" x14ac:dyDescent="0.2">
      <c r="C927" s="323"/>
      <c r="D927" s="323"/>
    </row>
    <row r="928" spans="3:4" x14ac:dyDescent="0.2">
      <c r="C928" s="323"/>
      <c r="D928" s="323"/>
    </row>
    <row r="929" spans="3:4" x14ac:dyDescent="0.2">
      <c r="C929" s="323"/>
      <c r="D929" s="323"/>
    </row>
    <row r="930" spans="3:4" x14ac:dyDescent="0.2">
      <c r="C930" s="323"/>
      <c r="D930" s="323"/>
    </row>
    <row r="931" spans="3:4" x14ac:dyDescent="0.2">
      <c r="C931" s="323"/>
      <c r="D931" s="323"/>
    </row>
    <row r="932" spans="3:4" x14ac:dyDescent="0.2">
      <c r="C932" s="323"/>
      <c r="D932" s="323"/>
    </row>
    <row r="933" spans="3:4" x14ac:dyDescent="0.2">
      <c r="C933" s="323"/>
      <c r="D933" s="323"/>
    </row>
    <row r="934" spans="3:4" x14ac:dyDescent="0.2">
      <c r="C934" s="323"/>
      <c r="D934" s="323"/>
    </row>
    <row r="935" spans="3:4" x14ac:dyDescent="0.2">
      <c r="C935" s="323"/>
      <c r="D935" s="323"/>
    </row>
    <row r="936" spans="3:4" x14ac:dyDescent="0.2">
      <c r="C936" s="323"/>
      <c r="D936" s="323"/>
    </row>
    <row r="937" spans="3:4" x14ac:dyDescent="0.2">
      <c r="C937" s="323"/>
      <c r="D937" s="323"/>
    </row>
    <row r="938" spans="3:4" x14ac:dyDescent="0.2">
      <c r="C938" s="323"/>
      <c r="D938" s="323"/>
    </row>
    <row r="939" spans="3:4" x14ac:dyDescent="0.2">
      <c r="C939" s="323"/>
      <c r="D939" s="323"/>
    </row>
    <row r="940" spans="3:4" x14ac:dyDescent="0.2">
      <c r="C940" s="323"/>
      <c r="D940" s="323"/>
    </row>
    <row r="941" spans="3:4" x14ac:dyDescent="0.2">
      <c r="C941" s="323"/>
      <c r="D941" s="323"/>
    </row>
    <row r="942" spans="3:4" x14ac:dyDescent="0.2">
      <c r="C942" s="323"/>
      <c r="D942" s="323"/>
    </row>
    <row r="943" spans="3:4" x14ac:dyDescent="0.2">
      <c r="C943" s="323"/>
      <c r="D943" s="323"/>
    </row>
    <row r="944" spans="3:4" x14ac:dyDescent="0.2">
      <c r="C944" s="323"/>
      <c r="D944" s="323"/>
    </row>
    <row r="945" spans="3:4" x14ac:dyDescent="0.2">
      <c r="C945" s="323"/>
      <c r="D945" s="323"/>
    </row>
    <row r="946" spans="3:4" x14ac:dyDescent="0.2">
      <c r="C946" s="323"/>
      <c r="D946" s="323"/>
    </row>
    <row r="947" spans="3:4" x14ac:dyDescent="0.2">
      <c r="C947" s="323"/>
      <c r="D947" s="323"/>
    </row>
    <row r="948" spans="3:4" x14ac:dyDescent="0.2">
      <c r="C948" s="323"/>
      <c r="D948" s="323"/>
    </row>
    <row r="949" spans="3:4" x14ac:dyDescent="0.2">
      <c r="C949" s="323"/>
      <c r="D949" s="323"/>
    </row>
    <row r="950" spans="3:4" x14ac:dyDescent="0.2">
      <c r="C950" s="323"/>
      <c r="D950" s="323"/>
    </row>
    <row r="951" spans="3:4" x14ac:dyDescent="0.2">
      <c r="C951" s="323"/>
      <c r="D951" s="323"/>
    </row>
    <row r="952" spans="3:4" x14ac:dyDescent="0.2">
      <c r="C952" s="323"/>
      <c r="D952" s="323"/>
    </row>
    <row r="953" spans="3:4" x14ac:dyDescent="0.2">
      <c r="C953" s="323"/>
      <c r="D953" s="323"/>
    </row>
    <row r="954" spans="3:4" x14ac:dyDescent="0.2">
      <c r="C954" s="323"/>
      <c r="D954" s="323"/>
    </row>
    <row r="955" spans="3:4" x14ac:dyDescent="0.2">
      <c r="C955" s="323"/>
      <c r="D955" s="323"/>
    </row>
    <row r="956" spans="3:4" x14ac:dyDescent="0.2">
      <c r="C956" s="323"/>
      <c r="D956" s="323"/>
    </row>
    <row r="957" spans="3:4" x14ac:dyDescent="0.2">
      <c r="C957" s="323"/>
      <c r="D957" s="323"/>
    </row>
    <row r="958" spans="3:4" x14ac:dyDescent="0.2">
      <c r="C958" s="323"/>
      <c r="D958" s="323"/>
    </row>
    <row r="959" spans="3:4" x14ac:dyDescent="0.2">
      <c r="C959" s="323"/>
      <c r="D959" s="323"/>
    </row>
    <row r="960" spans="3:4" x14ac:dyDescent="0.2">
      <c r="C960" s="323"/>
      <c r="D960" s="323"/>
    </row>
    <row r="961" spans="3:4" x14ac:dyDescent="0.2">
      <c r="C961" s="323"/>
      <c r="D961" s="323"/>
    </row>
    <row r="962" spans="3:4" x14ac:dyDescent="0.2">
      <c r="C962" s="323"/>
      <c r="D962" s="323"/>
    </row>
    <row r="963" spans="3:4" x14ac:dyDescent="0.2">
      <c r="C963" s="323"/>
      <c r="D963" s="323"/>
    </row>
    <row r="964" spans="3:4" x14ac:dyDescent="0.2">
      <c r="C964" s="323"/>
      <c r="D964" s="323"/>
    </row>
    <row r="965" spans="3:4" x14ac:dyDescent="0.2">
      <c r="C965" s="323"/>
      <c r="D965" s="323"/>
    </row>
    <row r="966" spans="3:4" x14ac:dyDescent="0.2">
      <c r="C966" s="323"/>
      <c r="D966" s="323"/>
    </row>
    <row r="967" spans="3:4" x14ac:dyDescent="0.2">
      <c r="C967" s="323"/>
      <c r="D967" s="323"/>
    </row>
    <row r="968" spans="3:4" x14ac:dyDescent="0.2">
      <c r="C968" s="323"/>
      <c r="D968" s="323"/>
    </row>
    <row r="969" spans="3:4" x14ac:dyDescent="0.2">
      <c r="C969" s="323"/>
      <c r="D969" s="323"/>
    </row>
    <row r="970" spans="3:4" x14ac:dyDescent="0.2">
      <c r="C970" s="323"/>
      <c r="D970" s="323"/>
    </row>
    <row r="971" spans="3:4" x14ac:dyDescent="0.2">
      <c r="C971" s="323"/>
      <c r="D971" s="323"/>
    </row>
    <row r="972" spans="3:4" x14ac:dyDescent="0.2">
      <c r="C972" s="323"/>
      <c r="D972" s="323"/>
    </row>
    <row r="973" spans="3:4" x14ac:dyDescent="0.2">
      <c r="C973" s="323"/>
      <c r="D973" s="323"/>
    </row>
    <row r="974" spans="3:4" x14ac:dyDescent="0.2">
      <c r="C974" s="323"/>
      <c r="D974" s="323"/>
    </row>
    <row r="975" spans="3:4" x14ac:dyDescent="0.2">
      <c r="C975" s="323"/>
      <c r="D975" s="323"/>
    </row>
    <row r="976" spans="3:4" x14ac:dyDescent="0.2">
      <c r="C976" s="323"/>
      <c r="D976" s="323"/>
    </row>
    <row r="977" spans="3:4" x14ac:dyDescent="0.2">
      <c r="C977" s="323"/>
      <c r="D977" s="323"/>
    </row>
    <row r="978" spans="3:4" x14ac:dyDescent="0.2">
      <c r="C978" s="323"/>
      <c r="D978" s="323"/>
    </row>
    <row r="979" spans="3:4" x14ac:dyDescent="0.2">
      <c r="C979" s="323"/>
      <c r="D979" s="323"/>
    </row>
    <row r="980" spans="3:4" x14ac:dyDescent="0.2">
      <c r="C980" s="323"/>
      <c r="D980" s="323"/>
    </row>
    <row r="981" spans="3:4" x14ac:dyDescent="0.2">
      <c r="C981" s="323"/>
      <c r="D981" s="323"/>
    </row>
    <row r="982" spans="3:4" x14ac:dyDescent="0.2">
      <c r="C982" s="323"/>
      <c r="D982" s="323"/>
    </row>
    <row r="983" spans="3:4" x14ac:dyDescent="0.2">
      <c r="C983" s="323"/>
      <c r="D983" s="323"/>
    </row>
    <row r="984" spans="3:4" x14ac:dyDescent="0.2">
      <c r="C984" s="323"/>
      <c r="D984" s="323"/>
    </row>
    <row r="985" spans="3:4" x14ac:dyDescent="0.2">
      <c r="C985" s="323"/>
      <c r="D985" s="323"/>
    </row>
    <row r="986" spans="3:4" x14ac:dyDescent="0.2">
      <c r="C986" s="323"/>
      <c r="D986" s="323"/>
    </row>
    <row r="987" spans="3:4" x14ac:dyDescent="0.2">
      <c r="C987" s="323"/>
      <c r="D987" s="323"/>
    </row>
    <row r="988" spans="3:4" x14ac:dyDescent="0.2">
      <c r="C988" s="323"/>
      <c r="D988" s="323"/>
    </row>
    <row r="989" spans="3:4" x14ac:dyDescent="0.2">
      <c r="C989" s="323"/>
      <c r="D989" s="323"/>
    </row>
    <row r="990" spans="3:4" x14ac:dyDescent="0.2">
      <c r="C990" s="323"/>
      <c r="D990" s="323"/>
    </row>
    <row r="991" spans="3:4" x14ac:dyDescent="0.2">
      <c r="C991" s="323"/>
      <c r="D991" s="323"/>
    </row>
    <row r="992" spans="3:4" x14ac:dyDescent="0.2">
      <c r="C992" s="323"/>
      <c r="D992" s="323"/>
    </row>
    <row r="993" spans="3:4" x14ac:dyDescent="0.2">
      <c r="C993" s="323"/>
      <c r="D993" s="323"/>
    </row>
    <row r="994" spans="3:4" x14ac:dyDescent="0.2">
      <c r="C994" s="323"/>
      <c r="D994" s="323"/>
    </row>
    <row r="995" spans="3:4" x14ac:dyDescent="0.2">
      <c r="C995" s="323"/>
      <c r="D995" s="323"/>
    </row>
    <row r="996" spans="3:4" x14ac:dyDescent="0.2">
      <c r="C996" s="323"/>
      <c r="D996" s="323"/>
    </row>
    <row r="997" spans="3:4" x14ac:dyDescent="0.2">
      <c r="C997" s="323"/>
      <c r="D997" s="323"/>
    </row>
    <row r="998" spans="3:4" x14ac:dyDescent="0.2">
      <c r="C998" s="323"/>
      <c r="D998" s="323"/>
    </row>
    <row r="999" spans="3:4" x14ac:dyDescent="0.2">
      <c r="C999" s="323"/>
      <c r="D999" s="323"/>
    </row>
    <row r="1000" spans="3:4" x14ac:dyDescent="0.2">
      <c r="C1000" s="323"/>
      <c r="D1000" s="323"/>
    </row>
  </sheetData>
  <mergeCells count="1">
    <mergeCell ref="B14:E1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M1002"/>
  <sheetViews>
    <sheetView workbookViewId="0">
      <selection activeCell="O31" sqref="O31"/>
    </sheetView>
  </sheetViews>
  <sheetFormatPr defaultColWidth="12.5703125" defaultRowHeight="15.75" customHeight="1" x14ac:dyDescent="0.2"/>
  <cols>
    <col min="1" max="1" width="5.7109375" customWidth="1"/>
    <col min="2" max="2" width="5.85546875" customWidth="1"/>
    <col min="3" max="3" width="4.85546875" customWidth="1"/>
    <col min="4" max="4" width="1.42578125" customWidth="1"/>
    <col min="5" max="5" width="12.5703125" customWidth="1"/>
    <col min="6" max="6" width="18.85546875" customWidth="1"/>
    <col min="7" max="7" width="15.28515625" customWidth="1"/>
    <col min="8" max="8" width="7.5703125" customWidth="1"/>
    <col min="9" max="9" width="12.85546875" customWidth="1"/>
    <col min="10" max="11" width="7.5703125" customWidth="1"/>
    <col min="12" max="12" width="1.42578125" customWidth="1"/>
    <col min="13" max="13" width="11.28515625" customWidth="1"/>
    <col min="14" max="14" width="18.85546875" customWidth="1"/>
    <col min="15" max="15" width="15.28515625" customWidth="1"/>
    <col min="16" max="16" width="7.28515625" customWidth="1"/>
    <col min="17" max="17" width="12.85546875" customWidth="1"/>
    <col min="18" max="19" width="7.5703125" customWidth="1"/>
    <col min="20" max="20" width="1.42578125" customWidth="1"/>
    <col min="21" max="21" width="11.42578125" customWidth="1"/>
    <col min="22" max="22" width="18.85546875" customWidth="1"/>
    <col min="23" max="23" width="15.28515625" customWidth="1"/>
    <col min="24" max="24" width="7.28515625" customWidth="1"/>
    <col min="25" max="25" width="12.85546875" customWidth="1"/>
    <col min="26" max="26" width="8.140625" bestFit="1" customWidth="1"/>
    <col min="27" max="27" width="7.5703125" customWidth="1"/>
    <col min="28" max="28" width="1.42578125" customWidth="1"/>
    <col min="35" max="35" width="1.42578125" customWidth="1"/>
    <col min="36" max="39" width="6.42578125" customWidth="1"/>
  </cols>
  <sheetData>
    <row r="1" spans="1:39" ht="12.75" x14ac:dyDescent="0.2">
      <c r="A1" s="303"/>
      <c r="B1" s="303"/>
      <c r="C1" s="303"/>
      <c r="D1" s="143"/>
      <c r="E1" s="590" t="s">
        <v>18</v>
      </c>
      <c r="F1" s="574"/>
      <c r="G1" s="574"/>
      <c r="H1" s="574"/>
      <c r="I1" s="574"/>
      <c r="J1" s="574"/>
      <c r="K1" s="65"/>
      <c r="L1" s="546"/>
      <c r="M1" s="587" t="s">
        <v>20</v>
      </c>
      <c r="N1" s="574"/>
      <c r="O1" s="574"/>
      <c r="P1" s="574"/>
      <c r="Q1" s="574"/>
      <c r="R1" s="574"/>
      <c r="S1" s="574"/>
      <c r="T1" s="546"/>
      <c r="U1" s="586" t="s">
        <v>22</v>
      </c>
      <c r="V1" s="565"/>
      <c r="W1" s="565"/>
      <c r="X1" s="565"/>
      <c r="Y1" s="565"/>
      <c r="Z1" s="565"/>
      <c r="AA1" s="566"/>
      <c r="AB1" s="143"/>
      <c r="AC1" s="585" t="s">
        <v>462</v>
      </c>
      <c r="AD1" s="565"/>
      <c r="AE1" s="566"/>
      <c r="AF1" s="585" t="s">
        <v>463</v>
      </c>
      <c r="AG1" s="565"/>
      <c r="AH1" s="566"/>
      <c r="AI1" s="143"/>
      <c r="AJ1" s="125"/>
      <c r="AK1" s="125"/>
      <c r="AL1" s="125"/>
      <c r="AM1" s="125"/>
    </row>
    <row r="2" spans="1:39" ht="12.75" x14ac:dyDescent="0.2">
      <c r="A2" s="82" t="s">
        <v>65</v>
      </c>
      <c r="B2" s="151" t="s">
        <v>25</v>
      </c>
      <c r="C2" s="68" t="s">
        <v>3</v>
      </c>
      <c r="D2" s="143"/>
      <c r="E2" s="436" t="s">
        <v>55</v>
      </c>
      <c r="F2" s="547" t="s">
        <v>464</v>
      </c>
      <c r="G2" s="242" t="s">
        <v>465</v>
      </c>
      <c r="H2" s="242" t="s">
        <v>348</v>
      </c>
      <c r="I2" s="242" t="s">
        <v>466</v>
      </c>
      <c r="J2" s="242" t="s">
        <v>467</v>
      </c>
      <c r="K2" s="242" t="s">
        <v>468</v>
      </c>
      <c r="L2" s="308"/>
      <c r="M2" s="242" t="s">
        <v>55</v>
      </c>
      <c r="N2" s="547" t="s">
        <v>464</v>
      </c>
      <c r="O2" s="242" t="s">
        <v>465</v>
      </c>
      <c r="P2" s="242" t="s">
        <v>348</v>
      </c>
      <c r="Q2" s="242" t="s">
        <v>466</v>
      </c>
      <c r="R2" s="242" t="s">
        <v>467</v>
      </c>
      <c r="S2" s="242" t="s">
        <v>468</v>
      </c>
      <c r="T2" s="308"/>
      <c r="U2" s="82" t="s">
        <v>55</v>
      </c>
      <c r="V2" s="547" t="s">
        <v>464</v>
      </c>
      <c r="W2" s="151" t="s">
        <v>465</v>
      </c>
      <c r="X2" s="151" t="s">
        <v>348</v>
      </c>
      <c r="Y2" s="151" t="s">
        <v>466</v>
      </c>
      <c r="Z2" s="151" t="s">
        <v>467</v>
      </c>
      <c r="AA2" s="68" t="s">
        <v>468</v>
      </c>
      <c r="AB2" s="143"/>
      <c r="AC2" s="82" t="s">
        <v>469</v>
      </c>
      <c r="AD2" s="151" t="s">
        <v>348</v>
      </c>
      <c r="AE2" s="68" t="s">
        <v>467</v>
      </c>
      <c r="AF2" s="82" t="s">
        <v>469</v>
      </c>
      <c r="AG2" s="151" t="s">
        <v>348</v>
      </c>
      <c r="AH2" s="68" t="s">
        <v>467</v>
      </c>
      <c r="AI2" s="143"/>
      <c r="AJ2" s="125"/>
      <c r="AK2" s="125"/>
      <c r="AL2" s="125"/>
      <c r="AM2" s="125"/>
    </row>
    <row r="3" spans="1:39" ht="12.75" x14ac:dyDescent="0.2">
      <c r="A3" s="548">
        <v>2554</v>
      </c>
      <c r="B3" s="548">
        <v>2554</v>
      </c>
      <c r="C3" s="303">
        <v>1</v>
      </c>
      <c r="D3" s="143"/>
      <c r="E3" s="347">
        <f>H16</f>
        <v>0.4</v>
      </c>
      <c r="F3" s="347">
        <f>H17</f>
        <v>0.55000000000000004</v>
      </c>
      <c r="G3" s="347">
        <f>H18</f>
        <v>0.4</v>
      </c>
      <c r="H3" s="448">
        <f t="shared" ref="H3:H13" si="0">A3*(1-F3)*-1</f>
        <v>-1149.3</v>
      </c>
      <c r="I3" s="448">
        <v>0</v>
      </c>
      <c r="J3" s="448">
        <f t="shared" ref="J3:J13" si="1">A3*(1-G3)*-1</f>
        <v>-1532.3999999999999</v>
      </c>
      <c r="K3" s="448">
        <f t="shared" ref="K3:K13" si="2">E3*H3+(1-E3)*J3</f>
        <v>-1379.1599999999999</v>
      </c>
      <c r="L3" s="143"/>
      <c r="M3" s="347">
        <f>N16</f>
        <v>0.3</v>
      </c>
      <c r="N3" s="347">
        <f>N18</f>
        <v>0.8</v>
      </c>
      <c r="O3" s="347">
        <f>N17</f>
        <v>0.1</v>
      </c>
      <c r="P3" s="448">
        <f t="shared" ref="P3:P13" si="3">B3*(1-N3)*-1</f>
        <v>-510.7999999999999</v>
      </c>
      <c r="Q3" s="448">
        <v>0</v>
      </c>
      <c r="R3" s="448">
        <f t="shared" ref="R3:R13" si="4">B3*(1-O3)*-1</f>
        <v>-2298.6</v>
      </c>
      <c r="S3" s="448">
        <f t="shared" ref="S3:S13" si="5">M3*P3+(1-M3)*R3</f>
        <v>-1762.2599999999998</v>
      </c>
      <c r="T3" s="143"/>
      <c r="U3" s="347">
        <f>V16</f>
        <v>0.1</v>
      </c>
      <c r="V3" s="347">
        <f>V18</f>
        <v>0.9</v>
      </c>
      <c r="W3" s="347">
        <f>V17</f>
        <v>0</v>
      </c>
      <c r="X3" s="448">
        <f t="shared" ref="X3:X13" si="6">A3*(1-V3)*-1</f>
        <v>-255.39999999999995</v>
      </c>
      <c r="Y3" s="448">
        <v>0</v>
      </c>
      <c r="Z3" s="448">
        <f t="shared" ref="Z3:Z13" si="7">A3*(1-W3)*-1</f>
        <v>-2554</v>
      </c>
      <c r="AA3" s="448">
        <f t="shared" ref="AA3:AA13" si="8">U3*X3+(1-U3)*Z3</f>
        <v>-2324.14</v>
      </c>
      <c r="AB3" s="143"/>
      <c r="AC3" s="549"/>
      <c r="AD3" s="301"/>
      <c r="AE3" s="430"/>
      <c r="AF3" s="202"/>
      <c r="AG3" s="303"/>
      <c r="AH3" s="399"/>
      <c r="AI3" s="143"/>
      <c r="AJ3" s="125"/>
      <c r="AK3" s="125"/>
      <c r="AL3" s="125"/>
      <c r="AM3" s="125"/>
    </row>
    <row r="4" spans="1:39" ht="12.75" x14ac:dyDescent="0.2">
      <c r="A4" s="303">
        <f t="shared" ref="A4:B4" si="9">A3</f>
        <v>2554</v>
      </c>
      <c r="B4" s="303">
        <f t="shared" si="9"/>
        <v>2554</v>
      </c>
      <c r="C4" s="303">
        <v>2</v>
      </c>
      <c r="D4" s="143"/>
      <c r="E4" s="347">
        <f t="shared" ref="E4:E13" si="10">E3+$F$16</f>
        <v>0.45</v>
      </c>
      <c r="F4" s="347">
        <f t="shared" ref="F4:F13" si="11">F3+$F$17</f>
        <v>0.57500000000000007</v>
      </c>
      <c r="G4" s="347">
        <f t="shared" ref="G4:G13" si="12">G3+$F$18</f>
        <v>0.42500000000000004</v>
      </c>
      <c r="H4" s="448">
        <f t="shared" si="0"/>
        <v>-1085.4499999999998</v>
      </c>
      <c r="I4" s="448">
        <v>0</v>
      </c>
      <c r="J4" s="448">
        <f t="shared" si="1"/>
        <v>-1468.55</v>
      </c>
      <c r="K4" s="448">
        <f t="shared" si="2"/>
        <v>-1296.155</v>
      </c>
      <c r="L4" s="143"/>
      <c r="M4" s="347">
        <f t="shared" ref="M4:M13" si="13">M3+$P$16</f>
        <v>0.32500000000000001</v>
      </c>
      <c r="N4" s="347">
        <f t="shared" ref="N4:N13" si="14">N3+$X$18</f>
        <v>0.81</v>
      </c>
      <c r="O4" s="347">
        <f t="shared" ref="O4:O13" si="15">O3+$P$17</f>
        <v>0.125</v>
      </c>
      <c r="P4" s="448">
        <f t="shared" si="3"/>
        <v>-485.25999999999988</v>
      </c>
      <c r="Q4" s="448">
        <v>0</v>
      </c>
      <c r="R4" s="448">
        <f t="shared" si="4"/>
        <v>-2234.75</v>
      </c>
      <c r="S4" s="448">
        <f t="shared" si="5"/>
        <v>-1666.1657500000001</v>
      </c>
      <c r="T4" s="143"/>
      <c r="U4" s="347">
        <f t="shared" ref="U4:U13" si="16">U3+$X$16</f>
        <v>0.125</v>
      </c>
      <c r="V4" s="347">
        <f t="shared" ref="V4:V13" si="17">V3+$X$18</f>
        <v>0.91</v>
      </c>
      <c r="W4" s="347">
        <f t="shared" ref="W4:W13" si="18">W3+$X$17</f>
        <v>2.5000000000000001E-2</v>
      </c>
      <c r="X4" s="448">
        <f t="shared" si="6"/>
        <v>-229.85999999999993</v>
      </c>
      <c r="Y4" s="448">
        <v>0</v>
      </c>
      <c r="Z4" s="448">
        <f t="shared" si="7"/>
        <v>-2490.15</v>
      </c>
      <c r="AA4" s="401">
        <f t="shared" si="8"/>
        <v>-2207.61375</v>
      </c>
      <c r="AB4" s="143"/>
      <c r="AC4" s="499"/>
      <c r="AD4" s="303"/>
      <c r="AE4" s="399"/>
      <c r="AF4" s="202"/>
      <c r="AG4" s="303"/>
      <c r="AH4" s="399"/>
      <c r="AI4" s="143"/>
      <c r="AJ4" s="125"/>
      <c r="AK4" s="125"/>
      <c r="AL4" s="125"/>
      <c r="AM4" s="125"/>
    </row>
    <row r="5" spans="1:39" ht="12.75" x14ac:dyDescent="0.2">
      <c r="A5" s="303">
        <f t="shared" ref="A5:B5" si="19">A4</f>
        <v>2554</v>
      </c>
      <c r="B5" s="303">
        <f t="shared" si="19"/>
        <v>2554</v>
      </c>
      <c r="C5" s="303">
        <v>3</v>
      </c>
      <c r="D5" s="143"/>
      <c r="E5" s="347">
        <f t="shared" si="10"/>
        <v>0.5</v>
      </c>
      <c r="F5" s="347">
        <f t="shared" si="11"/>
        <v>0.60000000000000009</v>
      </c>
      <c r="G5" s="347">
        <f t="shared" si="12"/>
        <v>0.45000000000000007</v>
      </c>
      <c r="H5" s="448">
        <f t="shared" si="0"/>
        <v>-1021.5999999999998</v>
      </c>
      <c r="I5" s="448">
        <v>0</v>
      </c>
      <c r="J5" s="448">
        <f t="shared" si="1"/>
        <v>-1404.6999999999998</v>
      </c>
      <c r="K5" s="448">
        <f t="shared" si="2"/>
        <v>-1213.1499999999999</v>
      </c>
      <c r="L5" s="143"/>
      <c r="M5" s="347">
        <f t="shared" si="13"/>
        <v>0.35000000000000003</v>
      </c>
      <c r="N5" s="347">
        <f t="shared" si="14"/>
        <v>0.82000000000000006</v>
      </c>
      <c r="O5" s="347">
        <f t="shared" si="15"/>
        <v>0.15</v>
      </c>
      <c r="P5" s="448">
        <f t="shared" si="3"/>
        <v>-459.71999999999986</v>
      </c>
      <c r="Q5" s="448">
        <v>0</v>
      </c>
      <c r="R5" s="448">
        <f t="shared" si="4"/>
        <v>-2170.9</v>
      </c>
      <c r="S5" s="448">
        <f t="shared" si="5"/>
        <v>-1571.9869999999999</v>
      </c>
      <c r="T5" s="143"/>
      <c r="U5" s="347">
        <f t="shared" si="16"/>
        <v>0.15</v>
      </c>
      <c r="V5" s="347">
        <f t="shared" si="17"/>
        <v>0.92</v>
      </c>
      <c r="W5" s="347">
        <f t="shared" si="18"/>
        <v>0.05</v>
      </c>
      <c r="X5" s="448">
        <f t="shared" si="6"/>
        <v>-204.31999999999991</v>
      </c>
      <c r="Y5" s="448">
        <v>0</v>
      </c>
      <c r="Z5" s="448">
        <f t="shared" si="7"/>
        <v>-2426.2999999999997</v>
      </c>
      <c r="AA5" s="401">
        <f t="shared" si="8"/>
        <v>-2093.0029999999997</v>
      </c>
      <c r="AB5" s="143"/>
      <c r="AC5" s="499"/>
      <c r="AD5" s="303"/>
      <c r="AE5" s="399"/>
      <c r="AF5" s="202"/>
      <c r="AG5" s="303"/>
      <c r="AH5" s="399"/>
      <c r="AI5" s="143"/>
      <c r="AJ5" s="125"/>
      <c r="AK5" s="125"/>
      <c r="AL5" s="125"/>
      <c r="AM5" s="125"/>
    </row>
    <row r="6" spans="1:39" ht="12.75" x14ac:dyDescent="0.2">
      <c r="A6" s="303">
        <f t="shared" ref="A6:B6" si="20">A5</f>
        <v>2554</v>
      </c>
      <c r="B6" s="303">
        <f t="shared" si="20"/>
        <v>2554</v>
      </c>
      <c r="C6" s="303">
        <v>4</v>
      </c>
      <c r="D6" s="143"/>
      <c r="E6" s="347">
        <f t="shared" si="10"/>
        <v>0.55000000000000004</v>
      </c>
      <c r="F6" s="347">
        <f t="shared" si="11"/>
        <v>0.62500000000000011</v>
      </c>
      <c r="G6" s="347">
        <f t="shared" si="12"/>
        <v>0.47500000000000009</v>
      </c>
      <c r="H6" s="448">
        <f t="shared" si="0"/>
        <v>-957.74999999999977</v>
      </c>
      <c r="I6" s="448">
        <v>0</v>
      </c>
      <c r="J6" s="448">
        <f t="shared" si="1"/>
        <v>-1340.8499999999997</v>
      </c>
      <c r="K6" s="448">
        <f t="shared" si="2"/>
        <v>-1130.1449999999998</v>
      </c>
      <c r="L6" s="143"/>
      <c r="M6" s="347">
        <f t="shared" si="13"/>
        <v>0.37500000000000006</v>
      </c>
      <c r="N6" s="347">
        <f t="shared" si="14"/>
        <v>0.83000000000000007</v>
      </c>
      <c r="O6" s="347">
        <f t="shared" si="15"/>
        <v>0.17499999999999999</v>
      </c>
      <c r="P6" s="448">
        <f t="shared" si="3"/>
        <v>-434.17999999999984</v>
      </c>
      <c r="Q6" s="448">
        <v>0</v>
      </c>
      <c r="R6" s="448">
        <f t="shared" si="4"/>
        <v>-2107.0499999999997</v>
      </c>
      <c r="S6" s="448">
        <f t="shared" si="5"/>
        <v>-1479.7237499999997</v>
      </c>
      <c r="T6" s="143"/>
      <c r="U6" s="347">
        <f t="shared" si="16"/>
        <v>0.17499999999999999</v>
      </c>
      <c r="V6" s="347">
        <f t="shared" si="17"/>
        <v>0.93</v>
      </c>
      <c r="W6" s="347">
        <f t="shared" si="18"/>
        <v>7.5000000000000011E-2</v>
      </c>
      <c r="X6" s="448">
        <f t="shared" si="6"/>
        <v>-178.77999999999989</v>
      </c>
      <c r="Y6" s="448">
        <v>0</v>
      </c>
      <c r="Z6" s="448">
        <f t="shared" si="7"/>
        <v>-2362.4500000000003</v>
      </c>
      <c r="AA6" s="401">
        <f t="shared" si="8"/>
        <v>-1980.3077499999999</v>
      </c>
      <c r="AB6" s="143"/>
      <c r="AC6" s="499"/>
      <c r="AD6" s="303"/>
      <c r="AE6" s="399"/>
      <c r="AF6" s="202"/>
      <c r="AG6" s="303"/>
      <c r="AH6" s="399"/>
      <c r="AI6" s="143"/>
      <c r="AJ6" s="125"/>
      <c r="AK6" s="125"/>
      <c r="AL6" s="125"/>
      <c r="AM6" s="125"/>
    </row>
    <row r="7" spans="1:39" ht="12.75" x14ac:dyDescent="0.2">
      <c r="A7" s="303">
        <f t="shared" ref="A7:B7" si="21">A6</f>
        <v>2554</v>
      </c>
      <c r="B7" s="303">
        <f t="shared" si="21"/>
        <v>2554</v>
      </c>
      <c r="C7" s="303">
        <v>5</v>
      </c>
      <c r="D7" s="143"/>
      <c r="E7" s="347">
        <f t="shared" si="10"/>
        <v>0.60000000000000009</v>
      </c>
      <c r="F7" s="347">
        <f t="shared" si="11"/>
        <v>0.65000000000000013</v>
      </c>
      <c r="G7" s="347">
        <f t="shared" si="12"/>
        <v>0.50000000000000011</v>
      </c>
      <c r="H7" s="448">
        <f t="shared" si="0"/>
        <v>-893.89999999999964</v>
      </c>
      <c r="I7" s="448">
        <v>0</v>
      </c>
      <c r="J7" s="448">
        <f t="shared" si="1"/>
        <v>-1276.9999999999998</v>
      </c>
      <c r="K7" s="448">
        <f t="shared" si="2"/>
        <v>-1047.1399999999996</v>
      </c>
      <c r="L7" s="143"/>
      <c r="M7" s="347">
        <f t="shared" si="13"/>
        <v>0.40000000000000008</v>
      </c>
      <c r="N7" s="347">
        <f t="shared" si="14"/>
        <v>0.84000000000000008</v>
      </c>
      <c r="O7" s="347">
        <f t="shared" si="15"/>
        <v>0.19999999999999998</v>
      </c>
      <c r="P7" s="448">
        <f t="shared" si="3"/>
        <v>-408.63999999999982</v>
      </c>
      <c r="Q7" s="448">
        <v>0</v>
      </c>
      <c r="R7" s="448">
        <f t="shared" si="4"/>
        <v>-2043.2</v>
      </c>
      <c r="S7" s="448">
        <f t="shared" si="5"/>
        <v>-1389.3759999999997</v>
      </c>
      <c r="T7" s="143"/>
      <c r="U7" s="347">
        <f t="shared" si="16"/>
        <v>0.19999999999999998</v>
      </c>
      <c r="V7" s="347">
        <f t="shared" si="17"/>
        <v>0.94000000000000006</v>
      </c>
      <c r="W7" s="347">
        <f t="shared" si="18"/>
        <v>0.1</v>
      </c>
      <c r="X7" s="448">
        <f t="shared" si="6"/>
        <v>-153.23999999999984</v>
      </c>
      <c r="Y7" s="448">
        <v>0</v>
      </c>
      <c r="Z7" s="448">
        <f t="shared" si="7"/>
        <v>-2298.6</v>
      </c>
      <c r="AA7" s="401">
        <f t="shared" si="8"/>
        <v>-1869.528</v>
      </c>
      <c r="AB7" s="143"/>
      <c r="AC7" s="499"/>
      <c r="AD7" s="303"/>
      <c r="AE7" s="399"/>
      <c r="AF7" s="202"/>
      <c r="AG7" s="303"/>
      <c r="AH7" s="399"/>
      <c r="AI7" s="143"/>
      <c r="AJ7" s="125"/>
      <c r="AK7" s="125"/>
      <c r="AL7" s="125"/>
      <c r="AM7" s="125"/>
    </row>
    <row r="8" spans="1:39" ht="12.75" x14ac:dyDescent="0.2">
      <c r="A8" s="303">
        <f t="shared" ref="A8:B8" si="22">A7</f>
        <v>2554</v>
      </c>
      <c r="B8" s="303">
        <f t="shared" si="22"/>
        <v>2554</v>
      </c>
      <c r="C8" s="303">
        <v>6</v>
      </c>
      <c r="D8" s="143"/>
      <c r="E8" s="347">
        <f t="shared" si="10"/>
        <v>0.65000000000000013</v>
      </c>
      <c r="F8" s="347">
        <f t="shared" si="11"/>
        <v>0.67500000000000016</v>
      </c>
      <c r="G8" s="347">
        <f t="shared" si="12"/>
        <v>0.52500000000000013</v>
      </c>
      <c r="H8" s="448">
        <f t="shared" si="0"/>
        <v>-830.04999999999961</v>
      </c>
      <c r="I8" s="448">
        <v>0</v>
      </c>
      <c r="J8" s="448">
        <f t="shared" si="1"/>
        <v>-1213.1499999999996</v>
      </c>
      <c r="K8" s="448">
        <f t="shared" si="2"/>
        <v>-964.13499999999965</v>
      </c>
      <c r="L8" s="143"/>
      <c r="M8" s="347">
        <f t="shared" si="13"/>
        <v>0.4250000000000001</v>
      </c>
      <c r="N8" s="347">
        <f t="shared" si="14"/>
        <v>0.85000000000000009</v>
      </c>
      <c r="O8" s="347">
        <f t="shared" si="15"/>
        <v>0.22499999999999998</v>
      </c>
      <c r="P8" s="448">
        <f t="shared" si="3"/>
        <v>-383.0999999999998</v>
      </c>
      <c r="Q8" s="448">
        <v>0</v>
      </c>
      <c r="R8" s="448">
        <f t="shared" si="4"/>
        <v>-1979.3500000000001</v>
      </c>
      <c r="S8" s="448">
        <f t="shared" si="5"/>
        <v>-1300.9437499999999</v>
      </c>
      <c r="T8" s="143"/>
      <c r="U8" s="347">
        <f t="shared" si="16"/>
        <v>0.22499999999999998</v>
      </c>
      <c r="V8" s="347">
        <f t="shared" si="17"/>
        <v>0.95000000000000007</v>
      </c>
      <c r="W8" s="347">
        <f t="shared" si="18"/>
        <v>0.125</v>
      </c>
      <c r="X8" s="448">
        <f t="shared" si="6"/>
        <v>-127.69999999999983</v>
      </c>
      <c r="Y8" s="448">
        <v>0</v>
      </c>
      <c r="Z8" s="448">
        <f t="shared" si="7"/>
        <v>-2234.75</v>
      </c>
      <c r="AA8" s="401">
        <f t="shared" si="8"/>
        <v>-1760.6637500000002</v>
      </c>
      <c r="AB8" s="143"/>
      <c r="AC8" s="499"/>
      <c r="AD8" s="303"/>
      <c r="AE8" s="399"/>
      <c r="AF8" s="202"/>
      <c r="AG8" s="303"/>
      <c r="AH8" s="399"/>
      <c r="AI8" s="143"/>
      <c r="AJ8" s="125"/>
      <c r="AK8" s="125"/>
      <c r="AL8" s="125"/>
      <c r="AM8" s="125"/>
    </row>
    <row r="9" spans="1:39" ht="12.75" x14ac:dyDescent="0.2">
      <c r="A9" s="303">
        <f t="shared" ref="A9:B9" si="23">A8</f>
        <v>2554</v>
      </c>
      <c r="B9" s="303">
        <f t="shared" si="23"/>
        <v>2554</v>
      </c>
      <c r="C9" s="303">
        <v>7</v>
      </c>
      <c r="D9" s="143"/>
      <c r="E9" s="347">
        <f t="shared" si="10"/>
        <v>0.70000000000000018</v>
      </c>
      <c r="F9" s="347">
        <f t="shared" si="11"/>
        <v>0.70000000000000018</v>
      </c>
      <c r="G9" s="347">
        <f t="shared" si="12"/>
        <v>0.55000000000000016</v>
      </c>
      <c r="H9" s="448">
        <f t="shared" si="0"/>
        <v>-766.19999999999959</v>
      </c>
      <c r="I9" s="448">
        <v>0</v>
      </c>
      <c r="J9" s="448">
        <f t="shared" si="1"/>
        <v>-1149.2999999999995</v>
      </c>
      <c r="K9" s="448">
        <f t="shared" si="2"/>
        <v>-881.12999999999943</v>
      </c>
      <c r="L9" s="143"/>
      <c r="M9" s="347">
        <f t="shared" si="13"/>
        <v>0.45000000000000012</v>
      </c>
      <c r="N9" s="347">
        <f t="shared" si="14"/>
        <v>0.8600000000000001</v>
      </c>
      <c r="O9" s="347">
        <f t="shared" si="15"/>
        <v>0.24999999999999997</v>
      </c>
      <c r="P9" s="448">
        <f t="shared" si="3"/>
        <v>-357.55999999999977</v>
      </c>
      <c r="Q9" s="448">
        <v>0</v>
      </c>
      <c r="R9" s="448">
        <f t="shared" si="4"/>
        <v>-1915.5</v>
      </c>
      <c r="S9" s="448">
        <f t="shared" si="5"/>
        <v>-1214.4269999999997</v>
      </c>
      <c r="T9" s="143"/>
      <c r="U9" s="347">
        <f t="shared" si="16"/>
        <v>0.24999999999999997</v>
      </c>
      <c r="V9" s="347">
        <f t="shared" si="17"/>
        <v>0.96000000000000008</v>
      </c>
      <c r="W9" s="347">
        <f t="shared" si="18"/>
        <v>0.15</v>
      </c>
      <c r="X9" s="448">
        <f t="shared" si="6"/>
        <v>-102.15999999999981</v>
      </c>
      <c r="Y9" s="448">
        <v>0</v>
      </c>
      <c r="Z9" s="448">
        <f t="shared" si="7"/>
        <v>-2170.9</v>
      </c>
      <c r="AA9" s="401">
        <f t="shared" si="8"/>
        <v>-1653.7150000000001</v>
      </c>
      <c r="AB9" s="143"/>
      <c r="AC9" s="499"/>
      <c r="AD9" s="303"/>
      <c r="AE9" s="399"/>
      <c r="AF9" s="202"/>
      <c r="AG9" s="303"/>
      <c r="AH9" s="399"/>
      <c r="AI9" s="143"/>
      <c r="AJ9" s="125"/>
      <c r="AK9" s="125"/>
      <c r="AL9" s="125"/>
      <c r="AM9" s="125"/>
    </row>
    <row r="10" spans="1:39" ht="12.75" x14ac:dyDescent="0.2">
      <c r="A10" s="303">
        <f t="shared" ref="A10:B10" si="24">A9</f>
        <v>2554</v>
      </c>
      <c r="B10" s="303">
        <f t="shared" si="24"/>
        <v>2554</v>
      </c>
      <c r="C10" s="303">
        <v>8</v>
      </c>
      <c r="D10" s="143"/>
      <c r="E10" s="347">
        <f t="shared" si="10"/>
        <v>0.75000000000000022</v>
      </c>
      <c r="F10" s="347">
        <f t="shared" si="11"/>
        <v>0.7250000000000002</v>
      </c>
      <c r="G10" s="347">
        <f t="shared" si="12"/>
        <v>0.57500000000000018</v>
      </c>
      <c r="H10" s="448">
        <f t="shared" si="0"/>
        <v>-702.34999999999945</v>
      </c>
      <c r="I10" s="448">
        <v>0</v>
      </c>
      <c r="J10" s="448">
        <f t="shared" si="1"/>
        <v>-1085.4499999999996</v>
      </c>
      <c r="K10" s="448">
        <f t="shared" si="2"/>
        <v>-798.12499999999932</v>
      </c>
      <c r="L10" s="143"/>
      <c r="M10" s="347">
        <f t="shared" si="13"/>
        <v>0.47500000000000014</v>
      </c>
      <c r="N10" s="347">
        <f t="shared" si="14"/>
        <v>0.87000000000000011</v>
      </c>
      <c r="O10" s="347">
        <f t="shared" si="15"/>
        <v>0.27499999999999997</v>
      </c>
      <c r="P10" s="448">
        <f t="shared" si="3"/>
        <v>-332.01999999999975</v>
      </c>
      <c r="Q10" s="448">
        <v>0</v>
      </c>
      <c r="R10" s="448">
        <f t="shared" si="4"/>
        <v>-1851.6500000000003</v>
      </c>
      <c r="S10" s="448">
        <f t="shared" si="5"/>
        <v>-1129.82575</v>
      </c>
      <c r="T10" s="143"/>
      <c r="U10" s="347">
        <f t="shared" si="16"/>
        <v>0.27499999999999997</v>
      </c>
      <c r="V10" s="347">
        <f t="shared" si="17"/>
        <v>0.97000000000000008</v>
      </c>
      <c r="W10" s="347">
        <f t="shared" si="18"/>
        <v>0.17499999999999999</v>
      </c>
      <c r="X10" s="448">
        <f t="shared" si="6"/>
        <v>-76.619999999999791</v>
      </c>
      <c r="Y10" s="448">
        <v>0</v>
      </c>
      <c r="Z10" s="448">
        <f t="shared" si="7"/>
        <v>-2107.0499999999997</v>
      </c>
      <c r="AA10" s="401">
        <f t="shared" si="8"/>
        <v>-1548.68175</v>
      </c>
      <c r="AB10" s="143"/>
      <c r="AC10" s="499"/>
      <c r="AD10" s="303"/>
      <c r="AE10" s="399"/>
      <c r="AF10" s="202"/>
      <c r="AG10" s="303"/>
      <c r="AH10" s="399"/>
      <c r="AI10" s="143"/>
      <c r="AJ10" s="125"/>
      <c r="AK10" s="125"/>
      <c r="AL10" s="125"/>
      <c r="AM10" s="125"/>
    </row>
    <row r="11" spans="1:39" ht="12.75" x14ac:dyDescent="0.2">
      <c r="A11" s="303">
        <f t="shared" ref="A11:B11" si="25">A10</f>
        <v>2554</v>
      </c>
      <c r="B11" s="303">
        <f t="shared" si="25"/>
        <v>2554</v>
      </c>
      <c r="C11" s="303">
        <v>9</v>
      </c>
      <c r="D11" s="143"/>
      <c r="E11" s="347">
        <f t="shared" si="10"/>
        <v>0.80000000000000027</v>
      </c>
      <c r="F11" s="347">
        <f t="shared" si="11"/>
        <v>0.75000000000000022</v>
      </c>
      <c r="G11" s="347">
        <f t="shared" si="12"/>
        <v>0.6000000000000002</v>
      </c>
      <c r="H11" s="448">
        <f t="shared" si="0"/>
        <v>-638.49999999999943</v>
      </c>
      <c r="I11" s="448">
        <v>0</v>
      </c>
      <c r="J11" s="448">
        <f t="shared" si="1"/>
        <v>-1021.5999999999995</v>
      </c>
      <c r="K11" s="448">
        <f t="shared" si="2"/>
        <v>-715.11999999999932</v>
      </c>
      <c r="L11" s="143"/>
      <c r="M11" s="347">
        <f t="shared" si="13"/>
        <v>0.50000000000000011</v>
      </c>
      <c r="N11" s="347">
        <f t="shared" si="14"/>
        <v>0.88000000000000012</v>
      </c>
      <c r="O11" s="347">
        <f t="shared" si="15"/>
        <v>0.3</v>
      </c>
      <c r="P11" s="448">
        <f t="shared" si="3"/>
        <v>-306.47999999999968</v>
      </c>
      <c r="Q11" s="448">
        <v>0</v>
      </c>
      <c r="R11" s="448">
        <f t="shared" si="4"/>
        <v>-1787.8</v>
      </c>
      <c r="S11" s="448">
        <f t="shared" si="5"/>
        <v>-1047.1399999999996</v>
      </c>
      <c r="T11" s="143"/>
      <c r="U11" s="347">
        <f t="shared" si="16"/>
        <v>0.3</v>
      </c>
      <c r="V11" s="347">
        <f t="shared" si="17"/>
        <v>0.98000000000000009</v>
      </c>
      <c r="W11" s="347">
        <f t="shared" si="18"/>
        <v>0.19999999999999998</v>
      </c>
      <c r="X11" s="448">
        <f t="shared" si="6"/>
        <v>-51.079999999999764</v>
      </c>
      <c r="Y11" s="448">
        <v>0</v>
      </c>
      <c r="Z11" s="448">
        <f t="shared" si="7"/>
        <v>-2043.2</v>
      </c>
      <c r="AA11" s="401">
        <f t="shared" si="8"/>
        <v>-1445.5639999999999</v>
      </c>
      <c r="AB11" s="143"/>
      <c r="AC11" s="499"/>
      <c r="AD11" s="303"/>
      <c r="AE11" s="399"/>
      <c r="AF11" s="202"/>
      <c r="AG11" s="303"/>
      <c r="AH11" s="399"/>
      <c r="AI11" s="143"/>
      <c r="AJ11" s="125"/>
      <c r="AK11" s="125"/>
      <c r="AL11" s="125"/>
      <c r="AM11" s="125"/>
    </row>
    <row r="12" spans="1:39" ht="12.75" x14ac:dyDescent="0.2">
      <c r="A12" s="303">
        <f t="shared" ref="A12:B12" si="26">A11</f>
        <v>2554</v>
      </c>
      <c r="B12" s="303">
        <f t="shared" si="26"/>
        <v>2554</v>
      </c>
      <c r="C12" s="303">
        <v>10</v>
      </c>
      <c r="D12" s="143"/>
      <c r="E12" s="347">
        <f t="shared" si="10"/>
        <v>0.85000000000000031</v>
      </c>
      <c r="F12" s="347">
        <f t="shared" si="11"/>
        <v>0.77500000000000024</v>
      </c>
      <c r="G12" s="347">
        <f t="shared" si="12"/>
        <v>0.62500000000000022</v>
      </c>
      <c r="H12" s="448">
        <f t="shared" si="0"/>
        <v>-574.64999999999941</v>
      </c>
      <c r="I12" s="448">
        <v>0</v>
      </c>
      <c r="J12" s="448">
        <f t="shared" si="1"/>
        <v>-957.74999999999943</v>
      </c>
      <c r="K12" s="448">
        <f t="shared" si="2"/>
        <v>-632.11499999999933</v>
      </c>
      <c r="L12" s="143"/>
      <c r="M12" s="347">
        <f t="shared" si="13"/>
        <v>0.52500000000000013</v>
      </c>
      <c r="N12" s="347">
        <f t="shared" si="14"/>
        <v>0.89000000000000012</v>
      </c>
      <c r="O12" s="347">
        <f t="shared" si="15"/>
        <v>0.32500000000000001</v>
      </c>
      <c r="P12" s="448">
        <f t="shared" si="3"/>
        <v>-280.93999999999966</v>
      </c>
      <c r="Q12" s="448">
        <v>0</v>
      </c>
      <c r="R12" s="448">
        <f t="shared" si="4"/>
        <v>-1723.95</v>
      </c>
      <c r="S12" s="448">
        <f t="shared" si="5"/>
        <v>-966.36974999999961</v>
      </c>
      <c r="T12" s="143"/>
      <c r="U12" s="347">
        <f t="shared" si="16"/>
        <v>0.32500000000000001</v>
      </c>
      <c r="V12" s="347">
        <f t="shared" si="17"/>
        <v>0.9900000000000001</v>
      </c>
      <c r="W12" s="347">
        <f t="shared" si="18"/>
        <v>0.22499999999999998</v>
      </c>
      <c r="X12" s="448">
        <f t="shared" si="6"/>
        <v>-25.53999999999974</v>
      </c>
      <c r="Y12" s="448">
        <v>0</v>
      </c>
      <c r="Z12" s="448">
        <f t="shared" si="7"/>
        <v>-1979.3500000000001</v>
      </c>
      <c r="AA12" s="401">
        <f t="shared" si="8"/>
        <v>-1344.36175</v>
      </c>
      <c r="AB12" s="143"/>
      <c r="AC12" s="499"/>
      <c r="AD12" s="303"/>
      <c r="AE12" s="399"/>
      <c r="AF12" s="202"/>
      <c r="AG12" s="303"/>
      <c r="AH12" s="399"/>
      <c r="AI12" s="143"/>
      <c r="AJ12" s="125"/>
      <c r="AK12" s="125"/>
      <c r="AL12" s="125"/>
      <c r="AM12" s="125"/>
    </row>
    <row r="13" spans="1:39" ht="15.75" customHeight="1" x14ac:dyDescent="0.2">
      <c r="A13" s="303">
        <f t="shared" ref="A13:B13" si="27">A12</f>
        <v>2554</v>
      </c>
      <c r="B13" s="303">
        <f t="shared" si="27"/>
        <v>2554</v>
      </c>
      <c r="C13" s="303">
        <v>11</v>
      </c>
      <c r="D13" s="143"/>
      <c r="E13" s="347">
        <f t="shared" si="10"/>
        <v>0.90000000000000036</v>
      </c>
      <c r="F13" s="347">
        <f t="shared" si="11"/>
        <v>0.80000000000000027</v>
      </c>
      <c r="G13" s="347">
        <f t="shared" si="12"/>
        <v>0.65000000000000024</v>
      </c>
      <c r="H13" s="448">
        <f t="shared" si="0"/>
        <v>-510.79999999999933</v>
      </c>
      <c r="I13" s="448">
        <v>0</v>
      </c>
      <c r="J13" s="448">
        <f t="shared" si="1"/>
        <v>-893.89999999999941</v>
      </c>
      <c r="K13" s="448">
        <f t="shared" si="2"/>
        <v>-549.10999999999922</v>
      </c>
      <c r="L13" s="143"/>
      <c r="M13" s="347">
        <f t="shared" si="13"/>
        <v>0.55000000000000016</v>
      </c>
      <c r="N13" s="347">
        <f t="shared" si="14"/>
        <v>0.90000000000000013</v>
      </c>
      <c r="O13" s="347">
        <f t="shared" si="15"/>
        <v>0.35000000000000003</v>
      </c>
      <c r="P13" s="448">
        <f t="shared" si="3"/>
        <v>-255.39999999999966</v>
      </c>
      <c r="Q13" s="448">
        <v>0</v>
      </c>
      <c r="R13" s="448">
        <f t="shared" si="4"/>
        <v>-1660.0999999999997</v>
      </c>
      <c r="S13" s="448">
        <f t="shared" si="5"/>
        <v>-887.51499999999942</v>
      </c>
      <c r="T13" s="143"/>
      <c r="U13" s="347">
        <f t="shared" si="16"/>
        <v>0.35000000000000003</v>
      </c>
      <c r="V13" s="347">
        <f t="shared" si="17"/>
        <v>1</v>
      </c>
      <c r="W13" s="347">
        <f t="shared" si="18"/>
        <v>0.24999999999999997</v>
      </c>
      <c r="X13" s="448">
        <f t="shared" si="6"/>
        <v>0</v>
      </c>
      <c r="Y13" s="448">
        <v>0</v>
      </c>
      <c r="Z13" s="448">
        <f t="shared" si="7"/>
        <v>-1915.5</v>
      </c>
      <c r="AA13" s="401">
        <f t="shared" si="8"/>
        <v>-1245.0749999999998</v>
      </c>
      <c r="AB13" s="143"/>
      <c r="AC13" s="550"/>
      <c r="AD13" s="242"/>
      <c r="AE13" s="437"/>
      <c r="AF13" s="436"/>
      <c r="AG13" s="242"/>
      <c r="AH13" s="437"/>
      <c r="AI13" s="143"/>
      <c r="AJ13" s="125"/>
      <c r="AK13" s="125"/>
      <c r="AL13" s="125"/>
      <c r="AM13" s="125"/>
    </row>
    <row r="14" spans="1:39" ht="12.75" x14ac:dyDescent="0.2">
      <c r="A14" s="143"/>
      <c r="B14" s="143"/>
      <c r="C14" s="143"/>
      <c r="D14" s="143"/>
      <c r="E14" s="144"/>
      <c r="F14" s="144"/>
      <c r="G14" s="144"/>
      <c r="H14" s="144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</row>
    <row r="15" spans="1:39" ht="12.75" x14ac:dyDescent="0.2">
      <c r="A15" s="303"/>
      <c r="B15" s="303"/>
      <c r="C15" s="303"/>
      <c r="D15" s="143"/>
      <c r="I15" s="303"/>
      <c r="J15" s="303"/>
      <c r="K15" s="303"/>
      <c r="L15" s="143"/>
      <c r="M15" s="303"/>
      <c r="N15" s="303"/>
      <c r="O15" s="303"/>
      <c r="P15" s="303"/>
      <c r="Q15" s="303"/>
      <c r="R15" s="303"/>
      <c r="S15" s="303"/>
      <c r="T15" s="143"/>
      <c r="U15" s="303"/>
      <c r="V15" s="303"/>
      <c r="W15" s="303"/>
      <c r="X15" s="303"/>
      <c r="Y15" s="303"/>
      <c r="Z15" s="303"/>
      <c r="AA15" s="303"/>
      <c r="AB15" s="143"/>
      <c r="AF15" s="303"/>
      <c r="AG15" s="303"/>
      <c r="AH15" s="303"/>
      <c r="AI15" s="143"/>
      <c r="AJ15" s="125"/>
      <c r="AK15" s="125"/>
      <c r="AL15" s="125"/>
      <c r="AM15" s="125"/>
    </row>
    <row r="16" spans="1:39" ht="12.75" x14ac:dyDescent="0.2">
      <c r="A16" s="303"/>
      <c r="B16" s="303"/>
      <c r="C16" s="303"/>
      <c r="D16" s="143"/>
      <c r="E16" s="303" t="s">
        <v>470</v>
      </c>
      <c r="F16" s="303">
        <v>0.05</v>
      </c>
      <c r="G16" s="303" t="s">
        <v>471</v>
      </c>
      <c r="H16" s="303">
        <v>0.4</v>
      </c>
      <c r="I16" s="303"/>
      <c r="J16" s="303"/>
      <c r="K16" s="303"/>
      <c r="L16" s="143"/>
      <c r="M16" s="303" t="s">
        <v>471</v>
      </c>
      <c r="N16" s="303">
        <v>0.3</v>
      </c>
      <c r="O16" s="303" t="s">
        <v>470</v>
      </c>
      <c r="P16" s="303">
        <v>2.5000000000000001E-2</v>
      </c>
      <c r="S16" s="303"/>
      <c r="T16" s="143"/>
      <c r="U16" s="303" t="s">
        <v>471</v>
      </c>
      <c r="V16" s="303">
        <v>0.1</v>
      </c>
      <c r="W16" s="303" t="s">
        <v>470</v>
      </c>
      <c r="X16" s="303">
        <v>2.5000000000000001E-2</v>
      </c>
      <c r="AA16" s="303"/>
      <c r="AB16" s="143"/>
      <c r="AF16" s="303"/>
      <c r="AG16" s="303"/>
      <c r="AH16" s="303"/>
      <c r="AI16" s="143"/>
      <c r="AJ16" s="125"/>
      <c r="AK16" s="125"/>
      <c r="AL16" s="125"/>
      <c r="AM16" s="125"/>
    </row>
    <row r="17" spans="1:39" ht="12.75" x14ac:dyDescent="0.2">
      <c r="A17" s="303"/>
      <c r="B17" s="303"/>
      <c r="C17" s="303"/>
      <c r="D17" s="143"/>
      <c r="E17" s="303" t="s">
        <v>472</v>
      </c>
      <c r="F17" s="303">
        <v>2.5000000000000001E-2</v>
      </c>
      <c r="G17" s="303" t="s">
        <v>473</v>
      </c>
      <c r="H17" s="303">
        <v>0.55000000000000004</v>
      </c>
      <c r="I17" s="303"/>
      <c r="J17" s="303"/>
      <c r="K17" s="303"/>
      <c r="L17" s="143"/>
      <c r="M17" s="303" t="s">
        <v>474</v>
      </c>
      <c r="N17" s="303">
        <v>0.1</v>
      </c>
      <c r="O17" s="303" t="s">
        <v>475</v>
      </c>
      <c r="P17" s="303">
        <v>2.5000000000000001E-2</v>
      </c>
      <c r="S17" s="303"/>
      <c r="T17" s="143"/>
      <c r="U17" s="303" t="s">
        <v>474</v>
      </c>
      <c r="V17" s="303">
        <v>0</v>
      </c>
      <c r="W17" s="303" t="s">
        <v>475</v>
      </c>
      <c r="X17" s="303">
        <v>2.5000000000000001E-2</v>
      </c>
      <c r="AA17" s="303"/>
      <c r="AB17" s="143"/>
      <c r="AC17" s="303"/>
      <c r="AD17" s="303"/>
      <c r="AE17" s="303"/>
      <c r="AF17" s="303"/>
      <c r="AG17" s="303"/>
      <c r="AH17" s="303"/>
      <c r="AI17" s="143"/>
      <c r="AJ17" s="125"/>
      <c r="AK17" s="125"/>
      <c r="AL17" s="125"/>
      <c r="AM17" s="125"/>
    </row>
    <row r="18" spans="1:39" ht="12.75" x14ac:dyDescent="0.2">
      <c r="A18" s="303"/>
      <c r="B18" s="303"/>
      <c r="C18" s="303"/>
      <c r="D18" s="143"/>
      <c r="E18" s="303" t="s">
        <v>475</v>
      </c>
      <c r="F18" s="303">
        <v>2.5000000000000001E-2</v>
      </c>
      <c r="G18" s="303" t="s">
        <v>474</v>
      </c>
      <c r="H18" s="303">
        <v>0.4</v>
      </c>
      <c r="I18" s="303"/>
      <c r="J18" s="303"/>
      <c r="K18" s="303"/>
      <c r="L18" s="143"/>
      <c r="M18" s="303" t="s">
        <v>473</v>
      </c>
      <c r="N18" s="303">
        <v>0.8</v>
      </c>
      <c r="O18" s="303" t="s">
        <v>472</v>
      </c>
      <c r="P18" s="303">
        <v>0.01</v>
      </c>
      <c r="S18" s="303"/>
      <c r="T18" s="143"/>
      <c r="U18" s="303" t="s">
        <v>473</v>
      </c>
      <c r="V18" s="303">
        <v>0.9</v>
      </c>
      <c r="W18" s="303" t="s">
        <v>472</v>
      </c>
      <c r="X18" s="303">
        <v>0.01</v>
      </c>
      <c r="AA18" s="303"/>
      <c r="AB18" s="143"/>
      <c r="AC18" s="303"/>
      <c r="AD18" s="303"/>
      <c r="AE18" s="303"/>
      <c r="AF18" s="303"/>
      <c r="AG18" s="303"/>
      <c r="AH18" s="303"/>
      <c r="AI18" s="143"/>
      <c r="AJ18" s="125"/>
      <c r="AK18" s="125"/>
      <c r="AL18" s="125"/>
      <c r="AM18" s="125"/>
    </row>
    <row r="19" spans="1:39" ht="12.75" x14ac:dyDescent="0.2">
      <c r="A19" s="303"/>
      <c r="B19" s="303"/>
      <c r="C19" s="303"/>
      <c r="D19" s="143"/>
      <c r="E19" s="303"/>
      <c r="F19" s="303"/>
      <c r="G19" s="303"/>
      <c r="H19" s="303"/>
      <c r="I19" s="303"/>
      <c r="J19" s="303"/>
      <c r="K19" s="303"/>
      <c r="L19" s="143"/>
      <c r="M19" s="303"/>
      <c r="N19" s="303"/>
      <c r="O19" s="303"/>
      <c r="P19" s="303"/>
      <c r="Q19" s="303"/>
      <c r="R19" s="303"/>
      <c r="S19" s="303"/>
      <c r="T19" s="143"/>
      <c r="U19" s="303"/>
      <c r="V19" s="303"/>
      <c r="W19" s="303"/>
      <c r="X19" s="303"/>
      <c r="Y19" s="303"/>
      <c r="Z19" s="303"/>
      <c r="AA19" s="303"/>
      <c r="AB19" s="143"/>
      <c r="AC19" s="303"/>
      <c r="AD19" s="303"/>
      <c r="AE19" s="629" t="s">
        <v>18</v>
      </c>
      <c r="AF19" s="558"/>
      <c r="AG19" s="558"/>
      <c r="AI19" s="143"/>
      <c r="AJ19" s="125"/>
      <c r="AK19" s="125"/>
      <c r="AL19" s="125"/>
      <c r="AM19" s="125"/>
    </row>
    <row r="20" spans="1:39" ht="12.75" x14ac:dyDescent="0.2">
      <c r="A20" s="303"/>
      <c r="B20" s="303"/>
      <c r="C20" s="303"/>
      <c r="D20" s="143"/>
      <c r="E20" s="303"/>
      <c r="F20" s="303"/>
      <c r="G20" s="303"/>
      <c r="H20" s="303"/>
      <c r="I20" s="303"/>
      <c r="J20" s="303"/>
      <c r="K20" s="303"/>
      <c r="L20" s="143"/>
      <c r="M20" s="303"/>
      <c r="N20" s="303"/>
      <c r="O20" s="303"/>
      <c r="P20" s="303"/>
      <c r="Q20" s="303"/>
      <c r="R20" s="303"/>
      <c r="S20" s="303"/>
      <c r="T20" s="143"/>
      <c r="U20" s="303"/>
      <c r="V20" s="303"/>
      <c r="W20" s="303"/>
      <c r="X20" s="303"/>
      <c r="Y20" s="303"/>
      <c r="Z20" s="303"/>
      <c r="AA20" s="303"/>
      <c r="AB20" s="143"/>
      <c r="AC20" s="303" t="s">
        <v>476</v>
      </c>
      <c r="AD20" s="303" t="s">
        <v>477</v>
      </c>
      <c r="AE20" s="303" t="s">
        <v>3</v>
      </c>
      <c r="AF20" s="303" t="s">
        <v>348</v>
      </c>
      <c r="AG20" s="303" t="s">
        <v>349</v>
      </c>
      <c r="AI20" s="143"/>
      <c r="AJ20" s="125"/>
      <c r="AK20" s="125"/>
      <c r="AL20" s="125"/>
      <c r="AM20" s="125"/>
    </row>
    <row r="21" spans="1:39" ht="12.75" x14ac:dyDescent="0.2">
      <c r="A21" s="303"/>
      <c r="B21" s="303"/>
      <c r="C21" s="303"/>
      <c r="D21" s="143"/>
      <c r="E21" s="303"/>
      <c r="F21" s="303"/>
      <c r="G21" s="303"/>
      <c r="H21" s="303"/>
      <c r="I21" s="303"/>
      <c r="J21" s="303"/>
      <c r="K21" s="303"/>
      <c r="L21" s="143"/>
      <c r="M21" s="303"/>
      <c r="N21" s="303"/>
      <c r="O21" s="303"/>
      <c r="P21" s="303"/>
      <c r="Q21" s="303"/>
      <c r="R21" s="303"/>
      <c r="S21" s="303"/>
      <c r="T21" s="143"/>
      <c r="U21" s="303"/>
      <c r="V21" s="303"/>
      <c r="W21" s="303"/>
      <c r="X21" s="303"/>
      <c r="Y21" s="303"/>
      <c r="Z21" s="303"/>
      <c r="AA21" s="303"/>
      <c r="AB21" s="143"/>
      <c r="AC21" s="303">
        <v>2554</v>
      </c>
      <c r="AD21" s="303">
        <f>AC21*5</f>
        <v>12770</v>
      </c>
      <c r="AE21" s="303">
        <v>1</v>
      </c>
      <c r="AF21" s="347">
        <f>VLOOKUP($AE$21,$C$3:$AA$13,6,FALSE)*-1/AD21</f>
        <v>0.09</v>
      </c>
      <c r="AG21" s="347">
        <f>VLOOKUP($AE$21,$C$3:$AA$13,8,FALSE)*-1/AD21</f>
        <v>0.12</v>
      </c>
      <c r="AI21" s="143"/>
      <c r="AJ21" s="125"/>
      <c r="AK21" s="125"/>
      <c r="AL21" s="125"/>
      <c r="AM21" s="125"/>
    </row>
    <row r="22" spans="1:39" ht="12.75" x14ac:dyDescent="0.2">
      <c r="A22" s="303"/>
      <c r="B22" s="303"/>
      <c r="C22" s="303"/>
      <c r="D22" s="143"/>
      <c r="E22" s="303"/>
      <c r="F22" s="303"/>
      <c r="G22" s="303"/>
      <c r="H22" s="303"/>
      <c r="I22" s="303"/>
      <c r="J22" s="303"/>
      <c r="K22" s="303"/>
      <c r="L22" s="143"/>
      <c r="M22" s="303"/>
      <c r="N22" s="303"/>
      <c r="O22" s="303"/>
      <c r="P22" s="303"/>
      <c r="Q22" s="303"/>
      <c r="R22" s="303"/>
      <c r="S22" s="303"/>
      <c r="T22" s="143"/>
      <c r="U22" s="303"/>
      <c r="V22" s="303"/>
      <c r="W22" s="303"/>
      <c r="X22" s="303"/>
      <c r="Y22" s="303"/>
      <c r="Z22" s="303"/>
      <c r="AA22" s="303"/>
      <c r="AB22" s="143"/>
      <c r="AC22" s="303"/>
      <c r="AD22" s="303"/>
      <c r="AE22" s="629" t="s">
        <v>20</v>
      </c>
      <c r="AF22" s="558"/>
      <c r="AG22" s="558"/>
      <c r="AI22" s="143"/>
      <c r="AJ22" s="125"/>
      <c r="AK22" s="125"/>
      <c r="AL22" s="125"/>
      <c r="AM22" s="125"/>
    </row>
    <row r="23" spans="1:39" ht="12.75" x14ac:dyDescent="0.2">
      <c r="A23" s="303"/>
      <c r="B23" s="303"/>
      <c r="C23" s="303"/>
      <c r="D23" s="143"/>
      <c r="E23" s="303"/>
      <c r="F23" s="303"/>
      <c r="G23" s="303"/>
      <c r="H23" s="303"/>
      <c r="I23" s="303"/>
      <c r="J23" s="303"/>
      <c r="K23" s="303"/>
      <c r="L23" s="143"/>
      <c r="M23" s="303"/>
      <c r="N23" s="303"/>
      <c r="O23" s="303"/>
      <c r="P23" s="303"/>
      <c r="Q23" s="303"/>
      <c r="R23" s="303"/>
      <c r="S23" s="303"/>
      <c r="T23" s="143"/>
      <c r="U23" s="303"/>
      <c r="V23" s="303"/>
      <c r="W23" s="303"/>
      <c r="X23" s="303"/>
      <c r="Y23" s="303"/>
      <c r="Z23" s="303"/>
      <c r="AA23" s="303"/>
      <c r="AB23" s="143"/>
      <c r="AC23" s="303"/>
      <c r="AD23" s="303"/>
      <c r="AE23" s="303" t="s">
        <v>3</v>
      </c>
      <c r="AF23" s="303" t="s">
        <v>348</v>
      </c>
      <c r="AG23" s="303" t="s">
        <v>349</v>
      </c>
      <c r="AI23" s="143"/>
      <c r="AJ23" s="125"/>
      <c r="AK23" s="125"/>
      <c r="AL23" s="125"/>
      <c r="AM23" s="125"/>
    </row>
    <row r="24" spans="1:39" ht="12.75" x14ac:dyDescent="0.2">
      <c r="A24" s="303"/>
      <c r="B24" s="303"/>
      <c r="C24" s="303"/>
      <c r="D24" s="143"/>
      <c r="E24" s="303"/>
      <c r="F24" s="303"/>
      <c r="G24" s="303"/>
      <c r="H24" s="303"/>
      <c r="I24" s="303"/>
      <c r="J24" s="303"/>
      <c r="K24" s="303"/>
      <c r="L24" s="143"/>
      <c r="M24" s="303"/>
      <c r="N24" s="303"/>
      <c r="O24" s="303"/>
      <c r="P24" s="303"/>
      <c r="Q24" s="303"/>
      <c r="R24" s="303"/>
      <c r="S24" s="303"/>
      <c r="T24" s="143"/>
      <c r="U24" s="303"/>
      <c r="V24" s="303"/>
      <c r="W24" s="303"/>
      <c r="X24" s="303"/>
      <c r="Y24" s="303"/>
      <c r="Z24" s="303"/>
      <c r="AA24" s="303"/>
      <c r="AB24" s="143"/>
      <c r="AC24" s="303"/>
      <c r="AD24" s="303"/>
      <c r="AE24" s="303">
        <v>1</v>
      </c>
      <c r="AF24" s="347">
        <f>VLOOKUP($AE$24,$C$3:$AA$13,14,FALSE)*-1/AD21</f>
        <v>3.9999999999999994E-2</v>
      </c>
      <c r="AG24" s="347">
        <f>VLOOKUP($AE$24,$C$3:$AA$13,16,FALSE)*-1/AD21</f>
        <v>0.18</v>
      </c>
      <c r="AH24" s="303"/>
      <c r="AI24" s="143"/>
      <c r="AJ24" s="125"/>
      <c r="AK24" s="125"/>
      <c r="AL24" s="125"/>
      <c r="AM24" s="125"/>
    </row>
    <row r="25" spans="1:39" ht="12.75" x14ac:dyDescent="0.2">
      <c r="A25" s="303"/>
      <c r="B25" s="303"/>
      <c r="C25" s="303"/>
      <c r="D25" s="143"/>
      <c r="E25" s="303"/>
      <c r="F25" s="303"/>
      <c r="G25" s="303"/>
      <c r="H25" s="303"/>
      <c r="I25" s="303"/>
      <c r="J25" s="303"/>
      <c r="K25" s="303"/>
      <c r="L25" s="143"/>
      <c r="M25" s="303"/>
      <c r="N25" s="303"/>
      <c r="O25" s="303"/>
      <c r="P25" s="303"/>
      <c r="Q25" s="303"/>
      <c r="R25" s="303"/>
      <c r="S25" s="303"/>
      <c r="T25" s="143"/>
      <c r="U25" s="303"/>
      <c r="V25" s="303"/>
      <c r="W25" s="303"/>
      <c r="X25" s="303"/>
      <c r="Y25" s="303"/>
      <c r="Z25" s="303"/>
      <c r="AA25" s="303"/>
      <c r="AB25" s="143"/>
      <c r="AC25" s="303"/>
      <c r="AD25" s="303"/>
      <c r="AE25" s="629" t="s">
        <v>22</v>
      </c>
      <c r="AF25" s="558"/>
      <c r="AG25" s="558"/>
      <c r="AH25" s="303"/>
      <c r="AI25" s="143"/>
      <c r="AJ25" s="125"/>
      <c r="AK25" s="125"/>
      <c r="AL25" s="125"/>
      <c r="AM25" s="125"/>
    </row>
    <row r="26" spans="1:39" ht="12.75" x14ac:dyDescent="0.2">
      <c r="A26" s="303"/>
      <c r="B26" s="303"/>
      <c r="C26" s="303"/>
      <c r="D26" s="143"/>
      <c r="E26" s="303"/>
      <c r="F26" s="303"/>
      <c r="G26" s="303"/>
      <c r="H26" s="303"/>
      <c r="I26" s="303"/>
      <c r="J26" s="303"/>
      <c r="K26" s="303"/>
      <c r="L26" s="143"/>
      <c r="M26" s="303"/>
      <c r="N26" s="303"/>
      <c r="O26" s="303"/>
      <c r="P26" s="303"/>
      <c r="Q26" s="303"/>
      <c r="R26" s="303"/>
      <c r="S26" s="303"/>
      <c r="T26" s="143"/>
      <c r="U26" s="303"/>
      <c r="V26" s="303"/>
      <c r="W26" s="303"/>
      <c r="X26" s="303"/>
      <c r="Y26" s="303"/>
      <c r="Z26" s="303"/>
      <c r="AA26" s="303"/>
      <c r="AB26" s="143"/>
      <c r="AC26" s="303"/>
      <c r="AD26" s="303"/>
      <c r="AE26" s="303" t="s">
        <v>3</v>
      </c>
      <c r="AF26" s="303" t="s">
        <v>348</v>
      </c>
      <c r="AG26" s="303" t="s">
        <v>349</v>
      </c>
      <c r="AH26" s="303"/>
      <c r="AI26" s="143"/>
      <c r="AJ26" s="125"/>
      <c r="AK26" s="125"/>
      <c r="AL26" s="125"/>
      <c r="AM26" s="125"/>
    </row>
    <row r="27" spans="1:39" ht="12.75" x14ac:dyDescent="0.2">
      <c r="A27" s="303"/>
      <c r="B27" s="303"/>
      <c r="C27" s="303"/>
      <c r="D27" s="143"/>
      <c r="E27" s="303"/>
      <c r="F27" s="303"/>
      <c r="G27" s="303"/>
      <c r="H27" s="303"/>
      <c r="I27" s="303"/>
      <c r="J27" s="303"/>
      <c r="K27" s="303"/>
      <c r="L27" s="143"/>
      <c r="M27" s="303"/>
      <c r="N27" s="303"/>
      <c r="O27" s="303"/>
      <c r="P27" s="303"/>
      <c r="Q27" s="303"/>
      <c r="R27" s="303"/>
      <c r="S27" s="303"/>
      <c r="T27" s="143"/>
      <c r="U27" s="303"/>
      <c r="V27" s="303"/>
      <c r="W27" s="303"/>
      <c r="X27" s="303"/>
      <c r="Y27" s="303"/>
      <c r="Z27" s="303"/>
      <c r="AA27" s="303"/>
      <c r="AB27" s="143"/>
      <c r="AC27" s="303"/>
      <c r="AD27" s="303"/>
      <c r="AE27" s="303">
        <v>1</v>
      </c>
      <c r="AF27" s="347">
        <f>VLOOKUP($AE$27,$C$3:$AA$13,22,FALSE)*-1/AD21</f>
        <v>1.9999999999999997E-2</v>
      </c>
      <c r="AG27" s="347">
        <f>VLOOKUP($AE$27,$C$3:$AA$13,24,FALSE)*-1/AD21</f>
        <v>0.2</v>
      </c>
      <c r="AH27" s="303"/>
      <c r="AI27" s="143"/>
      <c r="AJ27" s="125"/>
      <c r="AK27" s="125"/>
      <c r="AL27" s="125"/>
      <c r="AM27" s="125"/>
    </row>
    <row r="28" spans="1:39" ht="12.75" x14ac:dyDescent="0.2">
      <c r="A28" s="303"/>
      <c r="B28" s="303"/>
      <c r="C28" s="303"/>
      <c r="D28" s="143"/>
      <c r="E28" s="303"/>
      <c r="F28" s="303"/>
      <c r="G28" s="303"/>
      <c r="H28" s="303"/>
      <c r="I28" s="303"/>
      <c r="J28" s="303"/>
      <c r="K28" s="303"/>
      <c r="L28" s="143"/>
      <c r="M28" s="303"/>
      <c r="N28" s="303"/>
      <c r="O28" s="303"/>
      <c r="P28" s="303"/>
      <c r="Q28" s="303"/>
      <c r="R28" s="303"/>
      <c r="S28" s="303"/>
      <c r="T28" s="143"/>
      <c r="U28" s="303"/>
      <c r="V28" s="303"/>
      <c r="W28" s="303"/>
      <c r="X28" s="303"/>
      <c r="Y28" s="303"/>
      <c r="Z28" s="303"/>
      <c r="AA28" s="303"/>
      <c r="AB28" s="143"/>
      <c r="AC28" s="303"/>
      <c r="AD28" s="303"/>
      <c r="AE28" s="347"/>
      <c r="AF28" s="347"/>
      <c r="AG28" s="303"/>
      <c r="AH28" s="303"/>
      <c r="AI28" s="143"/>
      <c r="AJ28" s="125"/>
      <c r="AK28" s="125"/>
      <c r="AL28" s="125"/>
      <c r="AM28" s="125"/>
    </row>
    <row r="29" spans="1:39" ht="12.75" x14ac:dyDescent="0.2">
      <c r="A29" s="303"/>
      <c r="B29" s="303"/>
      <c r="C29" s="303"/>
      <c r="D29" s="143"/>
      <c r="E29" s="303"/>
      <c r="F29" s="303"/>
      <c r="G29" s="303"/>
      <c r="H29" s="303"/>
      <c r="I29" s="303"/>
      <c r="J29" s="303"/>
      <c r="K29" s="303"/>
      <c r="L29" s="143"/>
      <c r="M29" s="303"/>
      <c r="N29" s="303"/>
      <c r="O29" s="303"/>
      <c r="P29" s="303"/>
      <c r="Q29" s="303"/>
      <c r="R29" s="303"/>
      <c r="S29" s="303"/>
      <c r="T29" s="143"/>
      <c r="U29" s="303"/>
      <c r="V29" s="303"/>
      <c r="W29" s="303"/>
      <c r="X29" s="303"/>
      <c r="Y29" s="303"/>
      <c r="Z29" s="303"/>
      <c r="AA29" s="303"/>
      <c r="AB29" s="143"/>
      <c r="AC29" s="303"/>
      <c r="AD29" s="303"/>
      <c r="AE29" s="629" t="s">
        <v>18</v>
      </c>
      <c r="AF29" s="558"/>
      <c r="AG29" s="558"/>
      <c r="AH29" s="303"/>
      <c r="AI29" s="143"/>
      <c r="AJ29" s="125"/>
      <c r="AK29" s="125"/>
      <c r="AL29" s="125"/>
      <c r="AM29" s="125"/>
    </row>
    <row r="30" spans="1:39" ht="12.75" x14ac:dyDescent="0.2">
      <c r="A30" s="303"/>
      <c r="B30" s="303"/>
      <c r="C30" s="303"/>
      <c r="D30" s="143"/>
      <c r="E30" s="303"/>
      <c r="F30" s="303"/>
      <c r="G30" s="303"/>
      <c r="H30" s="303"/>
      <c r="I30" s="303"/>
      <c r="J30" s="303"/>
      <c r="K30" s="303"/>
      <c r="L30" s="143"/>
      <c r="M30" s="303"/>
      <c r="N30" s="303"/>
      <c r="O30" s="303"/>
      <c r="P30" s="303"/>
      <c r="Q30" s="303"/>
      <c r="R30" s="303"/>
      <c r="S30" s="303"/>
      <c r="T30" s="143"/>
      <c r="U30" s="303"/>
      <c r="V30" s="303"/>
      <c r="W30" s="303"/>
      <c r="X30" s="303"/>
      <c r="Y30" s="303"/>
      <c r="Z30" s="303"/>
      <c r="AA30" s="303"/>
      <c r="AB30" s="143"/>
      <c r="AC30" s="303"/>
      <c r="AD30" s="303"/>
      <c r="AE30" s="303" t="s">
        <v>3</v>
      </c>
      <c r="AF30" s="303" t="s">
        <v>348</v>
      </c>
      <c r="AG30" s="303" t="s">
        <v>349</v>
      </c>
      <c r="AH30" s="303"/>
      <c r="AI30" s="143"/>
      <c r="AJ30" s="125"/>
      <c r="AK30" s="125"/>
      <c r="AL30" s="125"/>
      <c r="AM30" s="125"/>
    </row>
    <row r="31" spans="1:39" ht="12.75" x14ac:dyDescent="0.2">
      <c r="A31" s="303"/>
      <c r="B31" s="303"/>
      <c r="C31" s="303"/>
      <c r="D31" s="143"/>
      <c r="E31" s="303"/>
      <c r="F31" s="303"/>
      <c r="G31" s="303"/>
      <c r="H31" s="303"/>
      <c r="I31" s="303"/>
      <c r="J31" s="303"/>
      <c r="K31" s="303"/>
      <c r="L31" s="143"/>
      <c r="M31" s="303"/>
      <c r="N31" s="303"/>
      <c r="O31" s="303"/>
      <c r="P31" s="303"/>
      <c r="Q31" s="303"/>
      <c r="R31" s="303"/>
      <c r="S31" s="303"/>
      <c r="T31" s="143"/>
      <c r="U31" s="303"/>
      <c r="V31" s="303"/>
      <c r="W31" s="303"/>
      <c r="X31" s="303"/>
      <c r="Y31" s="303"/>
      <c r="Z31" s="303"/>
      <c r="AA31" s="303"/>
      <c r="AB31" s="143"/>
      <c r="AC31" s="303"/>
      <c r="AD31" s="303"/>
      <c r="AE31" s="303">
        <v>11</v>
      </c>
      <c r="AF31" s="347">
        <f>VLOOKUP($AE$31,$C$3:$AA$13,6,FALSE)*-1/AD21</f>
        <v>3.9999999999999945E-2</v>
      </c>
      <c r="AG31" s="347">
        <f>VLOOKUP($AE$31,$C$3:$AA$13,8,FALSE)*-1/AD21</f>
        <v>6.9999999999999951E-2</v>
      </c>
      <c r="AH31" s="303"/>
      <c r="AI31" s="143"/>
      <c r="AJ31" s="125"/>
      <c r="AK31" s="125"/>
      <c r="AL31" s="125"/>
      <c r="AM31" s="125"/>
    </row>
    <row r="32" spans="1:39" ht="12.75" x14ac:dyDescent="0.2">
      <c r="A32" s="303"/>
      <c r="B32" s="303"/>
      <c r="C32" s="303"/>
      <c r="D32" s="143"/>
      <c r="E32" s="303"/>
      <c r="F32" s="303"/>
      <c r="G32" s="303"/>
      <c r="H32" s="303"/>
      <c r="I32" s="303"/>
      <c r="J32" s="303"/>
      <c r="K32" s="303"/>
      <c r="L32" s="143"/>
      <c r="M32" s="303"/>
      <c r="N32" s="303"/>
      <c r="O32" s="303"/>
      <c r="P32" s="303"/>
      <c r="Q32" s="303"/>
      <c r="R32" s="303"/>
      <c r="S32" s="303"/>
      <c r="T32" s="143"/>
      <c r="U32" s="303"/>
      <c r="V32" s="303"/>
      <c r="W32" s="303"/>
      <c r="X32" s="303"/>
      <c r="Y32" s="303"/>
      <c r="Z32" s="303"/>
      <c r="AA32" s="303"/>
      <c r="AB32" s="143"/>
      <c r="AC32" s="303"/>
      <c r="AD32" s="303"/>
      <c r="AE32" s="629" t="s">
        <v>20</v>
      </c>
      <c r="AF32" s="558"/>
      <c r="AG32" s="558"/>
      <c r="AH32" s="303"/>
      <c r="AI32" s="143"/>
      <c r="AJ32" s="125"/>
      <c r="AK32" s="125"/>
      <c r="AL32" s="125"/>
      <c r="AM32" s="125"/>
    </row>
    <row r="33" spans="1:39" ht="12.75" x14ac:dyDescent="0.2">
      <c r="A33" s="303"/>
      <c r="B33" s="303"/>
      <c r="C33" s="303"/>
      <c r="D33" s="143"/>
      <c r="E33" s="303"/>
      <c r="F33" s="303"/>
      <c r="G33" s="303"/>
      <c r="H33" s="303"/>
      <c r="I33" s="303"/>
      <c r="J33" s="303"/>
      <c r="K33" s="303"/>
      <c r="L33" s="143"/>
      <c r="M33" s="303"/>
      <c r="N33" s="303"/>
      <c r="O33" s="303"/>
      <c r="P33" s="303"/>
      <c r="Q33" s="303"/>
      <c r="R33" s="303"/>
      <c r="S33" s="303"/>
      <c r="T33" s="143"/>
      <c r="U33" s="303"/>
      <c r="V33" s="303"/>
      <c r="W33" s="303"/>
      <c r="X33" s="303"/>
      <c r="Y33" s="303"/>
      <c r="Z33" s="303"/>
      <c r="AA33" s="303"/>
      <c r="AB33" s="143"/>
      <c r="AC33" s="303"/>
      <c r="AD33" s="303"/>
      <c r="AE33" s="303" t="s">
        <v>3</v>
      </c>
      <c r="AF33" s="303" t="s">
        <v>348</v>
      </c>
      <c r="AG33" s="303" t="s">
        <v>349</v>
      </c>
      <c r="AH33" s="303"/>
      <c r="AI33" s="143"/>
      <c r="AJ33" s="125"/>
      <c r="AK33" s="125"/>
      <c r="AL33" s="125"/>
      <c r="AM33" s="125"/>
    </row>
    <row r="34" spans="1:39" ht="12.75" x14ac:dyDescent="0.2">
      <c r="A34" s="303"/>
      <c r="B34" s="303"/>
      <c r="C34" s="303"/>
      <c r="D34" s="143"/>
      <c r="E34" s="303"/>
      <c r="F34" s="303"/>
      <c r="G34" s="303"/>
      <c r="H34" s="303"/>
      <c r="I34" s="303"/>
      <c r="J34" s="303"/>
      <c r="K34" s="303"/>
      <c r="L34" s="143"/>
      <c r="M34" s="303"/>
      <c r="N34" s="303"/>
      <c r="O34" s="303"/>
      <c r="P34" s="303"/>
      <c r="Q34" s="303"/>
      <c r="R34" s="303"/>
      <c r="S34" s="303"/>
      <c r="T34" s="143"/>
      <c r="U34" s="303"/>
      <c r="V34" s="303"/>
      <c r="W34" s="303"/>
      <c r="X34" s="303"/>
      <c r="Y34" s="303"/>
      <c r="Z34" s="303"/>
      <c r="AA34" s="303"/>
      <c r="AB34" s="143"/>
      <c r="AC34" s="303"/>
      <c r="AD34" s="303"/>
      <c r="AE34" s="303">
        <v>11</v>
      </c>
      <c r="AF34" s="347">
        <f>VLOOKUP($AE$34,$C$3:$AA$13,14,FALSE)*-1/AD21</f>
        <v>1.9999999999999973E-2</v>
      </c>
      <c r="AG34" s="347">
        <f>VLOOKUP($AE$34,$C$3:$AA$13,16,FALSE)*-1/AD21</f>
        <v>0.12999999999999998</v>
      </c>
      <c r="AH34" s="303"/>
      <c r="AI34" s="143"/>
      <c r="AJ34" s="125"/>
      <c r="AK34" s="125"/>
      <c r="AL34" s="125"/>
      <c r="AM34" s="125"/>
    </row>
    <row r="35" spans="1:39" ht="12.75" x14ac:dyDescent="0.2">
      <c r="A35" s="303"/>
      <c r="B35" s="303"/>
      <c r="C35" s="303"/>
      <c r="D35" s="143"/>
      <c r="E35" s="303"/>
      <c r="F35" s="303"/>
      <c r="G35" s="303"/>
      <c r="H35" s="303"/>
      <c r="I35" s="303"/>
      <c r="J35" s="303"/>
      <c r="K35" s="303"/>
      <c r="L35" s="143"/>
      <c r="M35" s="303"/>
      <c r="N35" s="303"/>
      <c r="O35" s="303"/>
      <c r="P35" s="303"/>
      <c r="Q35" s="303"/>
      <c r="R35" s="303"/>
      <c r="S35" s="303"/>
      <c r="T35" s="143"/>
      <c r="U35" s="303"/>
      <c r="V35" s="303"/>
      <c r="W35" s="303"/>
      <c r="X35" s="303"/>
      <c r="Y35" s="303"/>
      <c r="Z35" s="303"/>
      <c r="AA35" s="303"/>
      <c r="AB35" s="143"/>
      <c r="AC35" s="303"/>
      <c r="AD35" s="303"/>
      <c r="AE35" s="629" t="s">
        <v>22</v>
      </c>
      <c r="AF35" s="558"/>
      <c r="AG35" s="558"/>
      <c r="AH35" s="303"/>
      <c r="AI35" s="143"/>
      <c r="AJ35" s="125"/>
      <c r="AK35" s="125"/>
      <c r="AL35" s="125"/>
      <c r="AM35" s="125"/>
    </row>
    <row r="36" spans="1:39" ht="12.75" x14ac:dyDescent="0.2">
      <c r="A36" s="303"/>
      <c r="B36" s="303"/>
      <c r="C36" s="303"/>
      <c r="D36" s="143"/>
      <c r="E36" s="303"/>
      <c r="F36" s="303"/>
      <c r="G36" s="303"/>
      <c r="H36" s="303"/>
      <c r="I36" s="303"/>
      <c r="J36" s="303"/>
      <c r="K36" s="303"/>
      <c r="L36" s="143"/>
      <c r="M36" s="303"/>
      <c r="N36" s="303"/>
      <c r="O36" s="303"/>
      <c r="P36" s="303"/>
      <c r="Q36" s="303"/>
      <c r="R36" s="303"/>
      <c r="S36" s="303"/>
      <c r="T36" s="143"/>
      <c r="U36" s="303"/>
      <c r="V36" s="303"/>
      <c r="W36" s="303"/>
      <c r="X36" s="303"/>
      <c r="Y36" s="303"/>
      <c r="Z36" s="303"/>
      <c r="AA36" s="303"/>
      <c r="AB36" s="143"/>
      <c r="AC36" s="303"/>
      <c r="AD36" s="303"/>
      <c r="AE36" s="303" t="s">
        <v>3</v>
      </c>
      <c r="AF36" s="303" t="s">
        <v>348</v>
      </c>
      <c r="AG36" s="303" t="s">
        <v>349</v>
      </c>
      <c r="AH36" s="303"/>
      <c r="AI36" s="143"/>
      <c r="AJ36" s="125"/>
      <c r="AK36" s="125"/>
      <c r="AL36" s="125"/>
      <c r="AM36" s="125"/>
    </row>
    <row r="37" spans="1:39" ht="12.75" x14ac:dyDescent="0.2">
      <c r="A37" s="303"/>
      <c r="B37" s="303"/>
      <c r="C37" s="303"/>
      <c r="D37" s="143"/>
      <c r="E37" s="303"/>
      <c r="F37" s="303"/>
      <c r="G37" s="303"/>
      <c r="H37" s="303"/>
      <c r="I37" s="303"/>
      <c r="J37" s="303"/>
      <c r="K37" s="303"/>
      <c r="L37" s="143"/>
      <c r="M37" s="303"/>
      <c r="N37" s="303"/>
      <c r="O37" s="303"/>
      <c r="P37" s="303"/>
      <c r="Q37" s="303"/>
      <c r="R37" s="303"/>
      <c r="S37" s="303"/>
      <c r="T37" s="143"/>
      <c r="U37" s="303"/>
      <c r="V37" s="303"/>
      <c r="W37" s="303"/>
      <c r="X37" s="303"/>
      <c r="Y37" s="303"/>
      <c r="Z37" s="303"/>
      <c r="AA37" s="303"/>
      <c r="AB37" s="143"/>
      <c r="AC37" s="303"/>
      <c r="AD37" s="303"/>
      <c r="AE37" s="303">
        <v>11</v>
      </c>
      <c r="AF37" s="347">
        <f>VLOOKUP($AE$37,$C$3:$AA$13,22,FALSE)*-1/AD21</f>
        <v>0</v>
      </c>
      <c r="AG37" s="347">
        <f>VLOOKUP($AE$37,$C$3:$AA$13,24,FALSE)*-1/AD21</f>
        <v>0.15</v>
      </c>
      <c r="AH37" s="303"/>
      <c r="AI37" s="143"/>
      <c r="AJ37" s="125"/>
      <c r="AK37" s="125"/>
      <c r="AL37" s="125"/>
      <c r="AM37" s="125"/>
    </row>
    <row r="38" spans="1:39" ht="12.75" x14ac:dyDescent="0.2">
      <c r="A38" s="303"/>
      <c r="B38" s="303"/>
      <c r="C38" s="303"/>
      <c r="D38" s="143"/>
      <c r="E38" s="303"/>
      <c r="F38" s="303"/>
      <c r="G38" s="303"/>
      <c r="H38" s="303"/>
      <c r="I38" s="303"/>
      <c r="J38" s="303"/>
      <c r="K38" s="303"/>
      <c r="L38" s="143"/>
      <c r="M38" s="303"/>
      <c r="N38" s="303"/>
      <c r="O38" s="303"/>
      <c r="P38" s="303"/>
      <c r="Q38" s="303"/>
      <c r="R38" s="303"/>
      <c r="S38" s="303"/>
      <c r="T38" s="143"/>
      <c r="U38" s="303"/>
      <c r="V38" s="303"/>
      <c r="W38" s="303"/>
      <c r="X38" s="303"/>
      <c r="Y38" s="303"/>
      <c r="Z38" s="303"/>
      <c r="AA38" s="303"/>
      <c r="AB38" s="143"/>
      <c r="AC38" s="303"/>
      <c r="AD38" s="303"/>
      <c r="AE38" s="303"/>
      <c r="AF38" s="303"/>
      <c r="AG38" s="303"/>
      <c r="AH38" s="303"/>
      <c r="AI38" s="143"/>
      <c r="AJ38" s="125"/>
      <c r="AK38" s="125"/>
      <c r="AL38" s="125"/>
      <c r="AM38" s="125"/>
    </row>
    <row r="39" spans="1:39" ht="12.75" x14ac:dyDescent="0.2">
      <c r="A39" s="303"/>
      <c r="B39" s="303"/>
      <c r="C39" s="303"/>
      <c r="D39" s="143"/>
      <c r="E39" s="303"/>
      <c r="F39" s="303"/>
      <c r="G39" s="303"/>
      <c r="H39" s="303"/>
      <c r="I39" s="303"/>
      <c r="J39" s="303"/>
      <c r="K39" s="303"/>
      <c r="L39" s="143"/>
      <c r="M39" s="303"/>
      <c r="N39" s="303"/>
      <c r="O39" s="303"/>
      <c r="P39" s="303"/>
      <c r="Q39" s="303"/>
      <c r="R39" s="303"/>
      <c r="S39" s="303"/>
      <c r="T39" s="143"/>
      <c r="U39" s="303"/>
      <c r="V39" s="303"/>
      <c r="W39" s="303"/>
      <c r="X39" s="303"/>
      <c r="Y39" s="303"/>
      <c r="Z39" s="303"/>
      <c r="AA39" s="303"/>
      <c r="AB39" s="143"/>
      <c r="AC39" s="303"/>
      <c r="AD39" s="303"/>
      <c r="AE39" s="303"/>
      <c r="AF39" s="303"/>
      <c r="AG39" s="303"/>
      <c r="AH39" s="303"/>
      <c r="AI39" s="143"/>
      <c r="AJ39" s="125"/>
      <c r="AK39" s="125"/>
      <c r="AL39" s="125"/>
      <c r="AM39" s="125"/>
    </row>
    <row r="40" spans="1:39" ht="12.75" x14ac:dyDescent="0.2">
      <c r="A40" s="303"/>
      <c r="B40" s="303"/>
      <c r="C40" s="303"/>
      <c r="D40" s="143"/>
      <c r="E40" s="303"/>
      <c r="F40" s="303"/>
      <c r="G40" s="303"/>
      <c r="H40" s="303"/>
      <c r="I40" s="303"/>
      <c r="J40" s="303"/>
      <c r="K40" s="303"/>
      <c r="L40" s="143"/>
      <c r="M40" s="303"/>
      <c r="N40" s="303"/>
      <c r="O40" s="303"/>
      <c r="P40" s="303"/>
      <c r="Q40" s="303"/>
      <c r="R40" s="303"/>
      <c r="S40" s="303"/>
      <c r="T40" s="143"/>
      <c r="U40" s="303"/>
      <c r="V40" s="303"/>
      <c r="W40" s="303"/>
      <c r="X40" s="303"/>
      <c r="Y40" s="303"/>
      <c r="Z40" s="303"/>
      <c r="AA40" s="303"/>
      <c r="AB40" s="143"/>
      <c r="AC40" s="303"/>
      <c r="AD40" s="303"/>
      <c r="AE40" s="303"/>
      <c r="AF40" s="303"/>
      <c r="AG40" s="303"/>
      <c r="AH40" s="303"/>
      <c r="AI40" s="143"/>
      <c r="AJ40" s="125"/>
      <c r="AK40" s="125"/>
      <c r="AL40" s="125"/>
      <c r="AM40" s="125"/>
    </row>
    <row r="41" spans="1:39" ht="12.75" x14ac:dyDescent="0.2">
      <c r="A41" s="303"/>
      <c r="B41" s="303"/>
      <c r="C41" s="303"/>
      <c r="D41" s="143"/>
      <c r="E41" s="303"/>
      <c r="F41" s="303"/>
      <c r="G41" s="303"/>
      <c r="H41" s="303"/>
      <c r="I41" s="303"/>
      <c r="J41" s="303"/>
      <c r="K41" s="303"/>
      <c r="L41" s="143"/>
      <c r="M41" s="303"/>
      <c r="N41" s="303"/>
      <c r="O41" s="303"/>
      <c r="P41" s="303"/>
      <c r="Q41" s="303"/>
      <c r="R41" s="303"/>
      <c r="S41" s="303"/>
      <c r="T41" s="143"/>
      <c r="U41" s="303"/>
      <c r="V41" s="303"/>
      <c r="W41" s="303"/>
      <c r="X41" s="303"/>
      <c r="Y41" s="303"/>
      <c r="Z41" s="303"/>
      <c r="AA41" s="303"/>
      <c r="AB41" s="143"/>
      <c r="AC41" s="303"/>
      <c r="AD41" s="303"/>
      <c r="AE41" s="303"/>
      <c r="AF41" s="303"/>
      <c r="AG41" s="303"/>
      <c r="AH41" s="303"/>
      <c r="AI41" s="143"/>
      <c r="AJ41" s="125"/>
      <c r="AK41" s="125"/>
      <c r="AL41" s="125"/>
      <c r="AM41" s="125"/>
    </row>
    <row r="42" spans="1:39" ht="12.75" x14ac:dyDescent="0.2">
      <c r="A42" s="303"/>
      <c r="B42" s="303"/>
      <c r="C42" s="303"/>
      <c r="D42" s="143"/>
      <c r="E42" s="303"/>
      <c r="F42" s="303"/>
      <c r="G42" s="303"/>
      <c r="H42" s="303"/>
      <c r="I42" s="303"/>
      <c r="J42" s="303"/>
      <c r="K42" s="303"/>
      <c r="L42" s="143"/>
      <c r="M42" s="303"/>
      <c r="N42" s="303"/>
      <c r="O42" s="303"/>
      <c r="P42" s="303"/>
      <c r="Q42" s="303"/>
      <c r="R42" s="303"/>
      <c r="S42" s="303"/>
      <c r="T42" s="143"/>
      <c r="U42" s="303"/>
      <c r="V42" s="303"/>
      <c r="W42" s="303"/>
      <c r="X42" s="303"/>
      <c r="Y42" s="303"/>
      <c r="Z42" s="303"/>
      <c r="AA42" s="303"/>
      <c r="AB42" s="143"/>
      <c r="AC42" s="303"/>
      <c r="AD42" s="303"/>
      <c r="AE42" s="303"/>
      <c r="AF42" s="303"/>
      <c r="AG42" s="303"/>
      <c r="AH42" s="303"/>
      <c r="AI42" s="143"/>
      <c r="AJ42" s="125"/>
      <c r="AK42" s="125"/>
      <c r="AL42" s="125"/>
      <c r="AM42" s="125"/>
    </row>
    <row r="43" spans="1:39" ht="12.75" x14ac:dyDescent="0.2">
      <c r="A43" s="303"/>
      <c r="B43" s="303"/>
      <c r="C43" s="303"/>
      <c r="D43" s="143"/>
      <c r="E43" s="303"/>
      <c r="F43" s="303"/>
      <c r="G43" s="303"/>
      <c r="H43" s="303"/>
      <c r="I43" s="303"/>
      <c r="J43" s="303"/>
      <c r="K43" s="303"/>
      <c r="L43" s="143"/>
      <c r="M43" s="303"/>
      <c r="N43" s="303"/>
      <c r="O43" s="303"/>
      <c r="P43" s="303"/>
      <c r="Q43" s="303"/>
      <c r="R43" s="303"/>
      <c r="S43" s="303"/>
      <c r="T43" s="143"/>
      <c r="U43" s="303"/>
      <c r="V43" s="303"/>
      <c r="W43" s="303"/>
      <c r="X43" s="303"/>
      <c r="Y43" s="303"/>
      <c r="Z43" s="303"/>
      <c r="AA43" s="303"/>
      <c r="AB43" s="143"/>
      <c r="AC43" s="303"/>
      <c r="AD43" s="303"/>
      <c r="AE43" s="303"/>
      <c r="AF43" s="303"/>
      <c r="AG43" s="303"/>
      <c r="AH43" s="303"/>
      <c r="AI43" s="143"/>
      <c r="AJ43" s="125"/>
      <c r="AK43" s="125"/>
      <c r="AL43" s="125"/>
      <c r="AM43" s="125"/>
    </row>
    <row r="44" spans="1:39" ht="12.75" x14ac:dyDescent="0.2">
      <c r="A44" s="303"/>
      <c r="B44" s="303"/>
      <c r="C44" s="303"/>
      <c r="D44" s="143"/>
      <c r="E44" s="303"/>
      <c r="F44" s="303"/>
      <c r="G44" s="303"/>
      <c r="H44" s="303"/>
      <c r="I44" s="303"/>
      <c r="J44" s="303"/>
      <c r="K44" s="303"/>
      <c r="L44" s="143"/>
      <c r="M44" s="303"/>
      <c r="N44" s="303"/>
      <c r="O44" s="303"/>
      <c r="P44" s="303"/>
      <c r="Q44" s="303"/>
      <c r="R44" s="303"/>
      <c r="S44" s="303"/>
      <c r="T44" s="143"/>
      <c r="U44" s="303"/>
      <c r="V44" s="303"/>
      <c r="W44" s="303"/>
      <c r="X44" s="303"/>
      <c r="Y44" s="303"/>
      <c r="Z44" s="303"/>
      <c r="AA44" s="303"/>
      <c r="AB44" s="143"/>
      <c r="AC44" s="303"/>
      <c r="AD44" s="303"/>
      <c r="AE44" s="303"/>
      <c r="AF44" s="303"/>
      <c r="AG44" s="303"/>
      <c r="AH44" s="303"/>
      <c r="AI44" s="143"/>
      <c r="AJ44" s="125"/>
      <c r="AK44" s="125"/>
      <c r="AL44" s="125"/>
      <c r="AM44" s="125"/>
    </row>
    <row r="45" spans="1:39" ht="12.75" x14ac:dyDescent="0.2">
      <c r="A45" s="303"/>
      <c r="B45" s="303"/>
      <c r="C45" s="303"/>
      <c r="D45" s="143"/>
      <c r="E45" s="303"/>
      <c r="F45" s="303"/>
      <c r="G45" s="303"/>
      <c r="H45" s="303"/>
      <c r="I45" s="303"/>
      <c r="J45" s="303"/>
      <c r="K45" s="303"/>
      <c r="L45" s="143"/>
      <c r="M45" s="303"/>
      <c r="N45" s="303"/>
      <c r="O45" s="303"/>
      <c r="P45" s="303"/>
      <c r="Q45" s="303"/>
      <c r="R45" s="303"/>
      <c r="S45" s="303"/>
      <c r="T45" s="143"/>
      <c r="U45" s="303"/>
      <c r="V45" s="303"/>
      <c r="W45" s="303"/>
      <c r="X45" s="303"/>
      <c r="Y45" s="303"/>
      <c r="Z45" s="303"/>
      <c r="AA45" s="303"/>
      <c r="AB45" s="143"/>
      <c r="AC45" s="303"/>
      <c r="AD45" s="303"/>
      <c r="AE45" s="303"/>
      <c r="AF45" s="303"/>
      <c r="AG45" s="303"/>
      <c r="AH45" s="303"/>
      <c r="AI45" s="143"/>
      <c r="AJ45" s="125"/>
      <c r="AK45" s="125"/>
      <c r="AL45" s="125"/>
      <c r="AM45" s="125"/>
    </row>
    <row r="46" spans="1:39" ht="12.75" x14ac:dyDescent="0.2">
      <c r="A46" s="303"/>
      <c r="B46" s="303"/>
      <c r="C46" s="303"/>
      <c r="D46" s="143"/>
      <c r="E46" s="303"/>
      <c r="F46" s="303"/>
      <c r="G46" s="303"/>
      <c r="H46" s="303"/>
      <c r="I46" s="303"/>
      <c r="J46" s="303"/>
      <c r="K46" s="303"/>
      <c r="L46" s="143"/>
      <c r="M46" s="303"/>
      <c r="N46" s="303"/>
      <c r="O46" s="303"/>
      <c r="P46" s="303"/>
      <c r="Q46" s="303"/>
      <c r="R46" s="303"/>
      <c r="S46" s="303"/>
      <c r="T46" s="143"/>
      <c r="U46" s="303"/>
      <c r="V46" s="303"/>
      <c r="W46" s="303"/>
      <c r="X46" s="303"/>
      <c r="Y46" s="303"/>
      <c r="Z46" s="303"/>
      <c r="AA46" s="303"/>
      <c r="AB46" s="143"/>
      <c r="AC46" s="303"/>
      <c r="AD46" s="303"/>
      <c r="AE46" s="303"/>
      <c r="AF46" s="303"/>
      <c r="AG46" s="303"/>
      <c r="AH46" s="303"/>
      <c r="AI46" s="143"/>
      <c r="AJ46" s="125"/>
      <c r="AK46" s="125"/>
      <c r="AL46" s="125"/>
      <c r="AM46" s="125"/>
    </row>
    <row r="47" spans="1:39" ht="12.75" x14ac:dyDescent="0.2">
      <c r="A47" s="303"/>
      <c r="B47" s="303"/>
      <c r="C47" s="303"/>
      <c r="D47" s="143"/>
      <c r="E47" s="303"/>
      <c r="F47" s="303"/>
      <c r="G47" s="303"/>
      <c r="H47" s="303"/>
      <c r="I47" s="303"/>
      <c r="J47" s="303"/>
      <c r="K47" s="303"/>
      <c r="L47" s="143"/>
      <c r="M47" s="303"/>
      <c r="N47" s="303"/>
      <c r="O47" s="303"/>
      <c r="P47" s="303"/>
      <c r="Q47" s="303"/>
      <c r="R47" s="303"/>
      <c r="S47" s="303"/>
      <c r="T47" s="143"/>
      <c r="U47" s="303"/>
      <c r="V47" s="303"/>
      <c r="W47" s="303"/>
      <c r="X47" s="303"/>
      <c r="Y47" s="303"/>
      <c r="Z47" s="303"/>
      <c r="AA47" s="303"/>
      <c r="AB47" s="143"/>
      <c r="AC47" s="303"/>
      <c r="AD47" s="303"/>
      <c r="AE47" s="303"/>
      <c r="AF47" s="303"/>
      <c r="AG47" s="303"/>
      <c r="AH47" s="303"/>
      <c r="AI47" s="143"/>
      <c r="AJ47" s="125"/>
      <c r="AK47" s="125"/>
      <c r="AL47" s="125"/>
      <c r="AM47" s="125"/>
    </row>
    <row r="48" spans="1:39" ht="12.75" x14ac:dyDescent="0.2">
      <c r="A48" s="303"/>
      <c r="B48" s="303"/>
      <c r="C48" s="303"/>
      <c r="D48" s="143"/>
      <c r="E48" s="303"/>
      <c r="F48" s="303"/>
      <c r="G48" s="303"/>
      <c r="H48" s="303"/>
      <c r="I48" s="303"/>
      <c r="J48" s="303"/>
      <c r="K48" s="303"/>
      <c r="L48" s="143"/>
      <c r="M48" s="303"/>
      <c r="N48" s="303"/>
      <c r="O48" s="303"/>
      <c r="P48" s="303"/>
      <c r="Q48" s="303"/>
      <c r="R48" s="303"/>
      <c r="S48" s="303"/>
      <c r="T48" s="143"/>
      <c r="U48" s="303"/>
      <c r="V48" s="303"/>
      <c r="W48" s="303"/>
      <c r="X48" s="303"/>
      <c r="Y48" s="303"/>
      <c r="Z48" s="303"/>
      <c r="AA48" s="303"/>
      <c r="AB48" s="143"/>
      <c r="AC48" s="303"/>
      <c r="AD48" s="303"/>
      <c r="AE48" s="303"/>
      <c r="AF48" s="303"/>
      <c r="AG48" s="303"/>
      <c r="AH48" s="303"/>
      <c r="AI48" s="143"/>
      <c r="AJ48" s="125"/>
      <c r="AK48" s="125"/>
      <c r="AL48" s="125"/>
      <c r="AM48" s="125"/>
    </row>
    <row r="49" spans="1:39" ht="12.75" x14ac:dyDescent="0.2">
      <c r="A49" s="303"/>
      <c r="B49" s="303"/>
      <c r="C49" s="303"/>
      <c r="D49" s="143"/>
      <c r="E49" s="303"/>
      <c r="F49" s="303"/>
      <c r="G49" s="303"/>
      <c r="H49" s="303"/>
      <c r="I49" s="303"/>
      <c r="J49" s="303"/>
      <c r="K49" s="303"/>
      <c r="L49" s="143"/>
      <c r="M49" s="303"/>
      <c r="N49" s="303"/>
      <c r="O49" s="303"/>
      <c r="P49" s="303"/>
      <c r="Q49" s="303"/>
      <c r="R49" s="303"/>
      <c r="S49" s="303"/>
      <c r="T49" s="143"/>
      <c r="U49" s="303"/>
      <c r="V49" s="303"/>
      <c r="W49" s="303"/>
      <c r="X49" s="303"/>
      <c r="Y49" s="303"/>
      <c r="Z49" s="303"/>
      <c r="AA49" s="303"/>
      <c r="AB49" s="143"/>
      <c r="AC49" s="303"/>
      <c r="AD49" s="303"/>
      <c r="AE49" s="303"/>
      <c r="AF49" s="303"/>
      <c r="AG49" s="303"/>
      <c r="AH49" s="303"/>
      <c r="AI49" s="143"/>
      <c r="AJ49" s="125"/>
      <c r="AK49" s="125"/>
      <c r="AL49" s="125"/>
      <c r="AM49" s="125"/>
    </row>
    <row r="50" spans="1:39" ht="12.75" x14ac:dyDescent="0.2">
      <c r="A50" s="303"/>
      <c r="B50" s="303"/>
      <c r="C50" s="303"/>
      <c r="D50" s="143"/>
      <c r="E50" s="303"/>
      <c r="F50" s="303"/>
      <c r="G50" s="303"/>
      <c r="H50" s="303"/>
      <c r="I50" s="303"/>
      <c r="J50" s="303"/>
      <c r="K50" s="303"/>
      <c r="L50" s="143"/>
      <c r="M50" s="303"/>
      <c r="N50" s="303"/>
      <c r="O50" s="303"/>
      <c r="P50" s="303"/>
      <c r="Q50" s="303"/>
      <c r="R50" s="303"/>
      <c r="S50" s="303"/>
      <c r="T50" s="143"/>
      <c r="U50" s="303"/>
      <c r="V50" s="303"/>
      <c r="W50" s="303"/>
      <c r="X50" s="303"/>
      <c r="Y50" s="303"/>
      <c r="Z50" s="303"/>
      <c r="AA50" s="303"/>
      <c r="AB50" s="143"/>
      <c r="AC50" s="303"/>
      <c r="AD50" s="303"/>
      <c r="AE50" s="303"/>
      <c r="AF50" s="303"/>
      <c r="AG50" s="303"/>
      <c r="AH50" s="303"/>
      <c r="AI50" s="143"/>
      <c r="AJ50" s="125"/>
      <c r="AK50" s="125"/>
      <c r="AL50" s="125"/>
      <c r="AM50" s="125"/>
    </row>
    <row r="51" spans="1:39" ht="12.75" x14ac:dyDescent="0.2">
      <c r="A51" s="303"/>
      <c r="B51" s="303"/>
      <c r="C51" s="303"/>
      <c r="D51" s="143"/>
      <c r="E51" s="303"/>
      <c r="F51" s="303"/>
      <c r="G51" s="303"/>
      <c r="H51" s="303"/>
      <c r="I51" s="303"/>
      <c r="J51" s="303"/>
      <c r="K51" s="303"/>
      <c r="L51" s="143"/>
      <c r="M51" s="303"/>
      <c r="N51" s="303"/>
      <c r="O51" s="303"/>
      <c r="P51" s="303"/>
      <c r="Q51" s="303"/>
      <c r="R51" s="303"/>
      <c r="S51" s="303"/>
      <c r="T51" s="143"/>
      <c r="U51" s="303"/>
      <c r="V51" s="303"/>
      <c r="W51" s="303"/>
      <c r="X51" s="303"/>
      <c r="Y51" s="303"/>
      <c r="Z51" s="303"/>
      <c r="AA51" s="303"/>
      <c r="AB51" s="143"/>
      <c r="AC51" s="303"/>
      <c r="AD51" s="303"/>
      <c r="AE51" s="303"/>
      <c r="AF51" s="303"/>
      <c r="AG51" s="303"/>
      <c r="AH51" s="303"/>
      <c r="AI51" s="143"/>
      <c r="AJ51" s="125"/>
      <c r="AK51" s="125"/>
      <c r="AL51" s="125"/>
      <c r="AM51" s="125"/>
    </row>
    <row r="52" spans="1:39" ht="12.75" x14ac:dyDescent="0.2">
      <c r="A52" s="303"/>
      <c r="B52" s="303"/>
      <c r="C52" s="303"/>
      <c r="D52" s="143"/>
      <c r="E52" s="303"/>
      <c r="F52" s="303"/>
      <c r="G52" s="303"/>
      <c r="H52" s="303"/>
      <c r="I52" s="303"/>
      <c r="J52" s="303"/>
      <c r="K52" s="303"/>
      <c r="L52" s="143"/>
      <c r="M52" s="303"/>
      <c r="N52" s="303"/>
      <c r="O52" s="303"/>
      <c r="P52" s="303"/>
      <c r="Q52" s="303"/>
      <c r="R52" s="303"/>
      <c r="S52" s="303"/>
      <c r="T52" s="143"/>
      <c r="U52" s="303"/>
      <c r="V52" s="303"/>
      <c r="W52" s="303"/>
      <c r="X52" s="303"/>
      <c r="Y52" s="303"/>
      <c r="Z52" s="303"/>
      <c r="AA52" s="303"/>
      <c r="AB52" s="143"/>
      <c r="AC52" s="303"/>
      <c r="AD52" s="303"/>
      <c r="AE52" s="303"/>
      <c r="AF52" s="303"/>
      <c r="AG52" s="303"/>
      <c r="AH52" s="303"/>
      <c r="AI52" s="143"/>
      <c r="AJ52" s="125"/>
      <c r="AK52" s="125"/>
      <c r="AL52" s="125"/>
      <c r="AM52" s="125"/>
    </row>
    <row r="53" spans="1:39" ht="12.75" x14ac:dyDescent="0.2">
      <c r="A53" s="303"/>
      <c r="B53" s="303"/>
      <c r="C53" s="303"/>
      <c r="D53" s="143"/>
      <c r="E53" s="303"/>
      <c r="F53" s="303"/>
      <c r="G53" s="303"/>
      <c r="H53" s="303"/>
      <c r="I53" s="303"/>
      <c r="J53" s="303"/>
      <c r="K53" s="303"/>
      <c r="L53" s="143"/>
      <c r="M53" s="303"/>
      <c r="N53" s="303"/>
      <c r="O53" s="303"/>
      <c r="P53" s="303"/>
      <c r="Q53" s="303"/>
      <c r="R53" s="303"/>
      <c r="S53" s="303"/>
      <c r="T53" s="143"/>
      <c r="U53" s="303"/>
      <c r="V53" s="303"/>
      <c r="W53" s="303"/>
      <c r="X53" s="303"/>
      <c r="Y53" s="303"/>
      <c r="Z53" s="303"/>
      <c r="AA53" s="303"/>
      <c r="AB53" s="143"/>
      <c r="AC53" s="303"/>
      <c r="AD53" s="303"/>
      <c r="AE53" s="303"/>
      <c r="AF53" s="303"/>
      <c r="AG53" s="303"/>
      <c r="AH53" s="303"/>
      <c r="AI53" s="143"/>
      <c r="AJ53" s="125"/>
      <c r="AK53" s="125"/>
      <c r="AL53" s="125"/>
      <c r="AM53" s="125"/>
    </row>
    <row r="54" spans="1:39" ht="12.75" x14ac:dyDescent="0.2">
      <c r="A54" s="303"/>
      <c r="B54" s="303"/>
      <c r="C54" s="303"/>
      <c r="D54" s="143"/>
      <c r="E54" s="303"/>
      <c r="F54" s="303"/>
      <c r="G54" s="303"/>
      <c r="H54" s="303"/>
      <c r="I54" s="303"/>
      <c r="J54" s="303"/>
      <c r="K54" s="303"/>
      <c r="L54" s="143"/>
      <c r="M54" s="303"/>
      <c r="N54" s="303"/>
      <c r="O54" s="303"/>
      <c r="P54" s="303"/>
      <c r="Q54" s="303"/>
      <c r="R54" s="303"/>
      <c r="S54" s="303"/>
      <c r="T54" s="143"/>
      <c r="U54" s="303"/>
      <c r="V54" s="303"/>
      <c r="W54" s="303"/>
      <c r="X54" s="303"/>
      <c r="Y54" s="303"/>
      <c r="Z54" s="303"/>
      <c r="AA54" s="303"/>
      <c r="AB54" s="143"/>
      <c r="AC54" s="303"/>
      <c r="AD54" s="303"/>
      <c r="AE54" s="303"/>
      <c r="AF54" s="303"/>
      <c r="AG54" s="303"/>
      <c r="AH54" s="303"/>
      <c r="AI54" s="143"/>
      <c r="AJ54" s="125"/>
      <c r="AK54" s="125"/>
      <c r="AL54" s="125"/>
      <c r="AM54" s="125"/>
    </row>
    <row r="55" spans="1:39" ht="12.75" x14ac:dyDescent="0.2">
      <c r="A55" s="303"/>
      <c r="B55" s="303"/>
      <c r="C55" s="303"/>
      <c r="D55" s="143"/>
      <c r="E55" s="303"/>
      <c r="F55" s="303"/>
      <c r="G55" s="303"/>
      <c r="H55" s="303"/>
      <c r="I55" s="303"/>
      <c r="J55" s="303"/>
      <c r="K55" s="303"/>
      <c r="L55" s="143"/>
      <c r="M55" s="303"/>
      <c r="N55" s="303"/>
      <c r="O55" s="303"/>
      <c r="P55" s="303"/>
      <c r="Q55" s="303"/>
      <c r="R55" s="303"/>
      <c r="S55" s="303"/>
      <c r="T55" s="143"/>
      <c r="U55" s="303"/>
      <c r="V55" s="303"/>
      <c r="W55" s="303"/>
      <c r="X55" s="303"/>
      <c r="Y55" s="303"/>
      <c r="Z55" s="303"/>
      <c r="AA55" s="303"/>
      <c r="AB55" s="143"/>
      <c r="AC55" s="303"/>
      <c r="AD55" s="303"/>
      <c r="AE55" s="303"/>
      <c r="AF55" s="303"/>
      <c r="AG55" s="303"/>
      <c r="AH55" s="303"/>
      <c r="AI55" s="143"/>
      <c r="AJ55" s="125"/>
      <c r="AK55" s="125"/>
      <c r="AL55" s="125"/>
      <c r="AM55" s="125"/>
    </row>
    <row r="56" spans="1:39" ht="12.75" x14ac:dyDescent="0.2">
      <c r="A56" s="303"/>
      <c r="B56" s="303"/>
      <c r="C56" s="303"/>
      <c r="D56" s="143"/>
      <c r="E56" s="303"/>
      <c r="F56" s="303"/>
      <c r="G56" s="303"/>
      <c r="H56" s="303"/>
      <c r="I56" s="303"/>
      <c r="J56" s="303"/>
      <c r="K56" s="303"/>
      <c r="L56" s="143"/>
      <c r="M56" s="303"/>
      <c r="N56" s="303"/>
      <c r="O56" s="303"/>
      <c r="P56" s="303"/>
      <c r="Q56" s="303"/>
      <c r="R56" s="303"/>
      <c r="S56" s="303"/>
      <c r="T56" s="143"/>
      <c r="U56" s="303"/>
      <c r="V56" s="303"/>
      <c r="W56" s="303"/>
      <c r="X56" s="303"/>
      <c r="Y56" s="303"/>
      <c r="Z56" s="303"/>
      <c r="AA56" s="303"/>
      <c r="AB56" s="143"/>
      <c r="AC56" s="303"/>
      <c r="AD56" s="303"/>
      <c r="AE56" s="303"/>
      <c r="AF56" s="303"/>
      <c r="AG56" s="303"/>
      <c r="AH56" s="303"/>
      <c r="AI56" s="143"/>
      <c r="AJ56" s="125"/>
      <c r="AK56" s="125"/>
      <c r="AL56" s="125"/>
      <c r="AM56" s="125"/>
    </row>
    <row r="57" spans="1:39" ht="12.75" x14ac:dyDescent="0.2">
      <c r="A57" s="303"/>
      <c r="B57" s="303"/>
      <c r="C57" s="303"/>
      <c r="D57" s="143"/>
      <c r="E57" s="303"/>
      <c r="F57" s="303"/>
      <c r="G57" s="303"/>
      <c r="H57" s="303"/>
      <c r="I57" s="303"/>
      <c r="J57" s="303"/>
      <c r="K57" s="303"/>
      <c r="L57" s="143"/>
      <c r="M57" s="303"/>
      <c r="N57" s="303"/>
      <c r="O57" s="303"/>
      <c r="P57" s="303"/>
      <c r="Q57" s="303"/>
      <c r="R57" s="303"/>
      <c r="S57" s="303"/>
      <c r="T57" s="143"/>
      <c r="U57" s="303"/>
      <c r="V57" s="303"/>
      <c r="W57" s="303"/>
      <c r="X57" s="303"/>
      <c r="Y57" s="303"/>
      <c r="Z57" s="303"/>
      <c r="AA57" s="303"/>
      <c r="AB57" s="143"/>
      <c r="AC57" s="303"/>
      <c r="AD57" s="303"/>
      <c r="AE57" s="303"/>
      <c r="AF57" s="303"/>
      <c r="AG57" s="303"/>
      <c r="AH57" s="303"/>
      <c r="AI57" s="143"/>
      <c r="AJ57" s="125"/>
      <c r="AK57" s="125"/>
      <c r="AL57" s="125"/>
      <c r="AM57" s="125"/>
    </row>
    <row r="58" spans="1:39" ht="12.75" x14ac:dyDescent="0.2">
      <c r="A58" s="303"/>
      <c r="B58" s="303"/>
      <c r="C58" s="303"/>
      <c r="D58" s="143"/>
      <c r="E58" s="303"/>
      <c r="F58" s="303"/>
      <c r="G58" s="303"/>
      <c r="H58" s="303"/>
      <c r="I58" s="303"/>
      <c r="J58" s="303"/>
      <c r="K58" s="303"/>
      <c r="L58" s="143"/>
      <c r="M58" s="303"/>
      <c r="N58" s="303"/>
      <c r="O58" s="303"/>
      <c r="P58" s="303"/>
      <c r="Q58" s="303"/>
      <c r="R58" s="303"/>
      <c r="S58" s="303"/>
      <c r="T58" s="143"/>
      <c r="U58" s="303"/>
      <c r="V58" s="303"/>
      <c r="W58" s="303"/>
      <c r="X58" s="303"/>
      <c r="Y58" s="303"/>
      <c r="Z58" s="303"/>
      <c r="AA58" s="303"/>
      <c r="AB58" s="143"/>
      <c r="AC58" s="303"/>
      <c r="AD58" s="303"/>
      <c r="AE58" s="303"/>
      <c r="AF58" s="303"/>
      <c r="AG58" s="303"/>
      <c r="AH58" s="303"/>
      <c r="AI58" s="143"/>
      <c r="AJ58" s="125"/>
      <c r="AK58" s="125"/>
      <c r="AL58" s="125"/>
      <c r="AM58" s="125"/>
    </row>
    <row r="59" spans="1:39" ht="12.75" x14ac:dyDescent="0.2">
      <c r="A59" s="303"/>
      <c r="B59" s="303"/>
      <c r="C59" s="303"/>
      <c r="D59" s="143"/>
      <c r="E59" s="303"/>
      <c r="F59" s="303"/>
      <c r="G59" s="303"/>
      <c r="H59" s="303"/>
      <c r="I59" s="303"/>
      <c r="J59" s="303"/>
      <c r="K59" s="303"/>
      <c r="L59" s="143"/>
      <c r="M59" s="303"/>
      <c r="N59" s="303"/>
      <c r="O59" s="303"/>
      <c r="P59" s="303"/>
      <c r="Q59" s="303"/>
      <c r="R59" s="303"/>
      <c r="S59" s="303"/>
      <c r="T59" s="143"/>
      <c r="U59" s="303"/>
      <c r="V59" s="303"/>
      <c r="W59" s="303"/>
      <c r="X59" s="303"/>
      <c r="Y59" s="303"/>
      <c r="Z59" s="303"/>
      <c r="AA59" s="303"/>
      <c r="AB59" s="143"/>
      <c r="AC59" s="303"/>
      <c r="AD59" s="303"/>
      <c r="AE59" s="303"/>
      <c r="AF59" s="303"/>
      <c r="AG59" s="303"/>
      <c r="AH59" s="303"/>
      <c r="AI59" s="143"/>
      <c r="AJ59" s="125"/>
      <c r="AK59" s="125"/>
      <c r="AL59" s="125"/>
      <c r="AM59" s="125"/>
    </row>
    <row r="60" spans="1:39" ht="12.75" x14ac:dyDescent="0.2">
      <c r="A60" s="303"/>
      <c r="B60" s="303"/>
      <c r="C60" s="303"/>
      <c r="D60" s="143"/>
      <c r="E60" s="303"/>
      <c r="F60" s="303"/>
      <c r="G60" s="303"/>
      <c r="H60" s="303"/>
      <c r="I60" s="303"/>
      <c r="J60" s="303"/>
      <c r="K60" s="303"/>
      <c r="L60" s="143"/>
      <c r="M60" s="303"/>
      <c r="N60" s="303"/>
      <c r="O60" s="303"/>
      <c r="P60" s="303"/>
      <c r="Q60" s="303"/>
      <c r="R60" s="303"/>
      <c r="S60" s="303"/>
      <c r="T60" s="143"/>
      <c r="U60" s="303"/>
      <c r="V60" s="303"/>
      <c r="W60" s="303"/>
      <c r="X60" s="303"/>
      <c r="Y60" s="303"/>
      <c r="Z60" s="303"/>
      <c r="AA60" s="303"/>
      <c r="AB60" s="143"/>
      <c r="AC60" s="303"/>
      <c r="AD60" s="303"/>
      <c r="AE60" s="303"/>
      <c r="AF60" s="303"/>
      <c r="AG60" s="303"/>
      <c r="AH60" s="303"/>
      <c r="AI60" s="143"/>
      <c r="AJ60" s="125"/>
      <c r="AK60" s="125"/>
      <c r="AL60" s="125"/>
      <c r="AM60" s="125"/>
    </row>
    <row r="61" spans="1:39" ht="12.75" x14ac:dyDescent="0.2">
      <c r="A61" s="303"/>
      <c r="B61" s="303"/>
      <c r="C61" s="303"/>
      <c r="D61" s="143"/>
      <c r="E61" s="303"/>
      <c r="F61" s="303"/>
      <c r="G61" s="303"/>
      <c r="H61" s="303"/>
      <c r="I61" s="303"/>
      <c r="J61" s="303"/>
      <c r="K61" s="303"/>
      <c r="L61" s="143"/>
      <c r="M61" s="303"/>
      <c r="N61" s="303"/>
      <c r="O61" s="303"/>
      <c r="P61" s="303"/>
      <c r="Q61" s="303"/>
      <c r="R61" s="303"/>
      <c r="S61" s="303"/>
      <c r="T61" s="143"/>
      <c r="U61" s="303"/>
      <c r="V61" s="303"/>
      <c r="W61" s="303"/>
      <c r="X61" s="303"/>
      <c r="Y61" s="303"/>
      <c r="Z61" s="303"/>
      <c r="AA61" s="303"/>
      <c r="AB61" s="143"/>
      <c r="AC61" s="303"/>
      <c r="AD61" s="303"/>
      <c r="AE61" s="303"/>
      <c r="AF61" s="303"/>
      <c r="AG61" s="303"/>
      <c r="AH61" s="303"/>
      <c r="AI61" s="143"/>
      <c r="AJ61" s="125"/>
      <c r="AK61" s="125"/>
      <c r="AL61" s="125"/>
      <c r="AM61" s="125"/>
    </row>
    <row r="62" spans="1:39" ht="12.75" x14ac:dyDescent="0.2">
      <c r="A62" s="303"/>
      <c r="B62" s="303"/>
      <c r="C62" s="303"/>
      <c r="D62" s="143"/>
      <c r="E62" s="303"/>
      <c r="F62" s="303"/>
      <c r="G62" s="303"/>
      <c r="H62" s="303"/>
      <c r="I62" s="303"/>
      <c r="J62" s="303"/>
      <c r="K62" s="303"/>
      <c r="L62" s="143"/>
      <c r="M62" s="303"/>
      <c r="N62" s="303"/>
      <c r="O62" s="303"/>
      <c r="P62" s="303"/>
      <c r="Q62" s="303"/>
      <c r="R62" s="303"/>
      <c r="S62" s="303"/>
      <c r="T62" s="143"/>
      <c r="U62" s="303"/>
      <c r="V62" s="303"/>
      <c r="W62" s="303"/>
      <c r="X62" s="303"/>
      <c r="Y62" s="303"/>
      <c r="Z62" s="303"/>
      <c r="AA62" s="303"/>
      <c r="AB62" s="143"/>
      <c r="AC62" s="303"/>
      <c r="AD62" s="303"/>
      <c r="AE62" s="303"/>
      <c r="AF62" s="303"/>
      <c r="AG62" s="303"/>
      <c r="AH62" s="303"/>
      <c r="AI62" s="143"/>
      <c r="AJ62" s="125"/>
      <c r="AK62" s="125"/>
      <c r="AL62" s="125"/>
      <c r="AM62" s="125"/>
    </row>
    <row r="63" spans="1:39" ht="12.75" x14ac:dyDescent="0.2">
      <c r="A63" s="303"/>
      <c r="B63" s="303"/>
      <c r="C63" s="303"/>
      <c r="D63" s="143"/>
      <c r="E63" s="303"/>
      <c r="F63" s="303"/>
      <c r="G63" s="303"/>
      <c r="H63" s="303"/>
      <c r="I63" s="303"/>
      <c r="J63" s="303"/>
      <c r="K63" s="303"/>
      <c r="L63" s="143"/>
      <c r="M63" s="303"/>
      <c r="N63" s="303"/>
      <c r="O63" s="303"/>
      <c r="P63" s="303"/>
      <c r="Q63" s="303"/>
      <c r="R63" s="303"/>
      <c r="S63" s="303"/>
      <c r="T63" s="143"/>
      <c r="U63" s="303"/>
      <c r="V63" s="303"/>
      <c r="W63" s="303"/>
      <c r="X63" s="303"/>
      <c r="Y63" s="303"/>
      <c r="Z63" s="303"/>
      <c r="AA63" s="303"/>
      <c r="AB63" s="143"/>
      <c r="AC63" s="303"/>
      <c r="AD63" s="303"/>
      <c r="AE63" s="303"/>
      <c r="AF63" s="303"/>
      <c r="AG63" s="303"/>
      <c r="AH63" s="303"/>
      <c r="AI63" s="143"/>
      <c r="AJ63" s="125"/>
      <c r="AK63" s="125"/>
      <c r="AL63" s="125"/>
      <c r="AM63" s="125"/>
    </row>
    <row r="64" spans="1:39" ht="12.75" x14ac:dyDescent="0.2">
      <c r="A64" s="303"/>
      <c r="B64" s="303"/>
      <c r="C64" s="303"/>
      <c r="D64" s="143"/>
      <c r="E64" s="303"/>
      <c r="F64" s="303"/>
      <c r="G64" s="303"/>
      <c r="H64" s="303"/>
      <c r="I64" s="303"/>
      <c r="J64" s="303"/>
      <c r="K64" s="303"/>
      <c r="L64" s="143"/>
      <c r="M64" s="303"/>
      <c r="N64" s="303"/>
      <c r="O64" s="303"/>
      <c r="P64" s="303"/>
      <c r="Q64" s="303"/>
      <c r="R64" s="303"/>
      <c r="S64" s="303"/>
      <c r="T64" s="143"/>
      <c r="U64" s="303"/>
      <c r="V64" s="303"/>
      <c r="W64" s="303"/>
      <c r="X64" s="303"/>
      <c r="Y64" s="303"/>
      <c r="Z64" s="303"/>
      <c r="AA64" s="303"/>
      <c r="AB64" s="143"/>
      <c r="AC64" s="303"/>
      <c r="AD64" s="303"/>
      <c r="AE64" s="303"/>
      <c r="AF64" s="303"/>
      <c r="AG64" s="303"/>
      <c r="AH64" s="303"/>
      <c r="AI64" s="143"/>
      <c r="AJ64" s="125"/>
      <c r="AK64" s="125"/>
      <c r="AL64" s="125"/>
      <c r="AM64" s="125"/>
    </row>
    <row r="65" spans="1:39" ht="12.75" x14ac:dyDescent="0.2">
      <c r="A65" s="303"/>
      <c r="B65" s="303"/>
      <c r="C65" s="303"/>
      <c r="D65" s="143"/>
      <c r="E65" s="303"/>
      <c r="F65" s="303"/>
      <c r="G65" s="303"/>
      <c r="H65" s="303"/>
      <c r="I65" s="303"/>
      <c r="J65" s="303"/>
      <c r="K65" s="303"/>
      <c r="L65" s="143"/>
      <c r="M65" s="303"/>
      <c r="N65" s="303"/>
      <c r="O65" s="303"/>
      <c r="P65" s="303"/>
      <c r="Q65" s="303"/>
      <c r="R65" s="303"/>
      <c r="S65" s="303"/>
      <c r="T65" s="143"/>
      <c r="U65" s="303"/>
      <c r="V65" s="303"/>
      <c r="W65" s="303"/>
      <c r="X65" s="303"/>
      <c r="Y65" s="303"/>
      <c r="Z65" s="303"/>
      <c r="AA65" s="303"/>
      <c r="AB65" s="143"/>
      <c r="AC65" s="303"/>
      <c r="AD65" s="303"/>
      <c r="AE65" s="303"/>
      <c r="AF65" s="303"/>
      <c r="AG65" s="303"/>
      <c r="AH65" s="303"/>
      <c r="AI65" s="143"/>
      <c r="AJ65" s="125"/>
      <c r="AK65" s="125"/>
      <c r="AL65" s="125"/>
      <c r="AM65" s="125"/>
    </row>
    <row r="66" spans="1:39" ht="12.75" x14ac:dyDescent="0.2">
      <c r="A66" s="303"/>
      <c r="B66" s="303"/>
      <c r="C66" s="303"/>
      <c r="D66" s="143"/>
      <c r="E66" s="303"/>
      <c r="F66" s="303"/>
      <c r="G66" s="303"/>
      <c r="H66" s="303"/>
      <c r="I66" s="303"/>
      <c r="J66" s="303"/>
      <c r="K66" s="303"/>
      <c r="L66" s="143"/>
      <c r="M66" s="303"/>
      <c r="N66" s="303"/>
      <c r="O66" s="303"/>
      <c r="P66" s="303"/>
      <c r="Q66" s="303"/>
      <c r="R66" s="303"/>
      <c r="S66" s="303"/>
      <c r="T66" s="143"/>
      <c r="U66" s="303"/>
      <c r="V66" s="303"/>
      <c r="W66" s="303"/>
      <c r="X66" s="303"/>
      <c r="Y66" s="303"/>
      <c r="Z66" s="303"/>
      <c r="AA66" s="303"/>
      <c r="AB66" s="143"/>
      <c r="AC66" s="303"/>
      <c r="AD66" s="303"/>
      <c r="AE66" s="303"/>
      <c r="AF66" s="303"/>
      <c r="AG66" s="303"/>
      <c r="AH66" s="303"/>
      <c r="AI66" s="143"/>
      <c r="AJ66" s="125"/>
      <c r="AK66" s="125"/>
      <c r="AL66" s="125"/>
      <c r="AM66" s="125"/>
    </row>
    <row r="67" spans="1:39" ht="12.75" x14ac:dyDescent="0.2">
      <c r="A67" s="303"/>
      <c r="B67" s="303"/>
      <c r="C67" s="303"/>
      <c r="D67" s="143"/>
      <c r="E67" s="303"/>
      <c r="F67" s="303"/>
      <c r="G67" s="303"/>
      <c r="H67" s="303"/>
      <c r="I67" s="303"/>
      <c r="J67" s="303"/>
      <c r="K67" s="303"/>
      <c r="L67" s="143"/>
      <c r="M67" s="303"/>
      <c r="N67" s="303"/>
      <c r="O67" s="303"/>
      <c r="P67" s="303"/>
      <c r="Q67" s="303"/>
      <c r="R67" s="303"/>
      <c r="S67" s="303"/>
      <c r="T67" s="143"/>
      <c r="U67" s="303"/>
      <c r="V67" s="303"/>
      <c r="W67" s="303"/>
      <c r="X67" s="303"/>
      <c r="Y67" s="303"/>
      <c r="Z67" s="303"/>
      <c r="AA67" s="303"/>
      <c r="AB67" s="143"/>
      <c r="AC67" s="303"/>
      <c r="AD67" s="303"/>
      <c r="AE67" s="303"/>
      <c r="AF67" s="303"/>
      <c r="AG67" s="303"/>
      <c r="AH67" s="303"/>
      <c r="AI67" s="143"/>
      <c r="AJ67" s="125"/>
      <c r="AK67" s="125"/>
      <c r="AL67" s="125"/>
      <c r="AM67" s="125"/>
    </row>
    <row r="68" spans="1:39" ht="12.75" x14ac:dyDescent="0.2">
      <c r="A68" s="303"/>
      <c r="B68" s="303"/>
      <c r="C68" s="303"/>
      <c r="D68" s="143"/>
      <c r="E68" s="303"/>
      <c r="F68" s="303"/>
      <c r="G68" s="303"/>
      <c r="H68" s="303"/>
      <c r="I68" s="303"/>
      <c r="J68" s="303"/>
      <c r="K68" s="303"/>
      <c r="L68" s="143"/>
      <c r="M68" s="303"/>
      <c r="N68" s="303"/>
      <c r="O68" s="303"/>
      <c r="P68" s="303"/>
      <c r="Q68" s="303"/>
      <c r="R68" s="303"/>
      <c r="S68" s="303"/>
      <c r="T68" s="143"/>
      <c r="U68" s="303"/>
      <c r="V68" s="303"/>
      <c r="W68" s="303"/>
      <c r="X68" s="303"/>
      <c r="Y68" s="303"/>
      <c r="Z68" s="303"/>
      <c r="AA68" s="303"/>
      <c r="AB68" s="143"/>
      <c r="AC68" s="303"/>
      <c r="AD68" s="303"/>
      <c r="AE68" s="303"/>
      <c r="AF68" s="303"/>
      <c r="AG68" s="303"/>
      <c r="AH68" s="303"/>
      <c r="AI68" s="143"/>
      <c r="AJ68" s="125"/>
      <c r="AK68" s="125"/>
      <c r="AL68" s="125"/>
      <c r="AM68" s="125"/>
    </row>
    <row r="69" spans="1:39" ht="12.75" x14ac:dyDescent="0.2">
      <c r="A69" s="303"/>
      <c r="B69" s="303"/>
      <c r="C69" s="303"/>
      <c r="D69" s="143"/>
      <c r="E69" s="303"/>
      <c r="F69" s="303"/>
      <c r="G69" s="303"/>
      <c r="H69" s="303"/>
      <c r="I69" s="303"/>
      <c r="J69" s="303"/>
      <c r="K69" s="303"/>
      <c r="L69" s="143"/>
      <c r="M69" s="303"/>
      <c r="N69" s="303"/>
      <c r="O69" s="303"/>
      <c r="P69" s="303"/>
      <c r="Q69" s="303"/>
      <c r="R69" s="303"/>
      <c r="S69" s="303"/>
      <c r="T69" s="143"/>
      <c r="U69" s="303"/>
      <c r="V69" s="303"/>
      <c r="W69" s="303"/>
      <c r="X69" s="303"/>
      <c r="Y69" s="303"/>
      <c r="Z69" s="303"/>
      <c r="AA69" s="303"/>
      <c r="AB69" s="143"/>
      <c r="AC69" s="303"/>
      <c r="AD69" s="303"/>
      <c r="AE69" s="303"/>
      <c r="AF69" s="303"/>
      <c r="AG69" s="303"/>
      <c r="AH69" s="303"/>
      <c r="AI69" s="143"/>
      <c r="AJ69" s="125"/>
      <c r="AK69" s="125"/>
      <c r="AL69" s="125"/>
      <c r="AM69" s="125"/>
    </row>
    <row r="70" spans="1:39" ht="12.75" x14ac:dyDescent="0.2">
      <c r="A70" s="303"/>
      <c r="B70" s="303"/>
      <c r="C70" s="303"/>
      <c r="D70" s="143"/>
      <c r="E70" s="303"/>
      <c r="F70" s="303"/>
      <c r="G70" s="303"/>
      <c r="H70" s="303"/>
      <c r="I70" s="303"/>
      <c r="J70" s="303"/>
      <c r="K70" s="303"/>
      <c r="L70" s="143"/>
      <c r="M70" s="303"/>
      <c r="N70" s="303"/>
      <c r="O70" s="303"/>
      <c r="P70" s="303"/>
      <c r="Q70" s="303"/>
      <c r="R70" s="303"/>
      <c r="S70" s="303"/>
      <c r="T70" s="143"/>
      <c r="U70" s="303"/>
      <c r="V70" s="303"/>
      <c r="W70" s="303"/>
      <c r="X70" s="303"/>
      <c r="Y70" s="303"/>
      <c r="Z70" s="303"/>
      <c r="AA70" s="303"/>
      <c r="AB70" s="143"/>
      <c r="AC70" s="303"/>
      <c r="AD70" s="303"/>
      <c r="AE70" s="303"/>
      <c r="AF70" s="303"/>
      <c r="AG70" s="303"/>
      <c r="AH70" s="303"/>
      <c r="AI70" s="143"/>
      <c r="AJ70" s="125"/>
      <c r="AK70" s="125"/>
      <c r="AL70" s="125"/>
      <c r="AM70" s="125"/>
    </row>
    <row r="71" spans="1:39" ht="12.75" x14ac:dyDescent="0.2">
      <c r="A71" s="303"/>
      <c r="B71" s="303"/>
      <c r="C71" s="303"/>
      <c r="D71" s="143"/>
      <c r="E71" s="303"/>
      <c r="F71" s="303"/>
      <c r="G71" s="303"/>
      <c r="H71" s="303"/>
      <c r="I71" s="303"/>
      <c r="J71" s="303"/>
      <c r="K71" s="303"/>
      <c r="L71" s="143"/>
      <c r="M71" s="303"/>
      <c r="N71" s="303"/>
      <c r="O71" s="303"/>
      <c r="P71" s="303"/>
      <c r="Q71" s="303"/>
      <c r="R71" s="303"/>
      <c r="S71" s="303"/>
      <c r="T71" s="143"/>
      <c r="U71" s="303"/>
      <c r="V71" s="303"/>
      <c r="W71" s="303"/>
      <c r="X71" s="303"/>
      <c r="Y71" s="303"/>
      <c r="Z71" s="303"/>
      <c r="AA71" s="303"/>
      <c r="AB71" s="143"/>
      <c r="AC71" s="303"/>
      <c r="AD71" s="303"/>
      <c r="AE71" s="303"/>
      <c r="AF71" s="303"/>
      <c r="AG71" s="303"/>
      <c r="AH71" s="303"/>
      <c r="AI71" s="143"/>
      <c r="AJ71" s="125"/>
      <c r="AK71" s="125"/>
      <c r="AL71" s="125"/>
      <c r="AM71" s="125"/>
    </row>
    <row r="72" spans="1:39" ht="12.75" x14ac:dyDescent="0.2">
      <c r="A72" s="303"/>
      <c r="B72" s="303"/>
      <c r="C72" s="303"/>
      <c r="D72" s="143"/>
      <c r="E72" s="303"/>
      <c r="F72" s="303"/>
      <c r="G72" s="303"/>
      <c r="H72" s="303"/>
      <c r="I72" s="303"/>
      <c r="J72" s="303"/>
      <c r="K72" s="303"/>
      <c r="L72" s="143"/>
      <c r="M72" s="303"/>
      <c r="N72" s="303"/>
      <c r="O72" s="303"/>
      <c r="P72" s="303"/>
      <c r="Q72" s="303"/>
      <c r="R72" s="303"/>
      <c r="S72" s="303"/>
      <c r="T72" s="143"/>
      <c r="U72" s="303"/>
      <c r="V72" s="303"/>
      <c r="W72" s="303"/>
      <c r="X72" s="303"/>
      <c r="Y72" s="303"/>
      <c r="Z72" s="303"/>
      <c r="AA72" s="303"/>
      <c r="AB72" s="143"/>
      <c r="AC72" s="303"/>
      <c r="AD72" s="303"/>
      <c r="AE72" s="303"/>
      <c r="AF72" s="303"/>
      <c r="AG72" s="303"/>
      <c r="AH72" s="303"/>
      <c r="AI72" s="143"/>
      <c r="AJ72" s="125"/>
      <c r="AK72" s="125"/>
      <c r="AL72" s="125"/>
      <c r="AM72" s="125"/>
    </row>
    <row r="73" spans="1:39" ht="12.75" x14ac:dyDescent="0.2">
      <c r="A73" s="303"/>
      <c r="B73" s="303"/>
      <c r="C73" s="303"/>
      <c r="D73" s="143"/>
      <c r="E73" s="303"/>
      <c r="F73" s="303"/>
      <c r="G73" s="303"/>
      <c r="H73" s="303"/>
      <c r="I73" s="303"/>
      <c r="J73" s="303"/>
      <c r="K73" s="303"/>
      <c r="L73" s="143"/>
      <c r="M73" s="303"/>
      <c r="N73" s="303"/>
      <c r="O73" s="303"/>
      <c r="P73" s="303"/>
      <c r="Q73" s="303"/>
      <c r="R73" s="303"/>
      <c r="S73" s="303"/>
      <c r="T73" s="143"/>
      <c r="U73" s="303"/>
      <c r="V73" s="303"/>
      <c r="W73" s="303"/>
      <c r="X73" s="303"/>
      <c r="Y73" s="303"/>
      <c r="Z73" s="303"/>
      <c r="AA73" s="303"/>
      <c r="AB73" s="143"/>
      <c r="AC73" s="303"/>
      <c r="AD73" s="303"/>
      <c r="AE73" s="303"/>
      <c r="AF73" s="303"/>
      <c r="AG73" s="303"/>
      <c r="AH73" s="303"/>
      <c r="AI73" s="143"/>
      <c r="AJ73" s="125"/>
      <c r="AK73" s="125"/>
      <c r="AL73" s="125"/>
      <c r="AM73" s="125"/>
    </row>
    <row r="74" spans="1:39" ht="12.75" x14ac:dyDescent="0.2">
      <c r="A74" s="303"/>
      <c r="B74" s="303"/>
      <c r="C74" s="303"/>
      <c r="D74" s="143"/>
      <c r="E74" s="303"/>
      <c r="F74" s="303"/>
      <c r="G74" s="303"/>
      <c r="H74" s="303"/>
      <c r="I74" s="303"/>
      <c r="J74" s="303"/>
      <c r="K74" s="303"/>
      <c r="L74" s="143"/>
      <c r="M74" s="303"/>
      <c r="N74" s="303"/>
      <c r="O74" s="303"/>
      <c r="P74" s="303"/>
      <c r="Q74" s="303"/>
      <c r="R74" s="303"/>
      <c r="S74" s="303"/>
      <c r="T74" s="143"/>
      <c r="U74" s="303"/>
      <c r="V74" s="303"/>
      <c r="W74" s="303"/>
      <c r="X74" s="303"/>
      <c r="Y74" s="303"/>
      <c r="Z74" s="303"/>
      <c r="AA74" s="303"/>
      <c r="AB74" s="143"/>
      <c r="AC74" s="303"/>
      <c r="AD74" s="303"/>
      <c r="AE74" s="303"/>
      <c r="AF74" s="303"/>
      <c r="AG74" s="303"/>
      <c r="AH74" s="303"/>
      <c r="AI74" s="143"/>
      <c r="AJ74" s="125"/>
      <c r="AK74" s="125"/>
      <c r="AL74" s="125"/>
      <c r="AM74" s="125"/>
    </row>
    <row r="75" spans="1:39" ht="12.75" x14ac:dyDescent="0.2">
      <c r="A75" s="303"/>
      <c r="B75" s="303"/>
      <c r="C75" s="303"/>
      <c r="D75" s="143"/>
      <c r="E75" s="303"/>
      <c r="F75" s="303"/>
      <c r="G75" s="303"/>
      <c r="H75" s="303"/>
      <c r="I75" s="303"/>
      <c r="J75" s="303"/>
      <c r="K75" s="303"/>
      <c r="L75" s="143"/>
      <c r="M75" s="303"/>
      <c r="N75" s="303"/>
      <c r="O75" s="303"/>
      <c r="P75" s="303"/>
      <c r="Q75" s="303"/>
      <c r="R75" s="303"/>
      <c r="S75" s="303"/>
      <c r="T75" s="143"/>
      <c r="U75" s="303"/>
      <c r="V75" s="303"/>
      <c r="W75" s="303"/>
      <c r="X75" s="303"/>
      <c r="Y75" s="303"/>
      <c r="Z75" s="303"/>
      <c r="AA75" s="303"/>
      <c r="AB75" s="143"/>
      <c r="AC75" s="303"/>
      <c r="AD75" s="303"/>
      <c r="AE75" s="303"/>
      <c r="AF75" s="303"/>
      <c r="AG75" s="303"/>
      <c r="AH75" s="303"/>
      <c r="AI75" s="143"/>
      <c r="AJ75" s="125"/>
      <c r="AK75" s="125"/>
      <c r="AL75" s="125"/>
      <c r="AM75" s="125"/>
    </row>
    <row r="76" spans="1:39" ht="12.75" x14ac:dyDescent="0.2">
      <c r="A76" s="303"/>
      <c r="B76" s="303"/>
      <c r="C76" s="303"/>
      <c r="D76" s="143"/>
      <c r="E76" s="303"/>
      <c r="F76" s="303"/>
      <c r="G76" s="303"/>
      <c r="H76" s="303"/>
      <c r="I76" s="303"/>
      <c r="J76" s="303"/>
      <c r="K76" s="303"/>
      <c r="L76" s="143"/>
      <c r="M76" s="303"/>
      <c r="N76" s="303"/>
      <c r="O76" s="303"/>
      <c r="P76" s="303"/>
      <c r="Q76" s="303"/>
      <c r="R76" s="303"/>
      <c r="S76" s="303"/>
      <c r="T76" s="143"/>
      <c r="U76" s="303"/>
      <c r="V76" s="303"/>
      <c r="W76" s="303"/>
      <c r="X76" s="303"/>
      <c r="Y76" s="303"/>
      <c r="Z76" s="303"/>
      <c r="AA76" s="303"/>
      <c r="AB76" s="143"/>
      <c r="AC76" s="303"/>
      <c r="AD76" s="303"/>
      <c r="AE76" s="303"/>
      <c r="AF76" s="303"/>
      <c r="AG76" s="303"/>
      <c r="AH76" s="303"/>
      <c r="AI76" s="143"/>
      <c r="AJ76" s="125"/>
      <c r="AK76" s="125"/>
      <c r="AL76" s="125"/>
      <c r="AM76" s="125"/>
    </row>
    <row r="77" spans="1:39" ht="12.75" x14ac:dyDescent="0.2">
      <c r="A77" s="303"/>
      <c r="B77" s="303"/>
      <c r="C77" s="303"/>
      <c r="D77" s="143"/>
      <c r="E77" s="303"/>
      <c r="F77" s="303"/>
      <c r="G77" s="303"/>
      <c r="H77" s="303"/>
      <c r="I77" s="303"/>
      <c r="J77" s="303"/>
      <c r="K77" s="303"/>
      <c r="L77" s="143"/>
      <c r="M77" s="303"/>
      <c r="N77" s="303"/>
      <c r="O77" s="303"/>
      <c r="P77" s="303"/>
      <c r="Q77" s="303"/>
      <c r="R77" s="303"/>
      <c r="S77" s="303"/>
      <c r="T77" s="143"/>
      <c r="U77" s="303"/>
      <c r="V77" s="303"/>
      <c r="W77" s="303"/>
      <c r="X77" s="303"/>
      <c r="Y77" s="303"/>
      <c r="Z77" s="303"/>
      <c r="AA77" s="303"/>
      <c r="AB77" s="143"/>
      <c r="AC77" s="303"/>
      <c r="AD77" s="303"/>
      <c r="AE77" s="303"/>
      <c r="AF77" s="303"/>
      <c r="AG77" s="303"/>
      <c r="AH77" s="303"/>
      <c r="AI77" s="143"/>
      <c r="AJ77" s="125"/>
      <c r="AK77" s="125"/>
      <c r="AL77" s="125"/>
      <c r="AM77" s="125"/>
    </row>
    <row r="78" spans="1:39" ht="12.75" x14ac:dyDescent="0.2">
      <c r="A78" s="303"/>
      <c r="B78" s="303"/>
      <c r="C78" s="303"/>
      <c r="D78" s="143"/>
      <c r="E78" s="303"/>
      <c r="F78" s="303"/>
      <c r="G78" s="303"/>
      <c r="H78" s="303"/>
      <c r="I78" s="303"/>
      <c r="J78" s="303"/>
      <c r="K78" s="303"/>
      <c r="L78" s="143"/>
      <c r="M78" s="303"/>
      <c r="N78" s="303"/>
      <c r="O78" s="303"/>
      <c r="P78" s="303"/>
      <c r="Q78" s="303"/>
      <c r="R78" s="303"/>
      <c r="S78" s="303"/>
      <c r="T78" s="143"/>
      <c r="U78" s="303"/>
      <c r="V78" s="303"/>
      <c r="W78" s="303"/>
      <c r="X78" s="303"/>
      <c r="Y78" s="303"/>
      <c r="Z78" s="303"/>
      <c r="AA78" s="303"/>
      <c r="AB78" s="143"/>
      <c r="AC78" s="303"/>
      <c r="AD78" s="303"/>
      <c r="AE78" s="303"/>
      <c r="AF78" s="303"/>
      <c r="AG78" s="303"/>
      <c r="AH78" s="303"/>
      <c r="AI78" s="143"/>
      <c r="AJ78" s="125"/>
      <c r="AK78" s="125"/>
      <c r="AL78" s="125"/>
      <c r="AM78" s="125"/>
    </row>
    <row r="79" spans="1:39" ht="12.75" x14ac:dyDescent="0.2">
      <c r="A79" s="303"/>
      <c r="B79" s="303"/>
      <c r="C79" s="303"/>
      <c r="D79" s="143"/>
      <c r="E79" s="303"/>
      <c r="F79" s="303"/>
      <c r="G79" s="303"/>
      <c r="H79" s="303"/>
      <c r="I79" s="303"/>
      <c r="J79" s="303"/>
      <c r="K79" s="303"/>
      <c r="L79" s="143"/>
      <c r="M79" s="303"/>
      <c r="N79" s="303"/>
      <c r="O79" s="303"/>
      <c r="P79" s="303"/>
      <c r="Q79" s="303"/>
      <c r="R79" s="303"/>
      <c r="S79" s="303"/>
      <c r="T79" s="143"/>
      <c r="U79" s="303"/>
      <c r="V79" s="303"/>
      <c r="W79" s="303"/>
      <c r="X79" s="303"/>
      <c r="Y79" s="303"/>
      <c r="Z79" s="303"/>
      <c r="AA79" s="303"/>
      <c r="AB79" s="143"/>
      <c r="AC79" s="303"/>
      <c r="AD79" s="303"/>
      <c r="AE79" s="303"/>
      <c r="AF79" s="303"/>
      <c r="AG79" s="303"/>
      <c r="AH79" s="303"/>
      <c r="AI79" s="143"/>
      <c r="AJ79" s="125"/>
      <c r="AK79" s="125"/>
      <c r="AL79" s="125"/>
      <c r="AM79" s="125"/>
    </row>
    <row r="80" spans="1:39" ht="12.75" x14ac:dyDescent="0.2">
      <c r="A80" s="303"/>
      <c r="B80" s="303"/>
      <c r="C80" s="303"/>
      <c r="D80" s="143"/>
      <c r="E80" s="303"/>
      <c r="F80" s="303"/>
      <c r="G80" s="303"/>
      <c r="H80" s="303"/>
      <c r="I80" s="303"/>
      <c r="J80" s="303"/>
      <c r="K80" s="303"/>
      <c r="L80" s="143"/>
      <c r="M80" s="303"/>
      <c r="N80" s="303"/>
      <c r="O80" s="303"/>
      <c r="P80" s="303"/>
      <c r="Q80" s="303"/>
      <c r="R80" s="303"/>
      <c r="S80" s="303"/>
      <c r="T80" s="143"/>
      <c r="U80" s="303"/>
      <c r="V80" s="303"/>
      <c r="W80" s="303"/>
      <c r="X80" s="303"/>
      <c r="Y80" s="303"/>
      <c r="Z80" s="303"/>
      <c r="AA80" s="303"/>
      <c r="AB80" s="143"/>
      <c r="AC80" s="303"/>
      <c r="AD80" s="303"/>
      <c r="AE80" s="303"/>
      <c r="AF80" s="303"/>
      <c r="AG80" s="303"/>
      <c r="AH80" s="303"/>
      <c r="AI80" s="143"/>
      <c r="AJ80" s="125"/>
      <c r="AK80" s="125"/>
      <c r="AL80" s="125"/>
      <c r="AM80" s="125"/>
    </row>
    <row r="81" spans="1:39" ht="12.75" x14ac:dyDescent="0.2">
      <c r="A81" s="303"/>
      <c r="B81" s="303"/>
      <c r="C81" s="303"/>
      <c r="D81" s="143"/>
      <c r="E81" s="303"/>
      <c r="F81" s="303"/>
      <c r="G81" s="303"/>
      <c r="H81" s="303"/>
      <c r="I81" s="303"/>
      <c r="J81" s="303"/>
      <c r="K81" s="303"/>
      <c r="L81" s="143"/>
      <c r="M81" s="303"/>
      <c r="N81" s="303"/>
      <c r="O81" s="303"/>
      <c r="P81" s="303"/>
      <c r="Q81" s="303"/>
      <c r="R81" s="303"/>
      <c r="S81" s="303"/>
      <c r="T81" s="143"/>
      <c r="U81" s="303"/>
      <c r="V81" s="303"/>
      <c r="W81" s="303"/>
      <c r="X81" s="303"/>
      <c r="Y81" s="303"/>
      <c r="Z81" s="303"/>
      <c r="AA81" s="303"/>
      <c r="AB81" s="143"/>
      <c r="AC81" s="303"/>
      <c r="AD81" s="303"/>
      <c r="AE81" s="303"/>
      <c r="AF81" s="303"/>
      <c r="AG81" s="303"/>
      <c r="AH81" s="303"/>
      <c r="AI81" s="143"/>
      <c r="AJ81" s="125"/>
      <c r="AK81" s="125"/>
      <c r="AL81" s="125"/>
      <c r="AM81" s="125"/>
    </row>
    <row r="82" spans="1:39" ht="12.75" x14ac:dyDescent="0.2">
      <c r="A82" s="303"/>
      <c r="B82" s="303"/>
      <c r="C82" s="303"/>
      <c r="D82" s="143"/>
      <c r="E82" s="303"/>
      <c r="F82" s="303"/>
      <c r="G82" s="303"/>
      <c r="H82" s="303"/>
      <c r="I82" s="303"/>
      <c r="J82" s="303"/>
      <c r="K82" s="303"/>
      <c r="L82" s="143"/>
      <c r="M82" s="303"/>
      <c r="N82" s="303"/>
      <c r="O82" s="303"/>
      <c r="P82" s="303"/>
      <c r="Q82" s="303"/>
      <c r="R82" s="303"/>
      <c r="S82" s="303"/>
      <c r="T82" s="143"/>
      <c r="U82" s="303"/>
      <c r="V82" s="303"/>
      <c r="W82" s="303"/>
      <c r="X82" s="303"/>
      <c r="Y82" s="303"/>
      <c r="Z82" s="303"/>
      <c r="AA82" s="303"/>
      <c r="AB82" s="143"/>
      <c r="AC82" s="303"/>
      <c r="AD82" s="303"/>
      <c r="AE82" s="303"/>
      <c r="AF82" s="303"/>
      <c r="AG82" s="303"/>
      <c r="AH82" s="303"/>
      <c r="AI82" s="143"/>
      <c r="AJ82" s="125"/>
      <c r="AK82" s="125"/>
      <c r="AL82" s="125"/>
      <c r="AM82" s="125"/>
    </row>
    <row r="83" spans="1:39" ht="12.75" x14ac:dyDescent="0.2">
      <c r="A83" s="303"/>
      <c r="B83" s="303"/>
      <c r="C83" s="303"/>
      <c r="D83" s="143"/>
      <c r="E83" s="303"/>
      <c r="F83" s="303"/>
      <c r="G83" s="303"/>
      <c r="H83" s="303"/>
      <c r="I83" s="303"/>
      <c r="J83" s="303"/>
      <c r="K83" s="303"/>
      <c r="L83" s="143"/>
      <c r="M83" s="303"/>
      <c r="N83" s="303"/>
      <c r="O83" s="303"/>
      <c r="P83" s="303"/>
      <c r="Q83" s="303"/>
      <c r="R83" s="303"/>
      <c r="S83" s="303"/>
      <c r="T83" s="143"/>
      <c r="U83" s="303"/>
      <c r="V83" s="303"/>
      <c r="W83" s="303"/>
      <c r="X83" s="303"/>
      <c r="Y83" s="303"/>
      <c r="Z83" s="303"/>
      <c r="AA83" s="303"/>
      <c r="AB83" s="143"/>
      <c r="AC83" s="303"/>
      <c r="AD83" s="303"/>
      <c r="AE83" s="303"/>
      <c r="AF83" s="303"/>
      <c r="AG83" s="303"/>
      <c r="AH83" s="303"/>
      <c r="AI83" s="143"/>
      <c r="AJ83" s="125"/>
      <c r="AK83" s="125"/>
      <c r="AL83" s="125"/>
      <c r="AM83" s="125"/>
    </row>
    <row r="84" spans="1:39" ht="12.75" x14ac:dyDescent="0.2">
      <c r="A84" s="303"/>
      <c r="B84" s="303"/>
      <c r="C84" s="303"/>
      <c r="D84" s="143"/>
      <c r="E84" s="303"/>
      <c r="F84" s="303"/>
      <c r="G84" s="303"/>
      <c r="H84" s="303"/>
      <c r="I84" s="303"/>
      <c r="J84" s="303"/>
      <c r="K84" s="303"/>
      <c r="L84" s="143"/>
      <c r="M84" s="303"/>
      <c r="N84" s="303"/>
      <c r="O84" s="303"/>
      <c r="P84" s="303"/>
      <c r="Q84" s="303"/>
      <c r="R84" s="303"/>
      <c r="S84" s="303"/>
      <c r="T84" s="143"/>
      <c r="U84" s="303"/>
      <c r="V84" s="303"/>
      <c r="W84" s="303"/>
      <c r="X84" s="303"/>
      <c r="Y84" s="303"/>
      <c r="Z84" s="303"/>
      <c r="AA84" s="303"/>
      <c r="AB84" s="143"/>
      <c r="AC84" s="303"/>
      <c r="AD84" s="303"/>
      <c r="AE84" s="303"/>
      <c r="AF84" s="303"/>
      <c r="AG84" s="303"/>
      <c r="AH84" s="303"/>
      <c r="AI84" s="143"/>
      <c r="AJ84" s="125"/>
      <c r="AK84" s="125"/>
      <c r="AL84" s="125"/>
      <c r="AM84" s="125"/>
    </row>
    <row r="85" spans="1:39" ht="12.75" x14ac:dyDescent="0.2">
      <c r="A85" s="303"/>
      <c r="B85" s="303"/>
      <c r="C85" s="303"/>
      <c r="D85" s="143"/>
      <c r="E85" s="303"/>
      <c r="F85" s="303"/>
      <c r="G85" s="303"/>
      <c r="H85" s="303"/>
      <c r="I85" s="303"/>
      <c r="J85" s="303"/>
      <c r="K85" s="303"/>
      <c r="L85" s="143"/>
      <c r="M85" s="303"/>
      <c r="N85" s="303"/>
      <c r="O85" s="303"/>
      <c r="P85" s="303"/>
      <c r="Q85" s="303"/>
      <c r="R85" s="303"/>
      <c r="S85" s="303"/>
      <c r="T85" s="143"/>
      <c r="U85" s="303"/>
      <c r="V85" s="303"/>
      <c r="W85" s="303"/>
      <c r="X85" s="303"/>
      <c r="Y85" s="303"/>
      <c r="Z85" s="303"/>
      <c r="AA85" s="303"/>
      <c r="AB85" s="143"/>
      <c r="AC85" s="303"/>
      <c r="AD85" s="303"/>
      <c r="AE85" s="303"/>
      <c r="AF85" s="303"/>
      <c r="AG85" s="303"/>
      <c r="AH85" s="303"/>
      <c r="AI85" s="143"/>
      <c r="AJ85" s="125"/>
      <c r="AK85" s="125"/>
      <c r="AL85" s="125"/>
      <c r="AM85" s="125"/>
    </row>
    <row r="86" spans="1:39" ht="12.75" x14ac:dyDescent="0.2">
      <c r="A86" s="303"/>
      <c r="B86" s="303"/>
      <c r="C86" s="303"/>
      <c r="D86" s="143"/>
      <c r="E86" s="303"/>
      <c r="F86" s="303"/>
      <c r="G86" s="303"/>
      <c r="H86" s="303"/>
      <c r="I86" s="303"/>
      <c r="J86" s="303"/>
      <c r="K86" s="303"/>
      <c r="L86" s="143"/>
      <c r="M86" s="303"/>
      <c r="N86" s="303"/>
      <c r="O86" s="303"/>
      <c r="P86" s="303"/>
      <c r="Q86" s="303"/>
      <c r="R86" s="303"/>
      <c r="S86" s="303"/>
      <c r="T86" s="143"/>
      <c r="U86" s="303"/>
      <c r="V86" s="303"/>
      <c r="W86" s="303"/>
      <c r="X86" s="303"/>
      <c r="Y86" s="303"/>
      <c r="Z86" s="303"/>
      <c r="AA86" s="303"/>
      <c r="AB86" s="143"/>
      <c r="AC86" s="303"/>
      <c r="AD86" s="303"/>
      <c r="AE86" s="303"/>
      <c r="AF86" s="303"/>
      <c r="AG86" s="303"/>
      <c r="AH86" s="303"/>
      <c r="AI86" s="143"/>
      <c r="AJ86" s="125"/>
      <c r="AK86" s="125"/>
      <c r="AL86" s="125"/>
      <c r="AM86" s="125"/>
    </row>
    <row r="87" spans="1:39" ht="12.75" x14ac:dyDescent="0.2">
      <c r="A87" s="303"/>
      <c r="B87" s="303"/>
      <c r="C87" s="303"/>
      <c r="D87" s="143"/>
      <c r="E87" s="303"/>
      <c r="F87" s="303"/>
      <c r="G87" s="303"/>
      <c r="H87" s="303"/>
      <c r="I87" s="303"/>
      <c r="J87" s="303"/>
      <c r="K87" s="303"/>
      <c r="L87" s="143"/>
      <c r="M87" s="303"/>
      <c r="N87" s="303"/>
      <c r="O87" s="303"/>
      <c r="P87" s="303"/>
      <c r="Q87" s="303"/>
      <c r="R87" s="303"/>
      <c r="S87" s="303"/>
      <c r="T87" s="143"/>
      <c r="U87" s="303"/>
      <c r="V87" s="303"/>
      <c r="W87" s="303"/>
      <c r="X87" s="303"/>
      <c r="Y87" s="303"/>
      <c r="Z87" s="303"/>
      <c r="AA87" s="303"/>
      <c r="AB87" s="143"/>
      <c r="AC87" s="303"/>
      <c r="AD87" s="303"/>
      <c r="AE87" s="303"/>
      <c r="AF87" s="303"/>
      <c r="AG87" s="303"/>
      <c r="AH87" s="303"/>
      <c r="AI87" s="143"/>
      <c r="AJ87" s="125"/>
      <c r="AK87" s="125"/>
      <c r="AL87" s="125"/>
      <c r="AM87" s="125"/>
    </row>
    <row r="88" spans="1:39" ht="12.75" x14ac:dyDescent="0.2">
      <c r="A88" s="303"/>
      <c r="B88" s="303"/>
      <c r="C88" s="303"/>
      <c r="D88" s="143"/>
      <c r="E88" s="303"/>
      <c r="F88" s="303"/>
      <c r="G88" s="303"/>
      <c r="H88" s="303"/>
      <c r="I88" s="303"/>
      <c r="J88" s="303"/>
      <c r="K88" s="303"/>
      <c r="L88" s="143"/>
      <c r="M88" s="303"/>
      <c r="N88" s="303"/>
      <c r="O88" s="303"/>
      <c r="P88" s="303"/>
      <c r="Q88" s="303"/>
      <c r="R88" s="303"/>
      <c r="S88" s="303"/>
      <c r="T88" s="143"/>
      <c r="U88" s="303"/>
      <c r="V88" s="303"/>
      <c r="W88" s="303"/>
      <c r="X88" s="303"/>
      <c r="Y88" s="303"/>
      <c r="Z88" s="303"/>
      <c r="AA88" s="303"/>
      <c r="AB88" s="143"/>
      <c r="AC88" s="303"/>
      <c r="AD88" s="303"/>
      <c r="AE88" s="303"/>
      <c r="AF88" s="303"/>
      <c r="AG88" s="303"/>
      <c r="AH88" s="303"/>
      <c r="AI88" s="143"/>
      <c r="AJ88" s="125"/>
      <c r="AK88" s="125"/>
      <c r="AL88" s="125"/>
      <c r="AM88" s="125"/>
    </row>
    <row r="89" spans="1:39" ht="12.75" x14ac:dyDescent="0.2">
      <c r="A89" s="303"/>
      <c r="B89" s="303"/>
      <c r="C89" s="303"/>
      <c r="D89" s="143"/>
      <c r="E89" s="303"/>
      <c r="F89" s="303"/>
      <c r="G89" s="303"/>
      <c r="H89" s="303"/>
      <c r="I89" s="303"/>
      <c r="J89" s="303"/>
      <c r="K89" s="303"/>
      <c r="L89" s="143"/>
      <c r="M89" s="303"/>
      <c r="N89" s="303"/>
      <c r="O89" s="303"/>
      <c r="P89" s="303"/>
      <c r="Q89" s="303"/>
      <c r="R89" s="303"/>
      <c r="S89" s="303"/>
      <c r="T89" s="143"/>
      <c r="U89" s="303"/>
      <c r="V89" s="303"/>
      <c r="W89" s="303"/>
      <c r="X89" s="303"/>
      <c r="Y89" s="303"/>
      <c r="Z89" s="303"/>
      <c r="AA89" s="303"/>
      <c r="AB89" s="143"/>
      <c r="AC89" s="303"/>
      <c r="AD89" s="303"/>
      <c r="AE89" s="303"/>
      <c r="AF89" s="303"/>
      <c r="AG89" s="303"/>
      <c r="AH89" s="303"/>
      <c r="AI89" s="143"/>
      <c r="AJ89" s="125"/>
      <c r="AK89" s="125"/>
      <c r="AL89" s="125"/>
      <c r="AM89" s="125"/>
    </row>
    <row r="90" spans="1:39" ht="12.75" x14ac:dyDescent="0.2">
      <c r="A90" s="303"/>
      <c r="B90" s="303"/>
      <c r="C90" s="303"/>
      <c r="D90" s="143"/>
      <c r="E90" s="303"/>
      <c r="F90" s="303"/>
      <c r="G90" s="303"/>
      <c r="H90" s="303"/>
      <c r="I90" s="303"/>
      <c r="J90" s="303"/>
      <c r="K90" s="303"/>
      <c r="L90" s="143"/>
      <c r="M90" s="303"/>
      <c r="N90" s="303"/>
      <c r="O90" s="303"/>
      <c r="P90" s="303"/>
      <c r="Q90" s="303"/>
      <c r="R90" s="303"/>
      <c r="S90" s="303"/>
      <c r="T90" s="143"/>
      <c r="U90" s="303"/>
      <c r="V90" s="303"/>
      <c r="W90" s="303"/>
      <c r="X90" s="303"/>
      <c r="Y90" s="303"/>
      <c r="Z90" s="303"/>
      <c r="AA90" s="303"/>
      <c r="AB90" s="143"/>
      <c r="AC90" s="303"/>
      <c r="AD90" s="303"/>
      <c r="AE90" s="303"/>
      <c r="AF90" s="303"/>
      <c r="AG90" s="303"/>
      <c r="AH90" s="303"/>
      <c r="AI90" s="143"/>
      <c r="AJ90" s="125"/>
      <c r="AK90" s="125"/>
      <c r="AL90" s="125"/>
      <c r="AM90" s="125"/>
    </row>
    <row r="91" spans="1:39" ht="12.75" x14ac:dyDescent="0.2">
      <c r="A91" s="303"/>
      <c r="B91" s="303"/>
      <c r="C91" s="303"/>
      <c r="D91" s="143"/>
      <c r="E91" s="303"/>
      <c r="F91" s="303"/>
      <c r="G91" s="303"/>
      <c r="H91" s="303"/>
      <c r="I91" s="303"/>
      <c r="J91" s="303"/>
      <c r="K91" s="303"/>
      <c r="L91" s="143"/>
      <c r="M91" s="303"/>
      <c r="N91" s="303"/>
      <c r="O91" s="303"/>
      <c r="P91" s="303"/>
      <c r="Q91" s="303"/>
      <c r="R91" s="303"/>
      <c r="S91" s="303"/>
      <c r="T91" s="143"/>
      <c r="U91" s="303"/>
      <c r="V91" s="303"/>
      <c r="W91" s="303"/>
      <c r="X91" s="303"/>
      <c r="Y91" s="303"/>
      <c r="Z91" s="303"/>
      <c r="AA91" s="303"/>
      <c r="AB91" s="143"/>
      <c r="AC91" s="303"/>
      <c r="AD91" s="303"/>
      <c r="AE91" s="303"/>
      <c r="AF91" s="303"/>
      <c r="AG91" s="303"/>
      <c r="AH91" s="303"/>
      <c r="AI91" s="143"/>
      <c r="AJ91" s="125"/>
      <c r="AK91" s="125"/>
      <c r="AL91" s="125"/>
      <c r="AM91" s="125"/>
    </row>
    <row r="92" spans="1:39" ht="12.75" x14ac:dyDescent="0.2">
      <c r="A92" s="303"/>
      <c r="B92" s="303"/>
      <c r="C92" s="303"/>
      <c r="D92" s="143"/>
      <c r="E92" s="303"/>
      <c r="F92" s="303"/>
      <c r="G92" s="303"/>
      <c r="H92" s="303"/>
      <c r="I92" s="303"/>
      <c r="J92" s="303"/>
      <c r="K92" s="303"/>
      <c r="L92" s="143"/>
      <c r="M92" s="303"/>
      <c r="N92" s="303"/>
      <c r="O92" s="303"/>
      <c r="P92" s="303"/>
      <c r="Q92" s="303"/>
      <c r="R92" s="303"/>
      <c r="S92" s="303"/>
      <c r="T92" s="143"/>
      <c r="U92" s="303"/>
      <c r="V92" s="303"/>
      <c r="W92" s="303"/>
      <c r="X92" s="303"/>
      <c r="Y92" s="303"/>
      <c r="Z92" s="303"/>
      <c r="AA92" s="303"/>
      <c r="AB92" s="143"/>
      <c r="AC92" s="303"/>
      <c r="AD92" s="303"/>
      <c r="AE92" s="303"/>
      <c r="AF92" s="303"/>
      <c r="AG92" s="303"/>
      <c r="AH92" s="303"/>
      <c r="AI92" s="143"/>
      <c r="AJ92" s="125"/>
      <c r="AK92" s="125"/>
      <c r="AL92" s="125"/>
      <c r="AM92" s="125"/>
    </row>
    <row r="93" spans="1:39" ht="12.75" x14ac:dyDescent="0.2">
      <c r="A93" s="303"/>
      <c r="B93" s="303"/>
      <c r="C93" s="303"/>
      <c r="D93" s="143"/>
      <c r="E93" s="303"/>
      <c r="F93" s="303"/>
      <c r="G93" s="303"/>
      <c r="H93" s="303"/>
      <c r="I93" s="303"/>
      <c r="J93" s="303"/>
      <c r="K93" s="303"/>
      <c r="L93" s="143"/>
      <c r="M93" s="303"/>
      <c r="N93" s="303"/>
      <c r="O93" s="303"/>
      <c r="P93" s="303"/>
      <c r="Q93" s="303"/>
      <c r="R93" s="303"/>
      <c r="S93" s="303"/>
      <c r="T93" s="143"/>
      <c r="U93" s="303"/>
      <c r="V93" s="303"/>
      <c r="W93" s="303"/>
      <c r="X93" s="303"/>
      <c r="Y93" s="303"/>
      <c r="Z93" s="303"/>
      <c r="AA93" s="303"/>
      <c r="AB93" s="143"/>
      <c r="AC93" s="303"/>
      <c r="AD93" s="303"/>
      <c r="AE93" s="303"/>
      <c r="AF93" s="303"/>
      <c r="AG93" s="303"/>
      <c r="AH93" s="303"/>
      <c r="AI93" s="143"/>
      <c r="AJ93" s="125"/>
      <c r="AK93" s="125"/>
      <c r="AL93" s="125"/>
      <c r="AM93" s="125"/>
    </row>
    <row r="94" spans="1:39" ht="12.75" x14ac:dyDescent="0.2">
      <c r="A94" s="303"/>
      <c r="B94" s="303"/>
      <c r="C94" s="303"/>
      <c r="D94" s="143"/>
      <c r="E94" s="303"/>
      <c r="F94" s="303"/>
      <c r="G94" s="303"/>
      <c r="H94" s="303"/>
      <c r="I94" s="303"/>
      <c r="J94" s="303"/>
      <c r="K94" s="303"/>
      <c r="L94" s="143"/>
      <c r="M94" s="303"/>
      <c r="N94" s="303"/>
      <c r="O94" s="303"/>
      <c r="P94" s="303"/>
      <c r="Q94" s="303"/>
      <c r="R94" s="303"/>
      <c r="S94" s="303"/>
      <c r="T94" s="143"/>
      <c r="U94" s="303"/>
      <c r="V94" s="303"/>
      <c r="W94" s="303"/>
      <c r="X94" s="303"/>
      <c r="Y94" s="303"/>
      <c r="Z94" s="303"/>
      <c r="AA94" s="303"/>
      <c r="AB94" s="143"/>
      <c r="AC94" s="303"/>
      <c r="AD94" s="303"/>
      <c r="AE94" s="303"/>
      <c r="AF94" s="303"/>
      <c r="AG94" s="303"/>
      <c r="AH94" s="303"/>
      <c r="AI94" s="143"/>
      <c r="AJ94" s="125"/>
      <c r="AK94" s="125"/>
      <c r="AL94" s="125"/>
      <c r="AM94" s="125"/>
    </row>
    <row r="95" spans="1:39" ht="12.75" x14ac:dyDescent="0.2">
      <c r="A95" s="303"/>
      <c r="B95" s="303"/>
      <c r="C95" s="303"/>
      <c r="D95" s="143"/>
      <c r="E95" s="303"/>
      <c r="F95" s="303"/>
      <c r="G95" s="303"/>
      <c r="H95" s="303"/>
      <c r="I95" s="303"/>
      <c r="J95" s="303"/>
      <c r="K95" s="303"/>
      <c r="L95" s="143"/>
      <c r="M95" s="303"/>
      <c r="N95" s="303"/>
      <c r="O95" s="303"/>
      <c r="P95" s="303"/>
      <c r="Q95" s="303"/>
      <c r="R95" s="303"/>
      <c r="S95" s="303"/>
      <c r="T95" s="143"/>
      <c r="U95" s="303"/>
      <c r="V95" s="303"/>
      <c r="W95" s="303"/>
      <c r="X95" s="303"/>
      <c r="Y95" s="303"/>
      <c r="Z95" s="303"/>
      <c r="AA95" s="303"/>
      <c r="AB95" s="143"/>
      <c r="AC95" s="303"/>
      <c r="AD95" s="303"/>
      <c r="AE95" s="303"/>
      <c r="AF95" s="303"/>
      <c r="AG95" s="303"/>
      <c r="AH95" s="303"/>
      <c r="AI95" s="143"/>
      <c r="AJ95" s="125"/>
      <c r="AK95" s="125"/>
      <c r="AL95" s="125"/>
      <c r="AM95" s="125"/>
    </row>
    <row r="96" spans="1:39" ht="12.75" x14ac:dyDescent="0.2">
      <c r="A96" s="303"/>
      <c r="B96" s="303"/>
      <c r="C96" s="303"/>
      <c r="D96" s="143"/>
      <c r="E96" s="303"/>
      <c r="F96" s="303"/>
      <c r="G96" s="303"/>
      <c r="H96" s="303"/>
      <c r="I96" s="303"/>
      <c r="J96" s="303"/>
      <c r="K96" s="303"/>
      <c r="L96" s="143"/>
      <c r="M96" s="303"/>
      <c r="N96" s="303"/>
      <c r="O96" s="303"/>
      <c r="P96" s="303"/>
      <c r="Q96" s="303"/>
      <c r="R96" s="303"/>
      <c r="S96" s="303"/>
      <c r="T96" s="143"/>
      <c r="U96" s="303"/>
      <c r="V96" s="303"/>
      <c r="W96" s="303"/>
      <c r="X96" s="303"/>
      <c r="Y96" s="303"/>
      <c r="Z96" s="303"/>
      <c r="AA96" s="303"/>
      <c r="AB96" s="143"/>
      <c r="AC96" s="303"/>
      <c r="AD96" s="303"/>
      <c r="AE96" s="303"/>
      <c r="AF96" s="303"/>
      <c r="AG96" s="303"/>
      <c r="AH96" s="303"/>
      <c r="AI96" s="143"/>
      <c r="AJ96" s="125"/>
      <c r="AK96" s="125"/>
      <c r="AL96" s="125"/>
      <c r="AM96" s="125"/>
    </row>
    <row r="97" spans="1:39" ht="12.75" x14ac:dyDescent="0.2">
      <c r="A97" s="303"/>
      <c r="B97" s="303"/>
      <c r="C97" s="303"/>
      <c r="D97" s="143"/>
      <c r="E97" s="303"/>
      <c r="F97" s="303"/>
      <c r="G97" s="303"/>
      <c r="H97" s="303"/>
      <c r="I97" s="303"/>
      <c r="J97" s="303"/>
      <c r="K97" s="303"/>
      <c r="L97" s="143"/>
      <c r="M97" s="303"/>
      <c r="N97" s="303"/>
      <c r="O97" s="303"/>
      <c r="P97" s="303"/>
      <c r="Q97" s="303"/>
      <c r="R97" s="303"/>
      <c r="S97" s="303"/>
      <c r="T97" s="143"/>
      <c r="U97" s="303"/>
      <c r="V97" s="303"/>
      <c r="W97" s="303"/>
      <c r="X97" s="303"/>
      <c r="Y97" s="303"/>
      <c r="Z97" s="303"/>
      <c r="AA97" s="303"/>
      <c r="AB97" s="143"/>
      <c r="AC97" s="303"/>
      <c r="AD97" s="303"/>
      <c r="AE97" s="303"/>
      <c r="AF97" s="303"/>
      <c r="AG97" s="303"/>
      <c r="AH97" s="303"/>
      <c r="AI97" s="143"/>
      <c r="AJ97" s="125"/>
      <c r="AK97" s="125"/>
      <c r="AL97" s="125"/>
      <c r="AM97" s="125"/>
    </row>
    <row r="98" spans="1:39" ht="12.75" x14ac:dyDescent="0.2">
      <c r="A98" s="303"/>
      <c r="B98" s="303"/>
      <c r="C98" s="303"/>
      <c r="D98" s="143"/>
      <c r="E98" s="303"/>
      <c r="F98" s="303"/>
      <c r="G98" s="303"/>
      <c r="H98" s="303"/>
      <c r="I98" s="303"/>
      <c r="J98" s="303"/>
      <c r="K98" s="303"/>
      <c r="L98" s="143"/>
      <c r="M98" s="303"/>
      <c r="N98" s="303"/>
      <c r="O98" s="303"/>
      <c r="P98" s="303"/>
      <c r="Q98" s="303"/>
      <c r="R98" s="303"/>
      <c r="S98" s="303"/>
      <c r="T98" s="143"/>
      <c r="U98" s="303"/>
      <c r="V98" s="303"/>
      <c r="W98" s="303"/>
      <c r="X98" s="303"/>
      <c r="Y98" s="303"/>
      <c r="Z98" s="303"/>
      <c r="AA98" s="303"/>
      <c r="AB98" s="143"/>
      <c r="AC98" s="303"/>
      <c r="AD98" s="303"/>
      <c r="AE98" s="303"/>
      <c r="AF98" s="303"/>
      <c r="AG98" s="303"/>
      <c r="AH98" s="303"/>
      <c r="AI98" s="143"/>
      <c r="AJ98" s="125"/>
      <c r="AK98" s="125"/>
      <c r="AL98" s="125"/>
      <c r="AM98" s="125"/>
    </row>
    <row r="99" spans="1:39" ht="12.75" x14ac:dyDescent="0.2">
      <c r="A99" s="303"/>
      <c r="B99" s="303"/>
      <c r="C99" s="303"/>
      <c r="D99" s="143"/>
      <c r="E99" s="303"/>
      <c r="F99" s="303"/>
      <c r="G99" s="303"/>
      <c r="H99" s="303"/>
      <c r="I99" s="303"/>
      <c r="J99" s="303"/>
      <c r="K99" s="303"/>
      <c r="L99" s="143"/>
      <c r="M99" s="303"/>
      <c r="N99" s="303"/>
      <c r="O99" s="303"/>
      <c r="P99" s="303"/>
      <c r="Q99" s="303"/>
      <c r="R99" s="303"/>
      <c r="S99" s="303"/>
      <c r="T99" s="143"/>
      <c r="U99" s="303"/>
      <c r="V99" s="303"/>
      <c r="W99" s="303"/>
      <c r="X99" s="303"/>
      <c r="Y99" s="303"/>
      <c r="Z99" s="303"/>
      <c r="AA99" s="303"/>
      <c r="AB99" s="143"/>
      <c r="AC99" s="303"/>
      <c r="AD99" s="303"/>
      <c r="AE99" s="303"/>
      <c r="AF99" s="303"/>
      <c r="AG99" s="303"/>
      <c r="AH99" s="303"/>
      <c r="AI99" s="143"/>
      <c r="AJ99" s="125"/>
      <c r="AK99" s="125"/>
      <c r="AL99" s="125"/>
      <c r="AM99" s="125"/>
    </row>
    <row r="100" spans="1:39" ht="12.75" x14ac:dyDescent="0.2">
      <c r="A100" s="303"/>
      <c r="B100" s="303"/>
      <c r="C100" s="303"/>
      <c r="D100" s="143"/>
      <c r="E100" s="303"/>
      <c r="F100" s="303"/>
      <c r="G100" s="303"/>
      <c r="H100" s="303"/>
      <c r="I100" s="303"/>
      <c r="J100" s="303"/>
      <c r="K100" s="303"/>
      <c r="L100" s="143"/>
      <c r="M100" s="303"/>
      <c r="N100" s="303"/>
      <c r="O100" s="303"/>
      <c r="P100" s="303"/>
      <c r="Q100" s="303"/>
      <c r="R100" s="303"/>
      <c r="S100" s="303"/>
      <c r="T100" s="143"/>
      <c r="U100" s="303"/>
      <c r="V100" s="303"/>
      <c r="W100" s="303"/>
      <c r="X100" s="303"/>
      <c r="Y100" s="303"/>
      <c r="Z100" s="303"/>
      <c r="AA100" s="303"/>
      <c r="AB100" s="143"/>
      <c r="AC100" s="303"/>
      <c r="AD100" s="303"/>
      <c r="AE100" s="303"/>
      <c r="AF100" s="303"/>
      <c r="AG100" s="303"/>
      <c r="AH100" s="303"/>
      <c r="AI100" s="143"/>
      <c r="AJ100" s="125"/>
      <c r="AK100" s="125"/>
      <c r="AL100" s="125"/>
      <c r="AM100" s="125"/>
    </row>
    <row r="101" spans="1:39" ht="12.75" x14ac:dyDescent="0.2">
      <c r="A101" s="303"/>
      <c r="B101" s="303"/>
      <c r="C101" s="303"/>
      <c r="D101" s="143"/>
      <c r="E101" s="303"/>
      <c r="F101" s="303"/>
      <c r="G101" s="303"/>
      <c r="H101" s="303"/>
      <c r="I101" s="303"/>
      <c r="J101" s="303"/>
      <c r="K101" s="303"/>
      <c r="L101" s="143"/>
      <c r="M101" s="303"/>
      <c r="N101" s="303"/>
      <c r="O101" s="303"/>
      <c r="P101" s="303"/>
      <c r="Q101" s="303"/>
      <c r="R101" s="303"/>
      <c r="S101" s="303"/>
      <c r="T101" s="143"/>
      <c r="U101" s="303"/>
      <c r="V101" s="303"/>
      <c r="W101" s="303"/>
      <c r="X101" s="303"/>
      <c r="Y101" s="303"/>
      <c r="Z101" s="303"/>
      <c r="AA101" s="303"/>
      <c r="AB101" s="143"/>
      <c r="AC101" s="303"/>
      <c r="AD101" s="303"/>
      <c r="AE101" s="303"/>
      <c r="AF101" s="303"/>
      <c r="AG101" s="303"/>
      <c r="AH101" s="303"/>
      <c r="AI101" s="143"/>
      <c r="AJ101" s="125"/>
      <c r="AK101" s="125"/>
      <c r="AL101" s="125"/>
      <c r="AM101" s="125"/>
    </row>
    <row r="102" spans="1:39" ht="12.75" x14ac:dyDescent="0.2">
      <c r="A102" s="303"/>
      <c r="B102" s="303"/>
      <c r="C102" s="303"/>
      <c r="D102" s="143"/>
      <c r="E102" s="303"/>
      <c r="F102" s="303"/>
      <c r="G102" s="303"/>
      <c r="H102" s="303"/>
      <c r="I102" s="303"/>
      <c r="J102" s="303"/>
      <c r="K102" s="303"/>
      <c r="L102" s="143"/>
      <c r="M102" s="303"/>
      <c r="N102" s="303"/>
      <c r="O102" s="303"/>
      <c r="P102" s="303"/>
      <c r="Q102" s="303"/>
      <c r="R102" s="303"/>
      <c r="S102" s="303"/>
      <c r="T102" s="143"/>
      <c r="U102" s="303"/>
      <c r="V102" s="303"/>
      <c r="W102" s="303"/>
      <c r="X102" s="303"/>
      <c r="Y102" s="303"/>
      <c r="Z102" s="303"/>
      <c r="AA102" s="303"/>
      <c r="AB102" s="143"/>
      <c r="AC102" s="303"/>
      <c r="AD102" s="303"/>
      <c r="AE102" s="303"/>
      <c r="AF102" s="303"/>
      <c r="AG102" s="303"/>
      <c r="AH102" s="303"/>
      <c r="AI102" s="143"/>
      <c r="AJ102" s="125"/>
      <c r="AK102" s="125"/>
      <c r="AL102" s="125"/>
      <c r="AM102" s="125"/>
    </row>
    <row r="103" spans="1:39" ht="12.75" x14ac:dyDescent="0.2">
      <c r="A103" s="303"/>
      <c r="B103" s="303"/>
      <c r="C103" s="303"/>
      <c r="D103" s="143"/>
      <c r="E103" s="303"/>
      <c r="F103" s="303"/>
      <c r="G103" s="303"/>
      <c r="H103" s="303"/>
      <c r="I103" s="303"/>
      <c r="J103" s="303"/>
      <c r="K103" s="303"/>
      <c r="L103" s="143"/>
      <c r="M103" s="303"/>
      <c r="N103" s="303"/>
      <c r="O103" s="303"/>
      <c r="P103" s="303"/>
      <c r="Q103" s="303"/>
      <c r="R103" s="303"/>
      <c r="S103" s="303"/>
      <c r="T103" s="143"/>
      <c r="U103" s="303"/>
      <c r="V103" s="303"/>
      <c r="W103" s="303"/>
      <c r="X103" s="303"/>
      <c r="Y103" s="303"/>
      <c r="Z103" s="303"/>
      <c r="AA103" s="303"/>
      <c r="AB103" s="143"/>
      <c r="AC103" s="303"/>
      <c r="AD103" s="303"/>
      <c r="AE103" s="303"/>
      <c r="AF103" s="303"/>
      <c r="AG103" s="303"/>
      <c r="AH103" s="303"/>
      <c r="AI103" s="143"/>
      <c r="AJ103" s="125"/>
      <c r="AK103" s="125"/>
      <c r="AL103" s="125"/>
      <c r="AM103" s="125"/>
    </row>
    <row r="104" spans="1:39" ht="12.75" x14ac:dyDescent="0.2">
      <c r="A104" s="303"/>
      <c r="B104" s="303"/>
      <c r="C104" s="303"/>
      <c r="D104" s="143"/>
      <c r="E104" s="303"/>
      <c r="F104" s="303"/>
      <c r="G104" s="303"/>
      <c r="H104" s="303"/>
      <c r="I104" s="303"/>
      <c r="J104" s="303"/>
      <c r="K104" s="303"/>
      <c r="L104" s="143"/>
      <c r="M104" s="303"/>
      <c r="N104" s="303"/>
      <c r="O104" s="303"/>
      <c r="P104" s="303"/>
      <c r="Q104" s="303"/>
      <c r="R104" s="303"/>
      <c r="S104" s="303"/>
      <c r="T104" s="143"/>
      <c r="U104" s="303"/>
      <c r="V104" s="303"/>
      <c r="W104" s="303"/>
      <c r="X104" s="303"/>
      <c r="Y104" s="303"/>
      <c r="Z104" s="303"/>
      <c r="AA104" s="303"/>
      <c r="AB104" s="143"/>
      <c r="AC104" s="303"/>
      <c r="AD104" s="303"/>
      <c r="AE104" s="303"/>
      <c r="AF104" s="303"/>
      <c r="AG104" s="303"/>
      <c r="AH104" s="303"/>
      <c r="AI104" s="143"/>
      <c r="AJ104" s="125"/>
      <c r="AK104" s="125"/>
      <c r="AL104" s="125"/>
      <c r="AM104" s="125"/>
    </row>
    <row r="105" spans="1:39" ht="12.75" x14ac:dyDescent="0.2">
      <c r="A105" s="303"/>
      <c r="B105" s="303"/>
      <c r="C105" s="303"/>
      <c r="D105" s="143"/>
      <c r="E105" s="303"/>
      <c r="F105" s="303"/>
      <c r="G105" s="303"/>
      <c r="H105" s="303"/>
      <c r="I105" s="303"/>
      <c r="J105" s="303"/>
      <c r="K105" s="303"/>
      <c r="L105" s="143"/>
      <c r="M105" s="303"/>
      <c r="N105" s="303"/>
      <c r="O105" s="303"/>
      <c r="P105" s="303"/>
      <c r="Q105" s="303"/>
      <c r="R105" s="303"/>
      <c r="S105" s="303"/>
      <c r="T105" s="143"/>
      <c r="U105" s="303"/>
      <c r="V105" s="303"/>
      <c r="W105" s="303"/>
      <c r="X105" s="303"/>
      <c r="Y105" s="303"/>
      <c r="Z105" s="303"/>
      <c r="AA105" s="303"/>
      <c r="AB105" s="143"/>
      <c r="AC105" s="303"/>
      <c r="AD105" s="303"/>
      <c r="AE105" s="303"/>
      <c r="AF105" s="303"/>
      <c r="AG105" s="303"/>
      <c r="AH105" s="303"/>
      <c r="AI105" s="143"/>
      <c r="AJ105" s="125"/>
      <c r="AK105" s="125"/>
      <c r="AL105" s="125"/>
      <c r="AM105" s="125"/>
    </row>
    <row r="106" spans="1:39" ht="12.75" x14ac:dyDescent="0.2">
      <c r="A106" s="303"/>
      <c r="B106" s="303"/>
      <c r="C106" s="303"/>
      <c r="D106" s="143"/>
      <c r="E106" s="303"/>
      <c r="F106" s="303"/>
      <c r="G106" s="303"/>
      <c r="H106" s="303"/>
      <c r="I106" s="303"/>
      <c r="J106" s="303"/>
      <c r="K106" s="303"/>
      <c r="L106" s="143"/>
      <c r="M106" s="303"/>
      <c r="N106" s="303"/>
      <c r="O106" s="303"/>
      <c r="P106" s="303"/>
      <c r="Q106" s="303"/>
      <c r="R106" s="303"/>
      <c r="S106" s="303"/>
      <c r="T106" s="143"/>
      <c r="U106" s="303"/>
      <c r="V106" s="303"/>
      <c r="W106" s="303"/>
      <c r="X106" s="303"/>
      <c r="Y106" s="303"/>
      <c r="Z106" s="303"/>
      <c r="AA106" s="303"/>
      <c r="AB106" s="143"/>
      <c r="AC106" s="303"/>
      <c r="AD106" s="303"/>
      <c r="AE106" s="303"/>
      <c r="AF106" s="303"/>
      <c r="AG106" s="303"/>
      <c r="AH106" s="303"/>
      <c r="AI106" s="143"/>
      <c r="AJ106" s="125"/>
      <c r="AK106" s="125"/>
      <c r="AL106" s="125"/>
      <c r="AM106" s="125"/>
    </row>
    <row r="107" spans="1:39" ht="12.75" x14ac:dyDescent="0.2">
      <c r="A107" s="303"/>
      <c r="B107" s="303"/>
      <c r="C107" s="303"/>
      <c r="D107" s="143"/>
      <c r="E107" s="303"/>
      <c r="F107" s="303"/>
      <c r="G107" s="303"/>
      <c r="H107" s="303"/>
      <c r="I107" s="303"/>
      <c r="J107" s="303"/>
      <c r="K107" s="303"/>
      <c r="L107" s="143"/>
      <c r="M107" s="303"/>
      <c r="N107" s="303"/>
      <c r="O107" s="303"/>
      <c r="P107" s="303"/>
      <c r="Q107" s="303"/>
      <c r="R107" s="303"/>
      <c r="S107" s="303"/>
      <c r="T107" s="143"/>
      <c r="U107" s="303"/>
      <c r="V107" s="303"/>
      <c r="W107" s="303"/>
      <c r="X107" s="303"/>
      <c r="Y107" s="303"/>
      <c r="Z107" s="303"/>
      <c r="AA107" s="303"/>
      <c r="AB107" s="143"/>
      <c r="AC107" s="303"/>
      <c r="AD107" s="303"/>
      <c r="AE107" s="303"/>
      <c r="AF107" s="303"/>
      <c r="AG107" s="303"/>
      <c r="AH107" s="303"/>
      <c r="AI107" s="143"/>
      <c r="AJ107" s="125"/>
      <c r="AK107" s="125"/>
      <c r="AL107" s="125"/>
      <c r="AM107" s="125"/>
    </row>
    <row r="108" spans="1:39" ht="12.75" x14ac:dyDescent="0.2">
      <c r="A108" s="303"/>
      <c r="B108" s="303"/>
      <c r="C108" s="303"/>
      <c r="D108" s="143"/>
      <c r="E108" s="303"/>
      <c r="F108" s="303"/>
      <c r="G108" s="303"/>
      <c r="H108" s="303"/>
      <c r="I108" s="303"/>
      <c r="J108" s="303"/>
      <c r="K108" s="303"/>
      <c r="L108" s="143"/>
      <c r="M108" s="303"/>
      <c r="N108" s="303"/>
      <c r="O108" s="303"/>
      <c r="P108" s="303"/>
      <c r="Q108" s="303"/>
      <c r="R108" s="303"/>
      <c r="S108" s="303"/>
      <c r="T108" s="143"/>
      <c r="U108" s="303"/>
      <c r="V108" s="303"/>
      <c r="W108" s="303"/>
      <c r="X108" s="303"/>
      <c r="Y108" s="303"/>
      <c r="Z108" s="303"/>
      <c r="AA108" s="303"/>
      <c r="AB108" s="143"/>
      <c r="AC108" s="303"/>
      <c r="AD108" s="303"/>
      <c r="AE108" s="303"/>
      <c r="AF108" s="303"/>
      <c r="AG108" s="303"/>
      <c r="AH108" s="303"/>
      <c r="AI108" s="143"/>
      <c r="AJ108" s="125"/>
      <c r="AK108" s="125"/>
      <c r="AL108" s="125"/>
      <c r="AM108" s="125"/>
    </row>
    <row r="109" spans="1:39" ht="12.75" x14ac:dyDescent="0.2">
      <c r="A109" s="303"/>
      <c r="B109" s="303"/>
      <c r="C109" s="303"/>
      <c r="D109" s="143"/>
      <c r="E109" s="303"/>
      <c r="F109" s="303"/>
      <c r="G109" s="303"/>
      <c r="H109" s="303"/>
      <c r="I109" s="303"/>
      <c r="J109" s="303"/>
      <c r="K109" s="303"/>
      <c r="L109" s="143"/>
      <c r="M109" s="303"/>
      <c r="N109" s="303"/>
      <c r="O109" s="303"/>
      <c r="P109" s="303"/>
      <c r="Q109" s="303"/>
      <c r="R109" s="303"/>
      <c r="S109" s="303"/>
      <c r="T109" s="143"/>
      <c r="U109" s="303"/>
      <c r="V109" s="303"/>
      <c r="W109" s="303"/>
      <c r="X109" s="303"/>
      <c r="Y109" s="303"/>
      <c r="Z109" s="303"/>
      <c r="AA109" s="303"/>
      <c r="AB109" s="143"/>
      <c r="AC109" s="303"/>
      <c r="AD109" s="303"/>
      <c r="AE109" s="303"/>
      <c r="AF109" s="303"/>
      <c r="AG109" s="303"/>
      <c r="AH109" s="303"/>
      <c r="AI109" s="143"/>
      <c r="AJ109" s="125"/>
      <c r="AK109" s="125"/>
      <c r="AL109" s="125"/>
      <c r="AM109" s="125"/>
    </row>
    <row r="110" spans="1:39" ht="12.75" x14ac:dyDescent="0.2">
      <c r="A110" s="303"/>
      <c r="B110" s="303"/>
      <c r="C110" s="303"/>
      <c r="D110" s="143"/>
      <c r="E110" s="303"/>
      <c r="F110" s="303"/>
      <c r="G110" s="303"/>
      <c r="H110" s="303"/>
      <c r="I110" s="303"/>
      <c r="J110" s="303"/>
      <c r="K110" s="303"/>
      <c r="L110" s="143"/>
      <c r="M110" s="303"/>
      <c r="N110" s="303"/>
      <c r="O110" s="303"/>
      <c r="P110" s="303"/>
      <c r="Q110" s="303"/>
      <c r="R110" s="303"/>
      <c r="S110" s="303"/>
      <c r="T110" s="143"/>
      <c r="U110" s="303"/>
      <c r="V110" s="303"/>
      <c r="W110" s="303"/>
      <c r="X110" s="303"/>
      <c r="Y110" s="303"/>
      <c r="Z110" s="303"/>
      <c r="AA110" s="303"/>
      <c r="AB110" s="143"/>
      <c r="AC110" s="303"/>
      <c r="AD110" s="303"/>
      <c r="AE110" s="303"/>
      <c r="AF110" s="303"/>
      <c r="AG110" s="303"/>
      <c r="AH110" s="303"/>
      <c r="AI110" s="143"/>
      <c r="AJ110" s="125"/>
      <c r="AK110" s="125"/>
      <c r="AL110" s="125"/>
      <c r="AM110" s="125"/>
    </row>
    <row r="111" spans="1:39" ht="12.75" x14ac:dyDescent="0.2">
      <c r="A111" s="303"/>
      <c r="B111" s="303"/>
      <c r="C111" s="303"/>
      <c r="D111" s="143"/>
      <c r="E111" s="303"/>
      <c r="F111" s="303"/>
      <c r="G111" s="303"/>
      <c r="H111" s="303"/>
      <c r="I111" s="303"/>
      <c r="J111" s="303"/>
      <c r="K111" s="303"/>
      <c r="L111" s="143"/>
      <c r="M111" s="303"/>
      <c r="N111" s="303"/>
      <c r="O111" s="303"/>
      <c r="P111" s="303"/>
      <c r="Q111" s="303"/>
      <c r="R111" s="303"/>
      <c r="S111" s="303"/>
      <c r="T111" s="143"/>
      <c r="U111" s="303"/>
      <c r="V111" s="303"/>
      <c r="W111" s="303"/>
      <c r="X111" s="303"/>
      <c r="Y111" s="303"/>
      <c r="Z111" s="303"/>
      <c r="AA111" s="303"/>
      <c r="AB111" s="143"/>
      <c r="AC111" s="303"/>
      <c r="AD111" s="303"/>
      <c r="AE111" s="303"/>
      <c r="AF111" s="303"/>
      <c r="AG111" s="303"/>
      <c r="AH111" s="303"/>
      <c r="AI111" s="143"/>
      <c r="AJ111" s="125"/>
      <c r="AK111" s="125"/>
      <c r="AL111" s="125"/>
      <c r="AM111" s="125"/>
    </row>
    <row r="112" spans="1:39" ht="12.75" x14ac:dyDescent="0.2">
      <c r="A112" s="303"/>
      <c r="B112" s="303"/>
      <c r="C112" s="303"/>
      <c r="D112" s="143"/>
      <c r="E112" s="303"/>
      <c r="F112" s="303"/>
      <c r="G112" s="303"/>
      <c r="H112" s="303"/>
      <c r="I112" s="303"/>
      <c r="J112" s="303"/>
      <c r="K112" s="303"/>
      <c r="L112" s="143"/>
      <c r="M112" s="303"/>
      <c r="N112" s="303"/>
      <c r="O112" s="303"/>
      <c r="P112" s="303"/>
      <c r="Q112" s="303"/>
      <c r="R112" s="303"/>
      <c r="S112" s="303"/>
      <c r="T112" s="143"/>
      <c r="U112" s="303"/>
      <c r="V112" s="303"/>
      <c r="W112" s="303"/>
      <c r="X112" s="303"/>
      <c r="Y112" s="303"/>
      <c r="Z112" s="303"/>
      <c r="AA112" s="303"/>
      <c r="AB112" s="143"/>
      <c r="AC112" s="303"/>
      <c r="AD112" s="303"/>
      <c r="AE112" s="303"/>
      <c r="AF112" s="303"/>
      <c r="AG112" s="303"/>
      <c r="AH112" s="303"/>
      <c r="AI112" s="143"/>
      <c r="AJ112" s="125"/>
      <c r="AK112" s="125"/>
      <c r="AL112" s="125"/>
      <c r="AM112" s="125"/>
    </row>
    <row r="113" spans="1:39" ht="12.75" x14ac:dyDescent="0.2">
      <c r="A113" s="303"/>
      <c r="B113" s="303"/>
      <c r="C113" s="303"/>
      <c r="D113" s="143"/>
      <c r="E113" s="303"/>
      <c r="F113" s="303"/>
      <c r="G113" s="303"/>
      <c r="H113" s="303"/>
      <c r="I113" s="303"/>
      <c r="J113" s="303"/>
      <c r="K113" s="303"/>
      <c r="L113" s="143"/>
      <c r="M113" s="303"/>
      <c r="N113" s="303"/>
      <c r="O113" s="303"/>
      <c r="P113" s="303"/>
      <c r="Q113" s="303"/>
      <c r="R113" s="303"/>
      <c r="S113" s="303"/>
      <c r="T113" s="143"/>
      <c r="U113" s="303"/>
      <c r="V113" s="303"/>
      <c r="W113" s="303"/>
      <c r="X113" s="303"/>
      <c r="Y113" s="303"/>
      <c r="Z113" s="303"/>
      <c r="AA113" s="303"/>
      <c r="AB113" s="143"/>
      <c r="AC113" s="303"/>
      <c r="AD113" s="303"/>
      <c r="AE113" s="303"/>
      <c r="AF113" s="303"/>
      <c r="AG113" s="303"/>
      <c r="AH113" s="303"/>
      <c r="AI113" s="143"/>
      <c r="AJ113" s="125"/>
      <c r="AK113" s="125"/>
      <c r="AL113" s="125"/>
      <c r="AM113" s="125"/>
    </row>
    <row r="114" spans="1:39" ht="12.75" x14ac:dyDescent="0.2">
      <c r="A114" s="303"/>
      <c r="B114" s="303"/>
      <c r="C114" s="303"/>
      <c r="D114" s="143"/>
      <c r="E114" s="303"/>
      <c r="F114" s="303"/>
      <c r="G114" s="303"/>
      <c r="H114" s="303"/>
      <c r="I114" s="303"/>
      <c r="J114" s="303"/>
      <c r="K114" s="303"/>
      <c r="L114" s="143"/>
      <c r="M114" s="303"/>
      <c r="N114" s="303"/>
      <c r="O114" s="303"/>
      <c r="P114" s="303"/>
      <c r="Q114" s="303"/>
      <c r="R114" s="303"/>
      <c r="S114" s="303"/>
      <c r="T114" s="143"/>
      <c r="U114" s="303"/>
      <c r="V114" s="303"/>
      <c r="W114" s="303"/>
      <c r="X114" s="303"/>
      <c r="Y114" s="303"/>
      <c r="Z114" s="303"/>
      <c r="AA114" s="303"/>
      <c r="AB114" s="143"/>
      <c r="AC114" s="303"/>
      <c r="AD114" s="303"/>
      <c r="AE114" s="303"/>
      <c r="AF114" s="303"/>
      <c r="AG114" s="303"/>
      <c r="AH114" s="303"/>
      <c r="AI114" s="143"/>
      <c r="AJ114" s="125"/>
      <c r="AK114" s="125"/>
      <c r="AL114" s="125"/>
      <c r="AM114" s="125"/>
    </row>
    <row r="115" spans="1:39" ht="12.75" x14ac:dyDescent="0.2">
      <c r="A115" s="303"/>
      <c r="B115" s="303"/>
      <c r="C115" s="303"/>
      <c r="D115" s="143"/>
      <c r="E115" s="303"/>
      <c r="F115" s="303"/>
      <c r="G115" s="303"/>
      <c r="H115" s="303"/>
      <c r="I115" s="303"/>
      <c r="J115" s="303"/>
      <c r="K115" s="303"/>
      <c r="L115" s="143"/>
      <c r="M115" s="303"/>
      <c r="N115" s="303"/>
      <c r="O115" s="303"/>
      <c r="P115" s="303"/>
      <c r="Q115" s="303"/>
      <c r="R115" s="303"/>
      <c r="S115" s="303"/>
      <c r="T115" s="143"/>
      <c r="U115" s="303"/>
      <c r="V115" s="303"/>
      <c r="W115" s="303"/>
      <c r="X115" s="303"/>
      <c r="Y115" s="303"/>
      <c r="Z115" s="303"/>
      <c r="AA115" s="303"/>
      <c r="AB115" s="143"/>
      <c r="AC115" s="303"/>
      <c r="AD115" s="303"/>
      <c r="AE115" s="303"/>
      <c r="AF115" s="303"/>
      <c r="AG115" s="303"/>
      <c r="AH115" s="303"/>
      <c r="AI115" s="143"/>
      <c r="AJ115" s="125"/>
      <c r="AK115" s="125"/>
      <c r="AL115" s="125"/>
      <c r="AM115" s="125"/>
    </row>
    <row r="116" spans="1:39" ht="12.75" x14ac:dyDescent="0.2">
      <c r="A116" s="303"/>
      <c r="B116" s="303"/>
      <c r="C116" s="303"/>
      <c r="D116" s="143"/>
      <c r="E116" s="303"/>
      <c r="F116" s="303"/>
      <c r="G116" s="303"/>
      <c r="H116" s="303"/>
      <c r="I116" s="303"/>
      <c r="J116" s="303"/>
      <c r="K116" s="303"/>
      <c r="L116" s="143"/>
      <c r="M116" s="303"/>
      <c r="N116" s="303"/>
      <c r="O116" s="303"/>
      <c r="P116" s="303"/>
      <c r="Q116" s="303"/>
      <c r="R116" s="303"/>
      <c r="S116" s="303"/>
      <c r="T116" s="143"/>
      <c r="U116" s="303"/>
      <c r="V116" s="303"/>
      <c r="W116" s="303"/>
      <c r="X116" s="303"/>
      <c r="Y116" s="303"/>
      <c r="Z116" s="303"/>
      <c r="AA116" s="303"/>
      <c r="AB116" s="143"/>
      <c r="AC116" s="303"/>
      <c r="AD116" s="303"/>
      <c r="AE116" s="303"/>
      <c r="AF116" s="303"/>
      <c r="AG116" s="303"/>
      <c r="AH116" s="303"/>
      <c r="AI116" s="143"/>
      <c r="AJ116" s="125"/>
      <c r="AK116" s="125"/>
      <c r="AL116" s="125"/>
      <c r="AM116" s="125"/>
    </row>
    <row r="117" spans="1:39" ht="12.75" x14ac:dyDescent="0.2">
      <c r="A117" s="303"/>
      <c r="B117" s="303"/>
      <c r="C117" s="303"/>
      <c r="D117" s="143"/>
      <c r="E117" s="303"/>
      <c r="F117" s="303"/>
      <c r="G117" s="303"/>
      <c r="H117" s="303"/>
      <c r="I117" s="303"/>
      <c r="J117" s="303"/>
      <c r="K117" s="303"/>
      <c r="L117" s="143"/>
      <c r="M117" s="303"/>
      <c r="N117" s="303"/>
      <c r="O117" s="303"/>
      <c r="P117" s="303"/>
      <c r="Q117" s="303"/>
      <c r="R117" s="303"/>
      <c r="S117" s="303"/>
      <c r="T117" s="143"/>
      <c r="U117" s="303"/>
      <c r="V117" s="303"/>
      <c r="W117" s="303"/>
      <c r="X117" s="303"/>
      <c r="Y117" s="303"/>
      <c r="Z117" s="303"/>
      <c r="AA117" s="303"/>
      <c r="AB117" s="143"/>
      <c r="AC117" s="303"/>
      <c r="AD117" s="303"/>
      <c r="AE117" s="303"/>
      <c r="AF117" s="303"/>
      <c r="AG117" s="303"/>
      <c r="AH117" s="303"/>
      <c r="AI117" s="143"/>
      <c r="AJ117" s="125"/>
      <c r="AK117" s="125"/>
      <c r="AL117" s="125"/>
      <c r="AM117" s="125"/>
    </row>
    <row r="118" spans="1:39" ht="12.75" x14ac:dyDescent="0.2">
      <c r="A118" s="303"/>
      <c r="B118" s="303"/>
      <c r="C118" s="303"/>
      <c r="D118" s="143"/>
      <c r="E118" s="303"/>
      <c r="F118" s="303"/>
      <c r="G118" s="303"/>
      <c r="H118" s="303"/>
      <c r="I118" s="303"/>
      <c r="J118" s="303"/>
      <c r="K118" s="303"/>
      <c r="L118" s="143"/>
      <c r="M118" s="303"/>
      <c r="N118" s="303"/>
      <c r="O118" s="303"/>
      <c r="P118" s="303"/>
      <c r="Q118" s="303"/>
      <c r="R118" s="303"/>
      <c r="S118" s="303"/>
      <c r="T118" s="143"/>
      <c r="U118" s="303"/>
      <c r="V118" s="303"/>
      <c r="W118" s="303"/>
      <c r="X118" s="303"/>
      <c r="Y118" s="303"/>
      <c r="Z118" s="303"/>
      <c r="AA118" s="303"/>
      <c r="AB118" s="143"/>
      <c r="AC118" s="303"/>
      <c r="AD118" s="303"/>
      <c r="AE118" s="303"/>
      <c r="AF118" s="303"/>
      <c r="AG118" s="303"/>
      <c r="AH118" s="303"/>
      <c r="AI118" s="143"/>
      <c r="AJ118" s="125"/>
      <c r="AK118" s="125"/>
      <c r="AL118" s="125"/>
      <c r="AM118" s="125"/>
    </row>
    <row r="119" spans="1:39" ht="12.75" x14ac:dyDescent="0.2">
      <c r="A119" s="303"/>
      <c r="B119" s="303"/>
      <c r="C119" s="303"/>
      <c r="D119" s="143"/>
      <c r="E119" s="303"/>
      <c r="F119" s="303"/>
      <c r="G119" s="303"/>
      <c r="H119" s="303"/>
      <c r="I119" s="303"/>
      <c r="J119" s="303"/>
      <c r="K119" s="303"/>
      <c r="L119" s="143"/>
      <c r="M119" s="303"/>
      <c r="N119" s="303"/>
      <c r="O119" s="303"/>
      <c r="P119" s="303"/>
      <c r="Q119" s="303"/>
      <c r="R119" s="303"/>
      <c r="S119" s="303"/>
      <c r="T119" s="143"/>
      <c r="U119" s="303"/>
      <c r="V119" s="303"/>
      <c r="W119" s="303"/>
      <c r="X119" s="303"/>
      <c r="Y119" s="303"/>
      <c r="Z119" s="303"/>
      <c r="AA119" s="303"/>
      <c r="AB119" s="143"/>
      <c r="AC119" s="303"/>
      <c r="AD119" s="303"/>
      <c r="AE119" s="303"/>
      <c r="AF119" s="303"/>
      <c r="AG119" s="303"/>
      <c r="AH119" s="303"/>
      <c r="AI119" s="143"/>
      <c r="AJ119" s="125"/>
      <c r="AK119" s="125"/>
      <c r="AL119" s="125"/>
      <c r="AM119" s="125"/>
    </row>
    <row r="120" spans="1:39" ht="12.75" x14ac:dyDescent="0.2">
      <c r="A120" s="303"/>
      <c r="B120" s="303"/>
      <c r="C120" s="303"/>
      <c r="D120" s="143"/>
      <c r="E120" s="303"/>
      <c r="F120" s="303"/>
      <c r="G120" s="303"/>
      <c r="H120" s="303"/>
      <c r="I120" s="303"/>
      <c r="J120" s="303"/>
      <c r="K120" s="303"/>
      <c r="L120" s="143"/>
      <c r="M120" s="303"/>
      <c r="N120" s="303"/>
      <c r="O120" s="303"/>
      <c r="P120" s="303"/>
      <c r="Q120" s="303"/>
      <c r="R120" s="303"/>
      <c r="S120" s="303"/>
      <c r="T120" s="143"/>
      <c r="U120" s="303"/>
      <c r="V120" s="303"/>
      <c r="W120" s="303"/>
      <c r="X120" s="303"/>
      <c r="Y120" s="303"/>
      <c r="Z120" s="303"/>
      <c r="AA120" s="303"/>
      <c r="AB120" s="143"/>
      <c r="AC120" s="303"/>
      <c r="AD120" s="303"/>
      <c r="AE120" s="303"/>
      <c r="AF120" s="303"/>
      <c r="AG120" s="303"/>
      <c r="AH120" s="303"/>
      <c r="AI120" s="143"/>
      <c r="AJ120" s="125"/>
      <c r="AK120" s="125"/>
      <c r="AL120" s="125"/>
      <c r="AM120" s="125"/>
    </row>
    <row r="121" spans="1:39" ht="12.75" x14ac:dyDescent="0.2">
      <c r="A121" s="303"/>
      <c r="B121" s="303"/>
      <c r="C121" s="303"/>
      <c r="D121" s="143"/>
      <c r="E121" s="303"/>
      <c r="F121" s="303"/>
      <c r="G121" s="303"/>
      <c r="H121" s="303"/>
      <c r="I121" s="303"/>
      <c r="J121" s="303"/>
      <c r="K121" s="303"/>
      <c r="L121" s="143"/>
      <c r="M121" s="303"/>
      <c r="N121" s="303"/>
      <c r="O121" s="303"/>
      <c r="P121" s="303"/>
      <c r="Q121" s="303"/>
      <c r="R121" s="303"/>
      <c r="S121" s="303"/>
      <c r="T121" s="143"/>
      <c r="U121" s="303"/>
      <c r="V121" s="303"/>
      <c r="W121" s="303"/>
      <c r="X121" s="303"/>
      <c r="Y121" s="303"/>
      <c r="Z121" s="303"/>
      <c r="AA121" s="303"/>
      <c r="AB121" s="143"/>
      <c r="AC121" s="303"/>
      <c r="AD121" s="303"/>
      <c r="AE121" s="303"/>
      <c r="AF121" s="303"/>
      <c r="AG121" s="303"/>
      <c r="AH121" s="303"/>
      <c r="AI121" s="143"/>
      <c r="AJ121" s="125"/>
      <c r="AK121" s="125"/>
      <c r="AL121" s="125"/>
      <c r="AM121" s="125"/>
    </row>
    <row r="122" spans="1:39" ht="12.75" x14ac:dyDescent="0.2">
      <c r="A122" s="303"/>
      <c r="B122" s="303"/>
      <c r="C122" s="303"/>
      <c r="D122" s="143"/>
      <c r="E122" s="303"/>
      <c r="F122" s="303"/>
      <c r="G122" s="303"/>
      <c r="H122" s="303"/>
      <c r="I122" s="303"/>
      <c r="J122" s="303"/>
      <c r="K122" s="303"/>
      <c r="L122" s="143"/>
      <c r="M122" s="303"/>
      <c r="N122" s="303"/>
      <c r="O122" s="303"/>
      <c r="P122" s="303"/>
      <c r="Q122" s="303"/>
      <c r="R122" s="303"/>
      <c r="S122" s="303"/>
      <c r="T122" s="143"/>
      <c r="U122" s="303"/>
      <c r="V122" s="303"/>
      <c r="W122" s="303"/>
      <c r="X122" s="303"/>
      <c r="Y122" s="303"/>
      <c r="Z122" s="303"/>
      <c r="AA122" s="303"/>
      <c r="AB122" s="143"/>
      <c r="AC122" s="303"/>
      <c r="AD122" s="303"/>
      <c r="AE122" s="303"/>
      <c r="AF122" s="303"/>
      <c r="AG122" s="303"/>
      <c r="AH122" s="303"/>
      <c r="AI122" s="143"/>
      <c r="AJ122" s="125"/>
      <c r="AK122" s="125"/>
      <c r="AL122" s="125"/>
      <c r="AM122" s="125"/>
    </row>
    <row r="123" spans="1:39" ht="12.75" x14ac:dyDescent="0.2">
      <c r="A123" s="303"/>
      <c r="B123" s="303"/>
      <c r="C123" s="303"/>
      <c r="D123" s="143"/>
      <c r="E123" s="303"/>
      <c r="F123" s="303"/>
      <c r="G123" s="303"/>
      <c r="H123" s="303"/>
      <c r="I123" s="303"/>
      <c r="J123" s="303"/>
      <c r="K123" s="303"/>
      <c r="L123" s="143"/>
      <c r="M123" s="303"/>
      <c r="N123" s="303"/>
      <c r="O123" s="303"/>
      <c r="P123" s="303"/>
      <c r="Q123" s="303"/>
      <c r="R123" s="303"/>
      <c r="S123" s="303"/>
      <c r="T123" s="143"/>
      <c r="U123" s="303"/>
      <c r="V123" s="303"/>
      <c r="W123" s="303"/>
      <c r="X123" s="303"/>
      <c r="Y123" s="303"/>
      <c r="Z123" s="303"/>
      <c r="AA123" s="303"/>
      <c r="AB123" s="143"/>
      <c r="AC123" s="303"/>
      <c r="AD123" s="303"/>
      <c r="AE123" s="303"/>
      <c r="AF123" s="303"/>
      <c r="AG123" s="303"/>
      <c r="AH123" s="303"/>
      <c r="AI123" s="143"/>
      <c r="AJ123" s="125"/>
      <c r="AK123" s="125"/>
      <c r="AL123" s="125"/>
      <c r="AM123" s="125"/>
    </row>
    <row r="124" spans="1:39" ht="12.75" x14ac:dyDescent="0.2">
      <c r="A124" s="303"/>
      <c r="B124" s="303"/>
      <c r="C124" s="303"/>
      <c r="D124" s="143"/>
      <c r="E124" s="303"/>
      <c r="F124" s="303"/>
      <c r="G124" s="303"/>
      <c r="H124" s="303"/>
      <c r="I124" s="303"/>
      <c r="J124" s="303"/>
      <c r="K124" s="303"/>
      <c r="L124" s="143"/>
      <c r="M124" s="303"/>
      <c r="N124" s="303"/>
      <c r="O124" s="303"/>
      <c r="P124" s="303"/>
      <c r="Q124" s="303"/>
      <c r="R124" s="303"/>
      <c r="S124" s="303"/>
      <c r="T124" s="143"/>
      <c r="U124" s="303"/>
      <c r="V124" s="303"/>
      <c r="W124" s="303"/>
      <c r="X124" s="303"/>
      <c r="Y124" s="303"/>
      <c r="Z124" s="303"/>
      <c r="AA124" s="303"/>
      <c r="AB124" s="143"/>
      <c r="AC124" s="303"/>
      <c r="AD124" s="303"/>
      <c r="AE124" s="303"/>
      <c r="AF124" s="303"/>
      <c r="AG124" s="303"/>
      <c r="AH124" s="303"/>
      <c r="AI124" s="143"/>
      <c r="AJ124" s="125"/>
      <c r="AK124" s="125"/>
      <c r="AL124" s="125"/>
      <c r="AM124" s="125"/>
    </row>
    <row r="125" spans="1:39" ht="12.75" x14ac:dyDescent="0.2">
      <c r="A125" s="303"/>
      <c r="B125" s="303"/>
      <c r="C125" s="303"/>
      <c r="D125" s="143"/>
      <c r="E125" s="303"/>
      <c r="F125" s="303"/>
      <c r="G125" s="303"/>
      <c r="H125" s="303"/>
      <c r="I125" s="303"/>
      <c r="J125" s="303"/>
      <c r="K125" s="303"/>
      <c r="L125" s="143"/>
      <c r="M125" s="303"/>
      <c r="N125" s="303"/>
      <c r="O125" s="303"/>
      <c r="P125" s="303"/>
      <c r="Q125" s="303"/>
      <c r="R125" s="303"/>
      <c r="S125" s="303"/>
      <c r="T125" s="143"/>
      <c r="U125" s="303"/>
      <c r="V125" s="303"/>
      <c r="W125" s="303"/>
      <c r="X125" s="303"/>
      <c r="Y125" s="303"/>
      <c r="Z125" s="303"/>
      <c r="AA125" s="303"/>
      <c r="AB125" s="143"/>
      <c r="AC125" s="303"/>
      <c r="AD125" s="303"/>
      <c r="AE125" s="303"/>
      <c r="AF125" s="303"/>
      <c r="AG125" s="303"/>
      <c r="AH125" s="303"/>
      <c r="AI125" s="143"/>
      <c r="AJ125" s="125"/>
      <c r="AK125" s="125"/>
      <c r="AL125" s="125"/>
      <c r="AM125" s="125"/>
    </row>
    <row r="126" spans="1:39" ht="12.75" x14ac:dyDescent="0.2">
      <c r="A126" s="303"/>
      <c r="B126" s="303"/>
      <c r="C126" s="303"/>
      <c r="D126" s="143"/>
      <c r="E126" s="303"/>
      <c r="F126" s="303"/>
      <c r="G126" s="303"/>
      <c r="H126" s="303"/>
      <c r="I126" s="303"/>
      <c r="J126" s="303"/>
      <c r="K126" s="303"/>
      <c r="L126" s="143"/>
      <c r="M126" s="303"/>
      <c r="N126" s="303"/>
      <c r="O126" s="303"/>
      <c r="P126" s="303"/>
      <c r="Q126" s="303"/>
      <c r="R126" s="303"/>
      <c r="S126" s="303"/>
      <c r="T126" s="143"/>
      <c r="U126" s="303"/>
      <c r="V126" s="303"/>
      <c r="W126" s="303"/>
      <c r="X126" s="303"/>
      <c r="Y126" s="303"/>
      <c r="Z126" s="303"/>
      <c r="AA126" s="303"/>
      <c r="AB126" s="143"/>
      <c r="AC126" s="303"/>
      <c r="AD126" s="303"/>
      <c r="AE126" s="303"/>
      <c r="AF126" s="303"/>
      <c r="AG126" s="303"/>
      <c r="AH126" s="303"/>
      <c r="AI126" s="143"/>
      <c r="AJ126" s="125"/>
      <c r="AK126" s="125"/>
      <c r="AL126" s="125"/>
      <c r="AM126" s="125"/>
    </row>
    <row r="127" spans="1:39" ht="12.75" x14ac:dyDescent="0.2">
      <c r="A127" s="303"/>
      <c r="B127" s="303"/>
      <c r="C127" s="303"/>
      <c r="D127" s="143"/>
      <c r="E127" s="303"/>
      <c r="F127" s="303"/>
      <c r="G127" s="303"/>
      <c r="H127" s="303"/>
      <c r="I127" s="303"/>
      <c r="J127" s="303"/>
      <c r="K127" s="303"/>
      <c r="L127" s="143"/>
      <c r="M127" s="303"/>
      <c r="N127" s="303"/>
      <c r="O127" s="303"/>
      <c r="P127" s="303"/>
      <c r="Q127" s="303"/>
      <c r="R127" s="303"/>
      <c r="S127" s="303"/>
      <c r="T127" s="143"/>
      <c r="U127" s="303"/>
      <c r="V127" s="303"/>
      <c r="W127" s="303"/>
      <c r="X127" s="303"/>
      <c r="Y127" s="303"/>
      <c r="Z127" s="303"/>
      <c r="AA127" s="303"/>
      <c r="AB127" s="143"/>
      <c r="AC127" s="303"/>
      <c r="AD127" s="303"/>
      <c r="AE127" s="303"/>
      <c r="AF127" s="303"/>
      <c r="AG127" s="303"/>
      <c r="AH127" s="303"/>
      <c r="AI127" s="143"/>
      <c r="AJ127" s="125"/>
      <c r="AK127" s="125"/>
      <c r="AL127" s="125"/>
      <c r="AM127" s="125"/>
    </row>
    <row r="128" spans="1:39" ht="12.75" x14ac:dyDescent="0.2">
      <c r="A128" s="303"/>
      <c r="B128" s="303"/>
      <c r="C128" s="303"/>
      <c r="D128" s="143"/>
      <c r="E128" s="303"/>
      <c r="F128" s="303"/>
      <c r="G128" s="303"/>
      <c r="H128" s="303"/>
      <c r="I128" s="303"/>
      <c r="J128" s="303"/>
      <c r="K128" s="303"/>
      <c r="L128" s="143"/>
      <c r="M128" s="303"/>
      <c r="N128" s="303"/>
      <c r="O128" s="303"/>
      <c r="P128" s="303"/>
      <c r="Q128" s="303"/>
      <c r="R128" s="303"/>
      <c r="S128" s="303"/>
      <c r="T128" s="143"/>
      <c r="U128" s="303"/>
      <c r="V128" s="303"/>
      <c r="W128" s="303"/>
      <c r="X128" s="303"/>
      <c r="Y128" s="303"/>
      <c r="Z128" s="303"/>
      <c r="AA128" s="303"/>
      <c r="AB128" s="143"/>
      <c r="AC128" s="303"/>
      <c r="AD128" s="303"/>
      <c r="AE128" s="303"/>
      <c r="AF128" s="303"/>
      <c r="AG128" s="303"/>
      <c r="AH128" s="303"/>
      <c r="AI128" s="143"/>
      <c r="AJ128" s="125"/>
      <c r="AK128" s="125"/>
      <c r="AL128" s="125"/>
      <c r="AM128" s="125"/>
    </row>
    <row r="129" spans="1:39" ht="12.75" x14ac:dyDescent="0.2">
      <c r="A129" s="303"/>
      <c r="B129" s="303"/>
      <c r="C129" s="303"/>
      <c r="D129" s="143"/>
      <c r="E129" s="303"/>
      <c r="F129" s="303"/>
      <c r="G129" s="303"/>
      <c r="H129" s="303"/>
      <c r="I129" s="303"/>
      <c r="J129" s="303"/>
      <c r="K129" s="303"/>
      <c r="L129" s="143"/>
      <c r="M129" s="303"/>
      <c r="N129" s="303"/>
      <c r="O129" s="303"/>
      <c r="P129" s="303"/>
      <c r="Q129" s="303"/>
      <c r="R129" s="303"/>
      <c r="S129" s="303"/>
      <c r="T129" s="143"/>
      <c r="U129" s="303"/>
      <c r="V129" s="303"/>
      <c r="W129" s="303"/>
      <c r="X129" s="303"/>
      <c r="Y129" s="303"/>
      <c r="Z129" s="303"/>
      <c r="AA129" s="303"/>
      <c r="AB129" s="143"/>
      <c r="AC129" s="303"/>
      <c r="AD129" s="303"/>
      <c r="AE129" s="303"/>
      <c r="AF129" s="303"/>
      <c r="AG129" s="303"/>
      <c r="AH129" s="303"/>
      <c r="AI129" s="143"/>
      <c r="AJ129" s="125"/>
      <c r="AK129" s="125"/>
      <c r="AL129" s="125"/>
      <c r="AM129" s="125"/>
    </row>
    <row r="130" spans="1:39" ht="12.75" x14ac:dyDescent="0.2">
      <c r="A130" s="303"/>
      <c r="B130" s="303"/>
      <c r="C130" s="303"/>
      <c r="D130" s="143"/>
      <c r="E130" s="303"/>
      <c r="F130" s="303"/>
      <c r="G130" s="303"/>
      <c r="H130" s="303"/>
      <c r="I130" s="303"/>
      <c r="J130" s="303"/>
      <c r="K130" s="303"/>
      <c r="L130" s="143"/>
      <c r="M130" s="303"/>
      <c r="N130" s="303"/>
      <c r="O130" s="303"/>
      <c r="P130" s="303"/>
      <c r="Q130" s="303"/>
      <c r="R130" s="303"/>
      <c r="S130" s="303"/>
      <c r="T130" s="143"/>
      <c r="U130" s="303"/>
      <c r="V130" s="303"/>
      <c r="W130" s="303"/>
      <c r="X130" s="303"/>
      <c r="Y130" s="303"/>
      <c r="Z130" s="303"/>
      <c r="AA130" s="303"/>
      <c r="AB130" s="143"/>
      <c r="AC130" s="303"/>
      <c r="AD130" s="303"/>
      <c r="AE130" s="303"/>
      <c r="AF130" s="303"/>
      <c r="AG130" s="303"/>
      <c r="AH130" s="303"/>
      <c r="AI130" s="143"/>
      <c r="AJ130" s="125"/>
      <c r="AK130" s="125"/>
      <c r="AL130" s="125"/>
      <c r="AM130" s="125"/>
    </row>
    <row r="131" spans="1:39" ht="12.75" x14ac:dyDescent="0.2">
      <c r="A131" s="303"/>
      <c r="B131" s="303"/>
      <c r="C131" s="303"/>
      <c r="D131" s="143"/>
      <c r="E131" s="303"/>
      <c r="F131" s="303"/>
      <c r="G131" s="303"/>
      <c r="H131" s="303"/>
      <c r="I131" s="303"/>
      <c r="J131" s="303"/>
      <c r="K131" s="303"/>
      <c r="L131" s="143"/>
      <c r="M131" s="303"/>
      <c r="N131" s="303"/>
      <c r="O131" s="303"/>
      <c r="P131" s="303"/>
      <c r="Q131" s="303"/>
      <c r="R131" s="303"/>
      <c r="S131" s="303"/>
      <c r="T131" s="143"/>
      <c r="U131" s="303"/>
      <c r="V131" s="303"/>
      <c r="W131" s="303"/>
      <c r="X131" s="303"/>
      <c r="Y131" s="303"/>
      <c r="Z131" s="303"/>
      <c r="AA131" s="303"/>
      <c r="AB131" s="143"/>
      <c r="AC131" s="303"/>
      <c r="AD131" s="303"/>
      <c r="AE131" s="303"/>
      <c r="AF131" s="303"/>
      <c r="AG131" s="303"/>
      <c r="AH131" s="303"/>
      <c r="AI131" s="143"/>
      <c r="AJ131" s="125"/>
      <c r="AK131" s="125"/>
      <c r="AL131" s="125"/>
      <c r="AM131" s="125"/>
    </row>
    <row r="132" spans="1:39" ht="12.75" x14ac:dyDescent="0.2">
      <c r="A132" s="303"/>
      <c r="B132" s="303"/>
      <c r="C132" s="303"/>
      <c r="D132" s="143"/>
      <c r="E132" s="303"/>
      <c r="F132" s="303"/>
      <c r="G132" s="303"/>
      <c r="H132" s="303"/>
      <c r="I132" s="303"/>
      <c r="J132" s="303"/>
      <c r="K132" s="303"/>
      <c r="L132" s="143"/>
      <c r="M132" s="303"/>
      <c r="N132" s="303"/>
      <c r="O132" s="303"/>
      <c r="P132" s="303"/>
      <c r="Q132" s="303"/>
      <c r="R132" s="303"/>
      <c r="S132" s="303"/>
      <c r="T132" s="143"/>
      <c r="U132" s="303"/>
      <c r="V132" s="303"/>
      <c r="W132" s="303"/>
      <c r="X132" s="303"/>
      <c r="Y132" s="303"/>
      <c r="Z132" s="303"/>
      <c r="AA132" s="303"/>
      <c r="AB132" s="143"/>
      <c r="AC132" s="303"/>
      <c r="AD132" s="303"/>
      <c r="AE132" s="303"/>
      <c r="AF132" s="303"/>
      <c r="AG132" s="303"/>
      <c r="AH132" s="303"/>
      <c r="AI132" s="143"/>
      <c r="AJ132" s="125"/>
      <c r="AK132" s="125"/>
      <c r="AL132" s="125"/>
      <c r="AM132" s="125"/>
    </row>
    <row r="133" spans="1:39" ht="12.75" x14ac:dyDescent="0.2">
      <c r="A133" s="303"/>
      <c r="B133" s="303"/>
      <c r="C133" s="303"/>
      <c r="D133" s="143"/>
      <c r="E133" s="303"/>
      <c r="F133" s="303"/>
      <c r="G133" s="303"/>
      <c r="H133" s="303"/>
      <c r="I133" s="303"/>
      <c r="J133" s="303"/>
      <c r="K133" s="303"/>
      <c r="L133" s="143"/>
      <c r="M133" s="303"/>
      <c r="N133" s="303"/>
      <c r="O133" s="303"/>
      <c r="P133" s="303"/>
      <c r="Q133" s="303"/>
      <c r="R133" s="303"/>
      <c r="S133" s="303"/>
      <c r="T133" s="143"/>
      <c r="U133" s="303"/>
      <c r="V133" s="303"/>
      <c r="W133" s="303"/>
      <c r="X133" s="303"/>
      <c r="Y133" s="303"/>
      <c r="Z133" s="303"/>
      <c r="AA133" s="303"/>
      <c r="AB133" s="143"/>
      <c r="AC133" s="303"/>
      <c r="AD133" s="303"/>
      <c r="AE133" s="303"/>
      <c r="AF133" s="303"/>
      <c r="AG133" s="303"/>
      <c r="AH133" s="303"/>
      <c r="AI133" s="143"/>
      <c r="AJ133" s="125"/>
      <c r="AK133" s="125"/>
      <c r="AL133" s="125"/>
      <c r="AM133" s="125"/>
    </row>
    <row r="134" spans="1:39" ht="12.75" x14ac:dyDescent="0.2">
      <c r="A134" s="303"/>
      <c r="B134" s="303"/>
      <c r="C134" s="303"/>
      <c r="D134" s="143"/>
      <c r="E134" s="303"/>
      <c r="F134" s="303"/>
      <c r="G134" s="303"/>
      <c r="H134" s="303"/>
      <c r="I134" s="303"/>
      <c r="J134" s="303"/>
      <c r="K134" s="303"/>
      <c r="L134" s="143"/>
      <c r="M134" s="303"/>
      <c r="N134" s="303"/>
      <c r="O134" s="303"/>
      <c r="P134" s="303"/>
      <c r="Q134" s="303"/>
      <c r="R134" s="303"/>
      <c r="S134" s="303"/>
      <c r="T134" s="143"/>
      <c r="U134" s="303"/>
      <c r="V134" s="303"/>
      <c r="W134" s="303"/>
      <c r="X134" s="303"/>
      <c r="Y134" s="303"/>
      <c r="Z134" s="303"/>
      <c r="AA134" s="303"/>
      <c r="AB134" s="143"/>
      <c r="AC134" s="303"/>
      <c r="AD134" s="303"/>
      <c r="AE134" s="303"/>
      <c r="AF134" s="303"/>
      <c r="AG134" s="303"/>
      <c r="AH134" s="303"/>
      <c r="AI134" s="143"/>
      <c r="AJ134" s="125"/>
      <c r="AK134" s="125"/>
      <c r="AL134" s="125"/>
      <c r="AM134" s="125"/>
    </row>
    <row r="135" spans="1:39" ht="12.75" x14ac:dyDescent="0.2">
      <c r="A135" s="303"/>
      <c r="B135" s="303"/>
      <c r="C135" s="303"/>
      <c r="D135" s="143"/>
      <c r="E135" s="303"/>
      <c r="F135" s="303"/>
      <c r="G135" s="303"/>
      <c r="H135" s="303"/>
      <c r="I135" s="303"/>
      <c r="J135" s="303"/>
      <c r="K135" s="303"/>
      <c r="L135" s="143"/>
      <c r="M135" s="303"/>
      <c r="N135" s="303"/>
      <c r="O135" s="303"/>
      <c r="P135" s="303"/>
      <c r="Q135" s="303"/>
      <c r="R135" s="303"/>
      <c r="S135" s="303"/>
      <c r="T135" s="143"/>
      <c r="U135" s="303"/>
      <c r="V135" s="303"/>
      <c r="W135" s="303"/>
      <c r="X135" s="303"/>
      <c r="Y135" s="303"/>
      <c r="Z135" s="303"/>
      <c r="AA135" s="303"/>
      <c r="AB135" s="143"/>
      <c r="AC135" s="303"/>
      <c r="AD135" s="303"/>
      <c r="AE135" s="303"/>
      <c r="AF135" s="303"/>
      <c r="AG135" s="303"/>
      <c r="AH135" s="303"/>
      <c r="AI135" s="143"/>
      <c r="AJ135" s="125"/>
      <c r="AK135" s="125"/>
      <c r="AL135" s="125"/>
      <c r="AM135" s="125"/>
    </row>
    <row r="136" spans="1:39" ht="12.75" x14ac:dyDescent="0.2">
      <c r="A136" s="303"/>
      <c r="B136" s="303"/>
      <c r="C136" s="303"/>
      <c r="D136" s="143"/>
      <c r="E136" s="303"/>
      <c r="F136" s="303"/>
      <c r="G136" s="303"/>
      <c r="H136" s="303"/>
      <c r="I136" s="303"/>
      <c r="J136" s="303"/>
      <c r="K136" s="303"/>
      <c r="L136" s="143"/>
      <c r="M136" s="303"/>
      <c r="N136" s="303"/>
      <c r="O136" s="303"/>
      <c r="P136" s="303"/>
      <c r="Q136" s="303"/>
      <c r="R136" s="303"/>
      <c r="S136" s="303"/>
      <c r="T136" s="143"/>
      <c r="U136" s="303"/>
      <c r="V136" s="303"/>
      <c r="W136" s="303"/>
      <c r="X136" s="303"/>
      <c r="Y136" s="303"/>
      <c r="Z136" s="303"/>
      <c r="AA136" s="303"/>
      <c r="AB136" s="143"/>
      <c r="AC136" s="303"/>
      <c r="AD136" s="303"/>
      <c r="AE136" s="303"/>
      <c r="AF136" s="303"/>
      <c r="AG136" s="303"/>
      <c r="AH136" s="303"/>
      <c r="AI136" s="143"/>
      <c r="AJ136" s="125"/>
      <c r="AK136" s="125"/>
      <c r="AL136" s="125"/>
      <c r="AM136" s="125"/>
    </row>
    <row r="137" spans="1:39" ht="12.75" x14ac:dyDescent="0.2">
      <c r="A137" s="303"/>
      <c r="B137" s="303"/>
      <c r="C137" s="303"/>
      <c r="D137" s="143"/>
      <c r="E137" s="303"/>
      <c r="F137" s="303"/>
      <c r="G137" s="303"/>
      <c r="H137" s="303"/>
      <c r="I137" s="303"/>
      <c r="J137" s="303"/>
      <c r="K137" s="303"/>
      <c r="L137" s="143"/>
      <c r="M137" s="303"/>
      <c r="N137" s="303"/>
      <c r="O137" s="303"/>
      <c r="P137" s="303"/>
      <c r="Q137" s="303"/>
      <c r="R137" s="303"/>
      <c r="S137" s="303"/>
      <c r="T137" s="143"/>
      <c r="U137" s="303"/>
      <c r="V137" s="303"/>
      <c r="W137" s="303"/>
      <c r="X137" s="303"/>
      <c r="Y137" s="303"/>
      <c r="Z137" s="303"/>
      <c r="AA137" s="303"/>
      <c r="AB137" s="143"/>
      <c r="AC137" s="303"/>
      <c r="AD137" s="303"/>
      <c r="AE137" s="303"/>
      <c r="AF137" s="303"/>
      <c r="AG137" s="303"/>
      <c r="AH137" s="303"/>
      <c r="AI137" s="143"/>
      <c r="AJ137" s="125"/>
      <c r="AK137" s="125"/>
      <c r="AL137" s="125"/>
      <c r="AM137" s="125"/>
    </row>
    <row r="138" spans="1:39" ht="12.75" x14ac:dyDescent="0.2">
      <c r="A138" s="303"/>
      <c r="B138" s="303"/>
      <c r="C138" s="303"/>
      <c r="D138" s="143"/>
      <c r="E138" s="303"/>
      <c r="F138" s="303"/>
      <c r="G138" s="303"/>
      <c r="H138" s="303"/>
      <c r="I138" s="303"/>
      <c r="J138" s="303"/>
      <c r="K138" s="303"/>
      <c r="L138" s="143"/>
      <c r="M138" s="303"/>
      <c r="N138" s="303"/>
      <c r="O138" s="303"/>
      <c r="P138" s="303"/>
      <c r="Q138" s="303"/>
      <c r="R138" s="303"/>
      <c r="S138" s="303"/>
      <c r="T138" s="143"/>
      <c r="U138" s="303"/>
      <c r="V138" s="303"/>
      <c r="W138" s="303"/>
      <c r="X138" s="303"/>
      <c r="Y138" s="303"/>
      <c r="Z138" s="303"/>
      <c r="AA138" s="303"/>
      <c r="AB138" s="143"/>
      <c r="AC138" s="303"/>
      <c r="AD138" s="303"/>
      <c r="AE138" s="303"/>
      <c r="AF138" s="303"/>
      <c r="AG138" s="303"/>
      <c r="AH138" s="303"/>
      <c r="AI138" s="143"/>
      <c r="AJ138" s="125"/>
      <c r="AK138" s="125"/>
      <c r="AL138" s="125"/>
      <c r="AM138" s="125"/>
    </row>
    <row r="139" spans="1:39" ht="12.75" x14ac:dyDescent="0.2">
      <c r="A139" s="303"/>
      <c r="B139" s="303"/>
      <c r="C139" s="303"/>
      <c r="D139" s="143"/>
      <c r="E139" s="303"/>
      <c r="F139" s="303"/>
      <c r="G139" s="303"/>
      <c r="H139" s="303"/>
      <c r="I139" s="303"/>
      <c r="J139" s="303"/>
      <c r="K139" s="303"/>
      <c r="L139" s="143"/>
      <c r="M139" s="303"/>
      <c r="N139" s="303"/>
      <c r="O139" s="303"/>
      <c r="P139" s="303"/>
      <c r="Q139" s="303"/>
      <c r="R139" s="303"/>
      <c r="S139" s="303"/>
      <c r="T139" s="143"/>
      <c r="U139" s="303"/>
      <c r="V139" s="303"/>
      <c r="W139" s="303"/>
      <c r="X139" s="303"/>
      <c r="Y139" s="303"/>
      <c r="Z139" s="303"/>
      <c r="AA139" s="303"/>
      <c r="AB139" s="143"/>
      <c r="AC139" s="303"/>
      <c r="AD139" s="303"/>
      <c r="AE139" s="303"/>
      <c r="AF139" s="303"/>
      <c r="AG139" s="303"/>
      <c r="AH139" s="303"/>
      <c r="AI139" s="143"/>
      <c r="AJ139" s="125"/>
      <c r="AK139" s="125"/>
      <c r="AL139" s="125"/>
      <c r="AM139" s="125"/>
    </row>
    <row r="140" spans="1:39" ht="12.75" x14ac:dyDescent="0.2">
      <c r="A140" s="303"/>
      <c r="B140" s="303"/>
      <c r="C140" s="303"/>
      <c r="D140" s="143"/>
      <c r="E140" s="303"/>
      <c r="F140" s="303"/>
      <c r="G140" s="303"/>
      <c r="H140" s="303"/>
      <c r="I140" s="303"/>
      <c r="J140" s="303"/>
      <c r="K140" s="303"/>
      <c r="L140" s="143"/>
      <c r="M140" s="303"/>
      <c r="N140" s="303"/>
      <c r="O140" s="303"/>
      <c r="P140" s="303"/>
      <c r="Q140" s="303"/>
      <c r="R140" s="303"/>
      <c r="S140" s="303"/>
      <c r="T140" s="143"/>
      <c r="U140" s="303"/>
      <c r="V140" s="303"/>
      <c r="W140" s="303"/>
      <c r="X140" s="303"/>
      <c r="Y140" s="303"/>
      <c r="Z140" s="303"/>
      <c r="AA140" s="303"/>
      <c r="AB140" s="143"/>
      <c r="AC140" s="303"/>
      <c r="AD140" s="303"/>
      <c r="AE140" s="303"/>
      <c r="AF140" s="303"/>
      <c r="AG140" s="303"/>
      <c r="AH140" s="303"/>
      <c r="AI140" s="143"/>
      <c r="AJ140" s="125"/>
      <c r="AK140" s="125"/>
      <c r="AL140" s="125"/>
      <c r="AM140" s="125"/>
    </row>
    <row r="141" spans="1:39" ht="12.75" x14ac:dyDescent="0.2">
      <c r="A141" s="303"/>
      <c r="B141" s="303"/>
      <c r="C141" s="303"/>
      <c r="D141" s="143"/>
      <c r="E141" s="303"/>
      <c r="F141" s="303"/>
      <c r="G141" s="303"/>
      <c r="H141" s="303"/>
      <c r="I141" s="303"/>
      <c r="J141" s="303"/>
      <c r="K141" s="303"/>
      <c r="L141" s="143"/>
      <c r="M141" s="303"/>
      <c r="N141" s="303"/>
      <c r="O141" s="303"/>
      <c r="P141" s="303"/>
      <c r="Q141" s="303"/>
      <c r="R141" s="303"/>
      <c r="S141" s="303"/>
      <c r="T141" s="143"/>
      <c r="U141" s="303"/>
      <c r="V141" s="303"/>
      <c r="W141" s="303"/>
      <c r="X141" s="303"/>
      <c r="Y141" s="303"/>
      <c r="Z141" s="303"/>
      <c r="AA141" s="303"/>
      <c r="AB141" s="143"/>
      <c r="AC141" s="303"/>
      <c r="AD141" s="303"/>
      <c r="AE141" s="303"/>
      <c r="AF141" s="303"/>
      <c r="AG141" s="303"/>
      <c r="AH141" s="303"/>
      <c r="AI141" s="143"/>
      <c r="AJ141" s="125"/>
      <c r="AK141" s="125"/>
      <c r="AL141" s="125"/>
      <c r="AM141" s="125"/>
    </row>
    <row r="142" spans="1:39" ht="12.75" x14ac:dyDescent="0.2">
      <c r="A142" s="303"/>
      <c r="B142" s="303"/>
      <c r="C142" s="303"/>
      <c r="D142" s="143"/>
      <c r="E142" s="303"/>
      <c r="F142" s="303"/>
      <c r="G142" s="303"/>
      <c r="H142" s="303"/>
      <c r="I142" s="303"/>
      <c r="J142" s="303"/>
      <c r="K142" s="303"/>
      <c r="L142" s="143"/>
      <c r="M142" s="303"/>
      <c r="N142" s="303"/>
      <c r="O142" s="303"/>
      <c r="P142" s="303"/>
      <c r="Q142" s="303"/>
      <c r="R142" s="303"/>
      <c r="S142" s="303"/>
      <c r="T142" s="143"/>
      <c r="U142" s="303"/>
      <c r="V142" s="303"/>
      <c r="W142" s="303"/>
      <c r="X142" s="303"/>
      <c r="Y142" s="303"/>
      <c r="Z142" s="303"/>
      <c r="AA142" s="303"/>
      <c r="AB142" s="143"/>
      <c r="AC142" s="303"/>
      <c r="AD142" s="303"/>
      <c r="AE142" s="303"/>
      <c r="AF142" s="303"/>
      <c r="AG142" s="303"/>
      <c r="AH142" s="303"/>
      <c r="AI142" s="143"/>
      <c r="AJ142" s="125"/>
      <c r="AK142" s="125"/>
      <c r="AL142" s="125"/>
      <c r="AM142" s="125"/>
    </row>
    <row r="143" spans="1:39" ht="12.75" x14ac:dyDescent="0.2">
      <c r="A143" s="303"/>
      <c r="B143" s="303"/>
      <c r="C143" s="303"/>
      <c r="D143" s="143"/>
      <c r="E143" s="303"/>
      <c r="F143" s="303"/>
      <c r="G143" s="303"/>
      <c r="H143" s="303"/>
      <c r="I143" s="303"/>
      <c r="J143" s="303"/>
      <c r="K143" s="303"/>
      <c r="L143" s="143"/>
      <c r="M143" s="303"/>
      <c r="N143" s="303"/>
      <c r="O143" s="303"/>
      <c r="P143" s="303"/>
      <c r="Q143" s="303"/>
      <c r="R143" s="303"/>
      <c r="S143" s="303"/>
      <c r="T143" s="143"/>
      <c r="U143" s="303"/>
      <c r="V143" s="303"/>
      <c r="W143" s="303"/>
      <c r="X143" s="303"/>
      <c r="Y143" s="303"/>
      <c r="Z143" s="303"/>
      <c r="AA143" s="303"/>
      <c r="AB143" s="143"/>
      <c r="AC143" s="303"/>
      <c r="AD143" s="303"/>
      <c r="AE143" s="303"/>
      <c r="AF143" s="303"/>
      <c r="AG143" s="303"/>
      <c r="AH143" s="303"/>
      <c r="AI143" s="143"/>
      <c r="AJ143" s="125"/>
      <c r="AK143" s="125"/>
      <c r="AL143" s="125"/>
      <c r="AM143" s="125"/>
    </row>
    <row r="144" spans="1:39" ht="12.75" x14ac:dyDescent="0.2">
      <c r="A144" s="303"/>
      <c r="B144" s="303"/>
      <c r="C144" s="303"/>
      <c r="D144" s="143"/>
      <c r="E144" s="303"/>
      <c r="F144" s="303"/>
      <c r="G144" s="303"/>
      <c r="H144" s="303"/>
      <c r="I144" s="303"/>
      <c r="J144" s="303"/>
      <c r="K144" s="303"/>
      <c r="L144" s="143"/>
      <c r="M144" s="303"/>
      <c r="N144" s="303"/>
      <c r="O144" s="303"/>
      <c r="P144" s="303"/>
      <c r="Q144" s="303"/>
      <c r="R144" s="303"/>
      <c r="S144" s="303"/>
      <c r="T144" s="143"/>
      <c r="U144" s="303"/>
      <c r="V144" s="303"/>
      <c r="W144" s="303"/>
      <c r="X144" s="303"/>
      <c r="Y144" s="303"/>
      <c r="Z144" s="303"/>
      <c r="AA144" s="303"/>
      <c r="AB144" s="143"/>
      <c r="AC144" s="303"/>
      <c r="AD144" s="303"/>
      <c r="AE144" s="303"/>
      <c r="AF144" s="303"/>
      <c r="AG144" s="303"/>
      <c r="AH144" s="303"/>
      <c r="AI144" s="143"/>
      <c r="AJ144" s="125"/>
      <c r="AK144" s="125"/>
      <c r="AL144" s="125"/>
      <c r="AM144" s="125"/>
    </row>
    <row r="145" spans="1:39" ht="12.75" x14ac:dyDescent="0.2">
      <c r="A145" s="303"/>
      <c r="B145" s="303"/>
      <c r="C145" s="303"/>
      <c r="D145" s="143"/>
      <c r="E145" s="303"/>
      <c r="F145" s="303"/>
      <c r="G145" s="303"/>
      <c r="H145" s="303"/>
      <c r="I145" s="303"/>
      <c r="J145" s="303"/>
      <c r="K145" s="303"/>
      <c r="L145" s="143"/>
      <c r="M145" s="303"/>
      <c r="N145" s="303"/>
      <c r="O145" s="303"/>
      <c r="P145" s="303"/>
      <c r="Q145" s="303"/>
      <c r="R145" s="303"/>
      <c r="S145" s="303"/>
      <c r="T145" s="143"/>
      <c r="U145" s="303"/>
      <c r="V145" s="303"/>
      <c r="W145" s="303"/>
      <c r="X145" s="303"/>
      <c r="Y145" s="303"/>
      <c r="Z145" s="303"/>
      <c r="AA145" s="303"/>
      <c r="AB145" s="143"/>
      <c r="AC145" s="303"/>
      <c r="AD145" s="303"/>
      <c r="AE145" s="303"/>
      <c r="AF145" s="303"/>
      <c r="AG145" s="303"/>
      <c r="AH145" s="303"/>
      <c r="AI145" s="143"/>
      <c r="AJ145" s="125"/>
      <c r="AK145" s="125"/>
      <c r="AL145" s="125"/>
      <c r="AM145" s="125"/>
    </row>
    <row r="146" spans="1:39" ht="12.75" x14ac:dyDescent="0.2">
      <c r="A146" s="303"/>
      <c r="B146" s="303"/>
      <c r="C146" s="303"/>
      <c r="D146" s="143"/>
      <c r="E146" s="303"/>
      <c r="F146" s="303"/>
      <c r="G146" s="303"/>
      <c r="H146" s="303"/>
      <c r="I146" s="303"/>
      <c r="J146" s="303"/>
      <c r="K146" s="303"/>
      <c r="L146" s="143"/>
      <c r="M146" s="303"/>
      <c r="N146" s="303"/>
      <c r="O146" s="303"/>
      <c r="P146" s="303"/>
      <c r="Q146" s="303"/>
      <c r="R146" s="303"/>
      <c r="S146" s="303"/>
      <c r="T146" s="143"/>
      <c r="U146" s="303"/>
      <c r="V146" s="303"/>
      <c r="W146" s="303"/>
      <c r="X146" s="303"/>
      <c r="Y146" s="303"/>
      <c r="Z146" s="303"/>
      <c r="AA146" s="303"/>
      <c r="AB146" s="143"/>
      <c r="AC146" s="303"/>
      <c r="AD146" s="303"/>
      <c r="AE146" s="303"/>
      <c r="AF146" s="303"/>
      <c r="AG146" s="303"/>
      <c r="AH146" s="303"/>
      <c r="AI146" s="143"/>
      <c r="AJ146" s="125"/>
      <c r="AK146" s="125"/>
      <c r="AL146" s="125"/>
      <c r="AM146" s="125"/>
    </row>
    <row r="147" spans="1:39" ht="12.75" x14ac:dyDescent="0.2">
      <c r="A147" s="303"/>
      <c r="B147" s="303"/>
      <c r="C147" s="303"/>
      <c r="D147" s="143"/>
      <c r="E147" s="303"/>
      <c r="F147" s="303"/>
      <c r="G147" s="303"/>
      <c r="H147" s="303"/>
      <c r="I147" s="303"/>
      <c r="J147" s="303"/>
      <c r="K147" s="303"/>
      <c r="L147" s="143"/>
      <c r="M147" s="303"/>
      <c r="N147" s="303"/>
      <c r="O147" s="303"/>
      <c r="P147" s="303"/>
      <c r="Q147" s="303"/>
      <c r="R147" s="303"/>
      <c r="S147" s="303"/>
      <c r="T147" s="143"/>
      <c r="U147" s="303"/>
      <c r="V147" s="303"/>
      <c r="W147" s="303"/>
      <c r="X147" s="303"/>
      <c r="Y147" s="303"/>
      <c r="Z147" s="303"/>
      <c r="AA147" s="303"/>
      <c r="AB147" s="143"/>
      <c r="AC147" s="303"/>
      <c r="AD147" s="303"/>
      <c r="AE147" s="303"/>
      <c r="AF147" s="303"/>
      <c r="AG147" s="303"/>
      <c r="AH147" s="303"/>
      <c r="AI147" s="143"/>
      <c r="AJ147" s="125"/>
      <c r="AK147" s="125"/>
      <c r="AL147" s="125"/>
      <c r="AM147" s="125"/>
    </row>
    <row r="148" spans="1:39" ht="12.75" x14ac:dyDescent="0.2">
      <c r="A148" s="303"/>
      <c r="B148" s="303"/>
      <c r="C148" s="303"/>
      <c r="D148" s="143"/>
      <c r="E148" s="303"/>
      <c r="F148" s="303"/>
      <c r="G148" s="303"/>
      <c r="H148" s="303"/>
      <c r="I148" s="303"/>
      <c r="J148" s="303"/>
      <c r="K148" s="303"/>
      <c r="L148" s="143"/>
      <c r="M148" s="303"/>
      <c r="N148" s="303"/>
      <c r="O148" s="303"/>
      <c r="P148" s="303"/>
      <c r="Q148" s="303"/>
      <c r="R148" s="303"/>
      <c r="S148" s="303"/>
      <c r="T148" s="143"/>
      <c r="U148" s="303"/>
      <c r="V148" s="303"/>
      <c r="W148" s="303"/>
      <c r="X148" s="303"/>
      <c r="Y148" s="303"/>
      <c r="Z148" s="303"/>
      <c r="AA148" s="303"/>
      <c r="AB148" s="143"/>
      <c r="AC148" s="303"/>
      <c r="AD148" s="303"/>
      <c r="AE148" s="303"/>
      <c r="AF148" s="303"/>
      <c r="AG148" s="303"/>
      <c r="AH148" s="303"/>
      <c r="AI148" s="143"/>
      <c r="AJ148" s="125"/>
      <c r="AK148" s="125"/>
      <c r="AL148" s="125"/>
      <c r="AM148" s="125"/>
    </row>
    <row r="149" spans="1:39" ht="12.75" x14ac:dyDescent="0.2">
      <c r="A149" s="303"/>
      <c r="B149" s="303"/>
      <c r="C149" s="303"/>
      <c r="D149" s="143"/>
      <c r="E149" s="303"/>
      <c r="F149" s="303"/>
      <c r="G149" s="303"/>
      <c r="H149" s="303"/>
      <c r="I149" s="303"/>
      <c r="J149" s="303"/>
      <c r="K149" s="303"/>
      <c r="L149" s="143"/>
      <c r="M149" s="303"/>
      <c r="N149" s="303"/>
      <c r="O149" s="303"/>
      <c r="P149" s="303"/>
      <c r="Q149" s="303"/>
      <c r="R149" s="303"/>
      <c r="S149" s="303"/>
      <c r="T149" s="143"/>
      <c r="U149" s="303"/>
      <c r="V149" s="303"/>
      <c r="W149" s="303"/>
      <c r="X149" s="303"/>
      <c r="Y149" s="303"/>
      <c r="Z149" s="303"/>
      <c r="AA149" s="303"/>
      <c r="AB149" s="143"/>
      <c r="AC149" s="303"/>
      <c r="AD149" s="303"/>
      <c r="AE149" s="303"/>
      <c r="AF149" s="303"/>
      <c r="AG149" s="303"/>
      <c r="AH149" s="303"/>
      <c r="AI149" s="143"/>
      <c r="AJ149" s="125"/>
      <c r="AK149" s="125"/>
      <c r="AL149" s="125"/>
      <c r="AM149" s="125"/>
    </row>
    <row r="150" spans="1:39" ht="12.75" x14ac:dyDescent="0.2">
      <c r="A150" s="303"/>
      <c r="B150" s="303"/>
      <c r="C150" s="303"/>
      <c r="D150" s="143"/>
      <c r="E150" s="303"/>
      <c r="F150" s="303"/>
      <c r="G150" s="303"/>
      <c r="H150" s="303"/>
      <c r="I150" s="303"/>
      <c r="J150" s="303"/>
      <c r="K150" s="303"/>
      <c r="L150" s="143"/>
      <c r="M150" s="303"/>
      <c r="N150" s="303"/>
      <c r="O150" s="303"/>
      <c r="P150" s="303"/>
      <c r="Q150" s="303"/>
      <c r="R150" s="303"/>
      <c r="S150" s="303"/>
      <c r="T150" s="143"/>
      <c r="U150" s="303"/>
      <c r="V150" s="303"/>
      <c r="W150" s="303"/>
      <c r="X150" s="303"/>
      <c r="Y150" s="303"/>
      <c r="Z150" s="303"/>
      <c r="AA150" s="303"/>
      <c r="AB150" s="143"/>
      <c r="AC150" s="303"/>
      <c r="AD150" s="303"/>
      <c r="AE150" s="303"/>
      <c r="AF150" s="303"/>
      <c r="AG150" s="303"/>
      <c r="AH150" s="303"/>
      <c r="AI150" s="143"/>
      <c r="AJ150" s="125"/>
      <c r="AK150" s="125"/>
      <c r="AL150" s="125"/>
      <c r="AM150" s="125"/>
    </row>
    <row r="151" spans="1:39" ht="12.75" x14ac:dyDescent="0.2">
      <c r="A151" s="303"/>
      <c r="B151" s="303"/>
      <c r="C151" s="303"/>
      <c r="D151" s="143"/>
      <c r="E151" s="303"/>
      <c r="F151" s="303"/>
      <c r="G151" s="303"/>
      <c r="H151" s="303"/>
      <c r="I151" s="303"/>
      <c r="J151" s="303"/>
      <c r="K151" s="303"/>
      <c r="L151" s="143"/>
      <c r="M151" s="303"/>
      <c r="N151" s="303"/>
      <c r="O151" s="303"/>
      <c r="P151" s="303"/>
      <c r="Q151" s="303"/>
      <c r="R151" s="303"/>
      <c r="S151" s="303"/>
      <c r="T151" s="143"/>
      <c r="U151" s="303"/>
      <c r="V151" s="303"/>
      <c r="W151" s="303"/>
      <c r="X151" s="303"/>
      <c r="Y151" s="303"/>
      <c r="Z151" s="303"/>
      <c r="AA151" s="303"/>
      <c r="AB151" s="143"/>
      <c r="AC151" s="303"/>
      <c r="AD151" s="303"/>
      <c r="AE151" s="303"/>
      <c r="AF151" s="303"/>
      <c r="AG151" s="303"/>
      <c r="AH151" s="303"/>
      <c r="AI151" s="143"/>
      <c r="AJ151" s="125"/>
      <c r="AK151" s="125"/>
      <c r="AL151" s="125"/>
      <c r="AM151" s="125"/>
    </row>
    <row r="152" spans="1:39" ht="12.75" x14ac:dyDescent="0.2">
      <c r="A152" s="303"/>
      <c r="B152" s="303"/>
      <c r="C152" s="303"/>
      <c r="D152" s="143"/>
      <c r="E152" s="303"/>
      <c r="F152" s="303"/>
      <c r="G152" s="303"/>
      <c r="H152" s="303"/>
      <c r="I152" s="303"/>
      <c r="J152" s="303"/>
      <c r="K152" s="303"/>
      <c r="L152" s="143"/>
      <c r="M152" s="303"/>
      <c r="N152" s="303"/>
      <c r="O152" s="303"/>
      <c r="P152" s="303"/>
      <c r="Q152" s="303"/>
      <c r="R152" s="303"/>
      <c r="S152" s="303"/>
      <c r="T152" s="143"/>
      <c r="U152" s="303"/>
      <c r="V152" s="303"/>
      <c r="W152" s="303"/>
      <c r="X152" s="303"/>
      <c r="Y152" s="303"/>
      <c r="Z152" s="303"/>
      <c r="AA152" s="303"/>
      <c r="AB152" s="143"/>
      <c r="AC152" s="303"/>
      <c r="AD152" s="303"/>
      <c r="AE152" s="303"/>
      <c r="AF152" s="303"/>
      <c r="AG152" s="303"/>
      <c r="AH152" s="303"/>
      <c r="AI152" s="143"/>
      <c r="AJ152" s="125"/>
      <c r="AK152" s="125"/>
      <c r="AL152" s="125"/>
      <c r="AM152" s="125"/>
    </row>
    <row r="153" spans="1:39" ht="12.75" x14ac:dyDescent="0.2">
      <c r="A153" s="303"/>
      <c r="B153" s="303"/>
      <c r="C153" s="303"/>
      <c r="D153" s="143"/>
      <c r="E153" s="303"/>
      <c r="F153" s="303"/>
      <c r="G153" s="303"/>
      <c r="H153" s="303"/>
      <c r="I153" s="303"/>
      <c r="J153" s="303"/>
      <c r="K153" s="303"/>
      <c r="L153" s="143"/>
      <c r="M153" s="303"/>
      <c r="N153" s="303"/>
      <c r="O153" s="303"/>
      <c r="P153" s="303"/>
      <c r="Q153" s="303"/>
      <c r="R153" s="303"/>
      <c r="S153" s="303"/>
      <c r="T153" s="143"/>
      <c r="U153" s="303"/>
      <c r="V153" s="303"/>
      <c r="W153" s="303"/>
      <c r="X153" s="303"/>
      <c r="Y153" s="303"/>
      <c r="Z153" s="303"/>
      <c r="AA153" s="303"/>
      <c r="AB153" s="143"/>
      <c r="AC153" s="303"/>
      <c r="AD153" s="303"/>
      <c r="AE153" s="303"/>
      <c r="AF153" s="303"/>
      <c r="AG153" s="303"/>
      <c r="AH153" s="303"/>
      <c r="AI153" s="143"/>
      <c r="AJ153" s="125"/>
      <c r="AK153" s="125"/>
      <c r="AL153" s="125"/>
      <c r="AM153" s="125"/>
    </row>
    <row r="154" spans="1:39" ht="12.75" x14ac:dyDescent="0.2">
      <c r="A154" s="303"/>
      <c r="B154" s="303"/>
      <c r="C154" s="303"/>
      <c r="D154" s="143"/>
      <c r="E154" s="303"/>
      <c r="F154" s="303"/>
      <c r="G154" s="303"/>
      <c r="H154" s="303"/>
      <c r="I154" s="303"/>
      <c r="J154" s="303"/>
      <c r="K154" s="303"/>
      <c r="L154" s="143"/>
      <c r="M154" s="303"/>
      <c r="N154" s="303"/>
      <c r="O154" s="303"/>
      <c r="P154" s="303"/>
      <c r="Q154" s="303"/>
      <c r="R154" s="303"/>
      <c r="S154" s="303"/>
      <c r="T154" s="143"/>
      <c r="U154" s="303"/>
      <c r="V154" s="303"/>
      <c r="W154" s="303"/>
      <c r="X154" s="303"/>
      <c r="Y154" s="303"/>
      <c r="Z154" s="303"/>
      <c r="AA154" s="303"/>
      <c r="AB154" s="143"/>
      <c r="AC154" s="303"/>
      <c r="AD154" s="303"/>
      <c r="AE154" s="303"/>
      <c r="AF154" s="303"/>
      <c r="AG154" s="303"/>
      <c r="AH154" s="303"/>
      <c r="AI154" s="143"/>
      <c r="AJ154" s="125"/>
      <c r="AK154" s="125"/>
      <c r="AL154" s="125"/>
      <c r="AM154" s="125"/>
    </row>
    <row r="155" spans="1:39" ht="12.75" x14ac:dyDescent="0.2">
      <c r="A155" s="303"/>
      <c r="B155" s="303"/>
      <c r="C155" s="303"/>
      <c r="D155" s="143"/>
      <c r="E155" s="303"/>
      <c r="F155" s="303"/>
      <c r="G155" s="303"/>
      <c r="H155" s="303"/>
      <c r="I155" s="303"/>
      <c r="J155" s="303"/>
      <c r="K155" s="303"/>
      <c r="L155" s="143"/>
      <c r="M155" s="303"/>
      <c r="N155" s="303"/>
      <c r="O155" s="303"/>
      <c r="P155" s="303"/>
      <c r="Q155" s="303"/>
      <c r="R155" s="303"/>
      <c r="S155" s="303"/>
      <c r="T155" s="143"/>
      <c r="U155" s="303"/>
      <c r="V155" s="303"/>
      <c r="W155" s="303"/>
      <c r="X155" s="303"/>
      <c r="Y155" s="303"/>
      <c r="Z155" s="303"/>
      <c r="AA155" s="303"/>
      <c r="AB155" s="143"/>
      <c r="AC155" s="303"/>
      <c r="AD155" s="303"/>
      <c r="AE155" s="303"/>
      <c r="AF155" s="303"/>
      <c r="AG155" s="303"/>
      <c r="AH155" s="303"/>
      <c r="AI155" s="143"/>
      <c r="AJ155" s="125"/>
      <c r="AK155" s="125"/>
      <c r="AL155" s="125"/>
      <c r="AM155" s="125"/>
    </row>
    <row r="156" spans="1:39" ht="12.75" x14ac:dyDescent="0.2">
      <c r="A156" s="303"/>
      <c r="B156" s="303"/>
      <c r="C156" s="303"/>
      <c r="D156" s="143"/>
      <c r="E156" s="303"/>
      <c r="F156" s="303"/>
      <c r="G156" s="303"/>
      <c r="H156" s="303"/>
      <c r="I156" s="303"/>
      <c r="J156" s="303"/>
      <c r="K156" s="303"/>
      <c r="L156" s="143"/>
      <c r="M156" s="303"/>
      <c r="N156" s="303"/>
      <c r="O156" s="303"/>
      <c r="P156" s="303"/>
      <c r="Q156" s="303"/>
      <c r="R156" s="303"/>
      <c r="S156" s="303"/>
      <c r="T156" s="143"/>
      <c r="U156" s="303"/>
      <c r="V156" s="303"/>
      <c r="W156" s="303"/>
      <c r="X156" s="303"/>
      <c r="Y156" s="303"/>
      <c r="Z156" s="303"/>
      <c r="AA156" s="303"/>
      <c r="AB156" s="143"/>
      <c r="AC156" s="303"/>
      <c r="AD156" s="303"/>
      <c r="AE156" s="303"/>
      <c r="AF156" s="303"/>
      <c r="AG156" s="303"/>
      <c r="AH156" s="303"/>
      <c r="AI156" s="143"/>
      <c r="AJ156" s="125"/>
      <c r="AK156" s="125"/>
      <c r="AL156" s="125"/>
      <c r="AM156" s="125"/>
    </row>
    <row r="157" spans="1:39" ht="12.75" x14ac:dyDescent="0.2">
      <c r="A157" s="303"/>
      <c r="B157" s="303"/>
      <c r="C157" s="303"/>
      <c r="D157" s="143"/>
      <c r="E157" s="303"/>
      <c r="F157" s="303"/>
      <c r="G157" s="303"/>
      <c r="H157" s="303"/>
      <c r="I157" s="303"/>
      <c r="J157" s="303"/>
      <c r="K157" s="303"/>
      <c r="L157" s="143"/>
      <c r="M157" s="303"/>
      <c r="N157" s="303"/>
      <c r="O157" s="303"/>
      <c r="P157" s="303"/>
      <c r="Q157" s="303"/>
      <c r="R157" s="303"/>
      <c r="S157" s="303"/>
      <c r="T157" s="143"/>
      <c r="U157" s="303"/>
      <c r="V157" s="303"/>
      <c r="W157" s="303"/>
      <c r="X157" s="303"/>
      <c r="Y157" s="303"/>
      <c r="Z157" s="303"/>
      <c r="AA157" s="303"/>
      <c r="AB157" s="143"/>
      <c r="AC157" s="303"/>
      <c r="AD157" s="303"/>
      <c r="AE157" s="303"/>
      <c r="AF157" s="303"/>
      <c r="AG157" s="303"/>
      <c r="AH157" s="303"/>
      <c r="AI157" s="143"/>
      <c r="AJ157" s="125"/>
      <c r="AK157" s="125"/>
      <c r="AL157" s="125"/>
      <c r="AM157" s="125"/>
    </row>
    <row r="158" spans="1:39" ht="12.75" x14ac:dyDescent="0.2">
      <c r="A158" s="303"/>
      <c r="B158" s="303"/>
      <c r="C158" s="303"/>
      <c r="D158" s="143"/>
      <c r="E158" s="303"/>
      <c r="F158" s="303"/>
      <c r="G158" s="303"/>
      <c r="H158" s="303"/>
      <c r="I158" s="303"/>
      <c r="J158" s="303"/>
      <c r="K158" s="303"/>
      <c r="L158" s="143"/>
      <c r="M158" s="303"/>
      <c r="N158" s="303"/>
      <c r="O158" s="303"/>
      <c r="P158" s="303"/>
      <c r="Q158" s="303"/>
      <c r="R158" s="303"/>
      <c r="S158" s="303"/>
      <c r="T158" s="143"/>
      <c r="U158" s="303"/>
      <c r="V158" s="303"/>
      <c r="W158" s="303"/>
      <c r="X158" s="303"/>
      <c r="Y158" s="303"/>
      <c r="Z158" s="303"/>
      <c r="AA158" s="303"/>
      <c r="AB158" s="143"/>
      <c r="AC158" s="303"/>
      <c r="AD158" s="303"/>
      <c r="AE158" s="303"/>
      <c r="AF158" s="303"/>
      <c r="AG158" s="303"/>
      <c r="AH158" s="303"/>
      <c r="AI158" s="143"/>
      <c r="AJ158" s="125"/>
      <c r="AK158" s="125"/>
      <c r="AL158" s="125"/>
      <c r="AM158" s="125"/>
    </row>
    <row r="159" spans="1:39" ht="12.75" x14ac:dyDescent="0.2">
      <c r="A159" s="303"/>
      <c r="B159" s="303"/>
      <c r="C159" s="303"/>
      <c r="D159" s="143"/>
      <c r="E159" s="303"/>
      <c r="F159" s="303"/>
      <c r="G159" s="303"/>
      <c r="H159" s="303"/>
      <c r="I159" s="303"/>
      <c r="J159" s="303"/>
      <c r="K159" s="303"/>
      <c r="L159" s="143"/>
      <c r="M159" s="303"/>
      <c r="N159" s="303"/>
      <c r="O159" s="303"/>
      <c r="P159" s="303"/>
      <c r="Q159" s="303"/>
      <c r="R159" s="303"/>
      <c r="S159" s="303"/>
      <c r="T159" s="143"/>
      <c r="U159" s="303"/>
      <c r="V159" s="303"/>
      <c r="W159" s="303"/>
      <c r="X159" s="303"/>
      <c r="Y159" s="303"/>
      <c r="Z159" s="303"/>
      <c r="AA159" s="303"/>
      <c r="AB159" s="143"/>
      <c r="AC159" s="303"/>
      <c r="AD159" s="303"/>
      <c r="AE159" s="303"/>
      <c r="AF159" s="303"/>
      <c r="AG159" s="303"/>
      <c r="AH159" s="303"/>
      <c r="AI159" s="143"/>
      <c r="AJ159" s="125"/>
      <c r="AK159" s="125"/>
      <c r="AL159" s="125"/>
      <c r="AM159" s="125"/>
    </row>
    <row r="160" spans="1:39" ht="12.75" x14ac:dyDescent="0.2">
      <c r="A160" s="303"/>
      <c r="B160" s="303"/>
      <c r="C160" s="303"/>
      <c r="D160" s="143"/>
      <c r="E160" s="303"/>
      <c r="F160" s="303"/>
      <c r="G160" s="303"/>
      <c r="H160" s="303"/>
      <c r="I160" s="303"/>
      <c r="J160" s="303"/>
      <c r="K160" s="303"/>
      <c r="L160" s="143"/>
      <c r="M160" s="303"/>
      <c r="N160" s="303"/>
      <c r="O160" s="303"/>
      <c r="P160" s="303"/>
      <c r="Q160" s="303"/>
      <c r="R160" s="303"/>
      <c r="S160" s="303"/>
      <c r="T160" s="143"/>
      <c r="U160" s="303"/>
      <c r="V160" s="303"/>
      <c r="W160" s="303"/>
      <c r="X160" s="303"/>
      <c r="Y160" s="303"/>
      <c r="Z160" s="303"/>
      <c r="AA160" s="303"/>
      <c r="AB160" s="143"/>
      <c r="AC160" s="303"/>
      <c r="AD160" s="303"/>
      <c r="AE160" s="303"/>
      <c r="AF160" s="303"/>
      <c r="AG160" s="303"/>
      <c r="AH160" s="303"/>
      <c r="AI160" s="143"/>
      <c r="AJ160" s="125"/>
      <c r="AK160" s="125"/>
      <c r="AL160" s="125"/>
      <c r="AM160" s="125"/>
    </row>
    <row r="161" spans="1:39" ht="12.75" x14ac:dyDescent="0.2">
      <c r="A161" s="303"/>
      <c r="B161" s="303"/>
      <c r="C161" s="303"/>
      <c r="D161" s="143"/>
      <c r="E161" s="303"/>
      <c r="F161" s="303"/>
      <c r="G161" s="303"/>
      <c r="H161" s="303"/>
      <c r="I161" s="303"/>
      <c r="J161" s="303"/>
      <c r="K161" s="303"/>
      <c r="L161" s="143"/>
      <c r="M161" s="303"/>
      <c r="N161" s="303"/>
      <c r="O161" s="303"/>
      <c r="P161" s="303"/>
      <c r="Q161" s="303"/>
      <c r="R161" s="303"/>
      <c r="S161" s="303"/>
      <c r="T161" s="143"/>
      <c r="U161" s="303"/>
      <c r="V161" s="303"/>
      <c r="W161" s="303"/>
      <c r="X161" s="303"/>
      <c r="Y161" s="303"/>
      <c r="Z161" s="303"/>
      <c r="AA161" s="303"/>
      <c r="AB161" s="143"/>
      <c r="AC161" s="303"/>
      <c r="AD161" s="303"/>
      <c r="AE161" s="303"/>
      <c r="AF161" s="303"/>
      <c r="AG161" s="303"/>
      <c r="AH161" s="303"/>
      <c r="AI161" s="143"/>
      <c r="AJ161" s="125"/>
      <c r="AK161" s="125"/>
      <c r="AL161" s="125"/>
      <c r="AM161" s="125"/>
    </row>
    <row r="162" spans="1:39" ht="12.75" x14ac:dyDescent="0.2">
      <c r="A162" s="303"/>
      <c r="B162" s="303"/>
      <c r="C162" s="303"/>
      <c r="D162" s="143"/>
      <c r="E162" s="303"/>
      <c r="F162" s="303"/>
      <c r="G162" s="303"/>
      <c r="H162" s="303"/>
      <c r="I162" s="303"/>
      <c r="J162" s="303"/>
      <c r="K162" s="303"/>
      <c r="L162" s="143"/>
      <c r="M162" s="303"/>
      <c r="N162" s="303"/>
      <c r="O162" s="303"/>
      <c r="P162" s="303"/>
      <c r="Q162" s="303"/>
      <c r="R162" s="303"/>
      <c r="S162" s="303"/>
      <c r="T162" s="143"/>
      <c r="U162" s="303"/>
      <c r="V162" s="303"/>
      <c r="W162" s="303"/>
      <c r="X162" s="303"/>
      <c r="Y162" s="303"/>
      <c r="Z162" s="303"/>
      <c r="AA162" s="303"/>
      <c r="AB162" s="143"/>
      <c r="AC162" s="303"/>
      <c r="AD162" s="303"/>
      <c r="AE162" s="303"/>
      <c r="AF162" s="303"/>
      <c r="AG162" s="303"/>
      <c r="AH162" s="303"/>
      <c r="AI162" s="143"/>
      <c r="AJ162" s="125"/>
      <c r="AK162" s="125"/>
      <c r="AL162" s="125"/>
      <c r="AM162" s="125"/>
    </row>
    <row r="163" spans="1:39" ht="12.75" x14ac:dyDescent="0.2">
      <c r="A163" s="303"/>
      <c r="B163" s="303"/>
      <c r="C163" s="303"/>
      <c r="D163" s="143"/>
      <c r="E163" s="303"/>
      <c r="F163" s="303"/>
      <c r="G163" s="303"/>
      <c r="H163" s="303"/>
      <c r="I163" s="303"/>
      <c r="J163" s="303"/>
      <c r="K163" s="303"/>
      <c r="L163" s="143"/>
      <c r="M163" s="303"/>
      <c r="N163" s="303"/>
      <c r="O163" s="303"/>
      <c r="P163" s="303"/>
      <c r="Q163" s="303"/>
      <c r="R163" s="303"/>
      <c r="S163" s="303"/>
      <c r="T163" s="143"/>
      <c r="U163" s="303"/>
      <c r="V163" s="303"/>
      <c r="W163" s="303"/>
      <c r="X163" s="303"/>
      <c r="Y163" s="303"/>
      <c r="Z163" s="303"/>
      <c r="AA163" s="303"/>
      <c r="AB163" s="143"/>
      <c r="AC163" s="303"/>
      <c r="AD163" s="303"/>
      <c r="AE163" s="303"/>
      <c r="AF163" s="303"/>
      <c r="AG163" s="303"/>
      <c r="AH163" s="303"/>
      <c r="AI163" s="143"/>
      <c r="AJ163" s="125"/>
      <c r="AK163" s="125"/>
      <c r="AL163" s="125"/>
      <c r="AM163" s="125"/>
    </row>
    <row r="164" spans="1:39" ht="12.75" x14ac:dyDescent="0.2">
      <c r="A164" s="303"/>
      <c r="B164" s="303"/>
      <c r="C164" s="303"/>
      <c r="D164" s="143"/>
      <c r="E164" s="303"/>
      <c r="F164" s="303"/>
      <c r="G164" s="303"/>
      <c r="H164" s="303"/>
      <c r="I164" s="303"/>
      <c r="J164" s="303"/>
      <c r="K164" s="303"/>
      <c r="L164" s="143"/>
      <c r="M164" s="303"/>
      <c r="N164" s="303"/>
      <c r="O164" s="303"/>
      <c r="P164" s="303"/>
      <c r="Q164" s="303"/>
      <c r="R164" s="303"/>
      <c r="S164" s="303"/>
      <c r="T164" s="143"/>
      <c r="U164" s="303"/>
      <c r="V164" s="303"/>
      <c r="W164" s="303"/>
      <c r="X164" s="303"/>
      <c r="Y164" s="303"/>
      <c r="Z164" s="303"/>
      <c r="AA164" s="303"/>
      <c r="AB164" s="143"/>
      <c r="AC164" s="303"/>
      <c r="AD164" s="303"/>
      <c r="AE164" s="303"/>
      <c r="AF164" s="303"/>
      <c r="AG164" s="303"/>
      <c r="AH164" s="303"/>
      <c r="AI164" s="143"/>
      <c r="AJ164" s="125"/>
      <c r="AK164" s="125"/>
      <c r="AL164" s="125"/>
      <c r="AM164" s="125"/>
    </row>
    <row r="165" spans="1:39" ht="12.75" x14ac:dyDescent="0.2">
      <c r="A165" s="303"/>
      <c r="B165" s="303"/>
      <c r="C165" s="303"/>
      <c r="D165" s="143"/>
      <c r="E165" s="303"/>
      <c r="F165" s="303"/>
      <c r="G165" s="303"/>
      <c r="H165" s="303"/>
      <c r="I165" s="303"/>
      <c r="J165" s="303"/>
      <c r="K165" s="303"/>
      <c r="L165" s="143"/>
      <c r="M165" s="303"/>
      <c r="N165" s="303"/>
      <c r="O165" s="303"/>
      <c r="P165" s="303"/>
      <c r="Q165" s="303"/>
      <c r="R165" s="303"/>
      <c r="S165" s="303"/>
      <c r="T165" s="143"/>
      <c r="U165" s="303"/>
      <c r="V165" s="303"/>
      <c r="W165" s="303"/>
      <c r="X165" s="303"/>
      <c r="Y165" s="303"/>
      <c r="Z165" s="303"/>
      <c r="AA165" s="303"/>
      <c r="AB165" s="143"/>
      <c r="AC165" s="303"/>
      <c r="AD165" s="303"/>
      <c r="AE165" s="303"/>
      <c r="AF165" s="303"/>
      <c r="AG165" s="303"/>
      <c r="AH165" s="303"/>
      <c r="AI165" s="143"/>
      <c r="AJ165" s="125"/>
      <c r="AK165" s="125"/>
      <c r="AL165" s="125"/>
      <c r="AM165" s="125"/>
    </row>
    <row r="166" spans="1:39" ht="12.75" x14ac:dyDescent="0.2">
      <c r="A166" s="303"/>
      <c r="B166" s="303"/>
      <c r="C166" s="303"/>
      <c r="D166" s="143"/>
      <c r="E166" s="303"/>
      <c r="F166" s="303"/>
      <c r="G166" s="303"/>
      <c r="H166" s="303"/>
      <c r="I166" s="303"/>
      <c r="J166" s="303"/>
      <c r="K166" s="303"/>
      <c r="L166" s="143"/>
      <c r="M166" s="303"/>
      <c r="N166" s="303"/>
      <c r="O166" s="303"/>
      <c r="P166" s="303"/>
      <c r="Q166" s="303"/>
      <c r="R166" s="303"/>
      <c r="S166" s="303"/>
      <c r="T166" s="143"/>
      <c r="U166" s="303"/>
      <c r="V166" s="303"/>
      <c r="W166" s="303"/>
      <c r="X166" s="303"/>
      <c r="Y166" s="303"/>
      <c r="Z166" s="303"/>
      <c r="AA166" s="303"/>
      <c r="AB166" s="143"/>
      <c r="AC166" s="303"/>
      <c r="AD166" s="303"/>
      <c r="AE166" s="303"/>
      <c r="AF166" s="303"/>
      <c r="AG166" s="303"/>
      <c r="AH166" s="303"/>
      <c r="AI166" s="143"/>
      <c r="AJ166" s="125"/>
      <c r="AK166" s="125"/>
      <c r="AL166" s="125"/>
      <c r="AM166" s="125"/>
    </row>
    <row r="167" spans="1:39" ht="12.75" x14ac:dyDescent="0.2">
      <c r="A167" s="303"/>
      <c r="B167" s="303"/>
      <c r="C167" s="303"/>
      <c r="D167" s="143"/>
      <c r="E167" s="303"/>
      <c r="F167" s="303"/>
      <c r="G167" s="303"/>
      <c r="H167" s="303"/>
      <c r="I167" s="303"/>
      <c r="J167" s="303"/>
      <c r="K167" s="303"/>
      <c r="L167" s="143"/>
      <c r="M167" s="303"/>
      <c r="N167" s="303"/>
      <c r="O167" s="303"/>
      <c r="P167" s="303"/>
      <c r="Q167" s="303"/>
      <c r="R167" s="303"/>
      <c r="S167" s="303"/>
      <c r="T167" s="143"/>
      <c r="U167" s="303"/>
      <c r="V167" s="303"/>
      <c r="W167" s="303"/>
      <c r="X167" s="303"/>
      <c r="Y167" s="303"/>
      <c r="Z167" s="303"/>
      <c r="AA167" s="303"/>
      <c r="AB167" s="143"/>
      <c r="AC167" s="303"/>
      <c r="AD167" s="303"/>
      <c r="AE167" s="303"/>
      <c r="AF167" s="303"/>
      <c r="AG167" s="303"/>
      <c r="AH167" s="303"/>
      <c r="AI167" s="143"/>
      <c r="AJ167" s="125"/>
      <c r="AK167" s="125"/>
      <c r="AL167" s="125"/>
      <c r="AM167" s="125"/>
    </row>
    <row r="168" spans="1:39" ht="12.75" x14ac:dyDescent="0.2">
      <c r="A168" s="303"/>
      <c r="B168" s="303"/>
      <c r="C168" s="303"/>
      <c r="D168" s="143"/>
      <c r="E168" s="303"/>
      <c r="F168" s="303"/>
      <c r="G168" s="303"/>
      <c r="H168" s="303"/>
      <c r="I168" s="303"/>
      <c r="J168" s="303"/>
      <c r="K168" s="303"/>
      <c r="L168" s="143"/>
      <c r="M168" s="303"/>
      <c r="N168" s="303"/>
      <c r="O168" s="303"/>
      <c r="P168" s="303"/>
      <c r="Q168" s="303"/>
      <c r="R168" s="303"/>
      <c r="S168" s="303"/>
      <c r="T168" s="143"/>
      <c r="U168" s="303"/>
      <c r="V168" s="303"/>
      <c r="W168" s="303"/>
      <c r="X168" s="303"/>
      <c r="Y168" s="303"/>
      <c r="Z168" s="303"/>
      <c r="AA168" s="303"/>
      <c r="AB168" s="143"/>
      <c r="AC168" s="303"/>
      <c r="AD168" s="303"/>
      <c r="AE168" s="303"/>
      <c r="AF168" s="303"/>
      <c r="AG168" s="303"/>
      <c r="AH168" s="303"/>
      <c r="AI168" s="143"/>
      <c r="AJ168" s="125"/>
      <c r="AK168" s="125"/>
      <c r="AL168" s="125"/>
      <c r="AM168" s="125"/>
    </row>
    <row r="169" spans="1:39" ht="12.75" x14ac:dyDescent="0.2">
      <c r="A169" s="303"/>
      <c r="B169" s="303"/>
      <c r="C169" s="303"/>
      <c r="D169" s="143"/>
      <c r="E169" s="303"/>
      <c r="F169" s="303"/>
      <c r="G169" s="303"/>
      <c r="H169" s="303"/>
      <c r="I169" s="303"/>
      <c r="J169" s="303"/>
      <c r="K169" s="303"/>
      <c r="L169" s="143"/>
      <c r="M169" s="303"/>
      <c r="N169" s="303"/>
      <c r="O169" s="303"/>
      <c r="P169" s="303"/>
      <c r="Q169" s="303"/>
      <c r="R169" s="303"/>
      <c r="S169" s="303"/>
      <c r="T169" s="143"/>
      <c r="U169" s="303"/>
      <c r="V169" s="303"/>
      <c r="W169" s="303"/>
      <c r="X169" s="303"/>
      <c r="Y169" s="303"/>
      <c r="Z169" s="303"/>
      <c r="AA169" s="303"/>
      <c r="AB169" s="143"/>
      <c r="AC169" s="303"/>
      <c r="AD169" s="303"/>
      <c r="AE169" s="303"/>
      <c r="AF169" s="303"/>
      <c r="AG169" s="303"/>
      <c r="AH169" s="303"/>
      <c r="AI169" s="143"/>
      <c r="AJ169" s="125"/>
      <c r="AK169" s="125"/>
      <c r="AL169" s="125"/>
      <c r="AM169" s="125"/>
    </row>
    <row r="170" spans="1:39" ht="12.75" x14ac:dyDescent="0.2">
      <c r="A170" s="303"/>
      <c r="B170" s="303"/>
      <c r="C170" s="303"/>
      <c r="D170" s="143"/>
      <c r="E170" s="303"/>
      <c r="F170" s="303"/>
      <c r="G170" s="303"/>
      <c r="H170" s="303"/>
      <c r="I170" s="303"/>
      <c r="J170" s="303"/>
      <c r="K170" s="303"/>
      <c r="L170" s="143"/>
      <c r="M170" s="303"/>
      <c r="N170" s="303"/>
      <c r="O170" s="303"/>
      <c r="P170" s="303"/>
      <c r="Q170" s="303"/>
      <c r="R170" s="303"/>
      <c r="S170" s="303"/>
      <c r="T170" s="143"/>
      <c r="U170" s="303"/>
      <c r="V170" s="303"/>
      <c r="W170" s="303"/>
      <c r="X170" s="303"/>
      <c r="Y170" s="303"/>
      <c r="Z170" s="303"/>
      <c r="AA170" s="303"/>
      <c r="AB170" s="143"/>
      <c r="AC170" s="303"/>
      <c r="AD170" s="303"/>
      <c r="AE170" s="303"/>
      <c r="AF170" s="303"/>
      <c r="AG170" s="303"/>
      <c r="AH170" s="303"/>
      <c r="AI170" s="143"/>
      <c r="AJ170" s="125"/>
      <c r="AK170" s="125"/>
      <c r="AL170" s="125"/>
      <c r="AM170" s="125"/>
    </row>
    <row r="171" spans="1:39" ht="12.75" x14ac:dyDescent="0.2">
      <c r="A171" s="303"/>
      <c r="B171" s="303"/>
      <c r="C171" s="303"/>
      <c r="D171" s="143"/>
      <c r="E171" s="303"/>
      <c r="F171" s="303"/>
      <c r="G171" s="303"/>
      <c r="H171" s="303"/>
      <c r="I171" s="303"/>
      <c r="J171" s="303"/>
      <c r="K171" s="303"/>
      <c r="L171" s="143"/>
      <c r="M171" s="303"/>
      <c r="N171" s="303"/>
      <c r="O171" s="303"/>
      <c r="P171" s="303"/>
      <c r="Q171" s="303"/>
      <c r="R171" s="303"/>
      <c r="S171" s="303"/>
      <c r="T171" s="143"/>
      <c r="U171" s="303"/>
      <c r="V171" s="303"/>
      <c r="W171" s="303"/>
      <c r="X171" s="303"/>
      <c r="Y171" s="303"/>
      <c r="Z171" s="303"/>
      <c r="AA171" s="303"/>
      <c r="AB171" s="143"/>
      <c r="AC171" s="303"/>
      <c r="AD171" s="303"/>
      <c r="AE171" s="303"/>
      <c r="AF171" s="303"/>
      <c r="AG171" s="303"/>
      <c r="AH171" s="303"/>
      <c r="AI171" s="143"/>
      <c r="AJ171" s="125"/>
      <c r="AK171" s="125"/>
      <c r="AL171" s="125"/>
      <c r="AM171" s="125"/>
    </row>
    <row r="172" spans="1:39" ht="12.75" x14ac:dyDescent="0.2">
      <c r="A172" s="303"/>
      <c r="B172" s="303"/>
      <c r="C172" s="303"/>
      <c r="D172" s="143"/>
      <c r="E172" s="303"/>
      <c r="F172" s="303"/>
      <c r="G172" s="303"/>
      <c r="H172" s="303"/>
      <c r="I172" s="303"/>
      <c r="J172" s="303"/>
      <c r="K172" s="303"/>
      <c r="L172" s="143"/>
      <c r="M172" s="303"/>
      <c r="N172" s="303"/>
      <c r="O172" s="303"/>
      <c r="P172" s="303"/>
      <c r="Q172" s="303"/>
      <c r="R172" s="303"/>
      <c r="S172" s="303"/>
      <c r="T172" s="143"/>
      <c r="U172" s="303"/>
      <c r="V172" s="303"/>
      <c r="W172" s="303"/>
      <c r="X172" s="303"/>
      <c r="Y172" s="303"/>
      <c r="Z172" s="303"/>
      <c r="AA172" s="303"/>
      <c r="AB172" s="143"/>
      <c r="AC172" s="303"/>
      <c r="AD172" s="303"/>
      <c r="AE172" s="303"/>
      <c r="AF172" s="303"/>
      <c r="AG172" s="303"/>
      <c r="AH172" s="303"/>
      <c r="AI172" s="143"/>
      <c r="AJ172" s="125"/>
      <c r="AK172" s="125"/>
      <c r="AL172" s="125"/>
      <c r="AM172" s="125"/>
    </row>
    <row r="173" spans="1:39" ht="12.75" x14ac:dyDescent="0.2">
      <c r="A173" s="303"/>
      <c r="B173" s="303"/>
      <c r="C173" s="303"/>
      <c r="D173" s="143"/>
      <c r="E173" s="303"/>
      <c r="F173" s="303"/>
      <c r="G173" s="303"/>
      <c r="H173" s="303"/>
      <c r="I173" s="303"/>
      <c r="J173" s="303"/>
      <c r="K173" s="303"/>
      <c r="L173" s="143"/>
      <c r="M173" s="303"/>
      <c r="N173" s="303"/>
      <c r="O173" s="303"/>
      <c r="P173" s="303"/>
      <c r="Q173" s="303"/>
      <c r="R173" s="303"/>
      <c r="S173" s="303"/>
      <c r="T173" s="143"/>
      <c r="U173" s="303"/>
      <c r="V173" s="303"/>
      <c r="W173" s="303"/>
      <c r="X173" s="303"/>
      <c r="Y173" s="303"/>
      <c r="Z173" s="303"/>
      <c r="AA173" s="303"/>
      <c r="AB173" s="143"/>
      <c r="AC173" s="303"/>
      <c r="AD173" s="303"/>
      <c r="AE173" s="303"/>
      <c r="AF173" s="303"/>
      <c r="AG173" s="303"/>
      <c r="AH173" s="303"/>
      <c r="AI173" s="143"/>
      <c r="AJ173" s="125"/>
      <c r="AK173" s="125"/>
      <c r="AL173" s="125"/>
      <c r="AM173" s="125"/>
    </row>
    <row r="174" spans="1:39" ht="12.75" x14ac:dyDescent="0.2">
      <c r="A174" s="303"/>
      <c r="B174" s="303"/>
      <c r="C174" s="303"/>
      <c r="D174" s="143"/>
      <c r="E174" s="303"/>
      <c r="F174" s="303"/>
      <c r="G174" s="303"/>
      <c r="H174" s="303"/>
      <c r="I174" s="303"/>
      <c r="J174" s="303"/>
      <c r="K174" s="303"/>
      <c r="L174" s="143"/>
      <c r="M174" s="303"/>
      <c r="N174" s="303"/>
      <c r="O174" s="303"/>
      <c r="P174" s="303"/>
      <c r="Q174" s="303"/>
      <c r="R174" s="303"/>
      <c r="S174" s="303"/>
      <c r="T174" s="143"/>
      <c r="U174" s="303"/>
      <c r="V174" s="303"/>
      <c r="W174" s="303"/>
      <c r="X174" s="303"/>
      <c r="Y174" s="303"/>
      <c r="Z174" s="303"/>
      <c r="AA174" s="303"/>
      <c r="AB174" s="143"/>
      <c r="AC174" s="303"/>
      <c r="AD174" s="303"/>
      <c r="AE174" s="303"/>
      <c r="AF174" s="303"/>
      <c r="AG174" s="303"/>
      <c r="AH174" s="303"/>
      <c r="AI174" s="143"/>
      <c r="AJ174" s="125"/>
      <c r="AK174" s="125"/>
      <c r="AL174" s="125"/>
      <c r="AM174" s="125"/>
    </row>
    <row r="175" spans="1:39" ht="12.75" x14ac:dyDescent="0.2">
      <c r="A175" s="303"/>
      <c r="B175" s="303"/>
      <c r="C175" s="303"/>
      <c r="D175" s="143"/>
      <c r="E175" s="303"/>
      <c r="F175" s="303"/>
      <c r="G175" s="303"/>
      <c r="H175" s="303"/>
      <c r="I175" s="303"/>
      <c r="J175" s="303"/>
      <c r="K175" s="303"/>
      <c r="L175" s="143"/>
      <c r="M175" s="303"/>
      <c r="N175" s="303"/>
      <c r="O175" s="303"/>
      <c r="P175" s="303"/>
      <c r="Q175" s="303"/>
      <c r="R175" s="303"/>
      <c r="S175" s="303"/>
      <c r="T175" s="143"/>
      <c r="U175" s="303"/>
      <c r="V175" s="303"/>
      <c r="W175" s="303"/>
      <c r="X175" s="303"/>
      <c r="Y175" s="303"/>
      <c r="Z175" s="303"/>
      <c r="AA175" s="303"/>
      <c r="AB175" s="143"/>
      <c r="AC175" s="303"/>
      <c r="AD175" s="303"/>
      <c r="AE175" s="303"/>
      <c r="AF175" s="303"/>
      <c r="AG175" s="303"/>
      <c r="AH175" s="303"/>
      <c r="AI175" s="143"/>
      <c r="AJ175" s="125"/>
      <c r="AK175" s="125"/>
      <c r="AL175" s="125"/>
      <c r="AM175" s="125"/>
    </row>
    <row r="176" spans="1:39" ht="12.75" x14ac:dyDescent="0.2">
      <c r="A176" s="303"/>
      <c r="B176" s="303"/>
      <c r="C176" s="303"/>
      <c r="D176" s="143"/>
      <c r="E176" s="303"/>
      <c r="F176" s="303"/>
      <c r="G176" s="303"/>
      <c r="H176" s="303"/>
      <c r="I176" s="303"/>
      <c r="J176" s="303"/>
      <c r="K176" s="303"/>
      <c r="L176" s="143"/>
      <c r="M176" s="303"/>
      <c r="N176" s="303"/>
      <c r="O176" s="303"/>
      <c r="P176" s="303"/>
      <c r="Q176" s="303"/>
      <c r="R176" s="303"/>
      <c r="S176" s="303"/>
      <c r="T176" s="143"/>
      <c r="U176" s="303"/>
      <c r="V176" s="303"/>
      <c r="W176" s="303"/>
      <c r="X176" s="303"/>
      <c r="Y176" s="303"/>
      <c r="Z176" s="303"/>
      <c r="AA176" s="303"/>
      <c r="AB176" s="143"/>
      <c r="AC176" s="303"/>
      <c r="AD176" s="303"/>
      <c r="AE176" s="303"/>
      <c r="AF176" s="303"/>
      <c r="AG176" s="303"/>
      <c r="AH176" s="303"/>
      <c r="AI176" s="143"/>
      <c r="AJ176" s="125"/>
      <c r="AK176" s="125"/>
      <c r="AL176" s="125"/>
      <c r="AM176" s="125"/>
    </row>
    <row r="177" spans="1:39" ht="12.75" x14ac:dyDescent="0.2">
      <c r="A177" s="303"/>
      <c r="B177" s="303"/>
      <c r="C177" s="303"/>
      <c r="D177" s="143"/>
      <c r="E177" s="303"/>
      <c r="F177" s="303"/>
      <c r="G177" s="303"/>
      <c r="H177" s="303"/>
      <c r="I177" s="303"/>
      <c r="J177" s="303"/>
      <c r="K177" s="303"/>
      <c r="L177" s="143"/>
      <c r="M177" s="303"/>
      <c r="N177" s="303"/>
      <c r="O177" s="303"/>
      <c r="P177" s="303"/>
      <c r="Q177" s="303"/>
      <c r="R177" s="303"/>
      <c r="S177" s="303"/>
      <c r="T177" s="143"/>
      <c r="U177" s="303"/>
      <c r="V177" s="303"/>
      <c r="W177" s="303"/>
      <c r="X177" s="303"/>
      <c r="Y177" s="303"/>
      <c r="Z177" s="303"/>
      <c r="AA177" s="303"/>
      <c r="AB177" s="143"/>
      <c r="AC177" s="303"/>
      <c r="AD177" s="303"/>
      <c r="AE177" s="303"/>
      <c r="AF177" s="303"/>
      <c r="AG177" s="303"/>
      <c r="AH177" s="303"/>
      <c r="AI177" s="143"/>
      <c r="AJ177" s="125"/>
      <c r="AK177" s="125"/>
      <c r="AL177" s="125"/>
      <c r="AM177" s="125"/>
    </row>
    <row r="178" spans="1:39" ht="12.75" x14ac:dyDescent="0.2">
      <c r="A178" s="303"/>
      <c r="B178" s="303"/>
      <c r="C178" s="303"/>
      <c r="D178" s="143"/>
      <c r="E178" s="303"/>
      <c r="F178" s="303"/>
      <c r="G178" s="303"/>
      <c r="H178" s="303"/>
      <c r="I178" s="303"/>
      <c r="J178" s="303"/>
      <c r="K178" s="303"/>
      <c r="L178" s="143"/>
      <c r="M178" s="303"/>
      <c r="N178" s="303"/>
      <c r="O178" s="303"/>
      <c r="P178" s="303"/>
      <c r="Q178" s="303"/>
      <c r="R178" s="303"/>
      <c r="S178" s="303"/>
      <c r="T178" s="143"/>
      <c r="U178" s="303"/>
      <c r="V178" s="303"/>
      <c r="W178" s="303"/>
      <c r="X178" s="303"/>
      <c r="Y178" s="303"/>
      <c r="Z178" s="303"/>
      <c r="AA178" s="303"/>
      <c r="AB178" s="143"/>
      <c r="AC178" s="303"/>
      <c r="AD178" s="303"/>
      <c r="AE178" s="303"/>
      <c r="AF178" s="303"/>
      <c r="AG178" s="303"/>
      <c r="AH178" s="303"/>
      <c r="AI178" s="143"/>
      <c r="AJ178" s="125"/>
      <c r="AK178" s="125"/>
      <c r="AL178" s="125"/>
      <c r="AM178" s="125"/>
    </row>
    <row r="179" spans="1:39" ht="12.75" x14ac:dyDescent="0.2">
      <c r="A179" s="303"/>
      <c r="B179" s="303"/>
      <c r="C179" s="303"/>
      <c r="D179" s="143"/>
      <c r="E179" s="303"/>
      <c r="F179" s="303"/>
      <c r="G179" s="303"/>
      <c r="H179" s="303"/>
      <c r="I179" s="303"/>
      <c r="J179" s="303"/>
      <c r="K179" s="303"/>
      <c r="L179" s="143"/>
      <c r="M179" s="303"/>
      <c r="N179" s="303"/>
      <c r="O179" s="303"/>
      <c r="P179" s="303"/>
      <c r="Q179" s="303"/>
      <c r="R179" s="303"/>
      <c r="S179" s="303"/>
      <c r="T179" s="143"/>
      <c r="U179" s="303"/>
      <c r="V179" s="303"/>
      <c r="W179" s="303"/>
      <c r="X179" s="303"/>
      <c r="Y179" s="303"/>
      <c r="Z179" s="303"/>
      <c r="AA179" s="303"/>
      <c r="AB179" s="143"/>
      <c r="AC179" s="303"/>
      <c r="AD179" s="303"/>
      <c r="AE179" s="303"/>
      <c r="AF179" s="303"/>
      <c r="AG179" s="303"/>
      <c r="AH179" s="303"/>
      <c r="AI179" s="143"/>
      <c r="AJ179" s="125"/>
      <c r="AK179" s="125"/>
      <c r="AL179" s="125"/>
      <c r="AM179" s="125"/>
    </row>
    <row r="180" spans="1:39" ht="12.75" x14ac:dyDescent="0.2">
      <c r="A180" s="303"/>
      <c r="B180" s="303"/>
      <c r="C180" s="303"/>
      <c r="D180" s="143"/>
      <c r="E180" s="303"/>
      <c r="F180" s="303"/>
      <c r="G180" s="303"/>
      <c r="H180" s="303"/>
      <c r="I180" s="303"/>
      <c r="J180" s="303"/>
      <c r="K180" s="303"/>
      <c r="L180" s="143"/>
      <c r="M180" s="303"/>
      <c r="N180" s="303"/>
      <c r="O180" s="303"/>
      <c r="P180" s="303"/>
      <c r="Q180" s="303"/>
      <c r="R180" s="303"/>
      <c r="S180" s="303"/>
      <c r="T180" s="143"/>
      <c r="U180" s="303"/>
      <c r="V180" s="303"/>
      <c r="W180" s="303"/>
      <c r="X180" s="303"/>
      <c r="Y180" s="303"/>
      <c r="Z180" s="303"/>
      <c r="AA180" s="303"/>
      <c r="AB180" s="143"/>
      <c r="AC180" s="303"/>
      <c r="AD180" s="303"/>
      <c r="AE180" s="303"/>
      <c r="AF180" s="303"/>
      <c r="AG180" s="303"/>
      <c r="AH180" s="303"/>
      <c r="AI180" s="143"/>
      <c r="AJ180" s="125"/>
      <c r="AK180" s="125"/>
      <c r="AL180" s="125"/>
      <c r="AM180" s="125"/>
    </row>
    <row r="181" spans="1:39" ht="12.75" x14ac:dyDescent="0.2">
      <c r="A181" s="303"/>
      <c r="B181" s="303"/>
      <c r="C181" s="303"/>
      <c r="D181" s="143"/>
      <c r="E181" s="303"/>
      <c r="F181" s="303"/>
      <c r="G181" s="303"/>
      <c r="H181" s="303"/>
      <c r="I181" s="303"/>
      <c r="J181" s="303"/>
      <c r="K181" s="303"/>
      <c r="L181" s="143"/>
      <c r="M181" s="303"/>
      <c r="N181" s="303"/>
      <c r="O181" s="303"/>
      <c r="P181" s="303"/>
      <c r="Q181" s="303"/>
      <c r="R181" s="303"/>
      <c r="S181" s="303"/>
      <c r="T181" s="143"/>
      <c r="U181" s="303"/>
      <c r="V181" s="303"/>
      <c r="W181" s="303"/>
      <c r="X181" s="303"/>
      <c r="Y181" s="303"/>
      <c r="Z181" s="303"/>
      <c r="AA181" s="303"/>
      <c r="AB181" s="143"/>
      <c r="AC181" s="303"/>
      <c r="AD181" s="303"/>
      <c r="AE181" s="303"/>
      <c r="AF181" s="303"/>
      <c r="AG181" s="303"/>
      <c r="AH181" s="303"/>
      <c r="AI181" s="143"/>
      <c r="AJ181" s="125"/>
      <c r="AK181" s="125"/>
      <c r="AL181" s="125"/>
      <c r="AM181" s="125"/>
    </row>
    <row r="182" spans="1:39" ht="12.75" x14ac:dyDescent="0.2">
      <c r="A182" s="303"/>
      <c r="B182" s="303"/>
      <c r="C182" s="303"/>
      <c r="D182" s="143"/>
      <c r="E182" s="303"/>
      <c r="F182" s="303"/>
      <c r="G182" s="303"/>
      <c r="H182" s="303"/>
      <c r="I182" s="303"/>
      <c r="J182" s="303"/>
      <c r="K182" s="303"/>
      <c r="L182" s="143"/>
      <c r="M182" s="303"/>
      <c r="N182" s="303"/>
      <c r="O182" s="303"/>
      <c r="P182" s="303"/>
      <c r="Q182" s="303"/>
      <c r="R182" s="303"/>
      <c r="S182" s="303"/>
      <c r="T182" s="143"/>
      <c r="U182" s="303"/>
      <c r="V182" s="303"/>
      <c r="W182" s="303"/>
      <c r="X182" s="303"/>
      <c r="Y182" s="303"/>
      <c r="Z182" s="303"/>
      <c r="AA182" s="303"/>
      <c r="AB182" s="143"/>
      <c r="AC182" s="303"/>
      <c r="AD182" s="303"/>
      <c r="AE182" s="303"/>
      <c r="AF182" s="303"/>
      <c r="AG182" s="303"/>
      <c r="AH182" s="303"/>
      <c r="AI182" s="143"/>
      <c r="AJ182" s="125"/>
      <c r="AK182" s="125"/>
      <c r="AL182" s="125"/>
      <c r="AM182" s="125"/>
    </row>
    <row r="183" spans="1:39" ht="12.75" x14ac:dyDescent="0.2">
      <c r="A183" s="303"/>
      <c r="B183" s="303"/>
      <c r="C183" s="303"/>
      <c r="D183" s="143"/>
      <c r="E183" s="303"/>
      <c r="F183" s="303"/>
      <c r="G183" s="303"/>
      <c r="H183" s="303"/>
      <c r="I183" s="303"/>
      <c r="J183" s="303"/>
      <c r="K183" s="303"/>
      <c r="L183" s="143"/>
      <c r="M183" s="303"/>
      <c r="N183" s="303"/>
      <c r="O183" s="303"/>
      <c r="P183" s="303"/>
      <c r="Q183" s="303"/>
      <c r="R183" s="303"/>
      <c r="S183" s="303"/>
      <c r="T183" s="143"/>
      <c r="U183" s="303"/>
      <c r="V183" s="303"/>
      <c r="W183" s="303"/>
      <c r="X183" s="303"/>
      <c r="Y183" s="303"/>
      <c r="Z183" s="303"/>
      <c r="AA183" s="303"/>
      <c r="AB183" s="143"/>
      <c r="AC183" s="303"/>
      <c r="AD183" s="303"/>
      <c r="AE183" s="303"/>
      <c r="AF183" s="303"/>
      <c r="AG183" s="303"/>
      <c r="AH183" s="303"/>
      <c r="AI183" s="143"/>
      <c r="AJ183" s="125"/>
      <c r="AK183" s="125"/>
      <c r="AL183" s="125"/>
      <c r="AM183" s="125"/>
    </row>
    <row r="184" spans="1:39" ht="12.75" x14ac:dyDescent="0.2">
      <c r="A184" s="303"/>
      <c r="B184" s="303"/>
      <c r="C184" s="303"/>
      <c r="D184" s="143"/>
      <c r="E184" s="303"/>
      <c r="F184" s="303"/>
      <c r="G184" s="303"/>
      <c r="H184" s="303"/>
      <c r="I184" s="303"/>
      <c r="J184" s="303"/>
      <c r="K184" s="303"/>
      <c r="L184" s="143"/>
      <c r="M184" s="303"/>
      <c r="N184" s="303"/>
      <c r="O184" s="303"/>
      <c r="P184" s="303"/>
      <c r="Q184" s="303"/>
      <c r="R184" s="303"/>
      <c r="S184" s="303"/>
      <c r="T184" s="143"/>
      <c r="U184" s="303"/>
      <c r="V184" s="303"/>
      <c r="W184" s="303"/>
      <c r="X184" s="303"/>
      <c r="Y184" s="303"/>
      <c r="Z184" s="303"/>
      <c r="AA184" s="303"/>
      <c r="AB184" s="143"/>
      <c r="AC184" s="303"/>
      <c r="AD184" s="303"/>
      <c r="AE184" s="303"/>
      <c r="AF184" s="303"/>
      <c r="AG184" s="303"/>
      <c r="AH184" s="303"/>
      <c r="AI184" s="143"/>
      <c r="AJ184" s="125"/>
      <c r="AK184" s="125"/>
      <c r="AL184" s="125"/>
      <c r="AM184" s="125"/>
    </row>
    <row r="185" spans="1:39" ht="12.75" x14ac:dyDescent="0.2">
      <c r="A185" s="303"/>
      <c r="B185" s="303"/>
      <c r="C185" s="303"/>
      <c r="D185" s="143"/>
      <c r="E185" s="303"/>
      <c r="F185" s="303"/>
      <c r="G185" s="303"/>
      <c r="H185" s="303"/>
      <c r="I185" s="303"/>
      <c r="J185" s="303"/>
      <c r="K185" s="303"/>
      <c r="L185" s="143"/>
      <c r="M185" s="303"/>
      <c r="N185" s="303"/>
      <c r="O185" s="303"/>
      <c r="P185" s="303"/>
      <c r="Q185" s="303"/>
      <c r="R185" s="303"/>
      <c r="S185" s="303"/>
      <c r="T185" s="143"/>
      <c r="U185" s="303"/>
      <c r="V185" s="303"/>
      <c r="W185" s="303"/>
      <c r="X185" s="303"/>
      <c r="Y185" s="303"/>
      <c r="Z185" s="303"/>
      <c r="AA185" s="303"/>
      <c r="AB185" s="143"/>
      <c r="AC185" s="303"/>
      <c r="AD185" s="303"/>
      <c r="AE185" s="303"/>
      <c r="AF185" s="303"/>
      <c r="AG185" s="303"/>
      <c r="AH185" s="303"/>
      <c r="AI185" s="143"/>
      <c r="AJ185" s="125"/>
      <c r="AK185" s="125"/>
      <c r="AL185" s="125"/>
      <c r="AM185" s="125"/>
    </row>
    <row r="186" spans="1:39" ht="12.75" x14ac:dyDescent="0.2">
      <c r="A186" s="303"/>
      <c r="B186" s="303"/>
      <c r="C186" s="303"/>
      <c r="D186" s="143"/>
      <c r="E186" s="303"/>
      <c r="F186" s="303"/>
      <c r="G186" s="303"/>
      <c r="H186" s="303"/>
      <c r="I186" s="303"/>
      <c r="J186" s="303"/>
      <c r="K186" s="303"/>
      <c r="L186" s="143"/>
      <c r="M186" s="303"/>
      <c r="N186" s="303"/>
      <c r="O186" s="303"/>
      <c r="P186" s="303"/>
      <c r="Q186" s="303"/>
      <c r="R186" s="303"/>
      <c r="S186" s="303"/>
      <c r="T186" s="143"/>
      <c r="U186" s="303"/>
      <c r="V186" s="303"/>
      <c r="W186" s="303"/>
      <c r="X186" s="303"/>
      <c r="Y186" s="303"/>
      <c r="Z186" s="303"/>
      <c r="AA186" s="303"/>
      <c r="AB186" s="143"/>
      <c r="AC186" s="303"/>
      <c r="AD186" s="303"/>
      <c r="AE186" s="303"/>
      <c r="AF186" s="303"/>
      <c r="AG186" s="303"/>
      <c r="AH186" s="303"/>
      <c r="AI186" s="143"/>
      <c r="AJ186" s="125"/>
      <c r="AK186" s="125"/>
      <c r="AL186" s="125"/>
      <c r="AM186" s="125"/>
    </row>
    <row r="187" spans="1:39" ht="12.75" x14ac:dyDescent="0.2">
      <c r="A187" s="303"/>
      <c r="B187" s="303"/>
      <c r="C187" s="303"/>
      <c r="D187" s="143"/>
      <c r="E187" s="303"/>
      <c r="F187" s="303"/>
      <c r="G187" s="303"/>
      <c r="H187" s="303"/>
      <c r="I187" s="303"/>
      <c r="J187" s="303"/>
      <c r="K187" s="303"/>
      <c r="L187" s="143"/>
      <c r="M187" s="303"/>
      <c r="N187" s="303"/>
      <c r="O187" s="303"/>
      <c r="P187" s="303"/>
      <c r="Q187" s="303"/>
      <c r="R187" s="303"/>
      <c r="S187" s="303"/>
      <c r="T187" s="143"/>
      <c r="U187" s="303"/>
      <c r="V187" s="303"/>
      <c r="W187" s="303"/>
      <c r="X187" s="303"/>
      <c r="Y187" s="303"/>
      <c r="Z187" s="303"/>
      <c r="AA187" s="303"/>
      <c r="AB187" s="143"/>
      <c r="AC187" s="303"/>
      <c r="AD187" s="303"/>
      <c r="AE187" s="303"/>
      <c r="AF187" s="303"/>
      <c r="AG187" s="303"/>
      <c r="AH187" s="303"/>
      <c r="AI187" s="143"/>
      <c r="AJ187" s="125"/>
      <c r="AK187" s="125"/>
      <c r="AL187" s="125"/>
      <c r="AM187" s="125"/>
    </row>
    <row r="188" spans="1:39" ht="12.75" x14ac:dyDescent="0.2">
      <c r="A188" s="303"/>
      <c r="B188" s="303"/>
      <c r="C188" s="303"/>
      <c r="D188" s="143"/>
      <c r="E188" s="303"/>
      <c r="F188" s="303"/>
      <c r="G188" s="303"/>
      <c r="H188" s="303"/>
      <c r="I188" s="303"/>
      <c r="J188" s="303"/>
      <c r="K188" s="303"/>
      <c r="L188" s="143"/>
      <c r="M188" s="303"/>
      <c r="N188" s="303"/>
      <c r="O188" s="303"/>
      <c r="P188" s="303"/>
      <c r="Q188" s="303"/>
      <c r="R188" s="303"/>
      <c r="S188" s="303"/>
      <c r="T188" s="143"/>
      <c r="U188" s="303"/>
      <c r="V188" s="303"/>
      <c r="W188" s="303"/>
      <c r="X188" s="303"/>
      <c r="Y188" s="303"/>
      <c r="Z188" s="303"/>
      <c r="AA188" s="303"/>
      <c r="AB188" s="143"/>
      <c r="AC188" s="303"/>
      <c r="AD188" s="303"/>
      <c r="AE188" s="303"/>
      <c r="AF188" s="303"/>
      <c r="AG188" s="303"/>
      <c r="AH188" s="303"/>
      <c r="AI188" s="143"/>
      <c r="AJ188" s="125"/>
      <c r="AK188" s="125"/>
      <c r="AL188" s="125"/>
      <c r="AM188" s="125"/>
    </row>
    <row r="189" spans="1:39" ht="12.75" x14ac:dyDescent="0.2">
      <c r="A189" s="303"/>
      <c r="B189" s="303"/>
      <c r="C189" s="303"/>
      <c r="D189" s="143"/>
      <c r="E189" s="303"/>
      <c r="F189" s="303"/>
      <c r="G189" s="303"/>
      <c r="H189" s="303"/>
      <c r="I189" s="303"/>
      <c r="J189" s="303"/>
      <c r="K189" s="303"/>
      <c r="L189" s="143"/>
      <c r="M189" s="303"/>
      <c r="N189" s="303"/>
      <c r="O189" s="303"/>
      <c r="P189" s="303"/>
      <c r="Q189" s="303"/>
      <c r="R189" s="303"/>
      <c r="S189" s="303"/>
      <c r="T189" s="143"/>
      <c r="U189" s="303"/>
      <c r="V189" s="303"/>
      <c r="W189" s="303"/>
      <c r="X189" s="303"/>
      <c r="Y189" s="303"/>
      <c r="Z189" s="303"/>
      <c r="AA189" s="303"/>
      <c r="AB189" s="143"/>
      <c r="AC189" s="303"/>
      <c r="AD189" s="303"/>
      <c r="AE189" s="303"/>
      <c r="AF189" s="303"/>
      <c r="AG189" s="303"/>
      <c r="AH189" s="303"/>
      <c r="AI189" s="143"/>
      <c r="AJ189" s="125"/>
      <c r="AK189" s="125"/>
      <c r="AL189" s="125"/>
      <c r="AM189" s="125"/>
    </row>
    <row r="190" spans="1:39" ht="12.75" x14ac:dyDescent="0.2">
      <c r="A190" s="303"/>
      <c r="B190" s="303"/>
      <c r="C190" s="303"/>
      <c r="D190" s="143"/>
      <c r="E190" s="303"/>
      <c r="F190" s="303"/>
      <c r="G190" s="303"/>
      <c r="H190" s="303"/>
      <c r="I190" s="303"/>
      <c r="J190" s="303"/>
      <c r="K190" s="303"/>
      <c r="L190" s="143"/>
      <c r="M190" s="303"/>
      <c r="N190" s="303"/>
      <c r="O190" s="303"/>
      <c r="P190" s="303"/>
      <c r="Q190" s="303"/>
      <c r="R190" s="303"/>
      <c r="S190" s="303"/>
      <c r="T190" s="143"/>
      <c r="U190" s="303"/>
      <c r="V190" s="303"/>
      <c r="W190" s="303"/>
      <c r="X190" s="303"/>
      <c r="Y190" s="303"/>
      <c r="Z190" s="303"/>
      <c r="AA190" s="303"/>
      <c r="AB190" s="143"/>
      <c r="AC190" s="303"/>
      <c r="AD190" s="303"/>
      <c r="AE190" s="303"/>
      <c r="AF190" s="303"/>
      <c r="AG190" s="303"/>
      <c r="AH190" s="303"/>
      <c r="AI190" s="143"/>
      <c r="AJ190" s="125"/>
      <c r="AK190" s="125"/>
      <c r="AL190" s="125"/>
      <c r="AM190" s="125"/>
    </row>
    <row r="191" spans="1:39" ht="12.75" x14ac:dyDescent="0.2">
      <c r="A191" s="303"/>
      <c r="B191" s="303"/>
      <c r="C191" s="303"/>
      <c r="D191" s="143"/>
      <c r="E191" s="303"/>
      <c r="F191" s="303"/>
      <c r="G191" s="303"/>
      <c r="H191" s="303"/>
      <c r="I191" s="303"/>
      <c r="J191" s="303"/>
      <c r="K191" s="303"/>
      <c r="L191" s="143"/>
      <c r="M191" s="303"/>
      <c r="N191" s="303"/>
      <c r="O191" s="303"/>
      <c r="P191" s="303"/>
      <c r="Q191" s="303"/>
      <c r="R191" s="303"/>
      <c r="S191" s="303"/>
      <c r="T191" s="143"/>
      <c r="U191" s="303"/>
      <c r="V191" s="303"/>
      <c r="W191" s="303"/>
      <c r="X191" s="303"/>
      <c r="Y191" s="303"/>
      <c r="Z191" s="303"/>
      <c r="AA191" s="303"/>
      <c r="AB191" s="143"/>
      <c r="AC191" s="303"/>
      <c r="AD191" s="303"/>
      <c r="AE191" s="303"/>
      <c r="AF191" s="303"/>
      <c r="AG191" s="303"/>
      <c r="AH191" s="303"/>
      <c r="AI191" s="143"/>
      <c r="AJ191" s="125"/>
      <c r="AK191" s="125"/>
      <c r="AL191" s="125"/>
      <c r="AM191" s="125"/>
    </row>
    <row r="192" spans="1:39" ht="12.75" x14ac:dyDescent="0.2">
      <c r="A192" s="303"/>
      <c r="B192" s="303"/>
      <c r="C192" s="303"/>
      <c r="D192" s="143"/>
      <c r="E192" s="303"/>
      <c r="F192" s="303"/>
      <c r="G192" s="303"/>
      <c r="H192" s="303"/>
      <c r="I192" s="303"/>
      <c r="J192" s="303"/>
      <c r="K192" s="303"/>
      <c r="L192" s="143"/>
      <c r="M192" s="303"/>
      <c r="N192" s="303"/>
      <c r="O192" s="303"/>
      <c r="P192" s="303"/>
      <c r="Q192" s="303"/>
      <c r="R192" s="303"/>
      <c r="S192" s="303"/>
      <c r="T192" s="143"/>
      <c r="U192" s="303"/>
      <c r="V192" s="303"/>
      <c r="W192" s="303"/>
      <c r="X192" s="303"/>
      <c r="Y192" s="303"/>
      <c r="Z192" s="303"/>
      <c r="AA192" s="303"/>
      <c r="AB192" s="143"/>
      <c r="AC192" s="303"/>
      <c r="AD192" s="303"/>
      <c r="AE192" s="303"/>
      <c r="AF192" s="303"/>
      <c r="AG192" s="303"/>
      <c r="AH192" s="303"/>
      <c r="AI192" s="143"/>
      <c r="AJ192" s="125"/>
      <c r="AK192" s="125"/>
      <c r="AL192" s="125"/>
      <c r="AM192" s="125"/>
    </row>
    <row r="193" spans="1:39" ht="12.75" x14ac:dyDescent="0.2">
      <c r="A193" s="303"/>
      <c r="B193" s="303"/>
      <c r="C193" s="303"/>
      <c r="D193" s="143"/>
      <c r="E193" s="303"/>
      <c r="F193" s="303"/>
      <c r="G193" s="303"/>
      <c r="H193" s="303"/>
      <c r="I193" s="303"/>
      <c r="J193" s="303"/>
      <c r="K193" s="303"/>
      <c r="L193" s="143"/>
      <c r="M193" s="303"/>
      <c r="N193" s="303"/>
      <c r="O193" s="303"/>
      <c r="P193" s="303"/>
      <c r="Q193" s="303"/>
      <c r="R193" s="303"/>
      <c r="S193" s="303"/>
      <c r="T193" s="143"/>
      <c r="U193" s="303"/>
      <c r="V193" s="303"/>
      <c r="W193" s="303"/>
      <c r="X193" s="303"/>
      <c r="Y193" s="303"/>
      <c r="Z193" s="303"/>
      <c r="AA193" s="303"/>
      <c r="AB193" s="143"/>
      <c r="AC193" s="303"/>
      <c r="AD193" s="303"/>
      <c r="AE193" s="303"/>
      <c r="AF193" s="303"/>
      <c r="AG193" s="303"/>
      <c r="AH193" s="303"/>
      <c r="AI193" s="143"/>
      <c r="AJ193" s="125"/>
      <c r="AK193" s="125"/>
      <c r="AL193" s="125"/>
      <c r="AM193" s="125"/>
    </row>
    <row r="194" spans="1:39" ht="12.75" x14ac:dyDescent="0.2">
      <c r="A194" s="303"/>
      <c r="B194" s="303"/>
      <c r="C194" s="303"/>
      <c r="D194" s="143"/>
      <c r="E194" s="303"/>
      <c r="F194" s="303"/>
      <c r="G194" s="303"/>
      <c r="H194" s="303"/>
      <c r="I194" s="303"/>
      <c r="J194" s="303"/>
      <c r="K194" s="303"/>
      <c r="L194" s="143"/>
      <c r="M194" s="303"/>
      <c r="N194" s="303"/>
      <c r="O194" s="303"/>
      <c r="P194" s="303"/>
      <c r="Q194" s="303"/>
      <c r="R194" s="303"/>
      <c r="S194" s="303"/>
      <c r="T194" s="143"/>
      <c r="U194" s="303"/>
      <c r="V194" s="303"/>
      <c r="W194" s="303"/>
      <c r="X194" s="303"/>
      <c r="Y194" s="303"/>
      <c r="Z194" s="303"/>
      <c r="AA194" s="303"/>
      <c r="AB194" s="143"/>
      <c r="AC194" s="303"/>
      <c r="AD194" s="303"/>
      <c r="AE194" s="303"/>
      <c r="AF194" s="303"/>
      <c r="AG194" s="303"/>
      <c r="AH194" s="303"/>
      <c r="AI194" s="143"/>
      <c r="AJ194" s="125"/>
      <c r="AK194" s="125"/>
      <c r="AL194" s="125"/>
      <c r="AM194" s="125"/>
    </row>
    <row r="195" spans="1:39" ht="12.75" x14ac:dyDescent="0.2">
      <c r="A195" s="303"/>
      <c r="B195" s="303"/>
      <c r="C195" s="303"/>
      <c r="D195" s="143"/>
      <c r="E195" s="303"/>
      <c r="F195" s="303"/>
      <c r="G195" s="303"/>
      <c r="H195" s="303"/>
      <c r="I195" s="303"/>
      <c r="J195" s="303"/>
      <c r="K195" s="303"/>
      <c r="L195" s="143"/>
      <c r="M195" s="303"/>
      <c r="N195" s="303"/>
      <c r="O195" s="303"/>
      <c r="P195" s="303"/>
      <c r="Q195" s="303"/>
      <c r="R195" s="303"/>
      <c r="S195" s="303"/>
      <c r="T195" s="143"/>
      <c r="U195" s="303"/>
      <c r="V195" s="303"/>
      <c r="W195" s="303"/>
      <c r="X195" s="303"/>
      <c r="Y195" s="303"/>
      <c r="Z195" s="303"/>
      <c r="AA195" s="303"/>
      <c r="AB195" s="143"/>
      <c r="AC195" s="303"/>
      <c r="AD195" s="303"/>
      <c r="AE195" s="303"/>
      <c r="AF195" s="303"/>
      <c r="AG195" s="303"/>
      <c r="AH195" s="303"/>
      <c r="AI195" s="143"/>
      <c r="AJ195" s="125"/>
      <c r="AK195" s="125"/>
      <c r="AL195" s="125"/>
      <c r="AM195" s="125"/>
    </row>
    <row r="196" spans="1:39" ht="12.75" x14ac:dyDescent="0.2">
      <c r="A196" s="303"/>
      <c r="B196" s="303"/>
      <c r="C196" s="303"/>
      <c r="D196" s="143"/>
      <c r="E196" s="303"/>
      <c r="F196" s="303"/>
      <c r="G196" s="303"/>
      <c r="H196" s="303"/>
      <c r="I196" s="303"/>
      <c r="J196" s="303"/>
      <c r="K196" s="303"/>
      <c r="L196" s="143"/>
      <c r="M196" s="303"/>
      <c r="N196" s="303"/>
      <c r="O196" s="303"/>
      <c r="P196" s="303"/>
      <c r="Q196" s="303"/>
      <c r="R196" s="303"/>
      <c r="S196" s="303"/>
      <c r="T196" s="143"/>
      <c r="U196" s="303"/>
      <c r="V196" s="303"/>
      <c r="W196" s="303"/>
      <c r="X196" s="303"/>
      <c r="Y196" s="303"/>
      <c r="Z196" s="303"/>
      <c r="AA196" s="303"/>
      <c r="AB196" s="143"/>
      <c r="AC196" s="303"/>
      <c r="AD196" s="303"/>
      <c r="AE196" s="303"/>
      <c r="AF196" s="303"/>
      <c r="AG196" s="303"/>
      <c r="AH196" s="303"/>
      <c r="AI196" s="143"/>
      <c r="AJ196" s="125"/>
      <c r="AK196" s="125"/>
      <c r="AL196" s="125"/>
      <c r="AM196" s="125"/>
    </row>
    <row r="197" spans="1:39" ht="12.75" x14ac:dyDescent="0.2">
      <c r="A197" s="303"/>
      <c r="B197" s="303"/>
      <c r="C197" s="303"/>
      <c r="D197" s="143"/>
      <c r="E197" s="303"/>
      <c r="F197" s="303"/>
      <c r="G197" s="303"/>
      <c r="H197" s="303"/>
      <c r="I197" s="303"/>
      <c r="J197" s="303"/>
      <c r="K197" s="303"/>
      <c r="L197" s="143"/>
      <c r="M197" s="303"/>
      <c r="N197" s="303"/>
      <c r="O197" s="303"/>
      <c r="P197" s="303"/>
      <c r="Q197" s="303"/>
      <c r="R197" s="303"/>
      <c r="S197" s="303"/>
      <c r="T197" s="143"/>
      <c r="U197" s="303"/>
      <c r="V197" s="303"/>
      <c r="W197" s="303"/>
      <c r="X197" s="303"/>
      <c r="Y197" s="303"/>
      <c r="Z197" s="303"/>
      <c r="AA197" s="303"/>
      <c r="AB197" s="143"/>
      <c r="AC197" s="303"/>
      <c r="AD197" s="303"/>
      <c r="AE197" s="303"/>
      <c r="AF197" s="303"/>
      <c r="AG197" s="303"/>
      <c r="AH197" s="303"/>
      <c r="AI197" s="143"/>
      <c r="AJ197" s="125"/>
      <c r="AK197" s="125"/>
      <c r="AL197" s="125"/>
      <c r="AM197" s="125"/>
    </row>
    <row r="198" spans="1:39" ht="12.75" x14ac:dyDescent="0.2">
      <c r="A198" s="303"/>
      <c r="B198" s="303"/>
      <c r="C198" s="303"/>
      <c r="D198" s="143"/>
      <c r="E198" s="303"/>
      <c r="F198" s="303"/>
      <c r="G198" s="303"/>
      <c r="H198" s="303"/>
      <c r="I198" s="303"/>
      <c r="J198" s="303"/>
      <c r="K198" s="303"/>
      <c r="L198" s="143"/>
      <c r="M198" s="303"/>
      <c r="N198" s="303"/>
      <c r="O198" s="303"/>
      <c r="P198" s="303"/>
      <c r="Q198" s="303"/>
      <c r="R198" s="303"/>
      <c r="S198" s="303"/>
      <c r="T198" s="143"/>
      <c r="U198" s="303"/>
      <c r="V198" s="303"/>
      <c r="W198" s="303"/>
      <c r="X198" s="303"/>
      <c r="Y198" s="303"/>
      <c r="Z198" s="303"/>
      <c r="AA198" s="303"/>
      <c r="AB198" s="143"/>
      <c r="AC198" s="303"/>
      <c r="AD198" s="303"/>
      <c r="AE198" s="303"/>
      <c r="AF198" s="303"/>
      <c r="AG198" s="303"/>
      <c r="AH198" s="303"/>
      <c r="AI198" s="143"/>
      <c r="AJ198" s="125"/>
      <c r="AK198" s="125"/>
      <c r="AL198" s="125"/>
      <c r="AM198" s="125"/>
    </row>
    <row r="199" spans="1:39" ht="12.75" x14ac:dyDescent="0.2">
      <c r="A199" s="303"/>
      <c r="B199" s="303"/>
      <c r="C199" s="303"/>
      <c r="D199" s="143"/>
      <c r="E199" s="303"/>
      <c r="F199" s="303"/>
      <c r="G199" s="303"/>
      <c r="H199" s="303"/>
      <c r="I199" s="303"/>
      <c r="J199" s="303"/>
      <c r="K199" s="303"/>
      <c r="L199" s="143"/>
      <c r="M199" s="303"/>
      <c r="N199" s="303"/>
      <c r="O199" s="303"/>
      <c r="P199" s="303"/>
      <c r="Q199" s="303"/>
      <c r="R199" s="303"/>
      <c r="S199" s="303"/>
      <c r="T199" s="143"/>
      <c r="U199" s="303"/>
      <c r="V199" s="303"/>
      <c r="W199" s="303"/>
      <c r="X199" s="303"/>
      <c r="Y199" s="303"/>
      <c r="Z199" s="303"/>
      <c r="AA199" s="303"/>
      <c r="AB199" s="143"/>
      <c r="AC199" s="303"/>
      <c r="AD199" s="303"/>
      <c r="AE199" s="303"/>
      <c r="AF199" s="303"/>
      <c r="AG199" s="303"/>
      <c r="AH199" s="303"/>
      <c r="AI199" s="143"/>
      <c r="AJ199" s="125"/>
      <c r="AK199" s="125"/>
      <c r="AL199" s="125"/>
      <c r="AM199" s="125"/>
    </row>
    <row r="200" spans="1:39" ht="12.75" x14ac:dyDescent="0.2">
      <c r="A200" s="303"/>
      <c r="B200" s="303"/>
      <c r="C200" s="303"/>
      <c r="D200" s="143"/>
      <c r="E200" s="303"/>
      <c r="F200" s="303"/>
      <c r="G200" s="303"/>
      <c r="H200" s="303"/>
      <c r="I200" s="303"/>
      <c r="J200" s="303"/>
      <c r="K200" s="303"/>
      <c r="L200" s="143"/>
      <c r="M200" s="303"/>
      <c r="N200" s="303"/>
      <c r="O200" s="303"/>
      <c r="P200" s="303"/>
      <c r="Q200" s="303"/>
      <c r="R200" s="303"/>
      <c r="S200" s="303"/>
      <c r="T200" s="143"/>
      <c r="U200" s="303"/>
      <c r="V200" s="303"/>
      <c r="W200" s="303"/>
      <c r="X200" s="303"/>
      <c r="Y200" s="303"/>
      <c r="Z200" s="303"/>
      <c r="AA200" s="303"/>
      <c r="AB200" s="143"/>
      <c r="AC200" s="303"/>
      <c r="AD200" s="303"/>
      <c r="AE200" s="303"/>
      <c r="AF200" s="303"/>
      <c r="AG200" s="303"/>
      <c r="AH200" s="303"/>
      <c r="AI200" s="143"/>
      <c r="AJ200" s="125"/>
      <c r="AK200" s="125"/>
      <c r="AL200" s="125"/>
      <c r="AM200" s="125"/>
    </row>
    <row r="201" spans="1:39" ht="12.75" x14ac:dyDescent="0.2">
      <c r="A201" s="303"/>
      <c r="B201" s="303"/>
      <c r="C201" s="303"/>
      <c r="D201" s="143"/>
      <c r="E201" s="303"/>
      <c r="F201" s="303"/>
      <c r="G201" s="303"/>
      <c r="H201" s="303"/>
      <c r="I201" s="303"/>
      <c r="J201" s="303"/>
      <c r="K201" s="303"/>
      <c r="L201" s="143"/>
      <c r="M201" s="303"/>
      <c r="N201" s="303"/>
      <c r="O201" s="303"/>
      <c r="P201" s="303"/>
      <c r="Q201" s="303"/>
      <c r="R201" s="303"/>
      <c r="S201" s="303"/>
      <c r="T201" s="143"/>
      <c r="U201" s="303"/>
      <c r="V201" s="303"/>
      <c r="W201" s="303"/>
      <c r="X201" s="303"/>
      <c r="Y201" s="303"/>
      <c r="Z201" s="303"/>
      <c r="AA201" s="303"/>
      <c r="AB201" s="143"/>
      <c r="AC201" s="303"/>
      <c r="AD201" s="303"/>
      <c r="AE201" s="303"/>
      <c r="AF201" s="303"/>
      <c r="AG201" s="303"/>
      <c r="AH201" s="303"/>
      <c r="AI201" s="143"/>
      <c r="AJ201" s="125"/>
      <c r="AK201" s="125"/>
      <c r="AL201" s="125"/>
      <c r="AM201" s="125"/>
    </row>
    <row r="202" spans="1:39" ht="12.75" x14ac:dyDescent="0.2">
      <c r="A202" s="303"/>
      <c r="B202" s="303"/>
      <c r="C202" s="303"/>
      <c r="D202" s="143"/>
      <c r="E202" s="303"/>
      <c r="F202" s="303"/>
      <c r="G202" s="303"/>
      <c r="H202" s="303"/>
      <c r="I202" s="303"/>
      <c r="J202" s="303"/>
      <c r="K202" s="303"/>
      <c r="L202" s="143"/>
      <c r="M202" s="303"/>
      <c r="N202" s="303"/>
      <c r="O202" s="303"/>
      <c r="P202" s="303"/>
      <c r="Q202" s="303"/>
      <c r="R202" s="303"/>
      <c r="S202" s="303"/>
      <c r="T202" s="143"/>
      <c r="U202" s="303"/>
      <c r="V202" s="303"/>
      <c r="W202" s="303"/>
      <c r="X202" s="303"/>
      <c r="Y202" s="303"/>
      <c r="Z202" s="303"/>
      <c r="AA202" s="303"/>
      <c r="AB202" s="143"/>
      <c r="AC202" s="303"/>
      <c r="AD202" s="303"/>
      <c r="AE202" s="303"/>
      <c r="AF202" s="303"/>
      <c r="AG202" s="303"/>
      <c r="AH202" s="303"/>
      <c r="AI202" s="143"/>
      <c r="AJ202" s="125"/>
      <c r="AK202" s="125"/>
      <c r="AL202" s="125"/>
      <c r="AM202" s="125"/>
    </row>
    <row r="203" spans="1:39" ht="12.75" x14ac:dyDescent="0.2">
      <c r="A203" s="303"/>
      <c r="B203" s="303"/>
      <c r="C203" s="303"/>
      <c r="D203" s="143"/>
      <c r="E203" s="303"/>
      <c r="F203" s="303"/>
      <c r="G203" s="303"/>
      <c r="H203" s="303"/>
      <c r="I203" s="303"/>
      <c r="J203" s="303"/>
      <c r="K203" s="303"/>
      <c r="L203" s="143"/>
      <c r="M203" s="303"/>
      <c r="N203" s="303"/>
      <c r="O203" s="303"/>
      <c r="P203" s="303"/>
      <c r="Q203" s="303"/>
      <c r="R203" s="303"/>
      <c r="S203" s="303"/>
      <c r="T203" s="143"/>
      <c r="U203" s="303"/>
      <c r="V203" s="303"/>
      <c r="W203" s="303"/>
      <c r="X203" s="303"/>
      <c r="Y203" s="303"/>
      <c r="Z203" s="303"/>
      <c r="AA203" s="303"/>
      <c r="AB203" s="143"/>
      <c r="AC203" s="303"/>
      <c r="AD203" s="303"/>
      <c r="AE203" s="303"/>
      <c r="AF203" s="303"/>
      <c r="AG203" s="303"/>
      <c r="AH203" s="303"/>
      <c r="AI203" s="143"/>
      <c r="AJ203" s="125"/>
      <c r="AK203" s="125"/>
      <c r="AL203" s="125"/>
      <c r="AM203" s="125"/>
    </row>
    <row r="204" spans="1:39" ht="12.75" x14ac:dyDescent="0.2">
      <c r="A204" s="303"/>
      <c r="B204" s="303"/>
      <c r="C204" s="303"/>
      <c r="D204" s="143"/>
      <c r="E204" s="303"/>
      <c r="F204" s="303"/>
      <c r="G204" s="303"/>
      <c r="H204" s="303"/>
      <c r="I204" s="303"/>
      <c r="J204" s="303"/>
      <c r="K204" s="303"/>
      <c r="L204" s="143"/>
      <c r="M204" s="303"/>
      <c r="N204" s="303"/>
      <c r="O204" s="303"/>
      <c r="P204" s="303"/>
      <c r="Q204" s="303"/>
      <c r="R204" s="303"/>
      <c r="S204" s="303"/>
      <c r="T204" s="143"/>
      <c r="U204" s="303"/>
      <c r="V204" s="303"/>
      <c r="W204" s="303"/>
      <c r="X204" s="303"/>
      <c r="Y204" s="303"/>
      <c r="Z204" s="303"/>
      <c r="AA204" s="303"/>
      <c r="AB204" s="143"/>
      <c r="AC204" s="303"/>
      <c r="AD204" s="303"/>
      <c r="AE204" s="303"/>
      <c r="AF204" s="303"/>
      <c r="AG204" s="303"/>
      <c r="AH204" s="303"/>
      <c r="AI204" s="143"/>
      <c r="AJ204" s="125"/>
      <c r="AK204" s="125"/>
      <c r="AL204" s="125"/>
      <c r="AM204" s="125"/>
    </row>
    <row r="205" spans="1:39" ht="12.75" x14ac:dyDescent="0.2">
      <c r="A205" s="303"/>
      <c r="B205" s="303"/>
      <c r="C205" s="303"/>
      <c r="D205" s="143"/>
      <c r="E205" s="303"/>
      <c r="F205" s="303"/>
      <c r="G205" s="303"/>
      <c r="H205" s="303"/>
      <c r="I205" s="303"/>
      <c r="J205" s="303"/>
      <c r="K205" s="303"/>
      <c r="L205" s="143"/>
      <c r="M205" s="303"/>
      <c r="N205" s="303"/>
      <c r="O205" s="303"/>
      <c r="P205" s="303"/>
      <c r="Q205" s="303"/>
      <c r="R205" s="303"/>
      <c r="S205" s="303"/>
      <c r="T205" s="143"/>
      <c r="U205" s="303"/>
      <c r="V205" s="303"/>
      <c r="W205" s="303"/>
      <c r="X205" s="303"/>
      <c r="Y205" s="303"/>
      <c r="Z205" s="303"/>
      <c r="AA205" s="303"/>
      <c r="AB205" s="143"/>
      <c r="AC205" s="303"/>
      <c r="AD205" s="303"/>
      <c r="AE205" s="303"/>
      <c r="AF205" s="303"/>
      <c r="AG205" s="303"/>
      <c r="AH205" s="303"/>
      <c r="AI205" s="143"/>
      <c r="AJ205" s="125"/>
      <c r="AK205" s="125"/>
      <c r="AL205" s="125"/>
      <c r="AM205" s="125"/>
    </row>
    <row r="206" spans="1:39" ht="12.75" x14ac:dyDescent="0.2">
      <c r="A206" s="303"/>
      <c r="B206" s="303"/>
      <c r="C206" s="303"/>
      <c r="D206" s="143"/>
      <c r="E206" s="303"/>
      <c r="F206" s="303"/>
      <c r="G206" s="303"/>
      <c r="H206" s="303"/>
      <c r="I206" s="303"/>
      <c r="J206" s="303"/>
      <c r="K206" s="303"/>
      <c r="L206" s="143"/>
      <c r="M206" s="303"/>
      <c r="N206" s="303"/>
      <c r="O206" s="303"/>
      <c r="P206" s="303"/>
      <c r="Q206" s="303"/>
      <c r="R206" s="303"/>
      <c r="S206" s="303"/>
      <c r="T206" s="143"/>
      <c r="U206" s="303"/>
      <c r="V206" s="303"/>
      <c r="W206" s="303"/>
      <c r="X206" s="303"/>
      <c r="Y206" s="303"/>
      <c r="Z206" s="303"/>
      <c r="AA206" s="303"/>
      <c r="AB206" s="143"/>
      <c r="AC206" s="303"/>
      <c r="AD206" s="303"/>
      <c r="AE206" s="303"/>
      <c r="AF206" s="303"/>
      <c r="AG206" s="303"/>
      <c r="AH206" s="303"/>
      <c r="AI206" s="143"/>
      <c r="AJ206" s="125"/>
      <c r="AK206" s="125"/>
      <c r="AL206" s="125"/>
      <c r="AM206" s="125"/>
    </row>
    <row r="207" spans="1:39" ht="12.75" x14ac:dyDescent="0.2">
      <c r="A207" s="303"/>
      <c r="B207" s="303"/>
      <c r="C207" s="303"/>
      <c r="D207" s="143"/>
      <c r="E207" s="303"/>
      <c r="F207" s="303"/>
      <c r="G207" s="303"/>
      <c r="H207" s="303"/>
      <c r="I207" s="303"/>
      <c r="J207" s="303"/>
      <c r="K207" s="303"/>
      <c r="L207" s="143"/>
      <c r="M207" s="303"/>
      <c r="N207" s="303"/>
      <c r="O207" s="303"/>
      <c r="P207" s="303"/>
      <c r="Q207" s="303"/>
      <c r="R207" s="303"/>
      <c r="S207" s="303"/>
      <c r="T207" s="143"/>
      <c r="U207" s="303"/>
      <c r="V207" s="303"/>
      <c r="W207" s="303"/>
      <c r="X207" s="303"/>
      <c r="Y207" s="303"/>
      <c r="Z207" s="303"/>
      <c r="AA207" s="303"/>
      <c r="AB207" s="143"/>
      <c r="AC207" s="303"/>
      <c r="AD207" s="303"/>
      <c r="AE207" s="303"/>
      <c r="AF207" s="303"/>
      <c r="AG207" s="303"/>
      <c r="AH207" s="303"/>
      <c r="AI207" s="143"/>
      <c r="AJ207" s="125"/>
      <c r="AK207" s="125"/>
      <c r="AL207" s="125"/>
      <c r="AM207" s="125"/>
    </row>
    <row r="208" spans="1:39" ht="12.75" x14ac:dyDescent="0.2">
      <c r="A208" s="303"/>
      <c r="B208" s="303"/>
      <c r="C208" s="303"/>
      <c r="D208" s="143"/>
      <c r="E208" s="303"/>
      <c r="F208" s="303"/>
      <c r="G208" s="303"/>
      <c r="H208" s="303"/>
      <c r="I208" s="303"/>
      <c r="J208" s="303"/>
      <c r="K208" s="303"/>
      <c r="L208" s="143"/>
      <c r="M208" s="303"/>
      <c r="N208" s="303"/>
      <c r="O208" s="303"/>
      <c r="P208" s="303"/>
      <c r="Q208" s="303"/>
      <c r="R208" s="303"/>
      <c r="S208" s="303"/>
      <c r="T208" s="143"/>
      <c r="U208" s="303"/>
      <c r="V208" s="303"/>
      <c r="W208" s="303"/>
      <c r="X208" s="303"/>
      <c r="Y208" s="303"/>
      <c r="Z208" s="303"/>
      <c r="AA208" s="303"/>
      <c r="AB208" s="143"/>
      <c r="AC208" s="303"/>
      <c r="AD208" s="303"/>
      <c r="AE208" s="303"/>
      <c r="AF208" s="303"/>
      <c r="AG208" s="303"/>
      <c r="AH208" s="303"/>
      <c r="AI208" s="143"/>
      <c r="AJ208" s="125"/>
      <c r="AK208" s="125"/>
      <c r="AL208" s="125"/>
      <c r="AM208" s="125"/>
    </row>
    <row r="209" spans="1:39" ht="12.75" x14ac:dyDescent="0.2">
      <c r="A209" s="303"/>
      <c r="B209" s="303"/>
      <c r="C209" s="303"/>
      <c r="D209" s="143"/>
      <c r="E209" s="303"/>
      <c r="F209" s="303"/>
      <c r="G209" s="303"/>
      <c r="H209" s="303"/>
      <c r="I209" s="303"/>
      <c r="J209" s="303"/>
      <c r="K209" s="303"/>
      <c r="L209" s="143"/>
      <c r="M209" s="303"/>
      <c r="N209" s="303"/>
      <c r="O209" s="303"/>
      <c r="P209" s="303"/>
      <c r="Q209" s="303"/>
      <c r="R209" s="303"/>
      <c r="S209" s="303"/>
      <c r="T209" s="143"/>
      <c r="U209" s="303"/>
      <c r="V209" s="303"/>
      <c r="W209" s="303"/>
      <c r="X209" s="303"/>
      <c r="Y209" s="303"/>
      <c r="Z209" s="303"/>
      <c r="AA209" s="303"/>
      <c r="AB209" s="143"/>
      <c r="AC209" s="303"/>
      <c r="AD209" s="303"/>
      <c r="AE209" s="303"/>
      <c r="AF209" s="303"/>
      <c r="AG209" s="303"/>
      <c r="AH209" s="303"/>
      <c r="AI209" s="143"/>
      <c r="AJ209" s="125"/>
      <c r="AK209" s="125"/>
      <c r="AL209" s="125"/>
      <c r="AM209" s="125"/>
    </row>
    <row r="210" spans="1:39" ht="12.75" x14ac:dyDescent="0.2">
      <c r="A210" s="303"/>
      <c r="B210" s="303"/>
      <c r="C210" s="303"/>
      <c r="D210" s="143"/>
      <c r="E210" s="303"/>
      <c r="F210" s="303"/>
      <c r="G210" s="303"/>
      <c r="H210" s="303"/>
      <c r="I210" s="303"/>
      <c r="J210" s="303"/>
      <c r="K210" s="303"/>
      <c r="L210" s="143"/>
      <c r="M210" s="303"/>
      <c r="N210" s="303"/>
      <c r="O210" s="303"/>
      <c r="P210" s="303"/>
      <c r="Q210" s="303"/>
      <c r="R210" s="303"/>
      <c r="S210" s="303"/>
      <c r="T210" s="143"/>
      <c r="U210" s="303"/>
      <c r="V210" s="303"/>
      <c r="W210" s="303"/>
      <c r="X210" s="303"/>
      <c r="Y210" s="303"/>
      <c r="Z210" s="303"/>
      <c r="AA210" s="303"/>
      <c r="AB210" s="143"/>
      <c r="AC210" s="303"/>
      <c r="AD210" s="303"/>
      <c r="AE210" s="303"/>
      <c r="AF210" s="303"/>
      <c r="AG210" s="303"/>
      <c r="AH210" s="303"/>
      <c r="AI210" s="143"/>
      <c r="AJ210" s="125"/>
      <c r="AK210" s="125"/>
      <c r="AL210" s="125"/>
      <c r="AM210" s="125"/>
    </row>
    <row r="211" spans="1:39" ht="12.75" x14ac:dyDescent="0.2">
      <c r="A211" s="303"/>
      <c r="B211" s="303"/>
      <c r="C211" s="303"/>
      <c r="D211" s="143"/>
      <c r="E211" s="303"/>
      <c r="F211" s="303"/>
      <c r="G211" s="303"/>
      <c r="H211" s="303"/>
      <c r="I211" s="303"/>
      <c r="J211" s="303"/>
      <c r="K211" s="303"/>
      <c r="L211" s="143"/>
      <c r="M211" s="303"/>
      <c r="N211" s="303"/>
      <c r="O211" s="303"/>
      <c r="P211" s="303"/>
      <c r="Q211" s="303"/>
      <c r="R211" s="303"/>
      <c r="S211" s="303"/>
      <c r="T211" s="143"/>
      <c r="U211" s="303"/>
      <c r="V211" s="303"/>
      <c r="W211" s="303"/>
      <c r="X211" s="303"/>
      <c r="Y211" s="303"/>
      <c r="Z211" s="303"/>
      <c r="AA211" s="303"/>
      <c r="AB211" s="143"/>
      <c r="AC211" s="303"/>
      <c r="AD211" s="303"/>
      <c r="AE211" s="303"/>
      <c r="AF211" s="303"/>
      <c r="AG211" s="303"/>
      <c r="AH211" s="303"/>
      <c r="AI211" s="143"/>
      <c r="AJ211" s="125"/>
      <c r="AK211" s="125"/>
      <c r="AL211" s="125"/>
      <c r="AM211" s="125"/>
    </row>
    <row r="212" spans="1:39" ht="12.75" x14ac:dyDescent="0.2">
      <c r="A212" s="303"/>
      <c r="B212" s="303"/>
      <c r="C212" s="303"/>
      <c r="D212" s="143"/>
      <c r="E212" s="303"/>
      <c r="F212" s="303"/>
      <c r="G212" s="303"/>
      <c r="H212" s="303"/>
      <c r="I212" s="303"/>
      <c r="J212" s="303"/>
      <c r="K212" s="303"/>
      <c r="L212" s="143"/>
      <c r="M212" s="303"/>
      <c r="N212" s="303"/>
      <c r="O212" s="303"/>
      <c r="P212" s="303"/>
      <c r="Q212" s="303"/>
      <c r="R212" s="303"/>
      <c r="S212" s="303"/>
      <c r="T212" s="143"/>
      <c r="U212" s="303"/>
      <c r="V212" s="303"/>
      <c r="W212" s="303"/>
      <c r="X212" s="303"/>
      <c r="Y212" s="303"/>
      <c r="Z212" s="303"/>
      <c r="AA212" s="303"/>
      <c r="AB212" s="143"/>
      <c r="AC212" s="303"/>
      <c r="AD212" s="303"/>
      <c r="AE212" s="303"/>
      <c r="AF212" s="303"/>
      <c r="AG212" s="303"/>
      <c r="AH212" s="303"/>
      <c r="AI212" s="143"/>
      <c r="AJ212" s="125"/>
      <c r="AK212" s="125"/>
      <c r="AL212" s="125"/>
      <c r="AM212" s="125"/>
    </row>
    <row r="213" spans="1:39" ht="12.75" x14ac:dyDescent="0.2">
      <c r="A213" s="303"/>
      <c r="B213" s="303"/>
      <c r="C213" s="303"/>
      <c r="D213" s="143"/>
      <c r="E213" s="303"/>
      <c r="F213" s="303"/>
      <c r="G213" s="303"/>
      <c r="H213" s="303"/>
      <c r="I213" s="303"/>
      <c r="J213" s="303"/>
      <c r="K213" s="303"/>
      <c r="L213" s="143"/>
      <c r="M213" s="303"/>
      <c r="N213" s="303"/>
      <c r="O213" s="303"/>
      <c r="P213" s="303"/>
      <c r="Q213" s="303"/>
      <c r="R213" s="303"/>
      <c r="S213" s="303"/>
      <c r="T213" s="143"/>
      <c r="U213" s="303"/>
      <c r="V213" s="303"/>
      <c r="W213" s="303"/>
      <c r="X213" s="303"/>
      <c r="Y213" s="303"/>
      <c r="Z213" s="303"/>
      <c r="AA213" s="303"/>
      <c r="AB213" s="143"/>
      <c r="AC213" s="303"/>
      <c r="AD213" s="303"/>
      <c r="AE213" s="303"/>
      <c r="AF213" s="303"/>
      <c r="AG213" s="303"/>
      <c r="AH213" s="303"/>
      <c r="AI213" s="143"/>
      <c r="AJ213" s="125"/>
      <c r="AK213" s="125"/>
      <c r="AL213" s="125"/>
      <c r="AM213" s="125"/>
    </row>
    <row r="214" spans="1:39" ht="12.75" x14ac:dyDescent="0.2">
      <c r="A214" s="303"/>
      <c r="B214" s="303"/>
      <c r="C214" s="303"/>
      <c r="D214" s="143"/>
      <c r="E214" s="303"/>
      <c r="F214" s="303"/>
      <c r="G214" s="303"/>
      <c r="H214" s="303"/>
      <c r="I214" s="303"/>
      <c r="J214" s="303"/>
      <c r="K214" s="303"/>
      <c r="L214" s="143"/>
      <c r="M214" s="303"/>
      <c r="N214" s="303"/>
      <c r="O214" s="303"/>
      <c r="P214" s="303"/>
      <c r="Q214" s="303"/>
      <c r="R214" s="303"/>
      <c r="S214" s="303"/>
      <c r="T214" s="143"/>
      <c r="U214" s="303"/>
      <c r="V214" s="303"/>
      <c r="W214" s="303"/>
      <c r="X214" s="303"/>
      <c r="Y214" s="303"/>
      <c r="Z214" s="303"/>
      <c r="AA214" s="303"/>
      <c r="AB214" s="143"/>
      <c r="AC214" s="303"/>
      <c r="AD214" s="303"/>
      <c r="AE214" s="303"/>
      <c r="AF214" s="303"/>
      <c r="AG214" s="303"/>
      <c r="AH214" s="303"/>
      <c r="AI214" s="143"/>
      <c r="AJ214" s="125"/>
      <c r="AK214" s="125"/>
      <c r="AL214" s="125"/>
      <c r="AM214" s="125"/>
    </row>
    <row r="215" spans="1:39" ht="12.75" x14ac:dyDescent="0.2">
      <c r="A215" s="303"/>
      <c r="B215" s="303"/>
      <c r="C215" s="303"/>
      <c r="D215" s="143"/>
      <c r="E215" s="303"/>
      <c r="F215" s="303"/>
      <c r="G215" s="303"/>
      <c r="H215" s="303"/>
      <c r="I215" s="303"/>
      <c r="J215" s="303"/>
      <c r="K215" s="303"/>
      <c r="L215" s="143"/>
      <c r="M215" s="303"/>
      <c r="N215" s="303"/>
      <c r="O215" s="303"/>
      <c r="P215" s="303"/>
      <c r="Q215" s="303"/>
      <c r="R215" s="303"/>
      <c r="S215" s="303"/>
      <c r="T215" s="143"/>
      <c r="U215" s="303"/>
      <c r="V215" s="303"/>
      <c r="W215" s="303"/>
      <c r="X215" s="303"/>
      <c r="Y215" s="303"/>
      <c r="Z215" s="303"/>
      <c r="AA215" s="303"/>
      <c r="AB215" s="143"/>
      <c r="AC215" s="303"/>
      <c r="AD215" s="303"/>
      <c r="AE215" s="303"/>
      <c r="AF215" s="303"/>
      <c r="AG215" s="303"/>
      <c r="AH215" s="303"/>
      <c r="AI215" s="143"/>
      <c r="AJ215" s="125"/>
      <c r="AK215" s="125"/>
      <c r="AL215" s="125"/>
      <c r="AM215" s="125"/>
    </row>
    <row r="216" spans="1:39" ht="12.75" x14ac:dyDescent="0.2">
      <c r="A216" s="303"/>
      <c r="B216" s="303"/>
      <c r="C216" s="303"/>
      <c r="D216" s="143"/>
      <c r="E216" s="303"/>
      <c r="F216" s="303"/>
      <c r="G216" s="303"/>
      <c r="H216" s="303"/>
      <c r="I216" s="303"/>
      <c r="J216" s="303"/>
      <c r="K216" s="303"/>
      <c r="L216" s="143"/>
      <c r="M216" s="303"/>
      <c r="N216" s="303"/>
      <c r="O216" s="303"/>
      <c r="P216" s="303"/>
      <c r="Q216" s="303"/>
      <c r="R216" s="303"/>
      <c r="S216" s="303"/>
      <c r="T216" s="143"/>
      <c r="U216" s="303"/>
      <c r="V216" s="303"/>
      <c r="W216" s="303"/>
      <c r="X216" s="303"/>
      <c r="Y216" s="303"/>
      <c r="Z216" s="303"/>
      <c r="AA216" s="303"/>
      <c r="AB216" s="143"/>
      <c r="AC216" s="303"/>
      <c r="AD216" s="303"/>
      <c r="AE216" s="303"/>
      <c r="AF216" s="303"/>
      <c r="AG216" s="303"/>
      <c r="AH216" s="303"/>
      <c r="AI216" s="143"/>
      <c r="AJ216" s="125"/>
      <c r="AK216" s="125"/>
      <c r="AL216" s="125"/>
      <c r="AM216" s="125"/>
    </row>
    <row r="217" spans="1:39" ht="12.75" x14ac:dyDescent="0.2">
      <c r="A217" s="303"/>
      <c r="B217" s="303"/>
      <c r="C217" s="303"/>
      <c r="D217" s="143"/>
      <c r="E217" s="303"/>
      <c r="F217" s="303"/>
      <c r="G217" s="303"/>
      <c r="H217" s="303"/>
      <c r="I217" s="303"/>
      <c r="J217" s="303"/>
      <c r="K217" s="303"/>
      <c r="L217" s="143"/>
      <c r="M217" s="303"/>
      <c r="N217" s="303"/>
      <c r="O217" s="303"/>
      <c r="P217" s="303"/>
      <c r="Q217" s="303"/>
      <c r="R217" s="303"/>
      <c r="S217" s="303"/>
      <c r="T217" s="143"/>
      <c r="U217" s="303"/>
      <c r="V217" s="303"/>
      <c r="W217" s="303"/>
      <c r="X217" s="303"/>
      <c r="Y217" s="303"/>
      <c r="Z217" s="303"/>
      <c r="AA217" s="303"/>
      <c r="AB217" s="143"/>
      <c r="AC217" s="303"/>
      <c r="AD217" s="303"/>
      <c r="AE217" s="303"/>
      <c r="AF217" s="303"/>
      <c r="AG217" s="303"/>
      <c r="AH217" s="303"/>
      <c r="AI217" s="143"/>
      <c r="AJ217" s="125"/>
      <c r="AK217" s="125"/>
      <c r="AL217" s="125"/>
      <c r="AM217" s="125"/>
    </row>
    <row r="218" spans="1:39" ht="12.75" x14ac:dyDescent="0.2">
      <c r="A218" s="303"/>
      <c r="B218" s="303"/>
      <c r="C218" s="303"/>
      <c r="D218" s="143"/>
      <c r="E218" s="303"/>
      <c r="F218" s="303"/>
      <c r="G218" s="303"/>
      <c r="H218" s="303"/>
      <c r="I218" s="303"/>
      <c r="J218" s="303"/>
      <c r="K218" s="303"/>
      <c r="L218" s="143"/>
      <c r="M218" s="303"/>
      <c r="N218" s="303"/>
      <c r="O218" s="303"/>
      <c r="P218" s="303"/>
      <c r="Q218" s="303"/>
      <c r="R218" s="303"/>
      <c r="S218" s="303"/>
      <c r="T218" s="143"/>
      <c r="U218" s="303"/>
      <c r="V218" s="303"/>
      <c r="W218" s="303"/>
      <c r="X218" s="303"/>
      <c r="Y218" s="303"/>
      <c r="Z218" s="303"/>
      <c r="AA218" s="303"/>
      <c r="AB218" s="143"/>
      <c r="AC218" s="303"/>
      <c r="AD218" s="303"/>
      <c r="AE218" s="303"/>
      <c r="AF218" s="303"/>
      <c r="AG218" s="303"/>
      <c r="AH218" s="303"/>
      <c r="AI218" s="143"/>
      <c r="AJ218" s="125"/>
      <c r="AK218" s="125"/>
      <c r="AL218" s="125"/>
      <c r="AM218" s="125"/>
    </row>
    <row r="219" spans="1:39" ht="12.75" x14ac:dyDescent="0.2">
      <c r="A219" s="303"/>
      <c r="B219" s="303"/>
      <c r="C219" s="303"/>
      <c r="D219" s="143"/>
      <c r="E219" s="303"/>
      <c r="F219" s="303"/>
      <c r="G219" s="303"/>
      <c r="H219" s="303"/>
      <c r="I219" s="303"/>
      <c r="J219" s="303"/>
      <c r="K219" s="303"/>
      <c r="L219" s="143"/>
      <c r="M219" s="303"/>
      <c r="N219" s="303"/>
      <c r="O219" s="303"/>
      <c r="P219" s="303"/>
      <c r="Q219" s="303"/>
      <c r="R219" s="303"/>
      <c r="S219" s="303"/>
      <c r="T219" s="143"/>
      <c r="U219" s="303"/>
      <c r="V219" s="303"/>
      <c r="W219" s="303"/>
      <c r="X219" s="303"/>
      <c r="Y219" s="303"/>
      <c r="Z219" s="303"/>
      <c r="AA219" s="303"/>
      <c r="AB219" s="143"/>
      <c r="AC219" s="303"/>
      <c r="AD219" s="303"/>
      <c r="AE219" s="303"/>
      <c r="AF219" s="303"/>
      <c r="AG219" s="303"/>
      <c r="AH219" s="303"/>
      <c r="AI219" s="143"/>
      <c r="AJ219" s="125"/>
      <c r="AK219" s="125"/>
      <c r="AL219" s="125"/>
      <c r="AM219" s="125"/>
    </row>
    <row r="220" spans="1:39" ht="12.75" x14ac:dyDescent="0.2">
      <c r="A220" s="303"/>
      <c r="B220" s="303"/>
      <c r="C220" s="303"/>
      <c r="D220" s="143"/>
      <c r="E220" s="303"/>
      <c r="F220" s="303"/>
      <c r="G220" s="303"/>
      <c r="H220" s="303"/>
      <c r="I220" s="303"/>
      <c r="J220" s="303"/>
      <c r="K220" s="303"/>
      <c r="L220" s="143"/>
      <c r="M220" s="303"/>
      <c r="N220" s="303"/>
      <c r="O220" s="303"/>
      <c r="P220" s="303"/>
      <c r="Q220" s="303"/>
      <c r="R220" s="303"/>
      <c r="S220" s="303"/>
      <c r="T220" s="143"/>
      <c r="U220" s="303"/>
      <c r="V220" s="303"/>
      <c r="W220" s="303"/>
      <c r="X220" s="303"/>
      <c r="Y220" s="303"/>
      <c r="Z220" s="303"/>
      <c r="AA220" s="303"/>
      <c r="AB220" s="143"/>
      <c r="AC220" s="303"/>
      <c r="AD220" s="303"/>
      <c r="AE220" s="303"/>
      <c r="AF220" s="303"/>
      <c r="AG220" s="303"/>
      <c r="AH220" s="303"/>
      <c r="AI220" s="143"/>
      <c r="AJ220" s="125"/>
      <c r="AK220" s="125"/>
      <c r="AL220" s="125"/>
      <c r="AM220" s="125"/>
    </row>
    <row r="221" spans="1:39" ht="12.75" x14ac:dyDescent="0.2">
      <c r="A221" s="303"/>
      <c r="B221" s="303"/>
      <c r="C221" s="303"/>
      <c r="D221" s="143"/>
      <c r="E221" s="303"/>
      <c r="F221" s="303"/>
      <c r="G221" s="303"/>
      <c r="H221" s="303"/>
      <c r="I221" s="303"/>
      <c r="J221" s="303"/>
      <c r="K221" s="303"/>
      <c r="L221" s="143"/>
      <c r="M221" s="303"/>
      <c r="N221" s="303"/>
      <c r="O221" s="303"/>
      <c r="P221" s="303"/>
      <c r="Q221" s="303"/>
      <c r="R221" s="303"/>
      <c r="S221" s="303"/>
      <c r="T221" s="143"/>
      <c r="U221" s="303"/>
      <c r="V221" s="303"/>
      <c r="W221" s="303"/>
      <c r="X221" s="303"/>
      <c r="Y221" s="303"/>
      <c r="Z221" s="303"/>
      <c r="AA221" s="303"/>
      <c r="AB221" s="143"/>
      <c r="AC221" s="303"/>
      <c r="AD221" s="303"/>
      <c r="AE221" s="303"/>
      <c r="AF221" s="303"/>
      <c r="AG221" s="303"/>
      <c r="AH221" s="303"/>
      <c r="AI221" s="143"/>
      <c r="AJ221" s="125"/>
      <c r="AK221" s="125"/>
      <c r="AL221" s="125"/>
      <c r="AM221" s="125"/>
    </row>
    <row r="222" spans="1:39" ht="12.75" x14ac:dyDescent="0.2">
      <c r="A222" s="303"/>
      <c r="B222" s="303"/>
      <c r="C222" s="303"/>
      <c r="D222" s="143"/>
      <c r="E222" s="303"/>
      <c r="F222" s="303"/>
      <c r="G222" s="303"/>
      <c r="H222" s="303"/>
      <c r="I222" s="303"/>
      <c r="J222" s="303"/>
      <c r="K222" s="303"/>
      <c r="L222" s="143"/>
      <c r="M222" s="303"/>
      <c r="N222" s="303"/>
      <c r="O222" s="303"/>
      <c r="P222" s="303"/>
      <c r="Q222" s="303"/>
      <c r="R222" s="303"/>
      <c r="S222" s="303"/>
      <c r="T222" s="143"/>
      <c r="U222" s="303"/>
      <c r="V222" s="303"/>
      <c r="W222" s="303"/>
      <c r="X222" s="303"/>
      <c r="Y222" s="303"/>
      <c r="Z222" s="303"/>
      <c r="AA222" s="303"/>
      <c r="AB222" s="143"/>
      <c r="AC222" s="303"/>
      <c r="AD222" s="303"/>
      <c r="AE222" s="303"/>
      <c r="AF222" s="303"/>
      <c r="AG222" s="303"/>
      <c r="AH222" s="303"/>
      <c r="AI222" s="143"/>
      <c r="AJ222" s="125"/>
      <c r="AK222" s="125"/>
      <c r="AL222" s="125"/>
      <c r="AM222" s="125"/>
    </row>
    <row r="223" spans="1:39" ht="12.75" x14ac:dyDescent="0.2">
      <c r="A223" s="303"/>
      <c r="B223" s="303"/>
      <c r="C223" s="303"/>
      <c r="D223" s="143"/>
      <c r="E223" s="303"/>
      <c r="F223" s="303"/>
      <c r="G223" s="303"/>
      <c r="H223" s="303"/>
      <c r="I223" s="303"/>
      <c r="J223" s="303"/>
      <c r="K223" s="303"/>
      <c r="L223" s="143"/>
      <c r="M223" s="303"/>
      <c r="N223" s="303"/>
      <c r="O223" s="303"/>
      <c r="P223" s="303"/>
      <c r="Q223" s="303"/>
      <c r="R223" s="303"/>
      <c r="S223" s="303"/>
      <c r="T223" s="143"/>
      <c r="U223" s="303"/>
      <c r="V223" s="303"/>
      <c r="W223" s="303"/>
      <c r="X223" s="303"/>
      <c r="Y223" s="303"/>
      <c r="Z223" s="303"/>
      <c r="AA223" s="303"/>
      <c r="AB223" s="143"/>
      <c r="AC223" s="303"/>
      <c r="AD223" s="303"/>
      <c r="AE223" s="303"/>
      <c r="AF223" s="303"/>
      <c r="AG223" s="303"/>
      <c r="AH223" s="303"/>
      <c r="AI223" s="143"/>
      <c r="AJ223" s="125"/>
      <c r="AK223" s="125"/>
      <c r="AL223" s="125"/>
      <c r="AM223" s="125"/>
    </row>
    <row r="224" spans="1:39" ht="12.75" x14ac:dyDescent="0.2">
      <c r="A224" s="303"/>
      <c r="B224" s="303"/>
      <c r="C224" s="303"/>
      <c r="D224" s="143"/>
      <c r="E224" s="303"/>
      <c r="F224" s="303"/>
      <c r="G224" s="303"/>
      <c r="H224" s="303"/>
      <c r="I224" s="303"/>
      <c r="J224" s="303"/>
      <c r="K224" s="303"/>
      <c r="L224" s="143"/>
      <c r="M224" s="303"/>
      <c r="N224" s="303"/>
      <c r="O224" s="303"/>
      <c r="P224" s="303"/>
      <c r="Q224" s="303"/>
      <c r="R224" s="303"/>
      <c r="S224" s="303"/>
      <c r="T224" s="143"/>
      <c r="U224" s="303"/>
      <c r="V224" s="303"/>
      <c r="W224" s="303"/>
      <c r="X224" s="303"/>
      <c r="Y224" s="303"/>
      <c r="Z224" s="303"/>
      <c r="AA224" s="303"/>
      <c r="AB224" s="143"/>
      <c r="AC224" s="303"/>
      <c r="AD224" s="303"/>
      <c r="AE224" s="303"/>
      <c r="AF224" s="303"/>
      <c r="AG224" s="303"/>
      <c r="AH224" s="303"/>
      <c r="AI224" s="143"/>
      <c r="AJ224" s="125"/>
      <c r="AK224" s="125"/>
      <c r="AL224" s="125"/>
      <c r="AM224" s="125"/>
    </row>
    <row r="225" spans="1:39" ht="12.75" x14ac:dyDescent="0.2">
      <c r="A225" s="303"/>
      <c r="B225" s="303"/>
      <c r="C225" s="303"/>
      <c r="D225" s="143"/>
      <c r="E225" s="303"/>
      <c r="F225" s="303"/>
      <c r="G225" s="303"/>
      <c r="H225" s="303"/>
      <c r="I225" s="303"/>
      <c r="J225" s="303"/>
      <c r="K225" s="303"/>
      <c r="L225" s="143"/>
      <c r="M225" s="303"/>
      <c r="N225" s="303"/>
      <c r="O225" s="303"/>
      <c r="P225" s="303"/>
      <c r="Q225" s="303"/>
      <c r="R225" s="303"/>
      <c r="S225" s="303"/>
      <c r="T225" s="143"/>
      <c r="U225" s="303"/>
      <c r="V225" s="303"/>
      <c r="W225" s="303"/>
      <c r="X225" s="303"/>
      <c r="Y225" s="303"/>
      <c r="Z225" s="303"/>
      <c r="AA225" s="303"/>
      <c r="AB225" s="143"/>
      <c r="AC225" s="303"/>
      <c r="AD225" s="303"/>
      <c r="AE225" s="303"/>
      <c r="AF225" s="303"/>
      <c r="AG225" s="303"/>
      <c r="AH225" s="303"/>
      <c r="AI225" s="143"/>
      <c r="AJ225" s="125"/>
      <c r="AK225" s="125"/>
      <c r="AL225" s="125"/>
      <c r="AM225" s="125"/>
    </row>
    <row r="226" spans="1:39" ht="12.75" x14ac:dyDescent="0.2">
      <c r="A226" s="303"/>
      <c r="B226" s="303"/>
      <c r="C226" s="303"/>
      <c r="D226" s="143"/>
      <c r="E226" s="303"/>
      <c r="F226" s="303"/>
      <c r="G226" s="303"/>
      <c r="H226" s="303"/>
      <c r="I226" s="303"/>
      <c r="J226" s="303"/>
      <c r="K226" s="303"/>
      <c r="L226" s="143"/>
      <c r="M226" s="303"/>
      <c r="N226" s="303"/>
      <c r="O226" s="303"/>
      <c r="P226" s="303"/>
      <c r="Q226" s="303"/>
      <c r="R226" s="303"/>
      <c r="S226" s="303"/>
      <c r="T226" s="143"/>
      <c r="U226" s="303"/>
      <c r="V226" s="303"/>
      <c r="W226" s="303"/>
      <c r="X226" s="303"/>
      <c r="Y226" s="303"/>
      <c r="Z226" s="303"/>
      <c r="AA226" s="303"/>
      <c r="AB226" s="143"/>
      <c r="AC226" s="303"/>
      <c r="AD226" s="303"/>
      <c r="AE226" s="303"/>
      <c r="AF226" s="303"/>
      <c r="AG226" s="303"/>
      <c r="AH226" s="303"/>
      <c r="AI226" s="143"/>
      <c r="AJ226" s="125"/>
      <c r="AK226" s="125"/>
      <c r="AL226" s="125"/>
      <c r="AM226" s="125"/>
    </row>
    <row r="227" spans="1:39" ht="12.75" x14ac:dyDescent="0.2">
      <c r="A227" s="303"/>
      <c r="B227" s="303"/>
      <c r="C227" s="303"/>
      <c r="D227" s="143"/>
      <c r="E227" s="303"/>
      <c r="F227" s="303"/>
      <c r="G227" s="303"/>
      <c r="H227" s="303"/>
      <c r="I227" s="303"/>
      <c r="J227" s="303"/>
      <c r="K227" s="303"/>
      <c r="L227" s="143"/>
      <c r="M227" s="303"/>
      <c r="N227" s="303"/>
      <c r="O227" s="303"/>
      <c r="P227" s="303"/>
      <c r="Q227" s="303"/>
      <c r="R227" s="303"/>
      <c r="S227" s="303"/>
      <c r="T227" s="143"/>
      <c r="U227" s="303"/>
      <c r="V227" s="303"/>
      <c r="W227" s="303"/>
      <c r="X227" s="303"/>
      <c r="Y227" s="303"/>
      <c r="Z227" s="303"/>
      <c r="AA227" s="303"/>
      <c r="AB227" s="143"/>
      <c r="AC227" s="303"/>
      <c r="AD227" s="303"/>
      <c r="AE227" s="303"/>
      <c r="AF227" s="303"/>
      <c r="AG227" s="303"/>
      <c r="AH227" s="303"/>
      <c r="AI227" s="143"/>
      <c r="AJ227" s="125"/>
      <c r="AK227" s="125"/>
      <c r="AL227" s="125"/>
      <c r="AM227" s="125"/>
    </row>
    <row r="228" spans="1:39" ht="12.75" x14ac:dyDescent="0.2">
      <c r="A228" s="303"/>
      <c r="B228" s="303"/>
      <c r="C228" s="303"/>
      <c r="D228" s="143"/>
      <c r="E228" s="303"/>
      <c r="F228" s="303"/>
      <c r="G228" s="303"/>
      <c r="H228" s="303"/>
      <c r="I228" s="303"/>
      <c r="J228" s="303"/>
      <c r="K228" s="303"/>
      <c r="L228" s="143"/>
      <c r="M228" s="303"/>
      <c r="N228" s="303"/>
      <c r="O228" s="303"/>
      <c r="P228" s="303"/>
      <c r="Q228" s="303"/>
      <c r="R228" s="303"/>
      <c r="S228" s="303"/>
      <c r="T228" s="143"/>
      <c r="U228" s="303"/>
      <c r="V228" s="303"/>
      <c r="W228" s="303"/>
      <c r="X228" s="303"/>
      <c r="Y228" s="303"/>
      <c r="Z228" s="303"/>
      <c r="AA228" s="303"/>
      <c r="AB228" s="143"/>
      <c r="AC228" s="303"/>
      <c r="AD228" s="303"/>
      <c r="AE228" s="303"/>
      <c r="AF228" s="303"/>
      <c r="AG228" s="303"/>
      <c r="AH228" s="303"/>
      <c r="AI228" s="143"/>
      <c r="AJ228" s="125"/>
      <c r="AK228" s="125"/>
      <c r="AL228" s="125"/>
      <c r="AM228" s="125"/>
    </row>
    <row r="229" spans="1:39" ht="12.75" x14ac:dyDescent="0.2">
      <c r="A229" s="303"/>
      <c r="B229" s="303"/>
      <c r="C229" s="303"/>
      <c r="D229" s="143"/>
      <c r="E229" s="303"/>
      <c r="F229" s="303"/>
      <c r="G229" s="303"/>
      <c r="H229" s="303"/>
      <c r="I229" s="303"/>
      <c r="J229" s="303"/>
      <c r="K229" s="303"/>
      <c r="L229" s="143"/>
      <c r="M229" s="303"/>
      <c r="N229" s="303"/>
      <c r="O229" s="303"/>
      <c r="P229" s="303"/>
      <c r="Q229" s="303"/>
      <c r="R229" s="303"/>
      <c r="S229" s="303"/>
      <c r="T229" s="143"/>
      <c r="U229" s="303"/>
      <c r="V229" s="303"/>
      <c r="W229" s="303"/>
      <c r="X229" s="303"/>
      <c r="Y229" s="303"/>
      <c r="Z229" s="303"/>
      <c r="AA229" s="303"/>
      <c r="AB229" s="143"/>
      <c r="AC229" s="303"/>
      <c r="AD229" s="303"/>
      <c r="AE229" s="303"/>
      <c r="AF229" s="303"/>
      <c r="AG229" s="303"/>
      <c r="AH229" s="303"/>
      <c r="AI229" s="143"/>
      <c r="AJ229" s="125"/>
      <c r="AK229" s="125"/>
      <c r="AL229" s="125"/>
      <c r="AM229" s="125"/>
    </row>
    <row r="230" spans="1:39" ht="12.75" x14ac:dyDescent="0.2">
      <c r="A230" s="303"/>
      <c r="B230" s="303"/>
      <c r="C230" s="303"/>
      <c r="D230" s="143"/>
      <c r="E230" s="303"/>
      <c r="F230" s="303"/>
      <c r="G230" s="303"/>
      <c r="H230" s="303"/>
      <c r="I230" s="303"/>
      <c r="J230" s="303"/>
      <c r="K230" s="303"/>
      <c r="L230" s="143"/>
      <c r="M230" s="303"/>
      <c r="N230" s="303"/>
      <c r="O230" s="303"/>
      <c r="P230" s="303"/>
      <c r="Q230" s="303"/>
      <c r="R230" s="303"/>
      <c r="S230" s="303"/>
      <c r="T230" s="143"/>
      <c r="U230" s="303"/>
      <c r="V230" s="303"/>
      <c r="W230" s="303"/>
      <c r="X230" s="303"/>
      <c r="Y230" s="303"/>
      <c r="Z230" s="303"/>
      <c r="AA230" s="303"/>
      <c r="AB230" s="143"/>
      <c r="AC230" s="303"/>
      <c r="AD230" s="303"/>
      <c r="AE230" s="303"/>
      <c r="AF230" s="303"/>
      <c r="AG230" s="303"/>
      <c r="AH230" s="303"/>
      <c r="AI230" s="143"/>
      <c r="AJ230" s="125"/>
      <c r="AK230" s="125"/>
      <c r="AL230" s="125"/>
      <c r="AM230" s="125"/>
    </row>
    <row r="231" spans="1:39" ht="12.75" x14ac:dyDescent="0.2">
      <c r="A231" s="303"/>
      <c r="B231" s="303"/>
      <c r="C231" s="303"/>
      <c r="D231" s="143"/>
      <c r="E231" s="303"/>
      <c r="F231" s="303"/>
      <c r="G231" s="303"/>
      <c r="H231" s="303"/>
      <c r="I231" s="303"/>
      <c r="J231" s="303"/>
      <c r="K231" s="303"/>
      <c r="L231" s="143"/>
      <c r="M231" s="303"/>
      <c r="N231" s="303"/>
      <c r="O231" s="303"/>
      <c r="P231" s="303"/>
      <c r="Q231" s="303"/>
      <c r="R231" s="303"/>
      <c r="S231" s="303"/>
      <c r="T231" s="143"/>
      <c r="U231" s="303"/>
      <c r="V231" s="303"/>
      <c r="W231" s="303"/>
      <c r="X231" s="303"/>
      <c r="Y231" s="303"/>
      <c r="Z231" s="303"/>
      <c r="AA231" s="303"/>
      <c r="AB231" s="143"/>
      <c r="AC231" s="303"/>
      <c r="AD231" s="303"/>
      <c r="AE231" s="303"/>
      <c r="AF231" s="303"/>
      <c r="AG231" s="303"/>
      <c r="AH231" s="303"/>
      <c r="AI231" s="143"/>
      <c r="AJ231" s="125"/>
      <c r="AK231" s="125"/>
      <c r="AL231" s="125"/>
      <c r="AM231" s="125"/>
    </row>
    <row r="232" spans="1:39" ht="12.75" x14ac:dyDescent="0.2">
      <c r="A232" s="303"/>
      <c r="B232" s="303"/>
      <c r="C232" s="303"/>
      <c r="D232" s="143"/>
      <c r="E232" s="303"/>
      <c r="F232" s="303"/>
      <c r="G232" s="303"/>
      <c r="H232" s="303"/>
      <c r="I232" s="303"/>
      <c r="J232" s="303"/>
      <c r="K232" s="303"/>
      <c r="L232" s="143"/>
      <c r="M232" s="303"/>
      <c r="N232" s="303"/>
      <c r="O232" s="303"/>
      <c r="P232" s="303"/>
      <c r="Q232" s="303"/>
      <c r="R232" s="303"/>
      <c r="S232" s="303"/>
      <c r="T232" s="143"/>
      <c r="U232" s="303"/>
      <c r="V232" s="303"/>
      <c r="W232" s="303"/>
      <c r="X232" s="303"/>
      <c r="Y232" s="303"/>
      <c r="Z232" s="303"/>
      <c r="AA232" s="303"/>
      <c r="AB232" s="143"/>
      <c r="AC232" s="303"/>
      <c r="AD232" s="303"/>
      <c r="AE232" s="303"/>
      <c r="AF232" s="303"/>
      <c r="AG232" s="303"/>
      <c r="AH232" s="303"/>
      <c r="AI232" s="143"/>
      <c r="AJ232" s="125"/>
      <c r="AK232" s="125"/>
      <c r="AL232" s="125"/>
      <c r="AM232" s="125"/>
    </row>
    <row r="233" spans="1:39" ht="12.75" x14ac:dyDescent="0.2">
      <c r="A233" s="303"/>
      <c r="B233" s="303"/>
      <c r="C233" s="303"/>
      <c r="D233" s="143"/>
      <c r="E233" s="303"/>
      <c r="F233" s="303"/>
      <c r="G233" s="303"/>
      <c r="H233" s="303"/>
      <c r="I233" s="303"/>
      <c r="J233" s="303"/>
      <c r="K233" s="303"/>
      <c r="L233" s="143"/>
      <c r="M233" s="303"/>
      <c r="N233" s="303"/>
      <c r="O233" s="303"/>
      <c r="P233" s="303"/>
      <c r="Q233" s="303"/>
      <c r="R233" s="303"/>
      <c r="S233" s="303"/>
      <c r="T233" s="143"/>
      <c r="U233" s="303"/>
      <c r="V233" s="303"/>
      <c r="W233" s="303"/>
      <c r="X233" s="303"/>
      <c r="Y233" s="303"/>
      <c r="Z233" s="303"/>
      <c r="AA233" s="303"/>
      <c r="AB233" s="143"/>
      <c r="AC233" s="303"/>
      <c r="AD233" s="303"/>
      <c r="AE233" s="303"/>
      <c r="AF233" s="303"/>
      <c r="AG233" s="303"/>
      <c r="AH233" s="303"/>
      <c r="AI233" s="143"/>
      <c r="AJ233" s="125"/>
      <c r="AK233" s="125"/>
      <c r="AL233" s="125"/>
      <c r="AM233" s="125"/>
    </row>
    <row r="234" spans="1:39" ht="12.75" x14ac:dyDescent="0.2">
      <c r="A234" s="303"/>
      <c r="B234" s="303"/>
      <c r="C234" s="303"/>
      <c r="D234" s="143"/>
      <c r="E234" s="303"/>
      <c r="F234" s="303"/>
      <c r="G234" s="303"/>
      <c r="H234" s="303"/>
      <c r="I234" s="303"/>
      <c r="J234" s="303"/>
      <c r="K234" s="303"/>
      <c r="L234" s="143"/>
      <c r="M234" s="303"/>
      <c r="N234" s="303"/>
      <c r="O234" s="303"/>
      <c r="P234" s="303"/>
      <c r="Q234" s="303"/>
      <c r="R234" s="303"/>
      <c r="S234" s="303"/>
      <c r="T234" s="143"/>
      <c r="U234" s="303"/>
      <c r="V234" s="303"/>
      <c r="W234" s="303"/>
      <c r="X234" s="303"/>
      <c r="Y234" s="303"/>
      <c r="Z234" s="303"/>
      <c r="AA234" s="303"/>
      <c r="AB234" s="143"/>
      <c r="AC234" s="303"/>
      <c r="AD234" s="303"/>
      <c r="AE234" s="303"/>
      <c r="AF234" s="303"/>
      <c r="AG234" s="303"/>
      <c r="AH234" s="303"/>
      <c r="AI234" s="143"/>
      <c r="AJ234" s="125"/>
      <c r="AK234" s="125"/>
      <c r="AL234" s="125"/>
      <c r="AM234" s="125"/>
    </row>
    <row r="235" spans="1:39" ht="12.75" x14ac:dyDescent="0.2">
      <c r="A235" s="303"/>
      <c r="B235" s="303"/>
      <c r="C235" s="303"/>
      <c r="D235" s="143"/>
      <c r="E235" s="303"/>
      <c r="F235" s="303"/>
      <c r="G235" s="303"/>
      <c r="H235" s="303"/>
      <c r="I235" s="303"/>
      <c r="J235" s="303"/>
      <c r="K235" s="303"/>
      <c r="L235" s="143"/>
      <c r="M235" s="303"/>
      <c r="N235" s="303"/>
      <c r="O235" s="303"/>
      <c r="P235" s="303"/>
      <c r="Q235" s="303"/>
      <c r="R235" s="303"/>
      <c r="S235" s="303"/>
      <c r="T235" s="143"/>
      <c r="U235" s="303"/>
      <c r="V235" s="303"/>
      <c r="W235" s="303"/>
      <c r="X235" s="303"/>
      <c r="Y235" s="303"/>
      <c r="Z235" s="303"/>
      <c r="AA235" s="303"/>
      <c r="AB235" s="143"/>
      <c r="AC235" s="303"/>
      <c r="AD235" s="303"/>
      <c r="AE235" s="303"/>
      <c r="AF235" s="303"/>
      <c r="AG235" s="303"/>
      <c r="AH235" s="303"/>
      <c r="AI235" s="143"/>
      <c r="AJ235" s="125"/>
      <c r="AK235" s="125"/>
      <c r="AL235" s="125"/>
      <c r="AM235" s="125"/>
    </row>
    <row r="236" spans="1:39" ht="12.75" x14ac:dyDescent="0.2">
      <c r="A236" s="303"/>
      <c r="B236" s="303"/>
      <c r="C236" s="303"/>
      <c r="D236" s="143"/>
      <c r="E236" s="303"/>
      <c r="F236" s="303"/>
      <c r="G236" s="303"/>
      <c r="H236" s="303"/>
      <c r="I236" s="303"/>
      <c r="J236" s="303"/>
      <c r="K236" s="303"/>
      <c r="L236" s="143"/>
      <c r="M236" s="303"/>
      <c r="N236" s="303"/>
      <c r="O236" s="303"/>
      <c r="P236" s="303"/>
      <c r="Q236" s="303"/>
      <c r="R236" s="303"/>
      <c r="S236" s="303"/>
      <c r="T236" s="143"/>
      <c r="U236" s="303"/>
      <c r="V236" s="303"/>
      <c r="W236" s="303"/>
      <c r="X236" s="303"/>
      <c r="Y236" s="303"/>
      <c r="Z236" s="303"/>
      <c r="AA236" s="303"/>
      <c r="AB236" s="143"/>
      <c r="AC236" s="303"/>
      <c r="AD236" s="303"/>
      <c r="AE236" s="303"/>
      <c r="AF236" s="303"/>
      <c r="AG236" s="303"/>
      <c r="AH236" s="303"/>
      <c r="AI236" s="143"/>
      <c r="AJ236" s="125"/>
      <c r="AK236" s="125"/>
      <c r="AL236" s="125"/>
      <c r="AM236" s="125"/>
    </row>
    <row r="237" spans="1:39" ht="12.75" x14ac:dyDescent="0.2">
      <c r="A237" s="303"/>
      <c r="B237" s="303"/>
      <c r="C237" s="303"/>
      <c r="D237" s="143"/>
      <c r="E237" s="303"/>
      <c r="F237" s="303"/>
      <c r="G237" s="303"/>
      <c r="H237" s="303"/>
      <c r="I237" s="303"/>
      <c r="J237" s="303"/>
      <c r="K237" s="303"/>
      <c r="L237" s="143"/>
      <c r="M237" s="303"/>
      <c r="N237" s="303"/>
      <c r="O237" s="303"/>
      <c r="P237" s="303"/>
      <c r="Q237" s="303"/>
      <c r="R237" s="303"/>
      <c r="S237" s="303"/>
      <c r="T237" s="143"/>
      <c r="U237" s="303"/>
      <c r="V237" s="303"/>
      <c r="W237" s="303"/>
      <c r="X237" s="303"/>
      <c r="Y237" s="303"/>
      <c r="Z237" s="303"/>
      <c r="AA237" s="303"/>
      <c r="AB237" s="143"/>
      <c r="AC237" s="303"/>
      <c r="AD237" s="303"/>
      <c r="AE237" s="303"/>
      <c r="AF237" s="303"/>
      <c r="AG237" s="303"/>
      <c r="AH237" s="303"/>
      <c r="AI237" s="143"/>
      <c r="AJ237" s="125"/>
      <c r="AK237" s="125"/>
      <c r="AL237" s="125"/>
      <c r="AM237" s="125"/>
    </row>
    <row r="238" spans="1:39" ht="12.75" x14ac:dyDescent="0.2">
      <c r="A238" s="303"/>
      <c r="B238" s="303"/>
      <c r="C238" s="303"/>
      <c r="D238" s="143"/>
      <c r="E238" s="303"/>
      <c r="F238" s="303"/>
      <c r="G238" s="303"/>
      <c r="H238" s="303"/>
      <c r="I238" s="303"/>
      <c r="J238" s="303"/>
      <c r="K238" s="303"/>
      <c r="L238" s="143"/>
      <c r="M238" s="303"/>
      <c r="N238" s="303"/>
      <c r="O238" s="303"/>
      <c r="P238" s="303"/>
      <c r="Q238" s="303"/>
      <c r="R238" s="303"/>
      <c r="S238" s="303"/>
      <c r="T238" s="143"/>
      <c r="U238" s="303"/>
      <c r="V238" s="303"/>
      <c r="W238" s="303"/>
      <c r="X238" s="303"/>
      <c r="Y238" s="303"/>
      <c r="Z238" s="303"/>
      <c r="AA238" s="303"/>
      <c r="AB238" s="143"/>
      <c r="AC238" s="303"/>
      <c r="AD238" s="303"/>
      <c r="AE238" s="303"/>
      <c r="AF238" s="303"/>
      <c r="AG238" s="303"/>
      <c r="AH238" s="303"/>
      <c r="AI238" s="143"/>
      <c r="AJ238" s="125"/>
      <c r="AK238" s="125"/>
      <c r="AL238" s="125"/>
      <c r="AM238" s="125"/>
    </row>
    <row r="239" spans="1:39" ht="12.75" x14ac:dyDescent="0.2">
      <c r="A239" s="303"/>
      <c r="B239" s="303"/>
      <c r="C239" s="303"/>
      <c r="D239" s="143"/>
      <c r="E239" s="303"/>
      <c r="F239" s="303"/>
      <c r="G239" s="303"/>
      <c r="H239" s="303"/>
      <c r="I239" s="303"/>
      <c r="J239" s="303"/>
      <c r="K239" s="303"/>
      <c r="L239" s="143"/>
      <c r="M239" s="303"/>
      <c r="N239" s="303"/>
      <c r="O239" s="303"/>
      <c r="P239" s="303"/>
      <c r="Q239" s="303"/>
      <c r="R239" s="303"/>
      <c r="S239" s="303"/>
      <c r="T239" s="143"/>
      <c r="U239" s="303"/>
      <c r="V239" s="303"/>
      <c r="W239" s="303"/>
      <c r="X239" s="303"/>
      <c r="Y239" s="303"/>
      <c r="Z239" s="303"/>
      <c r="AA239" s="303"/>
      <c r="AB239" s="143"/>
      <c r="AC239" s="303"/>
      <c r="AD239" s="303"/>
      <c r="AE239" s="303"/>
      <c r="AF239" s="303"/>
      <c r="AG239" s="303"/>
      <c r="AH239" s="303"/>
      <c r="AI239" s="143"/>
      <c r="AJ239" s="125"/>
      <c r="AK239" s="125"/>
      <c r="AL239" s="125"/>
      <c r="AM239" s="125"/>
    </row>
    <row r="240" spans="1:39" ht="12.75" x14ac:dyDescent="0.2">
      <c r="A240" s="303"/>
      <c r="B240" s="303"/>
      <c r="C240" s="303"/>
      <c r="D240" s="143"/>
      <c r="E240" s="303"/>
      <c r="F240" s="303"/>
      <c r="G240" s="303"/>
      <c r="H240" s="303"/>
      <c r="I240" s="303"/>
      <c r="J240" s="303"/>
      <c r="K240" s="303"/>
      <c r="L240" s="143"/>
      <c r="M240" s="303"/>
      <c r="N240" s="303"/>
      <c r="O240" s="303"/>
      <c r="P240" s="303"/>
      <c r="Q240" s="303"/>
      <c r="R240" s="303"/>
      <c r="S240" s="303"/>
      <c r="T240" s="143"/>
      <c r="U240" s="303"/>
      <c r="V240" s="303"/>
      <c r="W240" s="303"/>
      <c r="X240" s="303"/>
      <c r="Y240" s="303"/>
      <c r="Z240" s="303"/>
      <c r="AA240" s="303"/>
      <c r="AB240" s="143"/>
      <c r="AC240" s="303"/>
      <c r="AD240" s="303"/>
      <c r="AE240" s="303"/>
      <c r="AF240" s="303"/>
      <c r="AG240" s="303"/>
      <c r="AH240" s="303"/>
      <c r="AI240" s="143"/>
      <c r="AJ240" s="125"/>
      <c r="AK240" s="125"/>
      <c r="AL240" s="125"/>
      <c r="AM240" s="125"/>
    </row>
    <row r="241" spans="1:39" ht="12.75" x14ac:dyDescent="0.2">
      <c r="A241" s="303"/>
      <c r="B241" s="303"/>
      <c r="C241" s="303"/>
      <c r="D241" s="143"/>
      <c r="E241" s="303"/>
      <c r="F241" s="303"/>
      <c r="G241" s="303"/>
      <c r="H241" s="303"/>
      <c r="I241" s="303"/>
      <c r="J241" s="303"/>
      <c r="K241" s="303"/>
      <c r="L241" s="143"/>
      <c r="M241" s="303"/>
      <c r="N241" s="303"/>
      <c r="O241" s="303"/>
      <c r="P241" s="303"/>
      <c r="Q241" s="303"/>
      <c r="R241" s="303"/>
      <c r="S241" s="303"/>
      <c r="T241" s="143"/>
      <c r="U241" s="303"/>
      <c r="V241" s="303"/>
      <c r="W241" s="303"/>
      <c r="X241" s="303"/>
      <c r="Y241" s="303"/>
      <c r="Z241" s="303"/>
      <c r="AA241" s="303"/>
      <c r="AB241" s="143"/>
      <c r="AC241" s="303"/>
      <c r="AD241" s="303"/>
      <c r="AE241" s="303"/>
      <c r="AF241" s="303"/>
      <c r="AG241" s="303"/>
      <c r="AH241" s="303"/>
      <c r="AI241" s="143"/>
      <c r="AJ241" s="125"/>
      <c r="AK241" s="125"/>
      <c r="AL241" s="125"/>
      <c r="AM241" s="125"/>
    </row>
    <row r="242" spans="1:39" ht="12.75" x14ac:dyDescent="0.2">
      <c r="A242" s="303"/>
      <c r="B242" s="303"/>
      <c r="C242" s="303"/>
      <c r="D242" s="143"/>
      <c r="E242" s="303"/>
      <c r="F242" s="303"/>
      <c r="G242" s="303"/>
      <c r="H242" s="303"/>
      <c r="I242" s="303"/>
      <c r="J242" s="303"/>
      <c r="K242" s="303"/>
      <c r="L242" s="143"/>
      <c r="M242" s="303"/>
      <c r="N242" s="303"/>
      <c r="O242" s="303"/>
      <c r="P242" s="303"/>
      <c r="Q242" s="303"/>
      <c r="R242" s="303"/>
      <c r="S242" s="303"/>
      <c r="T242" s="143"/>
      <c r="U242" s="303"/>
      <c r="V242" s="303"/>
      <c r="W242" s="303"/>
      <c r="X242" s="303"/>
      <c r="Y242" s="303"/>
      <c r="Z242" s="303"/>
      <c r="AA242" s="303"/>
      <c r="AB242" s="143"/>
      <c r="AC242" s="303"/>
      <c r="AD242" s="303"/>
      <c r="AE242" s="303"/>
      <c r="AF242" s="303"/>
      <c r="AG242" s="303"/>
      <c r="AH242" s="303"/>
      <c r="AI242" s="143"/>
      <c r="AJ242" s="125"/>
      <c r="AK242" s="125"/>
      <c r="AL242" s="125"/>
      <c r="AM242" s="125"/>
    </row>
    <row r="243" spans="1:39" ht="12.75" x14ac:dyDescent="0.2">
      <c r="A243" s="303"/>
      <c r="B243" s="303"/>
      <c r="C243" s="303"/>
      <c r="D243" s="143"/>
      <c r="E243" s="303"/>
      <c r="F243" s="303"/>
      <c r="G243" s="303"/>
      <c r="H243" s="303"/>
      <c r="I243" s="303"/>
      <c r="J243" s="303"/>
      <c r="K243" s="303"/>
      <c r="L243" s="143"/>
      <c r="M243" s="303"/>
      <c r="N243" s="303"/>
      <c r="O243" s="303"/>
      <c r="P243" s="303"/>
      <c r="Q243" s="303"/>
      <c r="R243" s="303"/>
      <c r="S243" s="303"/>
      <c r="T243" s="143"/>
      <c r="U243" s="303"/>
      <c r="V243" s="303"/>
      <c r="W243" s="303"/>
      <c r="X243" s="303"/>
      <c r="Y243" s="303"/>
      <c r="Z243" s="303"/>
      <c r="AA243" s="303"/>
      <c r="AB243" s="143"/>
      <c r="AC243" s="303"/>
      <c r="AD243" s="303"/>
      <c r="AE243" s="303"/>
      <c r="AF243" s="303"/>
      <c r="AG243" s="303"/>
      <c r="AH243" s="303"/>
      <c r="AI243" s="143"/>
      <c r="AJ243" s="125"/>
      <c r="AK243" s="125"/>
      <c r="AL243" s="125"/>
      <c r="AM243" s="125"/>
    </row>
    <row r="244" spans="1:39" ht="12.75" x14ac:dyDescent="0.2">
      <c r="A244" s="303"/>
      <c r="B244" s="303"/>
      <c r="C244" s="303"/>
      <c r="D244" s="143"/>
      <c r="E244" s="303"/>
      <c r="F244" s="303"/>
      <c r="G244" s="303"/>
      <c r="H244" s="303"/>
      <c r="I244" s="303"/>
      <c r="J244" s="303"/>
      <c r="K244" s="303"/>
      <c r="L244" s="143"/>
      <c r="M244" s="303"/>
      <c r="N244" s="303"/>
      <c r="O244" s="303"/>
      <c r="P244" s="303"/>
      <c r="Q244" s="303"/>
      <c r="R244" s="303"/>
      <c r="S244" s="303"/>
      <c r="T244" s="143"/>
      <c r="U244" s="303"/>
      <c r="V244" s="303"/>
      <c r="W244" s="303"/>
      <c r="X244" s="303"/>
      <c r="Y244" s="303"/>
      <c r="Z244" s="303"/>
      <c r="AA244" s="303"/>
      <c r="AB244" s="143"/>
      <c r="AC244" s="303"/>
      <c r="AD244" s="303"/>
      <c r="AE244" s="303"/>
      <c r="AF244" s="303"/>
      <c r="AG244" s="303"/>
      <c r="AH244" s="303"/>
      <c r="AI244" s="143"/>
      <c r="AJ244" s="125"/>
      <c r="AK244" s="125"/>
      <c r="AL244" s="125"/>
      <c r="AM244" s="125"/>
    </row>
    <row r="245" spans="1:39" ht="12.75" x14ac:dyDescent="0.2">
      <c r="A245" s="303"/>
      <c r="B245" s="303"/>
      <c r="C245" s="303"/>
      <c r="D245" s="143"/>
      <c r="E245" s="303"/>
      <c r="F245" s="303"/>
      <c r="G245" s="303"/>
      <c r="H245" s="303"/>
      <c r="I245" s="303"/>
      <c r="J245" s="303"/>
      <c r="K245" s="303"/>
      <c r="L245" s="143"/>
      <c r="M245" s="303"/>
      <c r="N245" s="303"/>
      <c r="O245" s="303"/>
      <c r="P245" s="303"/>
      <c r="Q245" s="303"/>
      <c r="R245" s="303"/>
      <c r="S245" s="303"/>
      <c r="T245" s="143"/>
      <c r="U245" s="303"/>
      <c r="V245" s="303"/>
      <c r="W245" s="303"/>
      <c r="X245" s="303"/>
      <c r="Y245" s="303"/>
      <c r="Z245" s="303"/>
      <c r="AA245" s="303"/>
      <c r="AB245" s="143"/>
      <c r="AC245" s="303"/>
      <c r="AD245" s="303"/>
      <c r="AE245" s="303"/>
      <c r="AF245" s="303"/>
      <c r="AG245" s="303"/>
      <c r="AH245" s="303"/>
      <c r="AI245" s="143"/>
      <c r="AJ245" s="125"/>
      <c r="AK245" s="125"/>
      <c r="AL245" s="125"/>
      <c r="AM245" s="125"/>
    </row>
    <row r="246" spans="1:39" ht="12.75" x14ac:dyDescent="0.2">
      <c r="A246" s="303"/>
      <c r="B246" s="303"/>
      <c r="C246" s="303"/>
      <c r="D246" s="143"/>
      <c r="E246" s="303"/>
      <c r="F246" s="303"/>
      <c r="G246" s="303"/>
      <c r="H246" s="303"/>
      <c r="I246" s="303"/>
      <c r="J246" s="303"/>
      <c r="K246" s="303"/>
      <c r="L246" s="143"/>
      <c r="M246" s="303"/>
      <c r="N246" s="303"/>
      <c r="O246" s="303"/>
      <c r="P246" s="303"/>
      <c r="Q246" s="303"/>
      <c r="R246" s="303"/>
      <c r="S246" s="303"/>
      <c r="T246" s="143"/>
      <c r="U246" s="303"/>
      <c r="V246" s="303"/>
      <c r="W246" s="303"/>
      <c r="X246" s="303"/>
      <c r="Y246" s="303"/>
      <c r="Z246" s="303"/>
      <c r="AA246" s="303"/>
      <c r="AB246" s="143"/>
      <c r="AC246" s="303"/>
      <c r="AD246" s="303"/>
      <c r="AE246" s="303"/>
      <c r="AF246" s="303"/>
      <c r="AG246" s="303"/>
      <c r="AH246" s="303"/>
      <c r="AI246" s="143"/>
      <c r="AJ246" s="125"/>
      <c r="AK246" s="125"/>
      <c r="AL246" s="125"/>
      <c r="AM246" s="125"/>
    </row>
    <row r="247" spans="1:39" ht="12.75" x14ac:dyDescent="0.2">
      <c r="A247" s="303"/>
      <c r="B247" s="303"/>
      <c r="C247" s="303"/>
      <c r="D247" s="143"/>
      <c r="E247" s="303"/>
      <c r="F247" s="303"/>
      <c r="G247" s="303"/>
      <c r="H247" s="303"/>
      <c r="I247" s="303"/>
      <c r="J247" s="303"/>
      <c r="K247" s="303"/>
      <c r="L247" s="143"/>
      <c r="M247" s="303"/>
      <c r="N247" s="303"/>
      <c r="O247" s="303"/>
      <c r="P247" s="303"/>
      <c r="Q247" s="303"/>
      <c r="R247" s="303"/>
      <c r="S247" s="303"/>
      <c r="T247" s="143"/>
      <c r="U247" s="303"/>
      <c r="V247" s="303"/>
      <c r="W247" s="303"/>
      <c r="X247" s="303"/>
      <c r="Y247" s="303"/>
      <c r="Z247" s="303"/>
      <c r="AA247" s="303"/>
      <c r="AB247" s="143"/>
      <c r="AC247" s="303"/>
      <c r="AD247" s="303"/>
      <c r="AE247" s="303"/>
      <c r="AF247" s="303"/>
      <c r="AG247" s="303"/>
      <c r="AH247" s="303"/>
      <c r="AI247" s="143"/>
      <c r="AJ247" s="125"/>
      <c r="AK247" s="125"/>
      <c r="AL247" s="125"/>
      <c r="AM247" s="125"/>
    </row>
    <row r="248" spans="1:39" ht="12.75" x14ac:dyDescent="0.2">
      <c r="A248" s="303"/>
      <c r="B248" s="303"/>
      <c r="C248" s="303"/>
      <c r="D248" s="143"/>
      <c r="E248" s="303"/>
      <c r="F248" s="303"/>
      <c r="G248" s="303"/>
      <c r="H248" s="303"/>
      <c r="I248" s="303"/>
      <c r="J248" s="303"/>
      <c r="K248" s="303"/>
      <c r="L248" s="143"/>
      <c r="M248" s="303"/>
      <c r="N248" s="303"/>
      <c r="O248" s="303"/>
      <c r="P248" s="303"/>
      <c r="Q248" s="303"/>
      <c r="R248" s="303"/>
      <c r="S248" s="303"/>
      <c r="T248" s="143"/>
      <c r="U248" s="303"/>
      <c r="V248" s="303"/>
      <c r="W248" s="303"/>
      <c r="X248" s="303"/>
      <c r="Y248" s="303"/>
      <c r="Z248" s="303"/>
      <c r="AA248" s="303"/>
      <c r="AB248" s="143"/>
      <c r="AC248" s="303"/>
      <c r="AD248" s="303"/>
      <c r="AE248" s="303"/>
      <c r="AF248" s="303"/>
      <c r="AG248" s="303"/>
      <c r="AH248" s="303"/>
      <c r="AI248" s="143"/>
      <c r="AJ248" s="125"/>
      <c r="AK248" s="125"/>
      <c r="AL248" s="125"/>
      <c r="AM248" s="125"/>
    </row>
    <row r="249" spans="1:39" ht="12.75" x14ac:dyDescent="0.2">
      <c r="A249" s="303"/>
      <c r="B249" s="303"/>
      <c r="C249" s="303"/>
      <c r="D249" s="143"/>
      <c r="E249" s="303"/>
      <c r="F249" s="303"/>
      <c r="G249" s="303"/>
      <c r="H249" s="303"/>
      <c r="I249" s="303"/>
      <c r="J249" s="303"/>
      <c r="K249" s="303"/>
      <c r="L249" s="143"/>
      <c r="M249" s="303"/>
      <c r="N249" s="303"/>
      <c r="O249" s="303"/>
      <c r="P249" s="303"/>
      <c r="Q249" s="303"/>
      <c r="R249" s="303"/>
      <c r="S249" s="303"/>
      <c r="T249" s="143"/>
      <c r="U249" s="303"/>
      <c r="V249" s="303"/>
      <c r="W249" s="303"/>
      <c r="X249" s="303"/>
      <c r="Y249" s="303"/>
      <c r="Z249" s="303"/>
      <c r="AA249" s="303"/>
      <c r="AB249" s="143"/>
      <c r="AC249" s="303"/>
      <c r="AD249" s="303"/>
      <c r="AE249" s="303"/>
      <c r="AF249" s="303"/>
      <c r="AG249" s="303"/>
      <c r="AH249" s="303"/>
      <c r="AI249" s="143"/>
      <c r="AJ249" s="125"/>
      <c r="AK249" s="125"/>
      <c r="AL249" s="125"/>
      <c r="AM249" s="125"/>
    </row>
    <row r="250" spans="1:39" ht="12.75" x14ac:dyDescent="0.2">
      <c r="A250" s="303"/>
      <c r="B250" s="303"/>
      <c r="C250" s="303"/>
      <c r="D250" s="143"/>
      <c r="E250" s="303"/>
      <c r="F250" s="303"/>
      <c r="G250" s="303"/>
      <c r="H250" s="303"/>
      <c r="I250" s="303"/>
      <c r="J250" s="303"/>
      <c r="K250" s="303"/>
      <c r="L250" s="143"/>
      <c r="M250" s="303"/>
      <c r="N250" s="303"/>
      <c r="O250" s="303"/>
      <c r="P250" s="303"/>
      <c r="Q250" s="303"/>
      <c r="R250" s="303"/>
      <c r="S250" s="303"/>
      <c r="T250" s="143"/>
      <c r="U250" s="303"/>
      <c r="V250" s="303"/>
      <c r="W250" s="303"/>
      <c r="X250" s="303"/>
      <c r="Y250" s="303"/>
      <c r="Z250" s="303"/>
      <c r="AA250" s="303"/>
      <c r="AB250" s="143"/>
      <c r="AC250" s="303"/>
      <c r="AD250" s="303"/>
      <c r="AE250" s="303"/>
      <c r="AF250" s="303"/>
      <c r="AG250" s="303"/>
      <c r="AH250" s="303"/>
      <c r="AI250" s="143"/>
      <c r="AJ250" s="125"/>
      <c r="AK250" s="125"/>
      <c r="AL250" s="125"/>
      <c r="AM250" s="125"/>
    </row>
    <row r="251" spans="1:39" ht="12.75" x14ac:dyDescent="0.2">
      <c r="A251" s="303"/>
      <c r="B251" s="303"/>
      <c r="C251" s="303"/>
      <c r="D251" s="143"/>
      <c r="E251" s="303"/>
      <c r="F251" s="303"/>
      <c r="G251" s="303"/>
      <c r="H251" s="303"/>
      <c r="I251" s="303"/>
      <c r="J251" s="303"/>
      <c r="K251" s="303"/>
      <c r="L251" s="143"/>
      <c r="M251" s="303"/>
      <c r="N251" s="303"/>
      <c r="O251" s="303"/>
      <c r="P251" s="303"/>
      <c r="Q251" s="303"/>
      <c r="R251" s="303"/>
      <c r="S251" s="303"/>
      <c r="T251" s="143"/>
      <c r="U251" s="303"/>
      <c r="V251" s="303"/>
      <c r="W251" s="303"/>
      <c r="X251" s="303"/>
      <c r="Y251" s="303"/>
      <c r="Z251" s="303"/>
      <c r="AA251" s="303"/>
      <c r="AB251" s="143"/>
      <c r="AC251" s="303"/>
      <c r="AD251" s="303"/>
      <c r="AE251" s="303"/>
      <c r="AF251" s="303"/>
      <c r="AG251" s="303"/>
      <c r="AH251" s="303"/>
      <c r="AI251" s="143"/>
      <c r="AJ251" s="125"/>
      <c r="AK251" s="125"/>
      <c r="AL251" s="125"/>
      <c r="AM251" s="125"/>
    </row>
    <row r="252" spans="1:39" ht="12.75" x14ac:dyDescent="0.2">
      <c r="A252" s="303"/>
      <c r="B252" s="303"/>
      <c r="C252" s="303"/>
      <c r="D252" s="143"/>
      <c r="E252" s="303"/>
      <c r="F252" s="303"/>
      <c r="G252" s="303"/>
      <c r="H252" s="303"/>
      <c r="I252" s="303"/>
      <c r="J252" s="303"/>
      <c r="K252" s="303"/>
      <c r="L252" s="143"/>
      <c r="M252" s="303"/>
      <c r="N252" s="303"/>
      <c r="O252" s="303"/>
      <c r="P252" s="303"/>
      <c r="Q252" s="303"/>
      <c r="R252" s="303"/>
      <c r="S252" s="303"/>
      <c r="T252" s="143"/>
      <c r="U252" s="303"/>
      <c r="V252" s="303"/>
      <c r="W252" s="303"/>
      <c r="X252" s="303"/>
      <c r="Y252" s="303"/>
      <c r="Z252" s="303"/>
      <c r="AA252" s="303"/>
      <c r="AB252" s="143"/>
      <c r="AC252" s="303"/>
      <c r="AD252" s="303"/>
      <c r="AE252" s="303"/>
      <c r="AF252" s="303"/>
      <c r="AG252" s="303"/>
      <c r="AH252" s="303"/>
      <c r="AI252" s="143"/>
      <c r="AJ252" s="125"/>
      <c r="AK252" s="125"/>
      <c r="AL252" s="125"/>
      <c r="AM252" s="125"/>
    </row>
    <row r="253" spans="1:39" ht="12.75" x14ac:dyDescent="0.2">
      <c r="A253" s="303"/>
      <c r="B253" s="303"/>
      <c r="C253" s="303"/>
      <c r="D253" s="143"/>
      <c r="E253" s="303"/>
      <c r="F253" s="303"/>
      <c r="G253" s="303"/>
      <c r="H253" s="303"/>
      <c r="I253" s="303"/>
      <c r="J253" s="303"/>
      <c r="K253" s="303"/>
      <c r="L253" s="143"/>
      <c r="M253" s="303"/>
      <c r="N253" s="303"/>
      <c r="O253" s="303"/>
      <c r="P253" s="303"/>
      <c r="Q253" s="303"/>
      <c r="R253" s="303"/>
      <c r="S253" s="303"/>
      <c r="T253" s="143"/>
      <c r="U253" s="303"/>
      <c r="V253" s="303"/>
      <c r="W253" s="303"/>
      <c r="X253" s="303"/>
      <c r="Y253" s="303"/>
      <c r="Z253" s="303"/>
      <c r="AA253" s="303"/>
      <c r="AB253" s="143"/>
      <c r="AC253" s="303"/>
      <c r="AD253" s="303"/>
      <c r="AE253" s="303"/>
      <c r="AF253" s="303"/>
      <c r="AG253" s="303"/>
      <c r="AH253" s="303"/>
      <c r="AI253" s="143"/>
      <c r="AJ253" s="125"/>
      <c r="AK253" s="125"/>
      <c r="AL253" s="125"/>
      <c r="AM253" s="125"/>
    </row>
    <row r="254" spans="1:39" ht="12.75" x14ac:dyDescent="0.2">
      <c r="A254" s="303"/>
      <c r="B254" s="303"/>
      <c r="C254" s="303"/>
      <c r="D254" s="143"/>
      <c r="E254" s="303"/>
      <c r="F254" s="303"/>
      <c r="G254" s="303"/>
      <c r="H254" s="303"/>
      <c r="I254" s="303"/>
      <c r="J254" s="303"/>
      <c r="K254" s="303"/>
      <c r="L254" s="143"/>
      <c r="M254" s="303"/>
      <c r="N254" s="303"/>
      <c r="O254" s="303"/>
      <c r="P254" s="303"/>
      <c r="Q254" s="303"/>
      <c r="R254" s="303"/>
      <c r="S254" s="303"/>
      <c r="T254" s="143"/>
      <c r="U254" s="303"/>
      <c r="V254" s="303"/>
      <c r="W254" s="303"/>
      <c r="X254" s="303"/>
      <c r="Y254" s="303"/>
      <c r="Z254" s="303"/>
      <c r="AA254" s="303"/>
      <c r="AB254" s="143"/>
      <c r="AC254" s="303"/>
      <c r="AD254" s="303"/>
      <c r="AE254" s="303"/>
      <c r="AF254" s="303"/>
      <c r="AG254" s="303"/>
      <c r="AH254" s="303"/>
      <c r="AI254" s="143"/>
      <c r="AJ254" s="125"/>
      <c r="AK254" s="125"/>
      <c r="AL254" s="125"/>
      <c r="AM254" s="125"/>
    </row>
    <row r="255" spans="1:39" ht="12.75" x14ac:dyDescent="0.2">
      <c r="A255" s="303"/>
      <c r="B255" s="303"/>
      <c r="C255" s="303"/>
      <c r="D255" s="143"/>
      <c r="E255" s="303"/>
      <c r="F255" s="303"/>
      <c r="G255" s="303"/>
      <c r="H255" s="303"/>
      <c r="I255" s="303"/>
      <c r="J255" s="303"/>
      <c r="K255" s="303"/>
      <c r="L255" s="143"/>
      <c r="M255" s="303"/>
      <c r="N255" s="303"/>
      <c r="O255" s="303"/>
      <c r="P255" s="303"/>
      <c r="Q255" s="303"/>
      <c r="R255" s="303"/>
      <c r="S255" s="303"/>
      <c r="T255" s="143"/>
      <c r="U255" s="303"/>
      <c r="V255" s="303"/>
      <c r="W255" s="303"/>
      <c r="X255" s="303"/>
      <c r="Y255" s="303"/>
      <c r="Z255" s="303"/>
      <c r="AA255" s="303"/>
      <c r="AB255" s="143"/>
      <c r="AC255" s="303"/>
      <c r="AD255" s="303"/>
      <c r="AE255" s="303"/>
      <c r="AF255" s="303"/>
      <c r="AG255" s="303"/>
      <c r="AH255" s="303"/>
      <c r="AI255" s="143"/>
      <c r="AJ255" s="125"/>
      <c r="AK255" s="125"/>
      <c r="AL255" s="125"/>
      <c r="AM255" s="125"/>
    </row>
    <row r="256" spans="1:39" ht="12.75" x14ac:dyDescent="0.2">
      <c r="A256" s="303"/>
      <c r="B256" s="303"/>
      <c r="C256" s="303"/>
      <c r="D256" s="143"/>
      <c r="E256" s="303"/>
      <c r="F256" s="303"/>
      <c r="G256" s="303"/>
      <c r="H256" s="303"/>
      <c r="I256" s="303"/>
      <c r="J256" s="303"/>
      <c r="K256" s="303"/>
      <c r="L256" s="143"/>
      <c r="M256" s="303"/>
      <c r="N256" s="303"/>
      <c r="O256" s="303"/>
      <c r="P256" s="303"/>
      <c r="Q256" s="303"/>
      <c r="R256" s="303"/>
      <c r="S256" s="303"/>
      <c r="T256" s="143"/>
      <c r="U256" s="303"/>
      <c r="V256" s="303"/>
      <c r="W256" s="303"/>
      <c r="X256" s="303"/>
      <c r="Y256" s="303"/>
      <c r="Z256" s="303"/>
      <c r="AA256" s="303"/>
      <c r="AB256" s="143"/>
      <c r="AC256" s="303"/>
      <c r="AD256" s="303"/>
      <c r="AE256" s="303"/>
      <c r="AF256" s="303"/>
      <c r="AG256" s="303"/>
      <c r="AH256" s="303"/>
      <c r="AI256" s="143"/>
      <c r="AJ256" s="125"/>
      <c r="AK256" s="125"/>
      <c r="AL256" s="125"/>
      <c r="AM256" s="125"/>
    </row>
    <row r="257" spans="1:39" ht="12.75" x14ac:dyDescent="0.2">
      <c r="A257" s="303"/>
      <c r="B257" s="303"/>
      <c r="C257" s="303"/>
      <c r="D257" s="143"/>
      <c r="E257" s="303"/>
      <c r="F257" s="303"/>
      <c r="G257" s="303"/>
      <c r="H257" s="303"/>
      <c r="I257" s="303"/>
      <c r="J257" s="303"/>
      <c r="K257" s="303"/>
      <c r="L257" s="143"/>
      <c r="M257" s="303"/>
      <c r="N257" s="303"/>
      <c r="O257" s="303"/>
      <c r="P257" s="303"/>
      <c r="Q257" s="303"/>
      <c r="R257" s="303"/>
      <c r="S257" s="303"/>
      <c r="T257" s="143"/>
      <c r="U257" s="303"/>
      <c r="V257" s="303"/>
      <c r="W257" s="303"/>
      <c r="X257" s="303"/>
      <c r="Y257" s="303"/>
      <c r="Z257" s="303"/>
      <c r="AA257" s="303"/>
      <c r="AB257" s="143"/>
      <c r="AC257" s="303"/>
      <c r="AD257" s="303"/>
      <c r="AE257" s="303"/>
      <c r="AF257" s="303"/>
      <c r="AG257" s="303"/>
      <c r="AH257" s="303"/>
      <c r="AI257" s="143"/>
      <c r="AJ257" s="125"/>
      <c r="AK257" s="125"/>
      <c r="AL257" s="125"/>
      <c r="AM257" s="125"/>
    </row>
    <row r="258" spans="1:39" ht="12.75" x14ac:dyDescent="0.2">
      <c r="A258" s="303"/>
      <c r="B258" s="303"/>
      <c r="C258" s="303"/>
      <c r="D258" s="143"/>
      <c r="E258" s="303"/>
      <c r="F258" s="303"/>
      <c r="G258" s="303"/>
      <c r="H258" s="303"/>
      <c r="I258" s="303"/>
      <c r="J258" s="303"/>
      <c r="K258" s="303"/>
      <c r="L258" s="143"/>
      <c r="M258" s="303"/>
      <c r="N258" s="303"/>
      <c r="O258" s="303"/>
      <c r="P258" s="303"/>
      <c r="Q258" s="303"/>
      <c r="R258" s="303"/>
      <c r="S258" s="303"/>
      <c r="T258" s="143"/>
      <c r="U258" s="303"/>
      <c r="V258" s="303"/>
      <c r="W258" s="303"/>
      <c r="X258" s="303"/>
      <c r="Y258" s="303"/>
      <c r="Z258" s="303"/>
      <c r="AA258" s="303"/>
      <c r="AB258" s="143"/>
      <c r="AC258" s="303"/>
      <c r="AD258" s="303"/>
      <c r="AE258" s="303"/>
      <c r="AF258" s="303"/>
      <c r="AG258" s="303"/>
      <c r="AH258" s="303"/>
      <c r="AI258" s="143"/>
      <c r="AJ258" s="125"/>
      <c r="AK258" s="125"/>
      <c r="AL258" s="125"/>
      <c r="AM258" s="125"/>
    </row>
    <row r="259" spans="1:39" ht="12.75" x14ac:dyDescent="0.2">
      <c r="A259" s="303"/>
      <c r="B259" s="303"/>
      <c r="C259" s="303"/>
      <c r="D259" s="143"/>
      <c r="E259" s="303"/>
      <c r="F259" s="303"/>
      <c r="G259" s="303"/>
      <c r="H259" s="303"/>
      <c r="I259" s="303"/>
      <c r="J259" s="303"/>
      <c r="K259" s="303"/>
      <c r="L259" s="143"/>
      <c r="M259" s="303"/>
      <c r="N259" s="303"/>
      <c r="O259" s="303"/>
      <c r="P259" s="303"/>
      <c r="Q259" s="303"/>
      <c r="R259" s="303"/>
      <c r="S259" s="303"/>
      <c r="T259" s="143"/>
      <c r="U259" s="303"/>
      <c r="V259" s="303"/>
      <c r="W259" s="303"/>
      <c r="X259" s="303"/>
      <c r="Y259" s="303"/>
      <c r="Z259" s="303"/>
      <c r="AA259" s="303"/>
      <c r="AB259" s="143"/>
      <c r="AC259" s="303"/>
      <c r="AD259" s="303"/>
      <c r="AE259" s="303"/>
      <c r="AF259" s="303"/>
      <c r="AG259" s="303"/>
      <c r="AH259" s="303"/>
      <c r="AI259" s="143"/>
      <c r="AJ259" s="125"/>
      <c r="AK259" s="125"/>
      <c r="AL259" s="125"/>
      <c r="AM259" s="125"/>
    </row>
    <row r="260" spans="1:39" ht="12.75" x14ac:dyDescent="0.2">
      <c r="A260" s="303"/>
      <c r="B260" s="303"/>
      <c r="C260" s="303"/>
      <c r="D260" s="143"/>
      <c r="E260" s="303"/>
      <c r="F260" s="303"/>
      <c r="G260" s="303"/>
      <c r="H260" s="303"/>
      <c r="I260" s="303"/>
      <c r="J260" s="303"/>
      <c r="K260" s="303"/>
      <c r="L260" s="143"/>
      <c r="M260" s="303"/>
      <c r="N260" s="303"/>
      <c r="O260" s="303"/>
      <c r="P260" s="303"/>
      <c r="Q260" s="303"/>
      <c r="R260" s="303"/>
      <c r="S260" s="303"/>
      <c r="T260" s="143"/>
      <c r="U260" s="303"/>
      <c r="V260" s="303"/>
      <c r="W260" s="303"/>
      <c r="X260" s="303"/>
      <c r="Y260" s="303"/>
      <c r="Z260" s="303"/>
      <c r="AA260" s="303"/>
      <c r="AB260" s="143"/>
      <c r="AC260" s="303"/>
      <c r="AD260" s="303"/>
      <c r="AE260" s="303"/>
      <c r="AF260" s="303"/>
      <c r="AG260" s="303"/>
      <c r="AH260" s="303"/>
      <c r="AI260" s="143"/>
      <c r="AJ260" s="125"/>
      <c r="AK260" s="125"/>
      <c r="AL260" s="125"/>
      <c r="AM260" s="125"/>
    </row>
    <row r="261" spans="1:39" ht="12.75" x14ac:dyDescent="0.2">
      <c r="A261" s="303"/>
      <c r="B261" s="303"/>
      <c r="C261" s="303"/>
      <c r="D261" s="143"/>
      <c r="E261" s="303"/>
      <c r="F261" s="303"/>
      <c r="G261" s="303"/>
      <c r="H261" s="303"/>
      <c r="I261" s="303"/>
      <c r="J261" s="303"/>
      <c r="K261" s="303"/>
      <c r="L261" s="143"/>
      <c r="M261" s="303"/>
      <c r="N261" s="303"/>
      <c r="O261" s="303"/>
      <c r="P261" s="303"/>
      <c r="Q261" s="303"/>
      <c r="R261" s="303"/>
      <c r="S261" s="303"/>
      <c r="T261" s="143"/>
      <c r="U261" s="303"/>
      <c r="V261" s="303"/>
      <c r="W261" s="303"/>
      <c r="X261" s="303"/>
      <c r="Y261" s="303"/>
      <c r="Z261" s="303"/>
      <c r="AA261" s="303"/>
      <c r="AB261" s="143"/>
      <c r="AC261" s="303"/>
      <c r="AD261" s="303"/>
      <c r="AE261" s="303"/>
      <c r="AF261" s="303"/>
      <c r="AG261" s="303"/>
      <c r="AH261" s="303"/>
      <c r="AI261" s="143"/>
      <c r="AJ261" s="125"/>
      <c r="AK261" s="125"/>
      <c r="AL261" s="125"/>
      <c r="AM261" s="125"/>
    </row>
    <row r="262" spans="1:39" ht="12.75" x14ac:dyDescent="0.2">
      <c r="A262" s="303"/>
      <c r="B262" s="303"/>
      <c r="C262" s="303"/>
      <c r="D262" s="143"/>
      <c r="E262" s="303"/>
      <c r="F262" s="303"/>
      <c r="G262" s="303"/>
      <c r="H262" s="303"/>
      <c r="I262" s="303"/>
      <c r="J262" s="303"/>
      <c r="K262" s="303"/>
      <c r="L262" s="143"/>
      <c r="M262" s="303"/>
      <c r="N262" s="303"/>
      <c r="O262" s="303"/>
      <c r="P262" s="303"/>
      <c r="Q262" s="303"/>
      <c r="R262" s="303"/>
      <c r="S262" s="303"/>
      <c r="T262" s="143"/>
      <c r="U262" s="303"/>
      <c r="V262" s="303"/>
      <c r="W262" s="303"/>
      <c r="X262" s="303"/>
      <c r="Y262" s="303"/>
      <c r="Z262" s="303"/>
      <c r="AA262" s="303"/>
      <c r="AB262" s="143"/>
      <c r="AC262" s="303"/>
      <c r="AD262" s="303"/>
      <c r="AE262" s="303"/>
      <c r="AF262" s="303"/>
      <c r="AG262" s="303"/>
      <c r="AH262" s="303"/>
      <c r="AI262" s="143"/>
      <c r="AJ262" s="125"/>
      <c r="AK262" s="125"/>
      <c r="AL262" s="125"/>
      <c r="AM262" s="125"/>
    </row>
    <row r="263" spans="1:39" ht="12.75" x14ac:dyDescent="0.2">
      <c r="A263" s="303"/>
      <c r="B263" s="303"/>
      <c r="C263" s="303"/>
      <c r="D263" s="143"/>
      <c r="E263" s="303"/>
      <c r="F263" s="303"/>
      <c r="G263" s="303"/>
      <c r="H263" s="303"/>
      <c r="I263" s="303"/>
      <c r="J263" s="303"/>
      <c r="K263" s="303"/>
      <c r="L263" s="143"/>
      <c r="M263" s="303"/>
      <c r="N263" s="303"/>
      <c r="O263" s="303"/>
      <c r="P263" s="303"/>
      <c r="Q263" s="303"/>
      <c r="R263" s="303"/>
      <c r="S263" s="303"/>
      <c r="T263" s="143"/>
      <c r="U263" s="303"/>
      <c r="V263" s="303"/>
      <c r="W263" s="303"/>
      <c r="X263" s="303"/>
      <c r="Y263" s="303"/>
      <c r="Z263" s="303"/>
      <c r="AA263" s="303"/>
      <c r="AB263" s="143"/>
      <c r="AC263" s="303"/>
      <c r="AD263" s="303"/>
      <c r="AE263" s="303"/>
      <c r="AF263" s="303"/>
      <c r="AG263" s="303"/>
      <c r="AH263" s="303"/>
      <c r="AI263" s="143"/>
      <c r="AJ263" s="125"/>
      <c r="AK263" s="125"/>
      <c r="AL263" s="125"/>
      <c r="AM263" s="125"/>
    </row>
    <row r="264" spans="1:39" ht="12.75" x14ac:dyDescent="0.2">
      <c r="A264" s="303"/>
      <c r="B264" s="303"/>
      <c r="C264" s="303"/>
      <c r="D264" s="143"/>
      <c r="E264" s="303"/>
      <c r="F264" s="303"/>
      <c r="G264" s="303"/>
      <c r="H264" s="303"/>
      <c r="I264" s="303"/>
      <c r="J264" s="303"/>
      <c r="K264" s="303"/>
      <c r="L264" s="143"/>
      <c r="M264" s="303"/>
      <c r="N264" s="303"/>
      <c r="O264" s="303"/>
      <c r="P264" s="303"/>
      <c r="Q264" s="303"/>
      <c r="R264" s="303"/>
      <c r="S264" s="303"/>
      <c r="T264" s="143"/>
      <c r="U264" s="303"/>
      <c r="V264" s="303"/>
      <c r="W264" s="303"/>
      <c r="X264" s="303"/>
      <c r="Y264" s="303"/>
      <c r="Z264" s="303"/>
      <c r="AA264" s="303"/>
      <c r="AB264" s="143"/>
      <c r="AC264" s="303"/>
      <c r="AD264" s="303"/>
      <c r="AE264" s="303"/>
      <c r="AF264" s="303"/>
      <c r="AG264" s="303"/>
      <c r="AH264" s="303"/>
      <c r="AI264" s="143"/>
      <c r="AJ264" s="125"/>
      <c r="AK264" s="125"/>
      <c r="AL264" s="125"/>
      <c r="AM264" s="125"/>
    </row>
    <row r="265" spans="1:39" ht="12.75" x14ac:dyDescent="0.2">
      <c r="A265" s="303"/>
      <c r="B265" s="303"/>
      <c r="C265" s="303"/>
      <c r="D265" s="143"/>
      <c r="E265" s="303"/>
      <c r="F265" s="303"/>
      <c r="G265" s="303"/>
      <c r="H265" s="303"/>
      <c r="I265" s="303"/>
      <c r="J265" s="303"/>
      <c r="K265" s="303"/>
      <c r="L265" s="143"/>
      <c r="M265" s="303"/>
      <c r="N265" s="303"/>
      <c r="O265" s="303"/>
      <c r="P265" s="303"/>
      <c r="Q265" s="303"/>
      <c r="R265" s="303"/>
      <c r="S265" s="303"/>
      <c r="T265" s="143"/>
      <c r="U265" s="303"/>
      <c r="V265" s="303"/>
      <c r="W265" s="303"/>
      <c r="X265" s="303"/>
      <c r="Y265" s="303"/>
      <c r="Z265" s="303"/>
      <c r="AA265" s="303"/>
      <c r="AB265" s="143"/>
      <c r="AC265" s="303"/>
      <c r="AD265" s="303"/>
      <c r="AE265" s="303"/>
      <c r="AF265" s="303"/>
      <c r="AG265" s="303"/>
      <c r="AH265" s="303"/>
      <c r="AI265" s="143"/>
      <c r="AJ265" s="125"/>
      <c r="AK265" s="125"/>
      <c r="AL265" s="125"/>
      <c r="AM265" s="125"/>
    </row>
    <row r="266" spans="1:39" ht="12.75" x14ac:dyDescent="0.2">
      <c r="A266" s="303"/>
      <c r="B266" s="303"/>
      <c r="C266" s="303"/>
      <c r="D266" s="143"/>
      <c r="E266" s="303"/>
      <c r="F266" s="303"/>
      <c r="G266" s="303"/>
      <c r="H266" s="303"/>
      <c r="I266" s="303"/>
      <c r="J266" s="303"/>
      <c r="K266" s="303"/>
      <c r="L266" s="143"/>
      <c r="M266" s="303"/>
      <c r="N266" s="303"/>
      <c r="O266" s="303"/>
      <c r="P266" s="303"/>
      <c r="Q266" s="303"/>
      <c r="R266" s="303"/>
      <c r="S266" s="303"/>
      <c r="T266" s="143"/>
      <c r="U266" s="303"/>
      <c r="V266" s="303"/>
      <c r="W266" s="303"/>
      <c r="X266" s="303"/>
      <c r="Y266" s="303"/>
      <c r="Z266" s="303"/>
      <c r="AA266" s="303"/>
      <c r="AB266" s="143"/>
      <c r="AC266" s="303"/>
      <c r="AD266" s="303"/>
      <c r="AE266" s="303"/>
      <c r="AF266" s="303"/>
      <c r="AG266" s="303"/>
      <c r="AH266" s="303"/>
      <c r="AI266" s="143"/>
      <c r="AJ266" s="125"/>
      <c r="AK266" s="125"/>
      <c r="AL266" s="125"/>
      <c r="AM266" s="125"/>
    </row>
    <row r="267" spans="1:39" ht="12.75" x14ac:dyDescent="0.2">
      <c r="A267" s="303"/>
      <c r="B267" s="303"/>
      <c r="C267" s="303"/>
      <c r="D267" s="143"/>
      <c r="E267" s="303"/>
      <c r="F267" s="303"/>
      <c r="G267" s="303"/>
      <c r="H267" s="303"/>
      <c r="I267" s="303"/>
      <c r="J267" s="303"/>
      <c r="K267" s="303"/>
      <c r="L267" s="143"/>
      <c r="M267" s="303"/>
      <c r="N267" s="303"/>
      <c r="O267" s="303"/>
      <c r="P267" s="303"/>
      <c r="Q267" s="303"/>
      <c r="R267" s="303"/>
      <c r="S267" s="303"/>
      <c r="T267" s="143"/>
      <c r="U267" s="303"/>
      <c r="V267" s="303"/>
      <c r="W267" s="303"/>
      <c r="X267" s="303"/>
      <c r="Y267" s="303"/>
      <c r="Z267" s="303"/>
      <c r="AA267" s="303"/>
      <c r="AB267" s="143"/>
      <c r="AC267" s="303"/>
      <c r="AD267" s="303"/>
      <c r="AE267" s="303"/>
      <c r="AF267" s="303"/>
      <c r="AG267" s="303"/>
      <c r="AH267" s="303"/>
      <c r="AI267" s="143"/>
      <c r="AJ267" s="125"/>
      <c r="AK267" s="125"/>
      <c r="AL267" s="125"/>
      <c r="AM267" s="125"/>
    </row>
    <row r="268" spans="1:39" ht="12.75" x14ac:dyDescent="0.2">
      <c r="A268" s="303"/>
      <c r="B268" s="303"/>
      <c r="C268" s="303"/>
      <c r="D268" s="143"/>
      <c r="E268" s="303"/>
      <c r="F268" s="303"/>
      <c r="G268" s="303"/>
      <c r="H268" s="303"/>
      <c r="I268" s="303"/>
      <c r="J268" s="303"/>
      <c r="K268" s="303"/>
      <c r="L268" s="143"/>
      <c r="M268" s="303"/>
      <c r="N268" s="303"/>
      <c r="O268" s="303"/>
      <c r="P268" s="303"/>
      <c r="Q268" s="303"/>
      <c r="R268" s="303"/>
      <c r="S268" s="303"/>
      <c r="T268" s="143"/>
      <c r="U268" s="303"/>
      <c r="V268" s="303"/>
      <c r="W268" s="303"/>
      <c r="X268" s="303"/>
      <c r="Y268" s="303"/>
      <c r="Z268" s="303"/>
      <c r="AA268" s="303"/>
      <c r="AB268" s="143"/>
      <c r="AC268" s="303"/>
      <c r="AD268" s="303"/>
      <c r="AE268" s="303"/>
      <c r="AF268" s="303"/>
      <c r="AG268" s="303"/>
      <c r="AH268" s="303"/>
      <c r="AI268" s="143"/>
      <c r="AJ268" s="125"/>
      <c r="AK268" s="125"/>
      <c r="AL268" s="125"/>
      <c r="AM268" s="125"/>
    </row>
    <row r="269" spans="1:39" ht="12.75" x14ac:dyDescent="0.2">
      <c r="A269" s="303"/>
      <c r="B269" s="303"/>
      <c r="C269" s="303"/>
      <c r="D269" s="143"/>
      <c r="E269" s="303"/>
      <c r="F269" s="303"/>
      <c r="G269" s="303"/>
      <c r="H269" s="303"/>
      <c r="I269" s="303"/>
      <c r="J269" s="303"/>
      <c r="K269" s="303"/>
      <c r="L269" s="143"/>
      <c r="M269" s="303"/>
      <c r="N269" s="303"/>
      <c r="O269" s="303"/>
      <c r="P269" s="303"/>
      <c r="Q269" s="303"/>
      <c r="R269" s="303"/>
      <c r="S269" s="303"/>
      <c r="T269" s="143"/>
      <c r="U269" s="303"/>
      <c r="V269" s="303"/>
      <c r="W269" s="303"/>
      <c r="X269" s="303"/>
      <c r="Y269" s="303"/>
      <c r="Z269" s="303"/>
      <c r="AA269" s="303"/>
      <c r="AB269" s="143"/>
      <c r="AC269" s="303"/>
      <c r="AD269" s="303"/>
      <c r="AE269" s="303"/>
      <c r="AF269" s="303"/>
      <c r="AG269" s="303"/>
      <c r="AH269" s="303"/>
      <c r="AI269" s="143"/>
      <c r="AJ269" s="125"/>
      <c r="AK269" s="125"/>
      <c r="AL269" s="125"/>
      <c r="AM269" s="125"/>
    </row>
    <row r="270" spans="1:39" ht="12.75" x14ac:dyDescent="0.2">
      <c r="A270" s="303"/>
      <c r="B270" s="303"/>
      <c r="C270" s="303"/>
      <c r="D270" s="143"/>
      <c r="E270" s="303"/>
      <c r="F270" s="303"/>
      <c r="G270" s="303"/>
      <c r="H270" s="303"/>
      <c r="I270" s="303"/>
      <c r="J270" s="303"/>
      <c r="K270" s="303"/>
      <c r="L270" s="143"/>
      <c r="M270" s="303"/>
      <c r="N270" s="303"/>
      <c r="O270" s="303"/>
      <c r="P270" s="303"/>
      <c r="Q270" s="303"/>
      <c r="R270" s="303"/>
      <c r="S270" s="303"/>
      <c r="T270" s="143"/>
      <c r="U270" s="303"/>
      <c r="V270" s="303"/>
      <c r="W270" s="303"/>
      <c r="X270" s="303"/>
      <c r="Y270" s="303"/>
      <c r="Z270" s="303"/>
      <c r="AA270" s="303"/>
      <c r="AB270" s="143"/>
      <c r="AC270" s="303"/>
      <c r="AD270" s="303"/>
      <c r="AE270" s="303"/>
      <c r="AF270" s="303"/>
      <c r="AG270" s="303"/>
      <c r="AH270" s="303"/>
      <c r="AI270" s="143"/>
      <c r="AJ270" s="125"/>
      <c r="AK270" s="125"/>
      <c r="AL270" s="125"/>
      <c r="AM270" s="125"/>
    </row>
    <row r="271" spans="1:39" ht="12.75" x14ac:dyDescent="0.2">
      <c r="A271" s="303"/>
      <c r="B271" s="303"/>
      <c r="C271" s="303"/>
      <c r="D271" s="143"/>
      <c r="E271" s="303"/>
      <c r="F271" s="303"/>
      <c r="G271" s="303"/>
      <c r="H271" s="303"/>
      <c r="I271" s="303"/>
      <c r="J271" s="303"/>
      <c r="K271" s="303"/>
      <c r="L271" s="143"/>
      <c r="M271" s="303"/>
      <c r="N271" s="303"/>
      <c r="O271" s="303"/>
      <c r="P271" s="303"/>
      <c r="Q271" s="303"/>
      <c r="R271" s="303"/>
      <c r="S271" s="303"/>
      <c r="T271" s="143"/>
      <c r="U271" s="303"/>
      <c r="V271" s="303"/>
      <c r="W271" s="303"/>
      <c r="X271" s="303"/>
      <c r="Y271" s="303"/>
      <c r="Z271" s="303"/>
      <c r="AA271" s="303"/>
      <c r="AB271" s="143"/>
      <c r="AC271" s="303"/>
      <c r="AD271" s="303"/>
      <c r="AE271" s="303"/>
      <c r="AF271" s="303"/>
      <c r="AG271" s="303"/>
      <c r="AH271" s="303"/>
      <c r="AI271" s="143"/>
      <c r="AJ271" s="125"/>
      <c r="AK271" s="125"/>
      <c r="AL271" s="125"/>
      <c r="AM271" s="125"/>
    </row>
    <row r="272" spans="1:39" ht="12.75" x14ac:dyDescent="0.2">
      <c r="A272" s="303"/>
      <c r="B272" s="303"/>
      <c r="C272" s="303"/>
      <c r="D272" s="143"/>
      <c r="E272" s="303"/>
      <c r="F272" s="303"/>
      <c r="G272" s="303"/>
      <c r="H272" s="303"/>
      <c r="I272" s="303"/>
      <c r="J272" s="303"/>
      <c r="K272" s="303"/>
      <c r="L272" s="143"/>
      <c r="M272" s="303"/>
      <c r="N272" s="303"/>
      <c r="O272" s="303"/>
      <c r="P272" s="303"/>
      <c r="Q272" s="303"/>
      <c r="R272" s="303"/>
      <c r="S272" s="303"/>
      <c r="T272" s="143"/>
      <c r="U272" s="303"/>
      <c r="V272" s="303"/>
      <c r="W272" s="303"/>
      <c r="X272" s="303"/>
      <c r="Y272" s="303"/>
      <c r="Z272" s="303"/>
      <c r="AA272" s="303"/>
      <c r="AB272" s="143"/>
      <c r="AC272" s="303"/>
      <c r="AD272" s="303"/>
      <c r="AE272" s="303"/>
      <c r="AF272" s="303"/>
      <c r="AG272" s="303"/>
      <c r="AH272" s="303"/>
      <c r="AI272" s="143"/>
      <c r="AJ272" s="125"/>
      <c r="AK272" s="125"/>
      <c r="AL272" s="125"/>
      <c r="AM272" s="125"/>
    </row>
    <row r="273" spans="1:39" ht="12.75" x14ac:dyDescent="0.2">
      <c r="A273" s="303"/>
      <c r="B273" s="303"/>
      <c r="C273" s="303"/>
      <c r="D273" s="143"/>
      <c r="E273" s="303"/>
      <c r="F273" s="303"/>
      <c r="G273" s="303"/>
      <c r="H273" s="303"/>
      <c r="I273" s="303"/>
      <c r="J273" s="303"/>
      <c r="K273" s="303"/>
      <c r="L273" s="143"/>
      <c r="M273" s="303"/>
      <c r="N273" s="303"/>
      <c r="O273" s="303"/>
      <c r="P273" s="303"/>
      <c r="Q273" s="303"/>
      <c r="R273" s="303"/>
      <c r="S273" s="303"/>
      <c r="T273" s="143"/>
      <c r="U273" s="303"/>
      <c r="V273" s="303"/>
      <c r="W273" s="303"/>
      <c r="X273" s="303"/>
      <c r="Y273" s="303"/>
      <c r="Z273" s="303"/>
      <c r="AA273" s="303"/>
      <c r="AB273" s="143"/>
      <c r="AC273" s="303"/>
      <c r="AD273" s="303"/>
      <c r="AE273" s="303"/>
      <c r="AF273" s="303"/>
      <c r="AG273" s="303"/>
      <c r="AH273" s="303"/>
      <c r="AI273" s="143"/>
      <c r="AJ273" s="125"/>
      <c r="AK273" s="125"/>
      <c r="AL273" s="125"/>
      <c r="AM273" s="125"/>
    </row>
    <row r="274" spans="1:39" ht="12.75" x14ac:dyDescent="0.2">
      <c r="A274" s="303"/>
      <c r="B274" s="303"/>
      <c r="C274" s="303"/>
      <c r="D274" s="143"/>
      <c r="E274" s="303"/>
      <c r="F274" s="303"/>
      <c r="G274" s="303"/>
      <c r="H274" s="303"/>
      <c r="I274" s="303"/>
      <c r="J274" s="303"/>
      <c r="K274" s="303"/>
      <c r="L274" s="143"/>
      <c r="M274" s="303"/>
      <c r="N274" s="303"/>
      <c r="O274" s="303"/>
      <c r="P274" s="303"/>
      <c r="Q274" s="303"/>
      <c r="R274" s="303"/>
      <c r="S274" s="303"/>
      <c r="T274" s="143"/>
      <c r="U274" s="303"/>
      <c r="V274" s="303"/>
      <c r="W274" s="303"/>
      <c r="X274" s="303"/>
      <c r="Y274" s="303"/>
      <c r="Z274" s="303"/>
      <c r="AA274" s="303"/>
      <c r="AB274" s="143"/>
      <c r="AC274" s="303"/>
      <c r="AD274" s="303"/>
      <c r="AE274" s="303"/>
      <c r="AF274" s="303"/>
      <c r="AG274" s="303"/>
      <c r="AH274" s="303"/>
      <c r="AI274" s="143"/>
      <c r="AJ274" s="125"/>
      <c r="AK274" s="125"/>
      <c r="AL274" s="125"/>
      <c r="AM274" s="125"/>
    </row>
    <row r="275" spans="1:39" ht="12.75" x14ac:dyDescent="0.2">
      <c r="A275" s="303"/>
      <c r="B275" s="303"/>
      <c r="C275" s="303"/>
      <c r="D275" s="143"/>
      <c r="E275" s="303"/>
      <c r="F275" s="303"/>
      <c r="G275" s="303"/>
      <c r="H275" s="303"/>
      <c r="I275" s="303"/>
      <c r="J275" s="303"/>
      <c r="K275" s="303"/>
      <c r="L275" s="143"/>
      <c r="M275" s="303"/>
      <c r="N275" s="303"/>
      <c r="O275" s="303"/>
      <c r="P275" s="303"/>
      <c r="Q275" s="303"/>
      <c r="R275" s="303"/>
      <c r="S275" s="303"/>
      <c r="T275" s="143"/>
      <c r="U275" s="303"/>
      <c r="V275" s="303"/>
      <c r="W275" s="303"/>
      <c r="X275" s="303"/>
      <c r="Y275" s="303"/>
      <c r="Z275" s="303"/>
      <c r="AA275" s="303"/>
      <c r="AB275" s="143"/>
      <c r="AC275" s="303"/>
      <c r="AD275" s="303"/>
      <c r="AE275" s="303"/>
      <c r="AF275" s="303"/>
      <c r="AG275" s="303"/>
      <c r="AH275" s="303"/>
      <c r="AI275" s="143"/>
      <c r="AJ275" s="125"/>
      <c r="AK275" s="125"/>
      <c r="AL275" s="125"/>
      <c r="AM275" s="125"/>
    </row>
    <row r="276" spans="1:39" ht="12.75" x14ac:dyDescent="0.2">
      <c r="A276" s="303"/>
      <c r="B276" s="303"/>
      <c r="C276" s="303"/>
      <c r="D276" s="143"/>
      <c r="E276" s="303"/>
      <c r="F276" s="303"/>
      <c r="G276" s="303"/>
      <c r="H276" s="303"/>
      <c r="I276" s="303"/>
      <c r="J276" s="303"/>
      <c r="K276" s="303"/>
      <c r="L276" s="143"/>
      <c r="M276" s="303"/>
      <c r="N276" s="303"/>
      <c r="O276" s="303"/>
      <c r="P276" s="303"/>
      <c r="Q276" s="303"/>
      <c r="R276" s="303"/>
      <c r="S276" s="303"/>
      <c r="T276" s="143"/>
      <c r="U276" s="303"/>
      <c r="V276" s="303"/>
      <c r="W276" s="303"/>
      <c r="X276" s="303"/>
      <c r="Y276" s="303"/>
      <c r="Z276" s="303"/>
      <c r="AA276" s="303"/>
      <c r="AB276" s="143"/>
      <c r="AC276" s="303"/>
      <c r="AD276" s="303"/>
      <c r="AE276" s="303"/>
      <c r="AF276" s="303"/>
      <c r="AG276" s="303"/>
      <c r="AH276" s="303"/>
      <c r="AI276" s="143"/>
      <c r="AJ276" s="125"/>
      <c r="AK276" s="125"/>
      <c r="AL276" s="125"/>
      <c r="AM276" s="125"/>
    </row>
    <row r="277" spans="1:39" ht="12.75" x14ac:dyDescent="0.2">
      <c r="A277" s="303"/>
      <c r="B277" s="303"/>
      <c r="C277" s="303"/>
      <c r="D277" s="143"/>
      <c r="E277" s="303"/>
      <c r="F277" s="303"/>
      <c r="G277" s="303"/>
      <c r="H277" s="303"/>
      <c r="I277" s="303"/>
      <c r="J277" s="303"/>
      <c r="K277" s="303"/>
      <c r="L277" s="143"/>
      <c r="M277" s="303"/>
      <c r="N277" s="303"/>
      <c r="O277" s="303"/>
      <c r="P277" s="303"/>
      <c r="Q277" s="303"/>
      <c r="R277" s="303"/>
      <c r="S277" s="303"/>
      <c r="T277" s="143"/>
      <c r="U277" s="303"/>
      <c r="V277" s="303"/>
      <c r="W277" s="303"/>
      <c r="X277" s="303"/>
      <c r="Y277" s="303"/>
      <c r="Z277" s="303"/>
      <c r="AA277" s="303"/>
      <c r="AB277" s="143"/>
      <c r="AC277" s="303"/>
      <c r="AD277" s="303"/>
      <c r="AE277" s="303"/>
      <c r="AF277" s="303"/>
      <c r="AG277" s="303"/>
      <c r="AH277" s="303"/>
      <c r="AI277" s="143"/>
      <c r="AJ277" s="125"/>
      <c r="AK277" s="125"/>
      <c r="AL277" s="125"/>
      <c r="AM277" s="125"/>
    </row>
    <row r="278" spans="1:39" ht="12.75" x14ac:dyDescent="0.2">
      <c r="A278" s="303"/>
      <c r="B278" s="303"/>
      <c r="C278" s="303"/>
      <c r="D278" s="143"/>
      <c r="E278" s="303"/>
      <c r="F278" s="303"/>
      <c r="G278" s="303"/>
      <c r="H278" s="303"/>
      <c r="I278" s="303"/>
      <c r="J278" s="303"/>
      <c r="K278" s="303"/>
      <c r="L278" s="143"/>
      <c r="M278" s="303"/>
      <c r="N278" s="303"/>
      <c r="O278" s="303"/>
      <c r="P278" s="303"/>
      <c r="Q278" s="303"/>
      <c r="R278" s="303"/>
      <c r="S278" s="303"/>
      <c r="T278" s="143"/>
      <c r="U278" s="303"/>
      <c r="V278" s="303"/>
      <c r="W278" s="303"/>
      <c r="X278" s="303"/>
      <c r="Y278" s="303"/>
      <c r="Z278" s="303"/>
      <c r="AA278" s="303"/>
      <c r="AB278" s="143"/>
      <c r="AC278" s="303"/>
      <c r="AD278" s="303"/>
      <c r="AE278" s="303"/>
      <c r="AF278" s="303"/>
      <c r="AG278" s="303"/>
      <c r="AH278" s="303"/>
      <c r="AI278" s="143"/>
      <c r="AJ278" s="125"/>
      <c r="AK278" s="125"/>
      <c r="AL278" s="125"/>
      <c r="AM278" s="125"/>
    </row>
    <row r="279" spans="1:39" ht="12.75" x14ac:dyDescent="0.2">
      <c r="A279" s="303"/>
      <c r="B279" s="303"/>
      <c r="C279" s="303"/>
      <c r="D279" s="143"/>
      <c r="E279" s="303"/>
      <c r="F279" s="303"/>
      <c r="G279" s="303"/>
      <c r="H279" s="303"/>
      <c r="I279" s="303"/>
      <c r="J279" s="303"/>
      <c r="K279" s="303"/>
      <c r="L279" s="143"/>
      <c r="M279" s="303"/>
      <c r="N279" s="303"/>
      <c r="O279" s="303"/>
      <c r="P279" s="303"/>
      <c r="Q279" s="303"/>
      <c r="R279" s="303"/>
      <c r="S279" s="303"/>
      <c r="T279" s="143"/>
      <c r="U279" s="303"/>
      <c r="V279" s="303"/>
      <c r="W279" s="303"/>
      <c r="X279" s="303"/>
      <c r="Y279" s="303"/>
      <c r="Z279" s="303"/>
      <c r="AA279" s="303"/>
      <c r="AB279" s="143"/>
      <c r="AC279" s="303"/>
      <c r="AD279" s="303"/>
      <c r="AE279" s="303"/>
      <c r="AF279" s="303"/>
      <c r="AG279" s="303"/>
      <c r="AH279" s="303"/>
      <c r="AI279" s="143"/>
      <c r="AJ279" s="125"/>
      <c r="AK279" s="125"/>
      <c r="AL279" s="125"/>
      <c r="AM279" s="125"/>
    </row>
    <row r="280" spans="1:39" ht="12.75" x14ac:dyDescent="0.2">
      <c r="A280" s="303"/>
      <c r="B280" s="303"/>
      <c r="C280" s="303"/>
      <c r="D280" s="143"/>
      <c r="E280" s="303"/>
      <c r="F280" s="303"/>
      <c r="G280" s="303"/>
      <c r="H280" s="303"/>
      <c r="I280" s="303"/>
      <c r="J280" s="303"/>
      <c r="K280" s="303"/>
      <c r="L280" s="143"/>
      <c r="M280" s="303"/>
      <c r="N280" s="303"/>
      <c r="O280" s="303"/>
      <c r="P280" s="303"/>
      <c r="Q280" s="303"/>
      <c r="R280" s="303"/>
      <c r="S280" s="303"/>
      <c r="T280" s="143"/>
      <c r="U280" s="303"/>
      <c r="V280" s="303"/>
      <c r="W280" s="303"/>
      <c r="X280" s="303"/>
      <c r="Y280" s="303"/>
      <c r="Z280" s="303"/>
      <c r="AA280" s="303"/>
      <c r="AB280" s="143"/>
      <c r="AC280" s="303"/>
      <c r="AD280" s="303"/>
      <c r="AE280" s="303"/>
      <c r="AF280" s="303"/>
      <c r="AG280" s="303"/>
      <c r="AH280" s="303"/>
      <c r="AI280" s="143"/>
      <c r="AJ280" s="125"/>
      <c r="AK280" s="125"/>
      <c r="AL280" s="125"/>
      <c r="AM280" s="125"/>
    </row>
    <row r="281" spans="1:39" ht="12.75" x14ac:dyDescent="0.2">
      <c r="A281" s="303"/>
      <c r="B281" s="303"/>
      <c r="C281" s="303"/>
      <c r="D281" s="143"/>
      <c r="E281" s="303"/>
      <c r="F281" s="303"/>
      <c r="G281" s="303"/>
      <c r="H281" s="303"/>
      <c r="I281" s="303"/>
      <c r="J281" s="303"/>
      <c r="K281" s="303"/>
      <c r="L281" s="143"/>
      <c r="M281" s="303"/>
      <c r="N281" s="303"/>
      <c r="O281" s="303"/>
      <c r="P281" s="303"/>
      <c r="Q281" s="303"/>
      <c r="R281" s="303"/>
      <c r="S281" s="303"/>
      <c r="T281" s="143"/>
      <c r="U281" s="303"/>
      <c r="V281" s="303"/>
      <c r="W281" s="303"/>
      <c r="X281" s="303"/>
      <c r="Y281" s="303"/>
      <c r="Z281" s="303"/>
      <c r="AA281" s="303"/>
      <c r="AB281" s="143"/>
      <c r="AC281" s="303"/>
      <c r="AD281" s="303"/>
      <c r="AE281" s="303"/>
      <c r="AF281" s="303"/>
      <c r="AG281" s="303"/>
      <c r="AH281" s="303"/>
      <c r="AI281" s="143"/>
      <c r="AJ281" s="125"/>
      <c r="AK281" s="125"/>
      <c r="AL281" s="125"/>
      <c r="AM281" s="125"/>
    </row>
    <row r="282" spans="1:39" ht="12.75" x14ac:dyDescent="0.2">
      <c r="A282" s="303"/>
      <c r="B282" s="303"/>
      <c r="C282" s="303"/>
      <c r="D282" s="143"/>
      <c r="E282" s="303"/>
      <c r="F282" s="303"/>
      <c r="G282" s="303"/>
      <c r="H282" s="303"/>
      <c r="I282" s="303"/>
      <c r="J282" s="303"/>
      <c r="K282" s="303"/>
      <c r="L282" s="143"/>
      <c r="M282" s="303"/>
      <c r="N282" s="303"/>
      <c r="O282" s="303"/>
      <c r="P282" s="303"/>
      <c r="Q282" s="303"/>
      <c r="R282" s="303"/>
      <c r="S282" s="303"/>
      <c r="T282" s="143"/>
      <c r="U282" s="303"/>
      <c r="V282" s="303"/>
      <c r="W282" s="303"/>
      <c r="X282" s="303"/>
      <c r="Y282" s="303"/>
      <c r="Z282" s="303"/>
      <c r="AA282" s="303"/>
      <c r="AB282" s="143"/>
      <c r="AC282" s="303"/>
      <c r="AD282" s="303"/>
      <c r="AE282" s="303"/>
      <c r="AF282" s="303"/>
      <c r="AG282" s="303"/>
      <c r="AH282" s="303"/>
      <c r="AI282" s="143"/>
      <c r="AJ282" s="125"/>
      <c r="AK282" s="125"/>
      <c r="AL282" s="125"/>
      <c r="AM282" s="125"/>
    </row>
    <row r="283" spans="1:39" ht="12.75" x14ac:dyDescent="0.2">
      <c r="A283" s="303"/>
      <c r="B283" s="303"/>
      <c r="C283" s="303"/>
      <c r="D283" s="143"/>
      <c r="E283" s="303"/>
      <c r="F283" s="303"/>
      <c r="G283" s="303"/>
      <c r="H283" s="303"/>
      <c r="I283" s="303"/>
      <c r="J283" s="303"/>
      <c r="K283" s="303"/>
      <c r="L283" s="143"/>
      <c r="M283" s="303"/>
      <c r="N283" s="303"/>
      <c r="O283" s="303"/>
      <c r="P283" s="303"/>
      <c r="Q283" s="303"/>
      <c r="R283" s="303"/>
      <c r="S283" s="303"/>
      <c r="T283" s="143"/>
      <c r="U283" s="303"/>
      <c r="V283" s="303"/>
      <c r="W283" s="303"/>
      <c r="X283" s="303"/>
      <c r="Y283" s="303"/>
      <c r="Z283" s="303"/>
      <c r="AA283" s="303"/>
      <c r="AB283" s="143"/>
      <c r="AC283" s="303"/>
      <c r="AD283" s="303"/>
      <c r="AE283" s="303"/>
      <c r="AF283" s="303"/>
      <c r="AG283" s="303"/>
      <c r="AH283" s="303"/>
      <c r="AI283" s="143"/>
      <c r="AJ283" s="125"/>
      <c r="AK283" s="125"/>
      <c r="AL283" s="125"/>
      <c r="AM283" s="125"/>
    </row>
    <row r="284" spans="1:39" ht="12.75" x14ac:dyDescent="0.2">
      <c r="A284" s="303"/>
      <c r="B284" s="303"/>
      <c r="C284" s="303"/>
      <c r="D284" s="143"/>
      <c r="E284" s="303"/>
      <c r="F284" s="303"/>
      <c r="G284" s="303"/>
      <c r="H284" s="303"/>
      <c r="I284" s="303"/>
      <c r="J284" s="303"/>
      <c r="K284" s="303"/>
      <c r="L284" s="143"/>
      <c r="M284" s="303"/>
      <c r="N284" s="303"/>
      <c r="O284" s="303"/>
      <c r="P284" s="303"/>
      <c r="Q284" s="303"/>
      <c r="R284" s="303"/>
      <c r="S284" s="303"/>
      <c r="T284" s="143"/>
      <c r="U284" s="303"/>
      <c r="V284" s="303"/>
      <c r="W284" s="303"/>
      <c r="X284" s="303"/>
      <c r="Y284" s="303"/>
      <c r="Z284" s="303"/>
      <c r="AA284" s="303"/>
      <c r="AB284" s="143"/>
      <c r="AC284" s="303"/>
      <c r="AD284" s="303"/>
      <c r="AE284" s="303"/>
      <c r="AF284" s="303"/>
      <c r="AG284" s="303"/>
      <c r="AH284" s="303"/>
      <c r="AI284" s="143"/>
      <c r="AJ284" s="125"/>
      <c r="AK284" s="125"/>
      <c r="AL284" s="125"/>
      <c r="AM284" s="125"/>
    </row>
    <row r="285" spans="1:39" ht="12.75" x14ac:dyDescent="0.2">
      <c r="A285" s="303"/>
      <c r="B285" s="303"/>
      <c r="C285" s="303"/>
      <c r="D285" s="143"/>
      <c r="E285" s="303"/>
      <c r="F285" s="303"/>
      <c r="G285" s="303"/>
      <c r="H285" s="303"/>
      <c r="I285" s="303"/>
      <c r="J285" s="303"/>
      <c r="K285" s="303"/>
      <c r="L285" s="143"/>
      <c r="M285" s="303"/>
      <c r="N285" s="303"/>
      <c r="O285" s="303"/>
      <c r="P285" s="303"/>
      <c r="Q285" s="303"/>
      <c r="R285" s="303"/>
      <c r="S285" s="303"/>
      <c r="T285" s="143"/>
      <c r="U285" s="303"/>
      <c r="V285" s="303"/>
      <c r="W285" s="303"/>
      <c r="X285" s="303"/>
      <c r="Y285" s="303"/>
      <c r="Z285" s="303"/>
      <c r="AA285" s="303"/>
      <c r="AB285" s="143"/>
      <c r="AC285" s="303"/>
      <c r="AD285" s="303"/>
      <c r="AE285" s="303"/>
      <c r="AF285" s="303"/>
      <c r="AG285" s="303"/>
      <c r="AH285" s="303"/>
      <c r="AI285" s="143"/>
      <c r="AJ285" s="125"/>
      <c r="AK285" s="125"/>
      <c r="AL285" s="125"/>
      <c r="AM285" s="125"/>
    </row>
    <row r="286" spans="1:39" ht="12.75" x14ac:dyDescent="0.2">
      <c r="A286" s="303"/>
      <c r="B286" s="303"/>
      <c r="C286" s="303"/>
      <c r="D286" s="143"/>
      <c r="E286" s="303"/>
      <c r="F286" s="303"/>
      <c r="G286" s="303"/>
      <c r="H286" s="303"/>
      <c r="I286" s="303"/>
      <c r="J286" s="303"/>
      <c r="K286" s="303"/>
      <c r="L286" s="143"/>
      <c r="M286" s="303"/>
      <c r="N286" s="303"/>
      <c r="O286" s="303"/>
      <c r="P286" s="303"/>
      <c r="Q286" s="303"/>
      <c r="R286" s="303"/>
      <c r="S286" s="303"/>
      <c r="T286" s="143"/>
      <c r="U286" s="303"/>
      <c r="V286" s="303"/>
      <c r="W286" s="303"/>
      <c r="X286" s="303"/>
      <c r="Y286" s="303"/>
      <c r="Z286" s="303"/>
      <c r="AA286" s="303"/>
      <c r="AB286" s="143"/>
      <c r="AC286" s="303"/>
      <c r="AD286" s="303"/>
      <c r="AE286" s="303"/>
      <c r="AF286" s="303"/>
      <c r="AG286" s="303"/>
      <c r="AH286" s="303"/>
      <c r="AI286" s="143"/>
      <c r="AJ286" s="125"/>
      <c r="AK286" s="125"/>
      <c r="AL286" s="125"/>
      <c r="AM286" s="125"/>
    </row>
    <row r="287" spans="1:39" ht="12.75" x14ac:dyDescent="0.2">
      <c r="A287" s="303"/>
      <c r="B287" s="303"/>
      <c r="C287" s="303"/>
      <c r="D287" s="143"/>
      <c r="E287" s="303"/>
      <c r="F287" s="303"/>
      <c r="G287" s="303"/>
      <c r="H287" s="303"/>
      <c r="I287" s="303"/>
      <c r="J287" s="303"/>
      <c r="K287" s="303"/>
      <c r="L287" s="143"/>
      <c r="M287" s="303"/>
      <c r="N287" s="303"/>
      <c r="O287" s="303"/>
      <c r="P287" s="303"/>
      <c r="Q287" s="303"/>
      <c r="R287" s="303"/>
      <c r="S287" s="303"/>
      <c r="T287" s="143"/>
      <c r="U287" s="303"/>
      <c r="V287" s="303"/>
      <c r="W287" s="303"/>
      <c r="X287" s="303"/>
      <c r="Y287" s="303"/>
      <c r="Z287" s="303"/>
      <c r="AA287" s="303"/>
      <c r="AB287" s="143"/>
      <c r="AC287" s="303"/>
      <c r="AD287" s="303"/>
      <c r="AE287" s="303"/>
      <c r="AF287" s="303"/>
      <c r="AG287" s="303"/>
      <c r="AH287" s="303"/>
      <c r="AI287" s="143"/>
      <c r="AJ287" s="125"/>
      <c r="AK287" s="125"/>
      <c r="AL287" s="125"/>
      <c r="AM287" s="125"/>
    </row>
    <row r="288" spans="1:39" ht="12.75" x14ac:dyDescent="0.2">
      <c r="A288" s="303"/>
      <c r="B288" s="303"/>
      <c r="C288" s="303"/>
      <c r="D288" s="143"/>
      <c r="E288" s="303"/>
      <c r="F288" s="303"/>
      <c r="G288" s="303"/>
      <c r="H288" s="303"/>
      <c r="I288" s="303"/>
      <c r="J288" s="303"/>
      <c r="K288" s="303"/>
      <c r="L288" s="143"/>
      <c r="M288" s="303"/>
      <c r="N288" s="303"/>
      <c r="O288" s="303"/>
      <c r="P288" s="303"/>
      <c r="Q288" s="303"/>
      <c r="R288" s="303"/>
      <c r="S288" s="303"/>
      <c r="T288" s="143"/>
      <c r="U288" s="303"/>
      <c r="V288" s="303"/>
      <c r="W288" s="303"/>
      <c r="X288" s="303"/>
      <c r="Y288" s="303"/>
      <c r="Z288" s="303"/>
      <c r="AA288" s="303"/>
      <c r="AB288" s="143"/>
      <c r="AC288" s="303"/>
      <c r="AD288" s="303"/>
      <c r="AE288" s="303"/>
      <c r="AF288" s="303"/>
      <c r="AG288" s="303"/>
      <c r="AH288" s="303"/>
      <c r="AI288" s="143"/>
      <c r="AJ288" s="125"/>
      <c r="AK288" s="125"/>
      <c r="AL288" s="125"/>
      <c r="AM288" s="125"/>
    </row>
    <row r="289" spans="1:39" ht="12.75" x14ac:dyDescent="0.2">
      <c r="A289" s="303"/>
      <c r="B289" s="303"/>
      <c r="C289" s="303"/>
      <c r="D289" s="143"/>
      <c r="E289" s="303"/>
      <c r="F289" s="303"/>
      <c r="G289" s="303"/>
      <c r="H289" s="303"/>
      <c r="I289" s="303"/>
      <c r="J289" s="303"/>
      <c r="K289" s="303"/>
      <c r="L289" s="143"/>
      <c r="M289" s="303"/>
      <c r="N289" s="303"/>
      <c r="O289" s="303"/>
      <c r="P289" s="303"/>
      <c r="Q289" s="303"/>
      <c r="R289" s="303"/>
      <c r="S289" s="303"/>
      <c r="T289" s="143"/>
      <c r="U289" s="303"/>
      <c r="V289" s="303"/>
      <c r="W289" s="303"/>
      <c r="X289" s="303"/>
      <c r="Y289" s="303"/>
      <c r="Z289" s="303"/>
      <c r="AA289" s="303"/>
      <c r="AB289" s="143"/>
      <c r="AC289" s="303"/>
      <c r="AD289" s="303"/>
      <c r="AE289" s="303"/>
      <c r="AF289" s="303"/>
      <c r="AG289" s="303"/>
      <c r="AH289" s="303"/>
      <c r="AI289" s="143"/>
      <c r="AJ289" s="125"/>
      <c r="AK289" s="125"/>
      <c r="AL289" s="125"/>
      <c r="AM289" s="125"/>
    </row>
    <row r="290" spans="1:39" ht="12.75" x14ac:dyDescent="0.2">
      <c r="A290" s="303"/>
      <c r="B290" s="303"/>
      <c r="C290" s="303"/>
      <c r="D290" s="143"/>
      <c r="E290" s="303"/>
      <c r="F290" s="303"/>
      <c r="G290" s="303"/>
      <c r="H290" s="303"/>
      <c r="I290" s="303"/>
      <c r="J290" s="303"/>
      <c r="K290" s="303"/>
      <c r="L290" s="143"/>
      <c r="M290" s="303"/>
      <c r="N290" s="303"/>
      <c r="O290" s="303"/>
      <c r="P290" s="303"/>
      <c r="Q290" s="303"/>
      <c r="R290" s="303"/>
      <c r="S290" s="303"/>
      <c r="T290" s="143"/>
      <c r="U290" s="303"/>
      <c r="V290" s="303"/>
      <c r="W290" s="303"/>
      <c r="X290" s="303"/>
      <c r="Y290" s="303"/>
      <c r="Z290" s="303"/>
      <c r="AA290" s="303"/>
      <c r="AB290" s="143"/>
      <c r="AC290" s="303"/>
      <c r="AD290" s="303"/>
      <c r="AE290" s="303"/>
      <c r="AF290" s="303"/>
      <c r="AG290" s="303"/>
      <c r="AH290" s="303"/>
      <c r="AI290" s="143"/>
      <c r="AJ290" s="125"/>
      <c r="AK290" s="125"/>
      <c r="AL290" s="125"/>
      <c r="AM290" s="125"/>
    </row>
    <row r="291" spans="1:39" ht="12.75" x14ac:dyDescent="0.2">
      <c r="A291" s="303"/>
      <c r="B291" s="303"/>
      <c r="C291" s="303"/>
      <c r="D291" s="143"/>
      <c r="E291" s="303"/>
      <c r="F291" s="303"/>
      <c r="G291" s="303"/>
      <c r="H291" s="303"/>
      <c r="I291" s="303"/>
      <c r="J291" s="303"/>
      <c r="K291" s="303"/>
      <c r="L291" s="143"/>
      <c r="M291" s="303"/>
      <c r="N291" s="303"/>
      <c r="O291" s="303"/>
      <c r="P291" s="303"/>
      <c r="Q291" s="303"/>
      <c r="R291" s="303"/>
      <c r="S291" s="303"/>
      <c r="T291" s="143"/>
      <c r="U291" s="303"/>
      <c r="V291" s="303"/>
      <c r="W291" s="303"/>
      <c r="X291" s="303"/>
      <c r="Y291" s="303"/>
      <c r="Z291" s="303"/>
      <c r="AA291" s="303"/>
      <c r="AB291" s="143"/>
      <c r="AC291" s="303"/>
      <c r="AD291" s="303"/>
      <c r="AE291" s="303"/>
      <c r="AF291" s="303"/>
      <c r="AG291" s="303"/>
      <c r="AH291" s="303"/>
      <c r="AI291" s="143"/>
      <c r="AJ291" s="125"/>
      <c r="AK291" s="125"/>
      <c r="AL291" s="125"/>
      <c r="AM291" s="125"/>
    </row>
    <row r="292" spans="1:39" ht="12.75" x14ac:dyDescent="0.2">
      <c r="A292" s="303"/>
      <c r="B292" s="303"/>
      <c r="C292" s="303"/>
      <c r="D292" s="143"/>
      <c r="E292" s="303"/>
      <c r="F292" s="303"/>
      <c r="G292" s="303"/>
      <c r="H292" s="303"/>
      <c r="I292" s="303"/>
      <c r="J292" s="303"/>
      <c r="K292" s="303"/>
      <c r="L292" s="143"/>
      <c r="M292" s="303"/>
      <c r="N292" s="303"/>
      <c r="O292" s="303"/>
      <c r="P292" s="303"/>
      <c r="Q292" s="303"/>
      <c r="R292" s="303"/>
      <c r="S292" s="303"/>
      <c r="T292" s="143"/>
      <c r="U292" s="303"/>
      <c r="V292" s="303"/>
      <c r="W292" s="303"/>
      <c r="X292" s="303"/>
      <c r="Y292" s="303"/>
      <c r="Z292" s="303"/>
      <c r="AA292" s="303"/>
      <c r="AB292" s="143"/>
      <c r="AC292" s="303"/>
      <c r="AD292" s="303"/>
      <c r="AE292" s="303"/>
      <c r="AF292" s="303"/>
      <c r="AG292" s="303"/>
      <c r="AH292" s="303"/>
      <c r="AI292" s="143"/>
      <c r="AJ292" s="125"/>
      <c r="AK292" s="125"/>
      <c r="AL292" s="125"/>
      <c r="AM292" s="125"/>
    </row>
    <row r="293" spans="1:39" ht="12.75" x14ac:dyDescent="0.2">
      <c r="A293" s="303"/>
      <c r="B293" s="303"/>
      <c r="C293" s="303"/>
      <c r="D293" s="143"/>
      <c r="E293" s="303"/>
      <c r="F293" s="303"/>
      <c r="G293" s="303"/>
      <c r="H293" s="303"/>
      <c r="I293" s="303"/>
      <c r="J293" s="303"/>
      <c r="K293" s="303"/>
      <c r="L293" s="143"/>
      <c r="M293" s="303"/>
      <c r="N293" s="303"/>
      <c r="O293" s="303"/>
      <c r="P293" s="303"/>
      <c r="Q293" s="303"/>
      <c r="R293" s="303"/>
      <c r="S293" s="303"/>
      <c r="T293" s="143"/>
      <c r="U293" s="303"/>
      <c r="V293" s="303"/>
      <c r="W293" s="303"/>
      <c r="X293" s="303"/>
      <c r="Y293" s="303"/>
      <c r="Z293" s="303"/>
      <c r="AA293" s="303"/>
      <c r="AB293" s="143"/>
      <c r="AC293" s="303"/>
      <c r="AD293" s="303"/>
      <c r="AE293" s="303"/>
      <c r="AF293" s="303"/>
      <c r="AG293" s="303"/>
      <c r="AH293" s="303"/>
      <c r="AI293" s="143"/>
      <c r="AJ293" s="125"/>
      <c r="AK293" s="125"/>
      <c r="AL293" s="125"/>
      <c r="AM293" s="125"/>
    </row>
    <row r="294" spans="1:39" ht="12.75" x14ac:dyDescent="0.2">
      <c r="A294" s="303"/>
      <c r="B294" s="303"/>
      <c r="C294" s="303"/>
      <c r="D294" s="143"/>
      <c r="E294" s="303"/>
      <c r="F294" s="303"/>
      <c r="G294" s="303"/>
      <c r="H294" s="303"/>
      <c r="I294" s="303"/>
      <c r="J294" s="303"/>
      <c r="K294" s="303"/>
      <c r="L294" s="143"/>
      <c r="M294" s="303"/>
      <c r="N294" s="303"/>
      <c r="O294" s="303"/>
      <c r="P294" s="303"/>
      <c r="Q294" s="303"/>
      <c r="R294" s="303"/>
      <c r="S294" s="303"/>
      <c r="T294" s="143"/>
      <c r="U294" s="303"/>
      <c r="V294" s="303"/>
      <c r="W294" s="303"/>
      <c r="X294" s="303"/>
      <c r="Y294" s="303"/>
      <c r="Z294" s="303"/>
      <c r="AA294" s="303"/>
      <c r="AB294" s="143"/>
      <c r="AC294" s="303"/>
      <c r="AD294" s="303"/>
      <c r="AE294" s="303"/>
      <c r="AF294" s="303"/>
      <c r="AG294" s="303"/>
      <c r="AH294" s="303"/>
      <c r="AI294" s="143"/>
      <c r="AJ294" s="125"/>
      <c r="AK294" s="125"/>
      <c r="AL294" s="125"/>
      <c r="AM294" s="125"/>
    </row>
    <row r="295" spans="1:39" ht="12.75" x14ac:dyDescent="0.2">
      <c r="A295" s="303"/>
      <c r="B295" s="303"/>
      <c r="C295" s="303"/>
      <c r="D295" s="143"/>
      <c r="E295" s="303"/>
      <c r="F295" s="303"/>
      <c r="G295" s="303"/>
      <c r="H295" s="303"/>
      <c r="I295" s="303"/>
      <c r="J295" s="303"/>
      <c r="K295" s="303"/>
      <c r="L295" s="143"/>
      <c r="M295" s="303"/>
      <c r="N295" s="303"/>
      <c r="O295" s="303"/>
      <c r="P295" s="303"/>
      <c r="Q295" s="303"/>
      <c r="R295" s="303"/>
      <c r="S295" s="303"/>
      <c r="T295" s="143"/>
      <c r="U295" s="303"/>
      <c r="V295" s="303"/>
      <c r="W295" s="303"/>
      <c r="X295" s="303"/>
      <c r="Y295" s="303"/>
      <c r="Z295" s="303"/>
      <c r="AA295" s="303"/>
      <c r="AB295" s="143"/>
      <c r="AC295" s="303"/>
      <c r="AD295" s="303"/>
      <c r="AE295" s="303"/>
      <c r="AF295" s="303"/>
      <c r="AG295" s="303"/>
      <c r="AH295" s="303"/>
      <c r="AI295" s="143"/>
      <c r="AJ295" s="125"/>
      <c r="AK295" s="125"/>
      <c r="AL295" s="125"/>
      <c r="AM295" s="125"/>
    </row>
    <row r="296" spans="1:39" ht="12.75" x14ac:dyDescent="0.2">
      <c r="A296" s="303"/>
      <c r="B296" s="303"/>
      <c r="C296" s="303"/>
      <c r="D296" s="143"/>
      <c r="E296" s="303"/>
      <c r="F296" s="303"/>
      <c r="G296" s="303"/>
      <c r="H296" s="303"/>
      <c r="I296" s="303"/>
      <c r="J296" s="303"/>
      <c r="K296" s="303"/>
      <c r="L296" s="143"/>
      <c r="M296" s="303"/>
      <c r="N296" s="303"/>
      <c r="O296" s="303"/>
      <c r="P296" s="303"/>
      <c r="Q296" s="303"/>
      <c r="R296" s="303"/>
      <c r="S296" s="303"/>
      <c r="T296" s="143"/>
      <c r="U296" s="303"/>
      <c r="V296" s="303"/>
      <c r="W296" s="303"/>
      <c r="X296" s="303"/>
      <c r="Y296" s="303"/>
      <c r="Z296" s="303"/>
      <c r="AA296" s="303"/>
      <c r="AB296" s="143"/>
      <c r="AC296" s="303"/>
      <c r="AD296" s="303"/>
      <c r="AE296" s="303"/>
      <c r="AF296" s="303"/>
      <c r="AG296" s="303"/>
      <c r="AH296" s="303"/>
      <c r="AI296" s="143"/>
      <c r="AJ296" s="125"/>
      <c r="AK296" s="125"/>
      <c r="AL296" s="125"/>
      <c r="AM296" s="125"/>
    </row>
    <row r="297" spans="1:39" ht="12.75" x14ac:dyDescent="0.2">
      <c r="A297" s="303"/>
      <c r="B297" s="303"/>
      <c r="C297" s="303"/>
      <c r="D297" s="143"/>
      <c r="E297" s="303"/>
      <c r="F297" s="303"/>
      <c r="G297" s="303"/>
      <c r="H297" s="303"/>
      <c r="I297" s="303"/>
      <c r="J297" s="303"/>
      <c r="K297" s="303"/>
      <c r="L297" s="143"/>
      <c r="M297" s="303"/>
      <c r="N297" s="303"/>
      <c r="O297" s="303"/>
      <c r="P297" s="303"/>
      <c r="Q297" s="303"/>
      <c r="R297" s="303"/>
      <c r="S297" s="303"/>
      <c r="T297" s="143"/>
      <c r="U297" s="303"/>
      <c r="V297" s="303"/>
      <c r="W297" s="303"/>
      <c r="X297" s="303"/>
      <c r="Y297" s="303"/>
      <c r="Z297" s="303"/>
      <c r="AA297" s="303"/>
      <c r="AB297" s="143"/>
      <c r="AC297" s="303"/>
      <c r="AD297" s="303"/>
      <c r="AE297" s="303"/>
      <c r="AF297" s="303"/>
      <c r="AG297" s="303"/>
      <c r="AH297" s="303"/>
      <c r="AI297" s="143"/>
      <c r="AJ297" s="125"/>
      <c r="AK297" s="125"/>
      <c r="AL297" s="125"/>
      <c r="AM297" s="125"/>
    </row>
    <row r="298" spans="1:39" ht="12.75" x14ac:dyDescent="0.2">
      <c r="A298" s="303"/>
      <c r="B298" s="303"/>
      <c r="C298" s="303"/>
      <c r="D298" s="143"/>
      <c r="E298" s="303"/>
      <c r="F298" s="303"/>
      <c r="G298" s="303"/>
      <c r="H298" s="303"/>
      <c r="I298" s="303"/>
      <c r="J298" s="303"/>
      <c r="K298" s="303"/>
      <c r="L298" s="143"/>
      <c r="M298" s="303"/>
      <c r="N298" s="303"/>
      <c r="O298" s="303"/>
      <c r="P298" s="303"/>
      <c r="Q298" s="303"/>
      <c r="R298" s="303"/>
      <c r="S298" s="303"/>
      <c r="T298" s="143"/>
      <c r="U298" s="303"/>
      <c r="V298" s="303"/>
      <c r="W298" s="303"/>
      <c r="X298" s="303"/>
      <c r="Y298" s="303"/>
      <c r="Z298" s="303"/>
      <c r="AA298" s="303"/>
      <c r="AB298" s="143"/>
      <c r="AC298" s="303"/>
      <c r="AD298" s="303"/>
      <c r="AE298" s="303"/>
      <c r="AF298" s="303"/>
      <c r="AG298" s="303"/>
      <c r="AH298" s="303"/>
      <c r="AI298" s="143"/>
      <c r="AJ298" s="125"/>
      <c r="AK298" s="125"/>
      <c r="AL298" s="125"/>
      <c r="AM298" s="125"/>
    </row>
    <row r="299" spans="1:39" ht="12.75" x14ac:dyDescent="0.2">
      <c r="A299" s="303"/>
      <c r="B299" s="303"/>
      <c r="C299" s="303"/>
      <c r="D299" s="143"/>
      <c r="E299" s="303"/>
      <c r="F299" s="303"/>
      <c r="G299" s="303"/>
      <c r="H299" s="303"/>
      <c r="I299" s="303"/>
      <c r="J299" s="303"/>
      <c r="K299" s="303"/>
      <c r="L299" s="143"/>
      <c r="M299" s="303"/>
      <c r="N299" s="303"/>
      <c r="O299" s="303"/>
      <c r="P299" s="303"/>
      <c r="Q299" s="303"/>
      <c r="R299" s="303"/>
      <c r="S299" s="303"/>
      <c r="T299" s="143"/>
      <c r="U299" s="303"/>
      <c r="V299" s="303"/>
      <c r="W299" s="303"/>
      <c r="X299" s="303"/>
      <c r="Y299" s="303"/>
      <c r="Z299" s="303"/>
      <c r="AA299" s="303"/>
      <c r="AB299" s="143"/>
      <c r="AC299" s="303"/>
      <c r="AD299" s="303"/>
      <c r="AE299" s="303"/>
      <c r="AF299" s="303"/>
      <c r="AG299" s="303"/>
      <c r="AH299" s="303"/>
      <c r="AI299" s="143"/>
      <c r="AJ299" s="125"/>
      <c r="AK299" s="125"/>
      <c r="AL299" s="125"/>
      <c r="AM299" s="125"/>
    </row>
    <row r="300" spans="1:39" ht="12.75" x14ac:dyDescent="0.2">
      <c r="A300" s="303"/>
      <c r="B300" s="303"/>
      <c r="C300" s="303"/>
      <c r="D300" s="143"/>
      <c r="E300" s="303"/>
      <c r="F300" s="303"/>
      <c r="G300" s="303"/>
      <c r="H300" s="303"/>
      <c r="I300" s="303"/>
      <c r="J300" s="303"/>
      <c r="K300" s="303"/>
      <c r="L300" s="143"/>
      <c r="M300" s="303"/>
      <c r="N300" s="303"/>
      <c r="O300" s="303"/>
      <c r="P300" s="303"/>
      <c r="Q300" s="303"/>
      <c r="R300" s="303"/>
      <c r="S300" s="303"/>
      <c r="T300" s="143"/>
      <c r="U300" s="303"/>
      <c r="V300" s="303"/>
      <c r="W300" s="303"/>
      <c r="X300" s="303"/>
      <c r="Y300" s="303"/>
      <c r="Z300" s="303"/>
      <c r="AA300" s="303"/>
      <c r="AB300" s="143"/>
      <c r="AC300" s="303"/>
      <c r="AD300" s="303"/>
      <c r="AE300" s="303"/>
      <c r="AF300" s="303"/>
      <c r="AG300" s="303"/>
      <c r="AH300" s="303"/>
      <c r="AI300" s="143"/>
      <c r="AJ300" s="125"/>
      <c r="AK300" s="125"/>
      <c r="AL300" s="125"/>
      <c r="AM300" s="125"/>
    </row>
    <row r="301" spans="1:39" ht="12.75" x14ac:dyDescent="0.2">
      <c r="A301" s="303"/>
      <c r="B301" s="303"/>
      <c r="C301" s="303"/>
      <c r="D301" s="143"/>
      <c r="E301" s="303"/>
      <c r="F301" s="303"/>
      <c r="G301" s="303"/>
      <c r="H301" s="303"/>
      <c r="I301" s="303"/>
      <c r="J301" s="303"/>
      <c r="K301" s="303"/>
      <c r="L301" s="143"/>
      <c r="M301" s="303"/>
      <c r="N301" s="303"/>
      <c r="O301" s="303"/>
      <c r="P301" s="303"/>
      <c r="Q301" s="303"/>
      <c r="R301" s="303"/>
      <c r="S301" s="303"/>
      <c r="T301" s="143"/>
      <c r="U301" s="303"/>
      <c r="V301" s="303"/>
      <c r="W301" s="303"/>
      <c r="X301" s="303"/>
      <c r="Y301" s="303"/>
      <c r="Z301" s="303"/>
      <c r="AA301" s="303"/>
      <c r="AB301" s="143"/>
      <c r="AC301" s="303"/>
      <c r="AD301" s="303"/>
      <c r="AE301" s="303"/>
      <c r="AF301" s="303"/>
      <c r="AG301" s="303"/>
      <c r="AH301" s="303"/>
      <c r="AI301" s="143"/>
      <c r="AJ301" s="125"/>
      <c r="AK301" s="125"/>
      <c r="AL301" s="125"/>
      <c r="AM301" s="125"/>
    </row>
    <row r="302" spans="1:39" ht="12.75" x14ac:dyDescent="0.2">
      <c r="A302" s="303"/>
      <c r="B302" s="303"/>
      <c r="C302" s="303"/>
      <c r="D302" s="143"/>
      <c r="E302" s="303"/>
      <c r="F302" s="303"/>
      <c r="G302" s="303"/>
      <c r="H302" s="303"/>
      <c r="I302" s="303"/>
      <c r="J302" s="303"/>
      <c r="K302" s="303"/>
      <c r="L302" s="143"/>
      <c r="M302" s="303"/>
      <c r="N302" s="303"/>
      <c r="O302" s="303"/>
      <c r="P302" s="303"/>
      <c r="Q302" s="303"/>
      <c r="R302" s="303"/>
      <c r="S302" s="303"/>
      <c r="T302" s="143"/>
      <c r="U302" s="303"/>
      <c r="V302" s="303"/>
      <c r="W302" s="303"/>
      <c r="X302" s="303"/>
      <c r="Y302" s="303"/>
      <c r="Z302" s="303"/>
      <c r="AA302" s="303"/>
      <c r="AB302" s="143"/>
      <c r="AC302" s="303"/>
      <c r="AD302" s="303"/>
      <c r="AE302" s="303"/>
      <c r="AF302" s="303"/>
      <c r="AG302" s="303"/>
      <c r="AH302" s="303"/>
      <c r="AI302" s="143"/>
      <c r="AJ302" s="125"/>
      <c r="AK302" s="125"/>
      <c r="AL302" s="125"/>
      <c r="AM302" s="125"/>
    </row>
    <row r="303" spans="1:39" ht="12.75" x14ac:dyDescent="0.2">
      <c r="A303" s="303"/>
      <c r="B303" s="303"/>
      <c r="C303" s="303"/>
      <c r="D303" s="143"/>
      <c r="E303" s="303"/>
      <c r="F303" s="303"/>
      <c r="G303" s="303"/>
      <c r="H303" s="303"/>
      <c r="I303" s="303"/>
      <c r="J303" s="303"/>
      <c r="K303" s="303"/>
      <c r="L303" s="143"/>
      <c r="M303" s="303"/>
      <c r="N303" s="303"/>
      <c r="O303" s="303"/>
      <c r="P303" s="303"/>
      <c r="Q303" s="303"/>
      <c r="R303" s="303"/>
      <c r="S303" s="303"/>
      <c r="T303" s="143"/>
      <c r="U303" s="303"/>
      <c r="V303" s="303"/>
      <c r="W303" s="303"/>
      <c r="X303" s="303"/>
      <c r="Y303" s="303"/>
      <c r="Z303" s="303"/>
      <c r="AA303" s="303"/>
      <c r="AB303" s="143"/>
      <c r="AC303" s="303"/>
      <c r="AD303" s="303"/>
      <c r="AE303" s="303"/>
      <c r="AF303" s="303"/>
      <c r="AG303" s="303"/>
      <c r="AH303" s="303"/>
      <c r="AI303" s="143"/>
      <c r="AJ303" s="125"/>
      <c r="AK303" s="125"/>
      <c r="AL303" s="125"/>
      <c r="AM303" s="125"/>
    </row>
    <row r="304" spans="1:39" ht="12.75" x14ac:dyDescent="0.2">
      <c r="A304" s="303"/>
      <c r="B304" s="303"/>
      <c r="C304" s="303"/>
      <c r="D304" s="143"/>
      <c r="E304" s="303"/>
      <c r="F304" s="303"/>
      <c r="G304" s="303"/>
      <c r="H304" s="303"/>
      <c r="I304" s="303"/>
      <c r="J304" s="303"/>
      <c r="K304" s="303"/>
      <c r="L304" s="143"/>
      <c r="M304" s="303"/>
      <c r="N304" s="303"/>
      <c r="O304" s="303"/>
      <c r="P304" s="303"/>
      <c r="Q304" s="303"/>
      <c r="R304" s="303"/>
      <c r="S304" s="303"/>
      <c r="T304" s="143"/>
      <c r="U304" s="303"/>
      <c r="V304" s="303"/>
      <c r="W304" s="303"/>
      <c r="X304" s="303"/>
      <c r="Y304" s="303"/>
      <c r="Z304" s="303"/>
      <c r="AA304" s="303"/>
      <c r="AB304" s="143"/>
      <c r="AC304" s="303"/>
      <c r="AD304" s="303"/>
      <c r="AE304" s="303"/>
      <c r="AF304" s="303"/>
      <c r="AG304" s="303"/>
      <c r="AH304" s="303"/>
      <c r="AI304" s="143"/>
      <c r="AJ304" s="125"/>
      <c r="AK304" s="125"/>
      <c r="AL304" s="125"/>
      <c r="AM304" s="125"/>
    </row>
    <row r="305" spans="1:39" ht="12.75" x14ac:dyDescent="0.2">
      <c r="A305" s="303"/>
      <c r="B305" s="303"/>
      <c r="C305" s="303"/>
      <c r="D305" s="143"/>
      <c r="E305" s="303"/>
      <c r="F305" s="303"/>
      <c r="G305" s="303"/>
      <c r="H305" s="303"/>
      <c r="I305" s="303"/>
      <c r="J305" s="303"/>
      <c r="K305" s="303"/>
      <c r="L305" s="143"/>
      <c r="M305" s="303"/>
      <c r="N305" s="303"/>
      <c r="O305" s="303"/>
      <c r="P305" s="303"/>
      <c r="Q305" s="303"/>
      <c r="R305" s="303"/>
      <c r="S305" s="303"/>
      <c r="T305" s="143"/>
      <c r="U305" s="303"/>
      <c r="V305" s="303"/>
      <c r="W305" s="303"/>
      <c r="X305" s="303"/>
      <c r="Y305" s="303"/>
      <c r="Z305" s="303"/>
      <c r="AA305" s="303"/>
      <c r="AB305" s="143"/>
      <c r="AC305" s="303"/>
      <c r="AD305" s="303"/>
      <c r="AE305" s="303"/>
      <c r="AF305" s="303"/>
      <c r="AG305" s="303"/>
      <c r="AH305" s="303"/>
      <c r="AI305" s="143"/>
      <c r="AJ305" s="125"/>
      <c r="AK305" s="125"/>
      <c r="AL305" s="125"/>
      <c r="AM305" s="125"/>
    </row>
    <row r="306" spans="1:39" ht="12.75" x14ac:dyDescent="0.2">
      <c r="A306" s="303"/>
      <c r="B306" s="303"/>
      <c r="C306" s="303"/>
      <c r="D306" s="143"/>
      <c r="E306" s="303"/>
      <c r="F306" s="303"/>
      <c r="G306" s="303"/>
      <c r="H306" s="303"/>
      <c r="I306" s="303"/>
      <c r="J306" s="303"/>
      <c r="K306" s="303"/>
      <c r="L306" s="143"/>
      <c r="M306" s="303"/>
      <c r="N306" s="303"/>
      <c r="O306" s="303"/>
      <c r="P306" s="303"/>
      <c r="Q306" s="303"/>
      <c r="R306" s="303"/>
      <c r="S306" s="303"/>
      <c r="T306" s="143"/>
      <c r="U306" s="303"/>
      <c r="V306" s="303"/>
      <c r="W306" s="303"/>
      <c r="X306" s="303"/>
      <c r="Y306" s="303"/>
      <c r="Z306" s="303"/>
      <c r="AA306" s="303"/>
      <c r="AB306" s="143"/>
      <c r="AC306" s="303"/>
      <c r="AD306" s="303"/>
      <c r="AE306" s="303"/>
      <c r="AF306" s="303"/>
      <c r="AG306" s="303"/>
      <c r="AH306" s="303"/>
      <c r="AI306" s="143"/>
      <c r="AJ306" s="125"/>
      <c r="AK306" s="125"/>
      <c r="AL306" s="125"/>
      <c r="AM306" s="125"/>
    </row>
    <row r="307" spans="1:39" ht="12.75" x14ac:dyDescent="0.2">
      <c r="A307" s="303"/>
      <c r="B307" s="303"/>
      <c r="C307" s="303"/>
      <c r="D307" s="143"/>
      <c r="E307" s="303"/>
      <c r="F307" s="303"/>
      <c r="G307" s="303"/>
      <c r="H307" s="303"/>
      <c r="I307" s="303"/>
      <c r="J307" s="303"/>
      <c r="K307" s="303"/>
      <c r="L307" s="143"/>
      <c r="M307" s="303"/>
      <c r="N307" s="303"/>
      <c r="O307" s="303"/>
      <c r="P307" s="303"/>
      <c r="Q307" s="303"/>
      <c r="R307" s="303"/>
      <c r="S307" s="303"/>
      <c r="T307" s="143"/>
      <c r="U307" s="303"/>
      <c r="V307" s="303"/>
      <c r="W307" s="303"/>
      <c r="X307" s="303"/>
      <c r="Y307" s="303"/>
      <c r="Z307" s="303"/>
      <c r="AA307" s="303"/>
      <c r="AB307" s="143"/>
      <c r="AC307" s="303"/>
      <c r="AD307" s="303"/>
      <c r="AE307" s="303"/>
      <c r="AF307" s="303"/>
      <c r="AG307" s="303"/>
      <c r="AH307" s="303"/>
      <c r="AI307" s="143"/>
      <c r="AJ307" s="125"/>
      <c r="AK307" s="125"/>
      <c r="AL307" s="125"/>
      <c r="AM307" s="125"/>
    </row>
    <row r="308" spans="1:39" ht="12.75" x14ac:dyDescent="0.2">
      <c r="A308" s="303"/>
      <c r="B308" s="303"/>
      <c r="C308" s="303"/>
      <c r="D308" s="143"/>
      <c r="E308" s="303"/>
      <c r="F308" s="303"/>
      <c r="G308" s="303"/>
      <c r="H308" s="303"/>
      <c r="I308" s="303"/>
      <c r="J308" s="303"/>
      <c r="K308" s="303"/>
      <c r="L308" s="143"/>
      <c r="M308" s="303"/>
      <c r="N308" s="303"/>
      <c r="O308" s="303"/>
      <c r="P308" s="303"/>
      <c r="Q308" s="303"/>
      <c r="R308" s="303"/>
      <c r="S308" s="303"/>
      <c r="T308" s="143"/>
      <c r="U308" s="303"/>
      <c r="V308" s="303"/>
      <c r="W308" s="303"/>
      <c r="X308" s="303"/>
      <c r="Y308" s="303"/>
      <c r="Z308" s="303"/>
      <c r="AA308" s="303"/>
      <c r="AB308" s="143"/>
      <c r="AC308" s="303"/>
      <c r="AD308" s="303"/>
      <c r="AE308" s="303"/>
      <c r="AF308" s="303"/>
      <c r="AG308" s="303"/>
      <c r="AH308" s="303"/>
      <c r="AI308" s="143"/>
      <c r="AJ308" s="125"/>
      <c r="AK308" s="125"/>
      <c r="AL308" s="125"/>
      <c r="AM308" s="125"/>
    </row>
    <row r="309" spans="1:39" ht="12.75" x14ac:dyDescent="0.2">
      <c r="A309" s="303"/>
      <c r="B309" s="303"/>
      <c r="C309" s="303"/>
      <c r="D309" s="143"/>
      <c r="E309" s="303"/>
      <c r="F309" s="303"/>
      <c r="G309" s="303"/>
      <c r="H309" s="303"/>
      <c r="I309" s="303"/>
      <c r="J309" s="303"/>
      <c r="K309" s="303"/>
      <c r="L309" s="143"/>
      <c r="M309" s="303"/>
      <c r="N309" s="303"/>
      <c r="O309" s="303"/>
      <c r="P309" s="303"/>
      <c r="Q309" s="303"/>
      <c r="R309" s="303"/>
      <c r="S309" s="303"/>
      <c r="T309" s="143"/>
      <c r="U309" s="303"/>
      <c r="V309" s="303"/>
      <c r="W309" s="303"/>
      <c r="X309" s="303"/>
      <c r="Y309" s="303"/>
      <c r="Z309" s="303"/>
      <c r="AA309" s="303"/>
      <c r="AB309" s="143"/>
      <c r="AC309" s="303"/>
      <c r="AD309" s="303"/>
      <c r="AE309" s="303"/>
      <c r="AF309" s="303"/>
      <c r="AG309" s="303"/>
      <c r="AH309" s="303"/>
      <c r="AI309" s="143"/>
      <c r="AJ309" s="125"/>
      <c r="AK309" s="125"/>
      <c r="AL309" s="125"/>
      <c r="AM309" s="125"/>
    </row>
    <row r="310" spans="1:39" ht="12.75" x14ac:dyDescent="0.2">
      <c r="A310" s="303"/>
      <c r="B310" s="303"/>
      <c r="C310" s="303"/>
      <c r="D310" s="143"/>
      <c r="E310" s="303"/>
      <c r="F310" s="303"/>
      <c r="G310" s="303"/>
      <c r="H310" s="303"/>
      <c r="I310" s="303"/>
      <c r="J310" s="303"/>
      <c r="K310" s="303"/>
      <c r="L310" s="143"/>
      <c r="M310" s="303"/>
      <c r="N310" s="303"/>
      <c r="O310" s="303"/>
      <c r="P310" s="303"/>
      <c r="Q310" s="303"/>
      <c r="R310" s="303"/>
      <c r="S310" s="303"/>
      <c r="T310" s="143"/>
      <c r="U310" s="303"/>
      <c r="V310" s="303"/>
      <c r="W310" s="303"/>
      <c r="X310" s="303"/>
      <c r="Y310" s="303"/>
      <c r="Z310" s="303"/>
      <c r="AA310" s="303"/>
      <c r="AB310" s="143"/>
      <c r="AC310" s="303"/>
      <c r="AD310" s="303"/>
      <c r="AE310" s="303"/>
      <c r="AF310" s="303"/>
      <c r="AG310" s="303"/>
      <c r="AH310" s="303"/>
      <c r="AI310" s="143"/>
      <c r="AJ310" s="125"/>
      <c r="AK310" s="125"/>
      <c r="AL310" s="125"/>
      <c r="AM310" s="125"/>
    </row>
    <row r="311" spans="1:39" ht="12.75" x14ac:dyDescent="0.2">
      <c r="A311" s="303"/>
      <c r="B311" s="303"/>
      <c r="C311" s="303"/>
      <c r="D311" s="143"/>
      <c r="E311" s="303"/>
      <c r="F311" s="303"/>
      <c r="G311" s="303"/>
      <c r="H311" s="303"/>
      <c r="I311" s="303"/>
      <c r="J311" s="303"/>
      <c r="K311" s="303"/>
      <c r="L311" s="143"/>
      <c r="M311" s="303"/>
      <c r="N311" s="303"/>
      <c r="O311" s="303"/>
      <c r="P311" s="303"/>
      <c r="Q311" s="303"/>
      <c r="R311" s="303"/>
      <c r="S311" s="303"/>
      <c r="T311" s="143"/>
      <c r="U311" s="303"/>
      <c r="V311" s="303"/>
      <c r="W311" s="303"/>
      <c r="X311" s="303"/>
      <c r="Y311" s="303"/>
      <c r="Z311" s="303"/>
      <c r="AA311" s="303"/>
      <c r="AB311" s="143"/>
      <c r="AC311" s="303"/>
      <c r="AD311" s="303"/>
      <c r="AE311" s="303"/>
      <c r="AF311" s="303"/>
      <c r="AG311" s="303"/>
      <c r="AH311" s="303"/>
      <c r="AI311" s="143"/>
      <c r="AJ311" s="125"/>
      <c r="AK311" s="125"/>
      <c r="AL311" s="125"/>
      <c r="AM311" s="125"/>
    </row>
    <row r="312" spans="1:39" ht="12.75" x14ac:dyDescent="0.2">
      <c r="A312" s="303"/>
      <c r="B312" s="303"/>
      <c r="C312" s="303"/>
      <c r="D312" s="143"/>
      <c r="E312" s="303"/>
      <c r="F312" s="303"/>
      <c r="G312" s="303"/>
      <c r="H312" s="303"/>
      <c r="I312" s="303"/>
      <c r="J312" s="303"/>
      <c r="K312" s="303"/>
      <c r="L312" s="143"/>
      <c r="M312" s="303"/>
      <c r="N312" s="303"/>
      <c r="O312" s="303"/>
      <c r="P312" s="303"/>
      <c r="Q312" s="303"/>
      <c r="R312" s="303"/>
      <c r="S312" s="303"/>
      <c r="T312" s="143"/>
      <c r="U312" s="303"/>
      <c r="V312" s="303"/>
      <c r="W312" s="303"/>
      <c r="X312" s="303"/>
      <c r="Y312" s="303"/>
      <c r="Z312" s="303"/>
      <c r="AA312" s="303"/>
      <c r="AB312" s="143"/>
      <c r="AC312" s="303"/>
      <c r="AD312" s="303"/>
      <c r="AE312" s="303"/>
      <c r="AF312" s="303"/>
      <c r="AG312" s="303"/>
      <c r="AH312" s="303"/>
      <c r="AI312" s="143"/>
      <c r="AJ312" s="125"/>
      <c r="AK312" s="125"/>
      <c r="AL312" s="125"/>
      <c r="AM312" s="125"/>
    </row>
    <row r="313" spans="1:39" ht="12.75" x14ac:dyDescent="0.2">
      <c r="A313" s="303"/>
      <c r="B313" s="303"/>
      <c r="C313" s="303"/>
      <c r="D313" s="143"/>
      <c r="E313" s="303"/>
      <c r="F313" s="303"/>
      <c r="G313" s="303"/>
      <c r="H313" s="303"/>
      <c r="I313" s="303"/>
      <c r="J313" s="303"/>
      <c r="K313" s="303"/>
      <c r="L313" s="143"/>
      <c r="M313" s="303"/>
      <c r="N313" s="303"/>
      <c r="O313" s="303"/>
      <c r="P313" s="303"/>
      <c r="Q313" s="303"/>
      <c r="R313" s="303"/>
      <c r="S313" s="303"/>
      <c r="T313" s="143"/>
      <c r="U313" s="303"/>
      <c r="V313" s="303"/>
      <c r="W313" s="303"/>
      <c r="X313" s="303"/>
      <c r="Y313" s="303"/>
      <c r="Z313" s="303"/>
      <c r="AA313" s="303"/>
      <c r="AB313" s="143"/>
      <c r="AC313" s="303"/>
      <c r="AD313" s="303"/>
      <c r="AE313" s="303"/>
      <c r="AF313" s="303"/>
      <c r="AG313" s="303"/>
      <c r="AH313" s="303"/>
      <c r="AI313" s="143"/>
      <c r="AJ313" s="125"/>
      <c r="AK313" s="125"/>
      <c r="AL313" s="125"/>
      <c r="AM313" s="125"/>
    </row>
    <row r="314" spans="1:39" ht="12.75" x14ac:dyDescent="0.2">
      <c r="A314" s="303"/>
      <c r="B314" s="303"/>
      <c r="C314" s="303"/>
      <c r="D314" s="143"/>
      <c r="E314" s="303"/>
      <c r="F314" s="303"/>
      <c r="G314" s="303"/>
      <c r="H314" s="303"/>
      <c r="I314" s="303"/>
      <c r="J314" s="303"/>
      <c r="K314" s="303"/>
      <c r="L314" s="143"/>
      <c r="M314" s="303"/>
      <c r="N314" s="303"/>
      <c r="O314" s="303"/>
      <c r="P314" s="303"/>
      <c r="Q314" s="303"/>
      <c r="R314" s="303"/>
      <c r="S314" s="303"/>
      <c r="T314" s="143"/>
      <c r="U314" s="303"/>
      <c r="V314" s="303"/>
      <c r="W314" s="303"/>
      <c r="X314" s="303"/>
      <c r="Y314" s="303"/>
      <c r="Z314" s="303"/>
      <c r="AA314" s="303"/>
      <c r="AB314" s="143"/>
      <c r="AC314" s="303"/>
      <c r="AD314" s="303"/>
      <c r="AE314" s="303"/>
      <c r="AF314" s="303"/>
      <c r="AG314" s="303"/>
      <c r="AH314" s="303"/>
      <c r="AI314" s="143"/>
      <c r="AJ314" s="125"/>
      <c r="AK314" s="125"/>
      <c r="AL314" s="125"/>
      <c r="AM314" s="125"/>
    </row>
    <row r="315" spans="1:39" ht="12.75" x14ac:dyDescent="0.2">
      <c r="A315" s="303"/>
      <c r="B315" s="303"/>
      <c r="C315" s="303"/>
      <c r="D315" s="143"/>
      <c r="E315" s="303"/>
      <c r="F315" s="303"/>
      <c r="G315" s="303"/>
      <c r="H315" s="303"/>
      <c r="I315" s="303"/>
      <c r="J315" s="303"/>
      <c r="K315" s="303"/>
      <c r="L315" s="143"/>
      <c r="M315" s="303"/>
      <c r="N315" s="303"/>
      <c r="O315" s="303"/>
      <c r="P315" s="303"/>
      <c r="Q315" s="303"/>
      <c r="R315" s="303"/>
      <c r="S315" s="303"/>
      <c r="T315" s="143"/>
      <c r="U315" s="303"/>
      <c r="V315" s="303"/>
      <c r="W315" s="303"/>
      <c r="X315" s="303"/>
      <c r="Y315" s="303"/>
      <c r="Z315" s="303"/>
      <c r="AA315" s="303"/>
      <c r="AB315" s="143"/>
      <c r="AC315" s="303"/>
      <c r="AD315" s="303"/>
      <c r="AE315" s="303"/>
      <c r="AF315" s="303"/>
      <c r="AG315" s="303"/>
      <c r="AH315" s="303"/>
      <c r="AI315" s="143"/>
      <c r="AJ315" s="125"/>
      <c r="AK315" s="125"/>
      <c r="AL315" s="125"/>
      <c r="AM315" s="125"/>
    </row>
    <row r="316" spans="1:39" ht="12.75" x14ac:dyDescent="0.2">
      <c r="A316" s="303"/>
      <c r="B316" s="303"/>
      <c r="C316" s="303"/>
      <c r="D316" s="143"/>
      <c r="E316" s="303"/>
      <c r="F316" s="303"/>
      <c r="G316" s="303"/>
      <c r="H316" s="303"/>
      <c r="I316" s="303"/>
      <c r="J316" s="303"/>
      <c r="K316" s="303"/>
      <c r="L316" s="143"/>
      <c r="M316" s="303"/>
      <c r="N316" s="303"/>
      <c r="O316" s="303"/>
      <c r="P316" s="303"/>
      <c r="Q316" s="303"/>
      <c r="R316" s="303"/>
      <c r="S316" s="303"/>
      <c r="T316" s="143"/>
      <c r="U316" s="303"/>
      <c r="V316" s="303"/>
      <c r="W316" s="303"/>
      <c r="X316" s="303"/>
      <c r="Y316" s="303"/>
      <c r="Z316" s="303"/>
      <c r="AA316" s="303"/>
      <c r="AB316" s="143"/>
      <c r="AC316" s="303"/>
      <c r="AD316" s="303"/>
      <c r="AE316" s="303"/>
      <c r="AF316" s="303"/>
      <c r="AG316" s="303"/>
      <c r="AH316" s="303"/>
      <c r="AI316" s="143"/>
      <c r="AJ316" s="125"/>
      <c r="AK316" s="125"/>
      <c r="AL316" s="125"/>
      <c r="AM316" s="125"/>
    </row>
    <row r="317" spans="1:39" ht="12.75" x14ac:dyDescent="0.2">
      <c r="A317" s="303"/>
      <c r="B317" s="303"/>
      <c r="C317" s="303"/>
      <c r="D317" s="143"/>
      <c r="E317" s="303"/>
      <c r="F317" s="303"/>
      <c r="G317" s="303"/>
      <c r="H317" s="303"/>
      <c r="I317" s="303"/>
      <c r="J317" s="303"/>
      <c r="K317" s="303"/>
      <c r="L317" s="143"/>
      <c r="M317" s="303"/>
      <c r="N317" s="303"/>
      <c r="O317" s="303"/>
      <c r="P317" s="303"/>
      <c r="Q317" s="303"/>
      <c r="R317" s="303"/>
      <c r="S317" s="303"/>
      <c r="T317" s="143"/>
      <c r="U317" s="303"/>
      <c r="V317" s="303"/>
      <c r="W317" s="303"/>
      <c r="X317" s="303"/>
      <c r="Y317" s="303"/>
      <c r="Z317" s="303"/>
      <c r="AA317" s="303"/>
      <c r="AB317" s="143"/>
      <c r="AC317" s="303"/>
      <c r="AD317" s="303"/>
      <c r="AE317" s="303"/>
      <c r="AF317" s="303"/>
      <c r="AG317" s="303"/>
      <c r="AH317" s="303"/>
      <c r="AI317" s="143"/>
      <c r="AJ317" s="125"/>
      <c r="AK317" s="125"/>
      <c r="AL317" s="125"/>
      <c r="AM317" s="125"/>
    </row>
    <row r="318" spans="1:39" ht="12.75" x14ac:dyDescent="0.2">
      <c r="A318" s="303"/>
      <c r="B318" s="303"/>
      <c r="C318" s="303"/>
      <c r="D318" s="143"/>
      <c r="E318" s="303"/>
      <c r="F318" s="303"/>
      <c r="G318" s="303"/>
      <c r="H318" s="303"/>
      <c r="I318" s="303"/>
      <c r="J318" s="303"/>
      <c r="K318" s="303"/>
      <c r="L318" s="143"/>
      <c r="M318" s="303"/>
      <c r="N318" s="303"/>
      <c r="O318" s="303"/>
      <c r="P318" s="303"/>
      <c r="Q318" s="303"/>
      <c r="R318" s="303"/>
      <c r="S318" s="303"/>
      <c r="T318" s="143"/>
      <c r="U318" s="303"/>
      <c r="V318" s="303"/>
      <c r="W318" s="303"/>
      <c r="X318" s="303"/>
      <c r="Y318" s="303"/>
      <c r="Z318" s="303"/>
      <c r="AA318" s="303"/>
      <c r="AB318" s="143"/>
      <c r="AC318" s="303"/>
      <c r="AD318" s="303"/>
      <c r="AE318" s="303"/>
      <c r="AF318" s="303"/>
      <c r="AG318" s="303"/>
      <c r="AH318" s="303"/>
      <c r="AI318" s="143"/>
      <c r="AJ318" s="125"/>
      <c r="AK318" s="125"/>
      <c r="AL318" s="125"/>
      <c r="AM318" s="125"/>
    </row>
    <row r="319" spans="1:39" ht="12.75" x14ac:dyDescent="0.2">
      <c r="A319" s="303"/>
      <c r="B319" s="303"/>
      <c r="C319" s="303"/>
      <c r="D319" s="143"/>
      <c r="E319" s="303"/>
      <c r="F319" s="303"/>
      <c r="G319" s="303"/>
      <c r="H319" s="303"/>
      <c r="I319" s="303"/>
      <c r="J319" s="303"/>
      <c r="K319" s="303"/>
      <c r="L319" s="143"/>
      <c r="M319" s="303"/>
      <c r="N319" s="303"/>
      <c r="O319" s="303"/>
      <c r="P319" s="303"/>
      <c r="Q319" s="303"/>
      <c r="R319" s="303"/>
      <c r="S319" s="303"/>
      <c r="T319" s="143"/>
      <c r="U319" s="303"/>
      <c r="V319" s="303"/>
      <c r="W319" s="303"/>
      <c r="X319" s="303"/>
      <c r="Y319" s="303"/>
      <c r="Z319" s="303"/>
      <c r="AA319" s="303"/>
      <c r="AB319" s="143"/>
      <c r="AC319" s="303"/>
      <c r="AD319" s="303"/>
      <c r="AE319" s="303"/>
      <c r="AF319" s="303"/>
      <c r="AG319" s="303"/>
      <c r="AH319" s="303"/>
      <c r="AI319" s="143"/>
      <c r="AJ319" s="125"/>
      <c r="AK319" s="125"/>
      <c r="AL319" s="125"/>
      <c r="AM319" s="125"/>
    </row>
    <row r="320" spans="1:39" ht="12.75" x14ac:dyDescent="0.2">
      <c r="A320" s="303"/>
      <c r="B320" s="303"/>
      <c r="C320" s="303"/>
      <c r="D320" s="143"/>
      <c r="E320" s="303"/>
      <c r="F320" s="303"/>
      <c r="G320" s="303"/>
      <c r="H320" s="303"/>
      <c r="I320" s="303"/>
      <c r="J320" s="303"/>
      <c r="K320" s="303"/>
      <c r="L320" s="143"/>
      <c r="M320" s="303"/>
      <c r="N320" s="303"/>
      <c r="O320" s="303"/>
      <c r="P320" s="303"/>
      <c r="Q320" s="303"/>
      <c r="R320" s="303"/>
      <c r="S320" s="303"/>
      <c r="T320" s="143"/>
      <c r="U320" s="303"/>
      <c r="V320" s="303"/>
      <c r="W320" s="303"/>
      <c r="X320" s="303"/>
      <c r="Y320" s="303"/>
      <c r="Z320" s="303"/>
      <c r="AA320" s="303"/>
      <c r="AB320" s="143"/>
      <c r="AC320" s="303"/>
      <c r="AD320" s="303"/>
      <c r="AE320" s="303"/>
      <c r="AF320" s="303"/>
      <c r="AG320" s="303"/>
      <c r="AH320" s="303"/>
      <c r="AI320" s="143"/>
      <c r="AJ320" s="125"/>
      <c r="AK320" s="125"/>
      <c r="AL320" s="125"/>
      <c r="AM320" s="125"/>
    </row>
    <row r="321" spans="1:39" ht="12.75" x14ac:dyDescent="0.2">
      <c r="A321" s="303"/>
      <c r="B321" s="303"/>
      <c r="C321" s="303"/>
      <c r="D321" s="143"/>
      <c r="E321" s="303"/>
      <c r="F321" s="303"/>
      <c r="G321" s="303"/>
      <c r="H321" s="303"/>
      <c r="I321" s="303"/>
      <c r="J321" s="303"/>
      <c r="K321" s="303"/>
      <c r="L321" s="143"/>
      <c r="M321" s="303"/>
      <c r="N321" s="303"/>
      <c r="O321" s="303"/>
      <c r="P321" s="303"/>
      <c r="Q321" s="303"/>
      <c r="R321" s="303"/>
      <c r="S321" s="303"/>
      <c r="T321" s="143"/>
      <c r="U321" s="303"/>
      <c r="V321" s="303"/>
      <c r="W321" s="303"/>
      <c r="X321" s="303"/>
      <c r="Y321" s="303"/>
      <c r="Z321" s="303"/>
      <c r="AA321" s="303"/>
      <c r="AB321" s="143"/>
      <c r="AC321" s="303"/>
      <c r="AD321" s="303"/>
      <c r="AE321" s="303"/>
      <c r="AF321" s="303"/>
      <c r="AG321" s="303"/>
      <c r="AH321" s="303"/>
      <c r="AI321" s="143"/>
      <c r="AJ321" s="125"/>
      <c r="AK321" s="125"/>
      <c r="AL321" s="125"/>
      <c r="AM321" s="125"/>
    </row>
    <row r="322" spans="1:39" ht="12.75" x14ac:dyDescent="0.2">
      <c r="A322" s="303"/>
      <c r="B322" s="303"/>
      <c r="C322" s="303"/>
      <c r="D322" s="143"/>
      <c r="E322" s="303"/>
      <c r="F322" s="303"/>
      <c r="G322" s="303"/>
      <c r="H322" s="303"/>
      <c r="I322" s="303"/>
      <c r="J322" s="303"/>
      <c r="K322" s="303"/>
      <c r="L322" s="143"/>
      <c r="M322" s="303"/>
      <c r="N322" s="303"/>
      <c r="O322" s="303"/>
      <c r="P322" s="303"/>
      <c r="Q322" s="303"/>
      <c r="R322" s="303"/>
      <c r="S322" s="303"/>
      <c r="T322" s="143"/>
      <c r="U322" s="303"/>
      <c r="V322" s="303"/>
      <c r="W322" s="303"/>
      <c r="X322" s="303"/>
      <c r="Y322" s="303"/>
      <c r="Z322" s="303"/>
      <c r="AA322" s="303"/>
      <c r="AB322" s="143"/>
      <c r="AC322" s="303"/>
      <c r="AD322" s="303"/>
      <c r="AE322" s="303"/>
      <c r="AF322" s="303"/>
      <c r="AG322" s="303"/>
      <c r="AH322" s="303"/>
      <c r="AI322" s="143"/>
      <c r="AJ322" s="125"/>
      <c r="AK322" s="125"/>
      <c r="AL322" s="125"/>
      <c r="AM322" s="125"/>
    </row>
    <row r="323" spans="1:39" ht="12.75" x14ac:dyDescent="0.2">
      <c r="A323" s="303"/>
      <c r="B323" s="303"/>
      <c r="C323" s="303"/>
      <c r="D323" s="143"/>
      <c r="E323" s="303"/>
      <c r="F323" s="303"/>
      <c r="G323" s="303"/>
      <c r="H323" s="303"/>
      <c r="I323" s="303"/>
      <c r="J323" s="303"/>
      <c r="K323" s="303"/>
      <c r="L323" s="143"/>
      <c r="M323" s="303"/>
      <c r="N323" s="303"/>
      <c r="O323" s="303"/>
      <c r="P323" s="303"/>
      <c r="Q323" s="303"/>
      <c r="R323" s="303"/>
      <c r="S323" s="303"/>
      <c r="T323" s="143"/>
      <c r="U323" s="303"/>
      <c r="V323" s="303"/>
      <c r="W323" s="303"/>
      <c r="X323" s="303"/>
      <c r="Y323" s="303"/>
      <c r="Z323" s="303"/>
      <c r="AA323" s="303"/>
      <c r="AB323" s="143"/>
      <c r="AC323" s="303"/>
      <c r="AD323" s="303"/>
      <c r="AE323" s="303"/>
      <c r="AF323" s="303"/>
      <c r="AG323" s="303"/>
      <c r="AH323" s="303"/>
      <c r="AI323" s="143"/>
      <c r="AJ323" s="125"/>
      <c r="AK323" s="125"/>
      <c r="AL323" s="125"/>
      <c r="AM323" s="125"/>
    </row>
    <row r="324" spans="1:39" ht="12.75" x14ac:dyDescent="0.2">
      <c r="A324" s="303"/>
      <c r="B324" s="303"/>
      <c r="C324" s="303"/>
      <c r="D324" s="143"/>
      <c r="E324" s="303"/>
      <c r="F324" s="303"/>
      <c r="G324" s="303"/>
      <c r="H324" s="303"/>
      <c r="I324" s="303"/>
      <c r="J324" s="303"/>
      <c r="K324" s="303"/>
      <c r="L324" s="143"/>
      <c r="M324" s="303"/>
      <c r="N324" s="303"/>
      <c r="O324" s="303"/>
      <c r="P324" s="303"/>
      <c r="Q324" s="303"/>
      <c r="R324" s="303"/>
      <c r="S324" s="303"/>
      <c r="T324" s="143"/>
      <c r="U324" s="303"/>
      <c r="V324" s="303"/>
      <c r="W324" s="303"/>
      <c r="X324" s="303"/>
      <c r="Y324" s="303"/>
      <c r="Z324" s="303"/>
      <c r="AA324" s="303"/>
      <c r="AB324" s="143"/>
      <c r="AC324" s="303"/>
      <c r="AD324" s="303"/>
      <c r="AE324" s="303"/>
      <c r="AF324" s="303"/>
      <c r="AG324" s="303"/>
      <c r="AH324" s="303"/>
      <c r="AI324" s="143"/>
      <c r="AJ324" s="125"/>
      <c r="AK324" s="125"/>
      <c r="AL324" s="125"/>
      <c r="AM324" s="125"/>
    </row>
    <row r="325" spans="1:39" ht="12.75" x14ac:dyDescent="0.2">
      <c r="A325" s="303"/>
      <c r="B325" s="303"/>
      <c r="C325" s="303"/>
      <c r="D325" s="143"/>
      <c r="E325" s="303"/>
      <c r="F325" s="303"/>
      <c r="G325" s="303"/>
      <c r="H325" s="303"/>
      <c r="I325" s="303"/>
      <c r="J325" s="303"/>
      <c r="K325" s="303"/>
      <c r="L325" s="143"/>
      <c r="M325" s="303"/>
      <c r="N325" s="303"/>
      <c r="O325" s="303"/>
      <c r="P325" s="303"/>
      <c r="Q325" s="303"/>
      <c r="R325" s="303"/>
      <c r="S325" s="303"/>
      <c r="T325" s="143"/>
      <c r="U325" s="303"/>
      <c r="V325" s="303"/>
      <c r="W325" s="303"/>
      <c r="X325" s="303"/>
      <c r="Y325" s="303"/>
      <c r="Z325" s="303"/>
      <c r="AA325" s="303"/>
      <c r="AB325" s="143"/>
      <c r="AC325" s="303"/>
      <c r="AD325" s="303"/>
      <c r="AE325" s="303"/>
      <c r="AF325" s="303"/>
      <c r="AG325" s="303"/>
      <c r="AH325" s="303"/>
      <c r="AI325" s="143"/>
      <c r="AJ325" s="125"/>
      <c r="AK325" s="125"/>
      <c r="AL325" s="125"/>
      <c r="AM325" s="125"/>
    </row>
    <row r="326" spans="1:39" ht="12.75" x14ac:dyDescent="0.2">
      <c r="A326" s="303"/>
      <c r="B326" s="303"/>
      <c r="C326" s="303"/>
      <c r="D326" s="143"/>
      <c r="E326" s="303"/>
      <c r="F326" s="303"/>
      <c r="G326" s="303"/>
      <c r="H326" s="303"/>
      <c r="I326" s="303"/>
      <c r="J326" s="303"/>
      <c r="K326" s="303"/>
      <c r="L326" s="143"/>
      <c r="M326" s="303"/>
      <c r="N326" s="303"/>
      <c r="O326" s="303"/>
      <c r="P326" s="303"/>
      <c r="Q326" s="303"/>
      <c r="R326" s="303"/>
      <c r="S326" s="303"/>
      <c r="T326" s="143"/>
      <c r="U326" s="303"/>
      <c r="V326" s="303"/>
      <c r="W326" s="303"/>
      <c r="X326" s="303"/>
      <c r="Y326" s="303"/>
      <c r="Z326" s="303"/>
      <c r="AA326" s="303"/>
      <c r="AB326" s="143"/>
      <c r="AC326" s="303"/>
      <c r="AD326" s="303"/>
      <c r="AE326" s="303"/>
      <c r="AF326" s="303"/>
      <c r="AG326" s="303"/>
      <c r="AH326" s="303"/>
      <c r="AI326" s="143"/>
      <c r="AJ326" s="125"/>
      <c r="AK326" s="125"/>
      <c r="AL326" s="125"/>
      <c r="AM326" s="125"/>
    </row>
    <row r="327" spans="1:39" ht="12.75" x14ac:dyDescent="0.2">
      <c r="A327" s="303"/>
      <c r="B327" s="303"/>
      <c r="C327" s="303"/>
      <c r="D327" s="143"/>
      <c r="E327" s="303"/>
      <c r="F327" s="303"/>
      <c r="G327" s="303"/>
      <c r="H327" s="303"/>
      <c r="I327" s="303"/>
      <c r="J327" s="303"/>
      <c r="K327" s="303"/>
      <c r="L327" s="143"/>
      <c r="M327" s="303"/>
      <c r="N327" s="303"/>
      <c r="O327" s="303"/>
      <c r="P327" s="303"/>
      <c r="Q327" s="303"/>
      <c r="R327" s="303"/>
      <c r="S327" s="303"/>
      <c r="T327" s="143"/>
      <c r="U327" s="303"/>
      <c r="V327" s="303"/>
      <c r="W327" s="303"/>
      <c r="X327" s="303"/>
      <c r="Y327" s="303"/>
      <c r="Z327" s="303"/>
      <c r="AA327" s="303"/>
      <c r="AB327" s="143"/>
      <c r="AC327" s="303"/>
      <c r="AD327" s="303"/>
      <c r="AE327" s="303"/>
      <c r="AF327" s="303"/>
      <c r="AG327" s="303"/>
      <c r="AH327" s="303"/>
      <c r="AI327" s="143"/>
      <c r="AJ327" s="125"/>
      <c r="AK327" s="125"/>
      <c r="AL327" s="125"/>
      <c r="AM327" s="125"/>
    </row>
    <row r="328" spans="1:39" ht="12.75" x14ac:dyDescent="0.2">
      <c r="A328" s="303"/>
      <c r="B328" s="303"/>
      <c r="C328" s="303"/>
      <c r="D328" s="143"/>
      <c r="E328" s="303"/>
      <c r="F328" s="303"/>
      <c r="G328" s="303"/>
      <c r="H328" s="303"/>
      <c r="I328" s="303"/>
      <c r="J328" s="303"/>
      <c r="K328" s="303"/>
      <c r="L328" s="143"/>
      <c r="M328" s="303"/>
      <c r="N328" s="303"/>
      <c r="O328" s="303"/>
      <c r="P328" s="303"/>
      <c r="Q328" s="303"/>
      <c r="R328" s="303"/>
      <c r="S328" s="303"/>
      <c r="T328" s="143"/>
      <c r="U328" s="303"/>
      <c r="V328" s="303"/>
      <c r="W328" s="303"/>
      <c r="X328" s="303"/>
      <c r="Y328" s="303"/>
      <c r="Z328" s="303"/>
      <c r="AA328" s="303"/>
      <c r="AB328" s="143"/>
      <c r="AC328" s="303"/>
      <c r="AD328" s="303"/>
      <c r="AE328" s="303"/>
      <c r="AF328" s="303"/>
      <c r="AG328" s="303"/>
      <c r="AH328" s="303"/>
      <c r="AI328" s="143"/>
      <c r="AJ328" s="125"/>
      <c r="AK328" s="125"/>
      <c r="AL328" s="125"/>
      <c r="AM328" s="125"/>
    </row>
    <row r="329" spans="1:39" ht="12.75" x14ac:dyDescent="0.2">
      <c r="A329" s="303"/>
      <c r="B329" s="303"/>
      <c r="C329" s="303"/>
      <c r="D329" s="143"/>
      <c r="E329" s="303"/>
      <c r="F329" s="303"/>
      <c r="G329" s="303"/>
      <c r="H329" s="303"/>
      <c r="I329" s="303"/>
      <c r="J329" s="303"/>
      <c r="K329" s="303"/>
      <c r="L329" s="143"/>
      <c r="M329" s="303"/>
      <c r="N329" s="303"/>
      <c r="O329" s="303"/>
      <c r="P329" s="303"/>
      <c r="Q329" s="303"/>
      <c r="R329" s="303"/>
      <c r="S329" s="303"/>
      <c r="T329" s="143"/>
      <c r="U329" s="303"/>
      <c r="V329" s="303"/>
      <c r="W329" s="303"/>
      <c r="X329" s="303"/>
      <c r="Y329" s="303"/>
      <c r="Z329" s="303"/>
      <c r="AA329" s="303"/>
      <c r="AB329" s="143"/>
      <c r="AC329" s="303"/>
      <c r="AD329" s="303"/>
      <c r="AE329" s="303"/>
      <c r="AF329" s="303"/>
      <c r="AG329" s="303"/>
      <c r="AH329" s="303"/>
      <c r="AI329" s="143"/>
      <c r="AJ329" s="125"/>
      <c r="AK329" s="125"/>
      <c r="AL329" s="125"/>
      <c r="AM329" s="125"/>
    </row>
    <row r="330" spans="1:39" ht="12.75" x14ac:dyDescent="0.2">
      <c r="A330" s="303"/>
      <c r="B330" s="303"/>
      <c r="C330" s="303"/>
      <c r="D330" s="143"/>
      <c r="E330" s="303"/>
      <c r="F330" s="303"/>
      <c r="G330" s="303"/>
      <c r="H330" s="303"/>
      <c r="I330" s="303"/>
      <c r="J330" s="303"/>
      <c r="K330" s="303"/>
      <c r="L330" s="143"/>
      <c r="M330" s="303"/>
      <c r="N330" s="303"/>
      <c r="O330" s="303"/>
      <c r="P330" s="303"/>
      <c r="Q330" s="303"/>
      <c r="R330" s="303"/>
      <c r="S330" s="303"/>
      <c r="T330" s="143"/>
      <c r="U330" s="303"/>
      <c r="V330" s="303"/>
      <c r="W330" s="303"/>
      <c r="X330" s="303"/>
      <c r="Y330" s="303"/>
      <c r="Z330" s="303"/>
      <c r="AA330" s="303"/>
      <c r="AB330" s="143"/>
      <c r="AC330" s="303"/>
      <c r="AD330" s="303"/>
      <c r="AE330" s="303"/>
      <c r="AF330" s="303"/>
      <c r="AG330" s="303"/>
      <c r="AH330" s="303"/>
      <c r="AI330" s="143"/>
      <c r="AJ330" s="125"/>
      <c r="AK330" s="125"/>
      <c r="AL330" s="125"/>
      <c r="AM330" s="125"/>
    </row>
    <row r="331" spans="1:39" ht="12.75" x14ac:dyDescent="0.2">
      <c r="A331" s="303"/>
      <c r="B331" s="303"/>
      <c r="C331" s="303"/>
      <c r="D331" s="143"/>
      <c r="E331" s="303"/>
      <c r="F331" s="303"/>
      <c r="G331" s="303"/>
      <c r="H331" s="303"/>
      <c r="I331" s="303"/>
      <c r="J331" s="303"/>
      <c r="K331" s="303"/>
      <c r="L331" s="143"/>
      <c r="M331" s="303"/>
      <c r="N331" s="303"/>
      <c r="O331" s="303"/>
      <c r="P331" s="303"/>
      <c r="Q331" s="303"/>
      <c r="R331" s="303"/>
      <c r="S331" s="303"/>
      <c r="T331" s="143"/>
      <c r="U331" s="303"/>
      <c r="V331" s="303"/>
      <c r="W331" s="303"/>
      <c r="X331" s="303"/>
      <c r="Y331" s="303"/>
      <c r="Z331" s="303"/>
      <c r="AA331" s="303"/>
      <c r="AB331" s="143"/>
      <c r="AC331" s="303"/>
      <c r="AD331" s="303"/>
      <c r="AE331" s="303"/>
      <c r="AF331" s="303"/>
      <c r="AG331" s="303"/>
      <c r="AH331" s="303"/>
      <c r="AI331" s="143"/>
      <c r="AJ331" s="125"/>
      <c r="AK331" s="125"/>
      <c r="AL331" s="125"/>
      <c r="AM331" s="125"/>
    </row>
    <row r="332" spans="1:39" ht="12.75" x14ac:dyDescent="0.2">
      <c r="A332" s="303"/>
      <c r="B332" s="303"/>
      <c r="C332" s="303"/>
      <c r="D332" s="143"/>
      <c r="E332" s="303"/>
      <c r="F332" s="303"/>
      <c r="G332" s="303"/>
      <c r="H332" s="303"/>
      <c r="I332" s="303"/>
      <c r="J332" s="303"/>
      <c r="K332" s="303"/>
      <c r="L332" s="143"/>
      <c r="M332" s="303"/>
      <c r="N332" s="303"/>
      <c r="O332" s="303"/>
      <c r="P332" s="303"/>
      <c r="Q332" s="303"/>
      <c r="R332" s="303"/>
      <c r="S332" s="303"/>
      <c r="T332" s="143"/>
      <c r="U332" s="303"/>
      <c r="V332" s="303"/>
      <c r="W332" s="303"/>
      <c r="X332" s="303"/>
      <c r="Y332" s="303"/>
      <c r="Z332" s="303"/>
      <c r="AA332" s="303"/>
      <c r="AB332" s="143"/>
      <c r="AC332" s="303"/>
      <c r="AD332" s="303"/>
      <c r="AE332" s="303"/>
      <c r="AF332" s="303"/>
      <c r="AG332" s="303"/>
      <c r="AH332" s="303"/>
      <c r="AI332" s="143"/>
      <c r="AJ332" s="125"/>
      <c r="AK332" s="125"/>
      <c r="AL332" s="125"/>
      <c r="AM332" s="125"/>
    </row>
    <row r="333" spans="1:39" ht="12.75" x14ac:dyDescent="0.2">
      <c r="A333" s="303"/>
      <c r="B333" s="303"/>
      <c r="C333" s="303"/>
      <c r="D333" s="143"/>
      <c r="E333" s="303"/>
      <c r="F333" s="303"/>
      <c r="G333" s="303"/>
      <c r="H333" s="303"/>
      <c r="I333" s="303"/>
      <c r="J333" s="303"/>
      <c r="K333" s="303"/>
      <c r="L333" s="143"/>
      <c r="M333" s="303"/>
      <c r="N333" s="303"/>
      <c r="O333" s="303"/>
      <c r="P333" s="303"/>
      <c r="Q333" s="303"/>
      <c r="R333" s="303"/>
      <c r="S333" s="303"/>
      <c r="T333" s="143"/>
      <c r="U333" s="303"/>
      <c r="V333" s="303"/>
      <c r="W333" s="303"/>
      <c r="X333" s="303"/>
      <c r="Y333" s="303"/>
      <c r="Z333" s="303"/>
      <c r="AA333" s="303"/>
      <c r="AB333" s="143"/>
      <c r="AC333" s="303"/>
      <c r="AD333" s="303"/>
      <c r="AE333" s="303"/>
      <c r="AF333" s="303"/>
      <c r="AG333" s="303"/>
      <c r="AH333" s="303"/>
      <c r="AI333" s="143"/>
      <c r="AJ333" s="125"/>
      <c r="AK333" s="125"/>
      <c r="AL333" s="125"/>
      <c r="AM333" s="125"/>
    </row>
    <row r="334" spans="1:39" ht="12.75" x14ac:dyDescent="0.2">
      <c r="A334" s="303"/>
      <c r="B334" s="303"/>
      <c r="C334" s="303"/>
      <c r="D334" s="143"/>
      <c r="E334" s="303"/>
      <c r="F334" s="303"/>
      <c r="G334" s="303"/>
      <c r="H334" s="303"/>
      <c r="I334" s="303"/>
      <c r="J334" s="303"/>
      <c r="K334" s="303"/>
      <c r="L334" s="143"/>
      <c r="M334" s="303"/>
      <c r="N334" s="303"/>
      <c r="O334" s="303"/>
      <c r="P334" s="303"/>
      <c r="Q334" s="303"/>
      <c r="R334" s="303"/>
      <c r="S334" s="303"/>
      <c r="T334" s="143"/>
      <c r="U334" s="303"/>
      <c r="V334" s="303"/>
      <c r="W334" s="303"/>
      <c r="X334" s="303"/>
      <c r="Y334" s="303"/>
      <c r="Z334" s="303"/>
      <c r="AA334" s="303"/>
      <c r="AB334" s="143"/>
      <c r="AC334" s="303"/>
      <c r="AD334" s="303"/>
      <c r="AE334" s="303"/>
      <c r="AF334" s="303"/>
      <c r="AG334" s="303"/>
      <c r="AH334" s="303"/>
      <c r="AI334" s="143"/>
      <c r="AJ334" s="125"/>
      <c r="AK334" s="125"/>
      <c r="AL334" s="125"/>
      <c r="AM334" s="125"/>
    </row>
    <row r="335" spans="1:39" ht="12.75" x14ac:dyDescent="0.2">
      <c r="A335" s="303"/>
      <c r="B335" s="303"/>
      <c r="C335" s="303"/>
      <c r="D335" s="143"/>
      <c r="E335" s="303"/>
      <c r="F335" s="303"/>
      <c r="G335" s="303"/>
      <c r="H335" s="303"/>
      <c r="I335" s="303"/>
      <c r="J335" s="303"/>
      <c r="K335" s="303"/>
      <c r="L335" s="143"/>
      <c r="M335" s="303"/>
      <c r="N335" s="303"/>
      <c r="O335" s="303"/>
      <c r="P335" s="303"/>
      <c r="Q335" s="303"/>
      <c r="R335" s="303"/>
      <c r="S335" s="303"/>
      <c r="T335" s="143"/>
      <c r="U335" s="303"/>
      <c r="V335" s="303"/>
      <c r="W335" s="303"/>
      <c r="X335" s="303"/>
      <c r="Y335" s="303"/>
      <c r="Z335" s="303"/>
      <c r="AA335" s="303"/>
      <c r="AB335" s="143"/>
      <c r="AC335" s="303"/>
      <c r="AD335" s="303"/>
      <c r="AE335" s="303"/>
      <c r="AF335" s="303"/>
      <c r="AG335" s="303"/>
      <c r="AH335" s="303"/>
      <c r="AI335" s="143"/>
      <c r="AJ335" s="125"/>
      <c r="AK335" s="125"/>
      <c r="AL335" s="125"/>
      <c r="AM335" s="125"/>
    </row>
    <row r="336" spans="1:39" ht="12.75" x14ac:dyDescent="0.2">
      <c r="A336" s="303"/>
      <c r="B336" s="303"/>
      <c r="C336" s="303"/>
      <c r="D336" s="143"/>
      <c r="E336" s="303"/>
      <c r="F336" s="303"/>
      <c r="G336" s="303"/>
      <c r="H336" s="303"/>
      <c r="I336" s="303"/>
      <c r="J336" s="303"/>
      <c r="K336" s="303"/>
      <c r="L336" s="143"/>
      <c r="M336" s="303"/>
      <c r="N336" s="303"/>
      <c r="O336" s="303"/>
      <c r="P336" s="303"/>
      <c r="Q336" s="303"/>
      <c r="R336" s="303"/>
      <c r="S336" s="303"/>
      <c r="T336" s="143"/>
      <c r="U336" s="303"/>
      <c r="V336" s="303"/>
      <c r="W336" s="303"/>
      <c r="X336" s="303"/>
      <c r="Y336" s="303"/>
      <c r="Z336" s="303"/>
      <c r="AA336" s="303"/>
      <c r="AB336" s="143"/>
      <c r="AC336" s="303"/>
      <c r="AD336" s="303"/>
      <c r="AE336" s="303"/>
      <c r="AF336" s="303"/>
      <c r="AG336" s="303"/>
      <c r="AH336" s="303"/>
      <c r="AI336" s="143"/>
      <c r="AJ336" s="125"/>
      <c r="AK336" s="125"/>
      <c r="AL336" s="125"/>
      <c r="AM336" s="125"/>
    </row>
    <row r="337" spans="1:39" ht="12.75" x14ac:dyDescent="0.2">
      <c r="A337" s="303"/>
      <c r="B337" s="303"/>
      <c r="C337" s="303"/>
      <c r="D337" s="143"/>
      <c r="E337" s="303"/>
      <c r="F337" s="303"/>
      <c r="G337" s="303"/>
      <c r="H337" s="303"/>
      <c r="I337" s="303"/>
      <c r="J337" s="303"/>
      <c r="K337" s="303"/>
      <c r="L337" s="143"/>
      <c r="M337" s="303"/>
      <c r="N337" s="303"/>
      <c r="O337" s="303"/>
      <c r="P337" s="303"/>
      <c r="Q337" s="303"/>
      <c r="R337" s="303"/>
      <c r="S337" s="303"/>
      <c r="T337" s="143"/>
      <c r="U337" s="303"/>
      <c r="V337" s="303"/>
      <c r="W337" s="303"/>
      <c r="X337" s="303"/>
      <c r="Y337" s="303"/>
      <c r="Z337" s="303"/>
      <c r="AA337" s="303"/>
      <c r="AB337" s="143"/>
      <c r="AC337" s="303"/>
      <c r="AD337" s="303"/>
      <c r="AE337" s="303"/>
      <c r="AF337" s="303"/>
      <c r="AG337" s="303"/>
      <c r="AH337" s="303"/>
      <c r="AI337" s="143"/>
      <c r="AJ337" s="125"/>
      <c r="AK337" s="125"/>
      <c r="AL337" s="125"/>
      <c r="AM337" s="125"/>
    </row>
    <row r="338" spans="1:39" ht="12.75" x14ac:dyDescent="0.2">
      <c r="A338" s="303"/>
      <c r="B338" s="303"/>
      <c r="C338" s="303"/>
      <c r="D338" s="143"/>
      <c r="E338" s="303"/>
      <c r="F338" s="303"/>
      <c r="G338" s="303"/>
      <c r="H338" s="303"/>
      <c r="I338" s="303"/>
      <c r="J338" s="303"/>
      <c r="K338" s="303"/>
      <c r="L338" s="143"/>
      <c r="M338" s="303"/>
      <c r="N338" s="303"/>
      <c r="O338" s="303"/>
      <c r="P338" s="303"/>
      <c r="Q338" s="303"/>
      <c r="R338" s="303"/>
      <c r="S338" s="303"/>
      <c r="T338" s="143"/>
      <c r="U338" s="303"/>
      <c r="V338" s="303"/>
      <c r="W338" s="303"/>
      <c r="X338" s="303"/>
      <c r="Y338" s="303"/>
      <c r="Z338" s="303"/>
      <c r="AA338" s="303"/>
      <c r="AB338" s="143"/>
      <c r="AC338" s="303"/>
      <c r="AD338" s="303"/>
      <c r="AE338" s="303"/>
      <c r="AF338" s="303"/>
      <c r="AG338" s="303"/>
      <c r="AH338" s="303"/>
      <c r="AI338" s="143"/>
      <c r="AJ338" s="125"/>
      <c r="AK338" s="125"/>
      <c r="AL338" s="125"/>
      <c r="AM338" s="125"/>
    </row>
    <row r="339" spans="1:39" ht="12.75" x14ac:dyDescent="0.2">
      <c r="A339" s="303"/>
      <c r="B339" s="303"/>
      <c r="C339" s="303"/>
      <c r="D339" s="143"/>
      <c r="E339" s="303"/>
      <c r="F339" s="303"/>
      <c r="G339" s="303"/>
      <c r="H339" s="303"/>
      <c r="I339" s="303"/>
      <c r="J339" s="303"/>
      <c r="K339" s="303"/>
      <c r="L339" s="143"/>
      <c r="M339" s="303"/>
      <c r="N339" s="303"/>
      <c r="O339" s="303"/>
      <c r="P339" s="303"/>
      <c r="Q339" s="303"/>
      <c r="R339" s="303"/>
      <c r="S339" s="303"/>
      <c r="T339" s="143"/>
      <c r="U339" s="303"/>
      <c r="V339" s="303"/>
      <c r="W339" s="303"/>
      <c r="X339" s="303"/>
      <c r="Y339" s="303"/>
      <c r="Z339" s="303"/>
      <c r="AA339" s="303"/>
      <c r="AB339" s="143"/>
      <c r="AC339" s="303"/>
      <c r="AD339" s="303"/>
      <c r="AE339" s="303"/>
      <c r="AF339" s="303"/>
      <c r="AG339" s="303"/>
      <c r="AH339" s="303"/>
      <c r="AI339" s="143"/>
      <c r="AJ339" s="125"/>
      <c r="AK339" s="125"/>
      <c r="AL339" s="125"/>
      <c r="AM339" s="125"/>
    </row>
    <row r="340" spans="1:39" ht="12.75" x14ac:dyDescent="0.2">
      <c r="A340" s="303"/>
      <c r="B340" s="303"/>
      <c r="C340" s="303"/>
      <c r="D340" s="143"/>
      <c r="E340" s="303"/>
      <c r="F340" s="303"/>
      <c r="G340" s="303"/>
      <c r="H340" s="303"/>
      <c r="I340" s="303"/>
      <c r="J340" s="303"/>
      <c r="K340" s="303"/>
      <c r="L340" s="143"/>
      <c r="M340" s="303"/>
      <c r="N340" s="303"/>
      <c r="O340" s="303"/>
      <c r="P340" s="303"/>
      <c r="Q340" s="303"/>
      <c r="R340" s="303"/>
      <c r="S340" s="303"/>
      <c r="T340" s="143"/>
      <c r="U340" s="303"/>
      <c r="V340" s="303"/>
      <c r="W340" s="303"/>
      <c r="X340" s="303"/>
      <c r="Y340" s="303"/>
      <c r="Z340" s="303"/>
      <c r="AA340" s="303"/>
      <c r="AB340" s="143"/>
      <c r="AC340" s="303"/>
      <c r="AD340" s="303"/>
      <c r="AE340" s="303"/>
      <c r="AF340" s="303"/>
      <c r="AG340" s="303"/>
      <c r="AH340" s="303"/>
      <c r="AI340" s="143"/>
      <c r="AJ340" s="125"/>
      <c r="AK340" s="125"/>
      <c r="AL340" s="125"/>
      <c r="AM340" s="125"/>
    </row>
    <row r="341" spans="1:39" ht="12.75" x14ac:dyDescent="0.2">
      <c r="A341" s="303"/>
      <c r="B341" s="303"/>
      <c r="C341" s="303"/>
      <c r="D341" s="143"/>
      <c r="E341" s="303"/>
      <c r="F341" s="303"/>
      <c r="G341" s="303"/>
      <c r="H341" s="303"/>
      <c r="I341" s="303"/>
      <c r="J341" s="303"/>
      <c r="K341" s="303"/>
      <c r="L341" s="143"/>
      <c r="M341" s="303"/>
      <c r="N341" s="303"/>
      <c r="O341" s="303"/>
      <c r="P341" s="303"/>
      <c r="Q341" s="303"/>
      <c r="R341" s="303"/>
      <c r="S341" s="303"/>
      <c r="T341" s="143"/>
      <c r="U341" s="303"/>
      <c r="V341" s="303"/>
      <c r="W341" s="303"/>
      <c r="X341" s="303"/>
      <c r="Y341" s="303"/>
      <c r="Z341" s="303"/>
      <c r="AA341" s="303"/>
      <c r="AB341" s="143"/>
      <c r="AC341" s="303"/>
      <c r="AD341" s="303"/>
      <c r="AE341" s="303"/>
      <c r="AF341" s="303"/>
      <c r="AG341" s="303"/>
      <c r="AH341" s="303"/>
      <c r="AI341" s="143"/>
      <c r="AJ341" s="125"/>
      <c r="AK341" s="125"/>
      <c r="AL341" s="125"/>
      <c r="AM341" s="125"/>
    </row>
    <row r="342" spans="1:39" ht="12.75" x14ac:dyDescent="0.2">
      <c r="A342" s="303"/>
      <c r="B342" s="303"/>
      <c r="C342" s="303"/>
      <c r="D342" s="143"/>
      <c r="E342" s="303"/>
      <c r="F342" s="303"/>
      <c r="G342" s="303"/>
      <c r="H342" s="303"/>
      <c r="I342" s="303"/>
      <c r="J342" s="303"/>
      <c r="K342" s="303"/>
      <c r="L342" s="143"/>
      <c r="M342" s="303"/>
      <c r="N342" s="303"/>
      <c r="O342" s="303"/>
      <c r="P342" s="303"/>
      <c r="Q342" s="303"/>
      <c r="R342" s="303"/>
      <c r="S342" s="303"/>
      <c r="T342" s="143"/>
      <c r="U342" s="303"/>
      <c r="V342" s="303"/>
      <c r="W342" s="303"/>
      <c r="X342" s="303"/>
      <c r="Y342" s="303"/>
      <c r="Z342" s="303"/>
      <c r="AA342" s="303"/>
      <c r="AB342" s="143"/>
      <c r="AC342" s="303"/>
      <c r="AD342" s="303"/>
      <c r="AE342" s="303"/>
      <c r="AF342" s="303"/>
      <c r="AG342" s="303"/>
      <c r="AH342" s="303"/>
      <c r="AI342" s="143"/>
      <c r="AJ342" s="125"/>
      <c r="AK342" s="125"/>
      <c r="AL342" s="125"/>
      <c r="AM342" s="125"/>
    </row>
    <row r="343" spans="1:39" ht="12.75" x14ac:dyDescent="0.2">
      <c r="A343" s="303"/>
      <c r="B343" s="303"/>
      <c r="C343" s="303"/>
      <c r="D343" s="143"/>
      <c r="E343" s="303"/>
      <c r="F343" s="303"/>
      <c r="G343" s="303"/>
      <c r="H343" s="303"/>
      <c r="I343" s="303"/>
      <c r="J343" s="303"/>
      <c r="K343" s="303"/>
      <c r="L343" s="143"/>
      <c r="M343" s="303"/>
      <c r="N343" s="303"/>
      <c r="O343" s="303"/>
      <c r="P343" s="303"/>
      <c r="Q343" s="303"/>
      <c r="R343" s="303"/>
      <c r="S343" s="303"/>
      <c r="T343" s="143"/>
      <c r="U343" s="303"/>
      <c r="V343" s="303"/>
      <c r="W343" s="303"/>
      <c r="X343" s="303"/>
      <c r="Y343" s="303"/>
      <c r="Z343" s="303"/>
      <c r="AA343" s="303"/>
      <c r="AB343" s="143"/>
      <c r="AC343" s="303"/>
      <c r="AD343" s="303"/>
      <c r="AE343" s="303"/>
      <c r="AF343" s="303"/>
      <c r="AG343" s="303"/>
      <c r="AH343" s="303"/>
      <c r="AI343" s="143"/>
      <c r="AJ343" s="125"/>
      <c r="AK343" s="125"/>
      <c r="AL343" s="125"/>
      <c r="AM343" s="125"/>
    </row>
    <row r="344" spans="1:39" ht="12.75" x14ac:dyDescent="0.2">
      <c r="A344" s="303"/>
      <c r="B344" s="303"/>
      <c r="C344" s="303"/>
      <c r="D344" s="143"/>
      <c r="E344" s="303"/>
      <c r="F344" s="303"/>
      <c r="G344" s="303"/>
      <c r="H344" s="303"/>
      <c r="I344" s="303"/>
      <c r="J344" s="303"/>
      <c r="K344" s="303"/>
      <c r="L344" s="143"/>
      <c r="M344" s="303"/>
      <c r="N344" s="303"/>
      <c r="O344" s="303"/>
      <c r="P344" s="303"/>
      <c r="Q344" s="303"/>
      <c r="R344" s="303"/>
      <c r="S344" s="303"/>
      <c r="T344" s="143"/>
      <c r="U344" s="303"/>
      <c r="V344" s="303"/>
      <c r="W344" s="303"/>
      <c r="X344" s="303"/>
      <c r="Y344" s="303"/>
      <c r="Z344" s="303"/>
      <c r="AA344" s="303"/>
      <c r="AB344" s="143"/>
      <c r="AC344" s="303"/>
      <c r="AD344" s="303"/>
      <c r="AE344" s="303"/>
      <c r="AF344" s="303"/>
      <c r="AG344" s="303"/>
      <c r="AH344" s="303"/>
      <c r="AI344" s="143"/>
      <c r="AJ344" s="125"/>
      <c r="AK344" s="125"/>
      <c r="AL344" s="125"/>
      <c r="AM344" s="125"/>
    </row>
    <row r="345" spans="1:39" ht="12.75" x14ac:dyDescent="0.2">
      <c r="A345" s="303"/>
      <c r="B345" s="303"/>
      <c r="C345" s="303"/>
      <c r="D345" s="143"/>
      <c r="E345" s="303"/>
      <c r="F345" s="303"/>
      <c r="G345" s="303"/>
      <c r="H345" s="303"/>
      <c r="I345" s="303"/>
      <c r="J345" s="303"/>
      <c r="K345" s="303"/>
      <c r="L345" s="143"/>
      <c r="M345" s="303"/>
      <c r="N345" s="303"/>
      <c r="O345" s="303"/>
      <c r="P345" s="303"/>
      <c r="Q345" s="303"/>
      <c r="R345" s="303"/>
      <c r="S345" s="303"/>
      <c r="T345" s="143"/>
      <c r="U345" s="303"/>
      <c r="V345" s="303"/>
      <c r="W345" s="303"/>
      <c r="X345" s="303"/>
      <c r="Y345" s="303"/>
      <c r="Z345" s="303"/>
      <c r="AA345" s="303"/>
      <c r="AB345" s="143"/>
      <c r="AC345" s="303"/>
      <c r="AD345" s="303"/>
      <c r="AE345" s="303"/>
      <c r="AF345" s="303"/>
      <c r="AG345" s="303"/>
      <c r="AH345" s="303"/>
      <c r="AI345" s="143"/>
      <c r="AJ345" s="125"/>
      <c r="AK345" s="125"/>
      <c r="AL345" s="125"/>
      <c r="AM345" s="125"/>
    </row>
    <row r="346" spans="1:39" ht="12.75" x14ac:dyDescent="0.2">
      <c r="A346" s="303"/>
      <c r="B346" s="303"/>
      <c r="C346" s="303"/>
      <c r="D346" s="143"/>
      <c r="E346" s="303"/>
      <c r="F346" s="303"/>
      <c r="G346" s="303"/>
      <c r="H346" s="303"/>
      <c r="I346" s="303"/>
      <c r="J346" s="303"/>
      <c r="K346" s="303"/>
      <c r="L346" s="143"/>
      <c r="M346" s="303"/>
      <c r="N346" s="303"/>
      <c r="O346" s="303"/>
      <c r="P346" s="303"/>
      <c r="Q346" s="303"/>
      <c r="R346" s="303"/>
      <c r="S346" s="303"/>
      <c r="T346" s="143"/>
      <c r="U346" s="303"/>
      <c r="V346" s="303"/>
      <c r="W346" s="303"/>
      <c r="X346" s="303"/>
      <c r="Y346" s="303"/>
      <c r="Z346" s="303"/>
      <c r="AA346" s="303"/>
      <c r="AB346" s="143"/>
      <c r="AC346" s="303"/>
      <c r="AD346" s="303"/>
      <c r="AE346" s="303"/>
      <c r="AF346" s="303"/>
      <c r="AG346" s="303"/>
      <c r="AH346" s="303"/>
      <c r="AI346" s="143"/>
      <c r="AJ346" s="125"/>
      <c r="AK346" s="125"/>
      <c r="AL346" s="125"/>
      <c r="AM346" s="125"/>
    </row>
    <row r="347" spans="1:39" ht="12.75" x14ac:dyDescent="0.2">
      <c r="A347" s="303"/>
      <c r="B347" s="303"/>
      <c r="C347" s="303"/>
      <c r="D347" s="143"/>
      <c r="E347" s="303"/>
      <c r="F347" s="303"/>
      <c r="G347" s="303"/>
      <c r="H347" s="303"/>
      <c r="I347" s="303"/>
      <c r="J347" s="303"/>
      <c r="K347" s="303"/>
      <c r="L347" s="143"/>
      <c r="M347" s="303"/>
      <c r="N347" s="303"/>
      <c r="O347" s="303"/>
      <c r="P347" s="303"/>
      <c r="Q347" s="303"/>
      <c r="R347" s="303"/>
      <c r="S347" s="303"/>
      <c r="T347" s="143"/>
      <c r="U347" s="303"/>
      <c r="V347" s="303"/>
      <c r="W347" s="303"/>
      <c r="X347" s="303"/>
      <c r="Y347" s="303"/>
      <c r="Z347" s="303"/>
      <c r="AA347" s="303"/>
      <c r="AB347" s="143"/>
      <c r="AC347" s="303"/>
      <c r="AD347" s="303"/>
      <c r="AE347" s="303"/>
      <c r="AF347" s="303"/>
      <c r="AG347" s="303"/>
      <c r="AH347" s="303"/>
      <c r="AI347" s="143"/>
      <c r="AJ347" s="125"/>
      <c r="AK347" s="125"/>
      <c r="AL347" s="125"/>
      <c r="AM347" s="125"/>
    </row>
    <row r="348" spans="1:39" ht="12.75" x14ac:dyDescent="0.2">
      <c r="A348" s="303"/>
      <c r="B348" s="303"/>
      <c r="C348" s="303"/>
      <c r="D348" s="143"/>
      <c r="E348" s="303"/>
      <c r="F348" s="303"/>
      <c r="G348" s="303"/>
      <c r="H348" s="303"/>
      <c r="I348" s="303"/>
      <c r="J348" s="303"/>
      <c r="K348" s="303"/>
      <c r="L348" s="143"/>
      <c r="M348" s="303"/>
      <c r="N348" s="303"/>
      <c r="O348" s="303"/>
      <c r="P348" s="303"/>
      <c r="Q348" s="303"/>
      <c r="R348" s="303"/>
      <c r="S348" s="303"/>
      <c r="T348" s="143"/>
      <c r="U348" s="303"/>
      <c r="V348" s="303"/>
      <c r="W348" s="303"/>
      <c r="X348" s="303"/>
      <c r="Y348" s="303"/>
      <c r="Z348" s="303"/>
      <c r="AA348" s="303"/>
      <c r="AB348" s="143"/>
      <c r="AC348" s="303"/>
      <c r="AD348" s="303"/>
      <c r="AE348" s="303"/>
      <c r="AF348" s="303"/>
      <c r="AG348" s="303"/>
      <c r="AH348" s="303"/>
      <c r="AI348" s="143"/>
      <c r="AJ348" s="125"/>
      <c r="AK348" s="125"/>
      <c r="AL348" s="125"/>
      <c r="AM348" s="125"/>
    </row>
    <row r="349" spans="1:39" ht="12.75" x14ac:dyDescent="0.2">
      <c r="A349" s="303"/>
      <c r="B349" s="303"/>
      <c r="C349" s="303"/>
      <c r="D349" s="143"/>
      <c r="E349" s="303"/>
      <c r="F349" s="303"/>
      <c r="G349" s="303"/>
      <c r="H349" s="303"/>
      <c r="I349" s="303"/>
      <c r="J349" s="303"/>
      <c r="K349" s="303"/>
      <c r="L349" s="143"/>
      <c r="M349" s="303"/>
      <c r="N349" s="303"/>
      <c r="O349" s="303"/>
      <c r="P349" s="303"/>
      <c r="Q349" s="303"/>
      <c r="R349" s="303"/>
      <c r="S349" s="303"/>
      <c r="T349" s="143"/>
      <c r="U349" s="303"/>
      <c r="V349" s="303"/>
      <c r="W349" s="303"/>
      <c r="X349" s="303"/>
      <c r="Y349" s="303"/>
      <c r="Z349" s="303"/>
      <c r="AA349" s="303"/>
      <c r="AB349" s="143"/>
      <c r="AC349" s="303"/>
      <c r="AD349" s="303"/>
      <c r="AE349" s="303"/>
      <c r="AF349" s="303"/>
      <c r="AG349" s="303"/>
      <c r="AH349" s="303"/>
      <c r="AI349" s="143"/>
      <c r="AJ349" s="125"/>
      <c r="AK349" s="125"/>
      <c r="AL349" s="125"/>
      <c r="AM349" s="125"/>
    </row>
    <row r="350" spans="1:39" ht="12.75" x14ac:dyDescent="0.2">
      <c r="A350" s="303"/>
      <c r="B350" s="303"/>
      <c r="C350" s="303"/>
      <c r="D350" s="143"/>
      <c r="E350" s="303"/>
      <c r="F350" s="303"/>
      <c r="G350" s="303"/>
      <c r="H350" s="303"/>
      <c r="I350" s="303"/>
      <c r="J350" s="303"/>
      <c r="K350" s="303"/>
      <c r="L350" s="143"/>
      <c r="M350" s="303"/>
      <c r="N350" s="303"/>
      <c r="O350" s="303"/>
      <c r="P350" s="303"/>
      <c r="Q350" s="303"/>
      <c r="R350" s="303"/>
      <c r="S350" s="303"/>
      <c r="T350" s="143"/>
      <c r="U350" s="303"/>
      <c r="V350" s="303"/>
      <c r="W350" s="303"/>
      <c r="X350" s="303"/>
      <c r="Y350" s="303"/>
      <c r="Z350" s="303"/>
      <c r="AA350" s="303"/>
      <c r="AB350" s="143"/>
      <c r="AC350" s="303"/>
      <c r="AD350" s="303"/>
      <c r="AE350" s="303"/>
      <c r="AF350" s="303"/>
      <c r="AG350" s="303"/>
      <c r="AH350" s="303"/>
      <c r="AI350" s="143"/>
      <c r="AJ350" s="125"/>
      <c r="AK350" s="125"/>
      <c r="AL350" s="125"/>
      <c r="AM350" s="125"/>
    </row>
    <row r="351" spans="1:39" ht="12.75" x14ac:dyDescent="0.2">
      <c r="A351" s="303"/>
      <c r="B351" s="303"/>
      <c r="C351" s="303"/>
      <c r="D351" s="143"/>
      <c r="E351" s="303"/>
      <c r="F351" s="303"/>
      <c r="G351" s="303"/>
      <c r="H351" s="303"/>
      <c r="I351" s="303"/>
      <c r="J351" s="303"/>
      <c r="K351" s="303"/>
      <c r="L351" s="143"/>
      <c r="M351" s="303"/>
      <c r="N351" s="303"/>
      <c r="O351" s="303"/>
      <c r="P351" s="303"/>
      <c r="Q351" s="303"/>
      <c r="R351" s="303"/>
      <c r="S351" s="303"/>
      <c r="T351" s="143"/>
      <c r="U351" s="303"/>
      <c r="V351" s="303"/>
      <c r="W351" s="303"/>
      <c r="X351" s="303"/>
      <c r="Y351" s="303"/>
      <c r="Z351" s="303"/>
      <c r="AA351" s="303"/>
      <c r="AB351" s="143"/>
      <c r="AC351" s="303"/>
      <c r="AD351" s="303"/>
      <c r="AE351" s="303"/>
      <c r="AF351" s="303"/>
      <c r="AG351" s="303"/>
      <c r="AH351" s="303"/>
      <c r="AI351" s="143"/>
      <c r="AJ351" s="125"/>
      <c r="AK351" s="125"/>
      <c r="AL351" s="125"/>
      <c r="AM351" s="125"/>
    </row>
    <row r="352" spans="1:39" ht="12.75" x14ac:dyDescent="0.2">
      <c r="A352" s="303"/>
      <c r="B352" s="303"/>
      <c r="C352" s="303"/>
      <c r="D352" s="143"/>
      <c r="E352" s="303"/>
      <c r="F352" s="303"/>
      <c r="G352" s="303"/>
      <c r="H352" s="303"/>
      <c r="I352" s="303"/>
      <c r="J352" s="303"/>
      <c r="K352" s="303"/>
      <c r="L352" s="143"/>
      <c r="M352" s="303"/>
      <c r="N352" s="303"/>
      <c r="O352" s="303"/>
      <c r="P352" s="303"/>
      <c r="Q352" s="303"/>
      <c r="R352" s="303"/>
      <c r="S352" s="303"/>
      <c r="T352" s="143"/>
      <c r="U352" s="303"/>
      <c r="V352" s="303"/>
      <c r="W352" s="303"/>
      <c r="X352" s="303"/>
      <c r="Y352" s="303"/>
      <c r="Z352" s="303"/>
      <c r="AA352" s="303"/>
      <c r="AB352" s="143"/>
      <c r="AC352" s="303"/>
      <c r="AD352" s="303"/>
      <c r="AE352" s="303"/>
      <c r="AF352" s="303"/>
      <c r="AG352" s="303"/>
      <c r="AH352" s="303"/>
      <c r="AI352" s="143"/>
      <c r="AJ352" s="125"/>
      <c r="AK352" s="125"/>
      <c r="AL352" s="125"/>
      <c r="AM352" s="125"/>
    </row>
    <row r="353" spans="1:39" ht="12.75" x14ac:dyDescent="0.2">
      <c r="A353" s="303"/>
      <c r="B353" s="303"/>
      <c r="C353" s="303"/>
      <c r="D353" s="143"/>
      <c r="E353" s="303"/>
      <c r="F353" s="303"/>
      <c r="G353" s="303"/>
      <c r="H353" s="303"/>
      <c r="I353" s="303"/>
      <c r="J353" s="303"/>
      <c r="K353" s="303"/>
      <c r="L353" s="143"/>
      <c r="M353" s="303"/>
      <c r="N353" s="303"/>
      <c r="O353" s="303"/>
      <c r="P353" s="303"/>
      <c r="Q353" s="303"/>
      <c r="R353" s="303"/>
      <c r="S353" s="303"/>
      <c r="T353" s="143"/>
      <c r="U353" s="303"/>
      <c r="V353" s="303"/>
      <c r="W353" s="303"/>
      <c r="X353" s="303"/>
      <c r="Y353" s="303"/>
      <c r="Z353" s="303"/>
      <c r="AA353" s="303"/>
      <c r="AB353" s="143"/>
      <c r="AC353" s="303"/>
      <c r="AD353" s="303"/>
      <c r="AE353" s="303"/>
      <c r="AF353" s="303"/>
      <c r="AG353" s="303"/>
      <c r="AH353" s="303"/>
      <c r="AI353" s="143"/>
      <c r="AJ353" s="125"/>
      <c r="AK353" s="125"/>
      <c r="AL353" s="125"/>
      <c r="AM353" s="125"/>
    </row>
    <row r="354" spans="1:39" ht="12.75" x14ac:dyDescent="0.2">
      <c r="A354" s="303"/>
      <c r="B354" s="303"/>
      <c r="C354" s="303"/>
      <c r="D354" s="143"/>
      <c r="E354" s="303"/>
      <c r="F354" s="303"/>
      <c r="G354" s="303"/>
      <c r="H354" s="303"/>
      <c r="I354" s="303"/>
      <c r="J354" s="303"/>
      <c r="K354" s="303"/>
      <c r="L354" s="143"/>
      <c r="M354" s="303"/>
      <c r="N354" s="303"/>
      <c r="O354" s="303"/>
      <c r="P354" s="303"/>
      <c r="Q354" s="303"/>
      <c r="R354" s="303"/>
      <c r="S354" s="303"/>
      <c r="T354" s="143"/>
      <c r="U354" s="303"/>
      <c r="V354" s="303"/>
      <c r="W354" s="303"/>
      <c r="X354" s="303"/>
      <c r="Y354" s="303"/>
      <c r="Z354" s="303"/>
      <c r="AA354" s="303"/>
      <c r="AB354" s="143"/>
      <c r="AC354" s="303"/>
      <c r="AD354" s="303"/>
      <c r="AE354" s="303"/>
      <c r="AF354" s="303"/>
      <c r="AG354" s="303"/>
      <c r="AH354" s="303"/>
      <c r="AI354" s="143"/>
      <c r="AJ354" s="125"/>
      <c r="AK354" s="125"/>
      <c r="AL354" s="125"/>
      <c r="AM354" s="125"/>
    </row>
    <row r="355" spans="1:39" ht="12.75" x14ac:dyDescent="0.2">
      <c r="A355" s="303"/>
      <c r="B355" s="303"/>
      <c r="C355" s="303"/>
      <c r="D355" s="143"/>
      <c r="E355" s="303"/>
      <c r="F355" s="303"/>
      <c r="G355" s="303"/>
      <c r="H355" s="303"/>
      <c r="I355" s="303"/>
      <c r="J355" s="303"/>
      <c r="K355" s="303"/>
      <c r="L355" s="143"/>
      <c r="M355" s="303"/>
      <c r="N355" s="303"/>
      <c r="O355" s="303"/>
      <c r="P355" s="303"/>
      <c r="Q355" s="303"/>
      <c r="R355" s="303"/>
      <c r="S355" s="303"/>
      <c r="T355" s="143"/>
      <c r="U355" s="303"/>
      <c r="V355" s="303"/>
      <c r="W355" s="303"/>
      <c r="X355" s="303"/>
      <c r="Y355" s="303"/>
      <c r="Z355" s="303"/>
      <c r="AA355" s="303"/>
      <c r="AB355" s="143"/>
      <c r="AC355" s="303"/>
      <c r="AD355" s="303"/>
      <c r="AE355" s="303"/>
      <c r="AF355" s="303"/>
      <c r="AG355" s="303"/>
      <c r="AH355" s="303"/>
      <c r="AI355" s="143"/>
      <c r="AJ355" s="125"/>
      <c r="AK355" s="125"/>
      <c r="AL355" s="125"/>
      <c r="AM355" s="125"/>
    </row>
    <row r="356" spans="1:39" ht="12.75" x14ac:dyDescent="0.2">
      <c r="A356" s="303"/>
      <c r="B356" s="303"/>
      <c r="C356" s="303"/>
      <c r="D356" s="143"/>
      <c r="E356" s="303"/>
      <c r="F356" s="303"/>
      <c r="G356" s="303"/>
      <c r="H356" s="303"/>
      <c r="I356" s="303"/>
      <c r="J356" s="303"/>
      <c r="K356" s="303"/>
      <c r="L356" s="143"/>
      <c r="M356" s="303"/>
      <c r="N356" s="303"/>
      <c r="O356" s="303"/>
      <c r="P356" s="303"/>
      <c r="Q356" s="303"/>
      <c r="R356" s="303"/>
      <c r="S356" s="303"/>
      <c r="T356" s="143"/>
      <c r="U356" s="303"/>
      <c r="V356" s="303"/>
      <c r="W356" s="303"/>
      <c r="X356" s="303"/>
      <c r="Y356" s="303"/>
      <c r="Z356" s="303"/>
      <c r="AA356" s="303"/>
      <c r="AB356" s="143"/>
      <c r="AC356" s="303"/>
      <c r="AD356" s="303"/>
      <c r="AE356" s="303"/>
      <c r="AF356" s="303"/>
      <c r="AG356" s="303"/>
      <c r="AH356" s="303"/>
      <c r="AI356" s="143"/>
      <c r="AJ356" s="125"/>
      <c r="AK356" s="125"/>
      <c r="AL356" s="125"/>
      <c r="AM356" s="125"/>
    </row>
    <row r="357" spans="1:39" ht="12.75" x14ac:dyDescent="0.2">
      <c r="A357" s="303"/>
      <c r="B357" s="303"/>
      <c r="C357" s="303"/>
      <c r="D357" s="143"/>
      <c r="E357" s="303"/>
      <c r="F357" s="303"/>
      <c r="G357" s="303"/>
      <c r="H357" s="303"/>
      <c r="I357" s="303"/>
      <c r="J357" s="303"/>
      <c r="K357" s="303"/>
      <c r="L357" s="143"/>
      <c r="M357" s="303"/>
      <c r="N357" s="303"/>
      <c r="O357" s="303"/>
      <c r="P357" s="303"/>
      <c r="Q357" s="303"/>
      <c r="R357" s="303"/>
      <c r="S357" s="303"/>
      <c r="T357" s="143"/>
      <c r="U357" s="303"/>
      <c r="V357" s="303"/>
      <c r="W357" s="303"/>
      <c r="X357" s="303"/>
      <c r="Y357" s="303"/>
      <c r="Z357" s="303"/>
      <c r="AA357" s="303"/>
      <c r="AB357" s="143"/>
      <c r="AC357" s="303"/>
      <c r="AD357" s="303"/>
      <c r="AE357" s="303"/>
      <c r="AF357" s="303"/>
      <c r="AG357" s="303"/>
      <c r="AH357" s="303"/>
      <c r="AI357" s="143"/>
      <c r="AJ357" s="125"/>
      <c r="AK357" s="125"/>
      <c r="AL357" s="125"/>
      <c r="AM357" s="125"/>
    </row>
    <row r="358" spans="1:39" ht="12.75" x14ac:dyDescent="0.2">
      <c r="A358" s="303"/>
      <c r="B358" s="303"/>
      <c r="C358" s="303"/>
      <c r="D358" s="143"/>
      <c r="E358" s="303"/>
      <c r="F358" s="303"/>
      <c r="G358" s="303"/>
      <c r="H358" s="303"/>
      <c r="I358" s="303"/>
      <c r="J358" s="303"/>
      <c r="K358" s="303"/>
      <c r="L358" s="143"/>
      <c r="M358" s="303"/>
      <c r="N358" s="303"/>
      <c r="O358" s="303"/>
      <c r="P358" s="303"/>
      <c r="Q358" s="303"/>
      <c r="R358" s="303"/>
      <c r="S358" s="303"/>
      <c r="T358" s="143"/>
      <c r="U358" s="303"/>
      <c r="V358" s="303"/>
      <c r="W358" s="303"/>
      <c r="X358" s="303"/>
      <c r="Y358" s="303"/>
      <c r="Z358" s="303"/>
      <c r="AA358" s="303"/>
      <c r="AB358" s="143"/>
      <c r="AC358" s="303"/>
      <c r="AD358" s="303"/>
      <c r="AE358" s="303"/>
      <c r="AF358" s="303"/>
      <c r="AG358" s="303"/>
      <c r="AH358" s="303"/>
      <c r="AI358" s="143"/>
      <c r="AJ358" s="125"/>
      <c r="AK358" s="125"/>
      <c r="AL358" s="125"/>
      <c r="AM358" s="125"/>
    </row>
    <row r="359" spans="1:39" ht="12.75" x14ac:dyDescent="0.2">
      <c r="A359" s="303"/>
      <c r="B359" s="303"/>
      <c r="C359" s="303"/>
      <c r="D359" s="143"/>
      <c r="E359" s="303"/>
      <c r="F359" s="303"/>
      <c r="G359" s="303"/>
      <c r="H359" s="303"/>
      <c r="I359" s="303"/>
      <c r="J359" s="303"/>
      <c r="K359" s="303"/>
      <c r="L359" s="143"/>
      <c r="M359" s="303"/>
      <c r="N359" s="303"/>
      <c r="O359" s="303"/>
      <c r="P359" s="303"/>
      <c r="Q359" s="303"/>
      <c r="R359" s="303"/>
      <c r="S359" s="303"/>
      <c r="T359" s="143"/>
      <c r="U359" s="303"/>
      <c r="V359" s="303"/>
      <c r="W359" s="303"/>
      <c r="X359" s="303"/>
      <c r="Y359" s="303"/>
      <c r="Z359" s="303"/>
      <c r="AA359" s="303"/>
      <c r="AB359" s="143"/>
      <c r="AC359" s="303"/>
      <c r="AD359" s="303"/>
      <c r="AE359" s="303"/>
      <c r="AF359" s="303"/>
      <c r="AG359" s="303"/>
      <c r="AH359" s="303"/>
      <c r="AI359" s="143"/>
      <c r="AJ359" s="125"/>
      <c r="AK359" s="125"/>
      <c r="AL359" s="125"/>
      <c r="AM359" s="125"/>
    </row>
    <row r="360" spans="1:39" ht="12.75" x14ac:dyDescent="0.2">
      <c r="A360" s="303"/>
      <c r="B360" s="303"/>
      <c r="C360" s="303"/>
      <c r="D360" s="143"/>
      <c r="E360" s="303"/>
      <c r="F360" s="303"/>
      <c r="G360" s="303"/>
      <c r="H360" s="303"/>
      <c r="I360" s="303"/>
      <c r="J360" s="303"/>
      <c r="K360" s="303"/>
      <c r="L360" s="143"/>
      <c r="M360" s="303"/>
      <c r="N360" s="303"/>
      <c r="O360" s="303"/>
      <c r="P360" s="303"/>
      <c r="Q360" s="303"/>
      <c r="R360" s="303"/>
      <c r="S360" s="303"/>
      <c r="T360" s="143"/>
      <c r="U360" s="303"/>
      <c r="V360" s="303"/>
      <c r="W360" s="303"/>
      <c r="X360" s="303"/>
      <c r="Y360" s="303"/>
      <c r="Z360" s="303"/>
      <c r="AA360" s="303"/>
      <c r="AB360" s="143"/>
      <c r="AC360" s="303"/>
      <c r="AD360" s="303"/>
      <c r="AE360" s="303"/>
      <c r="AF360" s="303"/>
      <c r="AG360" s="303"/>
      <c r="AH360" s="303"/>
      <c r="AI360" s="143"/>
      <c r="AJ360" s="125"/>
      <c r="AK360" s="125"/>
      <c r="AL360" s="125"/>
      <c r="AM360" s="125"/>
    </row>
    <row r="361" spans="1:39" ht="12.75" x14ac:dyDescent="0.2">
      <c r="A361" s="303"/>
      <c r="B361" s="303"/>
      <c r="C361" s="303"/>
      <c r="D361" s="143"/>
      <c r="E361" s="303"/>
      <c r="F361" s="303"/>
      <c r="G361" s="303"/>
      <c r="H361" s="303"/>
      <c r="I361" s="303"/>
      <c r="J361" s="303"/>
      <c r="K361" s="303"/>
      <c r="L361" s="143"/>
      <c r="M361" s="303"/>
      <c r="N361" s="303"/>
      <c r="O361" s="303"/>
      <c r="P361" s="303"/>
      <c r="Q361" s="303"/>
      <c r="R361" s="303"/>
      <c r="S361" s="303"/>
      <c r="T361" s="143"/>
      <c r="U361" s="303"/>
      <c r="V361" s="303"/>
      <c r="W361" s="303"/>
      <c r="X361" s="303"/>
      <c r="Y361" s="303"/>
      <c r="Z361" s="303"/>
      <c r="AA361" s="303"/>
      <c r="AB361" s="143"/>
      <c r="AC361" s="303"/>
      <c r="AD361" s="303"/>
      <c r="AE361" s="303"/>
      <c r="AF361" s="303"/>
      <c r="AG361" s="303"/>
      <c r="AH361" s="303"/>
      <c r="AI361" s="143"/>
      <c r="AJ361" s="125"/>
      <c r="AK361" s="125"/>
      <c r="AL361" s="125"/>
      <c r="AM361" s="125"/>
    </row>
    <row r="362" spans="1:39" ht="12.75" x14ac:dyDescent="0.2">
      <c r="A362" s="303"/>
      <c r="B362" s="303"/>
      <c r="C362" s="303"/>
      <c r="D362" s="143"/>
      <c r="E362" s="303"/>
      <c r="F362" s="303"/>
      <c r="G362" s="303"/>
      <c r="H362" s="303"/>
      <c r="I362" s="303"/>
      <c r="J362" s="303"/>
      <c r="K362" s="303"/>
      <c r="L362" s="143"/>
      <c r="M362" s="303"/>
      <c r="N362" s="303"/>
      <c r="O362" s="303"/>
      <c r="P362" s="303"/>
      <c r="Q362" s="303"/>
      <c r="R362" s="303"/>
      <c r="S362" s="303"/>
      <c r="T362" s="143"/>
      <c r="U362" s="303"/>
      <c r="V362" s="303"/>
      <c r="W362" s="303"/>
      <c r="X362" s="303"/>
      <c r="Y362" s="303"/>
      <c r="Z362" s="303"/>
      <c r="AA362" s="303"/>
      <c r="AB362" s="143"/>
      <c r="AC362" s="303"/>
      <c r="AD362" s="303"/>
      <c r="AE362" s="303"/>
      <c r="AF362" s="303"/>
      <c r="AG362" s="303"/>
      <c r="AH362" s="303"/>
      <c r="AI362" s="143"/>
      <c r="AJ362" s="125"/>
      <c r="AK362" s="125"/>
      <c r="AL362" s="125"/>
      <c r="AM362" s="125"/>
    </row>
    <row r="363" spans="1:39" ht="12.75" x14ac:dyDescent="0.2">
      <c r="A363" s="303"/>
      <c r="B363" s="303"/>
      <c r="C363" s="303"/>
      <c r="D363" s="143"/>
      <c r="E363" s="303"/>
      <c r="F363" s="303"/>
      <c r="G363" s="303"/>
      <c r="H363" s="303"/>
      <c r="I363" s="303"/>
      <c r="J363" s="303"/>
      <c r="K363" s="303"/>
      <c r="L363" s="143"/>
      <c r="M363" s="303"/>
      <c r="N363" s="303"/>
      <c r="O363" s="303"/>
      <c r="P363" s="303"/>
      <c r="Q363" s="303"/>
      <c r="R363" s="303"/>
      <c r="S363" s="303"/>
      <c r="T363" s="143"/>
      <c r="U363" s="303"/>
      <c r="V363" s="303"/>
      <c r="W363" s="303"/>
      <c r="X363" s="303"/>
      <c r="Y363" s="303"/>
      <c r="Z363" s="303"/>
      <c r="AA363" s="303"/>
      <c r="AB363" s="143"/>
      <c r="AC363" s="303"/>
      <c r="AD363" s="303"/>
      <c r="AE363" s="303"/>
      <c r="AF363" s="303"/>
      <c r="AG363" s="303"/>
      <c r="AH363" s="303"/>
      <c r="AI363" s="143"/>
      <c r="AJ363" s="125"/>
      <c r="AK363" s="125"/>
      <c r="AL363" s="125"/>
      <c r="AM363" s="125"/>
    </row>
    <row r="364" spans="1:39" ht="12.75" x14ac:dyDescent="0.2">
      <c r="A364" s="303"/>
      <c r="B364" s="303"/>
      <c r="C364" s="303"/>
      <c r="D364" s="143"/>
      <c r="E364" s="303"/>
      <c r="F364" s="303"/>
      <c r="G364" s="303"/>
      <c r="H364" s="303"/>
      <c r="I364" s="303"/>
      <c r="J364" s="303"/>
      <c r="K364" s="303"/>
      <c r="L364" s="143"/>
      <c r="M364" s="303"/>
      <c r="N364" s="303"/>
      <c r="O364" s="303"/>
      <c r="P364" s="303"/>
      <c r="Q364" s="303"/>
      <c r="R364" s="303"/>
      <c r="S364" s="303"/>
      <c r="T364" s="143"/>
      <c r="U364" s="303"/>
      <c r="V364" s="303"/>
      <c r="W364" s="303"/>
      <c r="X364" s="303"/>
      <c r="Y364" s="303"/>
      <c r="Z364" s="303"/>
      <c r="AA364" s="303"/>
      <c r="AB364" s="143"/>
      <c r="AC364" s="303"/>
      <c r="AD364" s="303"/>
      <c r="AE364" s="303"/>
      <c r="AF364" s="303"/>
      <c r="AG364" s="303"/>
      <c r="AH364" s="303"/>
      <c r="AI364" s="143"/>
      <c r="AJ364" s="125"/>
      <c r="AK364" s="125"/>
      <c r="AL364" s="125"/>
      <c r="AM364" s="125"/>
    </row>
    <row r="365" spans="1:39" ht="12.75" x14ac:dyDescent="0.2">
      <c r="A365" s="303"/>
      <c r="B365" s="303"/>
      <c r="C365" s="303"/>
      <c r="D365" s="143"/>
      <c r="E365" s="303"/>
      <c r="F365" s="303"/>
      <c r="G365" s="303"/>
      <c r="H365" s="303"/>
      <c r="I365" s="303"/>
      <c r="J365" s="303"/>
      <c r="K365" s="303"/>
      <c r="L365" s="143"/>
      <c r="M365" s="303"/>
      <c r="N365" s="303"/>
      <c r="O365" s="303"/>
      <c r="P365" s="303"/>
      <c r="Q365" s="303"/>
      <c r="R365" s="303"/>
      <c r="S365" s="303"/>
      <c r="T365" s="143"/>
      <c r="U365" s="303"/>
      <c r="V365" s="303"/>
      <c r="W365" s="303"/>
      <c r="X365" s="303"/>
      <c r="Y365" s="303"/>
      <c r="Z365" s="303"/>
      <c r="AA365" s="303"/>
      <c r="AB365" s="143"/>
      <c r="AC365" s="303"/>
      <c r="AD365" s="303"/>
      <c r="AE365" s="303"/>
      <c r="AF365" s="303"/>
      <c r="AG365" s="303"/>
      <c r="AH365" s="303"/>
      <c r="AI365" s="143"/>
      <c r="AJ365" s="125"/>
      <c r="AK365" s="125"/>
      <c r="AL365" s="125"/>
      <c r="AM365" s="125"/>
    </row>
    <row r="366" spans="1:39" ht="12.75" x14ac:dyDescent="0.2">
      <c r="A366" s="303"/>
      <c r="B366" s="303"/>
      <c r="C366" s="303"/>
      <c r="D366" s="143"/>
      <c r="E366" s="303"/>
      <c r="F366" s="303"/>
      <c r="G366" s="303"/>
      <c r="H366" s="303"/>
      <c r="I366" s="303"/>
      <c r="J366" s="303"/>
      <c r="K366" s="303"/>
      <c r="L366" s="143"/>
      <c r="M366" s="303"/>
      <c r="N366" s="303"/>
      <c r="O366" s="303"/>
      <c r="P366" s="303"/>
      <c r="Q366" s="303"/>
      <c r="R366" s="303"/>
      <c r="S366" s="303"/>
      <c r="T366" s="143"/>
      <c r="U366" s="303"/>
      <c r="V366" s="303"/>
      <c r="W366" s="303"/>
      <c r="X366" s="303"/>
      <c r="Y366" s="303"/>
      <c r="Z366" s="303"/>
      <c r="AA366" s="303"/>
      <c r="AB366" s="143"/>
      <c r="AC366" s="303"/>
      <c r="AD366" s="303"/>
      <c r="AE366" s="303"/>
      <c r="AF366" s="303"/>
      <c r="AG366" s="303"/>
      <c r="AH366" s="303"/>
      <c r="AI366" s="143"/>
      <c r="AJ366" s="125"/>
      <c r="AK366" s="125"/>
      <c r="AL366" s="125"/>
      <c r="AM366" s="125"/>
    </row>
    <row r="367" spans="1:39" ht="12.75" x14ac:dyDescent="0.2">
      <c r="A367" s="303"/>
      <c r="B367" s="303"/>
      <c r="C367" s="303"/>
      <c r="D367" s="143"/>
      <c r="E367" s="303"/>
      <c r="F367" s="303"/>
      <c r="G367" s="303"/>
      <c r="H367" s="303"/>
      <c r="I367" s="303"/>
      <c r="J367" s="303"/>
      <c r="K367" s="303"/>
      <c r="L367" s="143"/>
      <c r="M367" s="303"/>
      <c r="N367" s="303"/>
      <c r="O367" s="303"/>
      <c r="P367" s="303"/>
      <c r="Q367" s="303"/>
      <c r="R367" s="303"/>
      <c r="S367" s="303"/>
      <c r="T367" s="143"/>
      <c r="U367" s="303"/>
      <c r="V367" s="303"/>
      <c r="W367" s="303"/>
      <c r="X367" s="303"/>
      <c r="Y367" s="303"/>
      <c r="Z367" s="303"/>
      <c r="AA367" s="303"/>
      <c r="AB367" s="143"/>
      <c r="AC367" s="303"/>
      <c r="AD367" s="303"/>
      <c r="AE367" s="303"/>
      <c r="AF367" s="303"/>
      <c r="AG367" s="303"/>
      <c r="AH367" s="303"/>
      <c r="AI367" s="143"/>
      <c r="AJ367" s="125"/>
      <c r="AK367" s="125"/>
      <c r="AL367" s="125"/>
      <c r="AM367" s="125"/>
    </row>
    <row r="368" spans="1:39" ht="12.75" x14ac:dyDescent="0.2">
      <c r="A368" s="303"/>
      <c r="B368" s="303"/>
      <c r="C368" s="303"/>
      <c r="D368" s="143"/>
      <c r="E368" s="303"/>
      <c r="F368" s="303"/>
      <c r="G368" s="303"/>
      <c r="H368" s="303"/>
      <c r="I368" s="303"/>
      <c r="J368" s="303"/>
      <c r="K368" s="303"/>
      <c r="L368" s="143"/>
      <c r="M368" s="303"/>
      <c r="N368" s="303"/>
      <c r="O368" s="303"/>
      <c r="P368" s="303"/>
      <c r="Q368" s="303"/>
      <c r="R368" s="303"/>
      <c r="S368" s="303"/>
      <c r="T368" s="143"/>
      <c r="U368" s="303"/>
      <c r="V368" s="303"/>
      <c r="W368" s="303"/>
      <c r="X368" s="303"/>
      <c r="Y368" s="303"/>
      <c r="Z368" s="303"/>
      <c r="AA368" s="303"/>
      <c r="AB368" s="143"/>
      <c r="AC368" s="303"/>
      <c r="AD368" s="303"/>
      <c r="AE368" s="303"/>
      <c r="AF368" s="303"/>
      <c r="AG368" s="303"/>
      <c r="AH368" s="303"/>
      <c r="AI368" s="143"/>
      <c r="AJ368" s="125"/>
      <c r="AK368" s="125"/>
      <c r="AL368" s="125"/>
      <c r="AM368" s="125"/>
    </row>
    <row r="369" spans="1:39" ht="12.75" x14ac:dyDescent="0.2">
      <c r="A369" s="303"/>
      <c r="B369" s="303"/>
      <c r="C369" s="303"/>
      <c r="D369" s="143"/>
      <c r="E369" s="303"/>
      <c r="F369" s="303"/>
      <c r="G369" s="303"/>
      <c r="H369" s="303"/>
      <c r="I369" s="303"/>
      <c r="J369" s="303"/>
      <c r="K369" s="303"/>
      <c r="L369" s="143"/>
      <c r="M369" s="303"/>
      <c r="N369" s="303"/>
      <c r="O369" s="303"/>
      <c r="P369" s="303"/>
      <c r="Q369" s="303"/>
      <c r="R369" s="303"/>
      <c r="S369" s="303"/>
      <c r="T369" s="143"/>
      <c r="U369" s="303"/>
      <c r="V369" s="303"/>
      <c r="W369" s="303"/>
      <c r="X369" s="303"/>
      <c r="Y369" s="303"/>
      <c r="Z369" s="303"/>
      <c r="AA369" s="303"/>
      <c r="AB369" s="143"/>
      <c r="AC369" s="303"/>
      <c r="AD369" s="303"/>
      <c r="AE369" s="303"/>
      <c r="AF369" s="303"/>
      <c r="AG369" s="303"/>
      <c r="AH369" s="303"/>
      <c r="AI369" s="143"/>
      <c r="AJ369" s="125"/>
      <c r="AK369" s="125"/>
      <c r="AL369" s="125"/>
      <c r="AM369" s="125"/>
    </row>
    <row r="370" spans="1:39" ht="12.75" x14ac:dyDescent="0.2">
      <c r="A370" s="303"/>
      <c r="B370" s="303"/>
      <c r="C370" s="303"/>
      <c r="D370" s="143"/>
      <c r="E370" s="303"/>
      <c r="F370" s="303"/>
      <c r="G370" s="303"/>
      <c r="H370" s="303"/>
      <c r="I370" s="303"/>
      <c r="J370" s="303"/>
      <c r="K370" s="303"/>
      <c r="L370" s="143"/>
      <c r="M370" s="303"/>
      <c r="N370" s="303"/>
      <c r="O370" s="303"/>
      <c r="P370" s="303"/>
      <c r="Q370" s="303"/>
      <c r="R370" s="303"/>
      <c r="S370" s="303"/>
      <c r="T370" s="143"/>
      <c r="U370" s="303"/>
      <c r="V370" s="303"/>
      <c r="W370" s="303"/>
      <c r="X370" s="303"/>
      <c r="Y370" s="303"/>
      <c r="Z370" s="303"/>
      <c r="AA370" s="303"/>
      <c r="AB370" s="143"/>
      <c r="AC370" s="303"/>
      <c r="AD370" s="303"/>
      <c r="AE370" s="303"/>
      <c r="AF370" s="303"/>
      <c r="AG370" s="303"/>
      <c r="AH370" s="303"/>
      <c r="AI370" s="143"/>
      <c r="AJ370" s="125"/>
      <c r="AK370" s="125"/>
      <c r="AL370" s="125"/>
      <c r="AM370" s="125"/>
    </row>
    <row r="371" spans="1:39" ht="12.75" x14ac:dyDescent="0.2">
      <c r="A371" s="303"/>
      <c r="B371" s="303"/>
      <c r="C371" s="303"/>
      <c r="D371" s="143"/>
      <c r="E371" s="303"/>
      <c r="F371" s="303"/>
      <c r="G371" s="303"/>
      <c r="H371" s="303"/>
      <c r="I371" s="303"/>
      <c r="J371" s="303"/>
      <c r="K371" s="303"/>
      <c r="L371" s="143"/>
      <c r="M371" s="303"/>
      <c r="N371" s="303"/>
      <c r="O371" s="303"/>
      <c r="P371" s="303"/>
      <c r="Q371" s="303"/>
      <c r="R371" s="303"/>
      <c r="S371" s="303"/>
      <c r="T371" s="143"/>
      <c r="U371" s="303"/>
      <c r="V371" s="303"/>
      <c r="W371" s="303"/>
      <c r="X371" s="303"/>
      <c r="Y371" s="303"/>
      <c r="Z371" s="303"/>
      <c r="AA371" s="303"/>
      <c r="AB371" s="143"/>
      <c r="AC371" s="303"/>
      <c r="AD371" s="303"/>
      <c r="AE371" s="303"/>
      <c r="AF371" s="303"/>
      <c r="AG371" s="303"/>
      <c r="AH371" s="303"/>
      <c r="AI371" s="143"/>
      <c r="AJ371" s="125"/>
      <c r="AK371" s="125"/>
      <c r="AL371" s="125"/>
      <c r="AM371" s="125"/>
    </row>
    <row r="372" spans="1:39" ht="12.75" x14ac:dyDescent="0.2">
      <c r="A372" s="303"/>
      <c r="B372" s="303"/>
      <c r="C372" s="303"/>
      <c r="D372" s="143"/>
      <c r="E372" s="303"/>
      <c r="F372" s="303"/>
      <c r="G372" s="303"/>
      <c r="H372" s="303"/>
      <c r="I372" s="303"/>
      <c r="J372" s="303"/>
      <c r="K372" s="303"/>
      <c r="L372" s="143"/>
      <c r="M372" s="303"/>
      <c r="N372" s="303"/>
      <c r="O372" s="303"/>
      <c r="P372" s="303"/>
      <c r="Q372" s="303"/>
      <c r="R372" s="303"/>
      <c r="S372" s="303"/>
      <c r="T372" s="143"/>
      <c r="U372" s="303"/>
      <c r="V372" s="303"/>
      <c r="W372" s="303"/>
      <c r="X372" s="303"/>
      <c r="Y372" s="303"/>
      <c r="Z372" s="303"/>
      <c r="AA372" s="303"/>
      <c r="AB372" s="143"/>
      <c r="AC372" s="303"/>
      <c r="AD372" s="303"/>
      <c r="AE372" s="303"/>
      <c r="AF372" s="303"/>
      <c r="AG372" s="303"/>
      <c r="AH372" s="303"/>
      <c r="AI372" s="143"/>
      <c r="AJ372" s="125"/>
      <c r="AK372" s="125"/>
      <c r="AL372" s="125"/>
      <c r="AM372" s="125"/>
    </row>
    <row r="373" spans="1:39" ht="12.75" x14ac:dyDescent="0.2">
      <c r="A373" s="303"/>
      <c r="B373" s="303"/>
      <c r="C373" s="303"/>
      <c r="D373" s="143"/>
      <c r="E373" s="303"/>
      <c r="F373" s="303"/>
      <c r="G373" s="303"/>
      <c r="H373" s="303"/>
      <c r="I373" s="303"/>
      <c r="J373" s="303"/>
      <c r="K373" s="303"/>
      <c r="L373" s="143"/>
      <c r="M373" s="303"/>
      <c r="N373" s="303"/>
      <c r="O373" s="303"/>
      <c r="P373" s="303"/>
      <c r="Q373" s="303"/>
      <c r="R373" s="303"/>
      <c r="S373" s="303"/>
      <c r="T373" s="143"/>
      <c r="U373" s="303"/>
      <c r="V373" s="303"/>
      <c r="W373" s="303"/>
      <c r="X373" s="303"/>
      <c r="Y373" s="303"/>
      <c r="Z373" s="303"/>
      <c r="AA373" s="303"/>
      <c r="AB373" s="143"/>
      <c r="AC373" s="303"/>
      <c r="AD373" s="303"/>
      <c r="AE373" s="303"/>
      <c r="AF373" s="303"/>
      <c r="AG373" s="303"/>
      <c r="AH373" s="303"/>
      <c r="AI373" s="143"/>
      <c r="AJ373" s="125"/>
      <c r="AK373" s="125"/>
      <c r="AL373" s="125"/>
      <c r="AM373" s="125"/>
    </row>
    <row r="374" spans="1:39" ht="12.75" x14ac:dyDescent="0.2">
      <c r="A374" s="303"/>
      <c r="B374" s="303"/>
      <c r="C374" s="303"/>
      <c r="D374" s="143"/>
      <c r="E374" s="303"/>
      <c r="F374" s="303"/>
      <c r="G374" s="303"/>
      <c r="H374" s="303"/>
      <c r="I374" s="303"/>
      <c r="J374" s="303"/>
      <c r="K374" s="303"/>
      <c r="L374" s="143"/>
      <c r="M374" s="303"/>
      <c r="N374" s="303"/>
      <c r="O374" s="303"/>
      <c r="P374" s="303"/>
      <c r="Q374" s="303"/>
      <c r="R374" s="303"/>
      <c r="S374" s="303"/>
      <c r="T374" s="143"/>
      <c r="U374" s="303"/>
      <c r="V374" s="303"/>
      <c r="W374" s="303"/>
      <c r="X374" s="303"/>
      <c r="Y374" s="303"/>
      <c r="Z374" s="303"/>
      <c r="AA374" s="303"/>
      <c r="AB374" s="143"/>
      <c r="AC374" s="303"/>
      <c r="AD374" s="303"/>
      <c r="AE374" s="303"/>
      <c r="AF374" s="303"/>
      <c r="AG374" s="303"/>
      <c r="AH374" s="303"/>
      <c r="AI374" s="143"/>
      <c r="AJ374" s="125"/>
      <c r="AK374" s="125"/>
      <c r="AL374" s="125"/>
      <c r="AM374" s="125"/>
    </row>
    <row r="375" spans="1:39" ht="12.75" x14ac:dyDescent="0.2">
      <c r="A375" s="303"/>
      <c r="B375" s="303"/>
      <c r="C375" s="303"/>
      <c r="D375" s="143"/>
      <c r="E375" s="303"/>
      <c r="F375" s="303"/>
      <c r="G375" s="303"/>
      <c r="H375" s="303"/>
      <c r="I375" s="303"/>
      <c r="J375" s="303"/>
      <c r="K375" s="303"/>
      <c r="L375" s="143"/>
      <c r="M375" s="303"/>
      <c r="N375" s="303"/>
      <c r="O375" s="303"/>
      <c r="P375" s="303"/>
      <c r="Q375" s="303"/>
      <c r="R375" s="303"/>
      <c r="S375" s="303"/>
      <c r="T375" s="143"/>
      <c r="U375" s="303"/>
      <c r="V375" s="303"/>
      <c r="W375" s="303"/>
      <c r="X375" s="303"/>
      <c r="Y375" s="303"/>
      <c r="Z375" s="303"/>
      <c r="AA375" s="303"/>
      <c r="AB375" s="143"/>
      <c r="AC375" s="303"/>
      <c r="AD375" s="303"/>
      <c r="AE375" s="303"/>
      <c r="AF375" s="303"/>
      <c r="AG375" s="303"/>
      <c r="AH375" s="303"/>
      <c r="AI375" s="143"/>
      <c r="AJ375" s="125"/>
      <c r="AK375" s="125"/>
      <c r="AL375" s="125"/>
      <c r="AM375" s="125"/>
    </row>
    <row r="376" spans="1:39" ht="12.75" x14ac:dyDescent="0.2">
      <c r="A376" s="303"/>
      <c r="B376" s="303"/>
      <c r="C376" s="303"/>
      <c r="D376" s="143"/>
      <c r="E376" s="303"/>
      <c r="F376" s="303"/>
      <c r="G376" s="303"/>
      <c r="H376" s="303"/>
      <c r="I376" s="303"/>
      <c r="J376" s="303"/>
      <c r="K376" s="303"/>
      <c r="L376" s="143"/>
      <c r="M376" s="303"/>
      <c r="N376" s="303"/>
      <c r="O376" s="303"/>
      <c r="P376" s="303"/>
      <c r="Q376" s="303"/>
      <c r="R376" s="303"/>
      <c r="S376" s="303"/>
      <c r="T376" s="143"/>
      <c r="U376" s="303"/>
      <c r="V376" s="303"/>
      <c r="W376" s="303"/>
      <c r="X376" s="303"/>
      <c r="Y376" s="303"/>
      <c r="Z376" s="303"/>
      <c r="AA376" s="303"/>
      <c r="AB376" s="143"/>
      <c r="AC376" s="303"/>
      <c r="AD376" s="303"/>
      <c r="AE376" s="303"/>
      <c r="AF376" s="303"/>
      <c r="AG376" s="303"/>
      <c r="AH376" s="303"/>
      <c r="AI376" s="143"/>
      <c r="AJ376" s="125"/>
      <c r="AK376" s="125"/>
      <c r="AL376" s="125"/>
      <c r="AM376" s="125"/>
    </row>
    <row r="377" spans="1:39" ht="12.75" x14ac:dyDescent="0.2">
      <c r="A377" s="303"/>
      <c r="B377" s="303"/>
      <c r="C377" s="303"/>
      <c r="D377" s="143"/>
      <c r="E377" s="303"/>
      <c r="F377" s="303"/>
      <c r="G377" s="303"/>
      <c r="H377" s="303"/>
      <c r="I377" s="303"/>
      <c r="J377" s="303"/>
      <c r="K377" s="303"/>
      <c r="L377" s="143"/>
      <c r="M377" s="303"/>
      <c r="N377" s="303"/>
      <c r="O377" s="303"/>
      <c r="P377" s="303"/>
      <c r="Q377" s="303"/>
      <c r="R377" s="303"/>
      <c r="S377" s="303"/>
      <c r="T377" s="143"/>
      <c r="U377" s="303"/>
      <c r="V377" s="303"/>
      <c r="W377" s="303"/>
      <c r="X377" s="303"/>
      <c r="Y377" s="303"/>
      <c r="Z377" s="303"/>
      <c r="AA377" s="303"/>
      <c r="AB377" s="143"/>
      <c r="AC377" s="303"/>
      <c r="AD377" s="303"/>
      <c r="AE377" s="303"/>
      <c r="AF377" s="303"/>
      <c r="AG377" s="303"/>
      <c r="AH377" s="303"/>
      <c r="AI377" s="143"/>
      <c r="AJ377" s="125"/>
      <c r="AK377" s="125"/>
      <c r="AL377" s="125"/>
      <c r="AM377" s="125"/>
    </row>
    <row r="378" spans="1:39" ht="12.75" x14ac:dyDescent="0.2">
      <c r="A378" s="303"/>
      <c r="B378" s="303"/>
      <c r="C378" s="303"/>
      <c r="D378" s="143"/>
      <c r="E378" s="303"/>
      <c r="F378" s="303"/>
      <c r="G378" s="303"/>
      <c r="H378" s="303"/>
      <c r="I378" s="303"/>
      <c r="J378" s="303"/>
      <c r="K378" s="303"/>
      <c r="L378" s="143"/>
      <c r="M378" s="303"/>
      <c r="N378" s="303"/>
      <c r="O378" s="303"/>
      <c r="P378" s="303"/>
      <c r="Q378" s="303"/>
      <c r="R378" s="303"/>
      <c r="S378" s="303"/>
      <c r="T378" s="143"/>
      <c r="U378" s="303"/>
      <c r="V378" s="303"/>
      <c r="W378" s="303"/>
      <c r="X378" s="303"/>
      <c r="Y378" s="303"/>
      <c r="Z378" s="303"/>
      <c r="AA378" s="303"/>
      <c r="AB378" s="143"/>
      <c r="AC378" s="303"/>
      <c r="AD378" s="303"/>
      <c r="AE378" s="303"/>
      <c r="AF378" s="303"/>
      <c r="AG378" s="303"/>
      <c r="AH378" s="303"/>
      <c r="AI378" s="143"/>
      <c r="AJ378" s="125"/>
      <c r="AK378" s="125"/>
      <c r="AL378" s="125"/>
      <c r="AM378" s="125"/>
    </row>
    <row r="379" spans="1:39" ht="12.75" x14ac:dyDescent="0.2">
      <c r="A379" s="303"/>
      <c r="B379" s="303"/>
      <c r="C379" s="303"/>
      <c r="D379" s="143"/>
      <c r="E379" s="303"/>
      <c r="F379" s="303"/>
      <c r="G379" s="303"/>
      <c r="H379" s="303"/>
      <c r="I379" s="303"/>
      <c r="J379" s="303"/>
      <c r="K379" s="303"/>
      <c r="L379" s="143"/>
      <c r="M379" s="303"/>
      <c r="N379" s="303"/>
      <c r="O379" s="303"/>
      <c r="P379" s="303"/>
      <c r="Q379" s="303"/>
      <c r="R379" s="303"/>
      <c r="S379" s="303"/>
      <c r="T379" s="143"/>
      <c r="U379" s="303"/>
      <c r="V379" s="303"/>
      <c r="W379" s="303"/>
      <c r="X379" s="303"/>
      <c r="Y379" s="303"/>
      <c r="Z379" s="303"/>
      <c r="AA379" s="303"/>
      <c r="AB379" s="143"/>
      <c r="AC379" s="303"/>
      <c r="AD379" s="303"/>
      <c r="AE379" s="303"/>
      <c r="AF379" s="303"/>
      <c r="AG379" s="303"/>
      <c r="AH379" s="303"/>
      <c r="AI379" s="143"/>
      <c r="AJ379" s="125"/>
      <c r="AK379" s="125"/>
      <c r="AL379" s="125"/>
      <c r="AM379" s="125"/>
    </row>
    <row r="380" spans="1:39" ht="12.75" x14ac:dyDescent="0.2">
      <c r="A380" s="303"/>
      <c r="B380" s="303"/>
      <c r="C380" s="303"/>
      <c r="D380" s="143"/>
      <c r="E380" s="303"/>
      <c r="F380" s="303"/>
      <c r="G380" s="303"/>
      <c r="H380" s="303"/>
      <c r="I380" s="303"/>
      <c r="J380" s="303"/>
      <c r="K380" s="303"/>
      <c r="L380" s="143"/>
      <c r="M380" s="303"/>
      <c r="N380" s="303"/>
      <c r="O380" s="303"/>
      <c r="P380" s="303"/>
      <c r="Q380" s="303"/>
      <c r="R380" s="303"/>
      <c r="S380" s="303"/>
      <c r="T380" s="143"/>
      <c r="U380" s="303"/>
      <c r="V380" s="303"/>
      <c r="W380" s="303"/>
      <c r="X380" s="303"/>
      <c r="Y380" s="303"/>
      <c r="Z380" s="303"/>
      <c r="AA380" s="303"/>
      <c r="AB380" s="143"/>
      <c r="AC380" s="303"/>
      <c r="AD380" s="303"/>
      <c r="AE380" s="303"/>
      <c r="AF380" s="303"/>
      <c r="AG380" s="303"/>
      <c r="AH380" s="303"/>
      <c r="AI380" s="143"/>
      <c r="AJ380" s="125"/>
      <c r="AK380" s="125"/>
      <c r="AL380" s="125"/>
      <c r="AM380" s="125"/>
    </row>
    <row r="381" spans="1:39" ht="12.75" x14ac:dyDescent="0.2">
      <c r="A381" s="303"/>
      <c r="B381" s="303"/>
      <c r="C381" s="303"/>
      <c r="D381" s="143"/>
      <c r="E381" s="303"/>
      <c r="F381" s="303"/>
      <c r="G381" s="303"/>
      <c r="H381" s="303"/>
      <c r="I381" s="303"/>
      <c r="J381" s="303"/>
      <c r="K381" s="303"/>
      <c r="L381" s="143"/>
      <c r="M381" s="303"/>
      <c r="N381" s="303"/>
      <c r="O381" s="303"/>
      <c r="P381" s="303"/>
      <c r="Q381" s="303"/>
      <c r="R381" s="303"/>
      <c r="S381" s="303"/>
      <c r="T381" s="143"/>
      <c r="U381" s="303"/>
      <c r="V381" s="303"/>
      <c r="W381" s="303"/>
      <c r="X381" s="303"/>
      <c r="Y381" s="303"/>
      <c r="Z381" s="303"/>
      <c r="AA381" s="303"/>
      <c r="AB381" s="143"/>
      <c r="AC381" s="303"/>
      <c r="AD381" s="303"/>
      <c r="AE381" s="303"/>
      <c r="AF381" s="303"/>
      <c r="AG381" s="303"/>
      <c r="AH381" s="303"/>
      <c r="AI381" s="143"/>
      <c r="AJ381" s="125"/>
      <c r="AK381" s="125"/>
      <c r="AL381" s="125"/>
      <c r="AM381" s="125"/>
    </row>
    <row r="382" spans="1:39" ht="12.75" x14ac:dyDescent="0.2">
      <c r="A382" s="303"/>
      <c r="B382" s="303"/>
      <c r="C382" s="303"/>
      <c r="D382" s="143"/>
      <c r="E382" s="303"/>
      <c r="F382" s="303"/>
      <c r="G382" s="303"/>
      <c r="H382" s="303"/>
      <c r="I382" s="303"/>
      <c r="J382" s="303"/>
      <c r="K382" s="303"/>
      <c r="L382" s="143"/>
      <c r="M382" s="303"/>
      <c r="N382" s="303"/>
      <c r="O382" s="303"/>
      <c r="P382" s="303"/>
      <c r="Q382" s="303"/>
      <c r="R382" s="303"/>
      <c r="S382" s="303"/>
      <c r="T382" s="143"/>
      <c r="U382" s="303"/>
      <c r="V382" s="303"/>
      <c r="W382" s="303"/>
      <c r="X382" s="303"/>
      <c r="Y382" s="303"/>
      <c r="Z382" s="303"/>
      <c r="AA382" s="303"/>
      <c r="AB382" s="143"/>
      <c r="AC382" s="303"/>
      <c r="AD382" s="303"/>
      <c r="AE382" s="303"/>
      <c r="AF382" s="303"/>
      <c r="AG382" s="303"/>
      <c r="AH382" s="303"/>
      <c r="AI382" s="143"/>
      <c r="AJ382" s="125"/>
      <c r="AK382" s="125"/>
      <c r="AL382" s="125"/>
      <c r="AM382" s="125"/>
    </row>
    <row r="383" spans="1:39" ht="12.75" x14ac:dyDescent="0.2">
      <c r="A383" s="303"/>
      <c r="B383" s="303"/>
      <c r="C383" s="303"/>
      <c r="D383" s="143"/>
      <c r="E383" s="303"/>
      <c r="F383" s="303"/>
      <c r="G383" s="303"/>
      <c r="H383" s="303"/>
      <c r="I383" s="303"/>
      <c r="J383" s="303"/>
      <c r="K383" s="303"/>
      <c r="L383" s="143"/>
      <c r="M383" s="303"/>
      <c r="N383" s="303"/>
      <c r="O383" s="303"/>
      <c r="P383" s="303"/>
      <c r="Q383" s="303"/>
      <c r="R383" s="303"/>
      <c r="S383" s="303"/>
      <c r="T383" s="143"/>
      <c r="U383" s="303"/>
      <c r="V383" s="303"/>
      <c r="W383" s="303"/>
      <c r="X383" s="303"/>
      <c r="Y383" s="303"/>
      <c r="Z383" s="303"/>
      <c r="AA383" s="303"/>
      <c r="AB383" s="143"/>
      <c r="AC383" s="303"/>
      <c r="AD383" s="303"/>
      <c r="AE383" s="303"/>
      <c r="AF383" s="303"/>
      <c r="AG383" s="303"/>
      <c r="AH383" s="303"/>
      <c r="AI383" s="143"/>
      <c r="AJ383" s="125"/>
      <c r="AK383" s="125"/>
      <c r="AL383" s="125"/>
      <c r="AM383" s="125"/>
    </row>
    <row r="384" spans="1:39" ht="12.75" x14ac:dyDescent="0.2">
      <c r="A384" s="303"/>
      <c r="B384" s="303"/>
      <c r="C384" s="303"/>
      <c r="D384" s="143"/>
      <c r="E384" s="303"/>
      <c r="F384" s="303"/>
      <c r="G384" s="303"/>
      <c r="H384" s="303"/>
      <c r="I384" s="303"/>
      <c r="J384" s="303"/>
      <c r="K384" s="303"/>
      <c r="L384" s="143"/>
      <c r="M384" s="303"/>
      <c r="N384" s="303"/>
      <c r="O384" s="303"/>
      <c r="P384" s="303"/>
      <c r="Q384" s="303"/>
      <c r="R384" s="303"/>
      <c r="S384" s="303"/>
      <c r="T384" s="143"/>
      <c r="U384" s="303"/>
      <c r="V384" s="303"/>
      <c r="W384" s="303"/>
      <c r="X384" s="303"/>
      <c r="Y384" s="303"/>
      <c r="Z384" s="303"/>
      <c r="AA384" s="303"/>
      <c r="AB384" s="143"/>
      <c r="AC384" s="303"/>
      <c r="AD384" s="303"/>
      <c r="AE384" s="303"/>
      <c r="AF384" s="303"/>
      <c r="AG384" s="303"/>
      <c r="AH384" s="303"/>
      <c r="AI384" s="143"/>
      <c r="AJ384" s="125"/>
      <c r="AK384" s="125"/>
      <c r="AL384" s="125"/>
      <c r="AM384" s="125"/>
    </row>
    <row r="385" spans="1:39" ht="12.75" x14ac:dyDescent="0.2">
      <c r="A385" s="303"/>
      <c r="B385" s="303"/>
      <c r="C385" s="303"/>
      <c r="D385" s="143"/>
      <c r="E385" s="303"/>
      <c r="F385" s="303"/>
      <c r="G385" s="303"/>
      <c r="H385" s="303"/>
      <c r="I385" s="303"/>
      <c r="J385" s="303"/>
      <c r="K385" s="303"/>
      <c r="L385" s="143"/>
      <c r="M385" s="303"/>
      <c r="N385" s="303"/>
      <c r="O385" s="303"/>
      <c r="P385" s="303"/>
      <c r="Q385" s="303"/>
      <c r="R385" s="303"/>
      <c r="S385" s="303"/>
      <c r="T385" s="143"/>
      <c r="U385" s="303"/>
      <c r="V385" s="303"/>
      <c r="W385" s="303"/>
      <c r="X385" s="303"/>
      <c r="Y385" s="303"/>
      <c r="Z385" s="303"/>
      <c r="AA385" s="303"/>
      <c r="AB385" s="143"/>
      <c r="AC385" s="303"/>
      <c r="AD385" s="303"/>
      <c r="AE385" s="303"/>
      <c r="AF385" s="303"/>
      <c r="AG385" s="303"/>
      <c r="AH385" s="303"/>
      <c r="AI385" s="143"/>
      <c r="AJ385" s="125"/>
      <c r="AK385" s="125"/>
      <c r="AL385" s="125"/>
      <c r="AM385" s="125"/>
    </row>
    <row r="386" spans="1:39" ht="12.75" x14ac:dyDescent="0.2">
      <c r="A386" s="303"/>
      <c r="B386" s="303"/>
      <c r="C386" s="303"/>
      <c r="D386" s="143"/>
      <c r="E386" s="303"/>
      <c r="F386" s="303"/>
      <c r="G386" s="303"/>
      <c r="H386" s="303"/>
      <c r="I386" s="303"/>
      <c r="J386" s="303"/>
      <c r="K386" s="303"/>
      <c r="L386" s="143"/>
      <c r="M386" s="303"/>
      <c r="N386" s="303"/>
      <c r="O386" s="303"/>
      <c r="P386" s="303"/>
      <c r="Q386" s="303"/>
      <c r="R386" s="303"/>
      <c r="S386" s="303"/>
      <c r="T386" s="143"/>
      <c r="U386" s="303"/>
      <c r="V386" s="303"/>
      <c r="W386" s="303"/>
      <c r="X386" s="303"/>
      <c r="Y386" s="303"/>
      <c r="Z386" s="303"/>
      <c r="AA386" s="303"/>
      <c r="AB386" s="143"/>
      <c r="AC386" s="303"/>
      <c r="AD386" s="303"/>
      <c r="AE386" s="303"/>
      <c r="AF386" s="303"/>
      <c r="AG386" s="303"/>
      <c r="AH386" s="303"/>
      <c r="AI386" s="143"/>
      <c r="AJ386" s="125"/>
      <c r="AK386" s="125"/>
      <c r="AL386" s="125"/>
      <c r="AM386" s="125"/>
    </row>
    <row r="387" spans="1:39" ht="12.75" x14ac:dyDescent="0.2">
      <c r="A387" s="303"/>
      <c r="B387" s="303"/>
      <c r="C387" s="303"/>
      <c r="D387" s="143"/>
      <c r="E387" s="303"/>
      <c r="F387" s="303"/>
      <c r="G387" s="303"/>
      <c r="H387" s="303"/>
      <c r="I387" s="303"/>
      <c r="J387" s="303"/>
      <c r="K387" s="303"/>
      <c r="L387" s="143"/>
      <c r="M387" s="303"/>
      <c r="N387" s="303"/>
      <c r="O387" s="303"/>
      <c r="P387" s="303"/>
      <c r="Q387" s="303"/>
      <c r="R387" s="303"/>
      <c r="S387" s="303"/>
      <c r="T387" s="143"/>
      <c r="U387" s="303"/>
      <c r="V387" s="303"/>
      <c r="W387" s="303"/>
      <c r="X387" s="303"/>
      <c r="Y387" s="303"/>
      <c r="Z387" s="303"/>
      <c r="AA387" s="303"/>
      <c r="AB387" s="143"/>
      <c r="AC387" s="303"/>
      <c r="AD387" s="303"/>
      <c r="AE387" s="303"/>
      <c r="AF387" s="303"/>
      <c r="AG387" s="303"/>
      <c r="AH387" s="303"/>
      <c r="AI387" s="143"/>
      <c r="AJ387" s="125"/>
      <c r="AK387" s="125"/>
      <c r="AL387" s="125"/>
      <c r="AM387" s="125"/>
    </row>
    <row r="388" spans="1:39" ht="12.75" x14ac:dyDescent="0.2">
      <c r="A388" s="303"/>
      <c r="B388" s="303"/>
      <c r="C388" s="303"/>
      <c r="D388" s="143"/>
      <c r="E388" s="303"/>
      <c r="F388" s="303"/>
      <c r="G388" s="303"/>
      <c r="H388" s="303"/>
      <c r="I388" s="303"/>
      <c r="J388" s="303"/>
      <c r="K388" s="303"/>
      <c r="L388" s="143"/>
      <c r="M388" s="303"/>
      <c r="N388" s="303"/>
      <c r="O388" s="303"/>
      <c r="P388" s="303"/>
      <c r="Q388" s="303"/>
      <c r="R388" s="303"/>
      <c r="S388" s="303"/>
      <c r="T388" s="143"/>
      <c r="U388" s="303"/>
      <c r="V388" s="303"/>
      <c r="W388" s="303"/>
      <c r="X388" s="303"/>
      <c r="Y388" s="303"/>
      <c r="Z388" s="303"/>
      <c r="AA388" s="303"/>
      <c r="AB388" s="143"/>
      <c r="AC388" s="303"/>
      <c r="AD388" s="303"/>
      <c r="AE388" s="303"/>
      <c r="AF388" s="303"/>
      <c r="AG388" s="303"/>
      <c r="AH388" s="303"/>
      <c r="AI388" s="143"/>
      <c r="AJ388" s="125"/>
      <c r="AK388" s="125"/>
      <c r="AL388" s="125"/>
      <c r="AM388" s="125"/>
    </row>
    <row r="389" spans="1:39" ht="12.75" x14ac:dyDescent="0.2">
      <c r="A389" s="303"/>
      <c r="B389" s="303"/>
      <c r="C389" s="303"/>
      <c r="D389" s="143"/>
      <c r="E389" s="303"/>
      <c r="F389" s="303"/>
      <c r="G389" s="303"/>
      <c r="H389" s="303"/>
      <c r="I389" s="303"/>
      <c r="J389" s="303"/>
      <c r="K389" s="303"/>
      <c r="L389" s="143"/>
      <c r="M389" s="303"/>
      <c r="N389" s="303"/>
      <c r="O389" s="303"/>
      <c r="P389" s="303"/>
      <c r="Q389" s="303"/>
      <c r="R389" s="303"/>
      <c r="S389" s="303"/>
      <c r="T389" s="143"/>
      <c r="U389" s="303"/>
      <c r="V389" s="303"/>
      <c r="W389" s="303"/>
      <c r="X389" s="303"/>
      <c r="Y389" s="303"/>
      <c r="Z389" s="303"/>
      <c r="AA389" s="303"/>
      <c r="AB389" s="143"/>
      <c r="AC389" s="303"/>
      <c r="AD389" s="303"/>
      <c r="AE389" s="303"/>
      <c r="AF389" s="303"/>
      <c r="AG389" s="303"/>
      <c r="AH389" s="303"/>
      <c r="AI389" s="143"/>
      <c r="AJ389" s="125"/>
      <c r="AK389" s="125"/>
      <c r="AL389" s="125"/>
      <c r="AM389" s="125"/>
    </row>
    <row r="390" spans="1:39" ht="12.75" x14ac:dyDescent="0.2">
      <c r="A390" s="303"/>
      <c r="B390" s="303"/>
      <c r="C390" s="303"/>
      <c r="D390" s="143"/>
      <c r="E390" s="303"/>
      <c r="F390" s="303"/>
      <c r="G390" s="303"/>
      <c r="H390" s="303"/>
      <c r="I390" s="303"/>
      <c r="J390" s="303"/>
      <c r="K390" s="303"/>
      <c r="L390" s="143"/>
      <c r="M390" s="303"/>
      <c r="N390" s="303"/>
      <c r="O390" s="303"/>
      <c r="P390" s="303"/>
      <c r="Q390" s="303"/>
      <c r="R390" s="303"/>
      <c r="S390" s="303"/>
      <c r="T390" s="143"/>
      <c r="U390" s="303"/>
      <c r="V390" s="303"/>
      <c r="W390" s="303"/>
      <c r="X390" s="303"/>
      <c r="Y390" s="303"/>
      <c r="Z390" s="303"/>
      <c r="AA390" s="303"/>
      <c r="AB390" s="143"/>
      <c r="AC390" s="303"/>
      <c r="AD390" s="303"/>
      <c r="AE390" s="303"/>
      <c r="AF390" s="303"/>
      <c r="AG390" s="303"/>
      <c r="AH390" s="303"/>
      <c r="AI390" s="143"/>
      <c r="AJ390" s="125"/>
      <c r="AK390" s="125"/>
      <c r="AL390" s="125"/>
      <c r="AM390" s="125"/>
    </row>
    <row r="391" spans="1:39" ht="12.75" x14ac:dyDescent="0.2">
      <c r="A391" s="303"/>
      <c r="B391" s="303"/>
      <c r="C391" s="303"/>
      <c r="D391" s="143"/>
      <c r="E391" s="303"/>
      <c r="F391" s="303"/>
      <c r="G391" s="303"/>
      <c r="H391" s="303"/>
      <c r="I391" s="303"/>
      <c r="J391" s="303"/>
      <c r="K391" s="303"/>
      <c r="L391" s="143"/>
      <c r="M391" s="303"/>
      <c r="N391" s="303"/>
      <c r="O391" s="303"/>
      <c r="P391" s="303"/>
      <c r="Q391" s="303"/>
      <c r="R391" s="303"/>
      <c r="S391" s="303"/>
      <c r="T391" s="143"/>
      <c r="U391" s="303"/>
      <c r="V391" s="303"/>
      <c r="W391" s="303"/>
      <c r="X391" s="303"/>
      <c r="Y391" s="303"/>
      <c r="Z391" s="303"/>
      <c r="AA391" s="303"/>
      <c r="AB391" s="143"/>
      <c r="AC391" s="303"/>
      <c r="AD391" s="303"/>
      <c r="AE391" s="303"/>
      <c r="AF391" s="303"/>
      <c r="AG391" s="303"/>
      <c r="AH391" s="303"/>
      <c r="AI391" s="143"/>
      <c r="AJ391" s="125"/>
      <c r="AK391" s="125"/>
      <c r="AL391" s="125"/>
      <c r="AM391" s="125"/>
    </row>
    <row r="392" spans="1:39" ht="12.75" x14ac:dyDescent="0.2">
      <c r="A392" s="303"/>
      <c r="B392" s="303"/>
      <c r="C392" s="303"/>
      <c r="D392" s="143"/>
      <c r="E392" s="303"/>
      <c r="F392" s="303"/>
      <c r="G392" s="303"/>
      <c r="H392" s="303"/>
      <c r="I392" s="303"/>
      <c r="J392" s="303"/>
      <c r="K392" s="303"/>
      <c r="L392" s="143"/>
      <c r="M392" s="303"/>
      <c r="N392" s="303"/>
      <c r="O392" s="303"/>
      <c r="P392" s="303"/>
      <c r="Q392" s="303"/>
      <c r="R392" s="303"/>
      <c r="S392" s="303"/>
      <c r="T392" s="143"/>
      <c r="U392" s="303"/>
      <c r="V392" s="303"/>
      <c r="W392" s="303"/>
      <c r="X392" s="303"/>
      <c r="Y392" s="303"/>
      <c r="Z392" s="303"/>
      <c r="AA392" s="303"/>
      <c r="AB392" s="143"/>
      <c r="AC392" s="303"/>
      <c r="AD392" s="303"/>
      <c r="AE392" s="303"/>
      <c r="AF392" s="303"/>
      <c r="AG392" s="303"/>
      <c r="AH392" s="303"/>
      <c r="AI392" s="143"/>
      <c r="AJ392" s="125"/>
      <c r="AK392" s="125"/>
      <c r="AL392" s="125"/>
      <c r="AM392" s="125"/>
    </row>
    <row r="393" spans="1:39" ht="12.75" x14ac:dyDescent="0.2">
      <c r="A393" s="303"/>
      <c r="B393" s="303"/>
      <c r="C393" s="303"/>
      <c r="D393" s="143"/>
      <c r="E393" s="303"/>
      <c r="F393" s="303"/>
      <c r="G393" s="303"/>
      <c r="H393" s="303"/>
      <c r="I393" s="303"/>
      <c r="J393" s="303"/>
      <c r="K393" s="303"/>
      <c r="L393" s="143"/>
      <c r="M393" s="303"/>
      <c r="N393" s="303"/>
      <c r="O393" s="303"/>
      <c r="P393" s="303"/>
      <c r="Q393" s="303"/>
      <c r="R393" s="303"/>
      <c r="S393" s="303"/>
      <c r="T393" s="143"/>
      <c r="U393" s="303"/>
      <c r="V393" s="303"/>
      <c r="W393" s="303"/>
      <c r="X393" s="303"/>
      <c r="Y393" s="303"/>
      <c r="Z393" s="303"/>
      <c r="AA393" s="303"/>
      <c r="AB393" s="143"/>
      <c r="AC393" s="303"/>
      <c r="AD393" s="303"/>
      <c r="AE393" s="303"/>
      <c r="AF393" s="303"/>
      <c r="AG393" s="303"/>
      <c r="AH393" s="303"/>
      <c r="AI393" s="143"/>
      <c r="AJ393" s="125"/>
      <c r="AK393" s="125"/>
      <c r="AL393" s="125"/>
      <c r="AM393" s="125"/>
    </row>
    <row r="394" spans="1:39" ht="12.75" x14ac:dyDescent="0.2">
      <c r="A394" s="303"/>
      <c r="B394" s="303"/>
      <c r="C394" s="303"/>
      <c r="D394" s="143"/>
      <c r="E394" s="303"/>
      <c r="F394" s="303"/>
      <c r="G394" s="303"/>
      <c r="H394" s="303"/>
      <c r="I394" s="303"/>
      <c r="J394" s="303"/>
      <c r="K394" s="303"/>
      <c r="L394" s="143"/>
      <c r="M394" s="303"/>
      <c r="N394" s="303"/>
      <c r="O394" s="303"/>
      <c r="P394" s="303"/>
      <c r="Q394" s="303"/>
      <c r="R394" s="303"/>
      <c r="S394" s="303"/>
      <c r="T394" s="143"/>
      <c r="U394" s="303"/>
      <c r="V394" s="303"/>
      <c r="W394" s="303"/>
      <c r="X394" s="303"/>
      <c r="Y394" s="303"/>
      <c r="Z394" s="303"/>
      <c r="AA394" s="303"/>
      <c r="AB394" s="143"/>
      <c r="AC394" s="303"/>
      <c r="AD394" s="303"/>
      <c r="AE394" s="303"/>
      <c r="AF394" s="303"/>
      <c r="AG394" s="303"/>
      <c r="AH394" s="303"/>
      <c r="AI394" s="143"/>
      <c r="AJ394" s="125"/>
      <c r="AK394" s="125"/>
      <c r="AL394" s="125"/>
      <c r="AM394" s="125"/>
    </row>
    <row r="395" spans="1:39" ht="12.75" x14ac:dyDescent="0.2">
      <c r="A395" s="303"/>
      <c r="B395" s="303"/>
      <c r="C395" s="303"/>
      <c r="D395" s="143"/>
      <c r="E395" s="303"/>
      <c r="F395" s="303"/>
      <c r="G395" s="303"/>
      <c r="H395" s="303"/>
      <c r="I395" s="303"/>
      <c r="J395" s="303"/>
      <c r="K395" s="303"/>
      <c r="L395" s="143"/>
      <c r="M395" s="303"/>
      <c r="N395" s="303"/>
      <c r="O395" s="303"/>
      <c r="P395" s="303"/>
      <c r="Q395" s="303"/>
      <c r="R395" s="303"/>
      <c r="S395" s="303"/>
      <c r="T395" s="143"/>
      <c r="U395" s="303"/>
      <c r="V395" s="303"/>
      <c r="W395" s="303"/>
      <c r="X395" s="303"/>
      <c r="Y395" s="303"/>
      <c r="Z395" s="303"/>
      <c r="AA395" s="303"/>
      <c r="AB395" s="143"/>
      <c r="AC395" s="303"/>
      <c r="AD395" s="303"/>
      <c r="AE395" s="303"/>
      <c r="AF395" s="303"/>
      <c r="AG395" s="303"/>
      <c r="AH395" s="303"/>
      <c r="AI395" s="143"/>
      <c r="AJ395" s="125"/>
      <c r="AK395" s="125"/>
      <c r="AL395" s="125"/>
      <c r="AM395" s="125"/>
    </row>
    <row r="396" spans="1:39" ht="12.75" x14ac:dyDescent="0.2">
      <c r="A396" s="303"/>
      <c r="B396" s="303"/>
      <c r="C396" s="303"/>
      <c r="D396" s="143"/>
      <c r="E396" s="303"/>
      <c r="F396" s="303"/>
      <c r="G396" s="303"/>
      <c r="H396" s="303"/>
      <c r="I396" s="303"/>
      <c r="J396" s="303"/>
      <c r="K396" s="303"/>
      <c r="L396" s="143"/>
      <c r="M396" s="303"/>
      <c r="N396" s="303"/>
      <c r="O396" s="303"/>
      <c r="P396" s="303"/>
      <c r="Q396" s="303"/>
      <c r="R396" s="303"/>
      <c r="S396" s="303"/>
      <c r="T396" s="143"/>
      <c r="U396" s="303"/>
      <c r="V396" s="303"/>
      <c r="W396" s="303"/>
      <c r="X396" s="303"/>
      <c r="Y396" s="303"/>
      <c r="Z396" s="303"/>
      <c r="AA396" s="303"/>
      <c r="AB396" s="143"/>
      <c r="AC396" s="303"/>
      <c r="AD396" s="303"/>
      <c r="AE396" s="303"/>
      <c r="AF396" s="303"/>
      <c r="AG396" s="303"/>
      <c r="AH396" s="303"/>
      <c r="AI396" s="143"/>
      <c r="AJ396" s="125"/>
      <c r="AK396" s="125"/>
      <c r="AL396" s="125"/>
      <c r="AM396" s="125"/>
    </row>
    <row r="397" spans="1:39" ht="12.75" x14ac:dyDescent="0.2">
      <c r="A397" s="303"/>
      <c r="B397" s="303"/>
      <c r="C397" s="303"/>
      <c r="D397" s="143"/>
      <c r="E397" s="303"/>
      <c r="F397" s="303"/>
      <c r="G397" s="303"/>
      <c r="H397" s="303"/>
      <c r="I397" s="303"/>
      <c r="J397" s="303"/>
      <c r="K397" s="303"/>
      <c r="L397" s="143"/>
      <c r="M397" s="303"/>
      <c r="N397" s="303"/>
      <c r="O397" s="303"/>
      <c r="P397" s="303"/>
      <c r="Q397" s="303"/>
      <c r="R397" s="303"/>
      <c r="S397" s="303"/>
      <c r="T397" s="143"/>
      <c r="U397" s="303"/>
      <c r="V397" s="303"/>
      <c r="W397" s="303"/>
      <c r="X397" s="303"/>
      <c r="Y397" s="303"/>
      <c r="Z397" s="303"/>
      <c r="AA397" s="303"/>
      <c r="AB397" s="143"/>
      <c r="AC397" s="303"/>
      <c r="AD397" s="303"/>
      <c r="AE397" s="303"/>
      <c r="AF397" s="303"/>
      <c r="AG397" s="303"/>
      <c r="AH397" s="303"/>
      <c r="AI397" s="143"/>
      <c r="AJ397" s="125"/>
      <c r="AK397" s="125"/>
      <c r="AL397" s="125"/>
      <c r="AM397" s="125"/>
    </row>
    <row r="398" spans="1:39" ht="12.75" x14ac:dyDescent="0.2">
      <c r="A398" s="303"/>
      <c r="B398" s="303"/>
      <c r="C398" s="303"/>
      <c r="D398" s="143"/>
      <c r="E398" s="303"/>
      <c r="F398" s="303"/>
      <c r="G398" s="303"/>
      <c r="H398" s="303"/>
      <c r="I398" s="303"/>
      <c r="J398" s="303"/>
      <c r="K398" s="303"/>
      <c r="L398" s="143"/>
      <c r="M398" s="303"/>
      <c r="N398" s="303"/>
      <c r="O398" s="303"/>
      <c r="P398" s="303"/>
      <c r="Q398" s="303"/>
      <c r="R398" s="303"/>
      <c r="S398" s="303"/>
      <c r="T398" s="143"/>
      <c r="U398" s="303"/>
      <c r="V398" s="303"/>
      <c r="W398" s="303"/>
      <c r="X398" s="303"/>
      <c r="Y398" s="303"/>
      <c r="Z398" s="303"/>
      <c r="AA398" s="303"/>
      <c r="AB398" s="143"/>
      <c r="AC398" s="303"/>
      <c r="AD398" s="303"/>
      <c r="AE398" s="303"/>
      <c r="AF398" s="303"/>
      <c r="AG398" s="303"/>
      <c r="AH398" s="303"/>
      <c r="AI398" s="143"/>
      <c r="AJ398" s="125"/>
      <c r="AK398" s="125"/>
      <c r="AL398" s="125"/>
      <c r="AM398" s="125"/>
    </row>
    <row r="399" spans="1:39" ht="12.75" x14ac:dyDescent="0.2">
      <c r="A399" s="303"/>
      <c r="B399" s="303"/>
      <c r="C399" s="303"/>
      <c r="D399" s="143"/>
      <c r="E399" s="303"/>
      <c r="F399" s="303"/>
      <c r="G399" s="303"/>
      <c r="H399" s="303"/>
      <c r="I399" s="303"/>
      <c r="J399" s="303"/>
      <c r="K399" s="303"/>
      <c r="L399" s="143"/>
      <c r="M399" s="303"/>
      <c r="N399" s="303"/>
      <c r="O399" s="303"/>
      <c r="P399" s="303"/>
      <c r="Q399" s="303"/>
      <c r="R399" s="303"/>
      <c r="S399" s="303"/>
      <c r="T399" s="143"/>
      <c r="U399" s="303"/>
      <c r="V399" s="303"/>
      <c r="W399" s="303"/>
      <c r="X399" s="303"/>
      <c r="Y399" s="303"/>
      <c r="Z399" s="303"/>
      <c r="AA399" s="303"/>
      <c r="AB399" s="143"/>
      <c r="AC399" s="303"/>
      <c r="AD399" s="303"/>
      <c r="AE399" s="303"/>
      <c r="AF399" s="303"/>
      <c r="AG399" s="303"/>
      <c r="AH399" s="303"/>
      <c r="AI399" s="143"/>
      <c r="AJ399" s="125"/>
      <c r="AK399" s="125"/>
      <c r="AL399" s="125"/>
      <c r="AM399" s="125"/>
    </row>
    <row r="400" spans="1:39" ht="12.75" x14ac:dyDescent="0.2">
      <c r="A400" s="303"/>
      <c r="B400" s="303"/>
      <c r="C400" s="303"/>
      <c r="D400" s="143"/>
      <c r="E400" s="303"/>
      <c r="F400" s="303"/>
      <c r="G400" s="303"/>
      <c r="H400" s="303"/>
      <c r="I400" s="303"/>
      <c r="J400" s="303"/>
      <c r="K400" s="303"/>
      <c r="L400" s="143"/>
      <c r="M400" s="303"/>
      <c r="N400" s="303"/>
      <c r="O400" s="303"/>
      <c r="P400" s="303"/>
      <c r="Q400" s="303"/>
      <c r="R400" s="303"/>
      <c r="S400" s="303"/>
      <c r="T400" s="143"/>
      <c r="U400" s="303"/>
      <c r="V400" s="303"/>
      <c r="W400" s="303"/>
      <c r="X400" s="303"/>
      <c r="Y400" s="303"/>
      <c r="Z400" s="303"/>
      <c r="AA400" s="303"/>
      <c r="AB400" s="143"/>
      <c r="AC400" s="303"/>
      <c r="AD400" s="303"/>
      <c r="AE400" s="303"/>
      <c r="AF400" s="303"/>
      <c r="AG400" s="303"/>
      <c r="AH400" s="303"/>
      <c r="AI400" s="143"/>
      <c r="AJ400" s="125"/>
      <c r="AK400" s="125"/>
      <c r="AL400" s="125"/>
      <c r="AM400" s="125"/>
    </row>
    <row r="401" spans="1:39" ht="12.75" x14ac:dyDescent="0.2">
      <c r="A401" s="303"/>
      <c r="B401" s="303"/>
      <c r="C401" s="303"/>
      <c r="D401" s="143"/>
      <c r="E401" s="303"/>
      <c r="F401" s="303"/>
      <c r="G401" s="303"/>
      <c r="H401" s="303"/>
      <c r="I401" s="303"/>
      <c r="J401" s="303"/>
      <c r="K401" s="303"/>
      <c r="L401" s="143"/>
      <c r="M401" s="303"/>
      <c r="N401" s="303"/>
      <c r="O401" s="303"/>
      <c r="P401" s="303"/>
      <c r="Q401" s="303"/>
      <c r="R401" s="303"/>
      <c r="S401" s="303"/>
      <c r="T401" s="143"/>
      <c r="U401" s="303"/>
      <c r="V401" s="303"/>
      <c r="W401" s="303"/>
      <c r="X401" s="303"/>
      <c r="Y401" s="303"/>
      <c r="Z401" s="303"/>
      <c r="AA401" s="303"/>
      <c r="AB401" s="143"/>
      <c r="AC401" s="303"/>
      <c r="AD401" s="303"/>
      <c r="AE401" s="303"/>
      <c r="AF401" s="303"/>
      <c r="AG401" s="303"/>
      <c r="AH401" s="303"/>
      <c r="AI401" s="143"/>
      <c r="AJ401" s="125"/>
      <c r="AK401" s="125"/>
      <c r="AL401" s="125"/>
      <c r="AM401" s="125"/>
    </row>
    <row r="402" spans="1:39" ht="12.75" x14ac:dyDescent="0.2">
      <c r="A402" s="303"/>
      <c r="B402" s="303"/>
      <c r="C402" s="303"/>
      <c r="D402" s="143"/>
      <c r="E402" s="303"/>
      <c r="F402" s="303"/>
      <c r="G402" s="303"/>
      <c r="H402" s="303"/>
      <c r="I402" s="303"/>
      <c r="J402" s="303"/>
      <c r="K402" s="303"/>
      <c r="L402" s="143"/>
      <c r="M402" s="303"/>
      <c r="N402" s="303"/>
      <c r="O402" s="303"/>
      <c r="P402" s="303"/>
      <c r="Q402" s="303"/>
      <c r="R402" s="303"/>
      <c r="S402" s="303"/>
      <c r="T402" s="143"/>
      <c r="U402" s="303"/>
      <c r="V402" s="303"/>
      <c r="W402" s="303"/>
      <c r="X402" s="303"/>
      <c r="Y402" s="303"/>
      <c r="Z402" s="303"/>
      <c r="AA402" s="303"/>
      <c r="AB402" s="143"/>
      <c r="AC402" s="303"/>
      <c r="AD402" s="303"/>
      <c r="AE402" s="303"/>
      <c r="AF402" s="303"/>
      <c r="AG402" s="303"/>
      <c r="AH402" s="303"/>
      <c r="AI402" s="143"/>
      <c r="AJ402" s="125"/>
      <c r="AK402" s="125"/>
      <c r="AL402" s="125"/>
      <c r="AM402" s="125"/>
    </row>
    <row r="403" spans="1:39" ht="12.75" x14ac:dyDescent="0.2">
      <c r="A403" s="303"/>
      <c r="B403" s="303"/>
      <c r="C403" s="303"/>
      <c r="D403" s="143"/>
      <c r="E403" s="303"/>
      <c r="F403" s="303"/>
      <c r="G403" s="303"/>
      <c r="H403" s="303"/>
      <c r="I403" s="303"/>
      <c r="J403" s="303"/>
      <c r="K403" s="303"/>
      <c r="L403" s="143"/>
      <c r="M403" s="303"/>
      <c r="N403" s="303"/>
      <c r="O403" s="303"/>
      <c r="P403" s="303"/>
      <c r="Q403" s="303"/>
      <c r="R403" s="303"/>
      <c r="S403" s="303"/>
      <c r="T403" s="143"/>
      <c r="U403" s="303"/>
      <c r="V403" s="303"/>
      <c r="W403" s="303"/>
      <c r="X403" s="303"/>
      <c r="Y403" s="303"/>
      <c r="Z403" s="303"/>
      <c r="AA403" s="303"/>
      <c r="AB403" s="143"/>
      <c r="AC403" s="303"/>
      <c r="AD403" s="303"/>
      <c r="AE403" s="303"/>
      <c r="AF403" s="303"/>
      <c r="AG403" s="303"/>
      <c r="AH403" s="303"/>
      <c r="AI403" s="143"/>
      <c r="AJ403" s="125"/>
      <c r="AK403" s="125"/>
      <c r="AL403" s="125"/>
      <c r="AM403" s="125"/>
    </row>
    <row r="404" spans="1:39" ht="12.75" x14ac:dyDescent="0.2">
      <c r="A404" s="303"/>
      <c r="B404" s="303"/>
      <c r="C404" s="303"/>
      <c r="D404" s="143"/>
      <c r="E404" s="303"/>
      <c r="F404" s="303"/>
      <c r="G404" s="303"/>
      <c r="H404" s="303"/>
      <c r="I404" s="303"/>
      <c r="J404" s="303"/>
      <c r="K404" s="303"/>
      <c r="L404" s="143"/>
      <c r="M404" s="303"/>
      <c r="N404" s="303"/>
      <c r="O404" s="303"/>
      <c r="P404" s="303"/>
      <c r="Q404" s="303"/>
      <c r="R404" s="303"/>
      <c r="S404" s="303"/>
      <c r="T404" s="143"/>
      <c r="U404" s="303"/>
      <c r="V404" s="303"/>
      <c r="W404" s="303"/>
      <c r="X404" s="303"/>
      <c r="Y404" s="303"/>
      <c r="Z404" s="303"/>
      <c r="AA404" s="303"/>
      <c r="AB404" s="143"/>
      <c r="AC404" s="303"/>
      <c r="AD404" s="303"/>
      <c r="AE404" s="303"/>
      <c r="AF404" s="303"/>
      <c r="AG404" s="303"/>
      <c r="AH404" s="303"/>
      <c r="AI404" s="143"/>
      <c r="AJ404" s="125"/>
      <c r="AK404" s="125"/>
      <c r="AL404" s="125"/>
      <c r="AM404" s="125"/>
    </row>
    <row r="405" spans="1:39" ht="12.75" x14ac:dyDescent="0.2">
      <c r="A405" s="303"/>
      <c r="B405" s="303"/>
      <c r="C405" s="303"/>
      <c r="D405" s="143"/>
      <c r="E405" s="303"/>
      <c r="F405" s="303"/>
      <c r="G405" s="303"/>
      <c r="H405" s="303"/>
      <c r="I405" s="303"/>
      <c r="J405" s="303"/>
      <c r="K405" s="303"/>
      <c r="L405" s="143"/>
      <c r="M405" s="303"/>
      <c r="N405" s="303"/>
      <c r="O405" s="303"/>
      <c r="P405" s="303"/>
      <c r="Q405" s="303"/>
      <c r="R405" s="303"/>
      <c r="S405" s="303"/>
      <c r="T405" s="143"/>
      <c r="U405" s="303"/>
      <c r="V405" s="303"/>
      <c r="W405" s="303"/>
      <c r="X405" s="303"/>
      <c r="Y405" s="303"/>
      <c r="Z405" s="303"/>
      <c r="AA405" s="303"/>
      <c r="AB405" s="143"/>
      <c r="AC405" s="303"/>
      <c r="AD405" s="303"/>
      <c r="AE405" s="303"/>
      <c r="AF405" s="303"/>
      <c r="AG405" s="303"/>
      <c r="AH405" s="303"/>
      <c r="AI405" s="143"/>
      <c r="AJ405" s="125"/>
      <c r="AK405" s="125"/>
      <c r="AL405" s="125"/>
      <c r="AM405" s="125"/>
    </row>
    <row r="406" spans="1:39" ht="12.75" x14ac:dyDescent="0.2">
      <c r="A406" s="303"/>
      <c r="B406" s="303"/>
      <c r="C406" s="303"/>
      <c r="D406" s="143"/>
      <c r="E406" s="303"/>
      <c r="F406" s="303"/>
      <c r="G406" s="303"/>
      <c r="H406" s="303"/>
      <c r="I406" s="303"/>
      <c r="J406" s="303"/>
      <c r="K406" s="303"/>
      <c r="L406" s="143"/>
      <c r="M406" s="303"/>
      <c r="N406" s="303"/>
      <c r="O406" s="303"/>
      <c r="P406" s="303"/>
      <c r="Q406" s="303"/>
      <c r="R406" s="303"/>
      <c r="S406" s="303"/>
      <c r="T406" s="143"/>
      <c r="U406" s="303"/>
      <c r="V406" s="303"/>
      <c r="W406" s="303"/>
      <c r="X406" s="303"/>
      <c r="Y406" s="303"/>
      <c r="Z406" s="303"/>
      <c r="AA406" s="303"/>
      <c r="AB406" s="143"/>
      <c r="AC406" s="303"/>
      <c r="AD406" s="303"/>
      <c r="AE406" s="303"/>
      <c r="AF406" s="303"/>
      <c r="AG406" s="303"/>
      <c r="AH406" s="303"/>
      <c r="AI406" s="143"/>
      <c r="AJ406" s="125"/>
      <c r="AK406" s="125"/>
      <c r="AL406" s="125"/>
      <c r="AM406" s="125"/>
    </row>
    <row r="407" spans="1:39" ht="12.75" x14ac:dyDescent="0.2">
      <c r="A407" s="303"/>
      <c r="B407" s="303"/>
      <c r="C407" s="303"/>
      <c r="D407" s="143"/>
      <c r="E407" s="303"/>
      <c r="F407" s="303"/>
      <c r="G407" s="303"/>
      <c r="H407" s="303"/>
      <c r="I407" s="303"/>
      <c r="J407" s="303"/>
      <c r="K407" s="303"/>
      <c r="L407" s="143"/>
      <c r="M407" s="303"/>
      <c r="N407" s="303"/>
      <c r="O407" s="303"/>
      <c r="P407" s="303"/>
      <c r="Q407" s="303"/>
      <c r="R407" s="303"/>
      <c r="S407" s="303"/>
      <c r="T407" s="143"/>
      <c r="U407" s="303"/>
      <c r="V407" s="303"/>
      <c r="W407" s="303"/>
      <c r="X407" s="303"/>
      <c r="Y407" s="303"/>
      <c r="Z407" s="303"/>
      <c r="AA407" s="303"/>
      <c r="AB407" s="143"/>
      <c r="AC407" s="303"/>
      <c r="AD407" s="303"/>
      <c r="AE407" s="303"/>
      <c r="AF407" s="303"/>
      <c r="AG407" s="303"/>
      <c r="AH407" s="303"/>
      <c r="AI407" s="143"/>
      <c r="AJ407" s="125"/>
      <c r="AK407" s="125"/>
      <c r="AL407" s="125"/>
      <c r="AM407" s="125"/>
    </row>
    <row r="408" spans="1:39" ht="12.75" x14ac:dyDescent="0.2">
      <c r="A408" s="303"/>
      <c r="B408" s="303"/>
      <c r="C408" s="303"/>
      <c r="D408" s="143"/>
      <c r="E408" s="303"/>
      <c r="F408" s="303"/>
      <c r="G408" s="303"/>
      <c r="H408" s="303"/>
      <c r="I408" s="303"/>
      <c r="J408" s="303"/>
      <c r="K408" s="303"/>
      <c r="L408" s="143"/>
      <c r="M408" s="303"/>
      <c r="N408" s="303"/>
      <c r="O408" s="303"/>
      <c r="P408" s="303"/>
      <c r="Q408" s="303"/>
      <c r="R408" s="303"/>
      <c r="S408" s="303"/>
      <c r="T408" s="143"/>
      <c r="U408" s="303"/>
      <c r="V408" s="303"/>
      <c r="W408" s="303"/>
      <c r="X408" s="303"/>
      <c r="Y408" s="303"/>
      <c r="Z408" s="303"/>
      <c r="AA408" s="303"/>
      <c r="AB408" s="143"/>
      <c r="AC408" s="303"/>
      <c r="AD408" s="303"/>
      <c r="AE408" s="303"/>
      <c r="AF408" s="303"/>
      <c r="AG408" s="303"/>
      <c r="AH408" s="303"/>
      <c r="AI408" s="143"/>
      <c r="AJ408" s="125"/>
      <c r="AK408" s="125"/>
      <c r="AL408" s="125"/>
      <c r="AM408" s="125"/>
    </row>
    <row r="409" spans="1:39" ht="12.75" x14ac:dyDescent="0.2">
      <c r="A409" s="303"/>
      <c r="B409" s="303"/>
      <c r="C409" s="303"/>
      <c r="D409" s="143"/>
      <c r="E409" s="303"/>
      <c r="F409" s="303"/>
      <c r="G409" s="303"/>
      <c r="H409" s="303"/>
      <c r="I409" s="303"/>
      <c r="J409" s="303"/>
      <c r="K409" s="303"/>
      <c r="L409" s="143"/>
      <c r="M409" s="303"/>
      <c r="N409" s="303"/>
      <c r="O409" s="303"/>
      <c r="P409" s="303"/>
      <c r="Q409" s="303"/>
      <c r="R409" s="303"/>
      <c r="S409" s="303"/>
      <c r="T409" s="143"/>
      <c r="U409" s="303"/>
      <c r="V409" s="303"/>
      <c r="W409" s="303"/>
      <c r="X409" s="303"/>
      <c r="Y409" s="303"/>
      <c r="Z409" s="303"/>
      <c r="AA409" s="303"/>
      <c r="AB409" s="143"/>
      <c r="AC409" s="303"/>
      <c r="AD409" s="303"/>
      <c r="AE409" s="303"/>
      <c r="AF409" s="303"/>
      <c r="AG409" s="303"/>
      <c r="AH409" s="303"/>
      <c r="AI409" s="143"/>
      <c r="AJ409" s="125"/>
      <c r="AK409" s="125"/>
      <c r="AL409" s="125"/>
      <c r="AM409" s="125"/>
    </row>
    <row r="410" spans="1:39" ht="12.75" x14ac:dyDescent="0.2">
      <c r="A410" s="303"/>
      <c r="B410" s="303"/>
      <c r="C410" s="303"/>
      <c r="D410" s="143"/>
      <c r="E410" s="303"/>
      <c r="F410" s="303"/>
      <c r="G410" s="303"/>
      <c r="H410" s="303"/>
      <c r="I410" s="303"/>
      <c r="J410" s="303"/>
      <c r="K410" s="303"/>
      <c r="L410" s="143"/>
      <c r="M410" s="303"/>
      <c r="N410" s="303"/>
      <c r="O410" s="303"/>
      <c r="P410" s="303"/>
      <c r="Q410" s="303"/>
      <c r="R410" s="303"/>
      <c r="S410" s="303"/>
      <c r="T410" s="143"/>
      <c r="U410" s="303"/>
      <c r="V410" s="303"/>
      <c r="W410" s="303"/>
      <c r="X410" s="303"/>
      <c r="Y410" s="303"/>
      <c r="Z410" s="303"/>
      <c r="AA410" s="303"/>
      <c r="AB410" s="143"/>
      <c r="AC410" s="303"/>
      <c r="AD410" s="303"/>
      <c r="AE410" s="303"/>
      <c r="AF410" s="303"/>
      <c r="AG410" s="303"/>
      <c r="AH410" s="303"/>
      <c r="AI410" s="143"/>
      <c r="AJ410" s="125"/>
      <c r="AK410" s="125"/>
      <c r="AL410" s="125"/>
      <c r="AM410" s="125"/>
    </row>
    <row r="411" spans="1:39" ht="12.75" x14ac:dyDescent="0.2">
      <c r="A411" s="303"/>
      <c r="B411" s="303"/>
      <c r="C411" s="303"/>
      <c r="D411" s="143"/>
      <c r="E411" s="303"/>
      <c r="F411" s="303"/>
      <c r="G411" s="303"/>
      <c r="H411" s="303"/>
      <c r="I411" s="303"/>
      <c r="J411" s="303"/>
      <c r="K411" s="303"/>
      <c r="L411" s="143"/>
      <c r="M411" s="303"/>
      <c r="N411" s="303"/>
      <c r="O411" s="303"/>
      <c r="P411" s="303"/>
      <c r="Q411" s="303"/>
      <c r="R411" s="303"/>
      <c r="S411" s="303"/>
      <c r="T411" s="143"/>
      <c r="U411" s="303"/>
      <c r="V411" s="303"/>
      <c r="W411" s="303"/>
      <c r="X411" s="303"/>
      <c r="Y411" s="303"/>
      <c r="Z411" s="303"/>
      <c r="AA411" s="303"/>
      <c r="AB411" s="143"/>
      <c r="AC411" s="303"/>
      <c r="AD411" s="303"/>
      <c r="AE411" s="303"/>
      <c r="AF411" s="303"/>
      <c r="AG411" s="303"/>
      <c r="AH411" s="303"/>
      <c r="AI411" s="143"/>
      <c r="AJ411" s="125"/>
      <c r="AK411" s="125"/>
      <c r="AL411" s="125"/>
      <c r="AM411" s="125"/>
    </row>
    <row r="412" spans="1:39" ht="12.75" x14ac:dyDescent="0.2">
      <c r="A412" s="303"/>
      <c r="B412" s="303"/>
      <c r="C412" s="303"/>
      <c r="D412" s="143"/>
      <c r="E412" s="303"/>
      <c r="F412" s="303"/>
      <c r="G412" s="303"/>
      <c r="H412" s="303"/>
      <c r="I412" s="303"/>
      <c r="J412" s="303"/>
      <c r="K412" s="303"/>
      <c r="L412" s="143"/>
      <c r="M412" s="303"/>
      <c r="N412" s="303"/>
      <c r="O412" s="303"/>
      <c r="P412" s="303"/>
      <c r="Q412" s="303"/>
      <c r="R412" s="303"/>
      <c r="S412" s="303"/>
      <c r="T412" s="143"/>
      <c r="U412" s="303"/>
      <c r="V412" s="303"/>
      <c r="W412" s="303"/>
      <c r="X412" s="303"/>
      <c r="Y412" s="303"/>
      <c r="Z412" s="303"/>
      <c r="AA412" s="303"/>
      <c r="AB412" s="143"/>
      <c r="AC412" s="303"/>
      <c r="AD412" s="303"/>
      <c r="AE412" s="303"/>
      <c r="AF412" s="303"/>
      <c r="AG412" s="303"/>
      <c r="AH412" s="303"/>
      <c r="AI412" s="143"/>
      <c r="AJ412" s="125"/>
      <c r="AK412" s="125"/>
      <c r="AL412" s="125"/>
      <c r="AM412" s="125"/>
    </row>
    <row r="413" spans="1:39" ht="12.75" x14ac:dyDescent="0.2">
      <c r="A413" s="303"/>
      <c r="B413" s="303"/>
      <c r="C413" s="303"/>
      <c r="D413" s="143"/>
      <c r="E413" s="303"/>
      <c r="F413" s="303"/>
      <c r="G413" s="303"/>
      <c r="H413" s="303"/>
      <c r="I413" s="303"/>
      <c r="J413" s="303"/>
      <c r="K413" s="303"/>
      <c r="L413" s="143"/>
      <c r="M413" s="303"/>
      <c r="N413" s="303"/>
      <c r="O413" s="303"/>
      <c r="P413" s="303"/>
      <c r="Q413" s="303"/>
      <c r="R413" s="303"/>
      <c r="S413" s="303"/>
      <c r="T413" s="143"/>
      <c r="U413" s="303"/>
      <c r="V413" s="303"/>
      <c r="W413" s="303"/>
      <c r="X413" s="303"/>
      <c r="Y413" s="303"/>
      <c r="Z413" s="303"/>
      <c r="AA413" s="303"/>
      <c r="AB413" s="143"/>
      <c r="AC413" s="303"/>
      <c r="AD413" s="303"/>
      <c r="AE413" s="303"/>
      <c r="AF413" s="303"/>
      <c r="AG413" s="303"/>
      <c r="AH413" s="303"/>
      <c r="AI413" s="143"/>
      <c r="AJ413" s="125"/>
      <c r="AK413" s="125"/>
      <c r="AL413" s="125"/>
      <c r="AM413" s="125"/>
    </row>
    <row r="414" spans="1:39" ht="12.75" x14ac:dyDescent="0.2">
      <c r="A414" s="303"/>
      <c r="B414" s="303"/>
      <c r="C414" s="303"/>
      <c r="D414" s="143"/>
      <c r="E414" s="303"/>
      <c r="F414" s="303"/>
      <c r="G414" s="303"/>
      <c r="H414" s="303"/>
      <c r="I414" s="303"/>
      <c r="J414" s="303"/>
      <c r="K414" s="303"/>
      <c r="L414" s="143"/>
      <c r="M414" s="303"/>
      <c r="N414" s="303"/>
      <c r="O414" s="303"/>
      <c r="P414" s="303"/>
      <c r="Q414" s="303"/>
      <c r="R414" s="303"/>
      <c r="S414" s="303"/>
      <c r="T414" s="143"/>
      <c r="U414" s="303"/>
      <c r="V414" s="303"/>
      <c r="W414" s="303"/>
      <c r="X414" s="303"/>
      <c r="Y414" s="303"/>
      <c r="Z414" s="303"/>
      <c r="AA414" s="303"/>
      <c r="AB414" s="143"/>
      <c r="AC414" s="303"/>
      <c r="AD414" s="303"/>
      <c r="AE414" s="303"/>
      <c r="AF414" s="303"/>
      <c r="AG414" s="303"/>
      <c r="AH414" s="303"/>
      <c r="AI414" s="143"/>
      <c r="AJ414" s="125"/>
      <c r="AK414" s="125"/>
      <c r="AL414" s="125"/>
      <c r="AM414" s="125"/>
    </row>
    <row r="415" spans="1:39" ht="12.75" x14ac:dyDescent="0.2">
      <c r="A415" s="303"/>
      <c r="B415" s="303"/>
      <c r="C415" s="303"/>
      <c r="D415" s="143"/>
      <c r="E415" s="303"/>
      <c r="F415" s="303"/>
      <c r="G415" s="303"/>
      <c r="H415" s="303"/>
      <c r="I415" s="303"/>
      <c r="J415" s="303"/>
      <c r="K415" s="303"/>
      <c r="L415" s="143"/>
      <c r="M415" s="303"/>
      <c r="N415" s="303"/>
      <c r="O415" s="303"/>
      <c r="P415" s="303"/>
      <c r="Q415" s="303"/>
      <c r="R415" s="303"/>
      <c r="S415" s="303"/>
      <c r="T415" s="143"/>
      <c r="U415" s="303"/>
      <c r="V415" s="303"/>
      <c r="W415" s="303"/>
      <c r="X415" s="303"/>
      <c r="Y415" s="303"/>
      <c r="Z415" s="303"/>
      <c r="AA415" s="303"/>
      <c r="AB415" s="143"/>
      <c r="AC415" s="303"/>
      <c r="AD415" s="303"/>
      <c r="AE415" s="303"/>
      <c r="AF415" s="303"/>
      <c r="AG415" s="303"/>
      <c r="AH415" s="303"/>
      <c r="AI415" s="143"/>
      <c r="AJ415" s="125"/>
      <c r="AK415" s="125"/>
      <c r="AL415" s="125"/>
      <c r="AM415" s="125"/>
    </row>
    <row r="416" spans="1:39" ht="12.75" x14ac:dyDescent="0.2">
      <c r="A416" s="303"/>
      <c r="B416" s="303"/>
      <c r="C416" s="303"/>
      <c r="D416" s="143"/>
      <c r="E416" s="303"/>
      <c r="F416" s="303"/>
      <c r="G416" s="303"/>
      <c r="H416" s="303"/>
      <c r="I416" s="303"/>
      <c r="J416" s="303"/>
      <c r="K416" s="303"/>
      <c r="L416" s="143"/>
      <c r="M416" s="303"/>
      <c r="N416" s="303"/>
      <c r="O416" s="303"/>
      <c r="P416" s="303"/>
      <c r="Q416" s="303"/>
      <c r="R416" s="303"/>
      <c r="S416" s="303"/>
      <c r="T416" s="143"/>
      <c r="U416" s="303"/>
      <c r="V416" s="303"/>
      <c r="W416" s="303"/>
      <c r="X416" s="303"/>
      <c r="Y416" s="303"/>
      <c r="Z416" s="303"/>
      <c r="AA416" s="303"/>
      <c r="AB416" s="143"/>
      <c r="AC416" s="303"/>
      <c r="AD416" s="303"/>
      <c r="AE416" s="303"/>
      <c r="AF416" s="303"/>
      <c r="AG416" s="303"/>
      <c r="AH416" s="303"/>
      <c r="AI416" s="143"/>
      <c r="AJ416" s="125"/>
      <c r="AK416" s="125"/>
      <c r="AL416" s="125"/>
      <c r="AM416" s="125"/>
    </row>
    <row r="417" spans="1:39" ht="12.75" x14ac:dyDescent="0.2">
      <c r="A417" s="303"/>
      <c r="B417" s="303"/>
      <c r="C417" s="303"/>
      <c r="D417" s="143"/>
      <c r="E417" s="303"/>
      <c r="F417" s="303"/>
      <c r="G417" s="303"/>
      <c r="H417" s="303"/>
      <c r="I417" s="303"/>
      <c r="J417" s="303"/>
      <c r="K417" s="303"/>
      <c r="L417" s="143"/>
      <c r="M417" s="303"/>
      <c r="N417" s="303"/>
      <c r="O417" s="303"/>
      <c r="P417" s="303"/>
      <c r="Q417" s="303"/>
      <c r="R417" s="303"/>
      <c r="S417" s="303"/>
      <c r="T417" s="143"/>
      <c r="U417" s="303"/>
      <c r="V417" s="303"/>
      <c r="W417" s="303"/>
      <c r="X417" s="303"/>
      <c r="Y417" s="303"/>
      <c r="Z417" s="303"/>
      <c r="AA417" s="303"/>
      <c r="AB417" s="143"/>
      <c r="AC417" s="303"/>
      <c r="AD417" s="303"/>
      <c r="AE417" s="303"/>
      <c r="AF417" s="303"/>
      <c r="AG417" s="303"/>
      <c r="AH417" s="303"/>
      <c r="AI417" s="143"/>
      <c r="AJ417" s="125"/>
      <c r="AK417" s="125"/>
      <c r="AL417" s="125"/>
      <c r="AM417" s="125"/>
    </row>
    <row r="418" spans="1:39" ht="12.75" x14ac:dyDescent="0.2">
      <c r="A418" s="303"/>
      <c r="B418" s="303"/>
      <c r="C418" s="303"/>
      <c r="D418" s="143"/>
      <c r="E418" s="303"/>
      <c r="F418" s="303"/>
      <c r="G418" s="303"/>
      <c r="H418" s="303"/>
      <c r="I418" s="303"/>
      <c r="J418" s="303"/>
      <c r="K418" s="303"/>
      <c r="L418" s="143"/>
      <c r="M418" s="303"/>
      <c r="N418" s="303"/>
      <c r="O418" s="303"/>
      <c r="P418" s="303"/>
      <c r="Q418" s="303"/>
      <c r="R418" s="303"/>
      <c r="S418" s="303"/>
      <c r="T418" s="143"/>
      <c r="U418" s="303"/>
      <c r="V418" s="303"/>
      <c r="W418" s="303"/>
      <c r="X418" s="303"/>
      <c r="Y418" s="303"/>
      <c r="Z418" s="303"/>
      <c r="AA418" s="303"/>
      <c r="AB418" s="143"/>
      <c r="AC418" s="303"/>
      <c r="AD418" s="303"/>
      <c r="AE418" s="303"/>
      <c r="AF418" s="303"/>
      <c r="AG418" s="303"/>
      <c r="AH418" s="303"/>
      <c r="AI418" s="143"/>
      <c r="AJ418" s="125"/>
      <c r="AK418" s="125"/>
      <c r="AL418" s="125"/>
      <c r="AM418" s="125"/>
    </row>
    <row r="419" spans="1:39" ht="12.75" x14ac:dyDescent="0.2">
      <c r="A419" s="303"/>
      <c r="B419" s="303"/>
      <c r="C419" s="303"/>
      <c r="D419" s="143"/>
      <c r="E419" s="303"/>
      <c r="F419" s="303"/>
      <c r="G419" s="303"/>
      <c r="H419" s="303"/>
      <c r="I419" s="303"/>
      <c r="J419" s="303"/>
      <c r="K419" s="303"/>
      <c r="L419" s="143"/>
      <c r="M419" s="303"/>
      <c r="N419" s="303"/>
      <c r="O419" s="303"/>
      <c r="P419" s="303"/>
      <c r="Q419" s="303"/>
      <c r="R419" s="303"/>
      <c r="S419" s="303"/>
      <c r="T419" s="143"/>
      <c r="U419" s="303"/>
      <c r="V419" s="303"/>
      <c r="W419" s="303"/>
      <c r="X419" s="303"/>
      <c r="Y419" s="303"/>
      <c r="Z419" s="303"/>
      <c r="AA419" s="303"/>
      <c r="AB419" s="143"/>
      <c r="AC419" s="303"/>
      <c r="AD419" s="303"/>
      <c r="AE419" s="303"/>
      <c r="AF419" s="303"/>
      <c r="AG419" s="303"/>
      <c r="AH419" s="303"/>
      <c r="AI419" s="143"/>
      <c r="AJ419" s="125"/>
      <c r="AK419" s="125"/>
      <c r="AL419" s="125"/>
      <c r="AM419" s="125"/>
    </row>
    <row r="420" spans="1:39" ht="12.75" x14ac:dyDescent="0.2">
      <c r="A420" s="303"/>
      <c r="B420" s="303"/>
      <c r="C420" s="303"/>
      <c r="D420" s="143"/>
      <c r="E420" s="303"/>
      <c r="F420" s="303"/>
      <c r="G420" s="303"/>
      <c r="H420" s="303"/>
      <c r="I420" s="303"/>
      <c r="J420" s="303"/>
      <c r="K420" s="303"/>
      <c r="L420" s="143"/>
      <c r="M420" s="303"/>
      <c r="N420" s="303"/>
      <c r="O420" s="303"/>
      <c r="P420" s="303"/>
      <c r="Q420" s="303"/>
      <c r="R420" s="303"/>
      <c r="S420" s="303"/>
      <c r="T420" s="143"/>
      <c r="U420" s="303"/>
      <c r="V420" s="303"/>
      <c r="W420" s="303"/>
      <c r="X420" s="303"/>
      <c r="Y420" s="303"/>
      <c r="Z420" s="303"/>
      <c r="AA420" s="303"/>
      <c r="AB420" s="143"/>
      <c r="AC420" s="303"/>
      <c r="AD420" s="303"/>
      <c r="AE420" s="303"/>
      <c r="AF420" s="303"/>
      <c r="AG420" s="303"/>
      <c r="AH420" s="303"/>
      <c r="AI420" s="143"/>
      <c r="AJ420" s="125"/>
      <c r="AK420" s="125"/>
      <c r="AL420" s="125"/>
      <c r="AM420" s="125"/>
    </row>
    <row r="421" spans="1:39" ht="12.75" x14ac:dyDescent="0.2">
      <c r="A421" s="303"/>
      <c r="B421" s="303"/>
      <c r="C421" s="303"/>
      <c r="D421" s="143"/>
      <c r="E421" s="303"/>
      <c r="F421" s="303"/>
      <c r="G421" s="303"/>
      <c r="H421" s="303"/>
      <c r="I421" s="303"/>
      <c r="J421" s="303"/>
      <c r="K421" s="303"/>
      <c r="L421" s="143"/>
      <c r="M421" s="303"/>
      <c r="N421" s="303"/>
      <c r="O421" s="303"/>
      <c r="P421" s="303"/>
      <c r="Q421" s="303"/>
      <c r="R421" s="303"/>
      <c r="S421" s="303"/>
      <c r="T421" s="143"/>
      <c r="U421" s="303"/>
      <c r="V421" s="303"/>
      <c r="W421" s="303"/>
      <c r="X421" s="303"/>
      <c r="Y421" s="303"/>
      <c r="Z421" s="303"/>
      <c r="AA421" s="303"/>
      <c r="AB421" s="143"/>
      <c r="AC421" s="303"/>
      <c r="AD421" s="303"/>
      <c r="AE421" s="303"/>
      <c r="AF421" s="303"/>
      <c r="AG421" s="303"/>
      <c r="AH421" s="303"/>
      <c r="AI421" s="143"/>
      <c r="AJ421" s="125"/>
      <c r="AK421" s="125"/>
      <c r="AL421" s="125"/>
      <c r="AM421" s="125"/>
    </row>
    <row r="422" spans="1:39" ht="12.75" x14ac:dyDescent="0.2">
      <c r="A422" s="303"/>
      <c r="B422" s="303"/>
      <c r="C422" s="303"/>
      <c r="D422" s="143"/>
      <c r="E422" s="303"/>
      <c r="F422" s="303"/>
      <c r="G422" s="303"/>
      <c r="H422" s="303"/>
      <c r="I422" s="303"/>
      <c r="J422" s="303"/>
      <c r="K422" s="303"/>
      <c r="L422" s="143"/>
      <c r="M422" s="303"/>
      <c r="N422" s="303"/>
      <c r="O422" s="303"/>
      <c r="P422" s="303"/>
      <c r="Q422" s="303"/>
      <c r="R422" s="303"/>
      <c r="S422" s="303"/>
      <c r="T422" s="143"/>
      <c r="U422" s="303"/>
      <c r="V422" s="303"/>
      <c r="W422" s="303"/>
      <c r="X422" s="303"/>
      <c r="Y422" s="303"/>
      <c r="Z422" s="303"/>
      <c r="AA422" s="303"/>
      <c r="AB422" s="143"/>
      <c r="AC422" s="303"/>
      <c r="AD422" s="303"/>
      <c r="AE422" s="303"/>
      <c r="AF422" s="303"/>
      <c r="AG422" s="303"/>
      <c r="AH422" s="303"/>
      <c r="AI422" s="143"/>
      <c r="AJ422" s="125"/>
      <c r="AK422" s="125"/>
      <c r="AL422" s="125"/>
      <c r="AM422" s="125"/>
    </row>
    <row r="423" spans="1:39" ht="12.75" x14ac:dyDescent="0.2">
      <c r="A423" s="303"/>
      <c r="B423" s="303"/>
      <c r="C423" s="303"/>
      <c r="D423" s="143"/>
      <c r="E423" s="303"/>
      <c r="F423" s="303"/>
      <c r="G423" s="303"/>
      <c r="H423" s="303"/>
      <c r="I423" s="303"/>
      <c r="J423" s="303"/>
      <c r="K423" s="303"/>
      <c r="L423" s="143"/>
      <c r="M423" s="303"/>
      <c r="N423" s="303"/>
      <c r="O423" s="303"/>
      <c r="P423" s="303"/>
      <c r="Q423" s="303"/>
      <c r="R423" s="303"/>
      <c r="S423" s="303"/>
      <c r="T423" s="143"/>
      <c r="U423" s="303"/>
      <c r="V423" s="303"/>
      <c r="W423" s="303"/>
      <c r="X423" s="303"/>
      <c r="Y423" s="303"/>
      <c r="Z423" s="303"/>
      <c r="AA423" s="303"/>
      <c r="AB423" s="143"/>
      <c r="AC423" s="303"/>
      <c r="AD423" s="303"/>
      <c r="AE423" s="303"/>
      <c r="AF423" s="303"/>
      <c r="AG423" s="303"/>
      <c r="AH423" s="303"/>
      <c r="AI423" s="143"/>
      <c r="AJ423" s="125"/>
      <c r="AK423" s="125"/>
      <c r="AL423" s="125"/>
      <c r="AM423" s="125"/>
    </row>
    <row r="424" spans="1:39" ht="12.75" x14ac:dyDescent="0.2">
      <c r="A424" s="303"/>
      <c r="B424" s="303"/>
      <c r="C424" s="303"/>
      <c r="D424" s="143"/>
      <c r="E424" s="303"/>
      <c r="F424" s="303"/>
      <c r="G424" s="303"/>
      <c r="H424" s="303"/>
      <c r="I424" s="303"/>
      <c r="J424" s="303"/>
      <c r="K424" s="303"/>
      <c r="L424" s="143"/>
      <c r="M424" s="303"/>
      <c r="N424" s="303"/>
      <c r="O424" s="303"/>
      <c r="P424" s="303"/>
      <c r="Q424" s="303"/>
      <c r="R424" s="303"/>
      <c r="S424" s="303"/>
      <c r="T424" s="143"/>
      <c r="U424" s="303"/>
      <c r="V424" s="303"/>
      <c r="W424" s="303"/>
      <c r="X424" s="303"/>
      <c r="Y424" s="303"/>
      <c r="Z424" s="303"/>
      <c r="AA424" s="303"/>
      <c r="AB424" s="143"/>
      <c r="AC424" s="303"/>
      <c r="AD424" s="303"/>
      <c r="AE424" s="303"/>
      <c r="AF424" s="303"/>
      <c r="AG424" s="303"/>
      <c r="AH424" s="303"/>
      <c r="AI424" s="143"/>
      <c r="AJ424" s="125"/>
      <c r="AK424" s="125"/>
      <c r="AL424" s="125"/>
      <c r="AM424" s="125"/>
    </row>
    <row r="425" spans="1:39" ht="12.75" x14ac:dyDescent="0.2">
      <c r="A425" s="303"/>
      <c r="B425" s="303"/>
      <c r="C425" s="303"/>
      <c r="D425" s="143"/>
      <c r="E425" s="303"/>
      <c r="F425" s="303"/>
      <c r="G425" s="303"/>
      <c r="H425" s="303"/>
      <c r="I425" s="303"/>
      <c r="J425" s="303"/>
      <c r="K425" s="303"/>
      <c r="L425" s="143"/>
      <c r="M425" s="303"/>
      <c r="N425" s="303"/>
      <c r="O425" s="303"/>
      <c r="P425" s="303"/>
      <c r="Q425" s="303"/>
      <c r="R425" s="303"/>
      <c r="S425" s="303"/>
      <c r="T425" s="143"/>
      <c r="U425" s="303"/>
      <c r="V425" s="303"/>
      <c r="W425" s="303"/>
      <c r="X425" s="303"/>
      <c r="Y425" s="303"/>
      <c r="Z425" s="303"/>
      <c r="AA425" s="303"/>
      <c r="AB425" s="143"/>
      <c r="AC425" s="303"/>
      <c r="AD425" s="303"/>
      <c r="AE425" s="303"/>
      <c r="AF425" s="303"/>
      <c r="AG425" s="303"/>
      <c r="AH425" s="303"/>
      <c r="AI425" s="143"/>
      <c r="AJ425" s="125"/>
      <c r="AK425" s="125"/>
      <c r="AL425" s="125"/>
      <c r="AM425" s="125"/>
    </row>
    <row r="426" spans="1:39" ht="12.75" x14ac:dyDescent="0.2">
      <c r="A426" s="303"/>
      <c r="B426" s="303"/>
      <c r="C426" s="303"/>
      <c r="D426" s="143"/>
      <c r="E426" s="303"/>
      <c r="F426" s="303"/>
      <c r="G426" s="303"/>
      <c r="H426" s="303"/>
      <c r="I426" s="303"/>
      <c r="J426" s="303"/>
      <c r="K426" s="303"/>
      <c r="L426" s="143"/>
      <c r="M426" s="303"/>
      <c r="N426" s="303"/>
      <c r="O426" s="303"/>
      <c r="P426" s="303"/>
      <c r="Q426" s="303"/>
      <c r="R426" s="303"/>
      <c r="S426" s="303"/>
      <c r="T426" s="143"/>
      <c r="U426" s="303"/>
      <c r="V426" s="303"/>
      <c r="W426" s="303"/>
      <c r="X426" s="303"/>
      <c r="Y426" s="303"/>
      <c r="Z426" s="303"/>
      <c r="AA426" s="303"/>
      <c r="AB426" s="143"/>
      <c r="AC426" s="303"/>
      <c r="AD426" s="303"/>
      <c r="AE426" s="303"/>
      <c r="AF426" s="303"/>
      <c r="AG426" s="303"/>
      <c r="AH426" s="303"/>
      <c r="AI426" s="143"/>
      <c r="AJ426" s="125"/>
      <c r="AK426" s="125"/>
      <c r="AL426" s="125"/>
      <c r="AM426" s="125"/>
    </row>
    <row r="427" spans="1:39" ht="12.75" x14ac:dyDescent="0.2">
      <c r="A427" s="303"/>
      <c r="B427" s="303"/>
      <c r="C427" s="303"/>
      <c r="D427" s="143"/>
      <c r="E427" s="303"/>
      <c r="F427" s="303"/>
      <c r="G427" s="303"/>
      <c r="H427" s="303"/>
      <c r="I427" s="303"/>
      <c r="J427" s="303"/>
      <c r="K427" s="303"/>
      <c r="L427" s="143"/>
      <c r="M427" s="303"/>
      <c r="N427" s="303"/>
      <c r="O427" s="303"/>
      <c r="P427" s="303"/>
      <c r="Q427" s="303"/>
      <c r="R427" s="303"/>
      <c r="S427" s="303"/>
      <c r="T427" s="143"/>
      <c r="U427" s="303"/>
      <c r="V427" s="303"/>
      <c r="W427" s="303"/>
      <c r="X427" s="303"/>
      <c r="Y427" s="303"/>
      <c r="Z427" s="303"/>
      <c r="AA427" s="303"/>
      <c r="AB427" s="143"/>
      <c r="AC427" s="303"/>
      <c r="AD427" s="303"/>
      <c r="AE427" s="303"/>
      <c r="AF427" s="303"/>
      <c r="AG427" s="303"/>
      <c r="AH427" s="303"/>
      <c r="AI427" s="143"/>
      <c r="AJ427" s="125"/>
      <c r="AK427" s="125"/>
      <c r="AL427" s="125"/>
      <c r="AM427" s="125"/>
    </row>
    <row r="428" spans="1:39" ht="12.75" x14ac:dyDescent="0.2">
      <c r="A428" s="303"/>
      <c r="B428" s="303"/>
      <c r="C428" s="303"/>
      <c r="D428" s="143"/>
      <c r="E428" s="303"/>
      <c r="F428" s="303"/>
      <c r="G428" s="303"/>
      <c r="H428" s="303"/>
      <c r="I428" s="303"/>
      <c r="J428" s="303"/>
      <c r="K428" s="303"/>
      <c r="L428" s="143"/>
      <c r="M428" s="303"/>
      <c r="N428" s="303"/>
      <c r="O428" s="303"/>
      <c r="P428" s="303"/>
      <c r="Q428" s="303"/>
      <c r="R428" s="303"/>
      <c r="S428" s="303"/>
      <c r="T428" s="143"/>
      <c r="U428" s="303"/>
      <c r="V428" s="303"/>
      <c r="W428" s="303"/>
      <c r="X428" s="303"/>
      <c r="Y428" s="303"/>
      <c r="Z428" s="303"/>
      <c r="AA428" s="303"/>
      <c r="AB428" s="143"/>
      <c r="AC428" s="303"/>
      <c r="AD428" s="303"/>
      <c r="AE428" s="303"/>
      <c r="AF428" s="303"/>
      <c r="AG428" s="303"/>
      <c r="AH428" s="303"/>
      <c r="AI428" s="143"/>
      <c r="AJ428" s="125"/>
      <c r="AK428" s="125"/>
      <c r="AL428" s="125"/>
      <c r="AM428" s="125"/>
    </row>
    <row r="429" spans="1:39" ht="12.75" x14ac:dyDescent="0.2">
      <c r="A429" s="303"/>
      <c r="B429" s="303"/>
      <c r="C429" s="303"/>
      <c r="D429" s="143"/>
      <c r="E429" s="303"/>
      <c r="F429" s="303"/>
      <c r="G429" s="303"/>
      <c r="H429" s="303"/>
      <c r="I429" s="303"/>
      <c r="J429" s="303"/>
      <c r="K429" s="303"/>
      <c r="L429" s="143"/>
      <c r="M429" s="303"/>
      <c r="N429" s="303"/>
      <c r="O429" s="303"/>
      <c r="P429" s="303"/>
      <c r="Q429" s="303"/>
      <c r="R429" s="303"/>
      <c r="S429" s="303"/>
      <c r="T429" s="143"/>
      <c r="U429" s="303"/>
      <c r="V429" s="303"/>
      <c r="W429" s="303"/>
      <c r="X429" s="303"/>
      <c r="Y429" s="303"/>
      <c r="Z429" s="303"/>
      <c r="AA429" s="303"/>
      <c r="AB429" s="143"/>
      <c r="AC429" s="303"/>
      <c r="AD429" s="303"/>
      <c r="AE429" s="303"/>
      <c r="AF429" s="303"/>
      <c r="AG429" s="303"/>
      <c r="AH429" s="303"/>
      <c r="AI429" s="143"/>
      <c r="AJ429" s="125"/>
      <c r="AK429" s="125"/>
      <c r="AL429" s="125"/>
      <c r="AM429" s="125"/>
    </row>
    <row r="430" spans="1:39" ht="12.75" x14ac:dyDescent="0.2">
      <c r="A430" s="303"/>
      <c r="B430" s="303"/>
      <c r="C430" s="303"/>
      <c r="D430" s="143"/>
      <c r="E430" s="303"/>
      <c r="F430" s="303"/>
      <c r="G430" s="303"/>
      <c r="H430" s="303"/>
      <c r="I430" s="303"/>
      <c r="J430" s="303"/>
      <c r="K430" s="303"/>
      <c r="L430" s="143"/>
      <c r="M430" s="303"/>
      <c r="N430" s="303"/>
      <c r="O430" s="303"/>
      <c r="P430" s="303"/>
      <c r="Q430" s="303"/>
      <c r="R430" s="303"/>
      <c r="S430" s="303"/>
      <c r="T430" s="143"/>
      <c r="U430" s="303"/>
      <c r="V430" s="303"/>
      <c r="W430" s="303"/>
      <c r="X430" s="303"/>
      <c r="Y430" s="303"/>
      <c r="Z430" s="303"/>
      <c r="AA430" s="303"/>
      <c r="AB430" s="143"/>
      <c r="AC430" s="303"/>
      <c r="AD430" s="303"/>
      <c r="AE430" s="303"/>
      <c r="AF430" s="303"/>
      <c r="AG430" s="303"/>
      <c r="AH430" s="303"/>
      <c r="AI430" s="143"/>
      <c r="AJ430" s="125"/>
      <c r="AK430" s="125"/>
      <c r="AL430" s="125"/>
      <c r="AM430" s="125"/>
    </row>
    <row r="431" spans="1:39" ht="12.75" x14ac:dyDescent="0.2">
      <c r="A431" s="303"/>
      <c r="B431" s="303"/>
      <c r="C431" s="303"/>
      <c r="D431" s="143"/>
      <c r="E431" s="303"/>
      <c r="F431" s="303"/>
      <c r="G431" s="303"/>
      <c r="H431" s="303"/>
      <c r="I431" s="303"/>
      <c r="J431" s="303"/>
      <c r="K431" s="303"/>
      <c r="L431" s="143"/>
      <c r="M431" s="303"/>
      <c r="N431" s="303"/>
      <c r="O431" s="303"/>
      <c r="P431" s="303"/>
      <c r="Q431" s="303"/>
      <c r="R431" s="303"/>
      <c r="S431" s="303"/>
      <c r="T431" s="143"/>
      <c r="U431" s="303"/>
      <c r="V431" s="303"/>
      <c r="W431" s="303"/>
      <c r="X431" s="303"/>
      <c r="Y431" s="303"/>
      <c r="Z431" s="303"/>
      <c r="AA431" s="303"/>
      <c r="AB431" s="143"/>
      <c r="AC431" s="303"/>
      <c r="AD431" s="303"/>
      <c r="AE431" s="303"/>
      <c r="AF431" s="303"/>
      <c r="AG431" s="303"/>
      <c r="AH431" s="303"/>
      <c r="AI431" s="143"/>
      <c r="AJ431" s="125"/>
      <c r="AK431" s="125"/>
      <c r="AL431" s="125"/>
      <c r="AM431" s="125"/>
    </row>
    <row r="432" spans="1:39" ht="12.75" x14ac:dyDescent="0.2">
      <c r="A432" s="303"/>
      <c r="B432" s="303"/>
      <c r="C432" s="303"/>
      <c r="D432" s="143"/>
      <c r="E432" s="303"/>
      <c r="F432" s="303"/>
      <c r="G432" s="303"/>
      <c r="H432" s="303"/>
      <c r="I432" s="303"/>
      <c r="J432" s="303"/>
      <c r="K432" s="303"/>
      <c r="L432" s="143"/>
      <c r="M432" s="303"/>
      <c r="N432" s="303"/>
      <c r="O432" s="303"/>
      <c r="P432" s="303"/>
      <c r="Q432" s="303"/>
      <c r="R432" s="303"/>
      <c r="S432" s="303"/>
      <c r="T432" s="143"/>
      <c r="U432" s="303"/>
      <c r="V432" s="303"/>
      <c r="W432" s="303"/>
      <c r="X432" s="303"/>
      <c r="Y432" s="303"/>
      <c r="Z432" s="303"/>
      <c r="AA432" s="303"/>
      <c r="AB432" s="143"/>
      <c r="AC432" s="303"/>
      <c r="AD432" s="303"/>
      <c r="AE432" s="303"/>
      <c r="AF432" s="303"/>
      <c r="AG432" s="303"/>
      <c r="AH432" s="303"/>
      <c r="AI432" s="143"/>
      <c r="AJ432" s="125"/>
      <c r="AK432" s="125"/>
      <c r="AL432" s="125"/>
      <c r="AM432" s="125"/>
    </row>
    <row r="433" spans="1:39" ht="12.75" x14ac:dyDescent="0.2">
      <c r="A433" s="303"/>
      <c r="B433" s="303"/>
      <c r="C433" s="303"/>
      <c r="D433" s="143"/>
      <c r="E433" s="303"/>
      <c r="F433" s="303"/>
      <c r="G433" s="303"/>
      <c r="H433" s="303"/>
      <c r="I433" s="303"/>
      <c r="J433" s="303"/>
      <c r="K433" s="303"/>
      <c r="L433" s="143"/>
      <c r="M433" s="303"/>
      <c r="N433" s="303"/>
      <c r="O433" s="303"/>
      <c r="P433" s="303"/>
      <c r="Q433" s="303"/>
      <c r="R433" s="303"/>
      <c r="S433" s="303"/>
      <c r="T433" s="143"/>
      <c r="U433" s="303"/>
      <c r="V433" s="303"/>
      <c r="W433" s="303"/>
      <c r="X433" s="303"/>
      <c r="Y433" s="303"/>
      <c r="Z433" s="303"/>
      <c r="AA433" s="303"/>
      <c r="AB433" s="143"/>
      <c r="AC433" s="303"/>
      <c r="AD433" s="303"/>
      <c r="AE433" s="303"/>
      <c r="AF433" s="303"/>
      <c r="AG433" s="303"/>
      <c r="AH433" s="303"/>
      <c r="AI433" s="143"/>
      <c r="AJ433" s="125"/>
      <c r="AK433" s="125"/>
      <c r="AL433" s="125"/>
      <c r="AM433" s="125"/>
    </row>
    <row r="434" spans="1:39" ht="12.75" x14ac:dyDescent="0.2">
      <c r="A434" s="303"/>
      <c r="B434" s="303"/>
      <c r="C434" s="303"/>
      <c r="D434" s="143"/>
      <c r="E434" s="303"/>
      <c r="F434" s="303"/>
      <c r="G434" s="303"/>
      <c r="H434" s="303"/>
      <c r="I434" s="303"/>
      <c r="J434" s="303"/>
      <c r="K434" s="303"/>
      <c r="L434" s="143"/>
      <c r="M434" s="303"/>
      <c r="N434" s="303"/>
      <c r="O434" s="303"/>
      <c r="P434" s="303"/>
      <c r="Q434" s="303"/>
      <c r="R434" s="303"/>
      <c r="S434" s="303"/>
      <c r="T434" s="143"/>
      <c r="U434" s="303"/>
      <c r="V434" s="303"/>
      <c r="W434" s="303"/>
      <c r="X434" s="303"/>
      <c r="Y434" s="303"/>
      <c r="Z434" s="303"/>
      <c r="AA434" s="303"/>
      <c r="AB434" s="143"/>
      <c r="AC434" s="303"/>
      <c r="AD434" s="303"/>
      <c r="AE434" s="303"/>
      <c r="AF434" s="303"/>
      <c r="AG434" s="303"/>
      <c r="AH434" s="303"/>
      <c r="AI434" s="143"/>
      <c r="AJ434" s="125"/>
      <c r="AK434" s="125"/>
      <c r="AL434" s="125"/>
      <c r="AM434" s="125"/>
    </row>
    <row r="435" spans="1:39" ht="12.75" x14ac:dyDescent="0.2">
      <c r="A435" s="303"/>
      <c r="B435" s="303"/>
      <c r="C435" s="303"/>
      <c r="D435" s="143"/>
      <c r="E435" s="303"/>
      <c r="F435" s="303"/>
      <c r="G435" s="303"/>
      <c r="H435" s="303"/>
      <c r="I435" s="303"/>
      <c r="J435" s="303"/>
      <c r="K435" s="303"/>
      <c r="L435" s="143"/>
      <c r="M435" s="303"/>
      <c r="N435" s="303"/>
      <c r="O435" s="303"/>
      <c r="P435" s="303"/>
      <c r="Q435" s="303"/>
      <c r="R435" s="303"/>
      <c r="S435" s="303"/>
      <c r="T435" s="143"/>
      <c r="U435" s="303"/>
      <c r="V435" s="303"/>
      <c r="W435" s="303"/>
      <c r="X435" s="303"/>
      <c r="Y435" s="303"/>
      <c r="Z435" s="303"/>
      <c r="AA435" s="303"/>
      <c r="AB435" s="143"/>
      <c r="AC435" s="303"/>
      <c r="AD435" s="303"/>
      <c r="AE435" s="303"/>
      <c r="AF435" s="303"/>
      <c r="AG435" s="303"/>
      <c r="AH435" s="303"/>
      <c r="AI435" s="143"/>
      <c r="AJ435" s="125"/>
      <c r="AK435" s="125"/>
      <c r="AL435" s="125"/>
      <c r="AM435" s="125"/>
    </row>
    <row r="436" spans="1:39" ht="12.75" x14ac:dyDescent="0.2">
      <c r="A436" s="303"/>
      <c r="B436" s="303"/>
      <c r="C436" s="303"/>
      <c r="D436" s="143"/>
      <c r="E436" s="303"/>
      <c r="F436" s="303"/>
      <c r="G436" s="303"/>
      <c r="H436" s="303"/>
      <c r="I436" s="303"/>
      <c r="J436" s="303"/>
      <c r="K436" s="303"/>
      <c r="L436" s="143"/>
      <c r="M436" s="303"/>
      <c r="N436" s="303"/>
      <c r="O436" s="303"/>
      <c r="P436" s="303"/>
      <c r="Q436" s="303"/>
      <c r="R436" s="303"/>
      <c r="S436" s="303"/>
      <c r="T436" s="143"/>
      <c r="U436" s="303"/>
      <c r="V436" s="303"/>
      <c r="W436" s="303"/>
      <c r="X436" s="303"/>
      <c r="Y436" s="303"/>
      <c r="Z436" s="303"/>
      <c r="AA436" s="303"/>
      <c r="AB436" s="143"/>
      <c r="AC436" s="303"/>
      <c r="AD436" s="303"/>
      <c r="AE436" s="303"/>
      <c r="AF436" s="303"/>
      <c r="AG436" s="303"/>
      <c r="AH436" s="303"/>
      <c r="AI436" s="143"/>
      <c r="AJ436" s="125"/>
      <c r="AK436" s="125"/>
      <c r="AL436" s="125"/>
      <c r="AM436" s="125"/>
    </row>
    <row r="437" spans="1:39" ht="12.75" x14ac:dyDescent="0.2">
      <c r="A437" s="303"/>
      <c r="B437" s="303"/>
      <c r="C437" s="303"/>
      <c r="D437" s="143"/>
      <c r="E437" s="303"/>
      <c r="F437" s="303"/>
      <c r="G437" s="303"/>
      <c r="H437" s="303"/>
      <c r="I437" s="303"/>
      <c r="J437" s="303"/>
      <c r="K437" s="303"/>
      <c r="L437" s="143"/>
      <c r="M437" s="303"/>
      <c r="N437" s="303"/>
      <c r="O437" s="303"/>
      <c r="P437" s="303"/>
      <c r="Q437" s="303"/>
      <c r="R437" s="303"/>
      <c r="S437" s="303"/>
      <c r="T437" s="143"/>
      <c r="U437" s="303"/>
      <c r="V437" s="303"/>
      <c r="W437" s="303"/>
      <c r="X437" s="303"/>
      <c r="Y437" s="303"/>
      <c r="Z437" s="303"/>
      <c r="AA437" s="303"/>
      <c r="AB437" s="143"/>
      <c r="AC437" s="303"/>
      <c r="AD437" s="303"/>
      <c r="AE437" s="303"/>
      <c r="AF437" s="303"/>
      <c r="AG437" s="303"/>
      <c r="AH437" s="303"/>
      <c r="AI437" s="143"/>
      <c r="AJ437" s="125"/>
      <c r="AK437" s="125"/>
      <c r="AL437" s="125"/>
      <c r="AM437" s="125"/>
    </row>
    <row r="438" spans="1:39" ht="12.75" x14ac:dyDescent="0.2">
      <c r="A438" s="303"/>
      <c r="B438" s="303"/>
      <c r="C438" s="303"/>
      <c r="D438" s="143"/>
      <c r="E438" s="303"/>
      <c r="F438" s="303"/>
      <c r="G438" s="303"/>
      <c r="H438" s="303"/>
      <c r="I438" s="303"/>
      <c r="J438" s="303"/>
      <c r="K438" s="303"/>
      <c r="L438" s="143"/>
      <c r="M438" s="303"/>
      <c r="N438" s="303"/>
      <c r="O438" s="303"/>
      <c r="P438" s="303"/>
      <c r="Q438" s="303"/>
      <c r="R438" s="303"/>
      <c r="S438" s="303"/>
      <c r="T438" s="143"/>
      <c r="U438" s="303"/>
      <c r="V438" s="303"/>
      <c r="W438" s="303"/>
      <c r="X438" s="303"/>
      <c r="Y438" s="303"/>
      <c r="Z438" s="303"/>
      <c r="AA438" s="303"/>
      <c r="AB438" s="143"/>
      <c r="AC438" s="303"/>
      <c r="AD438" s="303"/>
      <c r="AE438" s="303"/>
      <c r="AF438" s="303"/>
      <c r="AG438" s="303"/>
      <c r="AH438" s="303"/>
      <c r="AI438" s="143"/>
      <c r="AJ438" s="125"/>
      <c r="AK438" s="125"/>
      <c r="AL438" s="125"/>
      <c r="AM438" s="125"/>
    </row>
    <row r="439" spans="1:39" ht="12.75" x14ac:dyDescent="0.2">
      <c r="A439" s="303"/>
      <c r="B439" s="303"/>
      <c r="C439" s="303"/>
      <c r="D439" s="143"/>
      <c r="E439" s="303"/>
      <c r="F439" s="303"/>
      <c r="G439" s="303"/>
      <c r="H439" s="303"/>
      <c r="I439" s="303"/>
      <c r="J439" s="303"/>
      <c r="K439" s="303"/>
      <c r="L439" s="143"/>
      <c r="M439" s="303"/>
      <c r="N439" s="303"/>
      <c r="O439" s="303"/>
      <c r="P439" s="303"/>
      <c r="Q439" s="303"/>
      <c r="R439" s="303"/>
      <c r="S439" s="303"/>
      <c r="T439" s="143"/>
      <c r="U439" s="303"/>
      <c r="V439" s="303"/>
      <c r="W439" s="303"/>
      <c r="X439" s="303"/>
      <c r="Y439" s="303"/>
      <c r="Z439" s="303"/>
      <c r="AA439" s="303"/>
      <c r="AB439" s="143"/>
      <c r="AC439" s="303"/>
      <c r="AD439" s="303"/>
      <c r="AE439" s="303"/>
      <c r="AF439" s="303"/>
      <c r="AG439" s="303"/>
      <c r="AH439" s="303"/>
      <c r="AI439" s="143"/>
      <c r="AJ439" s="125"/>
      <c r="AK439" s="125"/>
      <c r="AL439" s="125"/>
      <c r="AM439" s="125"/>
    </row>
    <row r="440" spans="1:39" ht="12.75" x14ac:dyDescent="0.2">
      <c r="A440" s="303"/>
      <c r="B440" s="303"/>
      <c r="C440" s="303"/>
      <c r="D440" s="143"/>
      <c r="E440" s="303"/>
      <c r="F440" s="303"/>
      <c r="G440" s="303"/>
      <c r="H440" s="303"/>
      <c r="I440" s="303"/>
      <c r="J440" s="303"/>
      <c r="K440" s="303"/>
      <c r="L440" s="143"/>
      <c r="M440" s="303"/>
      <c r="N440" s="303"/>
      <c r="O440" s="303"/>
      <c r="P440" s="303"/>
      <c r="Q440" s="303"/>
      <c r="R440" s="303"/>
      <c r="S440" s="303"/>
      <c r="T440" s="143"/>
      <c r="U440" s="303"/>
      <c r="V440" s="303"/>
      <c r="W440" s="303"/>
      <c r="X440" s="303"/>
      <c r="Y440" s="303"/>
      <c r="Z440" s="303"/>
      <c r="AA440" s="303"/>
      <c r="AB440" s="143"/>
      <c r="AC440" s="303"/>
      <c r="AD440" s="303"/>
      <c r="AE440" s="303"/>
      <c r="AF440" s="303"/>
      <c r="AG440" s="303"/>
      <c r="AH440" s="303"/>
      <c r="AI440" s="143"/>
      <c r="AJ440" s="125"/>
      <c r="AK440" s="125"/>
      <c r="AL440" s="125"/>
      <c r="AM440" s="125"/>
    </row>
    <row r="441" spans="1:39" ht="12.75" x14ac:dyDescent="0.2">
      <c r="A441" s="303"/>
      <c r="B441" s="303"/>
      <c r="C441" s="303"/>
      <c r="D441" s="143"/>
      <c r="E441" s="303"/>
      <c r="F441" s="303"/>
      <c r="G441" s="303"/>
      <c r="H441" s="303"/>
      <c r="I441" s="303"/>
      <c r="J441" s="303"/>
      <c r="K441" s="303"/>
      <c r="L441" s="143"/>
      <c r="M441" s="303"/>
      <c r="N441" s="303"/>
      <c r="O441" s="303"/>
      <c r="P441" s="303"/>
      <c r="Q441" s="303"/>
      <c r="R441" s="303"/>
      <c r="S441" s="303"/>
      <c r="T441" s="143"/>
      <c r="U441" s="303"/>
      <c r="V441" s="303"/>
      <c r="W441" s="303"/>
      <c r="X441" s="303"/>
      <c r="Y441" s="303"/>
      <c r="Z441" s="303"/>
      <c r="AA441" s="303"/>
      <c r="AB441" s="143"/>
      <c r="AC441" s="303"/>
      <c r="AD441" s="303"/>
      <c r="AE441" s="303"/>
      <c r="AF441" s="303"/>
      <c r="AG441" s="303"/>
      <c r="AH441" s="303"/>
      <c r="AI441" s="143"/>
      <c r="AJ441" s="125"/>
      <c r="AK441" s="125"/>
      <c r="AL441" s="125"/>
      <c r="AM441" s="125"/>
    </row>
    <row r="442" spans="1:39" ht="12.75" x14ac:dyDescent="0.2">
      <c r="A442" s="303"/>
      <c r="B442" s="303"/>
      <c r="C442" s="303"/>
      <c r="D442" s="143"/>
      <c r="E442" s="303"/>
      <c r="F442" s="303"/>
      <c r="G442" s="303"/>
      <c r="H442" s="303"/>
      <c r="I442" s="303"/>
      <c r="J442" s="303"/>
      <c r="K442" s="303"/>
      <c r="L442" s="143"/>
      <c r="M442" s="303"/>
      <c r="N442" s="303"/>
      <c r="O442" s="303"/>
      <c r="P442" s="303"/>
      <c r="Q442" s="303"/>
      <c r="R442" s="303"/>
      <c r="S442" s="303"/>
      <c r="T442" s="143"/>
      <c r="U442" s="303"/>
      <c r="V442" s="303"/>
      <c r="W442" s="303"/>
      <c r="X442" s="303"/>
      <c r="Y442" s="303"/>
      <c r="Z442" s="303"/>
      <c r="AA442" s="303"/>
      <c r="AB442" s="143"/>
      <c r="AC442" s="303"/>
      <c r="AD442" s="303"/>
      <c r="AE442" s="303"/>
      <c r="AF442" s="303"/>
      <c r="AG442" s="303"/>
      <c r="AH442" s="303"/>
      <c r="AI442" s="143"/>
      <c r="AJ442" s="125"/>
      <c r="AK442" s="125"/>
      <c r="AL442" s="125"/>
      <c r="AM442" s="125"/>
    </row>
    <row r="443" spans="1:39" ht="12.75" x14ac:dyDescent="0.2">
      <c r="A443" s="303"/>
      <c r="B443" s="303"/>
      <c r="C443" s="303"/>
      <c r="D443" s="143"/>
      <c r="E443" s="303"/>
      <c r="F443" s="303"/>
      <c r="G443" s="303"/>
      <c r="H443" s="303"/>
      <c r="I443" s="303"/>
      <c r="J443" s="303"/>
      <c r="K443" s="303"/>
      <c r="L443" s="143"/>
      <c r="M443" s="303"/>
      <c r="N443" s="303"/>
      <c r="O443" s="303"/>
      <c r="P443" s="303"/>
      <c r="Q443" s="303"/>
      <c r="R443" s="303"/>
      <c r="S443" s="303"/>
      <c r="T443" s="143"/>
      <c r="U443" s="303"/>
      <c r="V443" s="303"/>
      <c r="W443" s="303"/>
      <c r="X443" s="303"/>
      <c r="Y443" s="303"/>
      <c r="Z443" s="303"/>
      <c r="AA443" s="303"/>
      <c r="AB443" s="143"/>
      <c r="AC443" s="303"/>
      <c r="AD443" s="303"/>
      <c r="AE443" s="303"/>
      <c r="AF443" s="303"/>
      <c r="AG443" s="303"/>
      <c r="AH443" s="303"/>
      <c r="AI443" s="143"/>
      <c r="AJ443" s="125"/>
      <c r="AK443" s="125"/>
      <c r="AL443" s="125"/>
      <c r="AM443" s="125"/>
    </row>
    <row r="444" spans="1:39" ht="12.75" x14ac:dyDescent="0.2">
      <c r="A444" s="303"/>
      <c r="B444" s="303"/>
      <c r="C444" s="303"/>
      <c r="D444" s="143"/>
      <c r="E444" s="303"/>
      <c r="F444" s="303"/>
      <c r="G444" s="303"/>
      <c r="H444" s="303"/>
      <c r="I444" s="303"/>
      <c r="J444" s="303"/>
      <c r="K444" s="303"/>
      <c r="L444" s="143"/>
      <c r="M444" s="303"/>
      <c r="N444" s="303"/>
      <c r="O444" s="303"/>
      <c r="P444" s="303"/>
      <c r="Q444" s="303"/>
      <c r="R444" s="303"/>
      <c r="S444" s="303"/>
      <c r="T444" s="143"/>
      <c r="U444" s="303"/>
      <c r="V444" s="303"/>
      <c r="W444" s="303"/>
      <c r="X444" s="303"/>
      <c r="Y444" s="303"/>
      <c r="Z444" s="303"/>
      <c r="AA444" s="303"/>
      <c r="AB444" s="143"/>
      <c r="AC444" s="303"/>
      <c r="AD444" s="303"/>
      <c r="AE444" s="303"/>
      <c r="AF444" s="303"/>
      <c r="AG444" s="303"/>
      <c r="AH444" s="303"/>
      <c r="AI444" s="143"/>
      <c r="AJ444" s="125"/>
      <c r="AK444" s="125"/>
      <c r="AL444" s="125"/>
      <c r="AM444" s="125"/>
    </row>
    <row r="445" spans="1:39" ht="12.75" x14ac:dyDescent="0.2">
      <c r="A445" s="303"/>
      <c r="B445" s="303"/>
      <c r="C445" s="303"/>
      <c r="D445" s="143"/>
      <c r="E445" s="303"/>
      <c r="F445" s="303"/>
      <c r="G445" s="303"/>
      <c r="H445" s="303"/>
      <c r="I445" s="303"/>
      <c r="J445" s="303"/>
      <c r="K445" s="303"/>
      <c r="L445" s="143"/>
      <c r="M445" s="303"/>
      <c r="N445" s="303"/>
      <c r="O445" s="303"/>
      <c r="P445" s="303"/>
      <c r="Q445" s="303"/>
      <c r="R445" s="303"/>
      <c r="S445" s="303"/>
      <c r="T445" s="143"/>
      <c r="U445" s="303"/>
      <c r="V445" s="303"/>
      <c r="W445" s="303"/>
      <c r="X445" s="303"/>
      <c r="Y445" s="303"/>
      <c r="Z445" s="303"/>
      <c r="AA445" s="303"/>
      <c r="AB445" s="143"/>
      <c r="AC445" s="303"/>
      <c r="AD445" s="303"/>
      <c r="AE445" s="303"/>
      <c r="AF445" s="303"/>
      <c r="AG445" s="303"/>
      <c r="AH445" s="303"/>
      <c r="AI445" s="143"/>
      <c r="AJ445" s="125"/>
      <c r="AK445" s="125"/>
      <c r="AL445" s="125"/>
      <c r="AM445" s="125"/>
    </row>
    <row r="446" spans="1:39" ht="12.75" x14ac:dyDescent="0.2">
      <c r="A446" s="303"/>
      <c r="B446" s="303"/>
      <c r="C446" s="303"/>
      <c r="D446" s="143"/>
      <c r="E446" s="303"/>
      <c r="F446" s="303"/>
      <c r="G446" s="303"/>
      <c r="H446" s="303"/>
      <c r="I446" s="303"/>
      <c r="J446" s="303"/>
      <c r="K446" s="303"/>
      <c r="L446" s="143"/>
      <c r="M446" s="303"/>
      <c r="N446" s="303"/>
      <c r="O446" s="303"/>
      <c r="P446" s="303"/>
      <c r="Q446" s="303"/>
      <c r="R446" s="303"/>
      <c r="S446" s="303"/>
      <c r="T446" s="143"/>
      <c r="U446" s="303"/>
      <c r="V446" s="303"/>
      <c r="W446" s="303"/>
      <c r="X446" s="303"/>
      <c r="Y446" s="303"/>
      <c r="Z446" s="303"/>
      <c r="AA446" s="303"/>
      <c r="AB446" s="143"/>
      <c r="AC446" s="303"/>
      <c r="AD446" s="303"/>
      <c r="AE446" s="303"/>
      <c r="AF446" s="303"/>
      <c r="AG446" s="303"/>
      <c r="AH446" s="303"/>
      <c r="AI446" s="143"/>
      <c r="AJ446" s="125"/>
      <c r="AK446" s="125"/>
      <c r="AL446" s="125"/>
      <c r="AM446" s="125"/>
    </row>
    <row r="447" spans="1:39" ht="12.75" x14ac:dyDescent="0.2">
      <c r="A447" s="303"/>
      <c r="B447" s="303"/>
      <c r="C447" s="303"/>
      <c r="D447" s="143"/>
      <c r="E447" s="303"/>
      <c r="F447" s="303"/>
      <c r="G447" s="303"/>
      <c r="H447" s="303"/>
      <c r="I447" s="303"/>
      <c r="J447" s="303"/>
      <c r="K447" s="303"/>
      <c r="L447" s="143"/>
      <c r="M447" s="303"/>
      <c r="N447" s="303"/>
      <c r="O447" s="303"/>
      <c r="P447" s="303"/>
      <c r="Q447" s="303"/>
      <c r="R447" s="303"/>
      <c r="S447" s="303"/>
      <c r="T447" s="143"/>
      <c r="U447" s="303"/>
      <c r="V447" s="303"/>
      <c r="W447" s="303"/>
      <c r="X447" s="303"/>
      <c r="Y447" s="303"/>
      <c r="Z447" s="303"/>
      <c r="AA447" s="303"/>
      <c r="AB447" s="143"/>
      <c r="AC447" s="303"/>
      <c r="AD447" s="303"/>
      <c r="AE447" s="303"/>
      <c r="AF447" s="303"/>
      <c r="AG447" s="303"/>
      <c r="AH447" s="303"/>
      <c r="AI447" s="143"/>
      <c r="AJ447" s="125"/>
      <c r="AK447" s="125"/>
      <c r="AL447" s="125"/>
      <c r="AM447" s="125"/>
    </row>
    <row r="448" spans="1:39" ht="12.75" x14ac:dyDescent="0.2">
      <c r="A448" s="303"/>
      <c r="B448" s="303"/>
      <c r="C448" s="303"/>
      <c r="D448" s="143"/>
      <c r="E448" s="303"/>
      <c r="F448" s="303"/>
      <c r="G448" s="303"/>
      <c r="H448" s="303"/>
      <c r="I448" s="303"/>
      <c r="J448" s="303"/>
      <c r="K448" s="303"/>
      <c r="L448" s="143"/>
      <c r="M448" s="303"/>
      <c r="N448" s="303"/>
      <c r="O448" s="303"/>
      <c r="P448" s="303"/>
      <c r="Q448" s="303"/>
      <c r="R448" s="303"/>
      <c r="S448" s="303"/>
      <c r="T448" s="143"/>
      <c r="U448" s="303"/>
      <c r="V448" s="303"/>
      <c r="W448" s="303"/>
      <c r="X448" s="303"/>
      <c r="Y448" s="303"/>
      <c r="Z448" s="303"/>
      <c r="AA448" s="303"/>
      <c r="AB448" s="143"/>
      <c r="AC448" s="303"/>
      <c r="AD448" s="303"/>
      <c r="AE448" s="303"/>
      <c r="AF448" s="303"/>
      <c r="AG448" s="303"/>
      <c r="AH448" s="303"/>
      <c r="AI448" s="143"/>
      <c r="AJ448" s="125"/>
      <c r="AK448" s="125"/>
      <c r="AL448" s="125"/>
      <c r="AM448" s="125"/>
    </row>
    <row r="449" spans="1:39" ht="12.75" x14ac:dyDescent="0.2">
      <c r="A449" s="303"/>
      <c r="B449" s="303"/>
      <c r="C449" s="303"/>
      <c r="D449" s="143"/>
      <c r="E449" s="303"/>
      <c r="F449" s="303"/>
      <c r="G449" s="303"/>
      <c r="H449" s="303"/>
      <c r="I449" s="303"/>
      <c r="J449" s="303"/>
      <c r="K449" s="303"/>
      <c r="L449" s="143"/>
      <c r="M449" s="303"/>
      <c r="N449" s="303"/>
      <c r="O449" s="303"/>
      <c r="P449" s="303"/>
      <c r="Q449" s="303"/>
      <c r="R449" s="303"/>
      <c r="S449" s="303"/>
      <c r="T449" s="143"/>
      <c r="U449" s="303"/>
      <c r="V449" s="303"/>
      <c r="W449" s="303"/>
      <c r="X449" s="303"/>
      <c r="Y449" s="303"/>
      <c r="Z449" s="303"/>
      <c r="AA449" s="303"/>
      <c r="AB449" s="143"/>
      <c r="AC449" s="303"/>
      <c r="AD449" s="303"/>
      <c r="AE449" s="303"/>
      <c r="AF449" s="303"/>
      <c r="AG449" s="303"/>
      <c r="AH449" s="303"/>
      <c r="AI449" s="143"/>
      <c r="AJ449" s="125"/>
      <c r="AK449" s="125"/>
      <c r="AL449" s="125"/>
      <c r="AM449" s="125"/>
    </row>
    <row r="450" spans="1:39" ht="12.75" x14ac:dyDescent="0.2">
      <c r="A450" s="303"/>
      <c r="B450" s="303"/>
      <c r="C450" s="303"/>
      <c r="D450" s="143"/>
      <c r="E450" s="303"/>
      <c r="F450" s="303"/>
      <c r="G450" s="303"/>
      <c r="H450" s="303"/>
      <c r="I450" s="303"/>
      <c r="J450" s="303"/>
      <c r="K450" s="303"/>
      <c r="L450" s="143"/>
      <c r="M450" s="303"/>
      <c r="N450" s="303"/>
      <c r="O450" s="303"/>
      <c r="P450" s="303"/>
      <c r="Q450" s="303"/>
      <c r="R450" s="303"/>
      <c r="S450" s="303"/>
      <c r="T450" s="143"/>
      <c r="U450" s="303"/>
      <c r="V450" s="303"/>
      <c r="W450" s="303"/>
      <c r="X450" s="303"/>
      <c r="Y450" s="303"/>
      <c r="Z450" s="303"/>
      <c r="AA450" s="303"/>
      <c r="AB450" s="143"/>
      <c r="AC450" s="303"/>
      <c r="AD450" s="303"/>
      <c r="AE450" s="303"/>
      <c r="AF450" s="303"/>
      <c r="AG450" s="303"/>
      <c r="AH450" s="303"/>
      <c r="AI450" s="143"/>
      <c r="AJ450" s="125"/>
      <c r="AK450" s="125"/>
      <c r="AL450" s="125"/>
      <c r="AM450" s="125"/>
    </row>
    <row r="451" spans="1:39" ht="12.75" x14ac:dyDescent="0.2">
      <c r="A451" s="303"/>
      <c r="B451" s="303"/>
      <c r="C451" s="303"/>
      <c r="D451" s="143"/>
      <c r="E451" s="303"/>
      <c r="F451" s="303"/>
      <c r="G451" s="303"/>
      <c r="H451" s="303"/>
      <c r="I451" s="303"/>
      <c r="J451" s="303"/>
      <c r="K451" s="303"/>
      <c r="L451" s="143"/>
      <c r="M451" s="303"/>
      <c r="N451" s="303"/>
      <c r="O451" s="303"/>
      <c r="P451" s="303"/>
      <c r="Q451" s="303"/>
      <c r="R451" s="303"/>
      <c r="S451" s="303"/>
      <c r="T451" s="143"/>
      <c r="U451" s="303"/>
      <c r="V451" s="303"/>
      <c r="W451" s="303"/>
      <c r="X451" s="303"/>
      <c r="Y451" s="303"/>
      <c r="Z451" s="303"/>
      <c r="AA451" s="303"/>
      <c r="AB451" s="143"/>
      <c r="AC451" s="303"/>
      <c r="AD451" s="303"/>
      <c r="AE451" s="303"/>
      <c r="AF451" s="303"/>
      <c r="AG451" s="303"/>
      <c r="AH451" s="303"/>
      <c r="AI451" s="143"/>
      <c r="AJ451" s="125"/>
      <c r="AK451" s="125"/>
      <c r="AL451" s="125"/>
      <c r="AM451" s="125"/>
    </row>
    <row r="452" spans="1:39" ht="12.75" x14ac:dyDescent="0.2">
      <c r="A452" s="303"/>
      <c r="B452" s="303"/>
      <c r="C452" s="303"/>
      <c r="D452" s="143"/>
      <c r="E452" s="303"/>
      <c r="F452" s="303"/>
      <c r="G452" s="303"/>
      <c r="H452" s="303"/>
      <c r="I452" s="303"/>
      <c r="J452" s="303"/>
      <c r="K452" s="303"/>
      <c r="L452" s="143"/>
      <c r="M452" s="303"/>
      <c r="N452" s="303"/>
      <c r="O452" s="303"/>
      <c r="P452" s="303"/>
      <c r="Q452" s="303"/>
      <c r="R452" s="303"/>
      <c r="S452" s="303"/>
      <c r="T452" s="143"/>
      <c r="U452" s="303"/>
      <c r="V452" s="303"/>
      <c r="W452" s="303"/>
      <c r="X452" s="303"/>
      <c r="Y452" s="303"/>
      <c r="Z452" s="303"/>
      <c r="AA452" s="303"/>
      <c r="AB452" s="143"/>
      <c r="AC452" s="303"/>
      <c r="AD452" s="303"/>
      <c r="AE452" s="303"/>
      <c r="AF452" s="303"/>
      <c r="AG452" s="303"/>
      <c r="AH452" s="303"/>
      <c r="AI452" s="143"/>
      <c r="AJ452" s="125"/>
      <c r="AK452" s="125"/>
      <c r="AL452" s="125"/>
      <c r="AM452" s="125"/>
    </row>
    <row r="453" spans="1:39" ht="12.75" x14ac:dyDescent="0.2">
      <c r="A453" s="303"/>
      <c r="B453" s="303"/>
      <c r="C453" s="303"/>
      <c r="D453" s="143"/>
      <c r="E453" s="303"/>
      <c r="F453" s="303"/>
      <c r="G453" s="303"/>
      <c r="H453" s="303"/>
      <c r="I453" s="303"/>
      <c r="J453" s="303"/>
      <c r="K453" s="303"/>
      <c r="L453" s="143"/>
      <c r="M453" s="303"/>
      <c r="N453" s="303"/>
      <c r="O453" s="303"/>
      <c r="P453" s="303"/>
      <c r="Q453" s="303"/>
      <c r="R453" s="303"/>
      <c r="S453" s="303"/>
      <c r="T453" s="143"/>
      <c r="U453" s="303"/>
      <c r="V453" s="303"/>
      <c r="W453" s="303"/>
      <c r="X453" s="303"/>
      <c r="Y453" s="303"/>
      <c r="Z453" s="303"/>
      <c r="AA453" s="303"/>
      <c r="AB453" s="143"/>
      <c r="AC453" s="303"/>
      <c r="AD453" s="303"/>
      <c r="AE453" s="303"/>
      <c r="AF453" s="303"/>
      <c r="AG453" s="303"/>
      <c r="AH453" s="303"/>
      <c r="AI453" s="143"/>
      <c r="AJ453" s="125"/>
      <c r="AK453" s="125"/>
      <c r="AL453" s="125"/>
      <c r="AM453" s="125"/>
    </row>
    <row r="454" spans="1:39" ht="12.75" x14ac:dyDescent="0.2">
      <c r="A454" s="303"/>
      <c r="B454" s="303"/>
      <c r="C454" s="303"/>
      <c r="D454" s="143"/>
      <c r="E454" s="303"/>
      <c r="F454" s="303"/>
      <c r="G454" s="303"/>
      <c r="H454" s="303"/>
      <c r="I454" s="303"/>
      <c r="J454" s="303"/>
      <c r="K454" s="303"/>
      <c r="L454" s="143"/>
      <c r="M454" s="303"/>
      <c r="N454" s="303"/>
      <c r="O454" s="303"/>
      <c r="P454" s="303"/>
      <c r="Q454" s="303"/>
      <c r="R454" s="303"/>
      <c r="S454" s="303"/>
      <c r="T454" s="143"/>
      <c r="U454" s="303"/>
      <c r="V454" s="303"/>
      <c r="W454" s="303"/>
      <c r="X454" s="303"/>
      <c r="Y454" s="303"/>
      <c r="Z454" s="303"/>
      <c r="AA454" s="303"/>
      <c r="AB454" s="143"/>
      <c r="AC454" s="303"/>
      <c r="AD454" s="303"/>
      <c r="AE454" s="303"/>
      <c r="AF454" s="303"/>
      <c r="AG454" s="303"/>
      <c r="AH454" s="303"/>
      <c r="AI454" s="143"/>
      <c r="AJ454" s="125"/>
      <c r="AK454" s="125"/>
      <c r="AL454" s="125"/>
      <c r="AM454" s="125"/>
    </row>
    <row r="455" spans="1:39" ht="12.75" x14ac:dyDescent="0.2">
      <c r="A455" s="303"/>
      <c r="B455" s="303"/>
      <c r="C455" s="303"/>
      <c r="D455" s="143"/>
      <c r="E455" s="303"/>
      <c r="F455" s="303"/>
      <c r="G455" s="303"/>
      <c r="H455" s="303"/>
      <c r="I455" s="303"/>
      <c r="J455" s="303"/>
      <c r="K455" s="303"/>
      <c r="L455" s="143"/>
      <c r="M455" s="303"/>
      <c r="N455" s="303"/>
      <c r="O455" s="303"/>
      <c r="P455" s="303"/>
      <c r="Q455" s="303"/>
      <c r="R455" s="303"/>
      <c r="S455" s="303"/>
      <c r="T455" s="143"/>
      <c r="U455" s="303"/>
      <c r="V455" s="303"/>
      <c r="W455" s="303"/>
      <c r="X455" s="303"/>
      <c r="Y455" s="303"/>
      <c r="Z455" s="303"/>
      <c r="AA455" s="303"/>
      <c r="AB455" s="143"/>
      <c r="AC455" s="303"/>
      <c r="AD455" s="303"/>
      <c r="AE455" s="303"/>
      <c r="AF455" s="303"/>
      <c r="AG455" s="303"/>
      <c r="AH455" s="303"/>
      <c r="AI455" s="143"/>
      <c r="AJ455" s="125"/>
      <c r="AK455" s="125"/>
      <c r="AL455" s="125"/>
      <c r="AM455" s="125"/>
    </row>
    <row r="456" spans="1:39" ht="12.75" x14ac:dyDescent="0.2">
      <c r="A456" s="303"/>
      <c r="B456" s="303"/>
      <c r="C456" s="303"/>
      <c r="D456" s="143"/>
      <c r="E456" s="303"/>
      <c r="F456" s="303"/>
      <c r="G456" s="303"/>
      <c r="H456" s="303"/>
      <c r="I456" s="303"/>
      <c r="J456" s="303"/>
      <c r="K456" s="303"/>
      <c r="L456" s="143"/>
      <c r="M456" s="303"/>
      <c r="N456" s="303"/>
      <c r="O456" s="303"/>
      <c r="P456" s="303"/>
      <c r="Q456" s="303"/>
      <c r="R456" s="303"/>
      <c r="S456" s="303"/>
      <c r="T456" s="143"/>
      <c r="U456" s="303"/>
      <c r="V456" s="303"/>
      <c r="W456" s="303"/>
      <c r="X456" s="303"/>
      <c r="Y456" s="303"/>
      <c r="Z456" s="303"/>
      <c r="AA456" s="303"/>
      <c r="AB456" s="143"/>
      <c r="AC456" s="303"/>
      <c r="AD456" s="303"/>
      <c r="AE456" s="303"/>
      <c r="AF456" s="303"/>
      <c r="AG456" s="303"/>
      <c r="AH456" s="303"/>
      <c r="AI456" s="143"/>
      <c r="AJ456" s="125"/>
      <c r="AK456" s="125"/>
      <c r="AL456" s="125"/>
      <c r="AM456" s="125"/>
    </row>
    <row r="457" spans="1:39" ht="12.75" x14ac:dyDescent="0.2">
      <c r="A457" s="303"/>
      <c r="B457" s="303"/>
      <c r="C457" s="303"/>
      <c r="D457" s="143"/>
      <c r="E457" s="303"/>
      <c r="F457" s="303"/>
      <c r="G457" s="303"/>
      <c r="H457" s="303"/>
      <c r="I457" s="303"/>
      <c r="J457" s="303"/>
      <c r="K457" s="303"/>
      <c r="L457" s="143"/>
      <c r="M457" s="303"/>
      <c r="N457" s="303"/>
      <c r="O457" s="303"/>
      <c r="P457" s="303"/>
      <c r="Q457" s="303"/>
      <c r="R457" s="303"/>
      <c r="S457" s="303"/>
      <c r="T457" s="143"/>
      <c r="U457" s="303"/>
      <c r="V457" s="303"/>
      <c r="W457" s="303"/>
      <c r="X457" s="303"/>
      <c r="Y457" s="303"/>
      <c r="Z457" s="303"/>
      <c r="AA457" s="303"/>
      <c r="AB457" s="143"/>
      <c r="AC457" s="303"/>
      <c r="AD457" s="303"/>
      <c r="AE457" s="303"/>
      <c r="AF457" s="303"/>
      <c r="AG457" s="303"/>
      <c r="AH457" s="303"/>
      <c r="AI457" s="143"/>
      <c r="AJ457" s="125"/>
      <c r="AK457" s="125"/>
      <c r="AL457" s="125"/>
      <c r="AM457" s="125"/>
    </row>
    <row r="458" spans="1:39" ht="12.75" x14ac:dyDescent="0.2">
      <c r="A458" s="303"/>
      <c r="B458" s="303"/>
      <c r="C458" s="303"/>
      <c r="D458" s="143"/>
      <c r="E458" s="303"/>
      <c r="F458" s="303"/>
      <c r="G458" s="303"/>
      <c r="H458" s="303"/>
      <c r="I458" s="303"/>
      <c r="J458" s="303"/>
      <c r="K458" s="303"/>
      <c r="L458" s="143"/>
      <c r="M458" s="303"/>
      <c r="N458" s="303"/>
      <c r="O458" s="303"/>
      <c r="P458" s="303"/>
      <c r="Q458" s="303"/>
      <c r="R458" s="303"/>
      <c r="S458" s="303"/>
      <c r="T458" s="143"/>
      <c r="U458" s="303"/>
      <c r="V458" s="303"/>
      <c r="W458" s="303"/>
      <c r="X458" s="303"/>
      <c r="Y458" s="303"/>
      <c r="Z458" s="303"/>
      <c r="AA458" s="303"/>
      <c r="AB458" s="143"/>
      <c r="AC458" s="303"/>
      <c r="AD458" s="303"/>
      <c r="AE458" s="303"/>
      <c r="AF458" s="303"/>
      <c r="AG458" s="303"/>
      <c r="AH458" s="303"/>
      <c r="AI458" s="143"/>
      <c r="AJ458" s="125"/>
      <c r="AK458" s="125"/>
      <c r="AL458" s="125"/>
      <c r="AM458" s="125"/>
    </row>
    <row r="459" spans="1:39" ht="12.75" x14ac:dyDescent="0.2">
      <c r="A459" s="303"/>
      <c r="B459" s="303"/>
      <c r="C459" s="303"/>
      <c r="D459" s="143"/>
      <c r="E459" s="303"/>
      <c r="F459" s="303"/>
      <c r="G459" s="303"/>
      <c r="H459" s="303"/>
      <c r="I459" s="303"/>
      <c r="J459" s="303"/>
      <c r="K459" s="303"/>
      <c r="L459" s="143"/>
      <c r="M459" s="303"/>
      <c r="N459" s="303"/>
      <c r="O459" s="303"/>
      <c r="P459" s="303"/>
      <c r="Q459" s="303"/>
      <c r="R459" s="303"/>
      <c r="S459" s="303"/>
      <c r="T459" s="143"/>
      <c r="U459" s="303"/>
      <c r="V459" s="303"/>
      <c r="W459" s="303"/>
      <c r="X459" s="303"/>
      <c r="Y459" s="303"/>
      <c r="Z459" s="303"/>
      <c r="AA459" s="303"/>
      <c r="AB459" s="143"/>
      <c r="AC459" s="303"/>
      <c r="AD459" s="303"/>
      <c r="AE459" s="303"/>
      <c r="AF459" s="303"/>
      <c r="AG459" s="303"/>
      <c r="AH459" s="303"/>
      <c r="AI459" s="143"/>
      <c r="AJ459" s="125"/>
      <c r="AK459" s="125"/>
      <c r="AL459" s="125"/>
      <c r="AM459" s="125"/>
    </row>
    <row r="460" spans="1:39" ht="12.75" x14ac:dyDescent="0.2">
      <c r="A460" s="303"/>
      <c r="B460" s="303"/>
      <c r="C460" s="303"/>
      <c r="D460" s="143"/>
      <c r="E460" s="303"/>
      <c r="F460" s="303"/>
      <c r="G460" s="303"/>
      <c r="H460" s="303"/>
      <c r="I460" s="303"/>
      <c r="J460" s="303"/>
      <c r="K460" s="303"/>
      <c r="L460" s="143"/>
      <c r="M460" s="303"/>
      <c r="N460" s="303"/>
      <c r="O460" s="303"/>
      <c r="P460" s="303"/>
      <c r="Q460" s="303"/>
      <c r="R460" s="303"/>
      <c r="S460" s="303"/>
      <c r="T460" s="143"/>
      <c r="U460" s="303"/>
      <c r="V460" s="303"/>
      <c r="W460" s="303"/>
      <c r="X460" s="303"/>
      <c r="Y460" s="303"/>
      <c r="Z460" s="303"/>
      <c r="AA460" s="303"/>
      <c r="AB460" s="143"/>
      <c r="AC460" s="303"/>
      <c r="AD460" s="303"/>
      <c r="AE460" s="303"/>
      <c r="AF460" s="303"/>
      <c r="AG460" s="303"/>
      <c r="AH460" s="303"/>
      <c r="AI460" s="143"/>
      <c r="AJ460" s="125"/>
      <c r="AK460" s="125"/>
      <c r="AL460" s="125"/>
      <c r="AM460" s="125"/>
    </row>
    <row r="461" spans="1:39" ht="12.75" x14ac:dyDescent="0.2">
      <c r="A461" s="303"/>
      <c r="B461" s="303"/>
      <c r="C461" s="303"/>
      <c r="D461" s="143"/>
      <c r="E461" s="303"/>
      <c r="F461" s="303"/>
      <c r="G461" s="303"/>
      <c r="H461" s="303"/>
      <c r="I461" s="303"/>
      <c r="J461" s="303"/>
      <c r="K461" s="303"/>
      <c r="L461" s="143"/>
      <c r="M461" s="303"/>
      <c r="N461" s="303"/>
      <c r="O461" s="303"/>
      <c r="P461" s="303"/>
      <c r="Q461" s="303"/>
      <c r="R461" s="303"/>
      <c r="S461" s="303"/>
      <c r="T461" s="143"/>
      <c r="U461" s="303"/>
      <c r="V461" s="303"/>
      <c r="W461" s="303"/>
      <c r="X461" s="303"/>
      <c r="Y461" s="303"/>
      <c r="Z461" s="303"/>
      <c r="AA461" s="303"/>
      <c r="AB461" s="143"/>
      <c r="AC461" s="303"/>
      <c r="AD461" s="303"/>
      <c r="AE461" s="303"/>
      <c r="AF461" s="303"/>
      <c r="AG461" s="303"/>
      <c r="AH461" s="303"/>
      <c r="AI461" s="143"/>
      <c r="AJ461" s="125"/>
      <c r="AK461" s="125"/>
      <c r="AL461" s="125"/>
      <c r="AM461" s="125"/>
    </row>
    <row r="462" spans="1:39" ht="12.75" x14ac:dyDescent="0.2">
      <c r="A462" s="303"/>
      <c r="B462" s="303"/>
      <c r="C462" s="303"/>
      <c r="D462" s="143"/>
      <c r="E462" s="303"/>
      <c r="F462" s="303"/>
      <c r="G462" s="303"/>
      <c r="H462" s="303"/>
      <c r="I462" s="303"/>
      <c r="J462" s="303"/>
      <c r="K462" s="303"/>
      <c r="L462" s="143"/>
      <c r="M462" s="303"/>
      <c r="N462" s="303"/>
      <c r="O462" s="303"/>
      <c r="P462" s="303"/>
      <c r="Q462" s="303"/>
      <c r="R462" s="303"/>
      <c r="S462" s="303"/>
      <c r="T462" s="143"/>
      <c r="U462" s="303"/>
      <c r="V462" s="303"/>
      <c r="W462" s="303"/>
      <c r="X462" s="303"/>
      <c r="Y462" s="303"/>
      <c r="Z462" s="303"/>
      <c r="AA462" s="303"/>
      <c r="AB462" s="143"/>
      <c r="AC462" s="303"/>
      <c r="AD462" s="303"/>
      <c r="AE462" s="303"/>
      <c r="AF462" s="303"/>
      <c r="AG462" s="303"/>
      <c r="AH462" s="303"/>
      <c r="AI462" s="143"/>
      <c r="AJ462" s="125"/>
      <c r="AK462" s="125"/>
      <c r="AL462" s="125"/>
      <c r="AM462" s="125"/>
    </row>
    <row r="463" spans="1:39" ht="12.75" x14ac:dyDescent="0.2">
      <c r="A463" s="303"/>
      <c r="B463" s="303"/>
      <c r="C463" s="303"/>
      <c r="D463" s="143"/>
      <c r="E463" s="303"/>
      <c r="F463" s="303"/>
      <c r="G463" s="303"/>
      <c r="H463" s="303"/>
      <c r="I463" s="303"/>
      <c r="J463" s="303"/>
      <c r="K463" s="303"/>
      <c r="L463" s="143"/>
      <c r="M463" s="303"/>
      <c r="N463" s="303"/>
      <c r="O463" s="303"/>
      <c r="P463" s="303"/>
      <c r="Q463" s="303"/>
      <c r="R463" s="303"/>
      <c r="S463" s="303"/>
      <c r="T463" s="143"/>
      <c r="U463" s="303"/>
      <c r="V463" s="303"/>
      <c r="W463" s="303"/>
      <c r="X463" s="303"/>
      <c r="Y463" s="303"/>
      <c r="Z463" s="303"/>
      <c r="AA463" s="303"/>
      <c r="AB463" s="143"/>
      <c r="AC463" s="303"/>
      <c r="AD463" s="303"/>
      <c r="AE463" s="303"/>
      <c r="AF463" s="303"/>
      <c r="AG463" s="303"/>
      <c r="AH463" s="303"/>
      <c r="AI463" s="143"/>
      <c r="AJ463" s="125"/>
      <c r="AK463" s="125"/>
      <c r="AL463" s="125"/>
      <c r="AM463" s="125"/>
    </row>
    <row r="464" spans="1:39" ht="12.75" x14ac:dyDescent="0.2">
      <c r="A464" s="303"/>
      <c r="B464" s="303"/>
      <c r="C464" s="303"/>
      <c r="D464" s="143"/>
      <c r="E464" s="303"/>
      <c r="F464" s="303"/>
      <c r="G464" s="303"/>
      <c r="H464" s="303"/>
      <c r="I464" s="303"/>
      <c r="J464" s="303"/>
      <c r="K464" s="303"/>
      <c r="L464" s="143"/>
      <c r="M464" s="303"/>
      <c r="N464" s="303"/>
      <c r="O464" s="303"/>
      <c r="P464" s="303"/>
      <c r="Q464" s="303"/>
      <c r="R464" s="303"/>
      <c r="S464" s="303"/>
      <c r="T464" s="143"/>
      <c r="U464" s="303"/>
      <c r="V464" s="303"/>
      <c r="W464" s="303"/>
      <c r="X464" s="303"/>
      <c r="Y464" s="303"/>
      <c r="Z464" s="303"/>
      <c r="AA464" s="303"/>
      <c r="AB464" s="143"/>
      <c r="AC464" s="303"/>
      <c r="AD464" s="303"/>
      <c r="AE464" s="303"/>
      <c r="AF464" s="303"/>
      <c r="AG464" s="303"/>
      <c r="AH464" s="303"/>
      <c r="AI464" s="143"/>
      <c r="AJ464" s="125"/>
      <c r="AK464" s="125"/>
      <c r="AL464" s="125"/>
      <c r="AM464" s="125"/>
    </row>
    <row r="465" spans="1:39" ht="12.75" x14ac:dyDescent="0.2">
      <c r="A465" s="303"/>
      <c r="B465" s="303"/>
      <c r="C465" s="303"/>
      <c r="D465" s="143"/>
      <c r="E465" s="303"/>
      <c r="F465" s="303"/>
      <c r="G465" s="303"/>
      <c r="H465" s="303"/>
      <c r="I465" s="303"/>
      <c r="J465" s="303"/>
      <c r="K465" s="303"/>
      <c r="L465" s="143"/>
      <c r="M465" s="303"/>
      <c r="N465" s="303"/>
      <c r="O465" s="303"/>
      <c r="P465" s="303"/>
      <c r="Q465" s="303"/>
      <c r="R465" s="303"/>
      <c r="S465" s="303"/>
      <c r="T465" s="143"/>
      <c r="U465" s="303"/>
      <c r="V465" s="303"/>
      <c r="W465" s="303"/>
      <c r="X465" s="303"/>
      <c r="Y465" s="303"/>
      <c r="Z465" s="303"/>
      <c r="AA465" s="303"/>
      <c r="AB465" s="143"/>
      <c r="AC465" s="303"/>
      <c r="AD465" s="303"/>
      <c r="AE465" s="303"/>
      <c r="AF465" s="303"/>
      <c r="AG465" s="303"/>
      <c r="AH465" s="303"/>
      <c r="AI465" s="143"/>
      <c r="AJ465" s="125"/>
      <c r="AK465" s="125"/>
      <c r="AL465" s="125"/>
      <c r="AM465" s="125"/>
    </row>
    <row r="466" spans="1:39" ht="12.75" x14ac:dyDescent="0.2">
      <c r="A466" s="303"/>
      <c r="B466" s="303"/>
      <c r="C466" s="303"/>
      <c r="D466" s="143"/>
      <c r="E466" s="303"/>
      <c r="F466" s="303"/>
      <c r="G466" s="303"/>
      <c r="H466" s="303"/>
      <c r="I466" s="303"/>
      <c r="J466" s="303"/>
      <c r="K466" s="303"/>
      <c r="L466" s="143"/>
      <c r="M466" s="303"/>
      <c r="N466" s="303"/>
      <c r="O466" s="303"/>
      <c r="P466" s="303"/>
      <c r="Q466" s="303"/>
      <c r="R466" s="303"/>
      <c r="S466" s="303"/>
      <c r="T466" s="143"/>
      <c r="U466" s="303"/>
      <c r="V466" s="303"/>
      <c r="W466" s="303"/>
      <c r="X466" s="303"/>
      <c r="Y466" s="303"/>
      <c r="Z466" s="303"/>
      <c r="AA466" s="303"/>
      <c r="AB466" s="143"/>
      <c r="AC466" s="303"/>
      <c r="AD466" s="303"/>
      <c r="AE466" s="303"/>
      <c r="AF466" s="303"/>
      <c r="AG466" s="303"/>
      <c r="AH466" s="303"/>
      <c r="AI466" s="143"/>
      <c r="AJ466" s="125"/>
      <c r="AK466" s="125"/>
      <c r="AL466" s="125"/>
      <c r="AM466" s="125"/>
    </row>
    <row r="467" spans="1:39" ht="12.75" x14ac:dyDescent="0.2">
      <c r="A467" s="303"/>
      <c r="B467" s="303"/>
      <c r="C467" s="303"/>
      <c r="D467" s="143"/>
      <c r="E467" s="303"/>
      <c r="F467" s="303"/>
      <c r="G467" s="303"/>
      <c r="H467" s="303"/>
      <c r="I467" s="303"/>
      <c r="J467" s="303"/>
      <c r="K467" s="303"/>
      <c r="L467" s="143"/>
      <c r="M467" s="303"/>
      <c r="N467" s="303"/>
      <c r="O467" s="303"/>
      <c r="P467" s="303"/>
      <c r="Q467" s="303"/>
      <c r="R467" s="303"/>
      <c r="S467" s="303"/>
      <c r="T467" s="143"/>
      <c r="U467" s="303"/>
      <c r="V467" s="303"/>
      <c r="W467" s="303"/>
      <c r="X467" s="303"/>
      <c r="Y467" s="303"/>
      <c r="Z467" s="303"/>
      <c r="AA467" s="303"/>
      <c r="AB467" s="143"/>
      <c r="AC467" s="303"/>
      <c r="AD467" s="303"/>
      <c r="AE467" s="303"/>
      <c r="AF467" s="303"/>
      <c r="AG467" s="303"/>
      <c r="AH467" s="303"/>
      <c r="AI467" s="143"/>
      <c r="AJ467" s="125"/>
      <c r="AK467" s="125"/>
      <c r="AL467" s="125"/>
      <c r="AM467" s="125"/>
    </row>
    <row r="468" spans="1:39" ht="12.75" x14ac:dyDescent="0.2">
      <c r="A468" s="303"/>
      <c r="B468" s="303"/>
      <c r="C468" s="303"/>
      <c r="D468" s="143"/>
      <c r="E468" s="303"/>
      <c r="F468" s="303"/>
      <c r="G468" s="303"/>
      <c r="H468" s="303"/>
      <c r="I468" s="303"/>
      <c r="J468" s="303"/>
      <c r="K468" s="303"/>
      <c r="L468" s="143"/>
      <c r="M468" s="303"/>
      <c r="N468" s="303"/>
      <c r="O468" s="303"/>
      <c r="P468" s="303"/>
      <c r="Q468" s="303"/>
      <c r="R468" s="303"/>
      <c r="S468" s="303"/>
      <c r="T468" s="143"/>
      <c r="U468" s="303"/>
      <c r="V468" s="303"/>
      <c r="W468" s="303"/>
      <c r="X468" s="303"/>
      <c r="Y468" s="303"/>
      <c r="Z468" s="303"/>
      <c r="AA468" s="303"/>
      <c r="AB468" s="143"/>
      <c r="AC468" s="303"/>
      <c r="AD468" s="303"/>
      <c r="AE468" s="303"/>
      <c r="AF468" s="303"/>
      <c r="AG468" s="303"/>
      <c r="AH468" s="303"/>
      <c r="AI468" s="143"/>
      <c r="AJ468" s="125"/>
      <c r="AK468" s="125"/>
      <c r="AL468" s="125"/>
      <c r="AM468" s="125"/>
    </row>
    <row r="469" spans="1:39" ht="12.75" x14ac:dyDescent="0.2">
      <c r="A469" s="303"/>
      <c r="B469" s="303"/>
      <c r="C469" s="303"/>
      <c r="D469" s="143"/>
      <c r="E469" s="303"/>
      <c r="F469" s="303"/>
      <c r="G469" s="303"/>
      <c r="H469" s="303"/>
      <c r="I469" s="303"/>
      <c r="J469" s="303"/>
      <c r="K469" s="303"/>
      <c r="L469" s="143"/>
      <c r="M469" s="303"/>
      <c r="N469" s="303"/>
      <c r="O469" s="303"/>
      <c r="P469" s="303"/>
      <c r="Q469" s="303"/>
      <c r="R469" s="303"/>
      <c r="S469" s="303"/>
      <c r="T469" s="143"/>
      <c r="U469" s="303"/>
      <c r="V469" s="303"/>
      <c r="W469" s="303"/>
      <c r="X469" s="303"/>
      <c r="Y469" s="303"/>
      <c r="Z469" s="303"/>
      <c r="AA469" s="303"/>
      <c r="AB469" s="143"/>
      <c r="AC469" s="303"/>
      <c r="AD469" s="303"/>
      <c r="AE469" s="303"/>
      <c r="AF469" s="303"/>
      <c r="AG469" s="303"/>
      <c r="AH469" s="303"/>
      <c r="AI469" s="143"/>
      <c r="AJ469" s="125"/>
      <c r="AK469" s="125"/>
      <c r="AL469" s="125"/>
      <c r="AM469" s="125"/>
    </row>
    <row r="470" spans="1:39" ht="12.75" x14ac:dyDescent="0.2">
      <c r="A470" s="303"/>
      <c r="B470" s="303"/>
      <c r="C470" s="303"/>
      <c r="D470" s="143"/>
      <c r="E470" s="303"/>
      <c r="F470" s="303"/>
      <c r="G470" s="303"/>
      <c r="H470" s="303"/>
      <c r="I470" s="303"/>
      <c r="J470" s="303"/>
      <c r="K470" s="303"/>
      <c r="L470" s="143"/>
      <c r="M470" s="303"/>
      <c r="N470" s="303"/>
      <c r="O470" s="303"/>
      <c r="P470" s="303"/>
      <c r="Q470" s="303"/>
      <c r="R470" s="303"/>
      <c r="S470" s="303"/>
      <c r="T470" s="143"/>
      <c r="U470" s="303"/>
      <c r="V470" s="303"/>
      <c r="W470" s="303"/>
      <c r="X470" s="303"/>
      <c r="Y470" s="303"/>
      <c r="Z470" s="303"/>
      <c r="AA470" s="303"/>
      <c r="AB470" s="143"/>
      <c r="AC470" s="303"/>
      <c r="AD470" s="303"/>
      <c r="AE470" s="303"/>
      <c r="AF470" s="303"/>
      <c r="AG470" s="303"/>
      <c r="AH470" s="303"/>
      <c r="AI470" s="143"/>
      <c r="AJ470" s="125"/>
      <c r="AK470" s="125"/>
      <c r="AL470" s="125"/>
      <c r="AM470" s="125"/>
    </row>
    <row r="471" spans="1:39" ht="12.75" x14ac:dyDescent="0.2">
      <c r="A471" s="303"/>
      <c r="B471" s="303"/>
      <c r="C471" s="303"/>
      <c r="D471" s="143"/>
      <c r="E471" s="303"/>
      <c r="F471" s="303"/>
      <c r="G471" s="303"/>
      <c r="H471" s="303"/>
      <c r="I471" s="303"/>
      <c r="J471" s="303"/>
      <c r="K471" s="303"/>
      <c r="L471" s="143"/>
      <c r="M471" s="303"/>
      <c r="N471" s="303"/>
      <c r="O471" s="303"/>
      <c r="P471" s="303"/>
      <c r="Q471" s="303"/>
      <c r="R471" s="303"/>
      <c r="S471" s="303"/>
      <c r="T471" s="143"/>
      <c r="U471" s="303"/>
      <c r="V471" s="303"/>
      <c r="W471" s="303"/>
      <c r="X471" s="303"/>
      <c r="Y471" s="303"/>
      <c r="Z471" s="303"/>
      <c r="AA471" s="303"/>
      <c r="AB471" s="143"/>
      <c r="AC471" s="303"/>
      <c r="AD471" s="303"/>
      <c r="AE471" s="303"/>
      <c r="AF471" s="303"/>
      <c r="AG471" s="303"/>
      <c r="AH471" s="303"/>
      <c r="AI471" s="143"/>
      <c r="AJ471" s="125"/>
      <c r="AK471" s="125"/>
      <c r="AL471" s="125"/>
      <c r="AM471" s="125"/>
    </row>
    <row r="472" spans="1:39" ht="12.75" x14ac:dyDescent="0.2">
      <c r="A472" s="303"/>
      <c r="B472" s="303"/>
      <c r="C472" s="303"/>
      <c r="D472" s="143"/>
      <c r="E472" s="303"/>
      <c r="F472" s="303"/>
      <c r="G472" s="303"/>
      <c r="H472" s="303"/>
      <c r="I472" s="303"/>
      <c r="J472" s="303"/>
      <c r="K472" s="303"/>
      <c r="L472" s="143"/>
      <c r="M472" s="303"/>
      <c r="N472" s="303"/>
      <c r="O472" s="303"/>
      <c r="P472" s="303"/>
      <c r="Q472" s="303"/>
      <c r="R472" s="303"/>
      <c r="S472" s="303"/>
      <c r="T472" s="143"/>
      <c r="U472" s="303"/>
      <c r="V472" s="303"/>
      <c r="W472" s="303"/>
      <c r="X472" s="303"/>
      <c r="Y472" s="303"/>
      <c r="Z472" s="303"/>
      <c r="AA472" s="303"/>
      <c r="AB472" s="143"/>
      <c r="AC472" s="303"/>
      <c r="AD472" s="303"/>
      <c r="AE472" s="303"/>
      <c r="AF472" s="303"/>
      <c r="AG472" s="303"/>
      <c r="AH472" s="303"/>
      <c r="AI472" s="143"/>
      <c r="AJ472" s="125"/>
      <c r="AK472" s="125"/>
      <c r="AL472" s="125"/>
      <c r="AM472" s="125"/>
    </row>
    <row r="473" spans="1:39" ht="12.75" x14ac:dyDescent="0.2">
      <c r="A473" s="303"/>
      <c r="B473" s="303"/>
      <c r="C473" s="303"/>
      <c r="D473" s="143"/>
      <c r="E473" s="303"/>
      <c r="F473" s="303"/>
      <c r="G473" s="303"/>
      <c r="H473" s="303"/>
      <c r="I473" s="303"/>
      <c r="J473" s="303"/>
      <c r="K473" s="303"/>
      <c r="L473" s="143"/>
      <c r="M473" s="303"/>
      <c r="N473" s="303"/>
      <c r="O473" s="303"/>
      <c r="P473" s="303"/>
      <c r="Q473" s="303"/>
      <c r="R473" s="303"/>
      <c r="S473" s="303"/>
      <c r="T473" s="143"/>
      <c r="U473" s="303"/>
      <c r="V473" s="303"/>
      <c r="W473" s="303"/>
      <c r="X473" s="303"/>
      <c r="Y473" s="303"/>
      <c r="Z473" s="303"/>
      <c r="AA473" s="303"/>
      <c r="AB473" s="143"/>
      <c r="AC473" s="303"/>
      <c r="AD473" s="303"/>
      <c r="AE473" s="303"/>
      <c r="AF473" s="303"/>
      <c r="AG473" s="303"/>
      <c r="AH473" s="303"/>
      <c r="AI473" s="143"/>
      <c r="AJ473" s="125"/>
      <c r="AK473" s="125"/>
      <c r="AL473" s="125"/>
      <c r="AM473" s="125"/>
    </row>
    <row r="474" spans="1:39" ht="12.75" x14ac:dyDescent="0.2">
      <c r="A474" s="303"/>
      <c r="B474" s="303"/>
      <c r="C474" s="303"/>
      <c r="D474" s="143"/>
      <c r="E474" s="303"/>
      <c r="F474" s="303"/>
      <c r="G474" s="303"/>
      <c r="H474" s="303"/>
      <c r="I474" s="303"/>
      <c r="J474" s="303"/>
      <c r="K474" s="303"/>
      <c r="L474" s="143"/>
      <c r="M474" s="303"/>
      <c r="N474" s="303"/>
      <c r="O474" s="303"/>
      <c r="P474" s="303"/>
      <c r="Q474" s="303"/>
      <c r="R474" s="303"/>
      <c r="S474" s="303"/>
      <c r="T474" s="143"/>
      <c r="U474" s="303"/>
      <c r="V474" s="303"/>
      <c r="W474" s="303"/>
      <c r="X474" s="303"/>
      <c r="Y474" s="303"/>
      <c r="Z474" s="303"/>
      <c r="AA474" s="303"/>
      <c r="AB474" s="143"/>
      <c r="AC474" s="303"/>
      <c r="AD474" s="303"/>
      <c r="AE474" s="303"/>
      <c r="AF474" s="303"/>
      <c r="AG474" s="303"/>
      <c r="AH474" s="303"/>
      <c r="AI474" s="143"/>
      <c r="AJ474" s="125"/>
      <c r="AK474" s="125"/>
      <c r="AL474" s="125"/>
      <c r="AM474" s="125"/>
    </row>
    <row r="475" spans="1:39" ht="12.75" x14ac:dyDescent="0.2">
      <c r="A475" s="303"/>
      <c r="B475" s="303"/>
      <c r="C475" s="303"/>
      <c r="D475" s="143"/>
      <c r="E475" s="303"/>
      <c r="F475" s="303"/>
      <c r="G475" s="303"/>
      <c r="H475" s="303"/>
      <c r="I475" s="303"/>
      <c r="J475" s="303"/>
      <c r="K475" s="303"/>
      <c r="L475" s="143"/>
      <c r="M475" s="303"/>
      <c r="N475" s="303"/>
      <c r="O475" s="303"/>
      <c r="P475" s="303"/>
      <c r="Q475" s="303"/>
      <c r="R475" s="303"/>
      <c r="S475" s="303"/>
      <c r="T475" s="143"/>
      <c r="U475" s="303"/>
      <c r="V475" s="303"/>
      <c r="W475" s="303"/>
      <c r="X475" s="303"/>
      <c r="Y475" s="303"/>
      <c r="Z475" s="303"/>
      <c r="AA475" s="303"/>
      <c r="AB475" s="143"/>
      <c r="AC475" s="303"/>
      <c r="AD475" s="303"/>
      <c r="AE475" s="303"/>
      <c r="AF475" s="303"/>
      <c r="AG475" s="303"/>
      <c r="AH475" s="303"/>
      <c r="AI475" s="143"/>
      <c r="AJ475" s="125"/>
      <c r="AK475" s="125"/>
      <c r="AL475" s="125"/>
      <c r="AM475" s="125"/>
    </row>
    <row r="476" spans="1:39" ht="12.75" x14ac:dyDescent="0.2">
      <c r="A476" s="303"/>
      <c r="B476" s="303"/>
      <c r="C476" s="303"/>
      <c r="D476" s="143"/>
      <c r="E476" s="303"/>
      <c r="F476" s="303"/>
      <c r="G476" s="303"/>
      <c r="H476" s="303"/>
      <c r="I476" s="303"/>
      <c r="J476" s="303"/>
      <c r="K476" s="303"/>
      <c r="L476" s="143"/>
      <c r="M476" s="303"/>
      <c r="N476" s="303"/>
      <c r="O476" s="303"/>
      <c r="P476" s="303"/>
      <c r="Q476" s="303"/>
      <c r="R476" s="303"/>
      <c r="S476" s="303"/>
      <c r="T476" s="143"/>
      <c r="U476" s="303"/>
      <c r="V476" s="303"/>
      <c r="W476" s="303"/>
      <c r="X476" s="303"/>
      <c r="Y476" s="303"/>
      <c r="Z476" s="303"/>
      <c r="AA476" s="303"/>
      <c r="AB476" s="143"/>
      <c r="AC476" s="303"/>
      <c r="AD476" s="303"/>
      <c r="AE476" s="303"/>
      <c r="AF476" s="303"/>
      <c r="AG476" s="303"/>
      <c r="AH476" s="303"/>
      <c r="AI476" s="143"/>
      <c r="AJ476" s="125"/>
      <c r="AK476" s="125"/>
      <c r="AL476" s="125"/>
      <c r="AM476" s="125"/>
    </row>
    <row r="477" spans="1:39" ht="12.75" x14ac:dyDescent="0.2">
      <c r="A477" s="303"/>
      <c r="B477" s="303"/>
      <c r="C477" s="303"/>
      <c r="D477" s="143"/>
      <c r="E477" s="303"/>
      <c r="F477" s="303"/>
      <c r="G477" s="303"/>
      <c r="H477" s="303"/>
      <c r="I477" s="303"/>
      <c r="J477" s="303"/>
      <c r="K477" s="303"/>
      <c r="L477" s="143"/>
      <c r="M477" s="303"/>
      <c r="N477" s="303"/>
      <c r="O477" s="303"/>
      <c r="P477" s="303"/>
      <c r="Q477" s="303"/>
      <c r="R477" s="303"/>
      <c r="S477" s="303"/>
      <c r="T477" s="143"/>
      <c r="U477" s="303"/>
      <c r="V477" s="303"/>
      <c r="W477" s="303"/>
      <c r="X477" s="303"/>
      <c r="Y477" s="303"/>
      <c r="Z477" s="303"/>
      <c r="AA477" s="303"/>
      <c r="AB477" s="143"/>
      <c r="AC477" s="303"/>
      <c r="AD477" s="303"/>
      <c r="AE477" s="303"/>
      <c r="AF477" s="303"/>
      <c r="AG477" s="303"/>
      <c r="AH477" s="303"/>
      <c r="AI477" s="143"/>
      <c r="AJ477" s="125"/>
      <c r="AK477" s="125"/>
      <c r="AL477" s="125"/>
      <c r="AM477" s="125"/>
    </row>
    <row r="478" spans="1:39" ht="12.75" x14ac:dyDescent="0.2">
      <c r="A478" s="303"/>
      <c r="B478" s="303"/>
      <c r="C478" s="303"/>
      <c r="D478" s="143"/>
      <c r="E478" s="303"/>
      <c r="F478" s="303"/>
      <c r="G478" s="303"/>
      <c r="H478" s="303"/>
      <c r="I478" s="303"/>
      <c r="J478" s="303"/>
      <c r="K478" s="303"/>
      <c r="L478" s="143"/>
      <c r="M478" s="303"/>
      <c r="N478" s="303"/>
      <c r="O478" s="303"/>
      <c r="P478" s="303"/>
      <c r="Q478" s="303"/>
      <c r="R478" s="303"/>
      <c r="S478" s="303"/>
      <c r="T478" s="143"/>
      <c r="U478" s="303"/>
      <c r="V478" s="303"/>
      <c r="W478" s="303"/>
      <c r="X478" s="303"/>
      <c r="Y478" s="303"/>
      <c r="Z478" s="303"/>
      <c r="AA478" s="303"/>
      <c r="AB478" s="143"/>
      <c r="AC478" s="303"/>
      <c r="AD478" s="303"/>
      <c r="AE478" s="303"/>
      <c r="AF478" s="303"/>
      <c r="AG478" s="303"/>
      <c r="AH478" s="303"/>
      <c r="AI478" s="143"/>
      <c r="AJ478" s="125"/>
      <c r="AK478" s="125"/>
      <c r="AL478" s="125"/>
      <c r="AM478" s="125"/>
    </row>
    <row r="479" spans="1:39" ht="12.75" x14ac:dyDescent="0.2">
      <c r="A479" s="303"/>
      <c r="B479" s="303"/>
      <c r="C479" s="303"/>
      <c r="D479" s="143"/>
      <c r="E479" s="303"/>
      <c r="F479" s="303"/>
      <c r="G479" s="303"/>
      <c r="H479" s="303"/>
      <c r="I479" s="303"/>
      <c r="J479" s="303"/>
      <c r="K479" s="303"/>
      <c r="L479" s="143"/>
      <c r="M479" s="303"/>
      <c r="N479" s="303"/>
      <c r="O479" s="303"/>
      <c r="P479" s="303"/>
      <c r="Q479" s="303"/>
      <c r="R479" s="303"/>
      <c r="S479" s="303"/>
      <c r="T479" s="143"/>
      <c r="U479" s="303"/>
      <c r="V479" s="303"/>
      <c r="W479" s="303"/>
      <c r="X479" s="303"/>
      <c r="Y479" s="303"/>
      <c r="Z479" s="303"/>
      <c r="AA479" s="303"/>
      <c r="AB479" s="143"/>
      <c r="AC479" s="303"/>
      <c r="AD479" s="303"/>
      <c r="AE479" s="303"/>
      <c r="AF479" s="303"/>
      <c r="AG479" s="303"/>
      <c r="AH479" s="303"/>
      <c r="AI479" s="143"/>
      <c r="AJ479" s="125"/>
      <c r="AK479" s="125"/>
      <c r="AL479" s="125"/>
      <c r="AM479" s="125"/>
    </row>
    <row r="480" spans="1:39" ht="12.75" x14ac:dyDescent="0.2">
      <c r="A480" s="303"/>
      <c r="B480" s="303"/>
      <c r="C480" s="303"/>
      <c r="D480" s="143"/>
      <c r="E480" s="303"/>
      <c r="F480" s="303"/>
      <c r="G480" s="303"/>
      <c r="H480" s="303"/>
      <c r="I480" s="303"/>
      <c r="J480" s="303"/>
      <c r="K480" s="303"/>
      <c r="L480" s="143"/>
      <c r="M480" s="303"/>
      <c r="N480" s="303"/>
      <c r="O480" s="303"/>
      <c r="P480" s="303"/>
      <c r="Q480" s="303"/>
      <c r="R480" s="303"/>
      <c r="S480" s="303"/>
      <c r="T480" s="143"/>
      <c r="U480" s="303"/>
      <c r="V480" s="303"/>
      <c r="W480" s="303"/>
      <c r="X480" s="303"/>
      <c r="Y480" s="303"/>
      <c r="Z480" s="303"/>
      <c r="AA480" s="303"/>
      <c r="AB480" s="143"/>
      <c r="AC480" s="303"/>
      <c r="AD480" s="303"/>
      <c r="AE480" s="303"/>
      <c r="AF480" s="303"/>
      <c r="AG480" s="303"/>
      <c r="AH480" s="303"/>
      <c r="AI480" s="143"/>
      <c r="AJ480" s="125"/>
      <c r="AK480" s="125"/>
      <c r="AL480" s="125"/>
      <c r="AM480" s="125"/>
    </row>
    <row r="481" spans="1:39" ht="12.75" x14ac:dyDescent="0.2">
      <c r="A481" s="303"/>
      <c r="B481" s="303"/>
      <c r="C481" s="303"/>
      <c r="D481" s="143"/>
      <c r="E481" s="303"/>
      <c r="F481" s="303"/>
      <c r="G481" s="303"/>
      <c r="H481" s="303"/>
      <c r="I481" s="303"/>
      <c r="J481" s="303"/>
      <c r="K481" s="303"/>
      <c r="L481" s="143"/>
      <c r="M481" s="303"/>
      <c r="N481" s="303"/>
      <c r="O481" s="303"/>
      <c r="P481" s="303"/>
      <c r="Q481" s="303"/>
      <c r="R481" s="303"/>
      <c r="S481" s="303"/>
      <c r="T481" s="143"/>
      <c r="U481" s="303"/>
      <c r="V481" s="303"/>
      <c r="W481" s="303"/>
      <c r="X481" s="303"/>
      <c r="Y481" s="303"/>
      <c r="Z481" s="303"/>
      <c r="AA481" s="303"/>
      <c r="AB481" s="143"/>
      <c r="AC481" s="303"/>
      <c r="AD481" s="303"/>
      <c r="AE481" s="303"/>
      <c r="AF481" s="303"/>
      <c r="AG481" s="303"/>
      <c r="AH481" s="303"/>
      <c r="AI481" s="143"/>
      <c r="AJ481" s="125"/>
      <c r="AK481" s="125"/>
      <c r="AL481" s="125"/>
      <c r="AM481" s="125"/>
    </row>
    <row r="482" spans="1:39" ht="12.75" x14ac:dyDescent="0.2">
      <c r="A482" s="303"/>
      <c r="B482" s="303"/>
      <c r="C482" s="303"/>
      <c r="D482" s="143"/>
      <c r="E482" s="303"/>
      <c r="F482" s="303"/>
      <c r="G482" s="303"/>
      <c r="H482" s="303"/>
      <c r="I482" s="303"/>
      <c r="J482" s="303"/>
      <c r="K482" s="303"/>
      <c r="L482" s="143"/>
      <c r="M482" s="303"/>
      <c r="N482" s="303"/>
      <c r="O482" s="303"/>
      <c r="P482" s="303"/>
      <c r="Q482" s="303"/>
      <c r="R482" s="303"/>
      <c r="S482" s="303"/>
      <c r="T482" s="143"/>
      <c r="U482" s="303"/>
      <c r="V482" s="303"/>
      <c r="W482" s="303"/>
      <c r="X482" s="303"/>
      <c r="Y482" s="303"/>
      <c r="Z482" s="303"/>
      <c r="AA482" s="303"/>
      <c r="AB482" s="143"/>
      <c r="AC482" s="303"/>
      <c r="AD482" s="303"/>
      <c r="AE482" s="303"/>
      <c r="AF482" s="303"/>
      <c r="AG482" s="303"/>
      <c r="AH482" s="303"/>
      <c r="AI482" s="143"/>
      <c r="AJ482" s="125"/>
      <c r="AK482" s="125"/>
      <c r="AL482" s="125"/>
      <c r="AM482" s="125"/>
    </row>
    <row r="483" spans="1:39" ht="12.75" x14ac:dyDescent="0.2">
      <c r="A483" s="303"/>
      <c r="B483" s="303"/>
      <c r="C483" s="303"/>
      <c r="D483" s="143"/>
      <c r="E483" s="303"/>
      <c r="F483" s="303"/>
      <c r="G483" s="303"/>
      <c r="H483" s="303"/>
      <c r="I483" s="303"/>
      <c r="J483" s="303"/>
      <c r="K483" s="303"/>
      <c r="L483" s="143"/>
      <c r="M483" s="303"/>
      <c r="N483" s="303"/>
      <c r="O483" s="303"/>
      <c r="P483" s="303"/>
      <c r="Q483" s="303"/>
      <c r="R483" s="303"/>
      <c r="S483" s="303"/>
      <c r="T483" s="143"/>
      <c r="U483" s="303"/>
      <c r="V483" s="303"/>
      <c r="W483" s="303"/>
      <c r="X483" s="303"/>
      <c r="Y483" s="303"/>
      <c r="Z483" s="303"/>
      <c r="AA483" s="303"/>
      <c r="AB483" s="143"/>
      <c r="AC483" s="303"/>
      <c r="AD483" s="303"/>
      <c r="AE483" s="303"/>
      <c r="AF483" s="303"/>
      <c r="AG483" s="303"/>
      <c r="AH483" s="303"/>
      <c r="AI483" s="143"/>
      <c r="AJ483" s="125"/>
      <c r="AK483" s="125"/>
      <c r="AL483" s="125"/>
      <c r="AM483" s="125"/>
    </row>
    <row r="484" spans="1:39" ht="12.75" x14ac:dyDescent="0.2">
      <c r="A484" s="303"/>
      <c r="B484" s="303"/>
      <c r="C484" s="303"/>
      <c r="D484" s="143"/>
      <c r="E484" s="303"/>
      <c r="F484" s="303"/>
      <c r="G484" s="303"/>
      <c r="H484" s="303"/>
      <c r="I484" s="303"/>
      <c r="J484" s="303"/>
      <c r="K484" s="303"/>
      <c r="L484" s="143"/>
      <c r="M484" s="303"/>
      <c r="N484" s="303"/>
      <c r="O484" s="303"/>
      <c r="P484" s="303"/>
      <c r="Q484" s="303"/>
      <c r="R484" s="303"/>
      <c r="S484" s="303"/>
      <c r="T484" s="143"/>
      <c r="U484" s="303"/>
      <c r="V484" s="303"/>
      <c r="W484" s="303"/>
      <c r="X484" s="303"/>
      <c r="Y484" s="303"/>
      <c r="Z484" s="303"/>
      <c r="AA484" s="303"/>
      <c r="AB484" s="143"/>
      <c r="AC484" s="303"/>
      <c r="AD484" s="303"/>
      <c r="AE484" s="303"/>
      <c r="AF484" s="303"/>
      <c r="AG484" s="303"/>
      <c r="AH484" s="303"/>
      <c r="AI484" s="143"/>
      <c r="AJ484" s="125"/>
      <c r="AK484" s="125"/>
      <c r="AL484" s="125"/>
      <c r="AM484" s="125"/>
    </row>
    <row r="485" spans="1:39" ht="12.75" x14ac:dyDescent="0.2">
      <c r="A485" s="303"/>
      <c r="B485" s="303"/>
      <c r="C485" s="303"/>
      <c r="D485" s="143"/>
      <c r="E485" s="303"/>
      <c r="F485" s="303"/>
      <c r="G485" s="303"/>
      <c r="H485" s="303"/>
      <c r="I485" s="303"/>
      <c r="J485" s="303"/>
      <c r="K485" s="303"/>
      <c r="L485" s="143"/>
      <c r="M485" s="303"/>
      <c r="N485" s="303"/>
      <c r="O485" s="303"/>
      <c r="P485" s="303"/>
      <c r="Q485" s="303"/>
      <c r="R485" s="303"/>
      <c r="S485" s="303"/>
      <c r="T485" s="143"/>
      <c r="U485" s="303"/>
      <c r="V485" s="303"/>
      <c r="W485" s="303"/>
      <c r="X485" s="303"/>
      <c r="Y485" s="303"/>
      <c r="Z485" s="303"/>
      <c r="AA485" s="303"/>
      <c r="AB485" s="143"/>
      <c r="AC485" s="303"/>
      <c r="AD485" s="303"/>
      <c r="AE485" s="303"/>
      <c r="AF485" s="303"/>
      <c r="AG485" s="303"/>
      <c r="AH485" s="303"/>
      <c r="AI485" s="143"/>
      <c r="AJ485" s="125"/>
      <c r="AK485" s="125"/>
      <c r="AL485" s="125"/>
      <c r="AM485" s="125"/>
    </row>
    <row r="486" spans="1:39" ht="12.75" x14ac:dyDescent="0.2">
      <c r="A486" s="303"/>
      <c r="B486" s="303"/>
      <c r="C486" s="303"/>
      <c r="D486" s="143"/>
      <c r="E486" s="303"/>
      <c r="F486" s="303"/>
      <c r="G486" s="303"/>
      <c r="H486" s="303"/>
      <c r="I486" s="303"/>
      <c r="J486" s="303"/>
      <c r="K486" s="303"/>
      <c r="L486" s="143"/>
      <c r="M486" s="303"/>
      <c r="N486" s="303"/>
      <c r="O486" s="303"/>
      <c r="P486" s="303"/>
      <c r="Q486" s="303"/>
      <c r="R486" s="303"/>
      <c r="S486" s="303"/>
      <c r="T486" s="143"/>
      <c r="U486" s="303"/>
      <c r="V486" s="303"/>
      <c r="W486" s="303"/>
      <c r="X486" s="303"/>
      <c r="Y486" s="303"/>
      <c r="Z486" s="303"/>
      <c r="AA486" s="303"/>
      <c r="AB486" s="143"/>
      <c r="AC486" s="303"/>
      <c r="AD486" s="303"/>
      <c r="AE486" s="303"/>
      <c r="AF486" s="303"/>
      <c r="AG486" s="303"/>
      <c r="AH486" s="303"/>
      <c r="AI486" s="143"/>
      <c r="AJ486" s="125"/>
      <c r="AK486" s="125"/>
      <c r="AL486" s="125"/>
      <c r="AM486" s="125"/>
    </row>
    <row r="487" spans="1:39" ht="12.75" x14ac:dyDescent="0.2">
      <c r="A487" s="303"/>
      <c r="B487" s="303"/>
      <c r="C487" s="303"/>
      <c r="D487" s="143"/>
      <c r="E487" s="303"/>
      <c r="F487" s="303"/>
      <c r="G487" s="303"/>
      <c r="H487" s="303"/>
      <c r="I487" s="303"/>
      <c r="J487" s="303"/>
      <c r="K487" s="303"/>
      <c r="L487" s="143"/>
      <c r="M487" s="303"/>
      <c r="N487" s="303"/>
      <c r="O487" s="303"/>
      <c r="P487" s="303"/>
      <c r="Q487" s="303"/>
      <c r="R487" s="303"/>
      <c r="S487" s="303"/>
      <c r="T487" s="143"/>
      <c r="U487" s="303"/>
      <c r="V487" s="303"/>
      <c r="W487" s="303"/>
      <c r="X487" s="303"/>
      <c r="Y487" s="303"/>
      <c r="Z487" s="303"/>
      <c r="AA487" s="303"/>
      <c r="AB487" s="143"/>
      <c r="AC487" s="303"/>
      <c r="AD487" s="303"/>
      <c r="AE487" s="303"/>
      <c r="AF487" s="303"/>
      <c r="AG487" s="303"/>
      <c r="AH487" s="303"/>
      <c r="AI487" s="143"/>
      <c r="AJ487" s="125"/>
      <c r="AK487" s="125"/>
      <c r="AL487" s="125"/>
      <c r="AM487" s="125"/>
    </row>
    <row r="488" spans="1:39" ht="12.75" x14ac:dyDescent="0.2">
      <c r="A488" s="303"/>
      <c r="B488" s="303"/>
      <c r="C488" s="303"/>
      <c r="D488" s="143"/>
      <c r="E488" s="303"/>
      <c r="F488" s="303"/>
      <c r="G488" s="303"/>
      <c r="H488" s="303"/>
      <c r="I488" s="303"/>
      <c r="J488" s="303"/>
      <c r="K488" s="303"/>
      <c r="L488" s="143"/>
      <c r="M488" s="303"/>
      <c r="N488" s="303"/>
      <c r="O488" s="303"/>
      <c r="P488" s="303"/>
      <c r="Q488" s="303"/>
      <c r="R488" s="303"/>
      <c r="S488" s="303"/>
      <c r="T488" s="143"/>
      <c r="U488" s="303"/>
      <c r="V488" s="303"/>
      <c r="W488" s="303"/>
      <c r="X488" s="303"/>
      <c r="Y488" s="303"/>
      <c r="Z488" s="303"/>
      <c r="AA488" s="303"/>
      <c r="AB488" s="143"/>
      <c r="AC488" s="303"/>
      <c r="AD488" s="303"/>
      <c r="AE488" s="303"/>
      <c r="AF488" s="303"/>
      <c r="AG488" s="303"/>
      <c r="AH488" s="303"/>
      <c r="AI488" s="143"/>
      <c r="AJ488" s="125"/>
      <c r="AK488" s="125"/>
      <c r="AL488" s="125"/>
      <c r="AM488" s="125"/>
    </row>
    <row r="489" spans="1:39" ht="12.75" x14ac:dyDescent="0.2">
      <c r="A489" s="303"/>
      <c r="B489" s="303"/>
      <c r="C489" s="303"/>
      <c r="D489" s="143"/>
      <c r="E489" s="303"/>
      <c r="F489" s="303"/>
      <c r="G489" s="303"/>
      <c r="H489" s="303"/>
      <c r="I489" s="303"/>
      <c r="J489" s="303"/>
      <c r="K489" s="303"/>
      <c r="L489" s="143"/>
      <c r="M489" s="303"/>
      <c r="N489" s="303"/>
      <c r="O489" s="303"/>
      <c r="P489" s="303"/>
      <c r="Q489" s="303"/>
      <c r="R489" s="303"/>
      <c r="S489" s="303"/>
      <c r="T489" s="143"/>
      <c r="U489" s="303"/>
      <c r="V489" s="303"/>
      <c r="W489" s="303"/>
      <c r="X489" s="303"/>
      <c r="Y489" s="303"/>
      <c r="Z489" s="303"/>
      <c r="AA489" s="303"/>
      <c r="AB489" s="143"/>
      <c r="AC489" s="303"/>
      <c r="AD489" s="303"/>
      <c r="AE489" s="303"/>
      <c r="AF489" s="303"/>
      <c r="AG489" s="303"/>
      <c r="AH489" s="303"/>
      <c r="AI489" s="143"/>
      <c r="AJ489" s="125"/>
      <c r="AK489" s="125"/>
      <c r="AL489" s="125"/>
      <c r="AM489" s="125"/>
    </row>
    <row r="490" spans="1:39" ht="12.75" x14ac:dyDescent="0.2">
      <c r="A490" s="303"/>
      <c r="B490" s="303"/>
      <c r="C490" s="303"/>
      <c r="D490" s="143"/>
      <c r="E490" s="303"/>
      <c r="F490" s="303"/>
      <c r="G490" s="303"/>
      <c r="H490" s="303"/>
      <c r="I490" s="303"/>
      <c r="J490" s="303"/>
      <c r="K490" s="303"/>
      <c r="L490" s="143"/>
      <c r="M490" s="303"/>
      <c r="N490" s="303"/>
      <c r="O490" s="303"/>
      <c r="P490" s="303"/>
      <c r="Q490" s="303"/>
      <c r="R490" s="303"/>
      <c r="S490" s="303"/>
      <c r="T490" s="143"/>
      <c r="U490" s="303"/>
      <c r="V490" s="303"/>
      <c r="W490" s="303"/>
      <c r="X490" s="303"/>
      <c r="Y490" s="303"/>
      <c r="Z490" s="303"/>
      <c r="AA490" s="303"/>
      <c r="AB490" s="143"/>
      <c r="AC490" s="303"/>
      <c r="AD490" s="303"/>
      <c r="AE490" s="303"/>
      <c r="AF490" s="303"/>
      <c r="AG490" s="303"/>
      <c r="AH490" s="303"/>
      <c r="AI490" s="143"/>
      <c r="AJ490" s="125"/>
      <c r="AK490" s="125"/>
      <c r="AL490" s="125"/>
      <c r="AM490" s="125"/>
    </row>
    <row r="491" spans="1:39" ht="12.75" x14ac:dyDescent="0.2">
      <c r="A491" s="303"/>
      <c r="B491" s="303"/>
      <c r="C491" s="303"/>
      <c r="D491" s="143"/>
      <c r="E491" s="303"/>
      <c r="F491" s="303"/>
      <c r="G491" s="303"/>
      <c r="H491" s="303"/>
      <c r="I491" s="303"/>
      <c r="J491" s="303"/>
      <c r="K491" s="303"/>
      <c r="L491" s="143"/>
      <c r="M491" s="303"/>
      <c r="N491" s="303"/>
      <c r="O491" s="303"/>
      <c r="P491" s="303"/>
      <c r="Q491" s="303"/>
      <c r="R491" s="303"/>
      <c r="S491" s="303"/>
      <c r="T491" s="143"/>
      <c r="U491" s="303"/>
      <c r="V491" s="303"/>
      <c r="W491" s="303"/>
      <c r="X491" s="303"/>
      <c r="Y491" s="303"/>
      <c r="Z491" s="303"/>
      <c r="AA491" s="303"/>
      <c r="AB491" s="143"/>
      <c r="AC491" s="303"/>
      <c r="AD491" s="303"/>
      <c r="AE491" s="303"/>
      <c r="AF491" s="303"/>
      <c r="AG491" s="303"/>
      <c r="AH491" s="303"/>
      <c r="AI491" s="143"/>
      <c r="AJ491" s="125"/>
      <c r="AK491" s="125"/>
      <c r="AL491" s="125"/>
      <c r="AM491" s="125"/>
    </row>
    <row r="492" spans="1:39" ht="12.75" x14ac:dyDescent="0.2">
      <c r="A492" s="303"/>
      <c r="B492" s="303"/>
      <c r="C492" s="303"/>
      <c r="D492" s="143"/>
      <c r="E492" s="303"/>
      <c r="F492" s="303"/>
      <c r="G492" s="303"/>
      <c r="H492" s="303"/>
      <c r="I492" s="303"/>
      <c r="J492" s="303"/>
      <c r="K492" s="303"/>
      <c r="L492" s="143"/>
      <c r="M492" s="303"/>
      <c r="N492" s="303"/>
      <c r="O492" s="303"/>
      <c r="P492" s="303"/>
      <c r="Q492" s="303"/>
      <c r="R492" s="303"/>
      <c r="S492" s="303"/>
      <c r="T492" s="143"/>
      <c r="U492" s="303"/>
      <c r="V492" s="303"/>
      <c r="W492" s="303"/>
      <c r="X492" s="303"/>
      <c r="Y492" s="303"/>
      <c r="Z492" s="303"/>
      <c r="AA492" s="303"/>
      <c r="AB492" s="143"/>
      <c r="AC492" s="303"/>
      <c r="AD492" s="303"/>
      <c r="AE492" s="303"/>
      <c r="AF492" s="303"/>
      <c r="AG492" s="303"/>
      <c r="AH492" s="303"/>
      <c r="AI492" s="143"/>
      <c r="AJ492" s="125"/>
      <c r="AK492" s="125"/>
      <c r="AL492" s="125"/>
      <c r="AM492" s="125"/>
    </row>
    <row r="493" spans="1:39" ht="12.75" x14ac:dyDescent="0.2">
      <c r="A493" s="303"/>
      <c r="B493" s="303"/>
      <c r="C493" s="303"/>
      <c r="D493" s="143"/>
      <c r="E493" s="303"/>
      <c r="F493" s="303"/>
      <c r="G493" s="303"/>
      <c r="H493" s="303"/>
      <c r="I493" s="303"/>
      <c r="J493" s="303"/>
      <c r="K493" s="303"/>
      <c r="L493" s="143"/>
      <c r="M493" s="303"/>
      <c r="N493" s="303"/>
      <c r="O493" s="303"/>
      <c r="P493" s="303"/>
      <c r="Q493" s="303"/>
      <c r="R493" s="303"/>
      <c r="S493" s="303"/>
      <c r="T493" s="143"/>
      <c r="U493" s="303"/>
      <c r="V493" s="303"/>
      <c r="W493" s="303"/>
      <c r="X493" s="303"/>
      <c r="Y493" s="303"/>
      <c r="Z493" s="303"/>
      <c r="AA493" s="303"/>
      <c r="AB493" s="143"/>
      <c r="AC493" s="303"/>
      <c r="AD493" s="303"/>
      <c r="AE493" s="303"/>
      <c r="AF493" s="303"/>
      <c r="AG493" s="303"/>
      <c r="AH493" s="303"/>
      <c r="AI493" s="143"/>
      <c r="AJ493" s="125"/>
      <c r="AK493" s="125"/>
      <c r="AL493" s="125"/>
      <c r="AM493" s="125"/>
    </row>
    <row r="494" spans="1:39" ht="12.75" x14ac:dyDescent="0.2">
      <c r="A494" s="303"/>
      <c r="B494" s="303"/>
      <c r="C494" s="303"/>
      <c r="D494" s="143"/>
      <c r="E494" s="303"/>
      <c r="F494" s="303"/>
      <c r="G494" s="303"/>
      <c r="H494" s="303"/>
      <c r="I494" s="303"/>
      <c r="J494" s="303"/>
      <c r="K494" s="303"/>
      <c r="L494" s="143"/>
      <c r="M494" s="303"/>
      <c r="N494" s="303"/>
      <c r="O494" s="303"/>
      <c r="P494" s="303"/>
      <c r="Q494" s="303"/>
      <c r="R494" s="303"/>
      <c r="S494" s="303"/>
      <c r="T494" s="143"/>
      <c r="U494" s="303"/>
      <c r="V494" s="303"/>
      <c r="W494" s="303"/>
      <c r="X494" s="303"/>
      <c r="Y494" s="303"/>
      <c r="Z494" s="303"/>
      <c r="AA494" s="303"/>
      <c r="AB494" s="143"/>
      <c r="AC494" s="303"/>
      <c r="AD494" s="303"/>
      <c r="AE494" s="303"/>
      <c r="AF494" s="303"/>
      <c r="AG494" s="303"/>
      <c r="AH494" s="303"/>
      <c r="AI494" s="143"/>
      <c r="AJ494" s="125"/>
      <c r="AK494" s="125"/>
      <c r="AL494" s="125"/>
      <c r="AM494" s="125"/>
    </row>
    <row r="495" spans="1:39" ht="12.75" x14ac:dyDescent="0.2">
      <c r="A495" s="303"/>
      <c r="B495" s="303"/>
      <c r="C495" s="303"/>
      <c r="D495" s="143"/>
      <c r="E495" s="303"/>
      <c r="F495" s="303"/>
      <c r="G495" s="303"/>
      <c r="H495" s="303"/>
      <c r="I495" s="303"/>
      <c r="J495" s="303"/>
      <c r="K495" s="303"/>
      <c r="L495" s="143"/>
      <c r="M495" s="303"/>
      <c r="N495" s="303"/>
      <c r="O495" s="303"/>
      <c r="P495" s="303"/>
      <c r="Q495" s="303"/>
      <c r="R495" s="303"/>
      <c r="S495" s="303"/>
      <c r="T495" s="143"/>
      <c r="U495" s="303"/>
      <c r="V495" s="303"/>
      <c r="W495" s="303"/>
      <c r="X495" s="303"/>
      <c r="Y495" s="303"/>
      <c r="Z495" s="303"/>
      <c r="AA495" s="303"/>
      <c r="AB495" s="143"/>
      <c r="AC495" s="303"/>
      <c r="AD495" s="303"/>
      <c r="AE495" s="303"/>
      <c r="AF495" s="303"/>
      <c r="AG495" s="303"/>
      <c r="AH495" s="303"/>
      <c r="AI495" s="143"/>
      <c r="AJ495" s="125"/>
      <c r="AK495" s="125"/>
      <c r="AL495" s="125"/>
      <c r="AM495" s="125"/>
    </row>
    <row r="496" spans="1:39" ht="12.75" x14ac:dyDescent="0.2">
      <c r="A496" s="303"/>
      <c r="B496" s="303"/>
      <c r="C496" s="303"/>
      <c r="D496" s="143"/>
      <c r="E496" s="303"/>
      <c r="F496" s="303"/>
      <c r="G496" s="303"/>
      <c r="H496" s="303"/>
      <c r="I496" s="303"/>
      <c r="J496" s="303"/>
      <c r="K496" s="303"/>
      <c r="L496" s="143"/>
      <c r="M496" s="303"/>
      <c r="N496" s="303"/>
      <c r="O496" s="303"/>
      <c r="P496" s="303"/>
      <c r="Q496" s="303"/>
      <c r="R496" s="303"/>
      <c r="S496" s="303"/>
      <c r="T496" s="143"/>
      <c r="U496" s="303"/>
      <c r="V496" s="303"/>
      <c r="W496" s="303"/>
      <c r="X496" s="303"/>
      <c r="Y496" s="303"/>
      <c r="Z496" s="303"/>
      <c r="AA496" s="303"/>
      <c r="AB496" s="143"/>
      <c r="AC496" s="303"/>
      <c r="AD496" s="303"/>
      <c r="AE496" s="303"/>
      <c r="AF496" s="303"/>
      <c r="AG496" s="303"/>
      <c r="AH496" s="303"/>
      <c r="AI496" s="143"/>
      <c r="AJ496" s="125"/>
      <c r="AK496" s="125"/>
      <c r="AL496" s="125"/>
      <c r="AM496" s="125"/>
    </row>
    <row r="497" spans="1:39" ht="12.75" x14ac:dyDescent="0.2">
      <c r="A497" s="303"/>
      <c r="B497" s="303"/>
      <c r="C497" s="303"/>
      <c r="D497" s="143"/>
      <c r="E497" s="303"/>
      <c r="F497" s="303"/>
      <c r="G497" s="303"/>
      <c r="H497" s="303"/>
      <c r="I497" s="303"/>
      <c r="J497" s="303"/>
      <c r="K497" s="303"/>
      <c r="L497" s="143"/>
      <c r="M497" s="303"/>
      <c r="N497" s="303"/>
      <c r="O497" s="303"/>
      <c r="P497" s="303"/>
      <c r="Q497" s="303"/>
      <c r="R497" s="303"/>
      <c r="S497" s="303"/>
      <c r="T497" s="143"/>
      <c r="U497" s="303"/>
      <c r="V497" s="303"/>
      <c r="W497" s="303"/>
      <c r="X497" s="303"/>
      <c r="Y497" s="303"/>
      <c r="Z497" s="303"/>
      <c r="AA497" s="303"/>
      <c r="AB497" s="143"/>
      <c r="AC497" s="303"/>
      <c r="AD497" s="303"/>
      <c r="AE497" s="303"/>
      <c r="AF497" s="303"/>
      <c r="AG497" s="303"/>
      <c r="AH497" s="303"/>
      <c r="AI497" s="143"/>
      <c r="AJ497" s="125"/>
      <c r="AK497" s="125"/>
      <c r="AL497" s="125"/>
      <c r="AM497" s="125"/>
    </row>
    <row r="498" spans="1:39" ht="12.75" x14ac:dyDescent="0.2">
      <c r="A498" s="303"/>
      <c r="B498" s="303"/>
      <c r="C498" s="303"/>
      <c r="D498" s="143"/>
      <c r="E498" s="303"/>
      <c r="F498" s="303"/>
      <c r="G498" s="303"/>
      <c r="H498" s="303"/>
      <c r="I498" s="303"/>
      <c r="J498" s="303"/>
      <c r="K498" s="303"/>
      <c r="L498" s="143"/>
      <c r="M498" s="303"/>
      <c r="N498" s="303"/>
      <c r="O498" s="303"/>
      <c r="P498" s="303"/>
      <c r="Q498" s="303"/>
      <c r="R498" s="303"/>
      <c r="S498" s="303"/>
      <c r="T498" s="143"/>
      <c r="U498" s="303"/>
      <c r="V498" s="303"/>
      <c r="W498" s="303"/>
      <c r="X498" s="303"/>
      <c r="Y498" s="303"/>
      <c r="Z498" s="303"/>
      <c r="AA498" s="303"/>
      <c r="AB498" s="143"/>
      <c r="AC498" s="303"/>
      <c r="AD498" s="303"/>
      <c r="AE498" s="303"/>
      <c r="AF498" s="303"/>
      <c r="AG498" s="303"/>
      <c r="AH498" s="303"/>
      <c r="AI498" s="143"/>
      <c r="AJ498" s="125"/>
      <c r="AK498" s="125"/>
      <c r="AL498" s="125"/>
      <c r="AM498" s="125"/>
    </row>
    <row r="499" spans="1:39" ht="12.75" x14ac:dyDescent="0.2">
      <c r="A499" s="303"/>
      <c r="B499" s="303"/>
      <c r="C499" s="303"/>
      <c r="D499" s="143"/>
      <c r="E499" s="303"/>
      <c r="F499" s="303"/>
      <c r="G499" s="303"/>
      <c r="H499" s="303"/>
      <c r="I499" s="303"/>
      <c r="J499" s="303"/>
      <c r="K499" s="303"/>
      <c r="L499" s="143"/>
      <c r="M499" s="303"/>
      <c r="N499" s="303"/>
      <c r="O499" s="303"/>
      <c r="P499" s="303"/>
      <c r="Q499" s="303"/>
      <c r="R499" s="303"/>
      <c r="S499" s="303"/>
      <c r="T499" s="143"/>
      <c r="U499" s="303"/>
      <c r="V499" s="303"/>
      <c r="W499" s="303"/>
      <c r="X499" s="303"/>
      <c r="Y499" s="303"/>
      <c r="Z499" s="303"/>
      <c r="AA499" s="303"/>
      <c r="AB499" s="143"/>
      <c r="AC499" s="303"/>
      <c r="AD499" s="303"/>
      <c r="AE499" s="303"/>
      <c r="AF499" s="303"/>
      <c r="AG499" s="303"/>
      <c r="AH499" s="303"/>
      <c r="AI499" s="143"/>
      <c r="AJ499" s="125"/>
      <c r="AK499" s="125"/>
      <c r="AL499" s="125"/>
      <c r="AM499" s="125"/>
    </row>
    <row r="500" spans="1:39" ht="12.75" x14ac:dyDescent="0.2">
      <c r="A500" s="303"/>
      <c r="B500" s="303"/>
      <c r="C500" s="303"/>
      <c r="D500" s="143"/>
      <c r="E500" s="303"/>
      <c r="F500" s="303"/>
      <c r="G500" s="303"/>
      <c r="H500" s="303"/>
      <c r="I500" s="303"/>
      <c r="J500" s="303"/>
      <c r="K500" s="303"/>
      <c r="L500" s="143"/>
      <c r="M500" s="303"/>
      <c r="N500" s="303"/>
      <c r="O500" s="303"/>
      <c r="P500" s="303"/>
      <c r="Q500" s="303"/>
      <c r="R500" s="303"/>
      <c r="S500" s="303"/>
      <c r="T500" s="143"/>
      <c r="U500" s="303"/>
      <c r="V500" s="303"/>
      <c r="W500" s="303"/>
      <c r="X500" s="303"/>
      <c r="Y500" s="303"/>
      <c r="Z500" s="303"/>
      <c r="AA500" s="303"/>
      <c r="AB500" s="143"/>
      <c r="AC500" s="303"/>
      <c r="AD500" s="303"/>
      <c r="AE500" s="303"/>
      <c r="AF500" s="303"/>
      <c r="AG500" s="303"/>
      <c r="AH500" s="303"/>
      <c r="AI500" s="143"/>
      <c r="AJ500" s="125"/>
      <c r="AK500" s="125"/>
      <c r="AL500" s="125"/>
      <c r="AM500" s="125"/>
    </row>
    <row r="501" spans="1:39" ht="12.75" x14ac:dyDescent="0.2">
      <c r="A501" s="303"/>
      <c r="B501" s="303"/>
      <c r="C501" s="303"/>
      <c r="D501" s="143"/>
      <c r="E501" s="303"/>
      <c r="F501" s="303"/>
      <c r="G501" s="303"/>
      <c r="H501" s="303"/>
      <c r="I501" s="303"/>
      <c r="J501" s="303"/>
      <c r="K501" s="303"/>
      <c r="L501" s="143"/>
      <c r="M501" s="303"/>
      <c r="N501" s="303"/>
      <c r="O501" s="303"/>
      <c r="P501" s="303"/>
      <c r="Q501" s="303"/>
      <c r="R501" s="303"/>
      <c r="S501" s="303"/>
      <c r="T501" s="143"/>
      <c r="U501" s="303"/>
      <c r="V501" s="303"/>
      <c r="W501" s="303"/>
      <c r="X501" s="303"/>
      <c r="Y501" s="303"/>
      <c r="Z501" s="303"/>
      <c r="AA501" s="303"/>
      <c r="AB501" s="143"/>
      <c r="AC501" s="303"/>
      <c r="AD501" s="303"/>
      <c r="AE501" s="303"/>
      <c r="AF501" s="303"/>
      <c r="AG501" s="303"/>
      <c r="AH501" s="303"/>
      <c r="AI501" s="143"/>
      <c r="AJ501" s="125"/>
      <c r="AK501" s="125"/>
      <c r="AL501" s="125"/>
      <c r="AM501" s="125"/>
    </row>
    <row r="502" spans="1:39" ht="12.75" x14ac:dyDescent="0.2">
      <c r="A502" s="303"/>
      <c r="B502" s="303"/>
      <c r="C502" s="303"/>
      <c r="D502" s="143"/>
      <c r="E502" s="303"/>
      <c r="F502" s="303"/>
      <c r="G502" s="303"/>
      <c r="H502" s="303"/>
      <c r="I502" s="303"/>
      <c r="J502" s="303"/>
      <c r="K502" s="303"/>
      <c r="L502" s="143"/>
      <c r="M502" s="303"/>
      <c r="N502" s="303"/>
      <c r="O502" s="303"/>
      <c r="P502" s="303"/>
      <c r="Q502" s="303"/>
      <c r="R502" s="303"/>
      <c r="S502" s="303"/>
      <c r="T502" s="143"/>
      <c r="U502" s="303"/>
      <c r="V502" s="303"/>
      <c r="W502" s="303"/>
      <c r="X502" s="303"/>
      <c r="Y502" s="303"/>
      <c r="Z502" s="303"/>
      <c r="AA502" s="303"/>
      <c r="AB502" s="143"/>
      <c r="AC502" s="303"/>
      <c r="AD502" s="303"/>
      <c r="AE502" s="303"/>
      <c r="AF502" s="303"/>
      <c r="AG502" s="303"/>
      <c r="AH502" s="303"/>
      <c r="AI502" s="143"/>
      <c r="AJ502" s="125"/>
      <c r="AK502" s="125"/>
      <c r="AL502" s="125"/>
      <c r="AM502" s="125"/>
    </row>
    <row r="503" spans="1:39" ht="12.75" x14ac:dyDescent="0.2">
      <c r="A503" s="303"/>
      <c r="B503" s="303"/>
      <c r="C503" s="303"/>
      <c r="D503" s="143"/>
      <c r="E503" s="303"/>
      <c r="F503" s="303"/>
      <c r="G503" s="303"/>
      <c r="H503" s="303"/>
      <c r="I503" s="303"/>
      <c r="J503" s="303"/>
      <c r="K503" s="303"/>
      <c r="L503" s="143"/>
      <c r="M503" s="303"/>
      <c r="N503" s="303"/>
      <c r="O503" s="303"/>
      <c r="P503" s="303"/>
      <c r="Q503" s="303"/>
      <c r="R503" s="303"/>
      <c r="S503" s="303"/>
      <c r="T503" s="143"/>
      <c r="U503" s="303"/>
      <c r="V503" s="303"/>
      <c r="W503" s="303"/>
      <c r="X503" s="303"/>
      <c r="Y503" s="303"/>
      <c r="Z503" s="303"/>
      <c r="AA503" s="303"/>
      <c r="AB503" s="143"/>
      <c r="AC503" s="303"/>
      <c r="AD503" s="303"/>
      <c r="AE503" s="303"/>
      <c r="AF503" s="303"/>
      <c r="AG503" s="303"/>
      <c r="AH503" s="303"/>
      <c r="AI503" s="143"/>
      <c r="AJ503" s="125"/>
      <c r="AK503" s="125"/>
      <c r="AL503" s="125"/>
      <c r="AM503" s="125"/>
    </row>
    <row r="504" spans="1:39" ht="12.75" x14ac:dyDescent="0.2">
      <c r="A504" s="303"/>
      <c r="B504" s="303"/>
      <c r="C504" s="303"/>
      <c r="D504" s="143"/>
      <c r="E504" s="303"/>
      <c r="F504" s="303"/>
      <c r="G504" s="303"/>
      <c r="H504" s="303"/>
      <c r="I504" s="303"/>
      <c r="J504" s="303"/>
      <c r="K504" s="303"/>
      <c r="L504" s="143"/>
      <c r="M504" s="303"/>
      <c r="N504" s="303"/>
      <c r="O504" s="303"/>
      <c r="P504" s="303"/>
      <c r="Q504" s="303"/>
      <c r="R504" s="303"/>
      <c r="S504" s="303"/>
      <c r="T504" s="143"/>
      <c r="U504" s="303"/>
      <c r="V504" s="303"/>
      <c r="W504" s="303"/>
      <c r="X504" s="303"/>
      <c r="Y504" s="303"/>
      <c r="Z504" s="303"/>
      <c r="AA504" s="303"/>
      <c r="AB504" s="143"/>
      <c r="AC504" s="303"/>
      <c r="AD504" s="303"/>
      <c r="AE504" s="303"/>
      <c r="AF504" s="303"/>
      <c r="AG504" s="303"/>
      <c r="AH504" s="303"/>
      <c r="AI504" s="143"/>
      <c r="AJ504" s="125"/>
      <c r="AK504" s="125"/>
      <c r="AL504" s="125"/>
      <c r="AM504" s="125"/>
    </row>
    <row r="505" spans="1:39" ht="12.75" x14ac:dyDescent="0.2">
      <c r="A505" s="303"/>
      <c r="B505" s="303"/>
      <c r="C505" s="303"/>
      <c r="D505" s="143"/>
      <c r="E505" s="303"/>
      <c r="F505" s="303"/>
      <c r="G505" s="303"/>
      <c r="H505" s="303"/>
      <c r="I505" s="303"/>
      <c r="J505" s="303"/>
      <c r="K505" s="303"/>
      <c r="L505" s="143"/>
      <c r="M505" s="303"/>
      <c r="N505" s="303"/>
      <c r="O505" s="303"/>
      <c r="P505" s="303"/>
      <c r="Q505" s="303"/>
      <c r="R505" s="303"/>
      <c r="S505" s="303"/>
      <c r="T505" s="143"/>
      <c r="U505" s="303"/>
      <c r="V505" s="303"/>
      <c r="W505" s="303"/>
      <c r="X505" s="303"/>
      <c r="Y505" s="303"/>
      <c r="Z505" s="303"/>
      <c r="AA505" s="303"/>
      <c r="AB505" s="143"/>
      <c r="AC505" s="303"/>
      <c r="AD505" s="303"/>
      <c r="AE505" s="303"/>
      <c r="AF505" s="303"/>
      <c r="AG505" s="303"/>
      <c r="AH505" s="303"/>
      <c r="AI505" s="143"/>
      <c r="AJ505" s="125"/>
      <c r="AK505" s="125"/>
      <c r="AL505" s="125"/>
      <c r="AM505" s="125"/>
    </row>
    <row r="506" spans="1:39" ht="12.75" x14ac:dyDescent="0.2">
      <c r="A506" s="303"/>
      <c r="B506" s="303"/>
      <c r="C506" s="303"/>
      <c r="D506" s="143"/>
      <c r="E506" s="303"/>
      <c r="F506" s="303"/>
      <c r="G506" s="303"/>
      <c r="H506" s="303"/>
      <c r="I506" s="303"/>
      <c r="J506" s="303"/>
      <c r="K506" s="303"/>
      <c r="L506" s="143"/>
      <c r="M506" s="303"/>
      <c r="N506" s="303"/>
      <c r="O506" s="303"/>
      <c r="P506" s="303"/>
      <c r="Q506" s="303"/>
      <c r="R506" s="303"/>
      <c r="S506" s="303"/>
      <c r="T506" s="143"/>
      <c r="U506" s="303"/>
      <c r="V506" s="303"/>
      <c r="W506" s="303"/>
      <c r="X506" s="303"/>
      <c r="Y506" s="303"/>
      <c r="Z506" s="303"/>
      <c r="AA506" s="303"/>
      <c r="AB506" s="143"/>
      <c r="AC506" s="303"/>
      <c r="AD506" s="303"/>
      <c r="AE506" s="303"/>
      <c r="AF506" s="303"/>
      <c r="AG506" s="303"/>
      <c r="AH506" s="303"/>
      <c r="AI506" s="143"/>
      <c r="AJ506" s="125"/>
      <c r="AK506" s="125"/>
      <c r="AL506" s="125"/>
      <c r="AM506" s="125"/>
    </row>
    <row r="507" spans="1:39" ht="12.75" x14ac:dyDescent="0.2">
      <c r="A507" s="303"/>
      <c r="B507" s="303"/>
      <c r="C507" s="303"/>
      <c r="D507" s="143"/>
      <c r="E507" s="303"/>
      <c r="F507" s="303"/>
      <c r="G507" s="303"/>
      <c r="H507" s="303"/>
      <c r="I507" s="303"/>
      <c r="J507" s="303"/>
      <c r="K507" s="303"/>
      <c r="L507" s="143"/>
      <c r="M507" s="303"/>
      <c r="N507" s="303"/>
      <c r="O507" s="303"/>
      <c r="P507" s="303"/>
      <c r="Q507" s="303"/>
      <c r="R507" s="303"/>
      <c r="S507" s="303"/>
      <c r="T507" s="143"/>
      <c r="U507" s="303"/>
      <c r="V507" s="303"/>
      <c r="W507" s="303"/>
      <c r="X507" s="303"/>
      <c r="Y507" s="303"/>
      <c r="Z507" s="303"/>
      <c r="AA507" s="303"/>
      <c r="AB507" s="143"/>
      <c r="AC507" s="303"/>
      <c r="AD507" s="303"/>
      <c r="AE507" s="303"/>
      <c r="AF507" s="303"/>
      <c r="AG507" s="303"/>
      <c r="AH507" s="303"/>
      <c r="AI507" s="143"/>
      <c r="AJ507" s="125"/>
      <c r="AK507" s="125"/>
      <c r="AL507" s="125"/>
      <c r="AM507" s="125"/>
    </row>
    <row r="508" spans="1:39" ht="12.75" x14ac:dyDescent="0.2">
      <c r="A508" s="303"/>
      <c r="B508" s="303"/>
      <c r="C508" s="303"/>
      <c r="D508" s="143"/>
      <c r="E508" s="303"/>
      <c r="F508" s="303"/>
      <c r="G508" s="303"/>
      <c r="H508" s="303"/>
      <c r="I508" s="303"/>
      <c r="J508" s="303"/>
      <c r="K508" s="303"/>
      <c r="L508" s="143"/>
      <c r="M508" s="303"/>
      <c r="N508" s="303"/>
      <c r="O508" s="303"/>
      <c r="P508" s="303"/>
      <c r="Q508" s="303"/>
      <c r="R508" s="303"/>
      <c r="S508" s="303"/>
      <c r="T508" s="143"/>
      <c r="U508" s="303"/>
      <c r="V508" s="303"/>
      <c r="W508" s="303"/>
      <c r="X508" s="303"/>
      <c r="Y508" s="303"/>
      <c r="Z508" s="303"/>
      <c r="AA508" s="303"/>
      <c r="AB508" s="143"/>
      <c r="AC508" s="303"/>
      <c r="AD508" s="303"/>
      <c r="AE508" s="303"/>
      <c r="AF508" s="303"/>
      <c r="AG508" s="303"/>
      <c r="AH508" s="303"/>
      <c r="AI508" s="143"/>
      <c r="AJ508" s="125"/>
      <c r="AK508" s="125"/>
      <c r="AL508" s="125"/>
      <c r="AM508" s="125"/>
    </row>
    <row r="509" spans="1:39" ht="12.75" x14ac:dyDescent="0.2">
      <c r="A509" s="303"/>
      <c r="B509" s="303"/>
      <c r="C509" s="303"/>
      <c r="D509" s="143"/>
      <c r="E509" s="303"/>
      <c r="F509" s="303"/>
      <c r="G509" s="303"/>
      <c r="H509" s="303"/>
      <c r="I509" s="303"/>
      <c r="J509" s="303"/>
      <c r="K509" s="303"/>
      <c r="L509" s="143"/>
      <c r="M509" s="303"/>
      <c r="N509" s="303"/>
      <c r="O509" s="303"/>
      <c r="P509" s="303"/>
      <c r="Q509" s="303"/>
      <c r="R509" s="303"/>
      <c r="S509" s="303"/>
      <c r="T509" s="143"/>
      <c r="U509" s="303"/>
      <c r="V509" s="303"/>
      <c r="W509" s="303"/>
      <c r="X509" s="303"/>
      <c r="Y509" s="303"/>
      <c r="Z509" s="303"/>
      <c r="AA509" s="303"/>
      <c r="AB509" s="143"/>
      <c r="AC509" s="303"/>
      <c r="AD509" s="303"/>
      <c r="AE509" s="303"/>
      <c r="AF509" s="303"/>
      <c r="AG509" s="303"/>
      <c r="AH509" s="303"/>
      <c r="AI509" s="143"/>
      <c r="AJ509" s="125"/>
      <c r="AK509" s="125"/>
      <c r="AL509" s="125"/>
      <c r="AM509" s="125"/>
    </row>
    <row r="510" spans="1:39" ht="12.75" x14ac:dyDescent="0.2">
      <c r="A510" s="303"/>
      <c r="B510" s="303"/>
      <c r="C510" s="303"/>
      <c r="D510" s="143"/>
      <c r="E510" s="303"/>
      <c r="F510" s="303"/>
      <c r="G510" s="303"/>
      <c r="H510" s="303"/>
      <c r="I510" s="303"/>
      <c r="J510" s="303"/>
      <c r="K510" s="303"/>
      <c r="L510" s="143"/>
      <c r="M510" s="303"/>
      <c r="N510" s="303"/>
      <c r="O510" s="303"/>
      <c r="P510" s="303"/>
      <c r="Q510" s="303"/>
      <c r="R510" s="303"/>
      <c r="S510" s="303"/>
      <c r="T510" s="143"/>
      <c r="U510" s="303"/>
      <c r="V510" s="303"/>
      <c r="W510" s="303"/>
      <c r="X510" s="303"/>
      <c r="Y510" s="303"/>
      <c r="Z510" s="303"/>
      <c r="AA510" s="303"/>
      <c r="AB510" s="143"/>
      <c r="AC510" s="303"/>
      <c r="AD510" s="303"/>
      <c r="AE510" s="303"/>
      <c r="AF510" s="303"/>
      <c r="AG510" s="303"/>
      <c r="AH510" s="303"/>
      <c r="AI510" s="143"/>
      <c r="AJ510" s="125"/>
      <c r="AK510" s="125"/>
      <c r="AL510" s="125"/>
      <c r="AM510" s="125"/>
    </row>
    <row r="511" spans="1:39" ht="12.75" x14ac:dyDescent="0.2">
      <c r="A511" s="303"/>
      <c r="B511" s="303"/>
      <c r="C511" s="303"/>
      <c r="D511" s="143"/>
      <c r="E511" s="303"/>
      <c r="F511" s="303"/>
      <c r="G511" s="303"/>
      <c r="H511" s="303"/>
      <c r="I511" s="303"/>
      <c r="J511" s="303"/>
      <c r="K511" s="303"/>
      <c r="L511" s="143"/>
      <c r="M511" s="303"/>
      <c r="N511" s="303"/>
      <c r="O511" s="303"/>
      <c r="P511" s="303"/>
      <c r="Q511" s="303"/>
      <c r="R511" s="303"/>
      <c r="S511" s="303"/>
      <c r="T511" s="143"/>
      <c r="U511" s="303"/>
      <c r="V511" s="303"/>
      <c r="W511" s="303"/>
      <c r="X511" s="303"/>
      <c r="Y511" s="303"/>
      <c r="Z511" s="303"/>
      <c r="AA511" s="303"/>
      <c r="AB511" s="143"/>
      <c r="AC511" s="303"/>
      <c r="AD511" s="303"/>
      <c r="AE511" s="303"/>
      <c r="AF511" s="303"/>
      <c r="AG511" s="303"/>
      <c r="AH511" s="303"/>
      <c r="AI511" s="143"/>
      <c r="AJ511" s="125"/>
      <c r="AK511" s="125"/>
      <c r="AL511" s="125"/>
      <c r="AM511" s="125"/>
    </row>
    <row r="512" spans="1:39" ht="12.75" x14ac:dyDescent="0.2">
      <c r="A512" s="303"/>
      <c r="B512" s="303"/>
      <c r="C512" s="303"/>
      <c r="D512" s="143"/>
      <c r="E512" s="303"/>
      <c r="F512" s="303"/>
      <c r="G512" s="303"/>
      <c r="H512" s="303"/>
      <c r="I512" s="303"/>
      <c r="J512" s="303"/>
      <c r="K512" s="303"/>
      <c r="L512" s="143"/>
      <c r="M512" s="303"/>
      <c r="N512" s="303"/>
      <c r="O512" s="303"/>
      <c r="P512" s="303"/>
      <c r="Q512" s="303"/>
      <c r="R512" s="303"/>
      <c r="S512" s="303"/>
      <c r="T512" s="143"/>
      <c r="U512" s="303"/>
      <c r="V512" s="303"/>
      <c r="W512" s="303"/>
      <c r="X512" s="303"/>
      <c r="Y512" s="303"/>
      <c r="Z512" s="303"/>
      <c r="AA512" s="303"/>
      <c r="AB512" s="143"/>
      <c r="AC512" s="303"/>
      <c r="AD512" s="303"/>
      <c r="AE512" s="303"/>
      <c r="AF512" s="303"/>
      <c r="AG512" s="303"/>
      <c r="AH512" s="303"/>
      <c r="AI512" s="143"/>
      <c r="AJ512" s="125"/>
      <c r="AK512" s="125"/>
      <c r="AL512" s="125"/>
      <c r="AM512" s="125"/>
    </row>
    <row r="513" spans="1:39" ht="12.75" x14ac:dyDescent="0.2">
      <c r="A513" s="303"/>
      <c r="B513" s="303"/>
      <c r="C513" s="303"/>
      <c r="D513" s="143"/>
      <c r="E513" s="303"/>
      <c r="F513" s="303"/>
      <c r="G513" s="303"/>
      <c r="H513" s="303"/>
      <c r="I513" s="303"/>
      <c r="J513" s="303"/>
      <c r="K513" s="303"/>
      <c r="L513" s="143"/>
      <c r="M513" s="303"/>
      <c r="N513" s="303"/>
      <c r="O513" s="303"/>
      <c r="P513" s="303"/>
      <c r="Q513" s="303"/>
      <c r="R513" s="303"/>
      <c r="S513" s="303"/>
      <c r="T513" s="143"/>
      <c r="U513" s="303"/>
      <c r="V513" s="303"/>
      <c r="W513" s="303"/>
      <c r="X513" s="303"/>
      <c r="Y513" s="303"/>
      <c r="Z513" s="303"/>
      <c r="AA513" s="303"/>
      <c r="AB513" s="143"/>
      <c r="AC513" s="303"/>
      <c r="AD513" s="303"/>
      <c r="AE513" s="303"/>
      <c r="AF513" s="303"/>
      <c r="AG513" s="303"/>
      <c r="AH513" s="303"/>
      <c r="AI513" s="143"/>
      <c r="AJ513" s="125"/>
      <c r="AK513" s="125"/>
      <c r="AL513" s="125"/>
      <c r="AM513" s="125"/>
    </row>
    <row r="514" spans="1:39" ht="12.75" x14ac:dyDescent="0.2">
      <c r="A514" s="303"/>
      <c r="B514" s="303"/>
      <c r="C514" s="303"/>
      <c r="D514" s="143"/>
      <c r="E514" s="303"/>
      <c r="F514" s="303"/>
      <c r="G514" s="303"/>
      <c r="H514" s="303"/>
      <c r="I514" s="303"/>
      <c r="J514" s="303"/>
      <c r="K514" s="303"/>
      <c r="L514" s="143"/>
      <c r="M514" s="303"/>
      <c r="N514" s="303"/>
      <c r="O514" s="303"/>
      <c r="P514" s="303"/>
      <c r="Q514" s="303"/>
      <c r="R514" s="303"/>
      <c r="S514" s="303"/>
      <c r="T514" s="143"/>
      <c r="U514" s="303"/>
      <c r="V514" s="303"/>
      <c r="W514" s="303"/>
      <c r="X514" s="303"/>
      <c r="Y514" s="303"/>
      <c r="Z514" s="303"/>
      <c r="AA514" s="303"/>
      <c r="AB514" s="143"/>
      <c r="AC514" s="303"/>
      <c r="AD514" s="303"/>
      <c r="AE514" s="303"/>
      <c r="AF514" s="303"/>
      <c r="AG514" s="303"/>
      <c r="AH514" s="303"/>
      <c r="AI514" s="143"/>
      <c r="AJ514" s="125"/>
      <c r="AK514" s="125"/>
      <c r="AL514" s="125"/>
      <c r="AM514" s="125"/>
    </row>
    <row r="515" spans="1:39" ht="12.75" x14ac:dyDescent="0.2">
      <c r="A515" s="303"/>
      <c r="B515" s="303"/>
      <c r="C515" s="303"/>
      <c r="D515" s="143"/>
      <c r="E515" s="303"/>
      <c r="F515" s="303"/>
      <c r="G515" s="303"/>
      <c r="H515" s="303"/>
      <c r="I515" s="303"/>
      <c r="J515" s="303"/>
      <c r="K515" s="303"/>
      <c r="L515" s="143"/>
      <c r="M515" s="303"/>
      <c r="N515" s="303"/>
      <c r="O515" s="303"/>
      <c r="P515" s="303"/>
      <c r="Q515" s="303"/>
      <c r="R515" s="303"/>
      <c r="S515" s="303"/>
      <c r="T515" s="143"/>
      <c r="U515" s="303"/>
      <c r="V515" s="303"/>
      <c r="W515" s="303"/>
      <c r="X515" s="303"/>
      <c r="Y515" s="303"/>
      <c r="Z515" s="303"/>
      <c r="AA515" s="303"/>
      <c r="AB515" s="143"/>
      <c r="AC515" s="303"/>
      <c r="AD515" s="303"/>
      <c r="AE515" s="303"/>
      <c r="AF515" s="303"/>
      <c r="AG515" s="303"/>
      <c r="AH515" s="303"/>
      <c r="AI515" s="143"/>
      <c r="AJ515" s="125"/>
      <c r="AK515" s="125"/>
      <c r="AL515" s="125"/>
      <c r="AM515" s="125"/>
    </row>
    <row r="516" spans="1:39" ht="12.75" x14ac:dyDescent="0.2">
      <c r="A516" s="303"/>
      <c r="B516" s="303"/>
      <c r="C516" s="303"/>
      <c r="D516" s="143"/>
      <c r="E516" s="303"/>
      <c r="F516" s="303"/>
      <c r="G516" s="303"/>
      <c r="H516" s="303"/>
      <c r="I516" s="303"/>
      <c r="J516" s="303"/>
      <c r="K516" s="303"/>
      <c r="L516" s="143"/>
      <c r="M516" s="303"/>
      <c r="N516" s="303"/>
      <c r="O516" s="303"/>
      <c r="P516" s="303"/>
      <c r="Q516" s="303"/>
      <c r="R516" s="303"/>
      <c r="S516" s="303"/>
      <c r="T516" s="143"/>
      <c r="U516" s="303"/>
      <c r="V516" s="303"/>
      <c r="W516" s="303"/>
      <c r="X516" s="303"/>
      <c r="Y516" s="303"/>
      <c r="Z516" s="303"/>
      <c r="AA516" s="303"/>
      <c r="AB516" s="143"/>
      <c r="AC516" s="303"/>
      <c r="AD516" s="303"/>
      <c r="AE516" s="303"/>
      <c r="AF516" s="303"/>
      <c r="AG516" s="303"/>
      <c r="AH516" s="303"/>
      <c r="AI516" s="143"/>
      <c r="AJ516" s="125"/>
      <c r="AK516" s="125"/>
      <c r="AL516" s="125"/>
      <c r="AM516" s="125"/>
    </row>
    <row r="517" spans="1:39" ht="12.75" x14ac:dyDescent="0.2">
      <c r="A517" s="303"/>
      <c r="B517" s="303"/>
      <c r="C517" s="303"/>
      <c r="D517" s="143"/>
      <c r="E517" s="303"/>
      <c r="F517" s="303"/>
      <c r="G517" s="303"/>
      <c r="H517" s="303"/>
      <c r="I517" s="303"/>
      <c r="J517" s="303"/>
      <c r="K517" s="303"/>
      <c r="L517" s="143"/>
      <c r="M517" s="303"/>
      <c r="N517" s="303"/>
      <c r="O517" s="303"/>
      <c r="P517" s="303"/>
      <c r="Q517" s="303"/>
      <c r="R517" s="303"/>
      <c r="S517" s="303"/>
      <c r="T517" s="143"/>
      <c r="U517" s="303"/>
      <c r="V517" s="303"/>
      <c r="W517" s="303"/>
      <c r="X517" s="303"/>
      <c r="Y517" s="303"/>
      <c r="Z517" s="303"/>
      <c r="AA517" s="303"/>
      <c r="AB517" s="143"/>
      <c r="AC517" s="303"/>
      <c r="AD517" s="303"/>
      <c r="AE517" s="303"/>
      <c r="AF517" s="303"/>
      <c r="AG517" s="303"/>
      <c r="AH517" s="303"/>
      <c r="AI517" s="143"/>
      <c r="AJ517" s="125"/>
      <c r="AK517" s="125"/>
      <c r="AL517" s="125"/>
      <c r="AM517" s="125"/>
    </row>
    <row r="518" spans="1:39" ht="12.75" x14ac:dyDescent="0.2">
      <c r="A518" s="303"/>
      <c r="B518" s="303"/>
      <c r="C518" s="303"/>
      <c r="D518" s="143"/>
      <c r="E518" s="303"/>
      <c r="F518" s="303"/>
      <c r="G518" s="303"/>
      <c r="H518" s="303"/>
      <c r="I518" s="303"/>
      <c r="J518" s="303"/>
      <c r="K518" s="303"/>
      <c r="L518" s="143"/>
      <c r="M518" s="303"/>
      <c r="N518" s="303"/>
      <c r="O518" s="303"/>
      <c r="P518" s="303"/>
      <c r="Q518" s="303"/>
      <c r="R518" s="303"/>
      <c r="S518" s="303"/>
      <c r="T518" s="143"/>
      <c r="U518" s="303"/>
      <c r="V518" s="303"/>
      <c r="W518" s="303"/>
      <c r="X518" s="303"/>
      <c r="Y518" s="303"/>
      <c r="Z518" s="303"/>
      <c r="AA518" s="303"/>
      <c r="AB518" s="143"/>
      <c r="AC518" s="303"/>
      <c r="AD518" s="303"/>
      <c r="AE518" s="303"/>
      <c r="AF518" s="303"/>
      <c r="AG518" s="303"/>
      <c r="AH518" s="303"/>
      <c r="AI518" s="143"/>
      <c r="AJ518" s="125"/>
      <c r="AK518" s="125"/>
      <c r="AL518" s="125"/>
      <c r="AM518" s="125"/>
    </row>
    <row r="519" spans="1:39" ht="12.75" x14ac:dyDescent="0.2">
      <c r="A519" s="303"/>
      <c r="B519" s="303"/>
      <c r="C519" s="303"/>
      <c r="D519" s="143"/>
      <c r="E519" s="303"/>
      <c r="F519" s="303"/>
      <c r="G519" s="303"/>
      <c r="H519" s="303"/>
      <c r="I519" s="303"/>
      <c r="J519" s="303"/>
      <c r="K519" s="303"/>
      <c r="L519" s="143"/>
      <c r="M519" s="303"/>
      <c r="N519" s="303"/>
      <c r="O519" s="303"/>
      <c r="P519" s="303"/>
      <c r="Q519" s="303"/>
      <c r="R519" s="303"/>
      <c r="S519" s="303"/>
      <c r="T519" s="143"/>
      <c r="U519" s="303"/>
      <c r="V519" s="303"/>
      <c r="W519" s="303"/>
      <c r="X519" s="303"/>
      <c r="Y519" s="303"/>
      <c r="Z519" s="303"/>
      <c r="AA519" s="303"/>
      <c r="AB519" s="143"/>
      <c r="AC519" s="303"/>
      <c r="AD519" s="303"/>
      <c r="AE519" s="303"/>
      <c r="AF519" s="303"/>
      <c r="AG519" s="303"/>
      <c r="AH519" s="303"/>
      <c r="AI519" s="143"/>
      <c r="AJ519" s="125"/>
      <c r="AK519" s="125"/>
      <c r="AL519" s="125"/>
      <c r="AM519" s="125"/>
    </row>
    <row r="520" spans="1:39" ht="12.75" x14ac:dyDescent="0.2">
      <c r="A520" s="303"/>
      <c r="B520" s="303"/>
      <c r="C520" s="303"/>
      <c r="D520" s="143"/>
      <c r="E520" s="303"/>
      <c r="F520" s="303"/>
      <c r="G520" s="303"/>
      <c r="H520" s="303"/>
      <c r="I520" s="303"/>
      <c r="J520" s="303"/>
      <c r="K520" s="303"/>
      <c r="L520" s="143"/>
      <c r="M520" s="303"/>
      <c r="N520" s="303"/>
      <c r="O520" s="303"/>
      <c r="P520" s="303"/>
      <c r="Q520" s="303"/>
      <c r="R520" s="303"/>
      <c r="S520" s="303"/>
      <c r="T520" s="143"/>
      <c r="U520" s="303"/>
      <c r="V520" s="303"/>
      <c r="W520" s="303"/>
      <c r="X520" s="303"/>
      <c r="Y520" s="303"/>
      <c r="Z520" s="303"/>
      <c r="AA520" s="303"/>
      <c r="AB520" s="143"/>
      <c r="AC520" s="303"/>
      <c r="AD520" s="303"/>
      <c r="AE520" s="303"/>
      <c r="AF520" s="303"/>
      <c r="AG520" s="303"/>
      <c r="AH520" s="303"/>
      <c r="AI520" s="143"/>
      <c r="AJ520" s="125"/>
      <c r="AK520" s="125"/>
      <c r="AL520" s="125"/>
      <c r="AM520" s="125"/>
    </row>
    <row r="521" spans="1:39" ht="12.75" x14ac:dyDescent="0.2">
      <c r="A521" s="303"/>
      <c r="B521" s="303"/>
      <c r="C521" s="303"/>
      <c r="D521" s="143"/>
      <c r="E521" s="303"/>
      <c r="F521" s="303"/>
      <c r="G521" s="303"/>
      <c r="H521" s="303"/>
      <c r="I521" s="303"/>
      <c r="J521" s="303"/>
      <c r="K521" s="303"/>
      <c r="L521" s="143"/>
      <c r="M521" s="303"/>
      <c r="N521" s="303"/>
      <c r="O521" s="303"/>
      <c r="P521" s="303"/>
      <c r="Q521" s="303"/>
      <c r="R521" s="303"/>
      <c r="S521" s="303"/>
      <c r="T521" s="143"/>
      <c r="U521" s="303"/>
      <c r="V521" s="303"/>
      <c r="W521" s="303"/>
      <c r="X521" s="303"/>
      <c r="Y521" s="303"/>
      <c r="Z521" s="303"/>
      <c r="AA521" s="303"/>
      <c r="AB521" s="143"/>
      <c r="AC521" s="303"/>
      <c r="AD521" s="303"/>
      <c r="AE521" s="303"/>
      <c r="AF521" s="303"/>
      <c r="AG521" s="303"/>
      <c r="AH521" s="303"/>
      <c r="AI521" s="143"/>
      <c r="AJ521" s="125"/>
      <c r="AK521" s="125"/>
      <c r="AL521" s="125"/>
      <c r="AM521" s="125"/>
    </row>
    <row r="522" spans="1:39" ht="12.75" x14ac:dyDescent="0.2">
      <c r="A522" s="303"/>
      <c r="B522" s="303"/>
      <c r="C522" s="303"/>
      <c r="D522" s="143"/>
      <c r="E522" s="303"/>
      <c r="F522" s="303"/>
      <c r="G522" s="303"/>
      <c r="H522" s="303"/>
      <c r="I522" s="303"/>
      <c r="J522" s="303"/>
      <c r="K522" s="303"/>
      <c r="L522" s="143"/>
      <c r="M522" s="303"/>
      <c r="N522" s="303"/>
      <c r="O522" s="303"/>
      <c r="P522" s="303"/>
      <c r="Q522" s="303"/>
      <c r="R522" s="303"/>
      <c r="S522" s="303"/>
      <c r="T522" s="143"/>
      <c r="U522" s="303"/>
      <c r="V522" s="303"/>
      <c r="W522" s="303"/>
      <c r="X522" s="303"/>
      <c r="Y522" s="303"/>
      <c r="Z522" s="303"/>
      <c r="AA522" s="303"/>
      <c r="AB522" s="143"/>
      <c r="AC522" s="303"/>
      <c r="AD522" s="303"/>
      <c r="AE522" s="303"/>
      <c r="AF522" s="303"/>
      <c r="AG522" s="303"/>
      <c r="AH522" s="303"/>
      <c r="AI522" s="143"/>
      <c r="AJ522" s="125"/>
      <c r="AK522" s="125"/>
      <c r="AL522" s="125"/>
      <c r="AM522" s="125"/>
    </row>
    <row r="523" spans="1:39" ht="12.75" x14ac:dyDescent="0.2">
      <c r="A523" s="303"/>
      <c r="B523" s="303"/>
      <c r="C523" s="303"/>
      <c r="D523" s="143"/>
      <c r="E523" s="303"/>
      <c r="F523" s="303"/>
      <c r="G523" s="303"/>
      <c r="H523" s="303"/>
      <c r="I523" s="303"/>
      <c r="J523" s="303"/>
      <c r="K523" s="303"/>
      <c r="L523" s="143"/>
      <c r="M523" s="303"/>
      <c r="N523" s="303"/>
      <c r="O523" s="303"/>
      <c r="P523" s="303"/>
      <c r="Q523" s="303"/>
      <c r="R523" s="303"/>
      <c r="S523" s="303"/>
      <c r="T523" s="143"/>
      <c r="U523" s="303"/>
      <c r="V523" s="303"/>
      <c r="W523" s="303"/>
      <c r="X523" s="303"/>
      <c r="Y523" s="303"/>
      <c r="Z523" s="303"/>
      <c r="AA523" s="303"/>
      <c r="AB523" s="143"/>
      <c r="AC523" s="303"/>
      <c r="AD523" s="303"/>
      <c r="AE523" s="303"/>
      <c r="AF523" s="303"/>
      <c r="AG523" s="303"/>
      <c r="AH523" s="303"/>
      <c r="AI523" s="143"/>
      <c r="AJ523" s="125"/>
      <c r="AK523" s="125"/>
      <c r="AL523" s="125"/>
      <c r="AM523" s="125"/>
    </row>
    <row r="524" spans="1:39" ht="12.75" x14ac:dyDescent="0.2">
      <c r="A524" s="303"/>
      <c r="B524" s="303"/>
      <c r="C524" s="303"/>
      <c r="D524" s="143"/>
      <c r="E524" s="303"/>
      <c r="F524" s="303"/>
      <c r="G524" s="303"/>
      <c r="H524" s="303"/>
      <c r="I524" s="303"/>
      <c r="J524" s="303"/>
      <c r="K524" s="303"/>
      <c r="L524" s="143"/>
      <c r="M524" s="303"/>
      <c r="N524" s="303"/>
      <c r="O524" s="303"/>
      <c r="P524" s="303"/>
      <c r="Q524" s="303"/>
      <c r="R524" s="303"/>
      <c r="S524" s="303"/>
      <c r="T524" s="143"/>
      <c r="U524" s="303"/>
      <c r="V524" s="303"/>
      <c r="W524" s="303"/>
      <c r="X524" s="303"/>
      <c r="Y524" s="303"/>
      <c r="Z524" s="303"/>
      <c r="AA524" s="303"/>
      <c r="AB524" s="143"/>
      <c r="AC524" s="303"/>
      <c r="AD524" s="303"/>
      <c r="AE524" s="303"/>
      <c r="AF524" s="303"/>
      <c r="AG524" s="303"/>
      <c r="AH524" s="303"/>
      <c r="AI524" s="143"/>
      <c r="AJ524" s="125"/>
      <c r="AK524" s="125"/>
      <c r="AL524" s="125"/>
      <c r="AM524" s="125"/>
    </row>
    <row r="525" spans="1:39" ht="12.75" x14ac:dyDescent="0.2">
      <c r="A525" s="303"/>
      <c r="B525" s="303"/>
      <c r="C525" s="303"/>
      <c r="D525" s="143"/>
      <c r="E525" s="303"/>
      <c r="F525" s="303"/>
      <c r="G525" s="303"/>
      <c r="H525" s="303"/>
      <c r="I525" s="303"/>
      <c r="J525" s="303"/>
      <c r="K525" s="303"/>
      <c r="L525" s="143"/>
      <c r="M525" s="303"/>
      <c r="N525" s="303"/>
      <c r="O525" s="303"/>
      <c r="P525" s="303"/>
      <c r="Q525" s="303"/>
      <c r="R525" s="303"/>
      <c r="S525" s="303"/>
      <c r="T525" s="143"/>
      <c r="U525" s="303"/>
      <c r="V525" s="303"/>
      <c r="W525" s="303"/>
      <c r="X525" s="303"/>
      <c r="Y525" s="303"/>
      <c r="Z525" s="303"/>
      <c r="AA525" s="303"/>
      <c r="AB525" s="143"/>
      <c r="AC525" s="303"/>
      <c r="AD525" s="303"/>
      <c r="AE525" s="303"/>
      <c r="AF525" s="303"/>
      <c r="AG525" s="303"/>
      <c r="AH525" s="303"/>
      <c r="AI525" s="143"/>
      <c r="AJ525" s="125"/>
      <c r="AK525" s="125"/>
      <c r="AL525" s="125"/>
      <c r="AM525" s="125"/>
    </row>
    <row r="526" spans="1:39" ht="12.75" x14ac:dyDescent="0.2">
      <c r="A526" s="303"/>
      <c r="B526" s="303"/>
      <c r="C526" s="303"/>
      <c r="D526" s="143"/>
      <c r="E526" s="303"/>
      <c r="F526" s="303"/>
      <c r="G526" s="303"/>
      <c r="H526" s="303"/>
      <c r="I526" s="303"/>
      <c r="J526" s="303"/>
      <c r="K526" s="303"/>
      <c r="L526" s="143"/>
      <c r="M526" s="303"/>
      <c r="N526" s="303"/>
      <c r="O526" s="303"/>
      <c r="P526" s="303"/>
      <c r="Q526" s="303"/>
      <c r="R526" s="303"/>
      <c r="S526" s="303"/>
      <c r="T526" s="143"/>
      <c r="U526" s="303"/>
      <c r="V526" s="303"/>
      <c r="W526" s="303"/>
      <c r="X526" s="303"/>
      <c r="Y526" s="303"/>
      <c r="Z526" s="303"/>
      <c r="AA526" s="303"/>
      <c r="AB526" s="143"/>
      <c r="AC526" s="303"/>
      <c r="AD526" s="303"/>
      <c r="AE526" s="303"/>
      <c r="AF526" s="303"/>
      <c r="AG526" s="303"/>
      <c r="AH526" s="303"/>
      <c r="AI526" s="143"/>
      <c r="AJ526" s="125"/>
      <c r="AK526" s="125"/>
      <c r="AL526" s="125"/>
      <c r="AM526" s="125"/>
    </row>
    <row r="527" spans="1:39" ht="12.75" x14ac:dyDescent="0.2">
      <c r="A527" s="303"/>
      <c r="B527" s="303"/>
      <c r="C527" s="303"/>
      <c r="D527" s="143"/>
      <c r="E527" s="303"/>
      <c r="F527" s="303"/>
      <c r="G527" s="303"/>
      <c r="H527" s="303"/>
      <c r="I527" s="303"/>
      <c r="J527" s="303"/>
      <c r="K527" s="303"/>
      <c r="L527" s="143"/>
      <c r="M527" s="303"/>
      <c r="N527" s="303"/>
      <c r="O527" s="303"/>
      <c r="P527" s="303"/>
      <c r="Q527" s="303"/>
      <c r="R527" s="303"/>
      <c r="S527" s="303"/>
      <c r="T527" s="143"/>
      <c r="U527" s="303"/>
      <c r="V527" s="303"/>
      <c r="W527" s="303"/>
      <c r="X527" s="303"/>
      <c r="Y527" s="303"/>
      <c r="Z527" s="303"/>
      <c r="AA527" s="303"/>
      <c r="AB527" s="143"/>
      <c r="AC527" s="303"/>
      <c r="AD527" s="303"/>
      <c r="AE527" s="303"/>
      <c r="AF527" s="303"/>
      <c r="AG527" s="303"/>
      <c r="AH527" s="303"/>
      <c r="AI527" s="143"/>
      <c r="AJ527" s="125"/>
      <c r="AK527" s="125"/>
      <c r="AL527" s="125"/>
      <c r="AM527" s="125"/>
    </row>
    <row r="528" spans="1:39" ht="12.75" x14ac:dyDescent="0.2">
      <c r="A528" s="303"/>
      <c r="B528" s="303"/>
      <c r="C528" s="303"/>
      <c r="D528" s="143"/>
      <c r="E528" s="303"/>
      <c r="F528" s="303"/>
      <c r="G528" s="303"/>
      <c r="H528" s="303"/>
      <c r="I528" s="303"/>
      <c r="J528" s="303"/>
      <c r="K528" s="303"/>
      <c r="L528" s="143"/>
      <c r="M528" s="303"/>
      <c r="N528" s="303"/>
      <c r="O528" s="303"/>
      <c r="P528" s="303"/>
      <c r="Q528" s="303"/>
      <c r="R528" s="303"/>
      <c r="S528" s="303"/>
      <c r="T528" s="143"/>
      <c r="U528" s="303"/>
      <c r="V528" s="303"/>
      <c r="W528" s="303"/>
      <c r="X528" s="303"/>
      <c r="Y528" s="303"/>
      <c r="Z528" s="303"/>
      <c r="AA528" s="303"/>
      <c r="AB528" s="143"/>
      <c r="AC528" s="303"/>
      <c r="AD528" s="303"/>
      <c r="AE528" s="303"/>
      <c r="AF528" s="303"/>
      <c r="AG528" s="303"/>
      <c r="AH528" s="303"/>
      <c r="AI528" s="143"/>
      <c r="AJ528" s="125"/>
      <c r="AK528" s="125"/>
      <c r="AL528" s="125"/>
      <c r="AM528" s="125"/>
    </row>
    <row r="529" spans="1:39" ht="12.75" x14ac:dyDescent="0.2">
      <c r="A529" s="303"/>
      <c r="B529" s="303"/>
      <c r="C529" s="303"/>
      <c r="D529" s="143"/>
      <c r="E529" s="303"/>
      <c r="F529" s="303"/>
      <c r="G529" s="303"/>
      <c r="H529" s="303"/>
      <c r="I529" s="303"/>
      <c r="J529" s="303"/>
      <c r="K529" s="303"/>
      <c r="L529" s="143"/>
      <c r="M529" s="303"/>
      <c r="N529" s="303"/>
      <c r="O529" s="303"/>
      <c r="P529" s="303"/>
      <c r="Q529" s="303"/>
      <c r="R529" s="303"/>
      <c r="S529" s="303"/>
      <c r="T529" s="143"/>
      <c r="U529" s="303"/>
      <c r="V529" s="303"/>
      <c r="W529" s="303"/>
      <c r="X529" s="303"/>
      <c r="Y529" s="303"/>
      <c r="Z529" s="303"/>
      <c r="AA529" s="303"/>
      <c r="AB529" s="143"/>
      <c r="AC529" s="303"/>
      <c r="AD529" s="303"/>
      <c r="AE529" s="303"/>
      <c r="AF529" s="303"/>
      <c r="AG529" s="303"/>
      <c r="AH529" s="303"/>
      <c r="AI529" s="143"/>
      <c r="AJ529" s="125"/>
      <c r="AK529" s="125"/>
      <c r="AL529" s="125"/>
      <c r="AM529" s="125"/>
    </row>
    <row r="530" spans="1:39" ht="12.75" x14ac:dyDescent="0.2">
      <c r="A530" s="303"/>
      <c r="B530" s="303"/>
      <c r="C530" s="303"/>
      <c r="D530" s="143"/>
      <c r="E530" s="303"/>
      <c r="F530" s="303"/>
      <c r="G530" s="303"/>
      <c r="H530" s="303"/>
      <c r="I530" s="303"/>
      <c r="J530" s="303"/>
      <c r="K530" s="303"/>
      <c r="L530" s="143"/>
      <c r="M530" s="303"/>
      <c r="N530" s="303"/>
      <c r="O530" s="303"/>
      <c r="P530" s="303"/>
      <c r="Q530" s="303"/>
      <c r="R530" s="303"/>
      <c r="S530" s="303"/>
      <c r="T530" s="143"/>
      <c r="U530" s="303"/>
      <c r="V530" s="303"/>
      <c r="W530" s="303"/>
      <c r="X530" s="303"/>
      <c r="Y530" s="303"/>
      <c r="Z530" s="303"/>
      <c r="AA530" s="303"/>
      <c r="AB530" s="143"/>
      <c r="AC530" s="303"/>
      <c r="AD530" s="303"/>
      <c r="AE530" s="303"/>
      <c r="AF530" s="303"/>
      <c r="AG530" s="303"/>
      <c r="AH530" s="303"/>
      <c r="AI530" s="143"/>
      <c r="AJ530" s="125"/>
      <c r="AK530" s="125"/>
      <c r="AL530" s="125"/>
      <c r="AM530" s="125"/>
    </row>
    <row r="531" spans="1:39" ht="12.75" x14ac:dyDescent="0.2">
      <c r="A531" s="303"/>
      <c r="B531" s="303"/>
      <c r="C531" s="303"/>
      <c r="D531" s="143"/>
      <c r="E531" s="303"/>
      <c r="F531" s="303"/>
      <c r="G531" s="303"/>
      <c r="H531" s="303"/>
      <c r="I531" s="303"/>
      <c r="J531" s="303"/>
      <c r="K531" s="303"/>
      <c r="L531" s="143"/>
      <c r="M531" s="303"/>
      <c r="N531" s="303"/>
      <c r="O531" s="303"/>
      <c r="P531" s="303"/>
      <c r="Q531" s="303"/>
      <c r="R531" s="303"/>
      <c r="S531" s="303"/>
      <c r="T531" s="143"/>
      <c r="U531" s="303"/>
      <c r="V531" s="303"/>
      <c r="W531" s="303"/>
      <c r="X531" s="303"/>
      <c r="Y531" s="303"/>
      <c r="Z531" s="303"/>
      <c r="AA531" s="303"/>
      <c r="AB531" s="143"/>
      <c r="AC531" s="303"/>
      <c r="AD531" s="303"/>
      <c r="AE531" s="303"/>
      <c r="AF531" s="303"/>
      <c r="AG531" s="303"/>
      <c r="AH531" s="303"/>
      <c r="AI531" s="143"/>
      <c r="AJ531" s="125"/>
      <c r="AK531" s="125"/>
      <c r="AL531" s="125"/>
      <c r="AM531" s="125"/>
    </row>
    <row r="532" spans="1:39" ht="12.75" x14ac:dyDescent="0.2">
      <c r="A532" s="303"/>
      <c r="B532" s="303"/>
      <c r="C532" s="303"/>
      <c r="D532" s="143"/>
      <c r="E532" s="303"/>
      <c r="F532" s="303"/>
      <c r="G532" s="303"/>
      <c r="H532" s="303"/>
      <c r="I532" s="303"/>
      <c r="J532" s="303"/>
      <c r="K532" s="303"/>
      <c r="L532" s="143"/>
      <c r="M532" s="303"/>
      <c r="N532" s="303"/>
      <c r="O532" s="303"/>
      <c r="P532" s="303"/>
      <c r="Q532" s="303"/>
      <c r="R532" s="303"/>
      <c r="S532" s="303"/>
      <c r="T532" s="143"/>
      <c r="U532" s="303"/>
      <c r="V532" s="303"/>
      <c r="W532" s="303"/>
      <c r="X532" s="303"/>
      <c r="Y532" s="303"/>
      <c r="Z532" s="303"/>
      <c r="AA532" s="303"/>
      <c r="AB532" s="143"/>
      <c r="AC532" s="303"/>
      <c r="AD532" s="303"/>
      <c r="AE532" s="303"/>
      <c r="AF532" s="303"/>
      <c r="AG532" s="303"/>
      <c r="AH532" s="303"/>
      <c r="AI532" s="143"/>
      <c r="AJ532" s="125"/>
      <c r="AK532" s="125"/>
      <c r="AL532" s="125"/>
      <c r="AM532" s="125"/>
    </row>
    <row r="533" spans="1:39" ht="12.75" x14ac:dyDescent="0.2">
      <c r="A533" s="303"/>
      <c r="B533" s="303"/>
      <c r="C533" s="303"/>
      <c r="D533" s="143"/>
      <c r="E533" s="303"/>
      <c r="F533" s="303"/>
      <c r="G533" s="303"/>
      <c r="H533" s="303"/>
      <c r="I533" s="303"/>
      <c r="J533" s="303"/>
      <c r="K533" s="303"/>
      <c r="L533" s="143"/>
      <c r="M533" s="303"/>
      <c r="N533" s="303"/>
      <c r="O533" s="303"/>
      <c r="P533" s="303"/>
      <c r="Q533" s="303"/>
      <c r="R533" s="303"/>
      <c r="S533" s="303"/>
      <c r="T533" s="143"/>
      <c r="U533" s="303"/>
      <c r="V533" s="303"/>
      <c r="W533" s="303"/>
      <c r="X533" s="303"/>
      <c r="Y533" s="303"/>
      <c r="Z533" s="303"/>
      <c r="AA533" s="303"/>
      <c r="AB533" s="143"/>
      <c r="AC533" s="303"/>
      <c r="AD533" s="303"/>
      <c r="AE533" s="303"/>
      <c r="AF533" s="303"/>
      <c r="AG533" s="303"/>
      <c r="AH533" s="303"/>
      <c r="AI533" s="143"/>
      <c r="AJ533" s="125"/>
      <c r="AK533" s="125"/>
      <c r="AL533" s="125"/>
      <c r="AM533" s="125"/>
    </row>
    <row r="534" spans="1:39" ht="12.75" x14ac:dyDescent="0.2">
      <c r="A534" s="303"/>
      <c r="B534" s="303"/>
      <c r="C534" s="303"/>
      <c r="D534" s="143"/>
      <c r="E534" s="303"/>
      <c r="F534" s="303"/>
      <c r="G534" s="303"/>
      <c r="H534" s="303"/>
      <c r="I534" s="303"/>
      <c r="J534" s="303"/>
      <c r="K534" s="303"/>
      <c r="L534" s="143"/>
      <c r="M534" s="303"/>
      <c r="N534" s="303"/>
      <c r="O534" s="303"/>
      <c r="P534" s="303"/>
      <c r="Q534" s="303"/>
      <c r="R534" s="303"/>
      <c r="S534" s="303"/>
      <c r="T534" s="143"/>
      <c r="U534" s="303"/>
      <c r="V534" s="303"/>
      <c r="W534" s="303"/>
      <c r="X534" s="303"/>
      <c r="Y534" s="303"/>
      <c r="Z534" s="303"/>
      <c r="AA534" s="303"/>
      <c r="AB534" s="143"/>
      <c r="AC534" s="303"/>
      <c r="AD534" s="303"/>
      <c r="AE534" s="303"/>
      <c r="AF534" s="303"/>
      <c r="AG534" s="303"/>
      <c r="AH534" s="303"/>
      <c r="AI534" s="143"/>
      <c r="AJ534" s="125"/>
      <c r="AK534" s="125"/>
      <c r="AL534" s="125"/>
      <c r="AM534" s="125"/>
    </row>
    <row r="535" spans="1:39" ht="12.75" x14ac:dyDescent="0.2">
      <c r="A535" s="303"/>
      <c r="B535" s="303"/>
      <c r="C535" s="303"/>
      <c r="D535" s="143"/>
      <c r="E535" s="303"/>
      <c r="F535" s="303"/>
      <c r="G535" s="303"/>
      <c r="H535" s="303"/>
      <c r="I535" s="303"/>
      <c r="J535" s="303"/>
      <c r="K535" s="303"/>
      <c r="L535" s="143"/>
      <c r="M535" s="303"/>
      <c r="N535" s="303"/>
      <c r="O535" s="303"/>
      <c r="P535" s="303"/>
      <c r="Q535" s="303"/>
      <c r="R535" s="303"/>
      <c r="S535" s="303"/>
      <c r="T535" s="143"/>
      <c r="U535" s="303"/>
      <c r="V535" s="303"/>
      <c r="W535" s="303"/>
      <c r="X535" s="303"/>
      <c r="Y535" s="303"/>
      <c r="Z535" s="303"/>
      <c r="AA535" s="303"/>
      <c r="AB535" s="143"/>
      <c r="AC535" s="303"/>
      <c r="AD535" s="303"/>
      <c r="AE535" s="303"/>
      <c r="AF535" s="303"/>
      <c r="AG535" s="303"/>
      <c r="AH535" s="303"/>
      <c r="AI535" s="143"/>
      <c r="AJ535" s="125"/>
      <c r="AK535" s="125"/>
      <c r="AL535" s="125"/>
      <c r="AM535" s="125"/>
    </row>
    <row r="536" spans="1:39" ht="12.75" x14ac:dyDescent="0.2">
      <c r="A536" s="303"/>
      <c r="B536" s="303"/>
      <c r="C536" s="303"/>
      <c r="D536" s="143"/>
      <c r="E536" s="303"/>
      <c r="F536" s="303"/>
      <c r="G536" s="303"/>
      <c r="H536" s="303"/>
      <c r="I536" s="303"/>
      <c r="J536" s="303"/>
      <c r="K536" s="303"/>
      <c r="L536" s="143"/>
      <c r="M536" s="303"/>
      <c r="N536" s="303"/>
      <c r="O536" s="303"/>
      <c r="P536" s="303"/>
      <c r="Q536" s="303"/>
      <c r="R536" s="303"/>
      <c r="S536" s="303"/>
      <c r="T536" s="143"/>
      <c r="U536" s="303"/>
      <c r="V536" s="303"/>
      <c r="W536" s="303"/>
      <c r="X536" s="303"/>
      <c r="Y536" s="303"/>
      <c r="Z536" s="303"/>
      <c r="AA536" s="303"/>
      <c r="AB536" s="143"/>
      <c r="AC536" s="303"/>
      <c r="AD536" s="303"/>
      <c r="AE536" s="303"/>
      <c r="AF536" s="303"/>
      <c r="AG536" s="303"/>
      <c r="AH536" s="303"/>
      <c r="AI536" s="143"/>
      <c r="AJ536" s="125"/>
      <c r="AK536" s="125"/>
      <c r="AL536" s="125"/>
      <c r="AM536" s="125"/>
    </row>
    <row r="537" spans="1:39" ht="12.75" x14ac:dyDescent="0.2">
      <c r="A537" s="303"/>
      <c r="B537" s="303"/>
      <c r="C537" s="303"/>
      <c r="D537" s="143"/>
      <c r="E537" s="303"/>
      <c r="F537" s="303"/>
      <c r="G537" s="303"/>
      <c r="H537" s="303"/>
      <c r="I537" s="303"/>
      <c r="J537" s="303"/>
      <c r="K537" s="303"/>
      <c r="L537" s="143"/>
      <c r="M537" s="303"/>
      <c r="N537" s="303"/>
      <c r="O537" s="303"/>
      <c r="P537" s="303"/>
      <c r="Q537" s="303"/>
      <c r="R537" s="303"/>
      <c r="S537" s="303"/>
      <c r="T537" s="143"/>
      <c r="U537" s="303"/>
      <c r="V537" s="303"/>
      <c r="W537" s="303"/>
      <c r="X537" s="303"/>
      <c r="Y537" s="303"/>
      <c r="Z537" s="303"/>
      <c r="AA537" s="303"/>
      <c r="AB537" s="143"/>
      <c r="AC537" s="303"/>
      <c r="AD537" s="303"/>
      <c r="AE537" s="303"/>
      <c r="AF537" s="303"/>
      <c r="AG537" s="303"/>
      <c r="AH537" s="303"/>
      <c r="AI537" s="143"/>
      <c r="AJ537" s="125"/>
      <c r="AK537" s="125"/>
      <c r="AL537" s="125"/>
      <c r="AM537" s="125"/>
    </row>
    <row r="538" spans="1:39" ht="12.75" x14ac:dyDescent="0.2">
      <c r="A538" s="303"/>
      <c r="B538" s="303"/>
      <c r="C538" s="303"/>
      <c r="D538" s="143"/>
      <c r="E538" s="303"/>
      <c r="F538" s="303"/>
      <c r="G538" s="303"/>
      <c r="H538" s="303"/>
      <c r="I538" s="303"/>
      <c r="J538" s="303"/>
      <c r="K538" s="303"/>
      <c r="L538" s="143"/>
      <c r="M538" s="303"/>
      <c r="N538" s="303"/>
      <c r="O538" s="303"/>
      <c r="P538" s="303"/>
      <c r="Q538" s="303"/>
      <c r="R538" s="303"/>
      <c r="S538" s="303"/>
      <c r="T538" s="143"/>
      <c r="U538" s="303"/>
      <c r="V538" s="303"/>
      <c r="W538" s="303"/>
      <c r="X538" s="303"/>
      <c r="Y538" s="303"/>
      <c r="Z538" s="303"/>
      <c r="AA538" s="303"/>
      <c r="AB538" s="143"/>
      <c r="AC538" s="303"/>
      <c r="AD538" s="303"/>
      <c r="AE538" s="303"/>
      <c r="AF538" s="303"/>
      <c r="AG538" s="303"/>
      <c r="AH538" s="303"/>
      <c r="AI538" s="143"/>
      <c r="AJ538" s="125"/>
      <c r="AK538" s="125"/>
      <c r="AL538" s="125"/>
      <c r="AM538" s="125"/>
    </row>
    <row r="539" spans="1:39" ht="12.75" x14ac:dyDescent="0.2">
      <c r="A539" s="303"/>
      <c r="B539" s="303"/>
      <c r="C539" s="303"/>
      <c r="D539" s="143"/>
      <c r="E539" s="303"/>
      <c r="F539" s="303"/>
      <c r="G539" s="303"/>
      <c r="H539" s="303"/>
      <c r="I539" s="303"/>
      <c r="J539" s="303"/>
      <c r="K539" s="303"/>
      <c r="L539" s="143"/>
      <c r="M539" s="303"/>
      <c r="N539" s="303"/>
      <c r="O539" s="303"/>
      <c r="P539" s="303"/>
      <c r="Q539" s="303"/>
      <c r="R539" s="303"/>
      <c r="S539" s="303"/>
      <c r="T539" s="143"/>
      <c r="U539" s="303"/>
      <c r="V539" s="303"/>
      <c r="W539" s="303"/>
      <c r="X539" s="303"/>
      <c r="Y539" s="303"/>
      <c r="Z539" s="303"/>
      <c r="AA539" s="303"/>
      <c r="AB539" s="143"/>
      <c r="AC539" s="303"/>
      <c r="AD539" s="303"/>
      <c r="AE539" s="303"/>
      <c r="AF539" s="303"/>
      <c r="AG539" s="303"/>
      <c r="AH539" s="303"/>
      <c r="AI539" s="143"/>
      <c r="AJ539" s="125"/>
      <c r="AK539" s="125"/>
      <c r="AL539" s="125"/>
      <c r="AM539" s="125"/>
    </row>
    <row r="540" spans="1:39" ht="12.75" x14ac:dyDescent="0.2">
      <c r="A540" s="303"/>
      <c r="B540" s="303"/>
      <c r="C540" s="303"/>
      <c r="D540" s="143"/>
      <c r="E540" s="303"/>
      <c r="F540" s="303"/>
      <c r="G540" s="303"/>
      <c r="H540" s="303"/>
      <c r="I540" s="303"/>
      <c r="J540" s="303"/>
      <c r="K540" s="303"/>
      <c r="L540" s="143"/>
      <c r="M540" s="303"/>
      <c r="N540" s="303"/>
      <c r="O540" s="303"/>
      <c r="P540" s="303"/>
      <c r="Q540" s="303"/>
      <c r="R540" s="303"/>
      <c r="S540" s="303"/>
      <c r="T540" s="143"/>
      <c r="U540" s="303"/>
      <c r="V540" s="303"/>
      <c r="W540" s="303"/>
      <c r="X540" s="303"/>
      <c r="Y540" s="303"/>
      <c r="Z540" s="303"/>
      <c r="AA540" s="303"/>
      <c r="AB540" s="143"/>
      <c r="AC540" s="303"/>
      <c r="AD540" s="303"/>
      <c r="AE540" s="303"/>
      <c r="AF540" s="303"/>
      <c r="AG540" s="303"/>
      <c r="AH540" s="303"/>
      <c r="AI540" s="143"/>
      <c r="AJ540" s="125"/>
      <c r="AK540" s="125"/>
      <c r="AL540" s="125"/>
      <c r="AM540" s="125"/>
    </row>
    <row r="541" spans="1:39" ht="12.75" x14ac:dyDescent="0.2">
      <c r="A541" s="303"/>
      <c r="B541" s="303"/>
      <c r="C541" s="303"/>
      <c r="D541" s="143"/>
      <c r="E541" s="303"/>
      <c r="F541" s="303"/>
      <c r="G541" s="303"/>
      <c r="H541" s="303"/>
      <c r="I541" s="303"/>
      <c r="J541" s="303"/>
      <c r="K541" s="303"/>
      <c r="L541" s="143"/>
      <c r="M541" s="303"/>
      <c r="N541" s="303"/>
      <c r="O541" s="303"/>
      <c r="P541" s="303"/>
      <c r="Q541" s="303"/>
      <c r="R541" s="303"/>
      <c r="S541" s="303"/>
      <c r="T541" s="143"/>
      <c r="U541" s="303"/>
      <c r="V541" s="303"/>
      <c r="W541" s="303"/>
      <c r="X541" s="303"/>
      <c r="Y541" s="303"/>
      <c r="Z541" s="303"/>
      <c r="AA541" s="303"/>
      <c r="AB541" s="143"/>
      <c r="AC541" s="303"/>
      <c r="AD541" s="303"/>
      <c r="AE541" s="303"/>
      <c r="AF541" s="303"/>
      <c r="AG541" s="303"/>
      <c r="AH541" s="303"/>
      <c r="AI541" s="143"/>
      <c r="AJ541" s="125"/>
      <c r="AK541" s="125"/>
      <c r="AL541" s="125"/>
      <c r="AM541" s="125"/>
    </row>
    <row r="542" spans="1:39" ht="12.75" x14ac:dyDescent="0.2">
      <c r="A542" s="303"/>
      <c r="B542" s="303"/>
      <c r="C542" s="303"/>
      <c r="D542" s="143"/>
      <c r="E542" s="303"/>
      <c r="F542" s="303"/>
      <c r="G542" s="303"/>
      <c r="H542" s="303"/>
      <c r="I542" s="303"/>
      <c r="J542" s="303"/>
      <c r="K542" s="303"/>
      <c r="L542" s="143"/>
      <c r="M542" s="303"/>
      <c r="N542" s="303"/>
      <c r="O542" s="303"/>
      <c r="P542" s="303"/>
      <c r="Q542" s="303"/>
      <c r="R542" s="303"/>
      <c r="S542" s="303"/>
      <c r="T542" s="143"/>
      <c r="U542" s="303"/>
      <c r="V542" s="303"/>
      <c r="W542" s="303"/>
      <c r="X542" s="303"/>
      <c r="Y542" s="303"/>
      <c r="Z542" s="303"/>
      <c r="AA542" s="303"/>
      <c r="AB542" s="143"/>
      <c r="AC542" s="303"/>
      <c r="AD542" s="303"/>
      <c r="AE542" s="303"/>
      <c r="AF542" s="303"/>
      <c r="AG542" s="303"/>
      <c r="AH542" s="303"/>
      <c r="AI542" s="143"/>
      <c r="AJ542" s="125"/>
      <c r="AK542" s="125"/>
      <c r="AL542" s="125"/>
      <c r="AM542" s="125"/>
    </row>
    <row r="543" spans="1:39" ht="12.75" x14ac:dyDescent="0.2">
      <c r="A543" s="303"/>
      <c r="B543" s="303"/>
      <c r="C543" s="303"/>
      <c r="D543" s="143"/>
      <c r="E543" s="303"/>
      <c r="F543" s="303"/>
      <c r="G543" s="303"/>
      <c r="H543" s="303"/>
      <c r="I543" s="303"/>
      <c r="J543" s="303"/>
      <c r="K543" s="303"/>
      <c r="L543" s="143"/>
      <c r="M543" s="303"/>
      <c r="N543" s="303"/>
      <c r="O543" s="303"/>
      <c r="P543" s="303"/>
      <c r="Q543" s="303"/>
      <c r="R543" s="303"/>
      <c r="S543" s="303"/>
      <c r="T543" s="143"/>
      <c r="U543" s="303"/>
      <c r="V543" s="303"/>
      <c r="W543" s="303"/>
      <c r="X543" s="303"/>
      <c r="Y543" s="303"/>
      <c r="Z543" s="303"/>
      <c r="AA543" s="303"/>
      <c r="AB543" s="143"/>
      <c r="AC543" s="303"/>
      <c r="AD543" s="303"/>
      <c r="AE543" s="303"/>
      <c r="AF543" s="303"/>
      <c r="AG543" s="303"/>
      <c r="AH543" s="303"/>
      <c r="AI543" s="143"/>
      <c r="AJ543" s="125"/>
      <c r="AK543" s="125"/>
      <c r="AL543" s="125"/>
      <c r="AM543" s="125"/>
    </row>
    <row r="544" spans="1:39" ht="12.75" x14ac:dyDescent="0.2">
      <c r="A544" s="303"/>
      <c r="B544" s="303"/>
      <c r="C544" s="303"/>
      <c r="D544" s="143"/>
      <c r="E544" s="303"/>
      <c r="F544" s="303"/>
      <c r="G544" s="303"/>
      <c r="H544" s="303"/>
      <c r="I544" s="303"/>
      <c r="J544" s="303"/>
      <c r="K544" s="303"/>
      <c r="L544" s="143"/>
      <c r="M544" s="303"/>
      <c r="N544" s="303"/>
      <c r="O544" s="303"/>
      <c r="P544" s="303"/>
      <c r="Q544" s="303"/>
      <c r="R544" s="303"/>
      <c r="S544" s="303"/>
      <c r="T544" s="143"/>
      <c r="U544" s="303"/>
      <c r="V544" s="303"/>
      <c r="W544" s="303"/>
      <c r="X544" s="303"/>
      <c r="Y544" s="303"/>
      <c r="Z544" s="303"/>
      <c r="AA544" s="303"/>
      <c r="AB544" s="143"/>
      <c r="AC544" s="303"/>
      <c r="AD544" s="303"/>
      <c r="AE544" s="303"/>
      <c r="AF544" s="303"/>
      <c r="AG544" s="303"/>
      <c r="AH544" s="303"/>
      <c r="AI544" s="143"/>
      <c r="AJ544" s="125"/>
      <c r="AK544" s="125"/>
      <c r="AL544" s="125"/>
      <c r="AM544" s="125"/>
    </row>
    <row r="545" spans="1:39" ht="12.75" x14ac:dyDescent="0.2">
      <c r="A545" s="303"/>
      <c r="B545" s="303"/>
      <c r="C545" s="303"/>
      <c r="D545" s="143"/>
      <c r="E545" s="303"/>
      <c r="F545" s="303"/>
      <c r="G545" s="303"/>
      <c r="H545" s="303"/>
      <c r="I545" s="303"/>
      <c r="J545" s="303"/>
      <c r="K545" s="303"/>
      <c r="L545" s="143"/>
      <c r="M545" s="303"/>
      <c r="N545" s="303"/>
      <c r="O545" s="303"/>
      <c r="P545" s="303"/>
      <c r="Q545" s="303"/>
      <c r="R545" s="303"/>
      <c r="S545" s="303"/>
      <c r="T545" s="143"/>
      <c r="U545" s="303"/>
      <c r="V545" s="303"/>
      <c r="W545" s="303"/>
      <c r="X545" s="303"/>
      <c r="Y545" s="303"/>
      <c r="Z545" s="303"/>
      <c r="AA545" s="303"/>
      <c r="AB545" s="143"/>
      <c r="AC545" s="303"/>
      <c r="AD545" s="303"/>
      <c r="AE545" s="303"/>
      <c r="AF545" s="303"/>
      <c r="AG545" s="303"/>
      <c r="AH545" s="303"/>
      <c r="AI545" s="143"/>
      <c r="AJ545" s="125"/>
      <c r="AK545" s="125"/>
      <c r="AL545" s="125"/>
      <c r="AM545" s="125"/>
    </row>
    <row r="546" spans="1:39" ht="12.75" x14ac:dyDescent="0.2">
      <c r="A546" s="303"/>
      <c r="B546" s="303"/>
      <c r="C546" s="303"/>
      <c r="D546" s="143"/>
      <c r="E546" s="303"/>
      <c r="F546" s="303"/>
      <c r="G546" s="303"/>
      <c r="H546" s="303"/>
      <c r="I546" s="303"/>
      <c r="J546" s="303"/>
      <c r="K546" s="303"/>
      <c r="L546" s="143"/>
      <c r="M546" s="303"/>
      <c r="N546" s="303"/>
      <c r="O546" s="303"/>
      <c r="P546" s="303"/>
      <c r="Q546" s="303"/>
      <c r="R546" s="303"/>
      <c r="S546" s="303"/>
      <c r="T546" s="143"/>
      <c r="U546" s="303"/>
      <c r="V546" s="303"/>
      <c r="W546" s="303"/>
      <c r="X546" s="303"/>
      <c r="Y546" s="303"/>
      <c r="Z546" s="303"/>
      <c r="AA546" s="303"/>
      <c r="AB546" s="143"/>
      <c r="AC546" s="303"/>
      <c r="AD546" s="303"/>
      <c r="AE546" s="303"/>
      <c r="AF546" s="303"/>
      <c r="AG546" s="303"/>
      <c r="AH546" s="303"/>
      <c r="AI546" s="143"/>
      <c r="AJ546" s="125"/>
      <c r="AK546" s="125"/>
      <c r="AL546" s="125"/>
      <c r="AM546" s="125"/>
    </row>
    <row r="547" spans="1:39" ht="12.75" x14ac:dyDescent="0.2">
      <c r="A547" s="303"/>
      <c r="B547" s="303"/>
      <c r="C547" s="303"/>
      <c r="D547" s="143"/>
      <c r="E547" s="303"/>
      <c r="F547" s="303"/>
      <c r="G547" s="303"/>
      <c r="H547" s="303"/>
      <c r="I547" s="303"/>
      <c r="J547" s="303"/>
      <c r="K547" s="303"/>
      <c r="L547" s="143"/>
      <c r="M547" s="303"/>
      <c r="N547" s="303"/>
      <c r="O547" s="303"/>
      <c r="P547" s="303"/>
      <c r="Q547" s="303"/>
      <c r="R547" s="303"/>
      <c r="S547" s="303"/>
      <c r="T547" s="143"/>
      <c r="U547" s="303"/>
      <c r="V547" s="303"/>
      <c r="W547" s="303"/>
      <c r="X547" s="303"/>
      <c r="Y547" s="303"/>
      <c r="Z547" s="303"/>
      <c r="AA547" s="303"/>
      <c r="AB547" s="143"/>
      <c r="AC547" s="303"/>
      <c r="AD547" s="303"/>
      <c r="AE547" s="303"/>
      <c r="AF547" s="303"/>
      <c r="AG547" s="303"/>
      <c r="AH547" s="303"/>
      <c r="AI547" s="143"/>
      <c r="AJ547" s="125"/>
      <c r="AK547" s="125"/>
      <c r="AL547" s="125"/>
      <c r="AM547" s="125"/>
    </row>
    <row r="548" spans="1:39" ht="12.75" x14ac:dyDescent="0.2">
      <c r="A548" s="303"/>
      <c r="B548" s="303"/>
      <c r="C548" s="303"/>
      <c r="D548" s="143"/>
      <c r="E548" s="303"/>
      <c r="F548" s="303"/>
      <c r="G548" s="303"/>
      <c r="H548" s="303"/>
      <c r="I548" s="303"/>
      <c r="J548" s="303"/>
      <c r="K548" s="303"/>
      <c r="L548" s="143"/>
      <c r="M548" s="303"/>
      <c r="N548" s="303"/>
      <c r="O548" s="303"/>
      <c r="P548" s="303"/>
      <c r="Q548" s="303"/>
      <c r="R548" s="303"/>
      <c r="S548" s="303"/>
      <c r="T548" s="143"/>
      <c r="U548" s="303"/>
      <c r="V548" s="303"/>
      <c r="W548" s="303"/>
      <c r="X548" s="303"/>
      <c r="Y548" s="303"/>
      <c r="Z548" s="303"/>
      <c r="AA548" s="303"/>
      <c r="AB548" s="143"/>
      <c r="AC548" s="303"/>
      <c r="AD548" s="303"/>
      <c r="AE548" s="303"/>
      <c r="AF548" s="303"/>
      <c r="AG548" s="303"/>
      <c r="AH548" s="303"/>
      <c r="AI548" s="143"/>
      <c r="AJ548" s="125"/>
      <c r="AK548" s="125"/>
      <c r="AL548" s="125"/>
      <c r="AM548" s="125"/>
    </row>
    <row r="549" spans="1:39" ht="12.75" x14ac:dyDescent="0.2">
      <c r="A549" s="303"/>
      <c r="B549" s="303"/>
      <c r="C549" s="303"/>
      <c r="D549" s="143"/>
      <c r="E549" s="303"/>
      <c r="F549" s="303"/>
      <c r="G549" s="303"/>
      <c r="H549" s="303"/>
      <c r="I549" s="303"/>
      <c r="J549" s="303"/>
      <c r="K549" s="303"/>
      <c r="L549" s="143"/>
      <c r="M549" s="303"/>
      <c r="N549" s="303"/>
      <c r="O549" s="303"/>
      <c r="P549" s="303"/>
      <c r="Q549" s="303"/>
      <c r="R549" s="303"/>
      <c r="S549" s="303"/>
      <c r="T549" s="143"/>
      <c r="U549" s="303"/>
      <c r="V549" s="303"/>
      <c r="W549" s="303"/>
      <c r="X549" s="303"/>
      <c r="Y549" s="303"/>
      <c r="Z549" s="303"/>
      <c r="AA549" s="303"/>
      <c r="AB549" s="143"/>
      <c r="AC549" s="303"/>
      <c r="AD549" s="303"/>
      <c r="AE549" s="303"/>
      <c r="AF549" s="303"/>
      <c r="AG549" s="303"/>
      <c r="AH549" s="303"/>
      <c r="AI549" s="143"/>
      <c r="AJ549" s="125"/>
      <c r="AK549" s="125"/>
      <c r="AL549" s="125"/>
      <c r="AM549" s="125"/>
    </row>
    <row r="550" spans="1:39" ht="12.75" x14ac:dyDescent="0.2">
      <c r="A550" s="303"/>
      <c r="B550" s="303"/>
      <c r="C550" s="303"/>
      <c r="D550" s="143"/>
      <c r="E550" s="303"/>
      <c r="F550" s="303"/>
      <c r="G550" s="303"/>
      <c r="H550" s="303"/>
      <c r="I550" s="303"/>
      <c r="J550" s="303"/>
      <c r="K550" s="303"/>
      <c r="L550" s="143"/>
      <c r="M550" s="303"/>
      <c r="N550" s="303"/>
      <c r="O550" s="303"/>
      <c r="P550" s="303"/>
      <c r="Q550" s="303"/>
      <c r="R550" s="303"/>
      <c r="S550" s="303"/>
      <c r="T550" s="143"/>
      <c r="U550" s="303"/>
      <c r="V550" s="303"/>
      <c r="W550" s="303"/>
      <c r="X550" s="303"/>
      <c r="Y550" s="303"/>
      <c r="Z550" s="303"/>
      <c r="AA550" s="303"/>
      <c r="AB550" s="143"/>
      <c r="AC550" s="303"/>
      <c r="AD550" s="303"/>
      <c r="AE550" s="303"/>
      <c r="AF550" s="303"/>
      <c r="AG550" s="303"/>
      <c r="AH550" s="303"/>
      <c r="AI550" s="143"/>
      <c r="AJ550" s="125"/>
      <c r="AK550" s="125"/>
      <c r="AL550" s="125"/>
      <c r="AM550" s="125"/>
    </row>
    <row r="551" spans="1:39" ht="12.75" x14ac:dyDescent="0.2">
      <c r="A551" s="303"/>
      <c r="B551" s="303"/>
      <c r="C551" s="303"/>
      <c r="D551" s="143"/>
      <c r="E551" s="303"/>
      <c r="F551" s="303"/>
      <c r="G551" s="303"/>
      <c r="H551" s="303"/>
      <c r="I551" s="303"/>
      <c r="J551" s="303"/>
      <c r="K551" s="303"/>
      <c r="L551" s="143"/>
      <c r="M551" s="303"/>
      <c r="N551" s="303"/>
      <c r="O551" s="303"/>
      <c r="P551" s="303"/>
      <c r="Q551" s="303"/>
      <c r="R551" s="303"/>
      <c r="S551" s="303"/>
      <c r="T551" s="143"/>
      <c r="U551" s="303"/>
      <c r="V551" s="303"/>
      <c r="W551" s="303"/>
      <c r="X551" s="303"/>
      <c r="Y551" s="303"/>
      <c r="Z551" s="303"/>
      <c r="AA551" s="303"/>
      <c r="AB551" s="143"/>
      <c r="AC551" s="303"/>
      <c r="AD551" s="303"/>
      <c r="AE551" s="303"/>
      <c r="AF551" s="303"/>
      <c r="AG551" s="303"/>
      <c r="AH551" s="303"/>
      <c r="AI551" s="143"/>
      <c r="AJ551" s="125"/>
      <c r="AK551" s="125"/>
      <c r="AL551" s="125"/>
      <c r="AM551" s="125"/>
    </row>
    <row r="552" spans="1:39" ht="12.75" x14ac:dyDescent="0.2">
      <c r="A552" s="303"/>
      <c r="B552" s="303"/>
      <c r="C552" s="303"/>
      <c r="D552" s="143"/>
      <c r="E552" s="303"/>
      <c r="F552" s="303"/>
      <c r="G552" s="303"/>
      <c r="H552" s="303"/>
      <c r="I552" s="303"/>
      <c r="J552" s="303"/>
      <c r="K552" s="303"/>
      <c r="L552" s="143"/>
      <c r="M552" s="303"/>
      <c r="N552" s="303"/>
      <c r="O552" s="303"/>
      <c r="P552" s="303"/>
      <c r="Q552" s="303"/>
      <c r="R552" s="303"/>
      <c r="S552" s="303"/>
      <c r="T552" s="143"/>
      <c r="U552" s="303"/>
      <c r="V552" s="303"/>
      <c r="W552" s="303"/>
      <c r="X552" s="303"/>
      <c r="Y552" s="303"/>
      <c r="Z552" s="303"/>
      <c r="AA552" s="303"/>
      <c r="AB552" s="143"/>
      <c r="AC552" s="303"/>
      <c r="AD552" s="303"/>
      <c r="AE552" s="303"/>
      <c r="AF552" s="303"/>
      <c r="AG552" s="303"/>
      <c r="AH552" s="303"/>
      <c r="AI552" s="143"/>
      <c r="AJ552" s="125"/>
      <c r="AK552" s="125"/>
      <c r="AL552" s="125"/>
      <c r="AM552" s="125"/>
    </row>
    <row r="553" spans="1:39" ht="12.75" x14ac:dyDescent="0.2">
      <c r="A553" s="303"/>
      <c r="B553" s="303"/>
      <c r="C553" s="303"/>
      <c r="D553" s="143"/>
      <c r="E553" s="303"/>
      <c r="F553" s="303"/>
      <c r="G553" s="303"/>
      <c r="H553" s="303"/>
      <c r="I553" s="303"/>
      <c r="J553" s="303"/>
      <c r="K553" s="303"/>
      <c r="L553" s="143"/>
      <c r="M553" s="303"/>
      <c r="N553" s="303"/>
      <c r="O553" s="303"/>
      <c r="P553" s="303"/>
      <c r="Q553" s="303"/>
      <c r="R553" s="303"/>
      <c r="S553" s="303"/>
      <c r="T553" s="143"/>
      <c r="U553" s="303"/>
      <c r="V553" s="303"/>
      <c r="W553" s="303"/>
      <c r="X553" s="303"/>
      <c r="Y553" s="303"/>
      <c r="Z553" s="303"/>
      <c r="AA553" s="303"/>
      <c r="AB553" s="143"/>
      <c r="AC553" s="303"/>
      <c r="AD553" s="303"/>
      <c r="AE553" s="303"/>
      <c r="AF553" s="303"/>
      <c r="AG553" s="303"/>
      <c r="AH553" s="303"/>
      <c r="AI553" s="143"/>
      <c r="AJ553" s="125"/>
      <c r="AK553" s="125"/>
      <c r="AL553" s="125"/>
      <c r="AM553" s="125"/>
    </row>
    <row r="554" spans="1:39" ht="12.75" x14ac:dyDescent="0.2">
      <c r="A554" s="303"/>
      <c r="B554" s="303"/>
      <c r="C554" s="303"/>
      <c r="D554" s="143"/>
      <c r="E554" s="303"/>
      <c r="F554" s="303"/>
      <c r="G554" s="303"/>
      <c r="H554" s="303"/>
      <c r="I554" s="303"/>
      <c r="J554" s="303"/>
      <c r="K554" s="303"/>
      <c r="L554" s="143"/>
      <c r="M554" s="303"/>
      <c r="N554" s="303"/>
      <c r="O554" s="303"/>
      <c r="P554" s="303"/>
      <c r="Q554" s="303"/>
      <c r="R554" s="303"/>
      <c r="S554" s="303"/>
      <c r="T554" s="143"/>
      <c r="U554" s="303"/>
      <c r="V554" s="303"/>
      <c r="W554" s="303"/>
      <c r="X554" s="303"/>
      <c r="Y554" s="303"/>
      <c r="Z554" s="303"/>
      <c r="AA554" s="303"/>
      <c r="AB554" s="143"/>
      <c r="AC554" s="303"/>
      <c r="AD554" s="303"/>
      <c r="AE554" s="303"/>
      <c r="AF554" s="303"/>
      <c r="AG554" s="303"/>
      <c r="AH554" s="303"/>
      <c r="AI554" s="143"/>
      <c r="AJ554" s="125"/>
      <c r="AK554" s="125"/>
      <c r="AL554" s="125"/>
      <c r="AM554" s="125"/>
    </row>
    <row r="555" spans="1:39" ht="12.75" x14ac:dyDescent="0.2">
      <c r="A555" s="303"/>
      <c r="B555" s="303"/>
      <c r="C555" s="303"/>
      <c r="D555" s="143"/>
      <c r="E555" s="303"/>
      <c r="F555" s="303"/>
      <c r="G555" s="303"/>
      <c r="H555" s="303"/>
      <c r="I555" s="303"/>
      <c r="J555" s="303"/>
      <c r="K555" s="303"/>
      <c r="L555" s="143"/>
      <c r="M555" s="303"/>
      <c r="N555" s="303"/>
      <c r="O555" s="303"/>
      <c r="P555" s="303"/>
      <c r="Q555" s="303"/>
      <c r="R555" s="303"/>
      <c r="S555" s="303"/>
      <c r="T555" s="143"/>
      <c r="U555" s="303"/>
      <c r="V555" s="303"/>
      <c r="W555" s="303"/>
      <c r="X555" s="303"/>
      <c r="Y555" s="303"/>
      <c r="Z555" s="303"/>
      <c r="AA555" s="303"/>
      <c r="AB555" s="143"/>
      <c r="AC555" s="303"/>
      <c r="AD555" s="303"/>
      <c r="AE555" s="303"/>
      <c r="AF555" s="303"/>
      <c r="AG555" s="303"/>
      <c r="AH555" s="303"/>
      <c r="AI555" s="143"/>
      <c r="AJ555" s="125"/>
      <c r="AK555" s="125"/>
      <c r="AL555" s="125"/>
      <c r="AM555" s="125"/>
    </row>
    <row r="556" spans="1:39" ht="12.75" x14ac:dyDescent="0.2">
      <c r="A556" s="303"/>
      <c r="B556" s="303"/>
      <c r="C556" s="303"/>
      <c r="D556" s="143"/>
      <c r="E556" s="303"/>
      <c r="F556" s="303"/>
      <c r="G556" s="303"/>
      <c r="H556" s="303"/>
      <c r="I556" s="303"/>
      <c r="J556" s="303"/>
      <c r="K556" s="303"/>
      <c r="L556" s="143"/>
      <c r="M556" s="303"/>
      <c r="N556" s="303"/>
      <c r="O556" s="303"/>
      <c r="P556" s="303"/>
      <c r="Q556" s="303"/>
      <c r="R556" s="303"/>
      <c r="S556" s="303"/>
      <c r="T556" s="143"/>
      <c r="U556" s="303"/>
      <c r="V556" s="303"/>
      <c r="W556" s="303"/>
      <c r="X556" s="303"/>
      <c r="Y556" s="303"/>
      <c r="Z556" s="303"/>
      <c r="AA556" s="303"/>
      <c r="AB556" s="143"/>
      <c r="AC556" s="303"/>
      <c r="AD556" s="303"/>
      <c r="AE556" s="303"/>
      <c r="AF556" s="303"/>
      <c r="AG556" s="303"/>
      <c r="AH556" s="303"/>
      <c r="AI556" s="143"/>
      <c r="AJ556" s="125"/>
      <c r="AK556" s="125"/>
      <c r="AL556" s="125"/>
      <c r="AM556" s="125"/>
    </row>
    <row r="557" spans="1:39" ht="12.75" x14ac:dyDescent="0.2">
      <c r="A557" s="303"/>
      <c r="B557" s="303"/>
      <c r="C557" s="303"/>
      <c r="D557" s="143"/>
      <c r="E557" s="303"/>
      <c r="F557" s="303"/>
      <c r="G557" s="303"/>
      <c r="H557" s="303"/>
      <c r="I557" s="303"/>
      <c r="J557" s="303"/>
      <c r="K557" s="303"/>
      <c r="L557" s="143"/>
      <c r="M557" s="303"/>
      <c r="N557" s="303"/>
      <c r="O557" s="303"/>
      <c r="P557" s="303"/>
      <c r="Q557" s="303"/>
      <c r="R557" s="303"/>
      <c r="S557" s="303"/>
      <c r="T557" s="143"/>
      <c r="U557" s="303"/>
      <c r="V557" s="303"/>
      <c r="W557" s="303"/>
      <c r="X557" s="303"/>
      <c r="Y557" s="303"/>
      <c r="Z557" s="303"/>
      <c r="AA557" s="303"/>
      <c r="AB557" s="143"/>
      <c r="AC557" s="303"/>
      <c r="AD557" s="303"/>
      <c r="AE557" s="303"/>
      <c r="AF557" s="303"/>
      <c r="AG557" s="303"/>
      <c r="AH557" s="303"/>
      <c r="AI557" s="143"/>
      <c r="AJ557" s="125"/>
      <c r="AK557" s="125"/>
      <c r="AL557" s="125"/>
      <c r="AM557" s="125"/>
    </row>
    <row r="558" spans="1:39" ht="12.75" x14ac:dyDescent="0.2">
      <c r="A558" s="303"/>
      <c r="B558" s="303"/>
      <c r="C558" s="303"/>
      <c r="D558" s="143"/>
      <c r="E558" s="303"/>
      <c r="F558" s="303"/>
      <c r="G558" s="303"/>
      <c r="H558" s="303"/>
      <c r="I558" s="303"/>
      <c r="J558" s="303"/>
      <c r="K558" s="303"/>
      <c r="L558" s="143"/>
      <c r="M558" s="303"/>
      <c r="N558" s="303"/>
      <c r="O558" s="303"/>
      <c r="P558" s="303"/>
      <c r="Q558" s="303"/>
      <c r="R558" s="303"/>
      <c r="S558" s="303"/>
      <c r="T558" s="143"/>
      <c r="U558" s="303"/>
      <c r="V558" s="303"/>
      <c r="W558" s="303"/>
      <c r="X558" s="303"/>
      <c r="Y558" s="303"/>
      <c r="Z558" s="303"/>
      <c r="AA558" s="303"/>
      <c r="AB558" s="143"/>
      <c r="AC558" s="303"/>
      <c r="AD558" s="303"/>
      <c r="AE558" s="303"/>
      <c r="AF558" s="303"/>
      <c r="AG558" s="303"/>
      <c r="AH558" s="303"/>
      <c r="AI558" s="143"/>
      <c r="AJ558" s="125"/>
      <c r="AK558" s="125"/>
      <c r="AL558" s="125"/>
      <c r="AM558" s="125"/>
    </row>
    <row r="559" spans="1:39" ht="12.75" x14ac:dyDescent="0.2">
      <c r="A559" s="303"/>
      <c r="B559" s="303"/>
      <c r="C559" s="303"/>
      <c r="D559" s="143"/>
      <c r="E559" s="303"/>
      <c r="F559" s="303"/>
      <c r="G559" s="303"/>
      <c r="H559" s="303"/>
      <c r="I559" s="303"/>
      <c r="J559" s="303"/>
      <c r="K559" s="303"/>
      <c r="L559" s="143"/>
      <c r="M559" s="303"/>
      <c r="N559" s="303"/>
      <c r="O559" s="303"/>
      <c r="P559" s="303"/>
      <c r="Q559" s="303"/>
      <c r="R559" s="303"/>
      <c r="S559" s="303"/>
      <c r="T559" s="143"/>
      <c r="U559" s="303"/>
      <c r="V559" s="303"/>
      <c r="W559" s="303"/>
      <c r="X559" s="303"/>
      <c r="Y559" s="303"/>
      <c r="Z559" s="303"/>
      <c r="AA559" s="303"/>
      <c r="AB559" s="143"/>
      <c r="AC559" s="303"/>
      <c r="AD559" s="303"/>
      <c r="AE559" s="303"/>
      <c r="AF559" s="303"/>
      <c r="AG559" s="303"/>
      <c r="AH559" s="303"/>
      <c r="AI559" s="143"/>
      <c r="AJ559" s="125"/>
      <c r="AK559" s="125"/>
      <c r="AL559" s="125"/>
      <c r="AM559" s="125"/>
    </row>
    <row r="560" spans="1:39" ht="12.75" x14ac:dyDescent="0.2">
      <c r="A560" s="303"/>
      <c r="B560" s="303"/>
      <c r="C560" s="303"/>
      <c r="D560" s="143"/>
      <c r="E560" s="303"/>
      <c r="F560" s="303"/>
      <c r="G560" s="303"/>
      <c r="H560" s="303"/>
      <c r="I560" s="303"/>
      <c r="J560" s="303"/>
      <c r="K560" s="303"/>
      <c r="L560" s="143"/>
      <c r="M560" s="303"/>
      <c r="N560" s="303"/>
      <c r="O560" s="303"/>
      <c r="P560" s="303"/>
      <c r="Q560" s="303"/>
      <c r="R560" s="303"/>
      <c r="S560" s="303"/>
      <c r="T560" s="143"/>
      <c r="U560" s="303"/>
      <c r="V560" s="303"/>
      <c r="W560" s="303"/>
      <c r="X560" s="303"/>
      <c r="Y560" s="303"/>
      <c r="Z560" s="303"/>
      <c r="AA560" s="303"/>
      <c r="AB560" s="143"/>
      <c r="AC560" s="303"/>
      <c r="AD560" s="303"/>
      <c r="AE560" s="303"/>
      <c r="AF560" s="303"/>
      <c r="AG560" s="303"/>
      <c r="AH560" s="303"/>
      <c r="AI560" s="143"/>
      <c r="AJ560" s="125"/>
      <c r="AK560" s="125"/>
      <c r="AL560" s="125"/>
      <c r="AM560" s="125"/>
    </row>
    <row r="561" spans="1:39" ht="12.75" x14ac:dyDescent="0.2">
      <c r="A561" s="303"/>
      <c r="B561" s="303"/>
      <c r="C561" s="303"/>
      <c r="D561" s="143"/>
      <c r="E561" s="303"/>
      <c r="F561" s="303"/>
      <c r="G561" s="303"/>
      <c r="H561" s="303"/>
      <c r="I561" s="303"/>
      <c r="J561" s="303"/>
      <c r="K561" s="303"/>
      <c r="L561" s="143"/>
      <c r="M561" s="303"/>
      <c r="N561" s="303"/>
      <c r="O561" s="303"/>
      <c r="P561" s="303"/>
      <c r="Q561" s="303"/>
      <c r="R561" s="303"/>
      <c r="S561" s="303"/>
      <c r="T561" s="143"/>
      <c r="U561" s="303"/>
      <c r="V561" s="303"/>
      <c r="W561" s="303"/>
      <c r="X561" s="303"/>
      <c r="Y561" s="303"/>
      <c r="Z561" s="303"/>
      <c r="AA561" s="303"/>
      <c r="AB561" s="143"/>
      <c r="AC561" s="303"/>
      <c r="AD561" s="303"/>
      <c r="AE561" s="303"/>
      <c r="AF561" s="303"/>
      <c r="AG561" s="303"/>
      <c r="AH561" s="303"/>
      <c r="AI561" s="143"/>
      <c r="AJ561" s="125"/>
      <c r="AK561" s="125"/>
      <c r="AL561" s="125"/>
      <c r="AM561" s="125"/>
    </row>
    <row r="562" spans="1:39" ht="12.75" x14ac:dyDescent="0.2">
      <c r="A562" s="303"/>
      <c r="B562" s="303"/>
      <c r="C562" s="303"/>
      <c r="D562" s="143"/>
      <c r="E562" s="303"/>
      <c r="F562" s="303"/>
      <c r="G562" s="303"/>
      <c r="H562" s="303"/>
      <c r="I562" s="303"/>
      <c r="J562" s="303"/>
      <c r="K562" s="303"/>
      <c r="L562" s="143"/>
      <c r="M562" s="303"/>
      <c r="N562" s="303"/>
      <c r="O562" s="303"/>
      <c r="P562" s="303"/>
      <c r="Q562" s="303"/>
      <c r="R562" s="303"/>
      <c r="S562" s="303"/>
      <c r="T562" s="143"/>
      <c r="U562" s="303"/>
      <c r="V562" s="303"/>
      <c r="W562" s="303"/>
      <c r="X562" s="303"/>
      <c r="Y562" s="303"/>
      <c r="Z562" s="303"/>
      <c r="AA562" s="303"/>
      <c r="AB562" s="143"/>
      <c r="AC562" s="303"/>
      <c r="AD562" s="303"/>
      <c r="AE562" s="303"/>
      <c r="AF562" s="303"/>
      <c r="AG562" s="303"/>
      <c r="AH562" s="303"/>
      <c r="AI562" s="143"/>
      <c r="AJ562" s="125"/>
      <c r="AK562" s="125"/>
      <c r="AL562" s="125"/>
      <c r="AM562" s="125"/>
    </row>
    <row r="563" spans="1:39" ht="12.75" x14ac:dyDescent="0.2">
      <c r="A563" s="303"/>
      <c r="B563" s="303"/>
      <c r="C563" s="303"/>
      <c r="D563" s="143"/>
      <c r="E563" s="303"/>
      <c r="F563" s="303"/>
      <c r="G563" s="303"/>
      <c r="H563" s="303"/>
      <c r="I563" s="303"/>
      <c r="J563" s="303"/>
      <c r="K563" s="303"/>
      <c r="L563" s="143"/>
      <c r="M563" s="303"/>
      <c r="N563" s="303"/>
      <c r="O563" s="303"/>
      <c r="P563" s="303"/>
      <c r="Q563" s="303"/>
      <c r="R563" s="303"/>
      <c r="S563" s="303"/>
      <c r="T563" s="143"/>
      <c r="U563" s="303"/>
      <c r="V563" s="303"/>
      <c r="W563" s="303"/>
      <c r="X563" s="303"/>
      <c r="Y563" s="303"/>
      <c r="Z563" s="303"/>
      <c r="AA563" s="303"/>
      <c r="AB563" s="143"/>
      <c r="AC563" s="303"/>
      <c r="AD563" s="303"/>
      <c r="AE563" s="303"/>
      <c r="AF563" s="303"/>
      <c r="AG563" s="303"/>
      <c r="AH563" s="303"/>
      <c r="AI563" s="143"/>
      <c r="AJ563" s="125"/>
      <c r="AK563" s="125"/>
      <c r="AL563" s="125"/>
      <c r="AM563" s="125"/>
    </row>
    <row r="564" spans="1:39" ht="12.75" x14ac:dyDescent="0.2">
      <c r="A564" s="303"/>
      <c r="B564" s="303"/>
      <c r="C564" s="303"/>
      <c r="D564" s="143"/>
      <c r="E564" s="303"/>
      <c r="F564" s="303"/>
      <c r="G564" s="303"/>
      <c r="H564" s="303"/>
      <c r="I564" s="303"/>
      <c r="J564" s="303"/>
      <c r="K564" s="303"/>
      <c r="L564" s="143"/>
      <c r="M564" s="303"/>
      <c r="N564" s="303"/>
      <c r="O564" s="303"/>
      <c r="P564" s="303"/>
      <c r="Q564" s="303"/>
      <c r="R564" s="303"/>
      <c r="S564" s="303"/>
      <c r="T564" s="143"/>
      <c r="U564" s="303"/>
      <c r="V564" s="303"/>
      <c r="W564" s="303"/>
      <c r="X564" s="303"/>
      <c r="Y564" s="303"/>
      <c r="Z564" s="303"/>
      <c r="AA564" s="303"/>
      <c r="AB564" s="143"/>
      <c r="AC564" s="303"/>
      <c r="AD564" s="303"/>
      <c r="AE564" s="303"/>
      <c r="AF564" s="303"/>
      <c r="AG564" s="303"/>
      <c r="AH564" s="303"/>
      <c r="AI564" s="143"/>
      <c r="AJ564" s="125"/>
      <c r="AK564" s="125"/>
      <c r="AL564" s="125"/>
      <c r="AM564" s="125"/>
    </row>
    <row r="565" spans="1:39" ht="12.75" x14ac:dyDescent="0.2">
      <c r="A565" s="303"/>
      <c r="B565" s="303"/>
      <c r="C565" s="303"/>
      <c r="D565" s="143"/>
      <c r="E565" s="303"/>
      <c r="F565" s="303"/>
      <c r="G565" s="303"/>
      <c r="H565" s="303"/>
      <c r="I565" s="303"/>
      <c r="J565" s="303"/>
      <c r="K565" s="303"/>
      <c r="L565" s="143"/>
      <c r="M565" s="303"/>
      <c r="N565" s="303"/>
      <c r="O565" s="303"/>
      <c r="P565" s="303"/>
      <c r="Q565" s="303"/>
      <c r="R565" s="303"/>
      <c r="S565" s="303"/>
      <c r="T565" s="143"/>
      <c r="U565" s="303"/>
      <c r="V565" s="303"/>
      <c r="W565" s="303"/>
      <c r="X565" s="303"/>
      <c r="Y565" s="303"/>
      <c r="Z565" s="303"/>
      <c r="AA565" s="303"/>
      <c r="AB565" s="143"/>
      <c r="AC565" s="303"/>
      <c r="AD565" s="303"/>
      <c r="AE565" s="303"/>
      <c r="AF565" s="303"/>
      <c r="AG565" s="303"/>
      <c r="AH565" s="303"/>
      <c r="AI565" s="143"/>
      <c r="AJ565" s="125"/>
      <c r="AK565" s="125"/>
      <c r="AL565" s="125"/>
      <c r="AM565" s="125"/>
    </row>
    <row r="566" spans="1:39" ht="12.75" x14ac:dyDescent="0.2">
      <c r="A566" s="303"/>
      <c r="B566" s="303"/>
      <c r="C566" s="303"/>
      <c r="D566" s="143"/>
      <c r="E566" s="303"/>
      <c r="F566" s="303"/>
      <c r="G566" s="303"/>
      <c r="H566" s="303"/>
      <c r="I566" s="303"/>
      <c r="J566" s="303"/>
      <c r="K566" s="303"/>
      <c r="L566" s="143"/>
      <c r="M566" s="303"/>
      <c r="N566" s="303"/>
      <c r="O566" s="303"/>
      <c r="P566" s="303"/>
      <c r="Q566" s="303"/>
      <c r="R566" s="303"/>
      <c r="S566" s="303"/>
      <c r="T566" s="143"/>
      <c r="U566" s="303"/>
      <c r="V566" s="303"/>
      <c r="W566" s="303"/>
      <c r="X566" s="303"/>
      <c r="Y566" s="303"/>
      <c r="Z566" s="303"/>
      <c r="AA566" s="303"/>
      <c r="AB566" s="143"/>
      <c r="AC566" s="303"/>
      <c r="AD566" s="303"/>
      <c r="AE566" s="303"/>
      <c r="AF566" s="303"/>
      <c r="AG566" s="303"/>
      <c r="AH566" s="303"/>
      <c r="AI566" s="143"/>
      <c r="AJ566" s="125"/>
      <c r="AK566" s="125"/>
      <c r="AL566" s="125"/>
      <c r="AM566" s="125"/>
    </row>
    <row r="567" spans="1:39" ht="12.75" x14ac:dyDescent="0.2">
      <c r="A567" s="303"/>
      <c r="B567" s="303"/>
      <c r="C567" s="303"/>
      <c r="D567" s="143"/>
      <c r="E567" s="303"/>
      <c r="F567" s="303"/>
      <c r="G567" s="303"/>
      <c r="H567" s="303"/>
      <c r="I567" s="303"/>
      <c r="J567" s="303"/>
      <c r="K567" s="303"/>
      <c r="L567" s="143"/>
      <c r="M567" s="303"/>
      <c r="N567" s="303"/>
      <c r="O567" s="303"/>
      <c r="P567" s="303"/>
      <c r="Q567" s="303"/>
      <c r="R567" s="303"/>
      <c r="S567" s="303"/>
      <c r="T567" s="143"/>
      <c r="U567" s="303"/>
      <c r="V567" s="303"/>
      <c r="W567" s="303"/>
      <c r="X567" s="303"/>
      <c r="Y567" s="303"/>
      <c r="Z567" s="303"/>
      <c r="AA567" s="303"/>
      <c r="AB567" s="143"/>
      <c r="AC567" s="303"/>
      <c r="AD567" s="303"/>
      <c r="AE567" s="303"/>
      <c r="AF567" s="303"/>
      <c r="AG567" s="303"/>
      <c r="AH567" s="303"/>
      <c r="AI567" s="143"/>
      <c r="AJ567" s="125"/>
      <c r="AK567" s="125"/>
      <c r="AL567" s="125"/>
      <c r="AM567" s="125"/>
    </row>
    <row r="568" spans="1:39" ht="12.75" x14ac:dyDescent="0.2">
      <c r="A568" s="303"/>
      <c r="B568" s="303"/>
      <c r="C568" s="303"/>
      <c r="D568" s="143"/>
      <c r="E568" s="303"/>
      <c r="F568" s="303"/>
      <c r="G568" s="303"/>
      <c r="H568" s="303"/>
      <c r="I568" s="303"/>
      <c r="J568" s="303"/>
      <c r="K568" s="303"/>
      <c r="L568" s="143"/>
      <c r="M568" s="303"/>
      <c r="N568" s="303"/>
      <c r="O568" s="303"/>
      <c r="P568" s="303"/>
      <c r="Q568" s="303"/>
      <c r="R568" s="303"/>
      <c r="S568" s="303"/>
      <c r="T568" s="143"/>
      <c r="U568" s="303"/>
      <c r="V568" s="303"/>
      <c r="W568" s="303"/>
      <c r="X568" s="303"/>
      <c r="Y568" s="303"/>
      <c r="Z568" s="303"/>
      <c r="AA568" s="303"/>
      <c r="AB568" s="143"/>
      <c r="AC568" s="303"/>
      <c r="AD568" s="303"/>
      <c r="AE568" s="303"/>
      <c r="AF568" s="303"/>
      <c r="AG568" s="303"/>
      <c r="AH568" s="303"/>
      <c r="AI568" s="143"/>
      <c r="AJ568" s="125"/>
      <c r="AK568" s="125"/>
      <c r="AL568" s="125"/>
      <c r="AM568" s="125"/>
    </row>
    <row r="569" spans="1:39" ht="12.75" x14ac:dyDescent="0.2">
      <c r="A569" s="303"/>
      <c r="B569" s="303"/>
      <c r="C569" s="303"/>
      <c r="D569" s="143"/>
      <c r="E569" s="303"/>
      <c r="F569" s="303"/>
      <c r="G569" s="303"/>
      <c r="H569" s="303"/>
      <c r="I569" s="303"/>
      <c r="J569" s="303"/>
      <c r="K569" s="303"/>
      <c r="L569" s="143"/>
      <c r="M569" s="303"/>
      <c r="N569" s="303"/>
      <c r="O569" s="303"/>
      <c r="P569" s="303"/>
      <c r="Q569" s="303"/>
      <c r="R569" s="303"/>
      <c r="S569" s="303"/>
      <c r="T569" s="143"/>
      <c r="U569" s="303"/>
      <c r="V569" s="303"/>
      <c r="W569" s="303"/>
      <c r="X569" s="303"/>
      <c r="Y569" s="303"/>
      <c r="Z569" s="303"/>
      <c r="AA569" s="303"/>
      <c r="AB569" s="143"/>
      <c r="AC569" s="303"/>
      <c r="AD569" s="303"/>
      <c r="AE569" s="303"/>
      <c r="AF569" s="303"/>
      <c r="AG569" s="303"/>
      <c r="AH569" s="303"/>
      <c r="AI569" s="143"/>
      <c r="AJ569" s="125"/>
      <c r="AK569" s="125"/>
      <c r="AL569" s="125"/>
      <c r="AM569" s="125"/>
    </row>
    <row r="570" spans="1:39" ht="12.75" x14ac:dyDescent="0.2">
      <c r="A570" s="303"/>
      <c r="B570" s="303"/>
      <c r="C570" s="303"/>
      <c r="D570" s="143"/>
      <c r="E570" s="303"/>
      <c r="F570" s="303"/>
      <c r="G570" s="303"/>
      <c r="H570" s="303"/>
      <c r="I570" s="303"/>
      <c r="J570" s="303"/>
      <c r="K570" s="303"/>
      <c r="L570" s="143"/>
      <c r="M570" s="303"/>
      <c r="N570" s="303"/>
      <c r="O570" s="303"/>
      <c r="P570" s="303"/>
      <c r="Q570" s="303"/>
      <c r="R570" s="303"/>
      <c r="S570" s="303"/>
      <c r="T570" s="143"/>
      <c r="U570" s="303"/>
      <c r="V570" s="303"/>
      <c r="W570" s="303"/>
      <c r="X570" s="303"/>
      <c r="Y570" s="303"/>
      <c r="Z570" s="303"/>
      <c r="AA570" s="303"/>
      <c r="AB570" s="143"/>
      <c r="AC570" s="303"/>
      <c r="AD570" s="303"/>
      <c r="AE570" s="303"/>
      <c r="AF570" s="303"/>
      <c r="AG570" s="303"/>
      <c r="AH570" s="303"/>
      <c r="AI570" s="143"/>
      <c r="AJ570" s="125"/>
      <c r="AK570" s="125"/>
      <c r="AL570" s="125"/>
      <c r="AM570" s="125"/>
    </row>
    <row r="571" spans="1:39" ht="12.75" x14ac:dyDescent="0.2">
      <c r="A571" s="303"/>
      <c r="B571" s="303"/>
      <c r="C571" s="303"/>
      <c r="D571" s="143"/>
      <c r="E571" s="303"/>
      <c r="F571" s="303"/>
      <c r="G571" s="303"/>
      <c r="H571" s="303"/>
      <c r="I571" s="303"/>
      <c r="J571" s="303"/>
      <c r="K571" s="303"/>
      <c r="L571" s="143"/>
      <c r="M571" s="303"/>
      <c r="N571" s="303"/>
      <c r="O571" s="303"/>
      <c r="P571" s="303"/>
      <c r="Q571" s="303"/>
      <c r="R571" s="303"/>
      <c r="S571" s="303"/>
      <c r="T571" s="143"/>
      <c r="U571" s="303"/>
      <c r="V571" s="303"/>
      <c r="W571" s="303"/>
      <c r="X571" s="303"/>
      <c r="Y571" s="303"/>
      <c r="Z571" s="303"/>
      <c r="AA571" s="303"/>
      <c r="AB571" s="143"/>
      <c r="AC571" s="303"/>
      <c r="AD571" s="303"/>
      <c r="AE571" s="303"/>
      <c r="AF571" s="303"/>
      <c r="AG571" s="303"/>
      <c r="AH571" s="303"/>
      <c r="AI571" s="143"/>
      <c r="AJ571" s="125"/>
      <c r="AK571" s="125"/>
      <c r="AL571" s="125"/>
      <c r="AM571" s="125"/>
    </row>
    <row r="572" spans="1:39" ht="12.75" x14ac:dyDescent="0.2">
      <c r="A572" s="303"/>
      <c r="B572" s="303"/>
      <c r="C572" s="303"/>
      <c r="D572" s="143"/>
      <c r="E572" s="303"/>
      <c r="F572" s="303"/>
      <c r="G572" s="303"/>
      <c r="H572" s="303"/>
      <c r="I572" s="303"/>
      <c r="J572" s="303"/>
      <c r="K572" s="303"/>
      <c r="L572" s="143"/>
      <c r="M572" s="303"/>
      <c r="N572" s="303"/>
      <c r="O572" s="303"/>
      <c r="P572" s="303"/>
      <c r="Q572" s="303"/>
      <c r="R572" s="303"/>
      <c r="S572" s="303"/>
      <c r="T572" s="143"/>
      <c r="U572" s="303"/>
      <c r="V572" s="303"/>
      <c r="W572" s="303"/>
      <c r="X572" s="303"/>
      <c r="Y572" s="303"/>
      <c r="Z572" s="303"/>
      <c r="AA572" s="303"/>
      <c r="AB572" s="143"/>
      <c r="AC572" s="303"/>
      <c r="AD572" s="303"/>
      <c r="AE572" s="303"/>
      <c r="AF572" s="303"/>
      <c r="AG572" s="303"/>
      <c r="AH572" s="303"/>
      <c r="AI572" s="143"/>
      <c r="AJ572" s="125"/>
      <c r="AK572" s="125"/>
      <c r="AL572" s="125"/>
      <c r="AM572" s="125"/>
    </row>
    <row r="573" spans="1:39" ht="12.75" x14ac:dyDescent="0.2">
      <c r="A573" s="303"/>
      <c r="B573" s="303"/>
      <c r="C573" s="303"/>
      <c r="D573" s="143"/>
      <c r="E573" s="303"/>
      <c r="F573" s="303"/>
      <c r="G573" s="303"/>
      <c r="H573" s="303"/>
      <c r="I573" s="303"/>
      <c r="J573" s="303"/>
      <c r="K573" s="303"/>
      <c r="L573" s="143"/>
      <c r="M573" s="303"/>
      <c r="N573" s="303"/>
      <c r="O573" s="303"/>
      <c r="P573" s="303"/>
      <c r="Q573" s="303"/>
      <c r="R573" s="303"/>
      <c r="S573" s="303"/>
      <c r="T573" s="143"/>
      <c r="U573" s="303"/>
      <c r="V573" s="303"/>
      <c r="W573" s="303"/>
      <c r="X573" s="303"/>
      <c r="Y573" s="303"/>
      <c r="Z573" s="303"/>
      <c r="AA573" s="303"/>
      <c r="AB573" s="143"/>
      <c r="AC573" s="303"/>
      <c r="AD573" s="303"/>
      <c r="AE573" s="303"/>
      <c r="AF573" s="303"/>
      <c r="AG573" s="303"/>
      <c r="AH573" s="303"/>
      <c r="AI573" s="143"/>
      <c r="AJ573" s="125"/>
      <c r="AK573" s="125"/>
      <c r="AL573" s="125"/>
      <c r="AM573" s="125"/>
    </row>
    <row r="574" spans="1:39" ht="12.75" x14ac:dyDescent="0.2">
      <c r="A574" s="303"/>
      <c r="B574" s="303"/>
      <c r="C574" s="303"/>
      <c r="D574" s="143"/>
      <c r="E574" s="303"/>
      <c r="F574" s="303"/>
      <c r="G574" s="303"/>
      <c r="H574" s="303"/>
      <c r="I574" s="303"/>
      <c r="J574" s="303"/>
      <c r="K574" s="303"/>
      <c r="L574" s="143"/>
      <c r="M574" s="303"/>
      <c r="N574" s="303"/>
      <c r="O574" s="303"/>
      <c r="P574" s="303"/>
      <c r="Q574" s="303"/>
      <c r="R574" s="303"/>
      <c r="S574" s="303"/>
      <c r="T574" s="143"/>
      <c r="U574" s="303"/>
      <c r="V574" s="303"/>
      <c r="W574" s="303"/>
      <c r="X574" s="303"/>
      <c r="Y574" s="303"/>
      <c r="Z574" s="303"/>
      <c r="AA574" s="303"/>
      <c r="AB574" s="143"/>
      <c r="AC574" s="303"/>
      <c r="AD574" s="303"/>
      <c r="AE574" s="303"/>
      <c r="AF574" s="303"/>
      <c r="AG574" s="303"/>
      <c r="AH574" s="303"/>
      <c r="AI574" s="143"/>
      <c r="AJ574" s="125"/>
      <c r="AK574" s="125"/>
      <c r="AL574" s="125"/>
      <c r="AM574" s="125"/>
    </row>
    <row r="575" spans="1:39" ht="12.75" x14ac:dyDescent="0.2">
      <c r="A575" s="303"/>
      <c r="B575" s="303"/>
      <c r="C575" s="303"/>
      <c r="D575" s="143"/>
      <c r="E575" s="303"/>
      <c r="F575" s="303"/>
      <c r="G575" s="303"/>
      <c r="H575" s="303"/>
      <c r="I575" s="303"/>
      <c r="J575" s="303"/>
      <c r="K575" s="303"/>
      <c r="L575" s="143"/>
      <c r="M575" s="303"/>
      <c r="N575" s="303"/>
      <c r="O575" s="303"/>
      <c r="P575" s="303"/>
      <c r="Q575" s="303"/>
      <c r="R575" s="303"/>
      <c r="S575" s="303"/>
      <c r="T575" s="143"/>
      <c r="U575" s="303"/>
      <c r="V575" s="303"/>
      <c r="W575" s="303"/>
      <c r="X575" s="303"/>
      <c r="Y575" s="303"/>
      <c r="Z575" s="303"/>
      <c r="AA575" s="303"/>
      <c r="AB575" s="143"/>
      <c r="AC575" s="303"/>
      <c r="AD575" s="303"/>
      <c r="AE575" s="303"/>
      <c r="AF575" s="303"/>
      <c r="AG575" s="303"/>
      <c r="AH575" s="303"/>
      <c r="AI575" s="143"/>
      <c r="AJ575" s="125"/>
      <c r="AK575" s="125"/>
      <c r="AL575" s="125"/>
      <c r="AM575" s="125"/>
    </row>
    <row r="576" spans="1:39" ht="12.75" x14ac:dyDescent="0.2">
      <c r="A576" s="303"/>
      <c r="B576" s="303"/>
      <c r="C576" s="303"/>
      <c r="D576" s="143"/>
      <c r="E576" s="303"/>
      <c r="F576" s="303"/>
      <c r="G576" s="303"/>
      <c r="H576" s="303"/>
      <c r="I576" s="303"/>
      <c r="J576" s="303"/>
      <c r="K576" s="303"/>
      <c r="L576" s="143"/>
      <c r="M576" s="303"/>
      <c r="N576" s="303"/>
      <c r="O576" s="303"/>
      <c r="P576" s="303"/>
      <c r="Q576" s="303"/>
      <c r="R576" s="303"/>
      <c r="S576" s="303"/>
      <c r="T576" s="143"/>
      <c r="U576" s="303"/>
      <c r="V576" s="303"/>
      <c r="W576" s="303"/>
      <c r="X576" s="303"/>
      <c r="Y576" s="303"/>
      <c r="Z576" s="303"/>
      <c r="AA576" s="303"/>
      <c r="AB576" s="143"/>
      <c r="AC576" s="303"/>
      <c r="AD576" s="303"/>
      <c r="AE576" s="303"/>
      <c r="AF576" s="303"/>
      <c r="AG576" s="303"/>
      <c r="AH576" s="303"/>
      <c r="AI576" s="143"/>
      <c r="AJ576" s="125"/>
      <c r="AK576" s="125"/>
      <c r="AL576" s="125"/>
      <c r="AM576" s="125"/>
    </row>
    <row r="577" spans="1:39" ht="12.75" x14ac:dyDescent="0.2">
      <c r="A577" s="303"/>
      <c r="B577" s="303"/>
      <c r="C577" s="303"/>
      <c r="D577" s="143"/>
      <c r="E577" s="303"/>
      <c r="F577" s="303"/>
      <c r="G577" s="303"/>
      <c r="H577" s="303"/>
      <c r="I577" s="303"/>
      <c r="J577" s="303"/>
      <c r="K577" s="303"/>
      <c r="L577" s="143"/>
      <c r="M577" s="303"/>
      <c r="N577" s="303"/>
      <c r="O577" s="303"/>
      <c r="P577" s="303"/>
      <c r="Q577" s="303"/>
      <c r="R577" s="303"/>
      <c r="S577" s="303"/>
      <c r="T577" s="143"/>
      <c r="U577" s="303"/>
      <c r="V577" s="303"/>
      <c r="W577" s="303"/>
      <c r="X577" s="303"/>
      <c r="Y577" s="303"/>
      <c r="Z577" s="303"/>
      <c r="AA577" s="303"/>
      <c r="AB577" s="143"/>
      <c r="AC577" s="303"/>
      <c r="AD577" s="303"/>
      <c r="AE577" s="303"/>
      <c r="AF577" s="303"/>
      <c r="AG577" s="303"/>
      <c r="AH577" s="303"/>
      <c r="AI577" s="143"/>
      <c r="AJ577" s="125"/>
      <c r="AK577" s="125"/>
      <c r="AL577" s="125"/>
      <c r="AM577" s="125"/>
    </row>
    <row r="578" spans="1:39" ht="12.75" x14ac:dyDescent="0.2">
      <c r="A578" s="303"/>
      <c r="B578" s="303"/>
      <c r="C578" s="303"/>
      <c r="D578" s="143"/>
      <c r="E578" s="303"/>
      <c r="F578" s="303"/>
      <c r="G578" s="303"/>
      <c r="H578" s="303"/>
      <c r="I578" s="303"/>
      <c r="J578" s="303"/>
      <c r="K578" s="303"/>
      <c r="L578" s="143"/>
      <c r="M578" s="303"/>
      <c r="N578" s="303"/>
      <c r="O578" s="303"/>
      <c r="P578" s="303"/>
      <c r="Q578" s="303"/>
      <c r="R578" s="303"/>
      <c r="S578" s="303"/>
      <c r="T578" s="143"/>
      <c r="U578" s="303"/>
      <c r="V578" s="303"/>
      <c r="W578" s="303"/>
      <c r="X578" s="303"/>
      <c r="Y578" s="303"/>
      <c r="Z578" s="303"/>
      <c r="AA578" s="303"/>
      <c r="AB578" s="143"/>
      <c r="AC578" s="303"/>
      <c r="AD578" s="303"/>
      <c r="AE578" s="303"/>
      <c r="AF578" s="303"/>
      <c r="AG578" s="303"/>
      <c r="AH578" s="303"/>
      <c r="AI578" s="143"/>
      <c r="AJ578" s="125"/>
      <c r="AK578" s="125"/>
      <c r="AL578" s="125"/>
      <c r="AM578" s="125"/>
    </row>
    <row r="579" spans="1:39" ht="12.75" x14ac:dyDescent="0.2">
      <c r="A579" s="303"/>
      <c r="B579" s="303"/>
      <c r="C579" s="303"/>
      <c r="D579" s="143"/>
      <c r="E579" s="303"/>
      <c r="F579" s="303"/>
      <c r="G579" s="303"/>
      <c r="H579" s="303"/>
      <c r="I579" s="303"/>
      <c r="J579" s="303"/>
      <c r="K579" s="303"/>
      <c r="L579" s="143"/>
      <c r="M579" s="303"/>
      <c r="N579" s="303"/>
      <c r="O579" s="303"/>
      <c r="P579" s="303"/>
      <c r="Q579" s="303"/>
      <c r="R579" s="303"/>
      <c r="S579" s="303"/>
      <c r="T579" s="143"/>
      <c r="U579" s="303"/>
      <c r="V579" s="303"/>
      <c r="W579" s="303"/>
      <c r="X579" s="303"/>
      <c r="Y579" s="303"/>
      <c r="Z579" s="303"/>
      <c r="AA579" s="303"/>
      <c r="AB579" s="143"/>
      <c r="AC579" s="303"/>
      <c r="AD579" s="303"/>
      <c r="AE579" s="303"/>
      <c r="AF579" s="303"/>
      <c r="AG579" s="303"/>
      <c r="AH579" s="303"/>
      <c r="AI579" s="143"/>
      <c r="AJ579" s="125"/>
      <c r="AK579" s="125"/>
      <c r="AL579" s="125"/>
      <c r="AM579" s="125"/>
    </row>
    <row r="580" spans="1:39" ht="12.75" x14ac:dyDescent="0.2">
      <c r="A580" s="303"/>
      <c r="B580" s="303"/>
      <c r="C580" s="303"/>
      <c r="D580" s="143"/>
      <c r="E580" s="303"/>
      <c r="F580" s="303"/>
      <c r="G580" s="303"/>
      <c r="H580" s="303"/>
      <c r="I580" s="303"/>
      <c r="J580" s="303"/>
      <c r="K580" s="303"/>
      <c r="L580" s="143"/>
      <c r="M580" s="303"/>
      <c r="N580" s="303"/>
      <c r="O580" s="303"/>
      <c r="P580" s="303"/>
      <c r="Q580" s="303"/>
      <c r="R580" s="303"/>
      <c r="S580" s="303"/>
      <c r="T580" s="143"/>
      <c r="U580" s="303"/>
      <c r="V580" s="303"/>
      <c r="W580" s="303"/>
      <c r="X580" s="303"/>
      <c r="Y580" s="303"/>
      <c r="Z580" s="303"/>
      <c r="AA580" s="303"/>
      <c r="AB580" s="143"/>
      <c r="AC580" s="303"/>
      <c r="AD580" s="303"/>
      <c r="AE580" s="303"/>
      <c r="AF580" s="303"/>
      <c r="AG580" s="303"/>
      <c r="AH580" s="303"/>
      <c r="AI580" s="143"/>
      <c r="AJ580" s="125"/>
      <c r="AK580" s="125"/>
      <c r="AL580" s="125"/>
      <c r="AM580" s="125"/>
    </row>
    <row r="581" spans="1:39" ht="12.75" x14ac:dyDescent="0.2">
      <c r="A581" s="303"/>
      <c r="B581" s="303"/>
      <c r="C581" s="303"/>
      <c r="D581" s="143"/>
      <c r="E581" s="303"/>
      <c r="F581" s="303"/>
      <c r="G581" s="303"/>
      <c r="H581" s="303"/>
      <c r="I581" s="303"/>
      <c r="J581" s="303"/>
      <c r="K581" s="303"/>
      <c r="L581" s="143"/>
      <c r="M581" s="303"/>
      <c r="N581" s="303"/>
      <c r="O581" s="303"/>
      <c r="P581" s="303"/>
      <c r="Q581" s="303"/>
      <c r="R581" s="303"/>
      <c r="S581" s="303"/>
      <c r="T581" s="143"/>
      <c r="U581" s="303"/>
      <c r="V581" s="303"/>
      <c r="W581" s="303"/>
      <c r="X581" s="303"/>
      <c r="Y581" s="303"/>
      <c r="Z581" s="303"/>
      <c r="AA581" s="303"/>
      <c r="AB581" s="143"/>
      <c r="AC581" s="303"/>
      <c r="AD581" s="303"/>
      <c r="AE581" s="303"/>
      <c r="AF581" s="303"/>
      <c r="AG581" s="303"/>
      <c r="AH581" s="303"/>
      <c r="AI581" s="143"/>
      <c r="AJ581" s="125"/>
      <c r="AK581" s="125"/>
      <c r="AL581" s="125"/>
      <c r="AM581" s="125"/>
    </row>
    <row r="582" spans="1:39" ht="12.75" x14ac:dyDescent="0.2">
      <c r="A582" s="303"/>
      <c r="B582" s="303"/>
      <c r="C582" s="303"/>
      <c r="D582" s="143"/>
      <c r="E582" s="303"/>
      <c r="F582" s="303"/>
      <c r="G582" s="303"/>
      <c r="H582" s="303"/>
      <c r="I582" s="303"/>
      <c r="J582" s="303"/>
      <c r="K582" s="303"/>
      <c r="L582" s="143"/>
      <c r="M582" s="303"/>
      <c r="N582" s="303"/>
      <c r="O582" s="303"/>
      <c r="P582" s="303"/>
      <c r="Q582" s="303"/>
      <c r="R582" s="303"/>
      <c r="S582" s="303"/>
      <c r="T582" s="143"/>
      <c r="U582" s="303"/>
      <c r="V582" s="303"/>
      <c r="W582" s="303"/>
      <c r="X582" s="303"/>
      <c r="Y582" s="303"/>
      <c r="Z582" s="303"/>
      <c r="AA582" s="303"/>
      <c r="AB582" s="143"/>
      <c r="AC582" s="303"/>
      <c r="AD582" s="303"/>
      <c r="AE582" s="303"/>
      <c r="AF582" s="303"/>
      <c r="AG582" s="303"/>
      <c r="AH582" s="303"/>
      <c r="AI582" s="143"/>
      <c r="AJ582" s="125"/>
      <c r="AK582" s="125"/>
      <c r="AL582" s="125"/>
      <c r="AM582" s="125"/>
    </row>
    <row r="583" spans="1:39" ht="12.75" x14ac:dyDescent="0.2">
      <c r="A583" s="303"/>
      <c r="B583" s="303"/>
      <c r="C583" s="303"/>
      <c r="D583" s="143"/>
      <c r="E583" s="303"/>
      <c r="F583" s="303"/>
      <c r="G583" s="303"/>
      <c r="H583" s="303"/>
      <c r="I583" s="303"/>
      <c r="J583" s="303"/>
      <c r="K583" s="303"/>
      <c r="L583" s="143"/>
      <c r="M583" s="303"/>
      <c r="N583" s="303"/>
      <c r="O583" s="303"/>
      <c r="P583" s="303"/>
      <c r="Q583" s="303"/>
      <c r="R583" s="303"/>
      <c r="S583" s="303"/>
      <c r="T583" s="143"/>
      <c r="U583" s="303"/>
      <c r="V583" s="303"/>
      <c r="W583" s="303"/>
      <c r="X583" s="303"/>
      <c r="Y583" s="303"/>
      <c r="Z583" s="303"/>
      <c r="AA583" s="303"/>
      <c r="AB583" s="143"/>
      <c r="AC583" s="303"/>
      <c r="AD583" s="303"/>
      <c r="AE583" s="303"/>
      <c r="AF583" s="303"/>
      <c r="AG583" s="303"/>
      <c r="AH583" s="303"/>
      <c r="AI583" s="143"/>
      <c r="AJ583" s="125"/>
      <c r="AK583" s="125"/>
      <c r="AL583" s="125"/>
      <c r="AM583" s="125"/>
    </row>
    <row r="584" spans="1:39" ht="12.75" x14ac:dyDescent="0.2">
      <c r="A584" s="303"/>
      <c r="B584" s="303"/>
      <c r="C584" s="303"/>
      <c r="D584" s="143"/>
      <c r="E584" s="303"/>
      <c r="F584" s="303"/>
      <c r="G584" s="303"/>
      <c r="H584" s="303"/>
      <c r="I584" s="303"/>
      <c r="J584" s="303"/>
      <c r="K584" s="303"/>
      <c r="L584" s="143"/>
      <c r="M584" s="303"/>
      <c r="N584" s="303"/>
      <c r="O584" s="303"/>
      <c r="P584" s="303"/>
      <c r="Q584" s="303"/>
      <c r="R584" s="303"/>
      <c r="S584" s="303"/>
      <c r="T584" s="143"/>
      <c r="U584" s="303"/>
      <c r="V584" s="303"/>
      <c r="W584" s="303"/>
      <c r="X584" s="303"/>
      <c r="Y584" s="303"/>
      <c r="Z584" s="303"/>
      <c r="AA584" s="303"/>
      <c r="AB584" s="143"/>
      <c r="AC584" s="303"/>
      <c r="AD584" s="303"/>
      <c r="AE584" s="303"/>
      <c r="AF584" s="303"/>
      <c r="AG584" s="303"/>
      <c r="AH584" s="303"/>
      <c r="AI584" s="143"/>
      <c r="AJ584" s="125"/>
      <c r="AK584" s="125"/>
      <c r="AL584" s="125"/>
      <c r="AM584" s="125"/>
    </row>
    <row r="585" spans="1:39" ht="12.75" x14ac:dyDescent="0.2">
      <c r="A585" s="303"/>
      <c r="B585" s="303"/>
      <c r="C585" s="303"/>
      <c r="D585" s="143"/>
      <c r="E585" s="303"/>
      <c r="F585" s="303"/>
      <c r="G585" s="303"/>
      <c r="H585" s="303"/>
      <c r="I585" s="303"/>
      <c r="J585" s="303"/>
      <c r="K585" s="303"/>
      <c r="L585" s="143"/>
      <c r="M585" s="303"/>
      <c r="N585" s="303"/>
      <c r="O585" s="303"/>
      <c r="P585" s="303"/>
      <c r="Q585" s="303"/>
      <c r="R585" s="303"/>
      <c r="S585" s="303"/>
      <c r="T585" s="143"/>
      <c r="U585" s="303"/>
      <c r="V585" s="303"/>
      <c r="W585" s="303"/>
      <c r="X585" s="303"/>
      <c r="Y585" s="303"/>
      <c r="Z585" s="303"/>
      <c r="AA585" s="303"/>
      <c r="AB585" s="143"/>
      <c r="AC585" s="303"/>
      <c r="AD585" s="303"/>
      <c r="AE585" s="303"/>
      <c r="AF585" s="303"/>
      <c r="AG585" s="303"/>
      <c r="AH585" s="303"/>
      <c r="AI585" s="143"/>
      <c r="AJ585" s="125"/>
      <c r="AK585" s="125"/>
      <c r="AL585" s="125"/>
      <c r="AM585" s="125"/>
    </row>
    <row r="586" spans="1:39" ht="12.75" x14ac:dyDescent="0.2">
      <c r="A586" s="303"/>
      <c r="B586" s="303"/>
      <c r="C586" s="303"/>
      <c r="D586" s="143"/>
      <c r="E586" s="303"/>
      <c r="F586" s="303"/>
      <c r="G586" s="303"/>
      <c r="H586" s="303"/>
      <c r="I586" s="303"/>
      <c r="J586" s="303"/>
      <c r="K586" s="303"/>
      <c r="L586" s="143"/>
      <c r="M586" s="303"/>
      <c r="N586" s="303"/>
      <c r="O586" s="303"/>
      <c r="P586" s="303"/>
      <c r="Q586" s="303"/>
      <c r="R586" s="303"/>
      <c r="S586" s="303"/>
      <c r="T586" s="143"/>
      <c r="U586" s="303"/>
      <c r="V586" s="303"/>
      <c r="W586" s="303"/>
      <c r="X586" s="303"/>
      <c r="Y586" s="303"/>
      <c r="Z586" s="303"/>
      <c r="AA586" s="303"/>
      <c r="AB586" s="143"/>
      <c r="AC586" s="303"/>
      <c r="AD586" s="303"/>
      <c r="AE586" s="303"/>
      <c r="AF586" s="303"/>
      <c r="AG586" s="303"/>
      <c r="AH586" s="303"/>
      <c r="AI586" s="143"/>
      <c r="AJ586" s="125"/>
      <c r="AK586" s="125"/>
      <c r="AL586" s="125"/>
      <c r="AM586" s="125"/>
    </row>
    <row r="587" spans="1:39" ht="12.75" x14ac:dyDescent="0.2">
      <c r="A587" s="303"/>
      <c r="B587" s="303"/>
      <c r="C587" s="303"/>
      <c r="D587" s="143"/>
      <c r="E587" s="303"/>
      <c r="F587" s="303"/>
      <c r="G587" s="303"/>
      <c r="H587" s="303"/>
      <c r="I587" s="303"/>
      <c r="J587" s="303"/>
      <c r="K587" s="303"/>
      <c r="L587" s="143"/>
      <c r="M587" s="303"/>
      <c r="N587" s="303"/>
      <c r="O587" s="303"/>
      <c r="P587" s="303"/>
      <c r="Q587" s="303"/>
      <c r="R587" s="303"/>
      <c r="S587" s="303"/>
      <c r="T587" s="143"/>
      <c r="U587" s="303"/>
      <c r="V587" s="303"/>
      <c r="W587" s="303"/>
      <c r="X587" s="303"/>
      <c r="Y587" s="303"/>
      <c r="Z587" s="303"/>
      <c r="AA587" s="303"/>
      <c r="AB587" s="143"/>
      <c r="AC587" s="303"/>
      <c r="AD587" s="303"/>
      <c r="AE587" s="303"/>
      <c r="AF587" s="303"/>
      <c r="AG587" s="303"/>
      <c r="AH587" s="303"/>
      <c r="AI587" s="143"/>
      <c r="AJ587" s="125"/>
      <c r="AK587" s="125"/>
      <c r="AL587" s="125"/>
      <c r="AM587" s="125"/>
    </row>
    <row r="588" spans="1:39" ht="12.75" x14ac:dyDescent="0.2">
      <c r="A588" s="303"/>
      <c r="B588" s="303"/>
      <c r="C588" s="303"/>
      <c r="D588" s="143"/>
      <c r="E588" s="303"/>
      <c r="F588" s="303"/>
      <c r="G588" s="303"/>
      <c r="H588" s="303"/>
      <c r="I588" s="303"/>
      <c r="J588" s="303"/>
      <c r="K588" s="303"/>
      <c r="L588" s="143"/>
      <c r="M588" s="303"/>
      <c r="N588" s="303"/>
      <c r="O588" s="303"/>
      <c r="P588" s="303"/>
      <c r="Q588" s="303"/>
      <c r="R588" s="303"/>
      <c r="S588" s="303"/>
      <c r="T588" s="143"/>
      <c r="U588" s="303"/>
      <c r="V588" s="303"/>
      <c r="W588" s="303"/>
      <c r="X588" s="303"/>
      <c r="Y588" s="303"/>
      <c r="Z588" s="303"/>
      <c r="AA588" s="303"/>
      <c r="AB588" s="143"/>
      <c r="AC588" s="303"/>
      <c r="AD588" s="303"/>
      <c r="AE588" s="303"/>
      <c r="AF588" s="303"/>
      <c r="AG588" s="303"/>
      <c r="AH588" s="303"/>
      <c r="AI588" s="143"/>
      <c r="AJ588" s="125"/>
      <c r="AK588" s="125"/>
      <c r="AL588" s="125"/>
      <c r="AM588" s="125"/>
    </row>
    <row r="589" spans="1:39" ht="12.75" x14ac:dyDescent="0.2">
      <c r="A589" s="303"/>
      <c r="B589" s="303"/>
      <c r="C589" s="303"/>
      <c r="D589" s="143"/>
      <c r="E589" s="303"/>
      <c r="F589" s="303"/>
      <c r="G589" s="303"/>
      <c r="H589" s="303"/>
      <c r="I589" s="303"/>
      <c r="J589" s="303"/>
      <c r="K589" s="303"/>
      <c r="L589" s="143"/>
      <c r="M589" s="303"/>
      <c r="N589" s="303"/>
      <c r="O589" s="303"/>
      <c r="P589" s="303"/>
      <c r="Q589" s="303"/>
      <c r="R589" s="303"/>
      <c r="S589" s="303"/>
      <c r="T589" s="143"/>
      <c r="U589" s="303"/>
      <c r="V589" s="303"/>
      <c r="W589" s="303"/>
      <c r="X589" s="303"/>
      <c r="Y589" s="303"/>
      <c r="Z589" s="303"/>
      <c r="AA589" s="303"/>
      <c r="AB589" s="143"/>
      <c r="AC589" s="303"/>
      <c r="AD589" s="303"/>
      <c r="AE589" s="303"/>
      <c r="AF589" s="303"/>
      <c r="AG589" s="303"/>
      <c r="AH589" s="303"/>
      <c r="AI589" s="143"/>
      <c r="AJ589" s="125"/>
      <c r="AK589" s="125"/>
      <c r="AL589" s="125"/>
      <c r="AM589" s="125"/>
    </row>
    <row r="590" spans="1:39" ht="12.75" x14ac:dyDescent="0.2">
      <c r="A590" s="303"/>
      <c r="B590" s="303"/>
      <c r="C590" s="303"/>
      <c r="D590" s="143"/>
      <c r="E590" s="303"/>
      <c r="F590" s="303"/>
      <c r="G590" s="303"/>
      <c r="H590" s="303"/>
      <c r="I590" s="303"/>
      <c r="J590" s="303"/>
      <c r="K590" s="303"/>
      <c r="L590" s="143"/>
      <c r="M590" s="303"/>
      <c r="N590" s="303"/>
      <c r="O590" s="303"/>
      <c r="P590" s="303"/>
      <c r="Q590" s="303"/>
      <c r="R590" s="303"/>
      <c r="S590" s="303"/>
      <c r="T590" s="143"/>
      <c r="U590" s="303"/>
      <c r="V590" s="303"/>
      <c r="W590" s="303"/>
      <c r="X590" s="303"/>
      <c r="Y590" s="303"/>
      <c r="Z590" s="303"/>
      <c r="AA590" s="303"/>
      <c r="AB590" s="143"/>
      <c r="AC590" s="303"/>
      <c r="AD590" s="303"/>
      <c r="AE590" s="303"/>
      <c r="AF590" s="303"/>
      <c r="AG590" s="303"/>
      <c r="AH590" s="303"/>
      <c r="AI590" s="143"/>
      <c r="AJ590" s="125"/>
      <c r="AK590" s="125"/>
      <c r="AL590" s="125"/>
      <c r="AM590" s="125"/>
    </row>
    <row r="591" spans="1:39" ht="12.75" x14ac:dyDescent="0.2">
      <c r="A591" s="303"/>
      <c r="B591" s="303"/>
      <c r="C591" s="303"/>
      <c r="D591" s="143"/>
      <c r="E591" s="303"/>
      <c r="F591" s="303"/>
      <c r="G591" s="303"/>
      <c r="H591" s="303"/>
      <c r="I591" s="303"/>
      <c r="J591" s="303"/>
      <c r="K591" s="303"/>
      <c r="L591" s="143"/>
      <c r="M591" s="303"/>
      <c r="N591" s="303"/>
      <c r="O591" s="303"/>
      <c r="P591" s="303"/>
      <c r="Q591" s="303"/>
      <c r="R591" s="303"/>
      <c r="S591" s="303"/>
      <c r="T591" s="143"/>
      <c r="U591" s="303"/>
      <c r="V591" s="303"/>
      <c r="W591" s="303"/>
      <c r="X591" s="303"/>
      <c r="Y591" s="303"/>
      <c r="Z591" s="303"/>
      <c r="AA591" s="303"/>
      <c r="AB591" s="143"/>
      <c r="AC591" s="303"/>
      <c r="AD591" s="303"/>
      <c r="AE591" s="303"/>
      <c r="AF591" s="303"/>
      <c r="AG591" s="303"/>
      <c r="AH591" s="303"/>
      <c r="AI591" s="143"/>
      <c r="AJ591" s="125"/>
      <c r="AK591" s="125"/>
      <c r="AL591" s="125"/>
      <c r="AM591" s="125"/>
    </row>
    <row r="592" spans="1:39" ht="12.75" x14ac:dyDescent="0.2">
      <c r="A592" s="303"/>
      <c r="B592" s="303"/>
      <c r="C592" s="303"/>
      <c r="D592" s="143"/>
      <c r="E592" s="303"/>
      <c r="F592" s="303"/>
      <c r="G592" s="303"/>
      <c r="H592" s="303"/>
      <c r="I592" s="303"/>
      <c r="J592" s="303"/>
      <c r="K592" s="303"/>
      <c r="L592" s="143"/>
      <c r="M592" s="303"/>
      <c r="N592" s="303"/>
      <c r="O592" s="303"/>
      <c r="P592" s="303"/>
      <c r="Q592" s="303"/>
      <c r="R592" s="303"/>
      <c r="S592" s="303"/>
      <c r="T592" s="143"/>
      <c r="U592" s="303"/>
      <c r="V592" s="303"/>
      <c r="W592" s="303"/>
      <c r="X592" s="303"/>
      <c r="Y592" s="303"/>
      <c r="Z592" s="303"/>
      <c r="AA592" s="303"/>
      <c r="AB592" s="143"/>
      <c r="AC592" s="303"/>
      <c r="AD592" s="303"/>
      <c r="AE592" s="303"/>
      <c r="AF592" s="303"/>
      <c r="AG592" s="303"/>
      <c r="AH592" s="303"/>
      <c r="AI592" s="143"/>
      <c r="AJ592" s="125"/>
      <c r="AK592" s="125"/>
      <c r="AL592" s="125"/>
      <c r="AM592" s="125"/>
    </row>
    <row r="593" spans="1:39" ht="12.75" x14ac:dyDescent="0.2">
      <c r="A593" s="303"/>
      <c r="B593" s="303"/>
      <c r="C593" s="303"/>
      <c r="D593" s="143"/>
      <c r="E593" s="303"/>
      <c r="F593" s="303"/>
      <c r="G593" s="303"/>
      <c r="H593" s="303"/>
      <c r="I593" s="303"/>
      <c r="J593" s="303"/>
      <c r="K593" s="303"/>
      <c r="L593" s="143"/>
      <c r="M593" s="303"/>
      <c r="N593" s="303"/>
      <c r="O593" s="303"/>
      <c r="P593" s="303"/>
      <c r="Q593" s="303"/>
      <c r="R593" s="303"/>
      <c r="S593" s="303"/>
      <c r="T593" s="143"/>
      <c r="U593" s="303"/>
      <c r="V593" s="303"/>
      <c r="W593" s="303"/>
      <c r="X593" s="303"/>
      <c r="Y593" s="303"/>
      <c r="Z593" s="303"/>
      <c r="AA593" s="303"/>
      <c r="AB593" s="143"/>
      <c r="AC593" s="303"/>
      <c r="AD593" s="303"/>
      <c r="AE593" s="303"/>
      <c r="AF593" s="303"/>
      <c r="AG593" s="303"/>
      <c r="AH593" s="303"/>
      <c r="AI593" s="143"/>
      <c r="AJ593" s="125"/>
      <c r="AK593" s="125"/>
      <c r="AL593" s="125"/>
      <c r="AM593" s="125"/>
    </row>
    <row r="594" spans="1:39" ht="12.75" x14ac:dyDescent="0.2">
      <c r="A594" s="303"/>
      <c r="B594" s="303"/>
      <c r="C594" s="303"/>
      <c r="D594" s="143"/>
      <c r="E594" s="303"/>
      <c r="F594" s="303"/>
      <c r="G594" s="303"/>
      <c r="H594" s="303"/>
      <c r="I594" s="303"/>
      <c r="J594" s="303"/>
      <c r="K594" s="303"/>
      <c r="L594" s="143"/>
      <c r="M594" s="303"/>
      <c r="N594" s="303"/>
      <c r="O594" s="303"/>
      <c r="P594" s="303"/>
      <c r="Q594" s="303"/>
      <c r="R594" s="303"/>
      <c r="S594" s="303"/>
      <c r="T594" s="143"/>
      <c r="U594" s="303"/>
      <c r="V594" s="303"/>
      <c r="W594" s="303"/>
      <c r="X594" s="303"/>
      <c r="Y594" s="303"/>
      <c r="Z594" s="303"/>
      <c r="AA594" s="303"/>
      <c r="AB594" s="143"/>
      <c r="AC594" s="303"/>
      <c r="AD594" s="303"/>
      <c r="AE594" s="303"/>
      <c r="AF594" s="303"/>
      <c r="AG594" s="303"/>
      <c r="AH594" s="303"/>
      <c r="AI594" s="143"/>
      <c r="AJ594" s="125"/>
      <c r="AK594" s="125"/>
      <c r="AL594" s="125"/>
      <c r="AM594" s="125"/>
    </row>
    <row r="595" spans="1:39" ht="12.75" x14ac:dyDescent="0.2">
      <c r="A595" s="303"/>
      <c r="B595" s="303"/>
      <c r="C595" s="303"/>
      <c r="D595" s="143"/>
      <c r="E595" s="303"/>
      <c r="F595" s="303"/>
      <c r="G595" s="303"/>
      <c r="H595" s="303"/>
      <c r="I595" s="303"/>
      <c r="J595" s="303"/>
      <c r="K595" s="303"/>
      <c r="L595" s="143"/>
      <c r="M595" s="303"/>
      <c r="N595" s="303"/>
      <c r="O595" s="303"/>
      <c r="P595" s="303"/>
      <c r="Q595" s="303"/>
      <c r="R595" s="303"/>
      <c r="S595" s="303"/>
      <c r="T595" s="143"/>
      <c r="U595" s="303"/>
      <c r="V595" s="303"/>
      <c r="W595" s="303"/>
      <c r="X595" s="303"/>
      <c r="Y595" s="303"/>
      <c r="Z595" s="303"/>
      <c r="AA595" s="303"/>
      <c r="AB595" s="143"/>
      <c r="AC595" s="303"/>
      <c r="AD595" s="303"/>
      <c r="AE595" s="303"/>
      <c r="AF595" s="303"/>
      <c r="AG595" s="303"/>
      <c r="AH595" s="303"/>
      <c r="AI595" s="143"/>
      <c r="AJ595" s="125"/>
      <c r="AK595" s="125"/>
      <c r="AL595" s="125"/>
      <c r="AM595" s="125"/>
    </row>
    <row r="596" spans="1:39" ht="12.75" x14ac:dyDescent="0.2">
      <c r="A596" s="303"/>
      <c r="B596" s="303"/>
      <c r="C596" s="303"/>
      <c r="D596" s="143"/>
      <c r="E596" s="303"/>
      <c r="F596" s="303"/>
      <c r="G596" s="303"/>
      <c r="H596" s="303"/>
      <c r="I596" s="303"/>
      <c r="J596" s="303"/>
      <c r="K596" s="303"/>
      <c r="L596" s="143"/>
      <c r="M596" s="303"/>
      <c r="N596" s="303"/>
      <c r="O596" s="303"/>
      <c r="P596" s="303"/>
      <c r="Q596" s="303"/>
      <c r="R596" s="303"/>
      <c r="S596" s="303"/>
      <c r="T596" s="143"/>
      <c r="U596" s="303"/>
      <c r="V596" s="303"/>
      <c r="W596" s="303"/>
      <c r="X596" s="303"/>
      <c r="Y596" s="303"/>
      <c r="Z596" s="303"/>
      <c r="AA596" s="303"/>
      <c r="AB596" s="143"/>
      <c r="AC596" s="303"/>
      <c r="AD596" s="303"/>
      <c r="AE596" s="303"/>
      <c r="AF596" s="303"/>
      <c r="AG596" s="303"/>
      <c r="AH596" s="303"/>
      <c r="AI596" s="143"/>
      <c r="AJ596" s="125"/>
      <c r="AK596" s="125"/>
      <c r="AL596" s="125"/>
      <c r="AM596" s="125"/>
    </row>
    <row r="597" spans="1:39" ht="12.75" x14ac:dyDescent="0.2">
      <c r="A597" s="303"/>
      <c r="B597" s="303"/>
      <c r="C597" s="303"/>
      <c r="D597" s="143"/>
      <c r="E597" s="303"/>
      <c r="F597" s="303"/>
      <c r="G597" s="303"/>
      <c r="H597" s="303"/>
      <c r="I597" s="303"/>
      <c r="J597" s="303"/>
      <c r="K597" s="303"/>
      <c r="L597" s="143"/>
      <c r="M597" s="303"/>
      <c r="N597" s="303"/>
      <c r="O597" s="303"/>
      <c r="P597" s="303"/>
      <c r="Q597" s="303"/>
      <c r="R597" s="303"/>
      <c r="S597" s="303"/>
      <c r="T597" s="143"/>
      <c r="U597" s="303"/>
      <c r="V597" s="303"/>
      <c r="W597" s="303"/>
      <c r="X597" s="303"/>
      <c r="Y597" s="303"/>
      <c r="Z597" s="303"/>
      <c r="AA597" s="303"/>
      <c r="AB597" s="143"/>
      <c r="AC597" s="303"/>
      <c r="AD597" s="303"/>
      <c r="AE597" s="303"/>
      <c r="AF597" s="303"/>
      <c r="AG597" s="303"/>
      <c r="AH597" s="303"/>
      <c r="AI597" s="143"/>
      <c r="AJ597" s="125"/>
      <c r="AK597" s="125"/>
      <c r="AL597" s="125"/>
      <c r="AM597" s="125"/>
    </row>
    <row r="598" spans="1:39" ht="12.75" x14ac:dyDescent="0.2">
      <c r="A598" s="303"/>
      <c r="B598" s="303"/>
      <c r="C598" s="303"/>
      <c r="D598" s="143"/>
      <c r="E598" s="303"/>
      <c r="F598" s="303"/>
      <c r="G598" s="303"/>
      <c r="H598" s="303"/>
      <c r="I598" s="303"/>
      <c r="J598" s="303"/>
      <c r="K598" s="303"/>
      <c r="L598" s="143"/>
      <c r="M598" s="303"/>
      <c r="N598" s="303"/>
      <c r="O598" s="303"/>
      <c r="P598" s="303"/>
      <c r="Q598" s="303"/>
      <c r="R598" s="303"/>
      <c r="S598" s="303"/>
      <c r="T598" s="143"/>
      <c r="U598" s="303"/>
      <c r="V598" s="303"/>
      <c r="W598" s="303"/>
      <c r="X598" s="303"/>
      <c r="Y598" s="303"/>
      <c r="Z598" s="303"/>
      <c r="AA598" s="303"/>
      <c r="AB598" s="143"/>
      <c r="AC598" s="303"/>
      <c r="AD598" s="303"/>
      <c r="AE598" s="303"/>
      <c r="AF598" s="303"/>
      <c r="AG598" s="303"/>
      <c r="AH598" s="303"/>
      <c r="AI598" s="143"/>
      <c r="AJ598" s="125"/>
      <c r="AK598" s="125"/>
      <c r="AL598" s="125"/>
      <c r="AM598" s="125"/>
    </row>
    <row r="599" spans="1:39" ht="12.75" x14ac:dyDescent="0.2">
      <c r="A599" s="303"/>
      <c r="B599" s="303"/>
      <c r="C599" s="303"/>
      <c r="D599" s="143"/>
      <c r="E599" s="303"/>
      <c r="F599" s="303"/>
      <c r="G599" s="303"/>
      <c r="H599" s="303"/>
      <c r="I599" s="303"/>
      <c r="J599" s="303"/>
      <c r="K599" s="303"/>
      <c r="L599" s="143"/>
      <c r="M599" s="303"/>
      <c r="N599" s="303"/>
      <c r="O599" s="303"/>
      <c r="P599" s="303"/>
      <c r="Q599" s="303"/>
      <c r="R599" s="303"/>
      <c r="S599" s="303"/>
      <c r="T599" s="143"/>
      <c r="U599" s="303"/>
      <c r="V599" s="303"/>
      <c r="W599" s="303"/>
      <c r="X599" s="303"/>
      <c r="Y599" s="303"/>
      <c r="Z599" s="303"/>
      <c r="AA599" s="303"/>
      <c r="AB599" s="143"/>
      <c r="AC599" s="303"/>
      <c r="AD599" s="303"/>
      <c r="AE599" s="303"/>
      <c r="AF599" s="303"/>
      <c r="AG599" s="303"/>
      <c r="AH599" s="303"/>
      <c r="AI599" s="143"/>
      <c r="AJ599" s="125"/>
      <c r="AK599" s="125"/>
      <c r="AL599" s="125"/>
      <c r="AM599" s="125"/>
    </row>
    <row r="600" spans="1:39" ht="12.75" x14ac:dyDescent="0.2">
      <c r="A600" s="303"/>
      <c r="B600" s="303"/>
      <c r="C600" s="303"/>
      <c r="D600" s="143"/>
      <c r="E600" s="303"/>
      <c r="F600" s="303"/>
      <c r="G600" s="303"/>
      <c r="H600" s="303"/>
      <c r="I600" s="303"/>
      <c r="J600" s="303"/>
      <c r="K600" s="303"/>
      <c r="L600" s="143"/>
      <c r="M600" s="303"/>
      <c r="N600" s="303"/>
      <c r="O600" s="303"/>
      <c r="P600" s="303"/>
      <c r="Q600" s="303"/>
      <c r="R600" s="303"/>
      <c r="S600" s="303"/>
      <c r="T600" s="143"/>
      <c r="U600" s="303"/>
      <c r="V600" s="303"/>
      <c r="W600" s="303"/>
      <c r="X600" s="303"/>
      <c r="Y600" s="303"/>
      <c r="Z600" s="303"/>
      <c r="AA600" s="303"/>
      <c r="AB600" s="143"/>
      <c r="AC600" s="303"/>
      <c r="AD600" s="303"/>
      <c r="AE600" s="303"/>
      <c r="AF600" s="303"/>
      <c r="AG600" s="303"/>
      <c r="AH600" s="303"/>
      <c r="AI600" s="143"/>
      <c r="AJ600" s="125"/>
      <c r="AK600" s="125"/>
      <c r="AL600" s="125"/>
      <c r="AM600" s="125"/>
    </row>
    <row r="601" spans="1:39" ht="12.75" x14ac:dyDescent="0.2">
      <c r="A601" s="303"/>
      <c r="B601" s="303"/>
      <c r="C601" s="303"/>
      <c r="D601" s="143"/>
      <c r="E601" s="303"/>
      <c r="F601" s="303"/>
      <c r="G601" s="303"/>
      <c r="H601" s="303"/>
      <c r="I601" s="303"/>
      <c r="J601" s="303"/>
      <c r="K601" s="303"/>
      <c r="L601" s="143"/>
      <c r="M601" s="303"/>
      <c r="N601" s="303"/>
      <c r="O601" s="303"/>
      <c r="P601" s="303"/>
      <c r="Q601" s="303"/>
      <c r="R601" s="303"/>
      <c r="S601" s="303"/>
      <c r="T601" s="143"/>
      <c r="U601" s="303"/>
      <c r="V601" s="303"/>
      <c r="W601" s="303"/>
      <c r="X601" s="303"/>
      <c r="Y601" s="303"/>
      <c r="Z601" s="303"/>
      <c r="AA601" s="303"/>
      <c r="AB601" s="143"/>
      <c r="AC601" s="303"/>
      <c r="AD601" s="303"/>
      <c r="AE601" s="303"/>
      <c r="AF601" s="303"/>
      <c r="AG601" s="303"/>
      <c r="AH601" s="303"/>
      <c r="AI601" s="143"/>
      <c r="AJ601" s="125"/>
      <c r="AK601" s="125"/>
      <c r="AL601" s="125"/>
      <c r="AM601" s="125"/>
    </row>
    <row r="602" spans="1:39" ht="12.75" x14ac:dyDescent="0.2">
      <c r="A602" s="303"/>
      <c r="B602" s="303"/>
      <c r="C602" s="303"/>
      <c r="D602" s="143"/>
      <c r="E602" s="303"/>
      <c r="F602" s="303"/>
      <c r="G602" s="303"/>
      <c r="H602" s="303"/>
      <c r="I602" s="303"/>
      <c r="J602" s="303"/>
      <c r="K602" s="303"/>
      <c r="L602" s="143"/>
      <c r="M602" s="303"/>
      <c r="N602" s="303"/>
      <c r="O602" s="303"/>
      <c r="P602" s="303"/>
      <c r="Q602" s="303"/>
      <c r="R602" s="303"/>
      <c r="S602" s="303"/>
      <c r="T602" s="143"/>
      <c r="U602" s="303"/>
      <c r="V602" s="303"/>
      <c r="W602" s="303"/>
      <c r="X602" s="303"/>
      <c r="Y602" s="303"/>
      <c r="Z602" s="303"/>
      <c r="AA602" s="303"/>
      <c r="AB602" s="143"/>
      <c r="AC602" s="303"/>
      <c r="AD602" s="303"/>
      <c r="AE602" s="303"/>
      <c r="AF602" s="303"/>
      <c r="AG602" s="303"/>
      <c r="AH602" s="303"/>
      <c r="AI602" s="143"/>
      <c r="AJ602" s="125"/>
      <c r="AK602" s="125"/>
      <c r="AL602" s="125"/>
      <c r="AM602" s="125"/>
    </row>
    <row r="603" spans="1:39" ht="12.75" x14ac:dyDescent="0.2">
      <c r="A603" s="303"/>
      <c r="B603" s="303"/>
      <c r="C603" s="303"/>
      <c r="D603" s="143"/>
      <c r="E603" s="303"/>
      <c r="F603" s="303"/>
      <c r="G603" s="303"/>
      <c r="H603" s="303"/>
      <c r="I603" s="303"/>
      <c r="J603" s="303"/>
      <c r="K603" s="303"/>
      <c r="L603" s="143"/>
      <c r="M603" s="303"/>
      <c r="N603" s="303"/>
      <c r="O603" s="303"/>
      <c r="P603" s="303"/>
      <c r="Q603" s="303"/>
      <c r="R603" s="303"/>
      <c r="S603" s="303"/>
      <c r="T603" s="143"/>
      <c r="U603" s="303"/>
      <c r="V603" s="303"/>
      <c r="W603" s="303"/>
      <c r="X603" s="303"/>
      <c r="Y603" s="303"/>
      <c r="Z603" s="303"/>
      <c r="AA603" s="303"/>
      <c r="AB603" s="143"/>
      <c r="AC603" s="303"/>
      <c r="AD603" s="303"/>
      <c r="AE603" s="303"/>
      <c r="AF603" s="303"/>
      <c r="AG603" s="303"/>
      <c r="AH603" s="303"/>
      <c r="AI603" s="143"/>
      <c r="AJ603" s="125"/>
      <c r="AK603" s="125"/>
      <c r="AL603" s="125"/>
      <c r="AM603" s="125"/>
    </row>
    <row r="604" spans="1:39" ht="12.75" x14ac:dyDescent="0.2">
      <c r="A604" s="303"/>
      <c r="B604" s="303"/>
      <c r="C604" s="303"/>
      <c r="D604" s="143"/>
      <c r="E604" s="303"/>
      <c r="F604" s="303"/>
      <c r="G604" s="303"/>
      <c r="H604" s="303"/>
      <c r="I604" s="303"/>
      <c r="J604" s="303"/>
      <c r="K604" s="303"/>
      <c r="L604" s="143"/>
      <c r="M604" s="303"/>
      <c r="N604" s="303"/>
      <c r="O604" s="303"/>
      <c r="P604" s="303"/>
      <c r="Q604" s="303"/>
      <c r="R604" s="303"/>
      <c r="S604" s="303"/>
      <c r="T604" s="143"/>
      <c r="U604" s="303"/>
      <c r="V604" s="303"/>
      <c r="W604" s="303"/>
      <c r="X604" s="303"/>
      <c r="Y604" s="303"/>
      <c r="Z604" s="303"/>
      <c r="AA604" s="303"/>
      <c r="AB604" s="143"/>
      <c r="AC604" s="303"/>
      <c r="AD604" s="303"/>
      <c r="AE604" s="303"/>
      <c r="AF604" s="303"/>
      <c r="AG604" s="303"/>
      <c r="AH604" s="303"/>
      <c r="AI604" s="143"/>
      <c r="AJ604" s="125"/>
      <c r="AK604" s="125"/>
      <c r="AL604" s="125"/>
      <c r="AM604" s="125"/>
    </row>
    <row r="605" spans="1:39" ht="12.75" x14ac:dyDescent="0.2">
      <c r="A605" s="303"/>
      <c r="B605" s="303"/>
      <c r="C605" s="303"/>
      <c r="D605" s="143"/>
      <c r="E605" s="303"/>
      <c r="F605" s="303"/>
      <c r="G605" s="303"/>
      <c r="H605" s="303"/>
      <c r="I605" s="303"/>
      <c r="J605" s="303"/>
      <c r="K605" s="303"/>
      <c r="L605" s="143"/>
      <c r="M605" s="303"/>
      <c r="N605" s="303"/>
      <c r="O605" s="303"/>
      <c r="P605" s="303"/>
      <c r="Q605" s="303"/>
      <c r="R605" s="303"/>
      <c r="S605" s="303"/>
      <c r="T605" s="143"/>
      <c r="U605" s="303"/>
      <c r="V605" s="303"/>
      <c r="W605" s="303"/>
      <c r="X605" s="303"/>
      <c r="Y605" s="303"/>
      <c r="Z605" s="303"/>
      <c r="AA605" s="303"/>
      <c r="AB605" s="143"/>
      <c r="AC605" s="303"/>
      <c r="AD605" s="303"/>
      <c r="AE605" s="303"/>
      <c r="AF605" s="303"/>
      <c r="AG605" s="303"/>
      <c r="AH605" s="303"/>
      <c r="AI605" s="143"/>
      <c r="AJ605" s="125"/>
      <c r="AK605" s="125"/>
      <c r="AL605" s="125"/>
      <c r="AM605" s="125"/>
    </row>
    <row r="606" spans="1:39" ht="12.75" x14ac:dyDescent="0.2">
      <c r="A606" s="303"/>
      <c r="B606" s="303"/>
      <c r="C606" s="303"/>
      <c r="D606" s="143"/>
      <c r="E606" s="303"/>
      <c r="F606" s="303"/>
      <c r="G606" s="303"/>
      <c r="H606" s="303"/>
      <c r="I606" s="303"/>
      <c r="J606" s="303"/>
      <c r="K606" s="303"/>
      <c r="L606" s="143"/>
      <c r="M606" s="303"/>
      <c r="N606" s="303"/>
      <c r="O606" s="303"/>
      <c r="P606" s="303"/>
      <c r="Q606" s="303"/>
      <c r="R606" s="303"/>
      <c r="S606" s="303"/>
      <c r="T606" s="143"/>
      <c r="U606" s="303"/>
      <c r="V606" s="303"/>
      <c r="W606" s="303"/>
      <c r="X606" s="303"/>
      <c r="Y606" s="303"/>
      <c r="Z606" s="303"/>
      <c r="AA606" s="303"/>
      <c r="AB606" s="143"/>
      <c r="AC606" s="303"/>
      <c r="AD606" s="303"/>
      <c r="AE606" s="303"/>
      <c r="AF606" s="303"/>
      <c r="AG606" s="303"/>
      <c r="AH606" s="303"/>
      <c r="AI606" s="143"/>
      <c r="AJ606" s="125"/>
      <c r="AK606" s="125"/>
      <c r="AL606" s="125"/>
      <c r="AM606" s="125"/>
    </row>
    <row r="607" spans="1:39" ht="12.75" x14ac:dyDescent="0.2">
      <c r="A607" s="303"/>
      <c r="B607" s="303"/>
      <c r="C607" s="303"/>
      <c r="D607" s="143"/>
      <c r="E607" s="303"/>
      <c r="F607" s="303"/>
      <c r="G607" s="303"/>
      <c r="H607" s="303"/>
      <c r="I607" s="303"/>
      <c r="J607" s="303"/>
      <c r="K607" s="303"/>
      <c r="L607" s="143"/>
      <c r="M607" s="303"/>
      <c r="N607" s="303"/>
      <c r="O607" s="303"/>
      <c r="P607" s="303"/>
      <c r="Q607" s="303"/>
      <c r="R607" s="303"/>
      <c r="S607" s="303"/>
      <c r="T607" s="143"/>
      <c r="U607" s="303"/>
      <c r="V607" s="303"/>
      <c r="W607" s="303"/>
      <c r="X607" s="303"/>
      <c r="Y607" s="303"/>
      <c r="Z607" s="303"/>
      <c r="AA607" s="303"/>
      <c r="AB607" s="143"/>
      <c r="AC607" s="303"/>
      <c r="AD607" s="303"/>
      <c r="AE607" s="303"/>
      <c r="AF607" s="303"/>
      <c r="AG607" s="303"/>
      <c r="AH607" s="303"/>
      <c r="AI607" s="143"/>
      <c r="AJ607" s="125"/>
      <c r="AK607" s="125"/>
      <c r="AL607" s="125"/>
      <c r="AM607" s="125"/>
    </row>
    <row r="608" spans="1:39" ht="12.75" x14ac:dyDescent="0.2">
      <c r="A608" s="303"/>
      <c r="B608" s="303"/>
      <c r="C608" s="303"/>
      <c r="D608" s="143"/>
      <c r="E608" s="303"/>
      <c r="F608" s="303"/>
      <c r="G608" s="303"/>
      <c r="H608" s="303"/>
      <c r="I608" s="303"/>
      <c r="J608" s="303"/>
      <c r="K608" s="303"/>
      <c r="L608" s="143"/>
      <c r="M608" s="303"/>
      <c r="N608" s="303"/>
      <c r="O608" s="303"/>
      <c r="P608" s="303"/>
      <c r="Q608" s="303"/>
      <c r="R608" s="303"/>
      <c r="S608" s="303"/>
      <c r="T608" s="143"/>
      <c r="U608" s="303"/>
      <c r="V608" s="303"/>
      <c r="W608" s="303"/>
      <c r="X608" s="303"/>
      <c r="Y608" s="303"/>
      <c r="Z608" s="303"/>
      <c r="AA608" s="303"/>
      <c r="AB608" s="143"/>
      <c r="AC608" s="303"/>
      <c r="AD608" s="303"/>
      <c r="AE608" s="303"/>
      <c r="AF608" s="303"/>
      <c r="AG608" s="303"/>
      <c r="AH608" s="303"/>
      <c r="AI608" s="143"/>
      <c r="AJ608" s="125"/>
      <c r="AK608" s="125"/>
      <c r="AL608" s="125"/>
      <c r="AM608" s="125"/>
    </row>
    <row r="609" spans="1:39" ht="12.75" x14ac:dyDescent="0.2">
      <c r="A609" s="303"/>
      <c r="B609" s="303"/>
      <c r="C609" s="303"/>
      <c r="D609" s="143"/>
      <c r="E609" s="303"/>
      <c r="F609" s="303"/>
      <c r="G609" s="303"/>
      <c r="H609" s="303"/>
      <c r="I609" s="303"/>
      <c r="J609" s="303"/>
      <c r="K609" s="303"/>
      <c r="L609" s="143"/>
      <c r="M609" s="303"/>
      <c r="N609" s="303"/>
      <c r="O609" s="303"/>
      <c r="P609" s="303"/>
      <c r="Q609" s="303"/>
      <c r="R609" s="303"/>
      <c r="S609" s="303"/>
      <c r="T609" s="143"/>
      <c r="U609" s="303"/>
      <c r="V609" s="303"/>
      <c r="W609" s="303"/>
      <c r="X609" s="303"/>
      <c r="Y609" s="303"/>
      <c r="Z609" s="303"/>
      <c r="AA609" s="303"/>
      <c r="AB609" s="143"/>
      <c r="AC609" s="303"/>
      <c r="AD609" s="303"/>
      <c r="AE609" s="303"/>
      <c r="AF609" s="303"/>
      <c r="AG609" s="303"/>
      <c r="AH609" s="303"/>
      <c r="AI609" s="143"/>
      <c r="AJ609" s="125"/>
      <c r="AK609" s="125"/>
      <c r="AL609" s="125"/>
      <c r="AM609" s="125"/>
    </row>
    <row r="610" spans="1:39" ht="12.75" x14ac:dyDescent="0.2">
      <c r="A610" s="303"/>
      <c r="B610" s="303"/>
      <c r="C610" s="303"/>
      <c r="D610" s="143"/>
      <c r="E610" s="303"/>
      <c r="F610" s="303"/>
      <c r="G610" s="303"/>
      <c r="H610" s="303"/>
      <c r="I610" s="303"/>
      <c r="J610" s="303"/>
      <c r="K610" s="303"/>
      <c r="L610" s="143"/>
      <c r="M610" s="303"/>
      <c r="N610" s="303"/>
      <c r="O610" s="303"/>
      <c r="P610" s="303"/>
      <c r="Q610" s="303"/>
      <c r="R610" s="303"/>
      <c r="S610" s="303"/>
      <c r="T610" s="143"/>
      <c r="U610" s="303"/>
      <c r="V610" s="303"/>
      <c r="W610" s="303"/>
      <c r="X610" s="303"/>
      <c r="Y610" s="303"/>
      <c r="Z610" s="303"/>
      <c r="AA610" s="303"/>
      <c r="AB610" s="143"/>
      <c r="AC610" s="303"/>
      <c r="AD610" s="303"/>
      <c r="AE610" s="303"/>
      <c r="AF610" s="303"/>
      <c r="AG610" s="303"/>
      <c r="AH610" s="303"/>
      <c r="AI610" s="143"/>
      <c r="AJ610" s="125"/>
      <c r="AK610" s="125"/>
      <c r="AL610" s="125"/>
      <c r="AM610" s="125"/>
    </row>
    <row r="611" spans="1:39" ht="12.75" x14ac:dyDescent="0.2">
      <c r="A611" s="303"/>
      <c r="B611" s="303"/>
      <c r="C611" s="303"/>
      <c r="D611" s="143"/>
      <c r="E611" s="303"/>
      <c r="F611" s="303"/>
      <c r="G611" s="303"/>
      <c r="H611" s="303"/>
      <c r="I611" s="303"/>
      <c r="J611" s="303"/>
      <c r="K611" s="303"/>
      <c r="L611" s="143"/>
      <c r="M611" s="303"/>
      <c r="N611" s="303"/>
      <c r="O611" s="303"/>
      <c r="P611" s="303"/>
      <c r="Q611" s="303"/>
      <c r="R611" s="303"/>
      <c r="S611" s="303"/>
      <c r="T611" s="143"/>
      <c r="U611" s="303"/>
      <c r="V611" s="303"/>
      <c r="W611" s="303"/>
      <c r="X611" s="303"/>
      <c r="Y611" s="303"/>
      <c r="Z611" s="303"/>
      <c r="AA611" s="303"/>
      <c r="AB611" s="143"/>
      <c r="AC611" s="303"/>
      <c r="AD611" s="303"/>
      <c r="AE611" s="303"/>
      <c r="AF611" s="303"/>
      <c r="AG611" s="303"/>
      <c r="AH611" s="303"/>
      <c r="AI611" s="143"/>
      <c r="AJ611" s="125"/>
      <c r="AK611" s="125"/>
      <c r="AL611" s="125"/>
      <c r="AM611" s="125"/>
    </row>
    <row r="612" spans="1:39" ht="12.75" x14ac:dyDescent="0.2">
      <c r="A612" s="303"/>
      <c r="B612" s="303"/>
      <c r="C612" s="303"/>
      <c r="D612" s="143"/>
      <c r="E612" s="303"/>
      <c r="F612" s="303"/>
      <c r="G612" s="303"/>
      <c r="H612" s="303"/>
      <c r="I612" s="303"/>
      <c r="J612" s="303"/>
      <c r="K612" s="303"/>
      <c r="L612" s="143"/>
      <c r="M612" s="303"/>
      <c r="N612" s="303"/>
      <c r="O612" s="303"/>
      <c r="P612" s="303"/>
      <c r="Q612" s="303"/>
      <c r="R612" s="303"/>
      <c r="S612" s="303"/>
      <c r="T612" s="143"/>
      <c r="U612" s="303"/>
      <c r="V612" s="303"/>
      <c r="W612" s="303"/>
      <c r="X612" s="303"/>
      <c r="Y612" s="303"/>
      <c r="Z612" s="303"/>
      <c r="AA612" s="303"/>
      <c r="AB612" s="143"/>
      <c r="AC612" s="303"/>
      <c r="AD612" s="303"/>
      <c r="AE612" s="303"/>
      <c r="AF612" s="303"/>
      <c r="AG612" s="303"/>
      <c r="AH612" s="303"/>
      <c r="AI612" s="143"/>
      <c r="AJ612" s="125"/>
      <c r="AK612" s="125"/>
      <c r="AL612" s="125"/>
      <c r="AM612" s="125"/>
    </row>
    <row r="613" spans="1:39" ht="12.75" x14ac:dyDescent="0.2">
      <c r="A613" s="303"/>
      <c r="B613" s="303"/>
      <c r="C613" s="303"/>
      <c r="D613" s="143"/>
      <c r="E613" s="303"/>
      <c r="F613" s="303"/>
      <c r="G613" s="303"/>
      <c r="H613" s="303"/>
      <c r="I613" s="303"/>
      <c r="J613" s="303"/>
      <c r="K613" s="303"/>
      <c r="L613" s="143"/>
      <c r="M613" s="303"/>
      <c r="N613" s="303"/>
      <c r="O613" s="303"/>
      <c r="P613" s="303"/>
      <c r="Q613" s="303"/>
      <c r="R613" s="303"/>
      <c r="S613" s="303"/>
      <c r="T613" s="143"/>
      <c r="U613" s="303"/>
      <c r="V613" s="303"/>
      <c r="W613" s="303"/>
      <c r="X613" s="303"/>
      <c r="Y613" s="303"/>
      <c r="Z613" s="303"/>
      <c r="AA613" s="303"/>
      <c r="AB613" s="143"/>
      <c r="AC613" s="303"/>
      <c r="AD613" s="303"/>
      <c r="AE613" s="303"/>
      <c r="AF613" s="303"/>
      <c r="AG613" s="303"/>
      <c r="AH613" s="303"/>
      <c r="AI613" s="143"/>
      <c r="AJ613" s="125"/>
      <c r="AK613" s="125"/>
      <c r="AL613" s="125"/>
      <c r="AM613" s="125"/>
    </row>
    <row r="614" spans="1:39" ht="12.75" x14ac:dyDescent="0.2">
      <c r="A614" s="303"/>
      <c r="B614" s="303"/>
      <c r="C614" s="303"/>
      <c r="D614" s="143"/>
      <c r="E614" s="303"/>
      <c r="F614" s="303"/>
      <c r="G614" s="303"/>
      <c r="H614" s="303"/>
      <c r="I614" s="303"/>
      <c r="J614" s="303"/>
      <c r="K614" s="303"/>
      <c r="L614" s="143"/>
      <c r="M614" s="303"/>
      <c r="N614" s="303"/>
      <c r="O614" s="303"/>
      <c r="P614" s="303"/>
      <c r="Q614" s="303"/>
      <c r="R614" s="303"/>
      <c r="S614" s="303"/>
      <c r="T614" s="143"/>
      <c r="U614" s="303"/>
      <c r="V614" s="303"/>
      <c r="W614" s="303"/>
      <c r="X614" s="303"/>
      <c r="Y614" s="303"/>
      <c r="Z614" s="303"/>
      <c r="AA614" s="303"/>
      <c r="AB614" s="143"/>
      <c r="AC614" s="303"/>
      <c r="AD614" s="303"/>
      <c r="AE614" s="303"/>
      <c r="AF614" s="303"/>
      <c r="AG614" s="303"/>
      <c r="AH614" s="303"/>
      <c r="AI614" s="143"/>
      <c r="AJ614" s="125"/>
      <c r="AK614" s="125"/>
      <c r="AL614" s="125"/>
      <c r="AM614" s="125"/>
    </row>
    <row r="615" spans="1:39" ht="12.75" x14ac:dyDescent="0.2">
      <c r="A615" s="303"/>
      <c r="B615" s="303"/>
      <c r="C615" s="303"/>
      <c r="D615" s="143"/>
      <c r="E615" s="303"/>
      <c r="F615" s="303"/>
      <c r="G615" s="303"/>
      <c r="H615" s="303"/>
      <c r="I615" s="303"/>
      <c r="J615" s="303"/>
      <c r="K615" s="303"/>
      <c r="L615" s="143"/>
      <c r="M615" s="303"/>
      <c r="N615" s="303"/>
      <c r="O615" s="303"/>
      <c r="P615" s="303"/>
      <c r="Q615" s="303"/>
      <c r="R615" s="303"/>
      <c r="S615" s="303"/>
      <c r="T615" s="143"/>
      <c r="U615" s="303"/>
      <c r="V615" s="303"/>
      <c r="W615" s="303"/>
      <c r="X615" s="303"/>
      <c r="Y615" s="303"/>
      <c r="Z615" s="303"/>
      <c r="AA615" s="303"/>
      <c r="AB615" s="143"/>
      <c r="AC615" s="303"/>
      <c r="AD615" s="303"/>
      <c r="AE615" s="303"/>
      <c r="AF615" s="303"/>
      <c r="AG615" s="303"/>
      <c r="AH615" s="303"/>
      <c r="AI615" s="143"/>
      <c r="AJ615" s="125"/>
      <c r="AK615" s="125"/>
      <c r="AL615" s="125"/>
      <c r="AM615" s="125"/>
    </row>
    <row r="616" spans="1:39" ht="12.75" x14ac:dyDescent="0.2">
      <c r="A616" s="303"/>
      <c r="B616" s="303"/>
      <c r="C616" s="303"/>
      <c r="D616" s="143"/>
      <c r="E616" s="303"/>
      <c r="F616" s="303"/>
      <c r="G616" s="303"/>
      <c r="H616" s="303"/>
      <c r="I616" s="303"/>
      <c r="J616" s="303"/>
      <c r="K616" s="303"/>
      <c r="L616" s="143"/>
      <c r="M616" s="303"/>
      <c r="N616" s="303"/>
      <c r="O616" s="303"/>
      <c r="P616" s="303"/>
      <c r="Q616" s="303"/>
      <c r="R616" s="303"/>
      <c r="S616" s="303"/>
      <c r="T616" s="143"/>
      <c r="U616" s="303"/>
      <c r="V616" s="303"/>
      <c r="W616" s="303"/>
      <c r="X616" s="303"/>
      <c r="Y616" s="303"/>
      <c r="Z616" s="303"/>
      <c r="AA616" s="303"/>
      <c r="AB616" s="143"/>
      <c r="AC616" s="303"/>
      <c r="AD616" s="303"/>
      <c r="AE616" s="303"/>
      <c r="AF616" s="303"/>
      <c r="AG616" s="303"/>
      <c r="AH616" s="303"/>
      <c r="AI616" s="143"/>
      <c r="AJ616" s="125"/>
      <c r="AK616" s="125"/>
      <c r="AL616" s="125"/>
      <c r="AM616" s="125"/>
    </row>
    <row r="617" spans="1:39" ht="12.75" x14ac:dyDescent="0.2">
      <c r="A617" s="303"/>
      <c r="B617" s="303"/>
      <c r="C617" s="303"/>
      <c r="D617" s="143"/>
      <c r="E617" s="303"/>
      <c r="F617" s="303"/>
      <c r="G617" s="303"/>
      <c r="H617" s="303"/>
      <c r="I617" s="303"/>
      <c r="J617" s="303"/>
      <c r="K617" s="303"/>
      <c r="L617" s="143"/>
      <c r="M617" s="303"/>
      <c r="N617" s="303"/>
      <c r="O617" s="303"/>
      <c r="P617" s="303"/>
      <c r="Q617" s="303"/>
      <c r="R617" s="303"/>
      <c r="S617" s="303"/>
      <c r="T617" s="143"/>
      <c r="U617" s="303"/>
      <c r="V617" s="303"/>
      <c r="W617" s="303"/>
      <c r="X617" s="303"/>
      <c r="Y617" s="303"/>
      <c r="Z617" s="303"/>
      <c r="AA617" s="303"/>
      <c r="AB617" s="143"/>
      <c r="AC617" s="303"/>
      <c r="AD617" s="303"/>
      <c r="AE617" s="303"/>
      <c r="AF617" s="303"/>
      <c r="AG617" s="303"/>
      <c r="AH617" s="303"/>
      <c r="AI617" s="143"/>
      <c r="AJ617" s="125"/>
      <c r="AK617" s="125"/>
      <c r="AL617" s="125"/>
      <c r="AM617" s="125"/>
    </row>
    <row r="618" spans="1:39" ht="12.75" x14ac:dyDescent="0.2">
      <c r="A618" s="303"/>
      <c r="B618" s="303"/>
      <c r="C618" s="303"/>
      <c r="D618" s="143"/>
      <c r="E618" s="303"/>
      <c r="F618" s="303"/>
      <c r="G618" s="303"/>
      <c r="H618" s="303"/>
      <c r="I618" s="303"/>
      <c r="J618" s="303"/>
      <c r="K618" s="303"/>
      <c r="L618" s="143"/>
      <c r="M618" s="303"/>
      <c r="N618" s="303"/>
      <c r="O618" s="303"/>
      <c r="P618" s="303"/>
      <c r="Q618" s="303"/>
      <c r="R618" s="303"/>
      <c r="S618" s="303"/>
      <c r="T618" s="143"/>
      <c r="U618" s="303"/>
      <c r="V618" s="303"/>
      <c r="W618" s="303"/>
      <c r="X618" s="303"/>
      <c r="Y618" s="303"/>
      <c r="Z618" s="303"/>
      <c r="AA618" s="303"/>
      <c r="AB618" s="143"/>
      <c r="AC618" s="303"/>
      <c r="AD618" s="303"/>
      <c r="AE618" s="303"/>
      <c r="AF618" s="303"/>
      <c r="AG618" s="303"/>
      <c r="AH618" s="303"/>
      <c r="AI618" s="143"/>
      <c r="AJ618" s="125"/>
      <c r="AK618" s="125"/>
      <c r="AL618" s="125"/>
      <c r="AM618" s="125"/>
    </row>
    <row r="619" spans="1:39" ht="12.75" x14ac:dyDescent="0.2">
      <c r="A619" s="303"/>
      <c r="B619" s="303"/>
      <c r="C619" s="303"/>
      <c r="D619" s="143"/>
      <c r="E619" s="303"/>
      <c r="F619" s="303"/>
      <c r="G619" s="303"/>
      <c r="H619" s="303"/>
      <c r="I619" s="303"/>
      <c r="J619" s="303"/>
      <c r="K619" s="303"/>
      <c r="L619" s="143"/>
      <c r="M619" s="303"/>
      <c r="N619" s="303"/>
      <c r="O619" s="303"/>
      <c r="P619" s="303"/>
      <c r="Q619" s="303"/>
      <c r="R619" s="303"/>
      <c r="S619" s="303"/>
      <c r="T619" s="143"/>
      <c r="U619" s="303"/>
      <c r="V619" s="303"/>
      <c r="W619" s="303"/>
      <c r="X619" s="303"/>
      <c r="Y619" s="303"/>
      <c r="Z619" s="303"/>
      <c r="AA619" s="303"/>
      <c r="AB619" s="143"/>
      <c r="AC619" s="303"/>
      <c r="AD619" s="303"/>
      <c r="AE619" s="303"/>
      <c r="AF619" s="303"/>
      <c r="AG619" s="303"/>
      <c r="AH619" s="303"/>
      <c r="AI619" s="143"/>
      <c r="AJ619" s="125"/>
      <c r="AK619" s="125"/>
      <c r="AL619" s="125"/>
      <c r="AM619" s="125"/>
    </row>
    <row r="620" spans="1:39" ht="12.75" x14ac:dyDescent="0.2">
      <c r="A620" s="303"/>
      <c r="B620" s="303"/>
      <c r="C620" s="303"/>
      <c r="D620" s="143"/>
      <c r="E620" s="303"/>
      <c r="F620" s="303"/>
      <c r="G620" s="303"/>
      <c r="H620" s="303"/>
      <c r="I620" s="303"/>
      <c r="J620" s="303"/>
      <c r="K620" s="303"/>
      <c r="L620" s="143"/>
      <c r="M620" s="303"/>
      <c r="N620" s="303"/>
      <c r="O620" s="303"/>
      <c r="P620" s="303"/>
      <c r="Q620" s="303"/>
      <c r="R620" s="303"/>
      <c r="S620" s="303"/>
      <c r="T620" s="143"/>
      <c r="U620" s="303"/>
      <c r="V620" s="303"/>
      <c r="W620" s="303"/>
      <c r="X620" s="303"/>
      <c r="Y620" s="303"/>
      <c r="Z620" s="303"/>
      <c r="AA620" s="303"/>
      <c r="AB620" s="143"/>
      <c r="AC620" s="303"/>
      <c r="AD620" s="303"/>
      <c r="AE620" s="303"/>
      <c r="AF620" s="303"/>
      <c r="AG620" s="303"/>
      <c r="AH620" s="303"/>
      <c r="AI620" s="143"/>
      <c r="AJ620" s="125"/>
      <c r="AK620" s="125"/>
      <c r="AL620" s="125"/>
      <c r="AM620" s="125"/>
    </row>
    <row r="621" spans="1:39" ht="12.75" x14ac:dyDescent="0.2">
      <c r="A621" s="303"/>
      <c r="B621" s="303"/>
      <c r="C621" s="303"/>
      <c r="D621" s="143"/>
      <c r="E621" s="303"/>
      <c r="F621" s="303"/>
      <c r="G621" s="303"/>
      <c r="H621" s="303"/>
      <c r="I621" s="303"/>
      <c r="J621" s="303"/>
      <c r="K621" s="303"/>
      <c r="L621" s="143"/>
      <c r="M621" s="303"/>
      <c r="N621" s="303"/>
      <c r="O621" s="303"/>
      <c r="P621" s="303"/>
      <c r="Q621" s="303"/>
      <c r="R621" s="303"/>
      <c r="S621" s="303"/>
      <c r="T621" s="143"/>
      <c r="U621" s="303"/>
      <c r="V621" s="303"/>
      <c r="W621" s="303"/>
      <c r="X621" s="303"/>
      <c r="Y621" s="303"/>
      <c r="Z621" s="303"/>
      <c r="AA621" s="303"/>
      <c r="AB621" s="143"/>
      <c r="AC621" s="303"/>
      <c r="AD621" s="303"/>
      <c r="AE621" s="303"/>
      <c r="AF621" s="303"/>
      <c r="AG621" s="303"/>
      <c r="AH621" s="303"/>
      <c r="AI621" s="143"/>
      <c r="AJ621" s="125"/>
      <c r="AK621" s="125"/>
      <c r="AL621" s="125"/>
      <c r="AM621" s="125"/>
    </row>
    <row r="622" spans="1:39" ht="12.75" x14ac:dyDescent="0.2">
      <c r="A622" s="303"/>
      <c r="B622" s="303"/>
      <c r="C622" s="303"/>
      <c r="D622" s="143"/>
      <c r="E622" s="303"/>
      <c r="F622" s="303"/>
      <c r="G622" s="303"/>
      <c r="H622" s="303"/>
      <c r="I622" s="303"/>
      <c r="J622" s="303"/>
      <c r="K622" s="303"/>
      <c r="L622" s="143"/>
      <c r="M622" s="303"/>
      <c r="N622" s="303"/>
      <c r="O622" s="303"/>
      <c r="P622" s="303"/>
      <c r="Q622" s="303"/>
      <c r="R622" s="303"/>
      <c r="S622" s="303"/>
      <c r="T622" s="143"/>
      <c r="U622" s="303"/>
      <c r="V622" s="303"/>
      <c r="W622" s="303"/>
      <c r="X622" s="303"/>
      <c r="Y622" s="303"/>
      <c r="Z622" s="303"/>
      <c r="AA622" s="303"/>
      <c r="AB622" s="143"/>
      <c r="AC622" s="303"/>
      <c r="AD622" s="303"/>
      <c r="AE622" s="303"/>
      <c r="AF622" s="303"/>
      <c r="AG622" s="303"/>
      <c r="AH622" s="303"/>
      <c r="AI622" s="143"/>
      <c r="AJ622" s="125"/>
      <c r="AK622" s="125"/>
      <c r="AL622" s="125"/>
      <c r="AM622" s="125"/>
    </row>
    <row r="623" spans="1:39" ht="12.75" x14ac:dyDescent="0.2">
      <c r="A623" s="303"/>
      <c r="B623" s="303"/>
      <c r="C623" s="303"/>
      <c r="D623" s="143"/>
      <c r="E623" s="303"/>
      <c r="F623" s="303"/>
      <c r="G623" s="303"/>
      <c r="H623" s="303"/>
      <c r="I623" s="303"/>
      <c r="J623" s="303"/>
      <c r="K623" s="303"/>
      <c r="L623" s="143"/>
      <c r="M623" s="303"/>
      <c r="N623" s="303"/>
      <c r="O623" s="303"/>
      <c r="P623" s="303"/>
      <c r="Q623" s="303"/>
      <c r="R623" s="303"/>
      <c r="S623" s="303"/>
      <c r="T623" s="143"/>
      <c r="U623" s="303"/>
      <c r="V623" s="303"/>
      <c r="W623" s="303"/>
      <c r="X623" s="303"/>
      <c r="Y623" s="303"/>
      <c r="Z623" s="303"/>
      <c r="AA623" s="303"/>
      <c r="AB623" s="143"/>
      <c r="AC623" s="303"/>
      <c r="AD623" s="303"/>
      <c r="AE623" s="303"/>
      <c r="AF623" s="303"/>
      <c r="AG623" s="303"/>
      <c r="AH623" s="303"/>
      <c r="AI623" s="143"/>
      <c r="AJ623" s="125"/>
      <c r="AK623" s="125"/>
      <c r="AL623" s="125"/>
      <c r="AM623" s="125"/>
    </row>
    <row r="624" spans="1:39" ht="12.75" x14ac:dyDescent="0.2">
      <c r="A624" s="303"/>
      <c r="B624" s="303"/>
      <c r="C624" s="303"/>
      <c r="D624" s="143"/>
      <c r="E624" s="303"/>
      <c r="F624" s="303"/>
      <c r="G624" s="303"/>
      <c r="H624" s="303"/>
      <c r="I624" s="303"/>
      <c r="J624" s="303"/>
      <c r="K624" s="303"/>
      <c r="L624" s="143"/>
      <c r="M624" s="303"/>
      <c r="N624" s="303"/>
      <c r="O624" s="303"/>
      <c r="P624" s="303"/>
      <c r="Q624" s="303"/>
      <c r="R624" s="303"/>
      <c r="S624" s="303"/>
      <c r="T624" s="143"/>
      <c r="U624" s="303"/>
      <c r="V624" s="303"/>
      <c r="W624" s="303"/>
      <c r="X624" s="303"/>
      <c r="Y624" s="303"/>
      <c r="Z624" s="303"/>
      <c r="AA624" s="303"/>
      <c r="AB624" s="143"/>
      <c r="AC624" s="303"/>
      <c r="AD624" s="303"/>
      <c r="AE624" s="303"/>
      <c r="AF624" s="303"/>
      <c r="AG624" s="303"/>
      <c r="AH624" s="303"/>
      <c r="AI624" s="143"/>
      <c r="AJ624" s="125"/>
      <c r="AK624" s="125"/>
      <c r="AL624" s="125"/>
      <c r="AM624" s="125"/>
    </row>
    <row r="625" spans="1:39" ht="12.75" x14ac:dyDescent="0.2">
      <c r="A625" s="303"/>
      <c r="B625" s="303"/>
      <c r="C625" s="303"/>
      <c r="D625" s="143"/>
      <c r="E625" s="303"/>
      <c r="F625" s="303"/>
      <c r="G625" s="303"/>
      <c r="H625" s="303"/>
      <c r="I625" s="303"/>
      <c r="J625" s="303"/>
      <c r="K625" s="303"/>
      <c r="L625" s="143"/>
      <c r="M625" s="303"/>
      <c r="N625" s="303"/>
      <c r="O625" s="303"/>
      <c r="P625" s="303"/>
      <c r="Q625" s="303"/>
      <c r="R625" s="303"/>
      <c r="S625" s="303"/>
      <c r="T625" s="143"/>
      <c r="U625" s="303"/>
      <c r="V625" s="303"/>
      <c r="W625" s="303"/>
      <c r="X625" s="303"/>
      <c r="Y625" s="303"/>
      <c r="Z625" s="303"/>
      <c r="AA625" s="303"/>
      <c r="AB625" s="143"/>
      <c r="AC625" s="303"/>
      <c r="AD625" s="303"/>
      <c r="AE625" s="303"/>
      <c r="AF625" s="303"/>
      <c r="AG625" s="303"/>
      <c r="AH625" s="303"/>
      <c r="AI625" s="143"/>
      <c r="AJ625" s="125"/>
      <c r="AK625" s="125"/>
      <c r="AL625" s="125"/>
      <c r="AM625" s="125"/>
    </row>
    <row r="626" spans="1:39" ht="12.75" x14ac:dyDescent="0.2">
      <c r="A626" s="303"/>
      <c r="B626" s="303"/>
      <c r="C626" s="303"/>
      <c r="D626" s="143"/>
      <c r="E626" s="303"/>
      <c r="F626" s="303"/>
      <c r="G626" s="303"/>
      <c r="H626" s="303"/>
      <c r="I626" s="303"/>
      <c r="J626" s="303"/>
      <c r="K626" s="303"/>
      <c r="L626" s="143"/>
      <c r="M626" s="303"/>
      <c r="N626" s="303"/>
      <c r="O626" s="303"/>
      <c r="P626" s="303"/>
      <c r="Q626" s="303"/>
      <c r="R626" s="303"/>
      <c r="S626" s="303"/>
      <c r="T626" s="143"/>
      <c r="U626" s="303"/>
      <c r="V626" s="303"/>
      <c r="W626" s="303"/>
      <c r="X626" s="303"/>
      <c r="Y626" s="303"/>
      <c r="Z626" s="303"/>
      <c r="AA626" s="303"/>
      <c r="AB626" s="143"/>
      <c r="AC626" s="303"/>
      <c r="AD626" s="303"/>
      <c r="AE626" s="303"/>
      <c r="AF626" s="303"/>
      <c r="AG626" s="303"/>
      <c r="AH626" s="303"/>
      <c r="AI626" s="143"/>
      <c r="AJ626" s="125"/>
      <c r="AK626" s="125"/>
      <c r="AL626" s="125"/>
      <c r="AM626" s="125"/>
    </row>
    <row r="627" spans="1:39" ht="12.75" x14ac:dyDescent="0.2">
      <c r="A627" s="303"/>
      <c r="B627" s="303"/>
      <c r="C627" s="303"/>
      <c r="D627" s="143"/>
      <c r="E627" s="303"/>
      <c r="F627" s="303"/>
      <c r="G627" s="303"/>
      <c r="H627" s="303"/>
      <c r="I627" s="303"/>
      <c r="J627" s="303"/>
      <c r="K627" s="303"/>
      <c r="L627" s="143"/>
      <c r="M627" s="303"/>
      <c r="N627" s="303"/>
      <c r="O627" s="303"/>
      <c r="P627" s="303"/>
      <c r="Q627" s="303"/>
      <c r="R627" s="303"/>
      <c r="S627" s="303"/>
      <c r="T627" s="143"/>
      <c r="U627" s="303"/>
      <c r="V627" s="303"/>
      <c r="W627" s="303"/>
      <c r="X627" s="303"/>
      <c r="Y627" s="303"/>
      <c r="Z627" s="303"/>
      <c r="AA627" s="303"/>
      <c r="AB627" s="143"/>
      <c r="AC627" s="303"/>
      <c r="AD627" s="303"/>
      <c r="AE627" s="303"/>
      <c r="AF627" s="303"/>
      <c r="AG627" s="303"/>
      <c r="AH627" s="303"/>
      <c r="AI627" s="143"/>
      <c r="AJ627" s="125"/>
      <c r="AK627" s="125"/>
      <c r="AL627" s="125"/>
      <c r="AM627" s="125"/>
    </row>
    <row r="628" spans="1:39" ht="12.75" x14ac:dyDescent="0.2">
      <c r="A628" s="303"/>
      <c r="B628" s="303"/>
      <c r="C628" s="303"/>
      <c r="D628" s="143"/>
      <c r="E628" s="303"/>
      <c r="F628" s="303"/>
      <c r="G628" s="303"/>
      <c r="H628" s="303"/>
      <c r="I628" s="303"/>
      <c r="J628" s="303"/>
      <c r="K628" s="303"/>
      <c r="L628" s="143"/>
      <c r="M628" s="303"/>
      <c r="N628" s="303"/>
      <c r="O628" s="303"/>
      <c r="P628" s="303"/>
      <c r="Q628" s="303"/>
      <c r="R628" s="303"/>
      <c r="S628" s="303"/>
      <c r="T628" s="143"/>
      <c r="U628" s="303"/>
      <c r="V628" s="303"/>
      <c r="W628" s="303"/>
      <c r="X628" s="303"/>
      <c r="Y628" s="303"/>
      <c r="Z628" s="303"/>
      <c r="AA628" s="303"/>
      <c r="AB628" s="143"/>
      <c r="AC628" s="303"/>
      <c r="AD628" s="303"/>
      <c r="AE628" s="303"/>
      <c r="AF628" s="303"/>
      <c r="AG628" s="303"/>
      <c r="AH628" s="303"/>
      <c r="AI628" s="143"/>
      <c r="AJ628" s="125"/>
      <c r="AK628" s="125"/>
      <c r="AL628" s="125"/>
      <c r="AM628" s="125"/>
    </row>
    <row r="629" spans="1:39" ht="12.75" x14ac:dyDescent="0.2">
      <c r="A629" s="303"/>
      <c r="B629" s="303"/>
      <c r="C629" s="303"/>
      <c r="D629" s="143"/>
      <c r="E629" s="303"/>
      <c r="F629" s="303"/>
      <c r="G629" s="303"/>
      <c r="H629" s="303"/>
      <c r="I629" s="303"/>
      <c r="J629" s="303"/>
      <c r="K629" s="303"/>
      <c r="L629" s="143"/>
      <c r="M629" s="303"/>
      <c r="N629" s="303"/>
      <c r="O629" s="303"/>
      <c r="P629" s="303"/>
      <c r="Q629" s="303"/>
      <c r="R629" s="303"/>
      <c r="S629" s="303"/>
      <c r="T629" s="143"/>
      <c r="U629" s="303"/>
      <c r="V629" s="303"/>
      <c r="W629" s="303"/>
      <c r="X629" s="303"/>
      <c r="Y629" s="303"/>
      <c r="Z629" s="303"/>
      <c r="AA629" s="303"/>
      <c r="AB629" s="143"/>
      <c r="AC629" s="303"/>
      <c r="AD629" s="303"/>
      <c r="AE629" s="303"/>
      <c r="AF629" s="303"/>
      <c r="AG629" s="303"/>
      <c r="AH629" s="303"/>
      <c r="AI629" s="143"/>
      <c r="AJ629" s="125"/>
      <c r="AK629" s="125"/>
      <c r="AL629" s="125"/>
      <c r="AM629" s="125"/>
    </row>
    <row r="630" spans="1:39" ht="12.75" x14ac:dyDescent="0.2">
      <c r="A630" s="303"/>
      <c r="B630" s="303"/>
      <c r="C630" s="303"/>
      <c r="D630" s="143"/>
      <c r="E630" s="303"/>
      <c r="F630" s="303"/>
      <c r="G630" s="303"/>
      <c r="H630" s="303"/>
      <c r="I630" s="303"/>
      <c r="J630" s="303"/>
      <c r="K630" s="303"/>
      <c r="L630" s="143"/>
      <c r="M630" s="303"/>
      <c r="N630" s="303"/>
      <c r="O630" s="303"/>
      <c r="P630" s="303"/>
      <c r="Q630" s="303"/>
      <c r="R630" s="303"/>
      <c r="S630" s="303"/>
      <c r="T630" s="143"/>
      <c r="U630" s="303"/>
      <c r="V630" s="303"/>
      <c r="W630" s="303"/>
      <c r="X630" s="303"/>
      <c r="Y630" s="303"/>
      <c r="Z630" s="303"/>
      <c r="AA630" s="303"/>
      <c r="AB630" s="143"/>
      <c r="AC630" s="303"/>
      <c r="AD630" s="303"/>
      <c r="AE630" s="303"/>
      <c r="AF630" s="303"/>
      <c r="AG630" s="303"/>
      <c r="AH630" s="303"/>
      <c r="AI630" s="143"/>
      <c r="AJ630" s="125"/>
      <c r="AK630" s="125"/>
      <c r="AL630" s="125"/>
      <c r="AM630" s="125"/>
    </row>
    <row r="631" spans="1:39" ht="12.75" x14ac:dyDescent="0.2">
      <c r="A631" s="303"/>
      <c r="B631" s="303"/>
      <c r="C631" s="303"/>
      <c r="D631" s="143"/>
      <c r="E631" s="303"/>
      <c r="F631" s="303"/>
      <c r="G631" s="303"/>
      <c r="H631" s="303"/>
      <c r="I631" s="303"/>
      <c r="J631" s="303"/>
      <c r="K631" s="303"/>
      <c r="L631" s="143"/>
      <c r="M631" s="303"/>
      <c r="N631" s="303"/>
      <c r="O631" s="303"/>
      <c r="P631" s="303"/>
      <c r="Q631" s="303"/>
      <c r="R631" s="303"/>
      <c r="S631" s="303"/>
      <c r="T631" s="143"/>
      <c r="U631" s="303"/>
      <c r="V631" s="303"/>
      <c r="W631" s="303"/>
      <c r="X631" s="303"/>
      <c r="Y631" s="303"/>
      <c r="Z631" s="303"/>
      <c r="AA631" s="303"/>
      <c r="AB631" s="143"/>
      <c r="AC631" s="303"/>
      <c r="AD631" s="303"/>
      <c r="AE631" s="303"/>
      <c r="AF631" s="303"/>
      <c r="AG631" s="303"/>
      <c r="AH631" s="303"/>
      <c r="AI631" s="143"/>
      <c r="AJ631" s="125"/>
      <c r="AK631" s="125"/>
      <c r="AL631" s="125"/>
      <c r="AM631" s="125"/>
    </row>
    <row r="632" spans="1:39" ht="12.75" x14ac:dyDescent="0.2">
      <c r="A632" s="303"/>
      <c r="B632" s="303"/>
      <c r="C632" s="303"/>
      <c r="D632" s="143"/>
      <c r="E632" s="303"/>
      <c r="F632" s="303"/>
      <c r="G632" s="303"/>
      <c r="H632" s="303"/>
      <c r="I632" s="303"/>
      <c r="J632" s="303"/>
      <c r="K632" s="303"/>
      <c r="L632" s="143"/>
      <c r="M632" s="303"/>
      <c r="N632" s="303"/>
      <c r="O632" s="303"/>
      <c r="P632" s="303"/>
      <c r="Q632" s="303"/>
      <c r="R632" s="303"/>
      <c r="S632" s="303"/>
      <c r="T632" s="143"/>
      <c r="U632" s="303"/>
      <c r="V632" s="303"/>
      <c r="W632" s="303"/>
      <c r="X632" s="303"/>
      <c r="Y632" s="303"/>
      <c r="Z632" s="303"/>
      <c r="AA632" s="303"/>
      <c r="AB632" s="143"/>
      <c r="AC632" s="303"/>
      <c r="AD632" s="303"/>
      <c r="AE632" s="303"/>
      <c r="AF632" s="303"/>
      <c r="AG632" s="303"/>
      <c r="AH632" s="303"/>
      <c r="AI632" s="143"/>
      <c r="AJ632" s="125"/>
      <c r="AK632" s="125"/>
      <c r="AL632" s="125"/>
      <c r="AM632" s="125"/>
    </row>
    <row r="633" spans="1:39" ht="12.75" x14ac:dyDescent="0.2">
      <c r="A633" s="303"/>
      <c r="B633" s="303"/>
      <c r="C633" s="303"/>
      <c r="D633" s="143"/>
      <c r="E633" s="303"/>
      <c r="F633" s="303"/>
      <c r="G633" s="303"/>
      <c r="H633" s="303"/>
      <c r="I633" s="303"/>
      <c r="J633" s="303"/>
      <c r="K633" s="303"/>
      <c r="L633" s="143"/>
      <c r="M633" s="303"/>
      <c r="N633" s="303"/>
      <c r="O633" s="303"/>
      <c r="P633" s="303"/>
      <c r="Q633" s="303"/>
      <c r="R633" s="303"/>
      <c r="S633" s="303"/>
      <c r="T633" s="143"/>
      <c r="U633" s="303"/>
      <c r="V633" s="303"/>
      <c r="W633" s="303"/>
      <c r="X633" s="303"/>
      <c r="Y633" s="303"/>
      <c r="Z633" s="303"/>
      <c r="AA633" s="303"/>
      <c r="AB633" s="143"/>
      <c r="AC633" s="303"/>
      <c r="AD633" s="303"/>
      <c r="AE633" s="303"/>
      <c r="AF633" s="303"/>
      <c r="AG633" s="303"/>
      <c r="AH633" s="303"/>
      <c r="AI633" s="143"/>
      <c r="AJ633" s="125"/>
      <c r="AK633" s="125"/>
      <c r="AL633" s="125"/>
      <c r="AM633" s="125"/>
    </row>
    <row r="634" spans="1:39" ht="12.75" x14ac:dyDescent="0.2">
      <c r="A634" s="303"/>
      <c r="B634" s="303"/>
      <c r="C634" s="303"/>
      <c r="D634" s="143"/>
      <c r="E634" s="303"/>
      <c r="F634" s="303"/>
      <c r="G634" s="303"/>
      <c r="H634" s="303"/>
      <c r="I634" s="303"/>
      <c r="J634" s="303"/>
      <c r="K634" s="303"/>
      <c r="L634" s="143"/>
      <c r="M634" s="303"/>
      <c r="N634" s="303"/>
      <c r="O634" s="303"/>
      <c r="P634" s="303"/>
      <c r="Q634" s="303"/>
      <c r="R634" s="303"/>
      <c r="S634" s="303"/>
      <c r="T634" s="143"/>
      <c r="U634" s="303"/>
      <c r="V634" s="303"/>
      <c r="W634" s="303"/>
      <c r="X634" s="303"/>
      <c r="Y634" s="303"/>
      <c r="Z634" s="303"/>
      <c r="AA634" s="303"/>
      <c r="AB634" s="143"/>
      <c r="AC634" s="303"/>
      <c r="AD634" s="303"/>
      <c r="AE634" s="303"/>
      <c r="AF634" s="303"/>
      <c r="AG634" s="303"/>
      <c r="AH634" s="303"/>
      <c r="AI634" s="143"/>
      <c r="AJ634" s="125"/>
      <c r="AK634" s="125"/>
      <c r="AL634" s="125"/>
      <c r="AM634" s="125"/>
    </row>
    <row r="635" spans="1:39" ht="12.75" x14ac:dyDescent="0.2">
      <c r="A635" s="303"/>
      <c r="B635" s="303"/>
      <c r="C635" s="303"/>
      <c r="D635" s="143"/>
      <c r="E635" s="303"/>
      <c r="F635" s="303"/>
      <c r="G635" s="303"/>
      <c r="H635" s="303"/>
      <c r="I635" s="303"/>
      <c r="J635" s="303"/>
      <c r="K635" s="303"/>
      <c r="L635" s="143"/>
      <c r="M635" s="303"/>
      <c r="N635" s="303"/>
      <c r="O635" s="303"/>
      <c r="P635" s="303"/>
      <c r="Q635" s="303"/>
      <c r="R635" s="303"/>
      <c r="S635" s="303"/>
      <c r="T635" s="143"/>
      <c r="U635" s="303"/>
      <c r="V635" s="303"/>
      <c r="W635" s="303"/>
      <c r="X635" s="303"/>
      <c r="Y635" s="303"/>
      <c r="Z635" s="303"/>
      <c r="AA635" s="303"/>
      <c r="AB635" s="143"/>
      <c r="AC635" s="303"/>
      <c r="AD635" s="303"/>
      <c r="AE635" s="303"/>
      <c r="AF635" s="303"/>
      <c r="AG635" s="303"/>
      <c r="AH635" s="303"/>
      <c r="AI635" s="143"/>
      <c r="AJ635" s="125"/>
      <c r="AK635" s="125"/>
      <c r="AL635" s="125"/>
      <c r="AM635" s="125"/>
    </row>
    <row r="636" spans="1:39" ht="12.75" x14ac:dyDescent="0.2">
      <c r="A636" s="303"/>
      <c r="B636" s="303"/>
      <c r="C636" s="303"/>
      <c r="D636" s="143"/>
      <c r="E636" s="303"/>
      <c r="F636" s="303"/>
      <c r="G636" s="303"/>
      <c r="H636" s="303"/>
      <c r="I636" s="303"/>
      <c r="J636" s="303"/>
      <c r="K636" s="303"/>
      <c r="L636" s="143"/>
      <c r="M636" s="303"/>
      <c r="N636" s="303"/>
      <c r="O636" s="303"/>
      <c r="P636" s="303"/>
      <c r="Q636" s="303"/>
      <c r="R636" s="303"/>
      <c r="S636" s="303"/>
      <c r="T636" s="143"/>
      <c r="U636" s="303"/>
      <c r="V636" s="303"/>
      <c r="W636" s="303"/>
      <c r="X636" s="303"/>
      <c r="Y636" s="303"/>
      <c r="Z636" s="303"/>
      <c r="AA636" s="303"/>
      <c r="AB636" s="143"/>
      <c r="AC636" s="303"/>
      <c r="AD636" s="303"/>
      <c r="AE636" s="303"/>
      <c r="AF636" s="303"/>
      <c r="AG636" s="303"/>
      <c r="AH636" s="303"/>
      <c r="AI636" s="143"/>
      <c r="AJ636" s="125"/>
      <c r="AK636" s="125"/>
      <c r="AL636" s="125"/>
      <c r="AM636" s="125"/>
    </row>
    <row r="637" spans="1:39" ht="12.75" x14ac:dyDescent="0.2">
      <c r="A637" s="303"/>
      <c r="B637" s="303"/>
      <c r="C637" s="303"/>
      <c r="D637" s="143"/>
      <c r="E637" s="303"/>
      <c r="F637" s="303"/>
      <c r="G637" s="303"/>
      <c r="H637" s="303"/>
      <c r="I637" s="303"/>
      <c r="J637" s="303"/>
      <c r="K637" s="303"/>
      <c r="L637" s="143"/>
      <c r="M637" s="303"/>
      <c r="N637" s="303"/>
      <c r="O637" s="303"/>
      <c r="P637" s="303"/>
      <c r="Q637" s="303"/>
      <c r="R637" s="303"/>
      <c r="S637" s="303"/>
      <c r="T637" s="143"/>
      <c r="U637" s="303"/>
      <c r="V637" s="303"/>
      <c r="W637" s="303"/>
      <c r="X637" s="303"/>
      <c r="Y637" s="303"/>
      <c r="Z637" s="303"/>
      <c r="AA637" s="303"/>
      <c r="AB637" s="143"/>
      <c r="AC637" s="303"/>
      <c r="AD637" s="303"/>
      <c r="AE637" s="303"/>
      <c r="AF637" s="303"/>
      <c r="AG637" s="303"/>
      <c r="AH637" s="303"/>
      <c r="AI637" s="143"/>
      <c r="AJ637" s="125"/>
      <c r="AK637" s="125"/>
      <c r="AL637" s="125"/>
      <c r="AM637" s="125"/>
    </row>
    <row r="638" spans="1:39" ht="12.75" x14ac:dyDescent="0.2">
      <c r="A638" s="303"/>
      <c r="B638" s="303"/>
      <c r="C638" s="303"/>
      <c r="D638" s="143"/>
      <c r="E638" s="303"/>
      <c r="F638" s="303"/>
      <c r="G638" s="303"/>
      <c r="H638" s="303"/>
      <c r="I638" s="303"/>
      <c r="J638" s="303"/>
      <c r="K638" s="303"/>
      <c r="L638" s="143"/>
      <c r="M638" s="303"/>
      <c r="N638" s="303"/>
      <c r="O638" s="303"/>
      <c r="P638" s="303"/>
      <c r="Q638" s="303"/>
      <c r="R638" s="303"/>
      <c r="S638" s="303"/>
      <c r="T638" s="143"/>
      <c r="U638" s="303"/>
      <c r="V638" s="303"/>
      <c r="W638" s="303"/>
      <c r="X638" s="303"/>
      <c r="Y638" s="303"/>
      <c r="Z638" s="303"/>
      <c r="AA638" s="303"/>
      <c r="AB638" s="143"/>
      <c r="AC638" s="303"/>
      <c r="AD638" s="303"/>
      <c r="AE638" s="303"/>
      <c r="AF638" s="303"/>
      <c r="AG638" s="303"/>
      <c r="AH638" s="303"/>
      <c r="AI638" s="143"/>
      <c r="AJ638" s="125"/>
      <c r="AK638" s="125"/>
      <c r="AL638" s="125"/>
      <c r="AM638" s="125"/>
    </row>
    <row r="639" spans="1:39" ht="12.75" x14ac:dyDescent="0.2">
      <c r="A639" s="303"/>
      <c r="B639" s="303"/>
      <c r="C639" s="303"/>
      <c r="D639" s="143"/>
      <c r="E639" s="303"/>
      <c r="F639" s="303"/>
      <c r="G639" s="303"/>
      <c r="H639" s="303"/>
      <c r="I639" s="303"/>
      <c r="J639" s="303"/>
      <c r="K639" s="303"/>
      <c r="L639" s="143"/>
      <c r="M639" s="303"/>
      <c r="N639" s="303"/>
      <c r="O639" s="303"/>
      <c r="P639" s="303"/>
      <c r="Q639" s="303"/>
      <c r="R639" s="303"/>
      <c r="S639" s="303"/>
      <c r="T639" s="143"/>
      <c r="U639" s="303"/>
      <c r="V639" s="303"/>
      <c r="W639" s="303"/>
      <c r="X639" s="303"/>
      <c r="Y639" s="303"/>
      <c r="Z639" s="303"/>
      <c r="AA639" s="303"/>
      <c r="AB639" s="143"/>
      <c r="AC639" s="303"/>
      <c r="AD639" s="303"/>
      <c r="AE639" s="303"/>
      <c r="AF639" s="303"/>
      <c r="AG639" s="303"/>
      <c r="AH639" s="303"/>
      <c r="AI639" s="143"/>
      <c r="AJ639" s="125"/>
      <c r="AK639" s="125"/>
      <c r="AL639" s="125"/>
      <c r="AM639" s="125"/>
    </row>
    <row r="640" spans="1:39" ht="12.75" x14ac:dyDescent="0.2">
      <c r="A640" s="303"/>
      <c r="B640" s="303"/>
      <c r="C640" s="303"/>
      <c r="D640" s="143"/>
      <c r="E640" s="303"/>
      <c r="F640" s="303"/>
      <c r="G640" s="303"/>
      <c r="H640" s="303"/>
      <c r="I640" s="303"/>
      <c r="J640" s="303"/>
      <c r="K640" s="303"/>
      <c r="L640" s="143"/>
      <c r="M640" s="303"/>
      <c r="N640" s="303"/>
      <c r="O640" s="303"/>
      <c r="P640" s="303"/>
      <c r="Q640" s="303"/>
      <c r="R640" s="303"/>
      <c r="S640" s="303"/>
      <c r="T640" s="143"/>
      <c r="U640" s="303"/>
      <c r="V640" s="303"/>
      <c r="W640" s="303"/>
      <c r="X640" s="303"/>
      <c r="Y640" s="303"/>
      <c r="Z640" s="303"/>
      <c r="AA640" s="303"/>
      <c r="AB640" s="143"/>
      <c r="AC640" s="303"/>
      <c r="AD640" s="303"/>
      <c r="AE640" s="303"/>
      <c r="AF640" s="303"/>
      <c r="AG640" s="303"/>
      <c r="AH640" s="303"/>
      <c r="AI640" s="143"/>
      <c r="AJ640" s="125"/>
      <c r="AK640" s="125"/>
      <c r="AL640" s="125"/>
      <c r="AM640" s="125"/>
    </row>
    <row r="641" spans="1:39" ht="12.75" x14ac:dyDescent="0.2">
      <c r="A641" s="303"/>
      <c r="B641" s="303"/>
      <c r="C641" s="303"/>
      <c r="D641" s="143"/>
      <c r="E641" s="303"/>
      <c r="F641" s="303"/>
      <c r="G641" s="303"/>
      <c r="H641" s="303"/>
      <c r="I641" s="303"/>
      <c r="J641" s="303"/>
      <c r="K641" s="303"/>
      <c r="L641" s="143"/>
      <c r="M641" s="303"/>
      <c r="N641" s="303"/>
      <c r="O641" s="303"/>
      <c r="P641" s="303"/>
      <c r="Q641" s="303"/>
      <c r="R641" s="303"/>
      <c r="S641" s="303"/>
      <c r="T641" s="143"/>
      <c r="U641" s="303"/>
      <c r="V641" s="303"/>
      <c r="W641" s="303"/>
      <c r="X641" s="303"/>
      <c r="Y641" s="303"/>
      <c r="Z641" s="303"/>
      <c r="AA641" s="303"/>
      <c r="AB641" s="143"/>
      <c r="AC641" s="303"/>
      <c r="AD641" s="303"/>
      <c r="AE641" s="303"/>
      <c r="AF641" s="303"/>
      <c r="AG641" s="303"/>
      <c r="AH641" s="303"/>
      <c r="AI641" s="143"/>
      <c r="AJ641" s="125"/>
      <c r="AK641" s="125"/>
      <c r="AL641" s="125"/>
      <c r="AM641" s="125"/>
    </row>
    <row r="642" spans="1:39" ht="12.75" x14ac:dyDescent="0.2">
      <c r="A642" s="303"/>
      <c r="B642" s="303"/>
      <c r="C642" s="303"/>
      <c r="D642" s="143"/>
      <c r="E642" s="303"/>
      <c r="F642" s="303"/>
      <c r="G642" s="303"/>
      <c r="H642" s="303"/>
      <c r="I642" s="303"/>
      <c r="J642" s="303"/>
      <c r="K642" s="303"/>
      <c r="L642" s="143"/>
      <c r="M642" s="303"/>
      <c r="N642" s="303"/>
      <c r="O642" s="303"/>
      <c r="P642" s="303"/>
      <c r="Q642" s="303"/>
      <c r="R642" s="303"/>
      <c r="S642" s="303"/>
      <c r="T642" s="143"/>
      <c r="U642" s="303"/>
      <c r="V642" s="303"/>
      <c r="W642" s="303"/>
      <c r="X642" s="303"/>
      <c r="Y642" s="303"/>
      <c r="Z642" s="303"/>
      <c r="AA642" s="303"/>
      <c r="AB642" s="143"/>
      <c r="AC642" s="303"/>
      <c r="AD642" s="303"/>
      <c r="AE642" s="303"/>
      <c r="AF642" s="303"/>
      <c r="AG642" s="303"/>
      <c r="AH642" s="303"/>
      <c r="AI642" s="143"/>
      <c r="AJ642" s="125"/>
      <c r="AK642" s="125"/>
      <c r="AL642" s="125"/>
      <c r="AM642" s="125"/>
    </row>
    <row r="643" spans="1:39" ht="12.75" x14ac:dyDescent="0.2">
      <c r="A643" s="303"/>
      <c r="B643" s="303"/>
      <c r="C643" s="303"/>
      <c r="D643" s="143"/>
      <c r="E643" s="303"/>
      <c r="F643" s="303"/>
      <c r="G643" s="303"/>
      <c r="H643" s="303"/>
      <c r="I643" s="303"/>
      <c r="J643" s="303"/>
      <c r="K643" s="303"/>
      <c r="L643" s="143"/>
      <c r="M643" s="303"/>
      <c r="N643" s="303"/>
      <c r="O643" s="303"/>
      <c r="P643" s="303"/>
      <c r="Q643" s="303"/>
      <c r="R643" s="303"/>
      <c r="S643" s="303"/>
      <c r="T643" s="143"/>
      <c r="U643" s="303"/>
      <c r="V643" s="303"/>
      <c r="W643" s="303"/>
      <c r="X643" s="303"/>
      <c r="Y643" s="303"/>
      <c r="Z643" s="303"/>
      <c r="AA643" s="303"/>
      <c r="AB643" s="143"/>
      <c r="AC643" s="303"/>
      <c r="AD643" s="303"/>
      <c r="AE643" s="303"/>
      <c r="AF643" s="303"/>
      <c r="AG643" s="303"/>
      <c r="AH643" s="303"/>
      <c r="AI643" s="143"/>
      <c r="AJ643" s="125"/>
      <c r="AK643" s="125"/>
      <c r="AL643" s="125"/>
      <c r="AM643" s="125"/>
    </row>
    <row r="644" spans="1:39" ht="12.75" x14ac:dyDescent="0.2">
      <c r="A644" s="303"/>
      <c r="B644" s="303"/>
      <c r="C644" s="303"/>
      <c r="D644" s="143"/>
      <c r="E644" s="303"/>
      <c r="F644" s="303"/>
      <c r="G644" s="303"/>
      <c r="H644" s="303"/>
      <c r="I644" s="303"/>
      <c r="J644" s="303"/>
      <c r="K644" s="303"/>
      <c r="L644" s="143"/>
      <c r="M644" s="303"/>
      <c r="N644" s="303"/>
      <c r="O644" s="303"/>
      <c r="P644" s="303"/>
      <c r="Q644" s="303"/>
      <c r="R644" s="303"/>
      <c r="S644" s="303"/>
      <c r="T644" s="143"/>
      <c r="U644" s="303"/>
      <c r="V644" s="303"/>
      <c r="W644" s="303"/>
      <c r="X644" s="303"/>
      <c r="Y644" s="303"/>
      <c r="Z644" s="303"/>
      <c r="AA644" s="303"/>
      <c r="AB644" s="143"/>
      <c r="AC644" s="303"/>
      <c r="AD644" s="303"/>
      <c r="AE644" s="303"/>
      <c r="AF644" s="303"/>
      <c r="AG644" s="303"/>
      <c r="AH644" s="303"/>
      <c r="AI644" s="143"/>
      <c r="AJ644" s="125"/>
      <c r="AK644" s="125"/>
      <c r="AL644" s="125"/>
      <c r="AM644" s="125"/>
    </row>
    <row r="645" spans="1:39" ht="12.75" x14ac:dyDescent="0.2">
      <c r="A645" s="303"/>
      <c r="B645" s="303"/>
      <c r="C645" s="303"/>
      <c r="D645" s="143"/>
      <c r="E645" s="303"/>
      <c r="F645" s="303"/>
      <c r="G645" s="303"/>
      <c r="H645" s="303"/>
      <c r="I645" s="303"/>
      <c r="J645" s="303"/>
      <c r="K645" s="303"/>
      <c r="L645" s="143"/>
      <c r="M645" s="303"/>
      <c r="N645" s="303"/>
      <c r="O645" s="303"/>
      <c r="P645" s="303"/>
      <c r="Q645" s="303"/>
      <c r="R645" s="303"/>
      <c r="S645" s="303"/>
      <c r="T645" s="143"/>
      <c r="U645" s="303"/>
      <c r="V645" s="303"/>
      <c r="W645" s="303"/>
      <c r="X645" s="303"/>
      <c r="Y645" s="303"/>
      <c r="Z645" s="303"/>
      <c r="AA645" s="303"/>
      <c r="AB645" s="143"/>
      <c r="AC645" s="303"/>
      <c r="AD645" s="303"/>
      <c r="AE645" s="303"/>
      <c r="AF645" s="303"/>
      <c r="AG645" s="303"/>
      <c r="AH645" s="303"/>
      <c r="AI645" s="143"/>
      <c r="AJ645" s="125"/>
      <c r="AK645" s="125"/>
      <c r="AL645" s="125"/>
      <c r="AM645" s="125"/>
    </row>
    <row r="646" spans="1:39" ht="12.75" x14ac:dyDescent="0.2">
      <c r="A646" s="303"/>
      <c r="B646" s="303"/>
      <c r="C646" s="303"/>
      <c r="D646" s="143"/>
      <c r="E646" s="303"/>
      <c r="F646" s="303"/>
      <c r="G646" s="303"/>
      <c r="H646" s="303"/>
      <c r="I646" s="303"/>
      <c r="J646" s="303"/>
      <c r="K646" s="303"/>
      <c r="L646" s="143"/>
      <c r="M646" s="303"/>
      <c r="N646" s="303"/>
      <c r="O646" s="303"/>
      <c r="P646" s="303"/>
      <c r="Q646" s="303"/>
      <c r="R646" s="303"/>
      <c r="S646" s="303"/>
      <c r="T646" s="143"/>
      <c r="U646" s="303"/>
      <c r="V646" s="303"/>
      <c r="W646" s="303"/>
      <c r="X646" s="303"/>
      <c r="Y646" s="303"/>
      <c r="Z646" s="303"/>
      <c r="AA646" s="303"/>
      <c r="AB646" s="143"/>
      <c r="AC646" s="303"/>
      <c r="AD646" s="303"/>
      <c r="AE646" s="303"/>
      <c r="AF646" s="303"/>
      <c r="AG646" s="303"/>
      <c r="AH646" s="303"/>
      <c r="AI646" s="143"/>
      <c r="AJ646" s="125"/>
      <c r="AK646" s="125"/>
      <c r="AL646" s="125"/>
      <c r="AM646" s="125"/>
    </row>
    <row r="647" spans="1:39" ht="12.75" x14ac:dyDescent="0.2">
      <c r="A647" s="303"/>
      <c r="B647" s="303"/>
      <c r="C647" s="303"/>
      <c r="D647" s="143"/>
      <c r="E647" s="303"/>
      <c r="F647" s="303"/>
      <c r="G647" s="303"/>
      <c r="H647" s="303"/>
      <c r="I647" s="303"/>
      <c r="J647" s="303"/>
      <c r="K647" s="303"/>
      <c r="L647" s="143"/>
      <c r="M647" s="303"/>
      <c r="N647" s="303"/>
      <c r="O647" s="303"/>
      <c r="P647" s="303"/>
      <c r="Q647" s="303"/>
      <c r="R647" s="303"/>
      <c r="S647" s="303"/>
      <c r="T647" s="143"/>
      <c r="U647" s="303"/>
      <c r="V647" s="303"/>
      <c r="W647" s="303"/>
      <c r="X647" s="303"/>
      <c r="Y647" s="303"/>
      <c r="Z647" s="303"/>
      <c r="AA647" s="303"/>
      <c r="AB647" s="143"/>
      <c r="AC647" s="303"/>
      <c r="AD647" s="303"/>
      <c r="AE647" s="303"/>
      <c r="AF647" s="303"/>
      <c r="AG647" s="303"/>
      <c r="AH647" s="303"/>
      <c r="AI647" s="143"/>
      <c r="AJ647" s="125"/>
      <c r="AK647" s="125"/>
      <c r="AL647" s="125"/>
      <c r="AM647" s="125"/>
    </row>
    <row r="648" spans="1:39" ht="12.75" x14ac:dyDescent="0.2">
      <c r="A648" s="303"/>
      <c r="B648" s="303"/>
      <c r="C648" s="303"/>
      <c r="D648" s="143"/>
      <c r="E648" s="303"/>
      <c r="F648" s="303"/>
      <c r="G648" s="303"/>
      <c r="H648" s="303"/>
      <c r="I648" s="303"/>
      <c r="J648" s="303"/>
      <c r="K648" s="303"/>
      <c r="L648" s="143"/>
      <c r="M648" s="303"/>
      <c r="N648" s="303"/>
      <c r="O648" s="303"/>
      <c r="P648" s="303"/>
      <c r="Q648" s="303"/>
      <c r="R648" s="303"/>
      <c r="S648" s="303"/>
      <c r="T648" s="143"/>
      <c r="U648" s="303"/>
      <c r="V648" s="303"/>
      <c r="W648" s="303"/>
      <c r="X648" s="303"/>
      <c r="Y648" s="303"/>
      <c r="Z648" s="303"/>
      <c r="AA648" s="303"/>
      <c r="AB648" s="143"/>
      <c r="AC648" s="303"/>
      <c r="AD648" s="303"/>
      <c r="AE648" s="303"/>
      <c r="AF648" s="303"/>
      <c r="AG648" s="303"/>
      <c r="AH648" s="303"/>
      <c r="AI648" s="143"/>
      <c r="AJ648" s="125"/>
      <c r="AK648" s="125"/>
      <c r="AL648" s="125"/>
      <c r="AM648" s="125"/>
    </row>
    <row r="649" spans="1:39" ht="12.75" x14ac:dyDescent="0.2">
      <c r="A649" s="303"/>
      <c r="B649" s="303"/>
      <c r="C649" s="303"/>
      <c r="D649" s="143"/>
      <c r="E649" s="303"/>
      <c r="F649" s="303"/>
      <c r="G649" s="303"/>
      <c r="H649" s="303"/>
      <c r="I649" s="303"/>
      <c r="J649" s="303"/>
      <c r="K649" s="303"/>
      <c r="L649" s="143"/>
      <c r="M649" s="303"/>
      <c r="N649" s="303"/>
      <c r="O649" s="303"/>
      <c r="P649" s="303"/>
      <c r="Q649" s="303"/>
      <c r="R649" s="303"/>
      <c r="S649" s="303"/>
      <c r="T649" s="143"/>
      <c r="U649" s="303"/>
      <c r="V649" s="303"/>
      <c r="W649" s="303"/>
      <c r="X649" s="303"/>
      <c r="Y649" s="303"/>
      <c r="Z649" s="303"/>
      <c r="AA649" s="303"/>
      <c r="AB649" s="143"/>
      <c r="AC649" s="303"/>
      <c r="AD649" s="303"/>
      <c r="AE649" s="303"/>
      <c r="AF649" s="303"/>
      <c r="AG649" s="303"/>
      <c r="AH649" s="303"/>
      <c r="AI649" s="143"/>
      <c r="AJ649" s="125"/>
      <c r="AK649" s="125"/>
      <c r="AL649" s="125"/>
      <c r="AM649" s="125"/>
    </row>
    <row r="650" spans="1:39" ht="12.75" x14ac:dyDescent="0.2">
      <c r="A650" s="303"/>
      <c r="B650" s="303"/>
      <c r="C650" s="303"/>
      <c r="D650" s="143"/>
      <c r="E650" s="303"/>
      <c r="F650" s="303"/>
      <c r="G650" s="303"/>
      <c r="H650" s="303"/>
      <c r="I650" s="303"/>
      <c r="J650" s="303"/>
      <c r="K650" s="303"/>
      <c r="L650" s="143"/>
      <c r="M650" s="303"/>
      <c r="N650" s="303"/>
      <c r="O650" s="303"/>
      <c r="P650" s="303"/>
      <c r="Q650" s="303"/>
      <c r="R650" s="303"/>
      <c r="S650" s="303"/>
      <c r="T650" s="143"/>
      <c r="U650" s="303"/>
      <c r="V650" s="303"/>
      <c r="W650" s="303"/>
      <c r="X650" s="303"/>
      <c r="Y650" s="303"/>
      <c r="Z650" s="303"/>
      <c r="AA650" s="303"/>
      <c r="AB650" s="143"/>
      <c r="AC650" s="303"/>
      <c r="AD650" s="303"/>
      <c r="AE650" s="303"/>
      <c r="AF650" s="303"/>
      <c r="AG650" s="303"/>
      <c r="AH650" s="303"/>
      <c r="AI650" s="143"/>
      <c r="AJ650" s="125"/>
      <c r="AK650" s="125"/>
      <c r="AL650" s="125"/>
      <c r="AM650" s="125"/>
    </row>
    <row r="651" spans="1:39" ht="12.75" x14ac:dyDescent="0.2">
      <c r="A651" s="303"/>
      <c r="B651" s="303"/>
      <c r="C651" s="303"/>
      <c r="D651" s="143"/>
      <c r="E651" s="303"/>
      <c r="F651" s="303"/>
      <c r="G651" s="303"/>
      <c r="H651" s="303"/>
      <c r="I651" s="303"/>
      <c r="J651" s="303"/>
      <c r="K651" s="303"/>
      <c r="L651" s="143"/>
      <c r="M651" s="303"/>
      <c r="N651" s="303"/>
      <c r="O651" s="303"/>
      <c r="P651" s="303"/>
      <c r="Q651" s="303"/>
      <c r="R651" s="303"/>
      <c r="S651" s="303"/>
      <c r="T651" s="143"/>
      <c r="U651" s="303"/>
      <c r="V651" s="303"/>
      <c r="W651" s="303"/>
      <c r="X651" s="303"/>
      <c r="Y651" s="303"/>
      <c r="Z651" s="303"/>
      <c r="AA651" s="303"/>
      <c r="AB651" s="143"/>
      <c r="AC651" s="303"/>
      <c r="AD651" s="303"/>
      <c r="AE651" s="303"/>
      <c r="AF651" s="303"/>
      <c r="AG651" s="303"/>
      <c r="AH651" s="303"/>
      <c r="AI651" s="143"/>
      <c r="AJ651" s="125"/>
      <c r="AK651" s="125"/>
      <c r="AL651" s="125"/>
      <c r="AM651" s="125"/>
    </row>
    <row r="652" spans="1:39" ht="12.75" x14ac:dyDescent="0.2">
      <c r="A652" s="303"/>
      <c r="B652" s="303"/>
      <c r="C652" s="303"/>
      <c r="D652" s="143"/>
      <c r="E652" s="303"/>
      <c r="F652" s="303"/>
      <c r="G652" s="303"/>
      <c r="H652" s="303"/>
      <c r="I652" s="303"/>
      <c r="J652" s="303"/>
      <c r="K652" s="303"/>
      <c r="L652" s="143"/>
      <c r="M652" s="303"/>
      <c r="N652" s="303"/>
      <c r="O652" s="303"/>
      <c r="P652" s="303"/>
      <c r="Q652" s="303"/>
      <c r="R652" s="303"/>
      <c r="S652" s="303"/>
      <c r="T652" s="143"/>
      <c r="U652" s="303"/>
      <c r="V652" s="303"/>
      <c r="W652" s="303"/>
      <c r="X652" s="303"/>
      <c r="Y652" s="303"/>
      <c r="Z652" s="303"/>
      <c r="AA652" s="303"/>
      <c r="AB652" s="143"/>
      <c r="AC652" s="303"/>
      <c r="AD652" s="303"/>
      <c r="AE652" s="303"/>
      <c r="AF652" s="303"/>
      <c r="AG652" s="303"/>
      <c r="AH652" s="303"/>
      <c r="AI652" s="143"/>
      <c r="AJ652" s="125"/>
      <c r="AK652" s="125"/>
      <c r="AL652" s="125"/>
      <c r="AM652" s="125"/>
    </row>
    <row r="653" spans="1:39" ht="12.75" x14ac:dyDescent="0.2">
      <c r="A653" s="303"/>
      <c r="B653" s="303"/>
      <c r="C653" s="303"/>
      <c r="D653" s="143"/>
      <c r="E653" s="303"/>
      <c r="F653" s="303"/>
      <c r="G653" s="303"/>
      <c r="H653" s="303"/>
      <c r="I653" s="303"/>
      <c r="J653" s="303"/>
      <c r="K653" s="303"/>
      <c r="L653" s="143"/>
      <c r="M653" s="303"/>
      <c r="N653" s="303"/>
      <c r="O653" s="303"/>
      <c r="P653" s="303"/>
      <c r="Q653" s="303"/>
      <c r="R653" s="303"/>
      <c r="S653" s="303"/>
      <c r="T653" s="143"/>
      <c r="U653" s="303"/>
      <c r="V653" s="303"/>
      <c r="W653" s="303"/>
      <c r="X653" s="303"/>
      <c r="Y653" s="303"/>
      <c r="Z653" s="303"/>
      <c r="AA653" s="303"/>
      <c r="AB653" s="143"/>
      <c r="AC653" s="303"/>
      <c r="AD653" s="303"/>
      <c r="AE653" s="303"/>
      <c r="AF653" s="303"/>
      <c r="AG653" s="303"/>
      <c r="AH653" s="303"/>
      <c r="AI653" s="143"/>
      <c r="AJ653" s="125"/>
      <c r="AK653" s="125"/>
      <c r="AL653" s="125"/>
      <c r="AM653" s="125"/>
    </row>
    <row r="654" spans="1:39" ht="12.75" x14ac:dyDescent="0.2">
      <c r="A654" s="303"/>
      <c r="B654" s="303"/>
      <c r="C654" s="303"/>
      <c r="D654" s="143"/>
      <c r="E654" s="303"/>
      <c r="F654" s="303"/>
      <c r="G654" s="303"/>
      <c r="H654" s="303"/>
      <c r="I654" s="303"/>
      <c r="J654" s="303"/>
      <c r="K654" s="303"/>
      <c r="L654" s="143"/>
      <c r="M654" s="303"/>
      <c r="N654" s="303"/>
      <c r="O654" s="303"/>
      <c r="P654" s="303"/>
      <c r="Q654" s="303"/>
      <c r="R654" s="303"/>
      <c r="S654" s="303"/>
      <c r="T654" s="143"/>
      <c r="U654" s="303"/>
      <c r="V654" s="303"/>
      <c r="W654" s="303"/>
      <c r="X654" s="303"/>
      <c r="Y654" s="303"/>
      <c r="Z654" s="303"/>
      <c r="AA654" s="303"/>
      <c r="AB654" s="143"/>
      <c r="AC654" s="303"/>
      <c r="AD654" s="303"/>
      <c r="AE654" s="303"/>
      <c r="AF654" s="303"/>
      <c r="AG654" s="303"/>
      <c r="AH654" s="303"/>
      <c r="AI654" s="143"/>
      <c r="AJ654" s="125"/>
      <c r="AK654" s="125"/>
      <c r="AL654" s="125"/>
      <c r="AM654" s="125"/>
    </row>
    <row r="655" spans="1:39" ht="12.75" x14ac:dyDescent="0.2">
      <c r="A655" s="303"/>
      <c r="B655" s="303"/>
      <c r="C655" s="303"/>
      <c r="D655" s="143"/>
      <c r="E655" s="303"/>
      <c r="F655" s="303"/>
      <c r="G655" s="303"/>
      <c r="H655" s="303"/>
      <c r="I655" s="303"/>
      <c r="J655" s="303"/>
      <c r="K655" s="303"/>
      <c r="L655" s="143"/>
      <c r="M655" s="303"/>
      <c r="N655" s="303"/>
      <c r="O655" s="303"/>
      <c r="P655" s="303"/>
      <c r="Q655" s="303"/>
      <c r="R655" s="303"/>
      <c r="S655" s="303"/>
      <c r="T655" s="143"/>
      <c r="U655" s="303"/>
      <c r="V655" s="303"/>
      <c r="W655" s="303"/>
      <c r="X655" s="303"/>
      <c r="Y655" s="303"/>
      <c r="Z655" s="303"/>
      <c r="AA655" s="303"/>
      <c r="AB655" s="143"/>
      <c r="AC655" s="303"/>
      <c r="AD655" s="303"/>
      <c r="AE655" s="303"/>
      <c r="AF655" s="303"/>
      <c r="AG655" s="303"/>
      <c r="AH655" s="303"/>
      <c r="AI655" s="143"/>
      <c r="AJ655" s="125"/>
      <c r="AK655" s="125"/>
      <c r="AL655" s="125"/>
      <c r="AM655" s="125"/>
    </row>
    <row r="656" spans="1:39" ht="12.75" x14ac:dyDescent="0.2">
      <c r="A656" s="303"/>
      <c r="B656" s="303"/>
      <c r="C656" s="303"/>
      <c r="D656" s="143"/>
      <c r="E656" s="303"/>
      <c r="F656" s="303"/>
      <c r="G656" s="303"/>
      <c r="H656" s="303"/>
      <c r="I656" s="303"/>
      <c r="J656" s="303"/>
      <c r="K656" s="303"/>
      <c r="L656" s="143"/>
      <c r="M656" s="303"/>
      <c r="N656" s="303"/>
      <c r="O656" s="303"/>
      <c r="P656" s="303"/>
      <c r="Q656" s="303"/>
      <c r="R656" s="303"/>
      <c r="S656" s="303"/>
      <c r="T656" s="143"/>
      <c r="U656" s="303"/>
      <c r="V656" s="303"/>
      <c r="W656" s="303"/>
      <c r="X656" s="303"/>
      <c r="Y656" s="303"/>
      <c r="Z656" s="303"/>
      <c r="AA656" s="303"/>
      <c r="AB656" s="143"/>
      <c r="AC656" s="303"/>
      <c r="AD656" s="303"/>
      <c r="AE656" s="303"/>
      <c r="AF656" s="303"/>
      <c r="AG656" s="303"/>
      <c r="AH656" s="303"/>
      <c r="AI656" s="143"/>
      <c r="AJ656" s="125"/>
      <c r="AK656" s="125"/>
      <c r="AL656" s="125"/>
      <c r="AM656" s="125"/>
    </row>
    <row r="657" spans="1:39" ht="12.75" x14ac:dyDescent="0.2">
      <c r="A657" s="303"/>
      <c r="B657" s="303"/>
      <c r="C657" s="303"/>
      <c r="D657" s="143"/>
      <c r="E657" s="303"/>
      <c r="F657" s="303"/>
      <c r="G657" s="303"/>
      <c r="H657" s="303"/>
      <c r="I657" s="303"/>
      <c r="J657" s="303"/>
      <c r="K657" s="303"/>
      <c r="L657" s="143"/>
      <c r="M657" s="303"/>
      <c r="N657" s="303"/>
      <c r="O657" s="303"/>
      <c r="P657" s="303"/>
      <c r="Q657" s="303"/>
      <c r="R657" s="303"/>
      <c r="S657" s="303"/>
      <c r="T657" s="143"/>
      <c r="U657" s="303"/>
      <c r="V657" s="303"/>
      <c r="W657" s="303"/>
      <c r="X657" s="303"/>
      <c r="Y657" s="303"/>
      <c r="Z657" s="303"/>
      <c r="AA657" s="303"/>
      <c r="AB657" s="143"/>
      <c r="AC657" s="303"/>
      <c r="AD657" s="303"/>
      <c r="AE657" s="303"/>
      <c r="AF657" s="303"/>
      <c r="AG657" s="303"/>
      <c r="AH657" s="303"/>
      <c r="AI657" s="143"/>
      <c r="AJ657" s="125"/>
      <c r="AK657" s="125"/>
      <c r="AL657" s="125"/>
      <c r="AM657" s="125"/>
    </row>
    <row r="658" spans="1:39" ht="12.75" x14ac:dyDescent="0.2">
      <c r="A658" s="303"/>
      <c r="B658" s="303"/>
      <c r="C658" s="303"/>
      <c r="D658" s="143"/>
      <c r="E658" s="303"/>
      <c r="F658" s="303"/>
      <c r="G658" s="303"/>
      <c r="H658" s="303"/>
      <c r="I658" s="303"/>
      <c r="J658" s="303"/>
      <c r="K658" s="303"/>
      <c r="L658" s="143"/>
      <c r="M658" s="303"/>
      <c r="N658" s="303"/>
      <c r="O658" s="303"/>
      <c r="P658" s="303"/>
      <c r="Q658" s="303"/>
      <c r="R658" s="303"/>
      <c r="S658" s="303"/>
      <c r="T658" s="143"/>
      <c r="U658" s="303"/>
      <c r="V658" s="303"/>
      <c r="W658" s="303"/>
      <c r="X658" s="303"/>
      <c r="Y658" s="303"/>
      <c r="Z658" s="303"/>
      <c r="AA658" s="303"/>
      <c r="AB658" s="143"/>
      <c r="AC658" s="303"/>
      <c r="AD658" s="303"/>
      <c r="AE658" s="303"/>
      <c r="AF658" s="303"/>
      <c r="AG658" s="303"/>
      <c r="AH658" s="303"/>
      <c r="AI658" s="143"/>
      <c r="AJ658" s="125"/>
      <c r="AK658" s="125"/>
      <c r="AL658" s="125"/>
      <c r="AM658" s="125"/>
    </row>
    <row r="659" spans="1:39" ht="12.75" x14ac:dyDescent="0.2">
      <c r="A659" s="303"/>
      <c r="B659" s="303"/>
      <c r="C659" s="303"/>
      <c r="D659" s="143"/>
      <c r="E659" s="303"/>
      <c r="F659" s="303"/>
      <c r="G659" s="303"/>
      <c r="H659" s="303"/>
      <c r="I659" s="303"/>
      <c r="J659" s="303"/>
      <c r="K659" s="303"/>
      <c r="L659" s="143"/>
      <c r="M659" s="303"/>
      <c r="N659" s="303"/>
      <c r="O659" s="303"/>
      <c r="P659" s="303"/>
      <c r="Q659" s="303"/>
      <c r="R659" s="303"/>
      <c r="S659" s="303"/>
      <c r="T659" s="143"/>
      <c r="U659" s="303"/>
      <c r="V659" s="303"/>
      <c r="W659" s="303"/>
      <c r="X659" s="303"/>
      <c r="Y659" s="303"/>
      <c r="Z659" s="303"/>
      <c r="AA659" s="303"/>
      <c r="AB659" s="143"/>
      <c r="AC659" s="303"/>
      <c r="AD659" s="303"/>
      <c r="AE659" s="303"/>
      <c r="AF659" s="303"/>
      <c r="AG659" s="303"/>
      <c r="AH659" s="303"/>
      <c r="AI659" s="143"/>
      <c r="AJ659" s="125"/>
      <c r="AK659" s="125"/>
      <c r="AL659" s="125"/>
      <c r="AM659" s="125"/>
    </row>
    <row r="660" spans="1:39" ht="12.75" x14ac:dyDescent="0.2">
      <c r="A660" s="303"/>
      <c r="B660" s="303"/>
      <c r="C660" s="303"/>
      <c r="D660" s="143"/>
      <c r="E660" s="303"/>
      <c r="F660" s="303"/>
      <c r="G660" s="303"/>
      <c r="H660" s="303"/>
      <c r="I660" s="303"/>
      <c r="J660" s="303"/>
      <c r="K660" s="303"/>
      <c r="L660" s="143"/>
      <c r="M660" s="303"/>
      <c r="N660" s="303"/>
      <c r="O660" s="303"/>
      <c r="P660" s="303"/>
      <c r="Q660" s="303"/>
      <c r="R660" s="303"/>
      <c r="S660" s="303"/>
      <c r="T660" s="143"/>
      <c r="U660" s="303"/>
      <c r="V660" s="303"/>
      <c r="W660" s="303"/>
      <c r="X660" s="303"/>
      <c r="Y660" s="303"/>
      <c r="Z660" s="303"/>
      <c r="AA660" s="303"/>
      <c r="AB660" s="143"/>
      <c r="AC660" s="303"/>
      <c r="AD660" s="303"/>
      <c r="AE660" s="303"/>
      <c r="AF660" s="303"/>
      <c r="AG660" s="303"/>
      <c r="AH660" s="303"/>
      <c r="AI660" s="143"/>
      <c r="AJ660" s="125"/>
      <c r="AK660" s="125"/>
      <c r="AL660" s="125"/>
      <c r="AM660" s="125"/>
    </row>
    <row r="661" spans="1:39" ht="12.75" x14ac:dyDescent="0.2">
      <c r="A661" s="303"/>
      <c r="B661" s="303"/>
      <c r="C661" s="303"/>
      <c r="D661" s="143"/>
      <c r="E661" s="303"/>
      <c r="F661" s="303"/>
      <c r="G661" s="303"/>
      <c r="H661" s="303"/>
      <c r="I661" s="303"/>
      <c r="J661" s="303"/>
      <c r="K661" s="303"/>
      <c r="L661" s="143"/>
      <c r="M661" s="303"/>
      <c r="N661" s="303"/>
      <c r="O661" s="303"/>
      <c r="P661" s="303"/>
      <c r="Q661" s="303"/>
      <c r="R661" s="303"/>
      <c r="S661" s="303"/>
      <c r="T661" s="143"/>
      <c r="U661" s="303"/>
      <c r="V661" s="303"/>
      <c r="W661" s="303"/>
      <c r="X661" s="303"/>
      <c r="Y661" s="303"/>
      <c r="Z661" s="303"/>
      <c r="AA661" s="303"/>
      <c r="AB661" s="143"/>
      <c r="AC661" s="303"/>
      <c r="AD661" s="303"/>
      <c r="AE661" s="303"/>
      <c r="AF661" s="303"/>
      <c r="AG661" s="303"/>
      <c r="AH661" s="303"/>
      <c r="AI661" s="143"/>
      <c r="AJ661" s="125"/>
      <c r="AK661" s="125"/>
      <c r="AL661" s="125"/>
      <c r="AM661" s="125"/>
    </row>
    <row r="662" spans="1:39" ht="12.75" x14ac:dyDescent="0.2">
      <c r="A662" s="303"/>
      <c r="B662" s="303"/>
      <c r="C662" s="303"/>
      <c r="D662" s="143"/>
      <c r="E662" s="303"/>
      <c r="F662" s="303"/>
      <c r="G662" s="303"/>
      <c r="H662" s="303"/>
      <c r="I662" s="303"/>
      <c r="J662" s="303"/>
      <c r="K662" s="303"/>
      <c r="L662" s="143"/>
      <c r="M662" s="303"/>
      <c r="N662" s="303"/>
      <c r="O662" s="303"/>
      <c r="P662" s="303"/>
      <c r="Q662" s="303"/>
      <c r="R662" s="303"/>
      <c r="S662" s="303"/>
      <c r="T662" s="143"/>
      <c r="U662" s="303"/>
      <c r="V662" s="303"/>
      <c r="W662" s="303"/>
      <c r="X662" s="303"/>
      <c r="Y662" s="303"/>
      <c r="Z662" s="303"/>
      <c r="AA662" s="303"/>
      <c r="AB662" s="143"/>
      <c r="AC662" s="303"/>
      <c r="AD662" s="303"/>
      <c r="AE662" s="303"/>
      <c r="AF662" s="303"/>
      <c r="AG662" s="303"/>
      <c r="AH662" s="303"/>
      <c r="AI662" s="143"/>
      <c r="AJ662" s="125"/>
      <c r="AK662" s="125"/>
      <c r="AL662" s="125"/>
      <c r="AM662" s="125"/>
    </row>
    <row r="663" spans="1:39" ht="12.75" x14ac:dyDescent="0.2">
      <c r="A663" s="303"/>
      <c r="B663" s="303"/>
      <c r="C663" s="303"/>
      <c r="D663" s="143"/>
      <c r="E663" s="303"/>
      <c r="F663" s="303"/>
      <c r="G663" s="303"/>
      <c r="H663" s="303"/>
      <c r="I663" s="303"/>
      <c r="J663" s="303"/>
      <c r="K663" s="303"/>
      <c r="L663" s="143"/>
      <c r="M663" s="303"/>
      <c r="N663" s="303"/>
      <c r="O663" s="303"/>
      <c r="P663" s="303"/>
      <c r="Q663" s="303"/>
      <c r="R663" s="303"/>
      <c r="S663" s="303"/>
      <c r="T663" s="143"/>
      <c r="U663" s="303"/>
      <c r="V663" s="303"/>
      <c r="W663" s="303"/>
      <c r="X663" s="303"/>
      <c r="Y663" s="303"/>
      <c r="Z663" s="303"/>
      <c r="AA663" s="303"/>
      <c r="AB663" s="143"/>
      <c r="AC663" s="303"/>
      <c r="AD663" s="303"/>
      <c r="AE663" s="303"/>
      <c r="AF663" s="303"/>
      <c r="AG663" s="303"/>
      <c r="AH663" s="303"/>
      <c r="AI663" s="143"/>
      <c r="AJ663" s="125"/>
      <c r="AK663" s="125"/>
      <c r="AL663" s="125"/>
      <c r="AM663" s="125"/>
    </row>
    <row r="664" spans="1:39" ht="12.75" x14ac:dyDescent="0.2">
      <c r="A664" s="303"/>
      <c r="B664" s="303"/>
      <c r="C664" s="303"/>
      <c r="D664" s="143"/>
      <c r="E664" s="303"/>
      <c r="F664" s="303"/>
      <c r="G664" s="303"/>
      <c r="H664" s="303"/>
      <c r="I664" s="303"/>
      <c r="J664" s="303"/>
      <c r="K664" s="303"/>
      <c r="L664" s="143"/>
      <c r="M664" s="303"/>
      <c r="N664" s="303"/>
      <c r="O664" s="303"/>
      <c r="P664" s="303"/>
      <c r="Q664" s="303"/>
      <c r="R664" s="303"/>
      <c r="S664" s="303"/>
      <c r="T664" s="143"/>
      <c r="U664" s="303"/>
      <c r="V664" s="303"/>
      <c r="W664" s="303"/>
      <c r="X664" s="303"/>
      <c r="Y664" s="303"/>
      <c r="Z664" s="303"/>
      <c r="AA664" s="303"/>
      <c r="AB664" s="143"/>
      <c r="AC664" s="303"/>
      <c r="AD664" s="303"/>
      <c r="AE664" s="303"/>
      <c r="AF664" s="303"/>
      <c r="AG664" s="303"/>
      <c r="AH664" s="303"/>
      <c r="AI664" s="143"/>
      <c r="AJ664" s="125"/>
      <c r="AK664" s="125"/>
      <c r="AL664" s="125"/>
      <c r="AM664" s="125"/>
    </row>
    <row r="665" spans="1:39" ht="12.75" x14ac:dyDescent="0.2">
      <c r="A665" s="303"/>
      <c r="B665" s="303"/>
      <c r="C665" s="303"/>
      <c r="D665" s="143"/>
      <c r="E665" s="303"/>
      <c r="F665" s="303"/>
      <c r="G665" s="303"/>
      <c r="H665" s="303"/>
      <c r="I665" s="303"/>
      <c r="J665" s="303"/>
      <c r="K665" s="303"/>
      <c r="L665" s="143"/>
      <c r="M665" s="303"/>
      <c r="N665" s="303"/>
      <c r="O665" s="303"/>
      <c r="P665" s="303"/>
      <c r="Q665" s="303"/>
      <c r="R665" s="303"/>
      <c r="S665" s="303"/>
      <c r="T665" s="143"/>
      <c r="U665" s="303"/>
      <c r="V665" s="303"/>
      <c r="W665" s="303"/>
      <c r="X665" s="303"/>
      <c r="Y665" s="303"/>
      <c r="Z665" s="303"/>
      <c r="AA665" s="303"/>
      <c r="AB665" s="143"/>
      <c r="AC665" s="303"/>
      <c r="AD665" s="303"/>
      <c r="AE665" s="303"/>
      <c r="AF665" s="303"/>
      <c r="AG665" s="303"/>
      <c r="AH665" s="303"/>
      <c r="AI665" s="143"/>
      <c r="AJ665" s="125"/>
      <c r="AK665" s="125"/>
      <c r="AL665" s="125"/>
      <c r="AM665" s="125"/>
    </row>
    <row r="666" spans="1:39" ht="12.75" x14ac:dyDescent="0.2">
      <c r="A666" s="303"/>
      <c r="B666" s="303"/>
      <c r="C666" s="303"/>
      <c r="D666" s="143"/>
      <c r="E666" s="303"/>
      <c r="F666" s="303"/>
      <c r="G666" s="303"/>
      <c r="H666" s="303"/>
      <c r="I666" s="303"/>
      <c r="J666" s="303"/>
      <c r="K666" s="303"/>
      <c r="L666" s="143"/>
      <c r="M666" s="303"/>
      <c r="N666" s="303"/>
      <c r="O666" s="303"/>
      <c r="P666" s="303"/>
      <c r="Q666" s="303"/>
      <c r="R666" s="303"/>
      <c r="S666" s="303"/>
      <c r="T666" s="143"/>
      <c r="U666" s="303"/>
      <c r="V666" s="303"/>
      <c r="W666" s="303"/>
      <c r="X666" s="303"/>
      <c r="Y666" s="303"/>
      <c r="Z666" s="303"/>
      <c r="AA666" s="303"/>
      <c r="AB666" s="143"/>
      <c r="AC666" s="303"/>
      <c r="AD666" s="303"/>
      <c r="AE666" s="303"/>
      <c r="AF666" s="303"/>
      <c r="AG666" s="303"/>
      <c r="AH666" s="303"/>
      <c r="AI666" s="143"/>
      <c r="AJ666" s="125"/>
      <c r="AK666" s="125"/>
      <c r="AL666" s="125"/>
      <c r="AM666" s="125"/>
    </row>
    <row r="667" spans="1:39" ht="12.75" x14ac:dyDescent="0.2">
      <c r="A667" s="303"/>
      <c r="B667" s="303"/>
      <c r="C667" s="303"/>
      <c r="D667" s="143"/>
      <c r="E667" s="303"/>
      <c r="F667" s="303"/>
      <c r="G667" s="303"/>
      <c r="H667" s="303"/>
      <c r="I667" s="303"/>
      <c r="J667" s="303"/>
      <c r="K667" s="303"/>
      <c r="L667" s="143"/>
      <c r="M667" s="303"/>
      <c r="N667" s="303"/>
      <c r="O667" s="303"/>
      <c r="P667" s="303"/>
      <c r="Q667" s="303"/>
      <c r="R667" s="303"/>
      <c r="S667" s="303"/>
      <c r="T667" s="143"/>
      <c r="U667" s="303"/>
      <c r="V667" s="303"/>
      <c r="W667" s="303"/>
      <c r="X667" s="303"/>
      <c r="Y667" s="303"/>
      <c r="Z667" s="303"/>
      <c r="AA667" s="303"/>
      <c r="AB667" s="143"/>
      <c r="AC667" s="303"/>
      <c r="AD667" s="303"/>
      <c r="AE667" s="303"/>
      <c r="AF667" s="303"/>
      <c r="AG667" s="303"/>
      <c r="AH667" s="303"/>
      <c r="AI667" s="143"/>
      <c r="AJ667" s="125"/>
      <c r="AK667" s="125"/>
      <c r="AL667" s="125"/>
      <c r="AM667" s="125"/>
    </row>
    <row r="668" spans="1:39" ht="12.75" x14ac:dyDescent="0.2">
      <c r="A668" s="303"/>
      <c r="B668" s="303"/>
      <c r="C668" s="303"/>
      <c r="D668" s="143"/>
      <c r="E668" s="303"/>
      <c r="F668" s="303"/>
      <c r="G668" s="303"/>
      <c r="H668" s="303"/>
      <c r="I668" s="303"/>
      <c r="J668" s="303"/>
      <c r="K668" s="303"/>
      <c r="L668" s="143"/>
      <c r="M668" s="303"/>
      <c r="N668" s="303"/>
      <c r="O668" s="303"/>
      <c r="P668" s="303"/>
      <c r="Q668" s="303"/>
      <c r="R668" s="303"/>
      <c r="S668" s="303"/>
      <c r="T668" s="143"/>
      <c r="U668" s="303"/>
      <c r="V668" s="303"/>
      <c r="W668" s="303"/>
      <c r="X668" s="303"/>
      <c r="Y668" s="303"/>
      <c r="Z668" s="303"/>
      <c r="AA668" s="303"/>
      <c r="AB668" s="143"/>
      <c r="AC668" s="303"/>
      <c r="AD668" s="303"/>
      <c r="AE668" s="303"/>
      <c r="AF668" s="303"/>
      <c r="AG668" s="303"/>
      <c r="AH668" s="303"/>
      <c r="AI668" s="143"/>
      <c r="AJ668" s="125"/>
      <c r="AK668" s="125"/>
      <c r="AL668" s="125"/>
      <c r="AM668" s="125"/>
    </row>
    <row r="669" spans="1:39" ht="12.75" x14ac:dyDescent="0.2">
      <c r="A669" s="303"/>
      <c r="B669" s="303"/>
      <c r="C669" s="303"/>
      <c r="D669" s="143"/>
      <c r="E669" s="303"/>
      <c r="F669" s="303"/>
      <c r="G669" s="303"/>
      <c r="H669" s="303"/>
      <c r="I669" s="303"/>
      <c r="J669" s="303"/>
      <c r="K669" s="303"/>
      <c r="L669" s="143"/>
      <c r="M669" s="303"/>
      <c r="N669" s="303"/>
      <c r="O669" s="303"/>
      <c r="P669" s="303"/>
      <c r="Q669" s="303"/>
      <c r="R669" s="303"/>
      <c r="S669" s="303"/>
      <c r="T669" s="143"/>
      <c r="U669" s="303"/>
      <c r="V669" s="303"/>
      <c r="W669" s="303"/>
      <c r="X669" s="303"/>
      <c r="Y669" s="303"/>
      <c r="Z669" s="303"/>
      <c r="AA669" s="303"/>
      <c r="AB669" s="143"/>
      <c r="AC669" s="303"/>
      <c r="AD669" s="303"/>
      <c r="AE669" s="303"/>
      <c r="AF669" s="303"/>
      <c r="AG669" s="303"/>
      <c r="AH669" s="303"/>
      <c r="AI669" s="143"/>
      <c r="AJ669" s="125"/>
      <c r="AK669" s="125"/>
      <c r="AL669" s="125"/>
      <c r="AM669" s="125"/>
    </row>
    <row r="670" spans="1:39" ht="12.75" x14ac:dyDescent="0.2">
      <c r="A670" s="303"/>
      <c r="B670" s="303"/>
      <c r="C670" s="303"/>
      <c r="D670" s="143"/>
      <c r="E670" s="303"/>
      <c r="F670" s="303"/>
      <c r="G670" s="303"/>
      <c r="H670" s="303"/>
      <c r="I670" s="303"/>
      <c r="J670" s="303"/>
      <c r="K670" s="303"/>
      <c r="L670" s="143"/>
      <c r="M670" s="303"/>
      <c r="N670" s="303"/>
      <c r="O670" s="303"/>
      <c r="P670" s="303"/>
      <c r="Q670" s="303"/>
      <c r="R670" s="303"/>
      <c r="S670" s="303"/>
      <c r="T670" s="143"/>
      <c r="U670" s="303"/>
      <c r="V670" s="303"/>
      <c r="W670" s="303"/>
      <c r="X670" s="303"/>
      <c r="Y670" s="303"/>
      <c r="Z670" s="303"/>
      <c r="AA670" s="303"/>
      <c r="AB670" s="143"/>
      <c r="AC670" s="303"/>
      <c r="AD670" s="303"/>
      <c r="AE670" s="303"/>
      <c r="AF670" s="303"/>
      <c r="AG670" s="303"/>
      <c r="AH670" s="303"/>
      <c r="AI670" s="143"/>
      <c r="AJ670" s="125"/>
      <c r="AK670" s="125"/>
      <c r="AL670" s="125"/>
      <c r="AM670" s="125"/>
    </row>
    <row r="671" spans="1:39" ht="12.75" x14ac:dyDescent="0.2">
      <c r="A671" s="303"/>
      <c r="B671" s="303"/>
      <c r="C671" s="303"/>
      <c r="D671" s="143"/>
      <c r="E671" s="303"/>
      <c r="F671" s="303"/>
      <c r="G671" s="303"/>
      <c r="H671" s="303"/>
      <c r="I671" s="303"/>
      <c r="J671" s="303"/>
      <c r="K671" s="303"/>
      <c r="L671" s="143"/>
      <c r="M671" s="303"/>
      <c r="N671" s="303"/>
      <c r="O671" s="303"/>
      <c r="P671" s="303"/>
      <c r="Q671" s="303"/>
      <c r="R671" s="303"/>
      <c r="S671" s="303"/>
      <c r="T671" s="143"/>
      <c r="U671" s="303"/>
      <c r="V671" s="303"/>
      <c r="W671" s="303"/>
      <c r="X671" s="303"/>
      <c r="Y671" s="303"/>
      <c r="Z671" s="303"/>
      <c r="AA671" s="303"/>
      <c r="AB671" s="143"/>
      <c r="AC671" s="303"/>
      <c r="AD671" s="303"/>
      <c r="AE671" s="303"/>
      <c r="AF671" s="303"/>
      <c r="AG671" s="303"/>
      <c r="AH671" s="303"/>
      <c r="AI671" s="143"/>
      <c r="AJ671" s="125"/>
      <c r="AK671" s="125"/>
      <c r="AL671" s="125"/>
      <c r="AM671" s="125"/>
    </row>
    <row r="672" spans="1:39" ht="12.75" x14ac:dyDescent="0.2">
      <c r="A672" s="303"/>
      <c r="B672" s="303"/>
      <c r="C672" s="303"/>
      <c r="D672" s="143"/>
      <c r="E672" s="303"/>
      <c r="F672" s="303"/>
      <c r="G672" s="303"/>
      <c r="H672" s="303"/>
      <c r="I672" s="303"/>
      <c r="J672" s="303"/>
      <c r="K672" s="303"/>
      <c r="L672" s="143"/>
      <c r="M672" s="303"/>
      <c r="N672" s="303"/>
      <c r="O672" s="303"/>
      <c r="P672" s="303"/>
      <c r="Q672" s="303"/>
      <c r="R672" s="303"/>
      <c r="S672" s="303"/>
      <c r="T672" s="143"/>
      <c r="U672" s="303"/>
      <c r="V672" s="303"/>
      <c r="W672" s="303"/>
      <c r="X672" s="303"/>
      <c r="Y672" s="303"/>
      <c r="Z672" s="303"/>
      <c r="AA672" s="303"/>
      <c r="AB672" s="143"/>
      <c r="AC672" s="303"/>
      <c r="AD672" s="303"/>
      <c r="AE672" s="303"/>
      <c r="AF672" s="303"/>
      <c r="AG672" s="303"/>
      <c r="AH672" s="303"/>
      <c r="AI672" s="143"/>
      <c r="AJ672" s="125"/>
      <c r="AK672" s="125"/>
      <c r="AL672" s="125"/>
      <c r="AM672" s="125"/>
    </row>
    <row r="673" spans="1:39" ht="12.75" x14ac:dyDescent="0.2">
      <c r="A673" s="303"/>
      <c r="B673" s="303"/>
      <c r="C673" s="303"/>
      <c r="D673" s="143"/>
      <c r="E673" s="303"/>
      <c r="F673" s="303"/>
      <c r="G673" s="303"/>
      <c r="H673" s="303"/>
      <c r="I673" s="303"/>
      <c r="J673" s="303"/>
      <c r="K673" s="303"/>
      <c r="L673" s="143"/>
      <c r="M673" s="303"/>
      <c r="N673" s="303"/>
      <c r="O673" s="303"/>
      <c r="P673" s="303"/>
      <c r="Q673" s="303"/>
      <c r="R673" s="303"/>
      <c r="S673" s="303"/>
      <c r="T673" s="143"/>
      <c r="U673" s="303"/>
      <c r="V673" s="303"/>
      <c r="W673" s="303"/>
      <c r="X673" s="303"/>
      <c r="Y673" s="303"/>
      <c r="Z673" s="303"/>
      <c r="AA673" s="303"/>
      <c r="AB673" s="143"/>
      <c r="AC673" s="303"/>
      <c r="AD673" s="303"/>
      <c r="AE673" s="303"/>
      <c r="AF673" s="303"/>
      <c r="AG673" s="303"/>
      <c r="AH673" s="303"/>
      <c r="AI673" s="143"/>
      <c r="AJ673" s="125"/>
      <c r="AK673" s="125"/>
      <c r="AL673" s="125"/>
      <c r="AM673" s="125"/>
    </row>
    <row r="674" spans="1:39" ht="12.75" x14ac:dyDescent="0.2">
      <c r="A674" s="303"/>
      <c r="B674" s="303"/>
      <c r="C674" s="303"/>
      <c r="D674" s="143"/>
      <c r="E674" s="303"/>
      <c r="F674" s="303"/>
      <c r="G674" s="303"/>
      <c r="H674" s="303"/>
      <c r="I674" s="303"/>
      <c r="J674" s="303"/>
      <c r="K674" s="303"/>
      <c r="L674" s="143"/>
      <c r="M674" s="303"/>
      <c r="N674" s="303"/>
      <c r="O674" s="303"/>
      <c r="P674" s="303"/>
      <c r="Q674" s="303"/>
      <c r="R674" s="303"/>
      <c r="S674" s="303"/>
      <c r="T674" s="143"/>
      <c r="U674" s="303"/>
      <c r="V674" s="303"/>
      <c r="W674" s="303"/>
      <c r="X674" s="303"/>
      <c r="Y674" s="303"/>
      <c r="Z674" s="303"/>
      <c r="AA674" s="303"/>
      <c r="AB674" s="143"/>
      <c r="AC674" s="303"/>
      <c r="AD674" s="303"/>
      <c r="AE674" s="303"/>
      <c r="AF674" s="303"/>
      <c r="AG674" s="303"/>
      <c r="AH674" s="303"/>
      <c r="AI674" s="143"/>
      <c r="AJ674" s="125"/>
      <c r="AK674" s="125"/>
      <c r="AL674" s="125"/>
      <c r="AM674" s="125"/>
    </row>
    <row r="675" spans="1:39" ht="12.75" x14ac:dyDescent="0.2">
      <c r="A675" s="303"/>
      <c r="B675" s="303"/>
      <c r="C675" s="303"/>
      <c r="D675" s="143"/>
      <c r="E675" s="303"/>
      <c r="F675" s="303"/>
      <c r="G675" s="303"/>
      <c r="H675" s="303"/>
      <c r="I675" s="303"/>
      <c r="J675" s="303"/>
      <c r="K675" s="303"/>
      <c r="L675" s="143"/>
      <c r="M675" s="303"/>
      <c r="N675" s="303"/>
      <c r="O675" s="303"/>
      <c r="P675" s="303"/>
      <c r="Q675" s="303"/>
      <c r="R675" s="303"/>
      <c r="S675" s="303"/>
      <c r="T675" s="143"/>
      <c r="U675" s="303"/>
      <c r="V675" s="303"/>
      <c r="W675" s="303"/>
      <c r="X675" s="303"/>
      <c r="Y675" s="303"/>
      <c r="Z675" s="303"/>
      <c r="AA675" s="303"/>
      <c r="AB675" s="143"/>
      <c r="AC675" s="303"/>
      <c r="AD675" s="303"/>
      <c r="AE675" s="303"/>
      <c r="AF675" s="303"/>
      <c r="AG675" s="303"/>
      <c r="AH675" s="303"/>
      <c r="AI675" s="143"/>
      <c r="AJ675" s="125"/>
      <c r="AK675" s="125"/>
      <c r="AL675" s="125"/>
      <c r="AM675" s="125"/>
    </row>
    <row r="676" spans="1:39" ht="12.75" x14ac:dyDescent="0.2">
      <c r="A676" s="303"/>
      <c r="B676" s="303"/>
      <c r="C676" s="303"/>
      <c r="D676" s="143"/>
      <c r="E676" s="303"/>
      <c r="F676" s="303"/>
      <c r="G676" s="303"/>
      <c r="H676" s="303"/>
      <c r="I676" s="303"/>
      <c r="J676" s="303"/>
      <c r="K676" s="303"/>
      <c r="L676" s="143"/>
      <c r="M676" s="303"/>
      <c r="N676" s="303"/>
      <c r="O676" s="303"/>
      <c r="P676" s="303"/>
      <c r="Q676" s="303"/>
      <c r="R676" s="303"/>
      <c r="S676" s="303"/>
      <c r="T676" s="143"/>
      <c r="U676" s="303"/>
      <c r="V676" s="303"/>
      <c r="W676" s="303"/>
      <c r="X676" s="303"/>
      <c r="Y676" s="303"/>
      <c r="Z676" s="303"/>
      <c r="AA676" s="303"/>
      <c r="AB676" s="143"/>
      <c r="AC676" s="303"/>
      <c r="AD676" s="303"/>
      <c r="AE676" s="303"/>
      <c r="AF676" s="303"/>
      <c r="AG676" s="303"/>
      <c r="AH676" s="303"/>
      <c r="AI676" s="143"/>
      <c r="AJ676" s="125"/>
      <c r="AK676" s="125"/>
      <c r="AL676" s="125"/>
      <c r="AM676" s="125"/>
    </row>
    <row r="677" spans="1:39" ht="12.75" x14ac:dyDescent="0.2">
      <c r="A677" s="303"/>
      <c r="B677" s="303"/>
      <c r="C677" s="303"/>
      <c r="D677" s="143"/>
      <c r="E677" s="303"/>
      <c r="F677" s="303"/>
      <c r="G677" s="303"/>
      <c r="H677" s="303"/>
      <c r="I677" s="303"/>
      <c r="J677" s="303"/>
      <c r="K677" s="303"/>
      <c r="L677" s="143"/>
      <c r="M677" s="303"/>
      <c r="N677" s="303"/>
      <c r="O677" s="303"/>
      <c r="P677" s="303"/>
      <c r="Q677" s="303"/>
      <c r="R677" s="303"/>
      <c r="S677" s="303"/>
      <c r="T677" s="143"/>
      <c r="U677" s="303"/>
      <c r="V677" s="303"/>
      <c r="W677" s="303"/>
      <c r="X677" s="303"/>
      <c r="Y677" s="303"/>
      <c r="Z677" s="303"/>
      <c r="AA677" s="303"/>
      <c r="AB677" s="143"/>
      <c r="AC677" s="303"/>
      <c r="AD677" s="303"/>
      <c r="AE677" s="303"/>
      <c r="AF677" s="303"/>
      <c r="AG677" s="303"/>
      <c r="AH677" s="303"/>
      <c r="AI677" s="143"/>
      <c r="AJ677" s="125"/>
      <c r="AK677" s="125"/>
      <c r="AL677" s="125"/>
      <c r="AM677" s="125"/>
    </row>
    <row r="678" spans="1:39" ht="12.75" x14ac:dyDescent="0.2">
      <c r="A678" s="303"/>
      <c r="B678" s="303"/>
      <c r="C678" s="303"/>
      <c r="D678" s="143"/>
      <c r="E678" s="303"/>
      <c r="F678" s="303"/>
      <c r="G678" s="303"/>
      <c r="H678" s="303"/>
      <c r="I678" s="303"/>
      <c r="J678" s="303"/>
      <c r="K678" s="303"/>
      <c r="L678" s="143"/>
      <c r="M678" s="303"/>
      <c r="N678" s="303"/>
      <c r="O678" s="303"/>
      <c r="P678" s="303"/>
      <c r="Q678" s="303"/>
      <c r="R678" s="303"/>
      <c r="S678" s="303"/>
      <c r="T678" s="143"/>
      <c r="U678" s="303"/>
      <c r="V678" s="303"/>
      <c r="W678" s="303"/>
      <c r="X678" s="303"/>
      <c r="Y678" s="303"/>
      <c r="Z678" s="303"/>
      <c r="AA678" s="303"/>
      <c r="AB678" s="143"/>
      <c r="AC678" s="303"/>
      <c r="AD678" s="303"/>
      <c r="AE678" s="303"/>
      <c r="AF678" s="303"/>
      <c r="AG678" s="303"/>
      <c r="AH678" s="303"/>
      <c r="AI678" s="143"/>
      <c r="AJ678" s="125"/>
      <c r="AK678" s="125"/>
      <c r="AL678" s="125"/>
      <c r="AM678" s="125"/>
    </row>
    <row r="679" spans="1:39" ht="12.75" x14ac:dyDescent="0.2">
      <c r="A679" s="303"/>
      <c r="B679" s="303"/>
      <c r="C679" s="303"/>
      <c r="D679" s="143"/>
      <c r="E679" s="303"/>
      <c r="F679" s="303"/>
      <c r="G679" s="303"/>
      <c r="H679" s="303"/>
      <c r="I679" s="303"/>
      <c r="J679" s="303"/>
      <c r="K679" s="303"/>
      <c r="L679" s="143"/>
      <c r="M679" s="303"/>
      <c r="N679" s="303"/>
      <c r="O679" s="303"/>
      <c r="P679" s="303"/>
      <c r="Q679" s="303"/>
      <c r="R679" s="303"/>
      <c r="S679" s="303"/>
      <c r="T679" s="143"/>
      <c r="U679" s="303"/>
      <c r="V679" s="303"/>
      <c r="W679" s="303"/>
      <c r="X679" s="303"/>
      <c r="Y679" s="303"/>
      <c r="Z679" s="303"/>
      <c r="AA679" s="303"/>
      <c r="AB679" s="143"/>
      <c r="AC679" s="303"/>
      <c r="AD679" s="303"/>
      <c r="AE679" s="303"/>
      <c r="AF679" s="303"/>
      <c r="AG679" s="303"/>
      <c r="AH679" s="303"/>
      <c r="AI679" s="143"/>
      <c r="AJ679" s="125"/>
      <c r="AK679" s="125"/>
      <c r="AL679" s="125"/>
      <c r="AM679" s="125"/>
    </row>
    <row r="680" spans="1:39" ht="12.75" x14ac:dyDescent="0.2">
      <c r="A680" s="303"/>
      <c r="B680" s="303"/>
      <c r="C680" s="303"/>
      <c r="D680" s="143"/>
      <c r="E680" s="303"/>
      <c r="F680" s="303"/>
      <c r="G680" s="303"/>
      <c r="H680" s="303"/>
      <c r="I680" s="303"/>
      <c r="J680" s="303"/>
      <c r="K680" s="303"/>
      <c r="L680" s="143"/>
      <c r="M680" s="303"/>
      <c r="N680" s="303"/>
      <c r="O680" s="303"/>
      <c r="P680" s="303"/>
      <c r="Q680" s="303"/>
      <c r="R680" s="303"/>
      <c r="S680" s="303"/>
      <c r="T680" s="143"/>
      <c r="U680" s="303"/>
      <c r="V680" s="303"/>
      <c r="W680" s="303"/>
      <c r="X680" s="303"/>
      <c r="Y680" s="303"/>
      <c r="Z680" s="303"/>
      <c r="AA680" s="303"/>
      <c r="AB680" s="143"/>
      <c r="AC680" s="303"/>
      <c r="AD680" s="303"/>
      <c r="AE680" s="303"/>
      <c r="AF680" s="303"/>
      <c r="AG680" s="303"/>
      <c r="AH680" s="303"/>
      <c r="AI680" s="143"/>
      <c r="AJ680" s="125"/>
      <c r="AK680" s="125"/>
      <c r="AL680" s="125"/>
      <c r="AM680" s="125"/>
    </row>
    <row r="681" spans="1:39" ht="12.75" x14ac:dyDescent="0.2">
      <c r="A681" s="303"/>
      <c r="B681" s="303"/>
      <c r="C681" s="303"/>
      <c r="D681" s="143"/>
      <c r="E681" s="303"/>
      <c r="F681" s="303"/>
      <c r="G681" s="303"/>
      <c r="H681" s="303"/>
      <c r="I681" s="303"/>
      <c r="J681" s="303"/>
      <c r="K681" s="303"/>
      <c r="L681" s="143"/>
      <c r="M681" s="303"/>
      <c r="N681" s="303"/>
      <c r="O681" s="303"/>
      <c r="P681" s="303"/>
      <c r="Q681" s="303"/>
      <c r="R681" s="303"/>
      <c r="S681" s="303"/>
      <c r="T681" s="143"/>
      <c r="U681" s="303"/>
      <c r="V681" s="303"/>
      <c r="W681" s="303"/>
      <c r="X681" s="303"/>
      <c r="Y681" s="303"/>
      <c r="Z681" s="303"/>
      <c r="AA681" s="303"/>
      <c r="AB681" s="143"/>
      <c r="AC681" s="303"/>
      <c r="AD681" s="303"/>
      <c r="AE681" s="303"/>
      <c r="AF681" s="303"/>
      <c r="AG681" s="303"/>
      <c r="AH681" s="303"/>
      <c r="AI681" s="143"/>
      <c r="AJ681" s="125"/>
      <c r="AK681" s="125"/>
      <c r="AL681" s="125"/>
      <c r="AM681" s="125"/>
    </row>
    <row r="682" spans="1:39" ht="12.75" x14ac:dyDescent="0.2">
      <c r="A682" s="303"/>
      <c r="B682" s="303"/>
      <c r="C682" s="303"/>
      <c r="D682" s="143"/>
      <c r="E682" s="303"/>
      <c r="F682" s="303"/>
      <c r="G682" s="303"/>
      <c r="H682" s="303"/>
      <c r="I682" s="303"/>
      <c r="J682" s="303"/>
      <c r="K682" s="303"/>
      <c r="L682" s="143"/>
      <c r="M682" s="303"/>
      <c r="N682" s="303"/>
      <c r="O682" s="303"/>
      <c r="P682" s="303"/>
      <c r="Q682" s="303"/>
      <c r="R682" s="303"/>
      <c r="S682" s="303"/>
      <c r="T682" s="143"/>
      <c r="U682" s="303"/>
      <c r="V682" s="303"/>
      <c r="W682" s="303"/>
      <c r="X682" s="303"/>
      <c r="Y682" s="303"/>
      <c r="Z682" s="303"/>
      <c r="AA682" s="303"/>
      <c r="AB682" s="143"/>
      <c r="AC682" s="303"/>
      <c r="AD682" s="303"/>
      <c r="AE682" s="303"/>
      <c r="AF682" s="303"/>
      <c r="AG682" s="303"/>
      <c r="AH682" s="303"/>
      <c r="AI682" s="143"/>
      <c r="AJ682" s="125"/>
      <c r="AK682" s="125"/>
      <c r="AL682" s="125"/>
      <c r="AM682" s="125"/>
    </row>
    <row r="683" spans="1:39" ht="12.75" x14ac:dyDescent="0.2">
      <c r="A683" s="303"/>
      <c r="B683" s="303"/>
      <c r="C683" s="303"/>
      <c r="D683" s="143"/>
      <c r="E683" s="303"/>
      <c r="F683" s="303"/>
      <c r="G683" s="303"/>
      <c r="H683" s="303"/>
      <c r="I683" s="303"/>
      <c r="J683" s="303"/>
      <c r="K683" s="303"/>
      <c r="L683" s="143"/>
      <c r="M683" s="303"/>
      <c r="N683" s="303"/>
      <c r="O683" s="303"/>
      <c r="P683" s="303"/>
      <c r="Q683" s="303"/>
      <c r="R683" s="303"/>
      <c r="S683" s="303"/>
      <c r="T683" s="143"/>
      <c r="U683" s="303"/>
      <c r="V683" s="303"/>
      <c r="W683" s="303"/>
      <c r="X683" s="303"/>
      <c r="Y683" s="303"/>
      <c r="Z683" s="303"/>
      <c r="AA683" s="303"/>
      <c r="AB683" s="143"/>
      <c r="AC683" s="303"/>
      <c r="AD683" s="303"/>
      <c r="AE683" s="303"/>
      <c r="AF683" s="303"/>
      <c r="AG683" s="303"/>
      <c r="AH683" s="303"/>
      <c r="AI683" s="143"/>
      <c r="AJ683" s="125"/>
      <c r="AK683" s="125"/>
      <c r="AL683" s="125"/>
      <c r="AM683" s="125"/>
    </row>
    <row r="684" spans="1:39" ht="12.75" x14ac:dyDescent="0.2">
      <c r="A684" s="303"/>
      <c r="B684" s="303"/>
      <c r="C684" s="303"/>
      <c r="D684" s="143"/>
      <c r="E684" s="303"/>
      <c r="F684" s="303"/>
      <c r="G684" s="303"/>
      <c r="H684" s="303"/>
      <c r="I684" s="303"/>
      <c r="J684" s="303"/>
      <c r="K684" s="303"/>
      <c r="L684" s="143"/>
      <c r="M684" s="303"/>
      <c r="N684" s="303"/>
      <c r="O684" s="303"/>
      <c r="P684" s="303"/>
      <c r="Q684" s="303"/>
      <c r="R684" s="303"/>
      <c r="S684" s="303"/>
      <c r="T684" s="143"/>
      <c r="U684" s="303"/>
      <c r="V684" s="303"/>
      <c r="W684" s="303"/>
      <c r="X684" s="303"/>
      <c r="Y684" s="303"/>
      <c r="Z684" s="303"/>
      <c r="AA684" s="303"/>
      <c r="AB684" s="143"/>
      <c r="AC684" s="303"/>
      <c r="AD684" s="303"/>
      <c r="AE684" s="303"/>
      <c r="AF684" s="303"/>
      <c r="AG684" s="303"/>
      <c r="AH684" s="303"/>
      <c r="AI684" s="143"/>
      <c r="AJ684" s="125"/>
      <c r="AK684" s="125"/>
      <c r="AL684" s="125"/>
      <c r="AM684" s="125"/>
    </row>
    <row r="685" spans="1:39" ht="12.75" x14ac:dyDescent="0.2">
      <c r="A685" s="303"/>
      <c r="B685" s="303"/>
      <c r="C685" s="303"/>
      <c r="D685" s="143"/>
      <c r="E685" s="303"/>
      <c r="F685" s="303"/>
      <c r="G685" s="303"/>
      <c r="H685" s="303"/>
      <c r="I685" s="303"/>
      <c r="J685" s="303"/>
      <c r="K685" s="303"/>
      <c r="L685" s="143"/>
      <c r="M685" s="303"/>
      <c r="N685" s="303"/>
      <c r="O685" s="303"/>
      <c r="P685" s="303"/>
      <c r="Q685" s="303"/>
      <c r="R685" s="303"/>
      <c r="S685" s="303"/>
      <c r="T685" s="143"/>
      <c r="U685" s="303"/>
      <c r="V685" s="303"/>
      <c r="W685" s="303"/>
      <c r="X685" s="303"/>
      <c r="Y685" s="303"/>
      <c r="Z685" s="303"/>
      <c r="AA685" s="303"/>
      <c r="AB685" s="143"/>
      <c r="AC685" s="303"/>
      <c r="AD685" s="303"/>
      <c r="AE685" s="303"/>
      <c r="AF685" s="303"/>
      <c r="AG685" s="303"/>
      <c r="AH685" s="303"/>
      <c r="AI685" s="143"/>
      <c r="AJ685" s="125"/>
      <c r="AK685" s="125"/>
      <c r="AL685" s="125"/>
      <c r="AM685" s="125"/>
    </row>
    <row r="686" spans="1:39" ht="12.75" x14ac:dyDescent="0.2">
      <c r="A686" s="303"/>
      <c r="B686" s="303"/>
      <c r="C686" s="303"/>
      <c r="D686" s="143"/>
      <c r="E686" s="303"/>
      <c r="F686" s="303"/>
      <c r="G686" s="303"/>
      <c r="H686" s="303"/>
      <c r="I686" s="303"/>
      <c r="J686" s="303"/>
      <c r="K686" s="303"/>
      <c r="L686" s="143"/>
      <c r="M686" s="303"/>
      <c r="N686" s="303"/>
      <c r="O686" s="303"/>
      <c r="P686" s="303"/>
      <c r="Q686" s="303"/>
      <c r="R686" s="303"/>
      <c r="S686" s="303"/>
      <c r="T686" s="143"/>
      <c r="U686" s="303"/>
      <c r="V686" s="303"/>
      <c r="W686" s="303"/>
      <c r="X686" s="303"/>
      <c r="Y686" s="303"/>
      <c r="Z686" s="303"/>
      <c r="AA686" s="303"/>
      <c r="AB686" s="143"/>
      <c r="AC686" s="303"/>
      <c r="AD686" s="303"/>
      <c r="AE686" s="303"/>
      <c r="AF686" s="303"/>
      <c r="AG686" s="303"/>
      <c r="AH686" s="303"/>
      <c r="AI686" s="143"/>
      <c r="AJ686" s="125"/>
      <c r="AK686" s="125"/>
      <c r="AL686" s="125"/>
      <c r="AM686" s="125"/>
    </row>
    <row r="687" spans="1:39" ht="12.75" x14ac:dyDescent="0.2">
      <c r="A687" s="303"/>
      <c r="B687" s="303"/>
      <c r="C687" s="303"/>
      <c r="D687" s="143"/>
      <c r="E687" s="303"/>
      <c r="F687" s="303"/>
      <c r="G687" s="303"/>
      <c r="H687" s="303"/>
      <c r="I687" s="303"/>
      <c r="J687" s="303"/>
      <c r="K687" s="303"/>
      <c r="L687" s="143"/>
      <c r="M687" s="303"/>
      <c r="N687" s="303"/>
      <c r="O687" s="303"/>
      <c r="P687" s="303"/>
      <c r="Q687" s="303"/>
      <c r="R687" s="303"/>
      <c r="S687" s="303"/>
      <c r="T687" s="143"/>
      <c r="U687" s="303"/>
      <c r="V687" s="303"/>
      <c r="W687" s="303"/>
      <c r="X687" s="303"/>
      <c r="Y687" s="303"/>
      <c r="Z687" s="303"/>
      <c r="AA687" s="303"/>
      <c r="AB687" s="143"/>
      <c r="AC687" s="303"/>
      <c r="AD687" s="303"/>
      <c r="AE687" s="303"/>
      <c r="AF687" s="303"/>
      <c r="AG687" s="303"/>
      <c r="AH687" s="303"/>
      <c r="AI687" s="143"/>
      <c r="AJ687" s="125"/>
      <c r="AK687" s="125"/>
      <c r="AL687" s="125"/>
      <c r="AM687" s="125"/>
    </row>
    <row r="688" spans="1:39" ht="12.75" x14ac:dyDescent="0.2">
      <c r="A688" s="303"/>
      <c r="B688" s="303"/>
      <c r="C688" s="303"/>
      <c r="D688" s="143"/>
      <c r="E688" s="303"/>
      <c r="F688" s="303"/>
      <c r="G688" s="303"/>
      <c r="H688" s="303"/>
      <c r="I688" s="303"/>
      <c r="J688" s="303"/>
      <c r="K688" s="303"/>
      <c r="L688" s="143"/>
      <c r="M688" s="303"/>
      <c r="N688" s="303"/>
      <c r="O688" s="303"/>
      <c r="P688" s="303"/>
      <c r="Q688" s="303"/>
      <c r="R688" s="303"/>
      <c r="S688" s="303"/>
      <c r="T688" s="143"/>
      <c r="U688" s="303"/>
      <c r="V688" s="303"/>
      <c r="W688" s="303"/>
      <c r="X688" s="303"/>
      <c r="Y688" s="303"/>
      <c r="Z688" s="303"/>
      <c r="AA688" s="303"/>
      <c r="AB688" s="143"/>
      <c r="AC688" s="303"/>
      <c r="AD688" s="303"/>
      <c r="AE688" s="303"/>
      <c r="AF688" s="303"/>
      <c r="AG688" s="303"/>
      <c r="AH688" s="303"/>
      <c r="AI688" s="143"/>
      <c r="AJ688" s="125"/>
      <c r="AK688" s="125"/>
      <c r="AL688" s="125"/>
      <c r="AM688" s="125"/>
    </row>
    <row r="689" spans="1:39" ht="12.75" x14ac:dyDescent="0.2">
      <c r="A689" s="303"/>
      <c r="B689" s="303"/>
      <c r="C689" s="303"/>
      <c r="D689" s="143"/>
      <c r="E689" s="303"/>
      <c r="F689" s="303"/>
      <c r="G689" s="303"/>
      <c r="H689" s="303"/>
      <c r="I689" s="303"/>
      <c r="J689" s="303"/>
      <c r="K689" s="303"/>
      <c r="L689" s="143"/>
      <c r="M689" s="303"/>
      <c r="N689" s="303"/>
      <c r="O689" s="303"/>
      <c r="P689" s="303"/>
      <c r="Q689" s="303"/>
      <c r="R689" s="303"/>
      <c r="S689" s="303"/>
      <c r="T689" s="143"/>
      <c r="U689" s="303"/>
      <c r="V689" s="303"/>
      <c r="W689" s="303"/>
      <c r="X689" s="303"/>
      <c r="Y689" s="303"/>
      <c r="Z689" s="303"/>
      <c r="AA689" s="303"/>
      <c r="AB689" s="143"/>
      <c r="AC689" s="303"/>
      <c r="AD689" s="303"/>
      <c r="AE689" s="303"/>
      <c r="AF689" s="303"/>
      <c r="AG689" s="303"/>
      <c r="AH689" s="303"/>
      <c r="AI689" s="143"/>
      <c r="AJ689" s="125"/>
      <c r="AK689" s="125"/>
      <c r="AL689" s="125"/>
      <c r="AM689" s="125"/>
    </row>
    <row r="690" spans="1:39" ht="12.75" x14ac:dyDescent="0.2">
      <c r="A690" s="303"/>
      <c r="B690" s="303"/>
      <c r="C690" s="303"/>
      <c r="D690" s="143"/>
      <c r="E690" s="303"/>
      <c r="F690" s="303"/>
      <c r="G690" s="303"/>
      <c r="H690" s="303"/>
      <c r="I690" s="303"/>
      <c r="J690" s="303"/>
      <c r="K690" s="303"/>
      <c r="L690" s="143"/>
      <c r="M690" s="303"/>
      <c r="N690" s="303"/>
      <c r="O690" s="303"/>
      <c r="P690" s="303"/>
      <c r="Q690" s="303"/>
      <c r="R690" s="303"/>
      <c r="S690" s="303"/>
      <c r="T690" s="143"/>
      <c r="U690" s="303"/>
      <c r="V690" s="303"/>
      <c r="W690" s="303"/>
      <c r="X690" s="303"/>
      <c r="Y690" s="303"/>
      <c r="Z690" s="303"/>
      <c r="AA690" s="303"/>
      <c r="AB690" s="143"/>
      <c r="AC690" s="303"/>
      <c r="AD690" s="303"/>
      <c r="AE690" s="303"/>
      <c r="AF690" s="303"/>
      <c r="AG690" s="303"/>
      <c r="AH690" s="303"/>
      <c r="AI690" s="143"/>
      <c r="AJ690" s="125"/>
      <c r="AK690" s="125"/>
      <c r="AL690" s="125"/>
      <c r="AM690" s="125"/>
    </row>
    <row r="691" spans="1:39" ht="12.75" x14ac:dyDescent="0.2">
      <c r="A691" s="303"/>
      <c r="B691" s="303"/>
      <c r="C691" s="303"/>
      <c r="D691" s="143"/>
      <c r="E691" s="303"/>
      <c r="F691" s="303"/>
      <c r="G691" s="303"/>
      <c r="H691" s="303"/>
      <c r="I691" s="303"/>
      <c r="J691" s="303"/>
      <c r="K691" s="303"/>
      <c r="L691" s="143"/>
      <c r="M691" s="303"/>
      <c r="N691" s="303"/>
      <c r="O691" s="303"/>
      <c r="P691" s="303"/>
      <c r="Q691" s="303"/>
      <c r="R691" s="303"/>
      <c r="S691" s="303"/>
      <c r="T691" s="143"/>
      <c r="U691" s="303"/>
      <c r="V691" s="303"/>
      <c r="W691" s="303"/>
      <c r="X691" s="303"/>
      <c r="Y691" s="303"/>
      <c r="Z691" s="303"/>
      <c r="AA691" s="303"/>
      <c r="AB691" s="143"/>
      <c r="AC691" s="303"/>
      <c r="AD691" s="303"/>
      <c r="AE691" s="303"/>
      <c r="AF691" s="303"/>
      <c r="AG691" s="303"/>
      <c r="AH691" s="303"/>
      <c r="AI691" s="143"/>
      <c r="AJ691" s="125"/>
      <c r="AK691" s="125"/>
      <c r="AL691" s="125"/>
      <c r="AM691" s="125"/>
    </row>
    <row r="692" spans="1:39" ht="12.75" x14ac:dyDescent="0.2">
      <c r="A692" s="303"/>
      <c r="B692" s="303"/>
      <c r="C692" s="303"/>
      <c r="D692" s="143"/>
      <c r="E692" s="303"/>
      <c r="F692" s="303"/>
      <c r="G692" s="303"/>
      <c r="H692" s="303"/>
      <c r="I692" s="303"/>
      <c r="J692" s="303"/>
      <c r="K692" s="303"/>
      <c r="L692" s="143"/>
      <c r="M692" s="303"/>
      <c r="N692" s="303"/>
      <c r="O692" s="303"/>
      <c r="P692" s="303"/>
      <c r="Q692" s="303"/>
      <c r="R692" s="303"/>
      <c r="S692" s="303"/>
      <c r="T692" s="143"/>
      <c r="U692" s="303"/>
      <c r="V692" s="303"/>
      <c r="W692" s="303"/>
      <c r="X692" s="303"/>
      <c r="Y692" s="303"/>
      <c r="Z692" s="303"/>
      <c r="AA692" s="303"/>
      <c r="AB692" s="143"/>
      <c r="AC692" s="303"/>
      <c r="AD692" s="303"/>
      <c r="AE692" s="303"/>
      <c r="AF692" s="303"/>
      <c r="AG692" s="303"/>
      <c r="AH692" s="303"/>
      <c r="AI692" s="143"/>
      <c r="AJ692" s="125"/>
      <c r="AK692" s="125"/>
      <c r="AL692" s="125"/>
      <c r="AM692" s="125"/>
    </row>
    <row r="693" spans="1:39" ht="12.75" x14ac:dyDescent="0.2">
      <c r="A693" s="303"/>
      <c r="B693" s="303"/>
      <c r="C693" s="303"/>
      <c r="D693" s="143"/>
      <c r="E693" s="303"/>
      <c r="F693" s="303"/>
      <c r="G693" s="303"/>
      <c r="H693" s="303"/>
      <c r="I693" s="303"/>
      <c r="J693" s="303"/>
      <c r="K693" s="303"/>
      <c r="L693" s="143"/>
      <c r="M693" s="303"/>
      <c r="N693" s="303"/>
      <c r="O693" s="303"/>
      <c r="P693" s="303"/>
      <c r="Q693" s="303"/>
      <c r="R693" s="303"/>
      <c r="S693" s="303"/>
      <c r="T693" s="143"/>
      <c r="U693" s="303"/>
      <c r="V693" s="303"/>
      <c r="W693" s="303"/>
      <c r="X693" s="303"/>
      <c r="Y693" s="303"/>
      <c r="Z693" s="303"/>
      <c r="AA693" s="303"/>
      <c r="AB693" s="143"/>
      <c r="AC693" s="303"/>
      <c r="AD693" s="303"/>
      <c r="AE693" s="303"/>
      <c r="AF693" s="303"/>
      <c r="AG693" s="303"/>
      <c r="AH693" s="303"/>
      <c r="AI693" s="143"/>
      <c r="AJ693" s="125"/>
      <c r="AK693" s="125"/>
      <c r="AL693" s="125"/>
      <c r="AM693" s="125"/>
    </row>
    <row r="694" spans="1:39" ht="12.75" x14ac:dyDescent="0.2">
      <c r="A694" s="303"/>
      <c r="B694" s="303"/>
      <c r="C694" s="303"/>
      <c r="D694" s="143"/>
      <c r="E694" s="303"/>
      <c r="F694" s="303"/>
      <c r="G694" s="303"/>
      <c r="H694" s="303"/>
      <c r="I694" s="303"/>
      <c r="J694" s="303"/>
      <c r="K694" s="303"/>
      <c r="L694" s="143"/>
      <c r="M694" s="303"/>
      <c r="N694" s="303"/>
      <c r="O694" s="303"/>
      <c r="P694" s="303"/>
      <c r="Q694" s="303"/>
      <c r="R694" s="303"/>
      <c r="S694" s="303"/>
      <c r="T694" s="143"/>
      <c r="U694" s="303"/>
      <c r="V694" s="303"/>
      <c r="W694" s="303"/>
      <c r="X694" s="303"/>
      <c r="Y694" s="303"/>
      <c r="Z694" s="303"/>
      <c r="AA694" s="303"/>
      <c r="AB694" s="143"/>
      <c r="AC694" s="303"/>
      <c r="AD694" s="303"/>
      <c r="AE694" s="303"/>
      <c r="AF694" s="303"/>
      <c r="AG694" s="303"/>
      <c r="AH694" s="303"/>
      <c r="AI694" s="143"/>
      <c r="AJ694" s="125"/>
      <c r="AK694" s="125"/>
      <c r="AL694" s="125"/>
      <c r="AM694" s="125"/>
    </row>
    <row r="695" spans="1:39" ht="12.75" x14ac:dyDescent="0.2">
      <c r="A695" s="303"/>
      <c r="B695" s="303"/>
      <c r="C695" s="303"/>
      <c r="D695" s="143"/>
      <c r="E695" s="303"/>
      <c r="F695" s="303"/>
      <c r="G695" s="303"/>
      <c r="H695" s="303"/>
      <c r="I695" s="303"/>
      <c r="J695" s="303"/>
      <c r="K695" s="303"/>
      <c r="L695" s="143"/>
      <c r="M695" s="303"/>
      <c r="N695" s="303"/>
      <c r="O695" s="303"/>
      <c r="P695" s="303"/>
      <c r="Q695" s="303"/>
      <c r="R695" s="303"/>
      <c r="S695" s="303"/>
      <c r="T695" s="143"/>
      <c r="U695" s="303"/>
      <c r="V695" s="303"/>
      <c r="W695" s="303"/>
      <c r="X695" s="303"/>
      <c r="Y695" s="303"/>
      <c r="Z695" s="303"/>
      <c r="AA695" s="303"/>
      <c r="AB695" s="143"/>
      <c r="AC695" s="303"/>
      <c r="AD695" s="303"/>
      <c r="AE695" s="303"/>
      <c r="AF695" s="303"/>
      <c r="AG695" s="303"/>
      <c r="AH695" s="303"/>
      <c r="AI695" s="143"/>
      <c r="AJ695" s="125"/>
      <c r="AK695" s="125"/>
      <c r="AL695" s="125"/>
      <c r="AM695" s="125"/>
    </row>
    <row r="696" spans="1:39" ht="12.75" x14ac:dyDescent="0.2">
      <c r="A696" s="303"/>
      <c r="B696" s="303"/>
      <c r="C696" s="303"/>
      <c r="D696" s="143"/>
      <c r="E696" s="303"/>
      <c r="F696" s="303"/>
      <c r="G696" s="303"/>
      <c r="H696" s="303"/>
      <c r="I696" s="303"/>
      <c r="J696" s="303"/>
      <c r="K696" s="303"/>
      <c r="L696" s="143"/>
      <c r="M696" s="303"/>
      <c r="N696" s="303"/>
      <c r="O696" s="303"/>
      <c r="P696" s="303"/>
      <c r="Q696" s="303"/>
      <c r="R696" s="303"/>
      <c r="S696" s="303"/>
      <c r="T696" s="143"/>
      <c r="U696" s="303"/>
      <c r="V696" s="303"/>
      <c r="W696" s="303"/>
      <c r="X696" s="303"/>
      <c r="Y696" s="303"/>
      <c r="Z696" s="303"/>
      <c r="AA696" s="303"/>
      <c r="AB696" s="143"/>
      <c r="AC696" s="303"/>
      <c r="AD696" s="303"/>
      <c r="AE696" s="303"/>
      <c r="AF696" s="303"/>
      <c r="AG696" s="303"/>
      <c r="AH696" s="303"/>
      <c r="AI696" s="143"/>
      <c r="AJ696" s="125"/>
      <c r="AK696" s="125"/>
      <c r="AL696" s="125"/>
      <c r="AM696" s="125"/>
    </row>
    <row r="697" spans="1:39" ht="12.75" x14ac:dyDescent="0.2">
      <c r="A697" s="303"/>
      <c r="B697" s="303"/>
      <c r="C697" s="303"/>
      <c r="D697" s="143"/>
      <c r="E697" s="303"/>
      <c r="F697" s="303"/>
      <c r="G697" s="303"/>
      <c r="H697" s="303"/>
      <c r="I697" s="303"/>
      <c r="J697" s="303"/>
      <c r="K697" s="303"/>
      <c r="L697" s="143"/>
      <c r="M697" s="303"/>
      <c r="N697" s="303"/>
      <c r="O697" s="303"/>
      <c r="P697" s="303"/>
      <c r="Q697" s="303"/>
      <c r="R697" s="303"/>
      <c r="S697" s="303"/>
      <c r="T697" s="143"/>
      <c r="U697" s="303"/>
      <c r="V697" s="303"/>
      <c r="W697" s="303"/>
      <c r="X697" s="303"/>
      <c r="Y697" s="303"/>
      <c r="Z697" s="303"/>
      <c r="AA697" s="303"/>
      <c r="AB697" s="143"/>
      <c r="AC697" s="303"/>
      <c r="AD697" s="303"/>
      <c r="AE697" s="303"/>
      <c r="AF697" s="303"/>
      <c r="AG697" s="303"/>
      <c r="AH697" s="303"/>
      <c r="AI697" s="143"/>
      <c r="AJ697" s="125"/>
      <c r="AK697" s="125"/>
      <c r="AL697" s="125"/>
      <c r="AM697" s="125"/>
    </row>
    <row r="698" spans="1:39" ht="12.75" x14ac:dyDescent="0.2">
      <c r="A698" s="303"/>
      <c r="B698" s="303"/>
      <c r="C698" s="303"/>
      <c r="D698" s="143"/>
      <c r="E698" s="303"/>
      <c r="F698" s="303"/>
      <c r="G698" s="303"/>
      <c r="H698" s="303"/>
      <c r="I698" s="303"/>
      <c r="J698" s="303"/>
      <c r="K698" s="303"/>
      <c r="L698" s="143"/>
      <c r="M698" s="303"/>
      <c r="N698" s="303"/>
      <c r="O698" s="303"/>
      <c r="P698" s="303"/>
      <c r="Q698" s="303"/>
      <c r="R698" s="303"/>
      <c r="S698" s="303"/>
      <c r="T698" s="143"/>
      <c r="U698" s="303"/>
      <c r="V698" s="303"/>
      <c r="W698" s="303"/>
      <c r="X698" s="303"/>
      <c r="Y698" s="303"/>
      <c r="Z698" s="303"/>
      <c r="AA698" s="303"/>
      <c r="AB698" s="143"/>
      <c r="AC698" s="303"/>
      <c r="AD698" s="303"/>
      <c r="AE698" s="303"/>
      <c r="AF698" s="303"/>
      <c r="AG698" s="303"/>
      <c r="AH698" s="303"/>
      <c r="AI698" s="143"/>
      <c r="AJ698" s="125"/>
      <c r="AK698" s="125"/>
      <c r="AL698" s="125"/>
      <c r="AM698" s="125"/>
    </row>
    <row r="699" spans="1:39" ht="12.75" x14ac:dyDescent="0.2">
      <c r="A699" s="303"/>
      <c r="B699" s="303"/>
      <c r="C699" s="303"/>
      <c r="D699" s="143"/>
      <c r="E699" s="303"/>
      <c r="F699" s="303"/>
      <c r="G699" s="303"/>
      <c r="H699" s="303"/>
      <c r="I699" s="303"/>
      <c r="J699" s="303"/>
      <c r="K699" s="303"/>
      <c r="L699" s="143"/>
      <c r="M699" s="303"/>
      <c r="N699" s="303"/>
      <c r="O699" s="303"/>
      <c r="P699" s="303"/>
      <c r="Q699" s="303"/>
      <c r="R699" s="303"/>
      <c r="S699" s="303"/>
      <c r="T699" s="143"/>
      <c r="U699" s="303"/>
      <c r="V699" s="303"/>
      <c r="W699" s="303"/>
      <c r="X699" s="303"/>
      <c r="Y699" s="303"/>
      <c r="Z699" s="303"/>
      <c r="AA699" s="303"/>
      <c r="AB699" s="143"/>
      <c r="AC699" s="303"/>
      <c r="AD699" s="303"/>
      <c r="AE699" s="303"/>
      <c r="AF699" s="303"/>
      <c r="AG699" s="303"/>
      <c r="AH699" s="303"/>
      <c r="AI699" s="143"/>
      <c r="AJ699" s="125"/>
      <c r="AK699" s="125"/>
      <c r="AL699" s="125"/>
      <c r="AM699" s="125"/>
    </row>
    <row r="700" spans="1:39" ht="12.75" x14ac:dyDescent="0.2">
      <c r="A700" s="303"/>
      <c r="B700" s="303"/>
      <c r="C700" s="303"/>
      <c r="D700" s="143"/>
      <c r="E700" s="303"/>
      <c r="F700" s="303"/>
      <c r="G700" s="303"/>
      <c r="H700" s="303"/>
      <c r="I700" s="303"/>
      <c r="J700" s="303"/>
      <c r="K700" s="303"/>
      <c r="L700" s="143"/>
      <c r="M700" s="303"/>
      <c r="N700" s="303"/>
      <c r="O700" s="303"/>
      <c r="P700" s="303"/>
      <c r="Q700" s="303"/>
      <c r="R700" s="303"/>
      <c r="S700" s="303"/>
      <c r="T700" s="143"/>
      <c r="U700" s="303"/>
      <c r="V700" s="303"/>
      <c r="W700" s="303"/>
      <c r="X700" s="303"/>
      <c r="Y700" s="303"/>
      <c r="Z700" s="303"/>
      <c r="AA700" s="303"/>
      <c r="AB700" s="143"/>
      <c r="AC700" s="303"/>
      <c r="AD700" s="303"/>
      <c r="AE700" s="303"/>
      <c r="AF700" s="303"/>
      <c r="AG700" s="303"/>
      <c r="AH700" s="303"/>
      <c r="AI700" s="143"/>
      <c r="AJ700" s="125"/>
      <c r="AK700" s="125"/>
      <c r="AL700" s="125"/>
      <c r="AM700" s="125"/>
    </row>
    <row r="701" spans="1:39" ht="12.75" x14ac:dyDescent="0.2">
      <c r="A701" s="303"/>
      <c r="B701" s="303"/>
      <c r="C701" s="303"/>
      <c r="D701" s="143"/>
      <c r="E701" s="303"/>
      <c r="F701" s="303"/>
      <c r="G701" s="303"/>
      <c r="H701" s="303"/>
      <c r="I701" s="303"/>
      <c r="J701" s="303"/>
      <c r="K701" s="303"/>
      <c r="L701" s="143"/>
      <c r="M701" s="303"/>
      <c r="N701" s="303"/>
      <c r="O701" s="303"/>
      <c r="P701" s="303"/>
      <c r="Q701" s="303"/>
      <c r="R701" s="303"/>
      <c r="S701" s="303"/>
      <c r="T701" s="143"/>
      <c r="U701" s="303"/>
      <c r="V701" s="303"/>
      <c r="W701" s="303"/>
      <c r="X701" s="303"/>
      <c r="Y701" s="303"/>
      <c r="Z701" s="303"/>
      <c r="AA701" s="303"/>
      <c r="AB701" s="143"/>
      <c r="AC701" s="303"/>
      <c r="AD701" s="303"/>
      <c r="AE701" s="303"/>
      <c r="AF701" s="303"/>
      <c r="AG701" s="303"/>
      <c r="AH701" s="303"/>
      <c r="AI701" s="143"/>
      <c r="AJ701" s="125"/>
      <c r="AK701" s="125"/>
      <c r="AL701" s="125"/>
      <c r="AM701" s="125"/>
    </row>
    <row r="702" spans="1:39" ht="12.75" x14ac:dyDescent="0.2">
      <c r="A702" s="303"/>
      <c r="B702" s="303"/>
      <c r="C702" s="303"/>
      <c r="D702" s="143"/>
      <c r="E702" s="303"/>
      <c r="F702" s="303"/>
      <c r="G702" s="303"/>
      <c r="H702" s="303"/>
      <c r="I702" s="303"/>
      <c r="J702" s="303"/>
      <c r="K702" s="303"/>
      <c r="L702" s="143"/>
      <c r="M702" s="303"/>
      <c r="N702" s="303"/>
      <c r="O702" s="303"/>
      <c r="P702" s="303"/>
      <c r="Q702" s="303"/>
      <c r="R702" s="303"/>
      <c r="S702" s="303"/>
      <c r="T702" s="143"/>
      <c r="U702" s="303"/>
      <c r="V702" s="303"/>
      <c r="W702" s="303"/>
      <c r="X702" s="303"/>
      <c r="Y702" s="303"/>
      <c r="Z702" s="303"/>
      <c r="AA702" s="303"/>
      <c r="AB702" s="143"/>
      <c r="AC702" s="303"/>
      <c r="AD702" s="303"/>
      <c r="AE702" s="303"/>
      <c r="AF702" s="303"/>
      <c r="AG702" s="303"/>
      <c r="AH702" s="303"/>
      <c r="AI702" s="143"/>
      <c r="AJ702" s="125"/>
      <c r="AK702" s="125"/>
      <c r="AL702" s="125"/>
      <c r="AM702" s="125"/>
    </row>
    <row r="703" spans="1:39" ht="12.75" x14ac:dyDescent="0.2">
      <c r="A703" s="303"/>
      <c r="B703" s="303"/>
      <c r="C703" s="303"/>
      <c r="D703" s="143"/>
      <c r="E703" s="303"/>
      <c r="F703" s="303"/>
      <c r="G703" s="303"/>
      <c r="H703" s="303"/>
      <c r="I703" s="303"/>
      <c r="J703" s="303"/>
      <c r="K703" s="303"/>
      <c r="L703" s="143"/>
      <c r="M703" s="303"/>
      <c r="N703" s="303"/>
      <c r="O703" s="303"/>
      <c r="P703" s="303"/>
      <c r="Q703" s="303"/>
      <c r="R703" s="303"/>
      <c r="S703" s="303"/>
      <c r="T703" s="143"/>
      <c r="U703" s="303"/>
      <c r="V703" s="303"/>
      <c r="W703" s="303"/>
      <c r="X703" s="303"/>
      <c r="Y703" s="303"/>
      <c r="Z703" s="303"/>
      <c r="AA703" s="303"/>
      <c r="AB703" s="143"/>
      <c r="AC703" s="303"/>
      <c r="AD703" s="303"/>
      <c r="AE703" s="303"/>
      <c r="AF703" s="303"/>
      <c r="AG703" s="303"/>
      <c r="AH703" s="303"/>
      <c r="AI703" s="143"/>
      <c r="AJ703" s="125"/>
      <c r="AK703" s="125"/>
      <c r="AL703" s="125"/>
      <c r="AM703" s="125"/>
    </row>
    <row r="704" spans="1:39" ht="12.75" x14ac:dyDescent="0.2">
      <c r="A704" s="303"/>
      <c r="B704" s="303"/>
      <c r="C704" s="303"/>
      <c r="D704" s="143"/>
      <c r="E704" s="303"/>
      <c r="F704" s="303"/>
      <c r="G704" s="303"/>
      <c r="H704" s="303"/>
      <c r="I704" s="303"/>
      <c r="J704" s="303"/>
      <c r="K704" s="303"/>
      <c r="L704" s="143"/>
      <c r="M704" s="303"/>
      <c r="N704" s="303"/>
      <c r="O704" s="303"/>
      <c r="P704" s="303"/>
      <c r="Q704" s="303"/>
      <c r="R704" s="303"/>
      <c r="S704" s="303"/>
      <c r="T704" s="143"/>
      <c r="U704" s="303"/>
      <c r="V704" s="303"/>
      <c r="W704" s="303"/>
      <c r="X704" s="303"/>
      <c r="Y704" s="303"/>
      <c r="Z704" s="303"/>
      <c r="AA704" s="303"/>
      <c r="AB704" s="143"/>
      <c r="AC704" s="303"/>
      <c r="AD704" s="303"/>
      <c r="AE704" s="303"/>
      <c r="AF704" s="303"/>
      <c r="AG704" s="303"/>
      <c r="AH704" s="303"/>
      <c r="AI704" s="143"/>
      <c r="AJ704" s="125"/>
      <c r="AK704" s="125"/>
      <c r="AL704" s="125"/>
      <c r="AM704" s="125"/>
    </row>
    <row r="705" spans="1:39" ht="12.75" x14ac:dyDescent="0.2">
      <c r="A705" s="303"/>
      <c r="B705" s="303"/>
      <c r="C705" s="303"/>
      <c r="D705" s="143"/>
      <c r="E705" s="303"/>
      <c r="F705" s="303"/>
      <c r="G705" s="303"/>
      <c r="H705" s="303"/>
      <c r="I705" s="303"/>
      <c r="J705" s="303"/>
      <c r="K705" s="303"/>
      <c r="L705" s="143"/>
      <c r="M705" s="303"/>
      <c r="N705" s="303"/>
      <c r="O705" s="303"/>
      <c r="P705" s="303"/>
      <c r="Q705" s="303"/>
      <c r="R705" s="303"/>
      <c r="S705" s="303"/>
      <c r="T705" s="143"/>
      <c r="U705" s="303"/>
      <c r="V705" s="303"/>
      <c r="W705" s="303"/>
      <c r="X705" s="303"/>
      <c r="Y705" s="303"/>
      <c r="Z705" s="303"/>
      <c r="AA705" s="303"/>
      <c r="AB705" s="143"/>
      <c r="AC705" s="303"/>
      <c r="AD705" s="303"/>
      <c r="AE705" s="303"/>
      <c r="AF705" s="303"/>
      <c r="AG705" s="303"/>
      <c r="AH705" s="303"/>
      <c r="AI705" s="143"/>
      <c r="AJ705" s="125"/>
      <c r="AK705" s="125"/>
      <c r="AL705" s="125"/>
      <c r="AM705" s="125"/>
    </row>
    <row r="706" spans="1:39" ht="12.75" x14ac:dyDescent="0.2">
      <c r="A706" s="303"/>
      <c r="B706" s="303"/>
      <c r="C706" s="303"/>
      <c r="D706" s="143"/>
      <c r="E706" s="303"/>
      <c r="F706" s="303"/>
      <c r="G706" s="303"/>
      <c r="H706" s="303"/>
      <c r="I706" s="303"/>
      <c r="J706" s="303"/>
      <c r="K706" s="303"/>
      <c r="L706" s="143"/>
      <c r="M706" s="303"/>
      <c r="N706" s="303"/>
      <c r="O706" s="303"/>
      <c r="P706" s="303"/>
      <c r="Q706" s="303"/>
      <c r="R706" s="303"/>
      <c r="S706" s="303"/>
      <c r="T706" s="143"/>
      <c r="U706" s="303"/>
      <c r="V706" s="303"/>
      <c r="W706" s="303"/>
      <c r="X706" s="303"/>
      <c r="Y706" s="303"/>
      <c r="Z706" s="303"/>
      <c r="AA706" s="303"/>
      <c r="AB706" s="143"/>
      <c r="AC706" s="303"/>
      <c r="AD706" s="303"/>
      <c r="AE706" s="303"/>
      <c r="AF706" s="303"/>
      <c r="AG706" s="303"/>
      <c r="AH706" s="303"/>
      <c r="AI706" s="143"/>
      <c r="AJ706" s="125"/>
      <c r="AK706" s="125"/>
      <c r="AL706" s="125"/>
      <c r="AM706" s="125"/>
    </row>
    <row r="707" spans="1:39" ht="12.75" x14ac:dyDescent="0.2">
      <c r="A707" s="303"/>
      <c r="B707" s="303"/>
      <c r="C707" s="303"/>
      <c r="D707" s="143"/>
      <c r="E707" s="303"/>
      <c r="F707" s="303"/>
      <c r="G707" s="303"/>
      <c r="H707" s="303"/>
      <c r="I707" s="303"/>
      <c r="J707" s="303"/>
      <c r="K707" s="303"/>
      <c r="L707" s="143"/>
      <c r="M707" s="303"/>
      <c r="N707" s="303"/>
      <c r="O707" s="303"/>
      <c r="P707" s="303"/>
      <c r="Q707" s="303"/>
      <c r="R707" s="303"/>
      <c r="S707" s="303"/>
      <c r="T707" s="143"/>
      <c r="U707" s="303"/>
      <c r="V707" s="303"/>
      <c r="W707" s="303"/>
      <c r="X707" s="303"/>
      <c r="Y707" s="303"/>
      <c r="Z707" s="303"/>
      <c r="AA707" s="303"/>
      <c r="AB707" s="143"/>
      <c r="AC707" s="303"/>
      <c r="AD707" s="303"/>
      <c r="AE707" s="303"/>
      <c r="AF707" s="303"/>
      <c r="AG707" s="303"/>
      <c r="AH707" s="303"/>
      <c r="AI707" s="143"/>
      <c r="AJ707" s="125"/>
      <c r="AK707" s="125"/>
      <c r="AL707" s="125"/>
      <c r="AM707" s="125"/>
    </row>
    <row r="708" spans="1:39" ht="12.75" x14ac:dyDescent="0.2">
      <c r="A708" s="303"/>
      <c r="B708" s="303"/>
      <c r="C708" s="303"/>
      <c r="D708" s="143"/>
      <c r="E708" s="303"/>
      <c r="F708" s="303"/>
      <c r="G708" s="303"/>
      <c r="H708" s="303"/>
      <c r="I708" s="303"/>
      <c r="J708" s="303"/>
      <c r="K708" s="303"/>
      <c r="L708" s="143"/>
      <c r="M708" s="303"/>
      <c r="N708" s="303"/>
      <c r="O708" s="303"/>
      <c r="P708" s="303"/>
      <c r="Q708" s="303"/>
      <c r="R708" s="303"/>
      <c r="S708" s="303"/>
      <c r="T708" s="143"/>
      <c r="U708" s="303"/>
      <c r="V708" s="303"/>
      <c r="W708" s="303"/>
      <c r="X708" s="303"/>
      <c r="Y708" s="303"/>
      <c r="Z708" s="303"/>
      <c r="AA708" s="303"/>
      <c r="AB708" s="143"/>
      <c r="AC708" s="303"/>
      <c r="AD708" s="303"/>
      <c r="AE708" s="303"/>
      <c r="AF708" s="303"/>
      <c r="AG708" s="303"/>
      <c r="AH708" s="303"/>
      <c r="AI708" s="143"/>
      <c r="AJ708" s="125"/>
      <c r="AK708" s="125"/>
      <c r="AL708" s="125"/>
      <c r="AM708" s="125"/>
    </row>
    <row r="709" spans="1:39" ht="12.75" x14ac:dyDescent="0.2">
      <c r="A709" s="303"/>
      <c r="B709" s="303"/>
      <c r="C709" s="303"/>
      <c r="D709" s="143"/>
      <c r="E709" s="303"/>
      <c r="F709" s="303"/>
      <c r="G709" s="303"/>
      <c r="H709" s="303"/>
      <c r="I709" s="303"/>
      <c r="J709" s="303"/>
      <c r="K709" s="303"/>
      <c r="L709" s="143"/>
      <c r="M709" s="303"/>
      <c r="N709" s="303"/>
      <c r="O709" s="303"/>
      <c r="P709" s="303"/>
      <c r="Q709" s="303"/>
      <c r="R709" s="303"/>
      <c r="S709" s="303"/>
      <c r="T709" s="143"/>
      <c r="U709" s="303"/>
      <c r="V709" s="303"/>
      <c r="W709" s="303"/>
      <c r="X709" s="303"/>
      <c r="Y709" s="303"/>
      <c r="Z709" s="303"/>
      <c r="AA709" s="303"/>
      <c r="AB709" s="143"/>
      <c r="AC709" s="303"/>
      <c r="AD709" s="303"/>
      <c r="AE709" s="303"/>
      <c r="AF709" s="303"/>
      <c r="AG709" s="303"/>
      <c r="AH709" s="303"/>
      <c r="AI709" s="143"/>
      <c r="AJ709" s="125"/>
      <c r="AK709" s="125"/>
      <c r="AL709" s="125"/>
      <c r="AM709" s="125"/>
    </row>
    <row r="710" spans="1:39" ht="12.75" x14ac:dyDescent="0.2">
      <c r="A710" s="303"/>
      <c r="B710" s="303"/>
      <c r="C710" s="303"/>
      <c r="D710" s="143"/>
      <c r="E710" s="303"/>
      <c r="F710" s="303"/>
      <c r="G710" s="303"/>
      <c r="H710" s="303"/>
      <c r="I710" s="303"/>
      <c r="J710" s="303"/>
      <c r="K710" s="303"/>
      <c r="L710" s="143"/>
      <c r="M710" s="303"/>
      <c r="N710" s="303"/>
      <c r="O710" s="303"/>
      <c r="P710" s="303"/>
      <c r="Q710" s="303"/>
      <c r="R710" s="303"/>
      <c r="S710" s="303"/>
      <c r="T710" s="143"/>
      <c r="U710" s="303"/>
      <c r="V710" s="303"/>
      <c r="W710" s="303"/>
      <c r="X710" s="303"/>
      <c r="Y710" s="303"/>
      <c r="Z710" s="303"/>
      <c r="AA710" s="303"/>
      <c r="AB710" s="143"/>
      <c r="AC710" s="303"/>
      <c r="AD710" s="303"/>
      <c r="AE710" s="303"/>
      <c r="AF710" s="303"/>
      <c r="AG710" s="303"/>
      <c r="AH710" s="303"/>
      <c r="AI710" s="143"/>
      <c r="AJ710" s="125"/>
      <c r="AK710" s="125"/>
      <c r="AL710" s="125"/>
      <c r="AM710" s="125"/>
    </row>
    <row r="711" spans="1:39" ht="12.75" x14ac:dyDescent="0.2">
      <c r="A711" s="303"/>
      <c r="B711" s="303"/>
      <c r="C711" s="303"/>
      <c r="D711" s="143"/>
      <c r="E711" s="303"/>
      <c r="F711" s="303"/>
      <c r="G711" s="303"/>
      <c r="H711" s="303"/>
      <c r="I711" s="303"/>
      <c r="J711" s="303"/>
      <c r="K711" s="303"/>
      <c r="L711" s="143"/>
      <c r="M711" s="303"/>
      <c r="N711" s="303"/>
      <c r="O711" s="303"/>
      <c r="P711" s="303"/>
      <c r="Q711" s="303"/>
      <c r="R711" s="303"/>
      <c r="S711" s="303"/>
      <c r="T711" s="143"/>
      <c r="U711" s="303"/>
      <c r="V711" s="303"/>
      <c r="W711" s="303"/>
      <c r="X711" s="303"/>
      <c r="Y711" s="303"/>
      <c r="Z711" s="303"/>
      <c r="AA711" s="303"/>
      <c r="AB711" s="143"/>
      <c r="AC711" s="303"/>
      <c r="AD711" s="303"/>
      <c r="AE711" s="303"/>
      <c r="AF711" s="303"/>
      <c r="AG711" s="303"/>
      <c r="AH711" s="303"/>
      <c r="AI711" s="143"/>
      <c r="AJ711" s="125"/>
      <c r="AK711" s="125"/>
      <c r="AL711" s="125"/>
      <c r="AM711" s="125"/>
    </row>
    <row r="712" spans="1:39" ht="12.75" x14ac:dyDescent="0.2">
      <c r="A712" s="303"/>
      <c r="B712" s="303"/>
      <c r="C712" s="303"/>
      <c r="D712" s="143"/>
      <c r="E712" s="303"/>
      <c r="F712" s="303"/>
      <c r="G712" s="303"/>
      <c r="H712" s="303"/>
      <c r="I712" s="303"/>
      <c r="J712" s="303"/>
      <c r="K712" s="303"/>
      <c r="L712" s="143"/>
      <c r="M712" s="303"/>
      <c r="N712" s="303"/>
      <c r="O712" s="303"/>
      <c r="P712" s="303"/>
      <c r="Q712" s="303"/>
      <c r="R712" s="303"/>
      <c r="S712" s="303"/>
      <c r="T712" s="143"/>
      <c r="U712" s="303"/>
      <c r="V712" s="303"/>
      <c r="W712" s="303"/>
      <c r="X712" s="303"/>
      <c r="Y712" s="303"/>
      <c r="Z712" s="303"/>
      <c r="AA712" s="303"/>
      <c r="AB712" s="143"/>
      <c r="AC712" s="303"/>
      <c r="AD712" s="303"/>
      <c r="AE712" s="303"/>
      <c r="AF712" s="303"/>
      <c r="AG712" s="303"/>
      <c r="AH712" s="303"/>
      <c r="AI712" s="143"/>
      <c r="AJ712" s="125"/>
      <c r="AK712" s="125"/>
      <c r="AL712" s="125"/>
      <c r="AM712" s="125"/>
    </row>
    <row r="713" spans="1:39" ht="12.75" x14ac:dyDescent="0.2">
      <c r="A713" s="303"/>
      <c r="B713" s="303"/>
      <c r="C713" s="303"/>
      <c r="D713" s="143"/>
      <c r="E713" s="303"/>
      <c r="F713" s="303"/>
      <c r="G713" s="303"/>
      <c r="H713" s="303"/>
      <c r="I713" s="303"/>
      <c r="J713" s="303"/>
      <c r="K713" s="303"/>
      <c r="L713" s="143"/>
      <c r="M713" s="303"/>
      <c r="N713" s="303"/>
      <c r="O713" s="303"/>
      <c r="P713" s="303"/>
      <c r="Q713" s="303"/>
      <c r="R713" s="303"/>
      <c r="S713" s="303"/>
      <c r="T713" s="143"/>
      <c r="U713" s="303"/>
      <c r="V713" s="303"/>
      <c r="W713" s="303"/>
      <c r="X713" s="303"/>
      <c r="Y713" s="303"/>
      <c r="Z713" s="303"/>
      <c r="AA713" s="303"/>
      <c r="AB713" s="143"/>
      <c r="AC713" s="303"/>
      <c r="AD713" s="303"/>
      <c r="AE713" s="303"/>
      <c r="AF713" s="303"/>
      <c r="AG713" s="303"/>
      <c r="AH713" s="303"/>
      <c r="AI713" s="143"/>
      <c r="AJ713" s="125"/>
      <c r="AK713" s="125"/>
      <c r="AL713" s="125"/>
      <c r="AM713" s="125"/>
    </row>
    <row r="714" spans="1:39" ht="12.75" x14ac:dyDescent="0.2">
      <c r="A714" s="303"/>
      <c r="B714" s="303"/>
      <c r="C714" s="303"/>
      <c r="D714" s="143"/>
      <c r="E714" s="303"/>
      <c r="F714" s="303"/>
      <c r="G714" s="303"/>
      <c r="H714" s="303"/>
      <c r="I714" s="303"/>
      <c r="J714" s="303"/>
      <c r="K714" s="303"/>
      <c r="L714" s="143"/>
      <c r="M714" s="303"/>
      <c r="N714" s="303"/>
      <c r="O714" s="303"/>
      <c r="P714" s="303"/>
      <c r="Q714" s="303"/>
      <c r="R714" s="303"/>
      <c r="S714" s="303"/>
      <c r="T714" s="143"/>
      <c r="U714" s="303"/>
      <c r="V714" s="303"/>
      <c r="W714" s="303"/>
      <c r="X714" s="303"/>
      <c r="Y714" s="303"/>
      <c r="Z714" s="303"/>
      <c r="AA714" s="303"/>
      <c r="AB714" s="143"/>
      <c r="AC714" s="303"/>
      <c r="AD714" s="303"/>
      <c r="AE714" s="303"/>
      <c r="AF714" s="303"/>
      <c r="AG714" s="303"/>
      <c r="AH714" s="303"/>
      <c r="AI714" s="143"/>
      <c r="AJ714" s="125"/>
      <c r="AK714" s="125"/>
      <c r="AL714" s="125"/>
      <c r="AM714" s="125"/>
    </row>
    <row r="715" spans="1:39" ht="12.75" x14ac:dyDescent="0.2">
      <c r="A715" s="303"/>
      <c r="B715" s="303"/>
      <c r="C715" s="303"/>
      <c r="D715" s="143"/>
      <c r="E715" s="303"/>
      <c r="F715" s="303"/>
      <c r="G715" s="303"/>
      <c r="H715" s="303"/>
      <c r="I715" s="303"/>
      <c r="J715" s="303"/>
      <c r="K715" s="303"/>
      <c r="L715" s="143"/>
      <c r="M715" s="303"/>
      <c r="N715" s="303"/>
      <c r="O715" s="303"/>
      <c r="P715" s="303"/>
      <c r="Q715" s="303"/>
      <c r="R715" s="303"/>
      <c r="S715" s="303"/>
      <c r="T715" s="143"/>
      <c r="U715" s="303"/>
      <c r="V715" s="303"/>
      <c r="W715" s="303"/>
      <c r="X715" s="303"/>
      <c r="Y715" s="303"/>
      <c r="Z715" s="303"/>
      <c r="AA715" s="303"/>
      <c r="AB715" s="143"/>
      <c r="AC715" s="303"/>
      <c r="AD715" s="303"/>
      <c r="AE715" s="303"/>
      <c r="AF715" s="303"/>
      <c r="AG715" s="303"/>
      <c r="AH715" s="303"/>
      <c r="AI715" s="143"/>
      <c r="AJ715" s="125"/>
      <c r="AK715" s="125"/>
      <c r="AL715" s="125"/>
      <c r="AM715" s="125"/>
    </row>
    <row r="716" spans="1:39" ht="12.75" x14ac:dyDescent="0.2">
      <c r="A716" s="303"/>
      <c r="B716" s="303"/>
      <c r="C716" s="303"/>
      <c r="D716" s="143"/>
      <c r="E716" s="303"/>
      <c r="F716" s="303"/>
      <c r="G716" s="303"/>
      <c r="H716" s="303"/>
      <c r="I716" s="303"/>
      <c r="J716" s="303"/>
      <c r="K716" s="303"/>
      <c r="L716" s="143"/>
      <c r="M716" s="303"/>
      <c r="N716" s="303"/>
      <c r="O716" s="303"/>
      <c r="P716" s="303"/>
      <c r="Q716" s="303"/>
      <c r="R716" s="303"/>
      <c r="S716" s="303"/>
      <c r="T716" s="143"/>
      <c r="U716" s="303"/>
      <c r="V716" s="303"/>
      <c r="W716" s="303"/>
      <c r="X716" s="303"/>
      <c r="Y716" s="303"/>
      <c r="Z716" s="303"/>
      <c r="AA716" s="303"/>
      <c r="AB716" s="143"/>
      <c r="AC716" s="303"/>
      <c r="AD716" s="303"/>
      <c r="AE716" s="303"/>
      <c r="AF716" s="303"/>
      <c r="AG716" s="303"/>
      <c r="AH716" s="303"/>
      <c r="AI716" s="143"/>
      <c r="AJ716" s="125"/>
      <c r="AK716" s="125"/>
      <c r="AL716" s="125"/>
      <c r="AM716" s="125"/>
    </row>
    <row r="717" spans="1:39" ht="12.75" x14ac:dyDescent="0.2">
      <c r="A717" s="303"/>
      <c r="B717" s="303"/>
      <c r="C717" s="303"/>
      <c r="D717" s="143"/>
      <c r="E717" s="303"/>
      <c r="F717" s="303"/>
      <c r="G717" s="303"/>
      <c r="H717" s="303"/>
      <c r="I717" s="303"/>
      <c r="J717" s="303"/>
      <c r="K717" s="303"/>
      <c r="L717" s="143"/>
      <c r="M717" s="303"/>
      <c r="N717" s="303"/>
      <c r="O717" s="303"/>
      <c r="P717" s="303"/>
      <c r="Q717" s="303"/>
      <c r="R717" s="303"/>
      <c r="S717" s="303"/>
      <c r="T717" s="143"/>
      <c r="U717" s="303"/>
      <c r="V717" s="303"/>
      <c r="W717" s="303"/>
      <c r="X717" s="303"/>
      <c r="Y717" s="303"/>
      <c r="Z717" s="303"/>
      <c r="AA717" s="303"/>
      <c r="AB717" s="143"/>
      <c r="AC717" s="303"/>
      <c r="AD717" s="303"/>
      <c r="AE717" s="303"/>
      <c r="AF717" s="303"/>
      <c r="AG717" s="303"/>
      <c r="AH717" s="303"/>
      <c r="AI717" s="143"/>
      <c r="AJ717" s="125"/>
      <c r="AK717" s="125"/>
      <c r="AL717" s="125"/>
      <c r="AM717" s="125"/>
    </row>
    <row r="718" spans="1:39" ht="12.75" x14ac:dyDescent="0.2">
      <c r="A718" s="303"/>
      <c r="B718" s="303"/>
      <c r="C718" s="303"/>
      <c r="D718" s="143"/>
      <c r="E718" s="303"/>
      <c r="F718" s="303"/>
      <c r="G718" s="303"/>
      <c r="H718" s="303"/>
      <c r="I718" s="303"/>
      <c r="J718" s="303"/>
      <c r="K718" s="303"/>
      <c r="L718" s="143"/>
      <c r="M718" s="303"/>
      <c r="N718" s="303"/>
      <c r="O718" s="303"/>
      <c r="P718" s="303"/>
      <c r="Q718" s="303"/>
      <c r="R718" s="303"/>
      <c r="S718" s="303"/>
      <c r="T718" s="143"/>
      <c r="U718" s="303"/>
      <c r="V718" s="303"/>
      <c r="W718" s="303"/>
      <c r="X718" s="303"/>
      <c r="Y718" s="303"/>
      <c r="Z718" s="303"/>
      <c r="AA718" s="303"/>
      <c r="AB718" s="143"/>
      <c r="AC718" s="303"/>
      <c r="AD718" s="303"/>
      <c r="AE718" s="303"/>
      <c r="AF718" s="303"/>
      <c r="AG718" s="303"/>
      <c r="AH718" s="303"/>
      <c r="AI718" s="143"/>
      <c r="AJ718" s="125"/>
      <c r="AK718" s="125"/>
      <c r="AL718" s="125"/>
      <c r="AM718" s="125"/>
    </row>
    <row r="719" spans="1:39" ht="12.75" x14ac:dyDescent="0.2">
      <c r="A719" s="303"/>
      <c r="B719" s="303"/>
      <c r="C719" s="303"/>
      <c r="D719" s="143"/>
      <c r="E719" s="303"/>
      <c r="F719" s="303"/>
      <c r="G719" s="303"/>
      <c r="H719" s="303"/>
      <c r="I719" s="303"/>
      <c r="J719" s="303"/>
      <c r="K719" s="303"/>
      <c r="L719" s="143"/>
      <c r="M719" s="303"/>
      <c r="N719" s="303"/>
      <c r="O719" s="303"/>
      <c r="P719" s="303"/>
      <c r="Q719" s="303"/>
      <c r="R719" s="303"/>
      <c r="S719" s="303"/>
      <c r="T719" s="143"/>
      <c r="U719" s="303"/>
      <c r="V719" s="303"/>
      <c r="W719" s="303"/>
      <c r="X719" s="303"/>
      <c r="Y719" s="303"/>
      <c r="Z719" s="303"/>
      <c r="AA719" s="303"/>
      <c r="AB719" s="143"/>
      <c r="AC719" s="303"/>
      <c r="AD719" s="303"/>
      <c r="AE719" s="303"/>
      <c r="AF719" s="303"/>
      <c r="AG719" s="303"/>
      <c r="AH719" s="303"/>
      <c r="AI719" s="143"/>
      <c r="AJ719" s="125"/>
      <c r="AK719" s="125"/>
      <c r="AL719" s="125"/>
      <c r="AM719" s="125"/>
    </row>
    <row r="720" spans="1:39" ht="12.75" x14ac:dyDescent="0.2">
      <c r="A720" s="303"/>
      <c r="B720" s="303"/>
      <c r="C720" s="303"/>
      <c r="D720" s="143"/>
      <c r="E720" s="303"/>
      <c r="F720" s="303"/>
      <c r="G720" s="303"/>
      <c r="H720" s="303"/>
      <c r="I720" s="303"/>
      <c r="J720" s="303"/>
      <c r="K720" s="303"/>
      <c r="L720" s="143"/>
      <c r="M720" s="303"/>
      <c r="N720" s="303"/>
      <c r="O720" s="303"/>
      <c r="P720" s="303"/>
      <c r="Q720" s="303"/>
      <c r="R720" s="303"/>
      <c r="S720" s="303"/>
      <c r="T720" s="143"/>
      <c r="U720" s="303"/>
      <c r="V720" s="303"/>
      <c r="W720" s="303"/>
      <c r="X720" s="303"/>
      <c r="Y720" s="303"/>
      <c r="Z720" s="303"/>
      <c r="AA720" s="303"/>
      <c r="AB720" s="143"/>
      <c r="AC720" s="303"/>
      <c r="AD720" s="303"/>
      <c r="AE720" s="303"/>
      <c r="AF720" s="303"/>
      <c r="AG720" s="303"/>
      <c r="AH720" s="303"/>
      <c r="AI720" s="143"/>
      <c r="AJ720" s="125"/>
      <c r="AK720" s="125"/>
      <c r="AL720" s="125"/>
      <c r="AM720" s="125"/>
    </row>
    <row r="721" spans="1:39" ht="12.75" x14ac:dyDescent="0.2">
      <c r="A721" s="303"/>
      <c r="B721" s="303"/>
      <c r="C721" s="303"/>
      <c r="D721" s="143"/>
      <c r="E721" s="303"/>
      <c r="F721" s="303"/>
      <c r="G721" s="303"/>
      <c r="H721" s="303"/>
      <c r="I721" s="303"/>
      <c r="J721" s="303"/>
      <c r="K721" s="303"/>
      <c r="L721" s="143"/>
      <c r="M721" s="303"/>
      <c r="N721" s="303"/>
      <c r="O721" s="303"/>
      <c r="P721" s="303"/>
      <c r="Q721" s="303"/>
      <c r="R721" s="303"/>
      <c r="S721" s="303"/>
      <c r="T721" s="143"/>
      <c r="U721" s="303"/>
      <c r="V721" s="303"/>
      <c r="W721" s="303"/>
      <c r="X721" s="303"/>
      <c r="Y721" s="303"/>
      <c r="Z721" s="303"/>
      <c r="AA721" s="303"/>
      <c r="AB721" s="143"/>
      <c r="AC721" s="303"/>
      <c r="AD721" s="303"/>
      <c r="AE721" s="303"/>
      <c r="AF721" s="303"/>
      <c r="AG721" s="303"/>
      <c r="AH721" s="303"/>
      <c r="AI721" s="143"/>
      <c r="AJ721" s="125"/>
      <c r="AK721" s="125"/>
      <c r="AL721" s="125"/>
      <c r="AM721" s="125"/>
    </row>
    <row r="722" spans="1:39" ht="12.75" x14ac:dyDescent="0.2">
      <c r="A722" s="303"/>
      <c r="B722" s="303"/>
      <c r="C722" s="303"/>
      <c r="D722" s="143"/>
      <c r="E722" s="303"/>
      <c r="F722" s="303"/>
      <c r="G722" s="303"/>
      <c r="H722" s="303"/>
      <c r="I722" s="303"/>
      <c r="J722" s="303"/>
      <c r="K722" s="303"/>
      <c r="L722" s="143"/>
      <c r="M722" s="303"/>
      <c r="N722" s="303"/>
      <c r="O722" s="303"/>
      <c r="P722" s="303"/>
      <c r="Q722" s="303"/>
      <c r="R722" s="303"/>
      <c r="S722" s="303"/>
      <c r="T722" s="143"/>
      <c r="U722" s="303"/>
      <c r="V722" s="303"/>
      <c r="W722" s="303"/>
      <c r="X722" s="303"/>
      <c r="Y722" s="303"/>
      <c r="Z722" s="303"/>
      <c r="AA722" s="303"/>
      <c r="AB722" s="143"/>
      <c r="AC722" s="303"/>
      <c r="AD722" s="303"/>
      <c r="AE722" s="303"/>
      <c r="AF722" s="303"/>
      <c r="AG722" s="303"/>
      <c r="AH722" s="303"/>
      <c r="AI722" s="143"/>
      <c r="AJ722" s="125"/>
      <c r="AK722" s="125"/>
      <c r="AL722" s="125"/>
      <c r="AM722" s="125"/>
    </row>
    <row r="723" spans="1:39" ht="12.75" x14ac:dyDescent="0.2">
      <c r="A723" s="303"/>
      <c r="B723" s="303"/>
      <c r="C723" s="303"/>
      <c r="D723" s="143"/>
      <c r="E723" s="303"/>
      <c r="F723" s="303"/>
      <c r="G723" s="303"/>
      <c r="H723" s="303"/>
      <c r="I723" s="303"/>
      <c r="J723" s="303"/>
      <c r="K723" s="303"/>
      <c r="L723" s="143"/>
      <c r="M723" s="303"/>
      <c r="N723" s="303"/>
      <c r="O723" s="303"/>
      <c r="P723" s="303"/>
      <c r="Q723" s="303"/>
      <c r="R723" s="303"/>
      <c r="S723" s="303"/>
      <c r="T723" s="143"/>
      <c r="U723" s="303"/>
      <c r="V723" s="303"/>
      <c r="W723" s="303"/>
      <c r="X723" s="303"/>
      <c r="Y723" s="303"/>
      <c r="Z723" s="303"/>
      <c r="AA723" s="303"/>
      <c r="AB723" s="143"/>
      <c r="AC723" s="303"/>
      <c r="AD723" s="303"/>
      <c r="AE723" s="303"/>
      <c r="AF723" s="303"/>
      <c r="AG723" s="303"/>
      <c r="AH723" s="303"/>
      <c r="AI723" s="143"/>
      <c r="AJ723" s="125"/>
      <c r="AK723" s="125"/>
      <c r="AL723" s="125"/>
      <c r="AM723" s="125"/>
    </row>
    <row r="724" spans="1:39" ht="12.75" x14ac:dyDescent="0.2">
      <c r="A724" s="303"/>
      <c r="B724" s="303"/>
      <c r="C724" s="303"/>
      <c r="D724" s="143"/>
      <c r="E724" s="303"/>
      <c r="F724" s="303"/>
      <c r="G724" s="303"/>
      <c r="H724" s="303"/>
      <c r="I724" s="303"/>
      <c r="J724" s="303"/>
      <c r="K724" s="303"/>
      <c r="L724" s="143"/>
      <c r="M724" s="303"/>
      <c r="N724" s="303"/>
      <c r="O724" s="303"/>
      <c r="P724" s="303"/>
      <c r="Q724" s="303"/>
      <c r="R724" s="303"/>
      <c r="S724" s="303"/>
      <c r="T724" s="143"/>
      <c r="U724" s="303"/>
      <c r="V724" s="303"/>
      <c r="W724" s="303"/>
      <c r="X724" s="303"/>
      <c r="Y724" s="303"/>
      <c r="Z724" s="303"/>
      <c r="AA724" s="303"/>
      <c r="AB724" s="143"/>
      <c r="AC724" s="303"/>
      <c r="AD724" s="303"/>
      <c r="AE724" s="303"/>
      <c r="AF724" s="303"/>
      <c r="AG724" s="303"/>
      <c r="AH724" s="303"/>
      <c r="AI724" s="143"/>
      <c r="AJ724" s="125"/>
      <c r="AK724" s="125"/>
      <c r="AL724" s="125"/>
      <c r="AM724" s="125"/>
    </row>
    <row r="725" spans="1:39" ht="12.75" x14ac:dyDescent="0.2">
      <c r="A725" s="303"/>
      <c r="B725" s="303"/>
      <c r="C725" s="303"/>
      <c r="D725" s="143"/>
      <c r="E725" s="303"/>
      <c r="F725" s="303"/>
      <c r="G725" s="303"/>
      <c r="H725" s="303"/>
      <c r="I725" s="303"/>
      <c r="J725" s="303"/>
      <c r="K725" s="303"/>
      <c r="L725" s="143"/>
      <c r="M725" s="303"/>
      <c r="N725" s="303"/>
      <c r="O725" s="303"/>
      <c r="P725" s="303"/>
      <c r="Q725" s="303"/>
      <c r="R725" s="303"/>
      <c r="S725" s="303"/>
      <c r="T725" s="143"/>
      <c r="U725" s="303"/>
      <c r="V725" s="303"/>
      <c r="W725" s="303"/>
      <c r="X725" s="303"/>
      <c r="Y725" s="303"/>
      <c r="Z725" s="303"/>
      <c r="AA725" s="303"/>
      <c r="AB725" s="143"/>
      <c r="AC725" s="303"/>
      <c r="AD725" s="303"/>
      <c r="AE725" s="303"/>
      <c r="AF725" s="303"/>
      <c r="AG725" s="303"/>
      <c r="AH725" s="303"/>
      <c r="AI725" s="143"/>
      <c r="AJ725" s="125"/>
      <c r="AK725" s="125"/>
      <c r="AL725" s="125"/>
      <c r="AM725" s="125"/>
    </row>
    <row r="726" spans="1:39" ht="12.75" x14ac:dyDescent="0.2">
      <c r="A726" s="303"/>
      <c r="B726" s="303"/>
      <c r="C726" s="303"/>
      <c r="D726" s="143"/>
      <c r="E726" s="303"/>
      <c r="F726" s="303"/>
      <c r="G726" s="303"/>
      <c r="H726" s="303"/>
      <c r="I726" s="303"/>
      <c r="J726" s="303"/>
      <c r="K726" s="303"/>
      <c r="L726" s="143"/>
      <c r="M726" s="303"/>
      <c r="N726" s="303"/>
      <c r="O726" s="303"/>
      <c r="P726" s="303"/>
      <c r="Q726" s="303"/>
      <c r="R726" s="303"/>
      <c r="S726" s="303"/>
      <c r="T726" s="143"/>
      <c r="U726" s="303"/>
      <c r="V726" s="303"/>
      <c r="W726" s="303"/>
      <c r="X726" s="303"/>
      <c r="Y726" s="303"/>
      <c r="Z726" s="303"/>
      <c r="AA726" s="303"/>
      <c r="AB726" s="143"/>
      <c r="AC726" s="303"/>
      <c r="AD726" s="303"/>
      <c r="AE726" s="303"/>
      <c r="AF726" s="303"/>
      <c r="AG726" s="303"/>
      <c r="AH726" s="303"/>
      <c r="AI726" s="143"/>
      <c r="AJ726" s="125"/>
      <c r="AK726" s="125"/>
      <c r="AL726" s="125"/>
      <c r="AM726" s="125"/>
    </row>
    <row r="727" spans="1:39" ht="12.75" x14ac:dyDescent="0.2">
      <c r="A727" s="303"/>
      <c r="B727" s="303"/>
      <c r="C727" s="303"/>
      <c r="D727" s="143"/>
      <c r="E727" s="303"/>
      <c r="F727" s="303"/>
      <c r="G727" s="303"/>
      <c r="H727" s="303"/>
      <c r="I727" s="303"/>
      <c r="J727" s="303"/>
      <c r="K727" s="303"/>
      <c r="L727" s="143"/>
      <c r="M727" s="303"/>
      <c r="N727" s="303"/>
      <c r="O727" s="303"/>
      <c r="P727" s="303"/>
      <c r="Q727" s="303"/>
      <c r="R727" s="303"/>
      <c r="S727" s="303"/>
      <c r="T727" s="143"/>
      <c r="U727" s="303"/>
      <c r="V727" s="303"/>
      <c r="W727" s="303"/>
      <c r="X727" s="303"/>
      <c r="Y727" s="303"/>
      <c r="Z727" s="303"/>
      <c r="AA727" s="303"/>
      <c r="AB727" s="143"/>
      <c r="AC727" s="303"/>
      <c r="AD727" s="303"/>
      <c r="AE727" s="303"/>
      <c r="AF727" s="303"/>
      <c r="AG727" s="303"/>
      <c r="AH727" s="303"/>
      <c r="AI727" s="143"/>
      <c r="AJ727" s="125"/>
      <c r="AK727" s="125"/>
      <c r="AL727" s="125"/>
      <c r="AM727" s="125"/>
    </row>
    <row r="728" spans="1:39" ht="12.75" x14ac:dyDescent="0.2">
      <c r="A728" s="303"/>
      <c r="B728" s="303"/>
      <c r="C728" s="303"/>
      <c r="D728" s="143"/>
      <c r="E728" s="303"/>
      <c r="F728" s="303"/>
      <c r="G728" s="303"/>
      <c r="H728" s="303"/>
      <c r="I728" s="303"/>
      <c r="J728" s="303"/>
      <c r="K728" s="303"/>
      <c r="L728" s="143"/>
      <c r="M728" s="303"/>
      <c r="N728" s="303"/>
      <c r="O728" s="303"/>
      <c r="P728" s="303"/>
      <c r="Q728" s="303"/>
      <c r="R728" s="303"/>
      <c r="S728" s="303"/>
      <c r="T728" s="143"/>
      <c r="U728" s="303"/>
      <c r="V728" s="303"/>
      <c r="W728" s="303"/>
      <c r="X728" s="303"/>
      <c r="Y728" s="303"/>
      <c r="Z728" s="303"/>
      <c r="AA728" s="303"/>
      <c r="AB728" s="143"/>
      <c r="AC728" s="303"/>
      <c r="AD728" s="303"/>
      <c r="AE728" s="303"/>
      <c r="AF728" s="303"/>
      <c r="AG728" s="303"/>
      <c r="AH728" s="303"/>
      <c r="AI728" s="143"/>
      <c r="AJ728" s="125"/>
      <c r="AK728" s="125"/>
      <c r="AL728" s="125"/>
      <c r="AM728" s="125"/>
    </row>
    <row r="729" spans="1:39" ht="12.75" x14ac:dyDescent="0.2">
      <c r="A729" s="303"/>
      <c r="B729" s="303"/>
      <c r="C729" s="303"/>
      <c r="D729" s="143"/>
      <c r="E729" s="303"/>
      <c r="F729" s="303"/>
      <c r="G729" s="303"/>
      <c r="H729" s="303"/>
      <c r="I729" s="303"/>
      <c r="J729" s="303"/>
      <c r="K729" s="303"/>
      <c r="L729" s="143"/>
      <c r="M729" s="303"/>
      <c r="N729" s="303"/>
      <c r="O729" s="303"/>
      <c r="P729" s="303"/>
      <c r="Q729" s="303"/>
      <c r="R729" s="303"/>
      <c r="S729" s="303"/>
      <c r="T729" s="143"/>
      <c r="U729" s="303"/>
      <c r="V729" s="303"/>
      <c r="W729" s="303"/>
      <c r="X729" s="303"/>
      <c r="Y729" s="303"/>
      <c r="Z729" s="303"/>
      <c r="AA729" s="303"/>
      <c r="AB729" s="143"/>
      <c r="AC729" s="303"/>
      <c r="AD729" s="303"/>
      <c r="AE729" s="303"/>
      <c r="AF729" s="303"/>
      <c r="AG729" s="303"/>
      <c r="AH729" s="303"/>
      <c r="AI729" s="143"/>
      <c r="AJ729" s="125"/>
      <c r="AK729" s="125"/>
      <c r="AL729" s="125"/>
      <c r="AM729" s="125"/>
    </row>
    <row r="730" spans="1:39" ht="12.75" x14ac:dyDescent="0.2">
      <c r="A730" s="303"/>
      <c r="B730" s="303"/>
      <c r="C730" s="303"/>
      <c r="D730" s="143"/>
      <c r="E730" s="303"/>
      <c r="F730" s="303"/>
      <c r="G730" s="303"/>
      <c r="H730" s="303"/>
      <c r="I730" s="303"/>
      <c r="J730" s="303"/>
      <c r="K730" s="303"/>
      <c r="L730" s="143"/>
      <c r="M730" s="303"/>
      <c r="N730" s="303"/>
      <c r="O730" s="303"/>
      <c r="P730" s="303"/>
      <c r="Q730" s="303"/>
      <c r="R730" s="303"/>
      <c r="S730" s="303"/>
      <c r="T730" s="143"/>
      <c r="U730" s="303"/>
      <c r="V730" s="303"/>
      <c r="W730" s="303"/>
      <c r="X730" s="303"/>
      <c r="Y730" s="303"/>
      <c r="Z730" s="303"/>
      <c r="AA730" s="303"/>
      <c r="AB730" s="143"/>
      <c r="AC730" s="303"/>
      <c r="AD730" s="303"/>
      <c r="AE730" s="303"/>
      <c r="AF730" s="303"/>
      <c r="AG730" s="303"/>
      <c r="AH730" s="303"/>
      <c r="AI730" s="143"/>
      <c r="AJ730" s="125"/>
      <c r="AK730" s="125"/>
      <c r="AL730" s="125"/>
      <c r="AM730" s="125"/>
    </row>
    <row r="731" spans="1:39" ht="12.75" x14ac:dyDescent="0.2">
      <c r="A731" s="303"/>
      <c r="B731" s="303"/>
      <c r="C731" s="303"/>
      <c r="D731" s="143"/>
      <c r="E731" s="303"/>
      <c r="F731" s="303"/>
      <c r="G731" s="303"/>
      <c r="H731" s="303"/>
      <c r="I731" s="303"/>
      <c r="J731" s="303"/>
      <c r="K731" s="303"/>
      <c r="L731" s="143"/>
      <c r="M731" s="303"/>
      <c r="N731" s="303"/>
      <c r="O731" s="303"/>
      <c r="P731" s="303"/>
      <c r="Q731" s="303"/>
      <c r="R731" s="303"/>
      <c r="S731" s="303"/>
      <c r="T731" s="143"/>
      <c r="U731" s="303"/>
      <c r="V731" s="303"/>
      <c r="W731" s="303"/>
      <c r="X731" s="303"/>
      <c r="Y731" s="303"/>
      <c r="Z731" s="303"/>
      <c r="AA731" s="303"/>
      <c r="AB731" s="143"/>
      <c r="AC731" s="303"/>
      <c r="AD731" s="303"/>
      <c r="AE731" s="303"/>
      <c r="AF731" s="303"/>
      <c r="AG731" s="303"/>
      <c r="AH731" s="303"/>
      <c r="AI731" s="143"/>
      <c r="AJ731" s="125"/>
      <c r="AK731" s="125"/>
      <c r="AL731" s="125"/>
      <c r="AM731" s="125"/>
    </row>
    <row r="732" spans="1:39" ht="12.75" x14ac:dyDescent="0.2">
      <c r="A732" s="303"/>
      <c r="B732" s="303"/>
      <c r="C732" s="303"/>
      <c r="D732" s="143"/>
      <c r="E732" s="303"/>
      <c r="F732" s="303"/>
      <c r="G732" s="303"/>
      <c r="H732" s="303"/>
      <c r="I732" s="303"/>
      <c r="J732" s="303"/>
      <c r="K732" s="303"/>
      <c r="L732" s="143"/>
      <c r="M732" s="303"/>
      <c r="N732" s="303"/>
      <c r="O732" s="303"/>
      <c r="P732" s="303"/>
      <c r="Q732" s="303"/>
      <c r="R732" s="303"/>
      <c r="S732" s="303"/>
      <c r="T732" s="143"/>
      <c r="U732" s="303"/>
      <c r="V732" s="303"/>
      <c r="W732" s="303"/>
      <c r="X732" s="303"/>
      <c r="Y732" s="303"/>
      <c r="Z732" s="303"/>
      <c r="AA732" s="303"/>
      <c r="AB732" s="143"/>
      <c r="AC732" s="303"/>
      <c r="AD732" s="303"/>
      <c r="AE732" s="303"/>
      <c r="AF732" s="303"/>
      <c r="AG732" s="303"/>
      <c r="AH732" s="303"/>
      <c r="AI732" s="143"/>
      <c r="AJ732" s="125"/>
      <c r="AK732" s="125"/>
      <c r="AL732" s="125"/>
      <c r="AM732" s="125"/>
    </row>
    <row r="733" spans="1:39" ht="12.75" x14ac:dyDescent="0.2">
      <c r="A733" s="303"/>
      <c r="B733" s="303"/>
      <c r="C733" s="303"/>
      <c r="D733" s="143"/>
      <c r="E733" s="303"/>
      <c r="F733" s="303"/>
      <c r="G733" s="303"/>
      <c r="H733" s="303"/>
      <c r="I733" s="303"/>
      <c r="J733" s="303"/>
      <c r="K733" s="303"/>
      <c r="L733" s="143"/>
      <c r="M733" s="303"/>
      <c r="N733" s="303"/>
      <c r="O733" s="303"/>
      <c r="P733" s="303"/>
      <c r="Q733" s="303"/>
      <c r="R733" s="303"/>
      <c r="S733" s="303"/>
      <c r="T733" s="143"/>
      <c r="U733" s="303"/>
      <c r="V733" s="303"/>
      <c r="W733" s="303"/>
      <c r="X733" s="303"/>
      <c r="Y733" s="303"/>
      <c r="Z733" s="303"/>
      <c r="AA733" s="303"/>
      <c r="AB733" s="143"/>
      <c r="AC733" s="303"/>
      <c r="AD733" s="303"/>
      <c r="AE733" s="303"/>
      <c r="AF733" s="303"/>
      <c r="AG733" s="303"/>
      <c r="AH733" s="303"/>
      <c r="AI733" s="143"/>
      <c r="AJ733" s="125"/>
      <c r="AK733" s="125"/>
      <c r="AL733" s="125"/>
      <c r="AM733" s="125"/>
    </row>
    <row r="734" spans="1:39" ht="12.75" x14ac:dyDescent="0.2">
      <c r="A734" s="303"/>
      <c r="B734" s="303"/>
      <c r="C734" s="303"/>
      <c r="D734" s="143"/>
      <c r="E734" s="303"/>
      <c r="F734" s="303"/>
      <c r="G734" s="303"/>
      <c r="H734" s="303"/>
      <c r="I734" s="303"/>
      <c r="J734" s="303"/>
      <c r="K734" s="303"/>
      <c r="L734" s="143"/>
      <c r="M734" s="303"/>
      <c r="N734" s="303"/>
      <c r="O734" s="303"/>
      <c r="P734" s="303"/>
      <c r="Q734" s="303"/>
      <c r="R734" s="303"/>
      <c r="S734" s="303"/>
      <c r="T734" s="143"/>
      <c r="U734" s="303"/>
      <c r="V734" s="303"/>
      <c r="W734" s="303"/>
      <c r="X734" s="303"/>
      <c r="Y734" s="303"/>
      <c r="Z734" s="303"/>
      <c r="AA734" s="303"/>
      <c r="AB734" s="143"/>
      <c r="AC734" s="303"/>
      <c r="AD734" s="303"/>
      <c r="AE734" s="303"/>
      <c r="AF734" s="303"/>
      <c r="AG734" s="303"/>
      <c r="AH734" s="303"/>
      <c r="AI734" s="143"/>
      <c r="AJ734" s="125"/>
      <c r="AK734" s="125"/>
      <c r="AL734" s="125"/>
      <c r="AM734" s="125"/>
    </row>
    <row r="735" spans="1:39" ht="12.75" x14ac:dyDescent="0.2">
      <c r="A735" s="303"/>
      <c r="B735" s="303"/>
      <c r="C735" s="303"/>
      <c r="D735" s="143"/>
      <c r="E735" s="303"/>
      <c r="F735" s="303"/>
      <c r="G735" s="303"/>
      <c r="H735" s="303"/>
      <c r="I735" s="303"/>
      <c r="J735" s="303"/>
      <c r="K735" s="303"/>
      <c r="L735" s="143"/>
      <c r="M735" s="303"/>
      <c r="N735" s="303"/>
      <c r="O735" s="303"/>
      <c r="P735" s="303"/>
      <c r="Q735" s="303"/>
      <c r="R735" s="303"/>
      <c r="S735" s="303"/>
      <c r="T735" s="143"/>
      <c r="U735" s="303"/>
      <c r="V735" s="303"/>
      <c r="W735" s="303"/>
      <c r="X735" s="303"/>
      <c r="Y735" s="303"/>
      <c r="Z735" s="303"/>
      <c r="AA735" s="303"/>
      <c r="AB735" s="143"/>
      <c r="AC735" s="303"/>
      <c r="AD735" s="303"/>
      <c r="AE735" s="303"/>
      <c r="AF735" s="303"/>
      <c r="AG735" s="303"/>
      <c r="AH735" s="303"/>
      <c r="AI735" s="143"/>
      <c r="AJ735" s="125"/>
      <c r="AK735" s="125"/>
      <c r="AL735" s="125"/>
      <c r="AM735" s="125"/>
    </row>
    <row r="736" spans="1:39" ht="12.75" x14ac:dyDescent="0.2">
      <c r="A736" s="303"/>
      <c r="B736" s="303"/>
      <c r="C736" s="303"/>
      <c r="D736" s="143"/>
      <c r="E736" s="303"/>
      <c r="F736" s="303"/>
      <c r="G736" s="303"/>
      <c r="H736" s="303"/>
      <c r="I736" s="303"/>
      <c r="J736" s="303"/>
      <c r="K736" s="303"/>
      <c r="L736" s="143"/>
      <c r="M736" s="303"/>
      <c r="N736" s="303"/>
      <c r="O736" s="303"/>
      <c r="P736" s="303"/>
      <c r="Q736" s="303"/>
      <c r="R736" s="303"/>
      <c r="S736" s="303"/>
      <c r="T736" s="143"/>
      <c r="U736" s="303"/>
      <c r="V736" s="303"/>
      <c r="W736" s="303"/>
      <c r="X736" s="303"/>
      <c r="Y736" s="303"/>
      <c r="Z736" s="303"/>
      <c r="AA736" s="303"/>
      <c r="AB736" s="143"/>
      <c r="AC736" s="303"/>
      <c r="AD736" s="303"/>
      <c r="AE736" s="303"/>
      <c r="AF736" s="303"/>
      <c r="AG736" s="303"/>
      <c r="AH736" s="303"/>
      <c r="AI736" s="143"/>
      <c r="AJ736" s="125"/>
      <c r="AK736" s="125"/>
      <c r="AL736" s="125"/>
      <c r="AM736" s="125"/>
    </row>
    <row r="737" spans="1:39" ht="12.75" x14ac:dyDescent="0.2">
      <c r="A737" s="303"/>
      <c r="B737" s="303"/>
      <c r="C737" s="303"/>
      <c r="D737" s="143"/>
      <c r="E737" s="303"/>
      <c r="F737" s="303"/>
      <c r="G737" s="303"/>
      <c r="H737" s="303"/>
      <c r="I737" s="303"/>
      <c r="J737" s="303"/>
      <c r="K737" s="303"/>
      <c r="L737" s="143"/>
      <c r="M737" s="303"/>
      <c r="N737" s="303"/>
      <c r="O737" s="303"/>
      <c r="P737" s="303"/>
      <c r="Q737" s="303"/>
      <c r="R737" s="303"/>
      <c r="S737" s="303"/>
      <c r="T737" s="143"/>
      <c r="U737" s="303"/>
      <c r="V737" s="303"/>
      <c r="W737" s="303"/>
      <c r="X737" s="303"/>
      <c r="Y737" s="303"/>
      <c r="Z737" s="303"/>
      <c r="AA737" s="303"/>
      <c r="AB737" s="143"/>
      <c r="AC737" s="303"/>
      <c r="AD737" s="303"/>
      <c r="AE737" s="303"/>
      <c r="AF737" s="303"/>
      <c r="AG737" s="303"/>
      <c r="AH737" s="303"/>
      <c r="AI737" s="143"/>
      <c r="AJ737" s="125"/>
      <c r="AK737" s="125"/>
      <c r="AL737" s="125"/>
      <c r="AM737" s="125"/>
    </row>
    <row r="738" spans="1:39" ht="12.75" x14ac:dyDescent="0.2">
      <c r="A738" s="303"/>
      <c r="B738" s="303"/>
      <c r="C738" s="303"/>
      <c r="D738" s="143"/>
      <c r="E738" s="303"/>
      <c r="F738" s="303"/>
      <c r="G738" s="303"/>
      <c r="H738" s="303"/>
      <c r="I738" s="303"/>
      <c r="J738" s="303"/>
      <c r="K738" s="303"/>
      <c r="L738" s="143"/>
      <c r="M738" s="303"/>
      <c r="N738" s="303"/>
      <c r="O738" s="303"/>
      <c r="P738" s="303"/>
      <c r="Q738" s="303"/>
      <c r="R738" s="303"/>
      <c r="S738" s="303"/>
      <c r="T738" s="143"/>
      <c r="U738" s="303"/>
      <c r="V738" s="303"/>
      <c r="W738" s="303"/>
      <c r="X738" s="303"/>
      <c r="Y738" s="303"/>
      <c r="Z738" s="303"/>
      <c r="AA738" s="303"/>
      <c r="AB738" s="143"/>
      <c r="AC738" s="303"/>
      <c r="AD738" s="303"/>
      <c r="AE738" s="303"/>
      <c r="AF738" s="303"/>
      <c r="AG738" s="303"/>
      <c r="AH738" s="303"/>
      <c r="AI738" s="143"/>
      <c r="AJ738" s="125"/>
      <c r="AK738" s="125"/>
      <c r="AL738" s="125"/>
      <c r="AM738" s="125"/>
    </row>
    <row r="739" spans="1:39" ht="12.75" x14ac:dyDescent="0.2">
      <c r="A739" s="303"/>
      <c r="B739" s="303"/>
      <c r="C739" s="303"/>
      <c r="D739" s="143"/>
      <c r="E739" s="303"/>
      <c r="F739" s="303"/>
      <c r="G739" s="303"/>
      <c r="H739" s="303"/>
      <c r="I739" s="303"/>
      <c r="J739" s="303"/>
      <c r="K739" s="303"/>
      <c r="L739" s="143"/>
      <c r="M739" s="303"/>
      <c r="N739" s="303"/>
      <c r="O739" s="303"/>
      <c r="P739" s="303"/>
      <c r="Q739" s="303"/>
      <c r="R739" s="303"/>
      <c r="S739" s="303"/>
      <c r="T739" s="143"/>
      <c r="U739" s="303"/>
      <c r="V739" s="303"/>
      <c r="W739" s="303"/>
      <c r="X739" s="303"/>
      <c r="Y739" s="303"/>
      <c r="Z739" s="303"/>
      <c r="AA739" s="303"/>
      <c r="AB739" s="143"/>
      <c r="AC739" s="303"/>
      <c r="AD739" s="303"/>
      <c r="AE739" s="303"/>
      <c r="AF739" s="303"/>
      <c r="AG739" s="303"/>
      <c r="AH739" s="303"/>
      <c r="AI739" s="143"/>
      <c r="AJ739" s="125"/>
      <c r="AK739" s="125"/>
      <c r="AL739" s="125"/>
      <c r="AM739" s="125"/>
    </row>
    <row r="740" spans="1:39" ht="12.75" x14ac:dyDescent="0.2">
      <c r="A740" s="303"/>
      <c r="B740" s="303"/>
      <c r="C740" s="303"/>
      <c r="D740" s="143"/>
      <c r="E740" s="303"/>
      <c r="F740" s="303"/>
      <c r="G740" s="303"/>
      <c r="H740" s="303"/>
      <c r="I740" s="303"/>
      <c r="J740" s="303"/>
      <c r="K740" s="303"/>
      <c r="L740" s="143"/>
      <c r="M740" s="303"/>
      <c r="N740" s="303"/>
      <c r="O740" s="303"/>
      <c r="P740" s="303"/>
      <c r="Q740" s="303"/>
      <c r="R740" s="303"/>
      <c r="S740" s="303"/>
      <c r="T740" s="143"/>
      <c r="U740" s="303"/>
      <c r="V740" s="303"/>
      <c r="W740" s="303"/>
      <c r="X740" s="303"/>
      <c r="Y740" s="303"/>
      <c r="Z740" s="303"/>
      <c r="AA740" s="303"/>
      <c r="AB740" s="143"/>
      <c r="AC740" s="303"/>
      <c r="AD740" s="303"/>
      <c r="AE740" s="303"/>
      <c r="AF740" s="303"/>
      <c r="AG740" s="303"/>
      <c r="AH740" s="303"/>
      <c r="AI740" s="143"/>
      <c r="AJ740" s="125"/>
      <c r="AK740" s="125"/>
      <c r="AL740" s="125"/>
      <c r="AM740" s="125"/>
    </row>
    <row r="741" spans="1:39" ht="12.75" x14ac:dyDescent="0.2">
      <c r="A741" s="303"/>
      <c r="B741" s="303"/>
      <c r="C741" s="303"/>
      <c r="D741" s="143"/>
      <c r="E741" s="303"/>
      <c r="F741" s="303"/>
      <c r="G741" s="303"/>
      <c r="H741" s="303"/>
      <c r="I741" s="303"/>
      <c r="J741" s="303"/>
      <c r="K741" s="303"/>
      <c r="L741" s="143"/>
      <c r="M741" s="303"/>
      <c r="N741" s="303"/>
      <c r="O741" s="303"/>
      <c r="P741" s="303"/>
      <c r="Q741" s="303"/>
      <c r="R741" s="303"/>
      <c r="S741" s="303"/>
      <c r="T741" s="143"/>
      <c r="U741" s="303"/>
      <c r="V741" s="303"/>
      <c r="W741" s="303"/>
      <c r="X741" s="303"/>
      <c r="Y741" s="303"/>
      <c r="Z741" s="303"/>
      <c r="AA741" s="303"/>
      <c r="AB741" s="143"/>
      <c r="AC741" s="303"/>
      <c r="AD741" s="303"/>
      <c r="AE741" s="303"/>
      <c r="AF741" s="303"/>
      <c r="AG741" s="303"/>
      <c r="AH741" s="303"/>
      <c r="AI741" s="143"/>
      <c r="AJ741" s="125"/>
      <c r="AK741" s="125"/>
      <c r="AL741" s="125"/>
      <c r="AM741" s="125"/>
    </row>
    <row r="742" spans="1:39" ht="12.75" x14ac:dyDescent="0.2">
      <c r="A742" s="303"/>
      <c r="B742" s="303"/>
      <c r="C742" s="303"/>
      <c r="D742" s="143"/>
      <c r="E742" s="303"/>
      <c r="F742" s="303"/>
      <c r="G742" s="303"/>
      <c r="H742" s="303"/>
      <c r="I742" s="303"/>
      <c r="J742" s="303"/>
      <c r="K742" s="303"/>
      <c r="L742" s="143"/>
      <c r="M742" s="303"/>
      <c r="N742" s="303"/>
      <c r="O742" s="303"/>
      <c r="P742" s="303"/>
      <c r="Q742" s="303"/>
      <c r="R742" s="303"/>
      <c r="S742" s="303"/>
      <c r="T742" s="143"/>
      <c r="U742" s="303"/>
      <c r="V742" s="303"/>
      <c r="W742" s="303"/>
      <c r="X742" s="303"/>
      <c r="Y742" s="303"/>
      <c r="Z742" s="303"/>
      <c r="AA742" s="303"/>
      <c r="AB742" s="143"/>
      <c r="AC742" s="303"/>
      <c r="AD742" s="303"/>
      <c r="AE742" s="303"/>
      <c r="AF742" s="303"/>
      <c r="AG742" s="303"/>
      <c r="AH742" s="303"/>
      <c r="AI742" s="143"/>
      <c r="AJ742" s="125"/>
      <c r="AK742" s="125"/>
      <c r="AL742" s="125"/>
      <c r="AM742" s="125"/>
    </row>
    <row r="743" spans="1:39" ht="12.75" x14ac:dyDescent="0.2">
      <c r="A743" s="303"/>
      <c r="B743" s="303"/>
      <c r="C743" s="303"/>
      <c r="D743" s="143"/>
      <c r="E743" s="303"/>
      <c r="F743" s="303"/>
      <c r="G743" s="303"/>
      <c r="H743" s="303"/>
      <c r="I743" s="303"/>
      <c r="J743" s="303"/>
      <c r="K743" s="303"/>
      <c r="L743" s="143"/>
      <c r="M743" s="303"/>
      <c r="N743" s="303"/>
      <c r="O743" s="303"/>
      <c r="P743" s="303"/>
      <c r="Q743" s="303"/>
      <c r="R743" s="303"/>
      <c r="S743" s="303"/>
      <c r="T743" s="143"/>
      <c r="U743" s="303"/>
      <c r="V743" s="303"/>
      <c r="W743" s="303"/>
      <c r="X743" s="303"/>
      <c r="Y743" s="303"/>
      <c r="Z743" s="303"/>
      <c r="AA743" s="303"/>
      <c r="AB743" s="143"/>
      <c r="AC743" s="303"/>
      <c r="AD743" s="303"/>
      <c r="AE743" s="303"/>
      <c r="AF743" s="303"/>
      <c r="AG743" s="303"/>
      <c r="AH743" s="303"/>
      <c r="AI743" s="143"/>
      <c r="AJ743" s="125"/>
      <c r="AK743" s="125"/>
      <c r="AL743" s="125"/>
      <c r="AM743" s="125"/>
    </row>
    <row r="744" spans="1:39" ht="12.75" x14ac:dyDescent="0.2">
      <c r="A744" s="303"/>
      <c r="B744" s="303"/>
      <c r="C744" s="303"/>
      <c r="D744" s="143"/>
      <c r="E744" s="303"/>
      <c r="F744" s="303"/>
      <c r="G744" s="303"/>
      <c r="H744" s="303"/>
      <c r="I744" s="303"/>
      <c r="J744" s="303"/>
      <c r="K744" s="303"/>
      <c r="L744" s="143"/>
      <c r="M744" s="303"/>
      <c r="N744" s="303"/>
      <c r="O744" s="303"/>
      <c r="P744" s="303"/>
      <c r="Q744" s="303"/>
      <c r="R744" s="303"/>
      <c r="S744" s="303"/>
      <c r="T744" s="143"/>
      <c r="U744" s="303"/>
      <c r="V744" s="303"/>
      <c r="W744" s="303"/>
      <c r="X744" s="303"/>
      <c r="Y744" s="303"/>
      <c r="Z744" s="303"/>
      <c r="AA744" s="303"/>
      <c r="AB744" s="143"/>
      <c r="AC744" s="303"/>
      <c r="AD744" s="303"/>
      <c r="AE744" s="303"/>
      <c r="AF744" s="303"/>
      <c r="AG744" s="303"/>
      <c r="AH744" s="303"/>
      <c r="AI744" s="143"/>
      <c r="AJ744" s="125"/>
      <c r="AK744" s="125"/>
      <c r="AL744" s="125"/>
      <c r="AM744" s="125"/>
    </row>
    <row r="745" spans="1:39" ht="12.75" x14ac:dyDescent="0.2">
      <c r="A745" s="303"/>
      <c r="B745" s="303"/>
      <c r="C745" s="303"/>
      <c r="D745" s="143"/>
      <c r="E745" s="303"/>
      <c r="F745" s="303"/>
      <c r="G745" s="303"/>
      <c r="H745" s="303"/>
      <c r="I745" s="303"/>
      <c r="J745" s="303"/>
      <c r="K745" s="303"/>
      <c r="L745" s="143"/>
      <c r="M745" s="303"/>
      <c r="N745" s="303"/>
      <c r="O745" s="303"/>
      <c r="P745" s="303"/>
      <c r="Q745" s="303"/>
      <c r="R745" s="303"/>
      <c r="S745" s="303"/>
      <c r="T745" s="143"/>
      <c r="U745" s="303"/>
      <c r="V745" s="303"/>
      <c r="W745" s="303"/>
      <c r="X745" s="303"/>
      <c r="Y745" s="303"/>
      <c r="Z745" s="303"/>
      <c r="AA745" s="303"/>
      <c r="AB745" s="143"/>
      <c r="AC745" s="303"/>
      <c r="AD745" s="303"/>
      <c r="AE745" s="303"/>
      <c r="AF745" s="303"/>
      <c r="AG745" s="303"/>
      <c r="AH745" s="303"/>
      <c r="AI745" s="143"/>
      <c r="AJ745" s="125"/>
      <c r="AK745" s="125"/>
      <c r="AL745" s="125"/>
      <c r="AM745" s="125"/>
    </row>
    <row r="746" spans="1:39" ht="12.75" x14ac:dyDescent="0.2">
      <c r="A746" s="303"/>
      <c r="B746" s="303"/>
      <c r="C746" s="303"/>
      <c r="D746" s="143"/>
      <c r="E746" s="303"/>
      <c r="F746" s="303"/>
      <c r="G746" s="303"/>
      <c r="H746" s="303"/>
      <c r="I746" s="303"/>
      <c r="J746" s="303"/>
      <c r="K746" s="303"/>
      <c r="L746" s="143"/>
      <c r="M746" s="303"/>
      <c r="N746" s="303"/>
      <c r="O746" s="303"/>
      <c r="P746" s="303"/>
      <c r="Q746" s="303"/>
      <c r="R746" s="303"/>
      <c r="S746" s="303"/>
      <c r="T746" s="143"/>
      <c r="U746" s="303"/>
      <c r="V746" s="303"/>
      <c r="W746" s="303"/>
      <c r="X746" s="303"/>
      <c r="Y746" s="303"/>
      <c r="Z746" s="303"/>
      <c r="AA746" s="303"/>
      <c r="AB746" s="143"/>
      <c r="AC746" s="303"/>
      <c r="AD746" s="303"/>
      <c r="AE746" s="303"/>
      <c r="AF746" s="303"/>
      <c r="AG746" s="303"/>
      <c r="AH746" s="303"/>
      <c r="AI746" s="143"/>
      <c r="AJ746" s="125"/>
      <c r="AK746" s="125"/>
      <c r="AL746" s="125"/>
      <c r="AM746" s="125"/>
    </row>
    <row r="747" spans="1:39" ht="12.75" x14ac:dyDescent="0.2">
      <c r="A747" s="303"/>
      <c r="B747" s="303"/>
      <c r="C747" s="303"/>
      <c r="D747" s="143"/>
      <c r="E747" s="303"/>
      <c r="F747" s="303"/>
      <c r="G747" s="303"/>
      <c r="H747" s="303"/>
      <c r="I747" s="303"/>
      <c r="J747" s="303"/>
      <c r="K747" s="303"/>
      <c r="L747" s="143"/>
      <c r="M747" s="303"/>
      <c r="N747" s="303"/>
      <c r="O747" s="303"/>
      <c r="P747" s="303"/>
      <c r="Q747" s="303"/>
      <c r="R747" s="303"/>
      <c r="S747" s="303"/>
      <c r="T747" s="143"/>
      <c r="U747" s="303"/>
      <c r="V747" s="303"/>
      <c r="W747" s="303"/>
      <c r="X747" s="303"/>
      <c r="Y747" s="303"/>
      <c r="Z747" s="303"/>
      <c r="AA747" s="303"/>
      <c r="AB747" s="143"/>
      <c r="AC747" s="303"/>
      <c r="AD747" s="303"/>
      <c r="AE747" s="303"/>
      <c r="AF747" s="303"/>
      <c r="AG747" s="303"/>
      <c r="AH747" s="303"/>
      <c r="AI747" s="143"/>
      <c r="AJ747" s="125"/>
      <c r="AK747" s="125"/>
      <c r="AL747" s="125"/>
      <c r="AM747" s="125"/>
    </row>
    <row r="748" spans="1:39" ht="12.75" x14ac:dyDescent="0.2">
      <c r="A748" s="303"/>
      <c r="B748" s="303"/>
      <c r="C748" s="303"/>
      <c r="D748" s="143"/>
      <c r="E748" s="303"/>
      <c r="F748" s="303"/>
      <c r="G748" s="303"/>
      <c r="H748" s="303"/>
      <c r="I748" s="303"/>
      <c r="J748" s="303"/>
      <c r="K748" s="303"/>
      <c r="L748" s="143"/>
      <c r="M748" s="303"/>
      <c r="N748" s="303"/>
      <c r="O748" s="303"/>
      <c r="P748" s="303"/>
      <c r="Q748" s="303"/>
      <c r="R748" s="303"/>
      <c r="S748" s="303"/>
      <c r="T748" s="143"/>
      <c r="U748" s="303"/>
      <c r="V748" s="303"/>
      <c r="W748" s="303"/>
      <c r="X748" s="303"/>
      <c r="Y748" s="303"/>
      <c r="Z748" s="303"/>
      <c r="AA748" s="303"/>
      <c r="AB748" s="143"/>
      <c r="AC748" s="303"/>
      <c r="AD748" s="303"/>
      <c r="AE748" s="303"/>
      <c r="AF748" s="303"/>
      <c r="AG748" s="303"/>
      <c r="AH748" s="303"/>
      <c r="AI748" s="143"/>
      <c r="AJ748" s="125"/>
      <c r="AK748" s="125"/>
      <c r="AL748" s="125"/>
      <c r="AM748" s="125"/>
    </row>
    <row r="749" spans="1:39" ht="12.75" x14ac:dyDescent="0.2">
      <c r="A749" s="303"/>
      <c r="B749" s="303"/>
      <c r="C749" s="303"/>
      <c r="D749" s="143"/>
      <c r="E749" s="303"/>
      <c r="F749" s="303"/>
      <c r="G749" s="303"/>
      <c r="H749" s="303"/>
      <c r="I749" s="303"/>
      <c r="J749" s="303"/>
      <c r="K749" s="303"/>
      <c r="L749" s="143"/>
      <c r="M749" s="303"/>
      <c r="N749" s="303"/>
      <c r="O749" s="303"/>
      <c r="P749" s="303"/>
      <c r="Q749" s="303"/>
      <c r="R749" s="303"/>
      <c r="S749" s="303"/>
      <c r="T749" s="143"/>
      <c r="U749" s="303"/>
      <c r="V749" s="303"/>
      <c r="W749" s="303"/>
      <c r="X749" s="303"/>
      <c r="Y749" s="303"/>
      <c r="Z749" s="303"/>
      <c r="AA749" s="303"/>
      <c r="AB749" s="143"/>
      <c r="AC749" s="303"/>
      <c r="AD749" s="303"/>
      <c r="AE749" s="303"/>
      <c r="AF749" s="303"/>
      <c r="AG749" s="303"/>
      <c r="AH749" s="303"/>
      <c r="AI749" s="143"/>
      <c r="AJ749" s="125"/>
      <c r="AK749" s="125"/>
      <c r="AL749" s="125"/>
      <c r="AM749" s="125"/>
    </row>
    <row r="750" spans="1:39" ht="12.75" x14ac:dyDescent="0.2">
      <c r="A750" s="303"/>
      <c r="B750" s="303"/>
      <c r="C750" s="303"/>
      <c r="D750" s="143"/>
      <c r="E750" s="303"/>
      <c r="F750" s="303"/>
      <c r="G750" s="303"/>
      <c r="H750" s="303"/>
      <c r="I750" s="303"/>
      <c r="J750" s="303"/>
      <c r="K750" s="303"/>
      <c r="L750" s="143"/>
      <c r="M750" s="303"/>
      <c r="N750" s="303"/>
      <c r="O750" s="303"/>
      <c r="P750" s="303"/>
      <c r="Q750" s="303"/>
      <c r="R750" s="303"/>
      <c r="S750" s="303"/>
      <c r="T750" s="143"/>
      <c r="U750" s="303"/>
      <c r="V750" s="303"/>
      <c r="W750" s="303"/>
      <c r="X750" s="303"/>
      <c r="Y750" s="303"/>
      <c r="Z750" s="303"/>
      <c r="AA750" s="303"/>
      <c r="AB750" s="143"/>
      <c r="AC750" s="303"/>
      <c r="AD750" s="303"/>
      <c r="AE750" s="303"/>
      <c r="AF750" s="303"/>
      <c r="AG750" s="303"/>
      <c r="AH750" s="303"/>
      <c r="AI750" s="143"/>
      <c r="AJ750" s="125"/>
      <c r="AK750" s="125"/>
      <c r="AL750" s="125"/>
      <c r="AM750" s="125"/>
    </row>
    <row r="751" spans="1:39" ht="12.75" x14ac:dyDescent="0.2">
      <c r="A751" s="303"/>
      <c r="B751" s="303"/>
      <c r="C751" s="303"/>
      <c r="D751" s="143"/>
      <c r="E751" s="303"/>
      <c r="F751" s="303"/>
      <c r="G751" s="303"/>
      <c r="H751" s="303"/>
      <c r="I751" s="303"/>
      <c r="J751" s="303"/>
      <c r="K751" s="303"/>
      <c r="L751" s="143"/>
      <c r="M751" s="303"/>
      <c r="N751" s="303"/>
      <c r="O751" s="303"/>
      <c r="P751" s="303"/>
      <c r="Q751" s="303"/>
      <c r="R751" s="303"/>
      <c r="S751" s="303"/>
      <c r="T751" s="143"/>
      <c r="U751" s="303"/>
      <c r="V751" s="303"/>
      <c r="W751" s="303"/>
      <c r="X751" s="303"/>
      <c r="Y751" s="303"/>
      <c r="Z751" s="303"/>
      <c r="AA751" s="303"/>
      <c r="AB751" s="143"/>
      <c r="AC751" s="303"/>
      <c r="AD751" s="303"/>
      <c r="AE751" s="303"/>
      <c r="AF751" s="303"/>
      <c r="AG751" s="303"/>
      <c r="AH751" s="303"/>
      <c r="AI751" s="143"/>
      <c r="AJ751" s="125"/>
      <c r="AK751" s="125"/>
      <c r="AL751" s="125"/>
      <c r="AM751" s="125"/>
    </row>
    <row r="752" spans="1:39" ht="12.75" x14ac:dyDescent="0.2">
      <c r="A752" s="303"/>
      <c r="B752" s="303"/>
      <c r="C752" s="303"/>
      <c r="D752" s="143"/>
      <c r="E752" s="303"/>
      <c r="F752" s="303"/>
      <c r="G752" s="303"/>
      <c r="H752" s="303"/>
      <c r="I752" s="303"/>
      <c r="J752" s="303"/>
      <c r="K752" s="303"/>
      <c r="L752" s="143"/>
      <c r="M752" s="303"/>
      <c r="N752" s="303"/>
      <c r="O752" s="303"/>
      <c r="P752" s="303"/>
      <c r="Q752" s="303"/>
      <c r="R752" s="303"/>
      <c r="S752" s="303"/>
      <c r="T752" s="143"/>
      <c r="U752" s="303"/>
      <c r="V752" s="303"/>
      <c r="W752" s="303"/>
      <c r="X752" s="303"/>
      <c r="Y752" s="303"/>
      <c r="Z752" s="303"/>
      <c r="AA752" s="303"/>
      <c r="AB752" s="143"/>
      <c r="AC752" s="303"/>
      <c r="AD752" s="303"/>
      <c r="AE752" s="303"/>
      <c r="AF752" s="303"/>
      <c r="AG752" s="303"/>
      <c r="AH752" s="303"/>
      <c r="AI752" s="143"/>
      <c r="AJ752" s="125"/>
      <c r="AK752" s="125"/>
      <c r="AL752" s="125"/>
      <c r="AM752" s="125"/>
    </row>
    <row r="753" spans="1:39" ht="12.75" x14ac:dyDescent="0.2">
      <c r="A753" s="303"/>
      <c r="B753" s="303"/>
      <c r="C753" s="303"/>
      <c r="D753" s="143"/>
      <c r="E753" s="303"/>
      <c r="F753" s="303"/>
      <c r="G753" s="303"/>
      <c r="H753" s="303"/>
      <c r="I753" s="303"/>
      <c r="J753" s="303"/>
      <c r="K753" s="303"/>
      <c r="L753" s="143"/>
      <c r="M753" s="303"/>
      <c r="N753" s="303"/>
      <c r="O753" s="303"/>
      <c r="P753" s="303"/>
      <c r="Q753" s="303"/>
      <c r="R753" s="303"/>
      <c r="S753" s="303"/>
      <c r="T753" s="143"/>
      <c r="U753" s="303"/>
      <c r="V753" s="303"/>
      <c r="W753" s="303"/>
      <c r="X753" s="303"/>
      <c r="Y753" s="303"/>
      <c r="Z753" s="303"/>
      <c r="AA753" s="303"/>
      <c r="AB753" s="143"/>
      <c r="AC753" s="303"/>
      <c r="AD753" s="303"/>
      <c r="AE753" s="303"/>
      <c r="AF753" s="303"/>
      <c r="AG753" s="303"/>
      <c r="AH753" s="303"/>
      <c r="AI753" s="143"/>
      <c r="AJ753" s="125"/>
      <c r="AK753" s="125"/>
      <c r="AL753" s="125"/>
      <c r="AM753" s="125"/>
    </row>
    <row r="754" spans="1:39" ht="12.75" x14ac:dyDescent="0.2">
      <c r="A754" s="303"/>
      <c r="B754" s="303"/>
      <c r="C754" s="303"/>
      <c r="D754" s="143"/>
      <c r="E754" s="303"/>
      <c r="F754" s="303"/>
      <c r="G754" s="303"/>
      <c r="H754" s="303"/>
      <c r="I754" s="303"/>
      <c r="J754" s="303"/>
      <c r="K754" s="303"/>
      <c r="L754" s="143"/>
      <c r="M754" s="303"/>
      <c r="N754" s="303"/>
      <c r="O754" s="303"/>
      <c r="P754" s="303"/>
      <c r="Q754" s="303"/>
      <c r="R754" s="303"/>
      <c r="S754" s="303"/>
      <c r="T754" s="143"/>
      <c r="U754" s="303"/>
      <c r="V754" s="303"/>
      <c r="W754" s="303"/>
      <c r="X754" s="303"/>
      <c r="Y754" s="303"/>
      <c r="Z754" s="303"/>
      <c r="AA754" s="303"/>
      <c r="AB754" s="143"/>
      <c r="AC754" s="303"/>
      <c r="AD754" s="303"/>
      <c r="AE754" s="303"/>
      <c r="AF754" s="303"/>
      <c r="AG754" s="303"/>
      <c r="AH754" s="303"/>
      <c r="AI754" s="143"/>
      <c r="AJ754" s="125"/>
      <c r="AK754" s="125"/>
      <c r="AL754" s="125"/>
      <c r="AM754" s="125"/>
    </row>
    <row r="755" spans="1:39" ht="12.75" x14ac:dyDescent="0.2">
      <c r="A755" s="303"/>
      <c r="B755" s="303"/>
      <c r="C755" s="303"/>
      <c r="D755" s="143"/>
      <c r="E755" s="303"/>
      <c r="F755" s="303"/>
      <c r="G755" s="303"/>
      <c r="H755" s="303"/>
      <c r="I755" s="303"/>
      <c r="J755" s="303"/>
      <c r="K755" s="303"/>
      <c r="L755" s="143"/>
      <c r="M755" s="303"/>
      <c r="N755" s="303"/>
      <c r="O755" s="303"/>
      <c r="P755" s="303"/>
      <c r="Q755" s="303"/>
      <c r="R755" s="303"/>
      <c r="S755" s="303"/>
      <c r="T755" s="143"/>
      <c r="U755" s="303"/>
      <c r="V755" s="303"/>
      <c r="W755" s="303"/>
      <c r="X755" s="303"/>
      <c r="Y755" s="303"/>
      <c r="Z755" s="303"/>
      <c r="AA755" s="303"/>
      <c r="AB755" s="143"/>
      <c r="AC755" s="303"/>
      <c r="AD755" s="303"/>
      <c r="AE755" s="303"/>
      <c r="AF755" s="303"/>
      <c r="AG755" s="303"/>
      <c r="AH755" s="303"/>
      <c r="AI755" s="143"/>
      <c r="AJ755" s="125"/>
      <c r="AK755" s="125"/>
      <c r="AL755" s="125"/>
      <c r="AM755" s="125"/>
    </row>
    <row r="756" spans="1:39" ht="12.75" x14ac:dyDescent="0.2">
      <c r="A756" s="303"/>
      <c r="B756" s="303"/>
      <c r="C756" s="303"/>
      <c r="D756" s="143"/>
      <c r="E756" s="303"/>
      <c r="F756" s="303"/>
      <c r="G756" s="303"/>
      <c r="H756" s="303"/>
      <c r="I756" s="303"/>
      <c r="J756" s="303"/>
      <c r="K756" s="303"/>
      <c r="L756" s="143"/>
      <c r="M756" s="303"/>
      <c r="N756" s="303"/>
      <c r="O756" s="303"/>
      <c r="P756" s="303"/>
      <c r="Q756" s="303"/>
      <c r="R756" s="303"/>
      <c r="S756" s="303"/>
      <c r="T756" s="143"/>
      <c r="U756" s="303"/>
      <c r="V756" s="303"/>
      <c r="W756" s="303"/>
      <c r="X756" s="303"/>
      <c r="Y756" s="303"/>
      <c r="Z756" s="303"/>
      <c r="AA756" s="303"/>
      <c r="AB756" s="143"/>
      <c r="AC756" s="303"/>
      <c r="AD756" s="303"/>
      <c r="AE756" s="303"/>
      <c r="AF756" s="303"/>
      <c r="AG756" s="303"/>
      <c r="AH756" s="303"/>
      <c r="AI756" s="143"/>
      <c r="AJ756" s="125"/>
      <c r="AK756" s="125"/>
      <c r="AL756" s="125"/>
      <c r="AM756" s="125"/>
    </row>
    <row r="757" spans="1:39" ht="12.75" x14ac:dyDescent="0.2">
      <c r="A757" s="303"/>
      <c r="B757" s="303"/>
      <c r="C757" s="303"/>
      <c r="D757" s="143"/>
      <c r="E757" s="303"/>
      <c r="F757" s="303"/>
      <c r="G757" s="303"/>
      <c r="H757" s="303"/>
      <c r="I757" s="303"/>
      <c r="J757" s="303"/>
      <c r="K757" s="303"/>
      <c r="L757" s="143"/>
      <c r="M757" s="303"/>
      <c r="N757" s="303"/>
      <c r="O757" s="303"/>
      <c r="P757" s="303"/>
      <c r="Q757" s="303"/>
      <c r="R757" s="303"/>
      <c r="S757" s="303"/>
      <c r="T757" s="143"/>
      <c r="U757" s="303"/>
      <c r="V757" s="303"/>
      <c r="W757" s="303"/>
      <c r="X757" s="303"/>
      <c r="Y757" s="303"/>
      <c r="Z757" s="303"/>
      <c r="AA757" s="303"/>
      <c r="AB757" s="143"/>
      <c r="AC757" s="303"/>
      <c r="AD757" s="303"/>
      <c r="AE757" s="303"/>
      <c r="AF757" s="303"/>
      <c r="AG757" s="303"/>
      <c r="AH757" s="303"/>
      <c r="AI757" s="143"/>
      <c r="AJ757" s="125"/>
      <c r="AK757" s="125"/>
      <c r="AL757" s="125"/>
      <c r="AM757" s="125"/>
    </row>
    <row r="758" spans="1:39" ht="12.75" x14ac:dyDescent="0.2">
      <c r="A758" s="303"/>
      <c r="B758" s="303"/>
      <c r="C758" s="303"/>
      <c r="D758" s="143"/>
      <c r="E758" s="303"/>
      <c r="F758" s="303"/>
      <c r="G758" s="303"/>
      <c r="H758" s="303"/>
      <c r="I758" s="303"/>
      <c r="J758" s="303"/>
      <c r="K758" s="303"/>
      <c r="L758" s="143"/>
      <c r="M758" s="303"/>
      <c r="N758" s="303"/>
      <c r="O758" s="303"/>
      <c r="P758" s="303"/>
      <c r="Q758" s="303"/>
      <c r="R758" s="303"/>
      <c r="S758" s="303"/>
      <c r="T758" s="143"/>
      <c r="U758" s="303"/>
      <c r="V758" s="303"/>
      <c r="W758" s="303"/>
      <c r="X758" s="303"/>
      <c r="Y758" s="303"/>
      <c r="Z758" s="303"/>
      <c r="AA758" s="303"/>
      <c r="AB758" s="143"/>
      <c r="AC758" s="303"/>
      <c r="AD758" s="303"/>
      <c r="AE758" s="303"/>
      <c r="AF758" s="303"/>
      <c r="AG758" s="303"/>
      <c r="AH758" s="303"/>
      <c r="AI758" s="143"/>
      <c r="AJ758" s="125"/>
      <c r="AK758" s="125"/>
      <c r="AL758" s="125"/>
      <c r="AM758" s="125"/>
    </row>
    <row r="759" spans="1:39" ht="12.75" x14ac:dyDescent="0.2">
      <c r="A759" s="303"/>
      <c r="B759" s="303"/>
      <c r="C759" s="303"/>
      <c r="D759" s="143"/>
      <c r="E759" s="303"/>
      <c r="F759" s="303"/>
      <c r="G759" s="303"/>
      <c r="H759" s="303"/>
      <c r="I759" s="303"/>
      <c r="J759" s="303"/>
      <c r="K759" s="303"/>
      <c r="L759" s="143"/>
      <c r="M759" s="303"/>
      <c r="N759" s="303"/>
      <c r="O759" s="303"/>
      <c r="P759" s="303"/>
      <c r="Q759" s="303"/>
      <c r="R759" s="303"/>
      <c r="S759" s="303"/>
      <c r="T759" s="143"/>
      <c r="U759" s="303"/>
      <c r="V759" s="303"/>
      <c r="W759" s="303"/>
      <c r="X759" s="303"/>
      <c r="Y759" s="303"/>
      <c r="Z759" s="303"/>
      <c r="AA759" s="303"/>
      <c r="AB759" s="143"/>
      <c r="AC759" s="303"/>
      <c r="AD759" s="303"/>
      <c r="AE759" s="303"/>
      <c r="AF759" s="303"/>
      <c r="AG759" s="303"/>
      <c r="AH759" s="303"/>
      <c r="AI759" s="143"/>
      <c r="AJ759" s="125"/>
      <c r="AK759" s="125"/>
      <c r="AL759" s="125"/>
      <c r="AM759" s="125"/>
    </row>
    <row r="760" spans="1:39" ht="12.75" x14ac:dyDescent="0.2">
      <c r="A760" s="303"/>
      <c r="B760" s="303"/>
      <c r="C760" s="303"/>
      <c r="D760" s="143"/>
      <c r="E760" s="303"/>
      <c r="F760" s="303"/>
      <c r="G760" s="303"/>
      <c r="H760" s="303"/>
      <c r="I760" s="303"/>
      <c r="J760" s="303"/>
      <c r="K760" s="303"/>
      <c r="L760" s="143"/>
      <c r="M760" s="303"/>
      <c r="N760" s="303"/>
      <c r="O760" s="303"/>
      <c r="P760" s="303"/>
      <c r="Q760" s="303"/>
      <c r="R760" s="303"/>
      <c r="S760" s="303"/>
      <c r="T760" s="143"/>
      <c r="U760" s="303"/>
      <c r="V760" s="303"/>
      <c r="W760" s="303"/>
      <c r="X760" s="303"/>
      <c r="Y760" s="303"/>
      <c r="Z760" s="303"/>
      <c r="AA760" s="303"/>
      <c r="AB760" s="143"/>
      <c r="AC760" s="303"/>
      <c r="AD760" s="303"/>
      <c r="AE760" s="303"/>
      <c r="AF760" s="303"/>
      <c r="AG760" s="303"/>
      <c r="AH760" s="303"/>
      <c r="AI760" s="143"/>
      <c r="AJ760" s="125"/>
      <c r="AK760" s="125"/>
      <c r="AL760" s="125"/>
      <c r="AM760" s="125"/>
    </row>
    <row r="761" spans="1:39" ht="12.75" x14ac:dyDescent="0.2">
      <c r="A761" s="303"/>
      <c r="B761" s="303"/>
      <c r="C761" s="303"/>
      <c r="D761" s="143"/>
      <c r="E761" s="303"/>
      <c r="F761" s="303"/>
      <c r="G761" s="303"/>
      <c r="H761" s="303"/>
      <c r="I761" s="303"/>
      <c r="J761" s="303"/>
      <c r="K761" s="303"/>
      <c r="L761" s="143"/>
      <c r="M761" s="303"/>
      <c r="N761" s="303"/>
      <c r="O761" s="303"/>
      <c r="P761" s="303"/>
      <c r="Q761" s="303"/>
      <c r="R761" s="303"/>
      <c r="S761" s="303"/>
      <c r="T761" s="143"/>
      <c r="U761" s="303"/>
      <c r="V761" s="303"/>
      <c r="W761" s="303"/>
      <c r="X761" s="303"/>
      <c r="Y761" s="303"/>
      <c r="Z761" s="303"/>
      <c r="AA761" s="303"/>
      <c r="AB761" s="143"/>
      <c r="AC761" s="303"/>
      <c r="AD761" s="303"/>
      <c r="AE761" s="303"/>
      <c r="AF761" s="303"/>
      <c r="AG761" s="303"/>
      <c r="AH761" s="303"/>
      <c r="AI761" s="143"/>
      <c r="AJ761" s="125"/>
      <c r="AK761" s="125"/>
      <c r="AL761" s="125"/>
      <c r="AM761" s="125"/>
    </row>
    <row r="762" spans="1:39" ht="12.75" x14ac:dyDescent="0.2">
      <c r="A762" s="303"/>
      <c r="B762" s="303"/>
      <c r="C762" s="303"/>
      <c r="D762" s="143"/>
      <c r="E762" s="303"/>
      <c r="F762" s="303"/>
      <c r="G762" s="303"/>
      <c r="H762" s="303"/>
      <c r="I762" s="303"/>
      <c r="J762" s="303"/>
      <c r="K762" s="303"/>
      <c r="L762" s="143"/>
      <c r="M762" s="303"/>
      <c r="N762" s="303"/>
      <c r="O762" s="303"/>
      <c r="P762" s="303"/>
      <c r="Q762" s="303"/>
      <c r="R762" s="303"/>
      <c r="S762" s="303"/>
      <c r="T762" s="143"/>
      <c r="U762" s="303"/>
      <c r="V762" s="303"/>
      <c r="W762" s="303"/>
      <c r="X762" s="303"/>
      <c r="Y762" s="303"/>
      <c r="Z762" s="303"/>
      <c r="AA762" s="303"/>
      <c r="AB762" s="143"/>
      <c r="AC762" s="303"/>
      <c r="AD762" s="303"/>
      <c r="AE762" s="303"/>
      <c r="AF762" s="303"/>
      <c r="AG762" s="303"/>
      <c r="AH762" s="303"/>
      <c r="AI762" s="143"/>
      <c r="AJ762" s="125"/>
      <c r="AK762" s="125"/>
      <c r="AL762" s="125"/>
      <c r="AM762" s="125"/>
    </row>
    <row r="763" spans="1:39" ht="12.75" x14ac:dyDescent="0.2">
      <c r="A763" s="303"/>
      <c r="B763" s="303"/>
      <c r="C763" s="303"/>
      <c r="D763" s="143"/>
      <c r="E763" s="303"/>
      <c r="F763" s="303"/>
      <c r="G763" s="303"/>
      <c r="H763" s="303"/>
      <c r="I763" s="303"/>
      <c r="J763" s="303"/>
      <c r="K763" s="303"/>
      <c r="L763" s="143"/>
      <c r="M763" s="303"/>
      <c r="N763" s="303"/>
      <c r="O763" s="303"/>
      <c r="P763" s="303"/>
      <c r="Q763" s="303"/>
      <c r="R763" s="303"/>
      <c r="S763" s="303"/>
      <c r="T763" s="143"/>
      <c r="U763" s="303"/>
      <c r="V763" s="303"/>
      <c r="W763" s="303"/>
      <c r="X763" s="303"/>
      <c r="Y763" s="303"/>
      <c r="Z763" s="303"/>
      <c r="AA763" s="303"/>
      <c r="AB763" s="143"/>
      <c r="AC763" s="303"/>
      <c r="AD763" s="303"/>
      <c r="AE763" s="303"/>
      <c r="AF763" s="303"/>
      <c r="AG763" s="303"/>
      <c r="AH763" s="303"/>
      <c r="AI763" s="143"/>
      <c r="AJ763" s="125"/>
      <c r="AK763" s="125"/>
      <c r="AL763" s="125"/>
      <c r="AM763" s="125"/>
    </row>
    <row r="764" spans="1:39" ht="12.75" x14ac:dyDescent="0.2">
      <c r="A764" s="303"/>
      <c r="B764" s="303"/>
      <c r="C764" s="303"/>
      <c r="D764" s="143"/>
      <c r="E764" s="303"/>
      <c r="F764" s="303"/>
      <c r="G764" s="303"/>
      <c r="H764" s="303"/>
      <c r="I764" s="303"/>
      <c r="J764" s="303"/>
      <c r="K764" s="303"/>
      <c r="L764" s="143"/>
      <c r="M764" s="303"/>
      <c r="N764" s="303"/>
      <c r="O764" s="303"/>
      <c r="P764" s="303"/>
      <c r="Q764" s="303"/>
      <c r="R764" s="303"/>
      <c r="S764" s="303"/>
      <c r="T764" s="143"/>
      <c r="U764" s="303"/>
      <c r="V764" s="303"/>
      <c r="W764" s="303"/>
      <c r="X764" s="303"/>
      <c r="Y764" s="303"/>
      <c r="Z764" s="303"/>
      <c r="AA764" s="303"/>
      <c r="AB764" s="143"/>
      <c r="AC764" s="303"/>
      <c r="AD764" s="303"/>
      <c r="AE764" s="303"/>
      <c r="AF764" s="303"/>
      <c r="AG764" s="303"/>
      <c r="AH764" s="303"/>
      <c r="AI764" s="143"/>
      <c r="AJ764" s="125"/>
      <c r="AK764" s="125"/>
      <c r="AL764" s="125"/>
      <c r="AM764" s="125"/>
    </row>
    <row r="765" spans="1:39" ht="12.75" x14ac:dyDescent="0.2">
      <c r="A765" s="303"/>
      <c r="B765" s="303"/>
      <c r="C765" s="303"/>
      <c r="D765" s="143"/>
      <c r="E765" s="303"/>
      <c r="F765" s="303"/>
      <c r="G765" s="303"/>
      <c r="H765" s="303"/>
      <c r="I765" s="303"/>
      <c r="J765" s="303"/>
      <c r="K765" s="303"/>
      <c r="L765" s="143"/>
      <c r="M765" s="303"/>
      <c r="N765" s="303"/>
      <c r="O765" s="303"/>
      <c r="P765" s="303"/>
      <c r="Q765" s="303"/>
      <c r="R765" s="303"/>
      <c r="S765" s="303"/>
      <c r="T765" s="143"/>
      <c r="U765" s="303"/>
      <c r="V765" s="303"/>
      <c r="W765" s="303"/>
      <c r="X765" s="303"/>
      <c r="Y765" s="303"/>
      <c r="Z765" s="303"/>
      <c r="AA765" s="303"/>
      <c r="AB765" s="143"/>
      <c r="AC765" s="303"/>
      <c r="AD765" s="303"/>
      <c r="AE765" s="303"/>
      <c r="AF765" s="303"/>
      <c r="AG765" s="303"/>
      <c r="AH765" s="303"/>
      <c r="AI765" s="143"/>
      <c r="AJ765" s="125"/>
      <c r="AK765" s="125"/>
      <c r="AL765" s="125"/>
      <c r="AM765" s="125"/>
    </row>
    <row r="766" spans="1:39" ht="12.75" x14ac:dyDescent="0.2">
      <c r="A766" s="303"/>
      <c r="B766" s="303"/>
      <c r="C766" s="303"/>
      <c r="D766" s="143"/>
      <c r="E766" s="303"/>
      <c r="F766" s="303"/>
      <c r="G766" s="303"/>
      <c r="H766" s="303"/>
      <c r="I766" s="303"/>
      <c r="J766" s="303"/>
      <c r="K766" s="303"/>
      <c r="L766" s="143"/>
      <c r="M766" s="303"/>
      <c r="N766" s="303"/>
      <c r="O766" s="303"/>
      <c r="P766" s="303"/>
      <c r="Q766" s="303"/>
      <c r="R766" s="303"/>
      <c r="S766" s="303"/>
      <c r="T766" s="143"/>
      <c r="U766" s="303"/>
      <c r="V766" s="303"/>
      <c r="W766" s="303"/>
      <c r="X766" s="303"/>
      <c r="Y766" s="303"/>
      <c r="Z766" s="303"/>
      <c r="AA766" s="303"/>
      <c r="AB766" s="143"/>
      <c r="AC766" s="303"/>
      <c r="AD766" s="303"/>
      <c r="AE766" s="303"/>
      <c r="AF766" s="303"/>
      <c r="AG766" s="303"/>
      <c r="AH766" s="303"/>
      <c r="AI766" s="143"/>
      <c r="AJ766" s="125"/>
      <c r="AK766" s="125"/>
      <c r="AL766" s="125"/>
      <c r="AM766" s="125"/>
    </row>
    <row r="767" spans="1:39" ht="12.75" x14ac:dyDescent="0.2">
      <c r="A767" s="303"/>
      <c r="B767" s="303"/>
      <c r="C767" s="303"/>
      <c r="D767" s="143"/>
      <c r="E767" s="303"/>
      <c r="F767" s="303"/>
      <c r="G767" s="303"/>
      <c r="H767" s="303"/>
      <c r="I767" s="303"/>
      <c r="J767" s="303"/>
      <c r="K767" s="303"/>
      <c r="L767" s="143"/>
      <c r="M767" s="303"/>
      <c r="N767" s="303"/>
      <c r="O767" s="303"/>
      <c r="P767" s="303"/>
      <c r="Q767" s="303"/>
      <c r="R767" s="303"/>
      <c r="S767" s="303"/>
      <c r="T767" s="143"/>
      <c r="U767" s="303"/>
      <c r="V767" s="303"/>
      <c r="W767" s="303"/>
      <c r="X767" s="303"/>
      <c r="Y767" s="303"/>
      <c r="Z767" s="303"/>
      <c r="AA767" s="303"/>
      <c r="AB767" s="143"/>
      <c r="AC767" s="303"/>
      <c r="AD767" s="303"/>
      <c r="AE767" s="303"/>
      <c r="AF767" s="303"/>
      <c r="AG767" s="303"/>
      <c r="AH767" s="303"/>
      <c r="AI767" s="143"/>
      <c r="AJ767" s="125"/>
      <c r="AK767" s="125"/>
      <c r="AL767" s="125"/>
      <c r="AM767" s="125"/>
    </row>
    <row r="768" spans="1:39" ht="12.75" x14ac:dyDescent="0.2">
      <c r="A768" s="303"/>
      <c r="B768" s="303"/>
      <c r="C768" s="303"/>
      <c r="D768" s="143"/>
      <c r="E768" s="303"/>
      <c r="F768" s="303"/>
      <c r="G768" s="303"/>
      <c r="H768" s="303"/>
      <c r="I768" s="303"/>
      <c r="J768" s="303"/>
      <c r="K768" s="303"/>
      <c r="L768" s="143"/>
      <c r="M768" s="303"/>
      <c r="N768" s="303"/>
      <c r="O768" s="303"/>
      <c r="P768" s="303"/>
      <c r="Q768" s="303"/>
      <c r="R768" s="303"/>
      <c r="S768" s="303"/>
      <c r="T768" s="143"/>
      <c r="U768" s="303"/>
      <c r="V768" s="303"/>
      <c r="W768" s="303"/>
      <c r="X768" s="303"/>
      <c r="Y768" s="303"/>
      <c r="Z768" s="303"/>
      <c r="AA768" s="303"/>
      <c r="AB768" s="143"/>
      <c r="AC768" s="303"/>
      <c r="AD768" s="303"/>
      <c r="AE768" s="303"/>
      <c r="AF768" s="303"/>
      <c r="AG768" s="303"/>
      <c r="AH768" s="303"/>
      <c r="AI768" s="143"/>
      <c r="AJ768" s="125"/>
      <c r="AK768" s="125"/>
      <c r="AL768" s="125"/>
      <c r="AM768" s="125"/>
    </row>
    <row r="769" spans="1:39" ht="12.75" x14ac:dyDescent="0.2">
      <c r="A769" s="303"/>
      <c r="B769" s="303"/>
      <c r="C769" s="303"/>
      <c r="D769" s="143"/>
      <c r="E769" s="303"/>
      <c r="F769" s="303"/>
      <c r="G769" s="303"/>
      <c r="H769" s="303"/>
      <c r="I769" s="303"/>
      <c r="J769" s="303"/>
      <c r="K769" s="303"/>
      <c r="L769" s="143"/>
      <c r="M769" s="303"/>
      <c r="N769" s="303"/>
      <c r="O769" s="303"/>
      <c r="P769" s="303"/>
      <c r="Q769" s="303"/>
      <c r="R769" s="303"/>
      <c r="S769" s="303"/>
      <c r="T769" s="143"/>
      <c r="U769" s="303"/>
      <c r="V769" s="303"/>
      <c r="W769" s="303"/>
      <c r="X769" s="303"/>
      <c r="Y769" s="303"/>
      <c r="Z769" s="303"/>
      <c r="AA769" s="303"/>
      <c r="AB769" s="143"/>
      <c r="AC769" s="303"/>
      <c r="AD769" s="303"/>
      <c r="AE769" s="303"/>
      <c r="AF769" s="303"/>
      <c r="AG769" s="303"/>
      <c r="AH769" s="303"/>
      <c r="AI769" s="143"/>
      <c r="AJ769" s="125"/>
      <c r="AK769" s="125"/>
      <c r="AL769" s="125"/>
      <c r="AM769" s="125"/>
    </row>
    <row r="770" spans="1:39" ht="12.75" x14ac:dyDescent="0.2">
      <c r="A770" s="303"/>
      <c r="B770" s="303"/>
      <c r="C770" s="303"/>
      <c r="D770" s="143"/>
      <c r="E770" s="303"/>
      <c r="F770" s="303"/>
      <c r="G770" s="303"/>
      <c r="H770" s="303"/>
      <c r="I770" s="303"/>
      <c r="J770" s="303"/>
      <c r="K770" s="303"/>
      <c r="L770" s="143"/>
      <c r="M770" s="303"/>
      <c r="N770" s="303"/>
      <c r="O770" s="303"/>
      <c r="P770" s="303"/>
      <c r="Q770" s="303"/>
      <c r="R770" s="303"/>
      <c r="S770" s="303"/>
      <c r="T770" s="143"/>
      <c r="U770" s="303"/>
      <c r="V770" s="303"/>
      <c r="W770" s="303"/>
      <c r="X770" s="303"/>
      <c r="Y770" s="303"/>
      <c r="Z770" s="303"/>
      <c r="AA770" s="303"/>
      <c r="AB770" s="143"/>
      <c r="AC770" s="303"/>
      <c r="AD770" s="303"/>
      <c r="AE770" s="303"/>
      <c r="AF770" s="303"/>
      <c r="AG770" s="303"/>
      <c r="AH770" s="303"/>
      <c r="AI770" s="143"/>
      <c r="AJ770" s="125"/>
      <c r="AK770" s="125"/>
      <c r="AL770" s="125"/>
      <c r="AM770" s="125"/>
    </row>
    <row r="771" spans="1:39" ht="12.75" x14ac:dyDescent="0.2">
      <c r="A771" s="303"/>
      <c r="B771" s="303"/>
      <c r="C771" s="303"/>
      <c r="D771" s="143"/>
      <c r="E771" s="303"/>
      <c r="F771" s="303"/>
      <c r="G771" s="303"/>
      <c r="H771" s="303"/>
      <c r="I771" s="303"/>
      <c r="J771" s="303"/>
      <c r="K771" s="303"/>
      <c r="L771" s="143"/>
      <c r="M771" s="303"/>
      <c r="N771" s="303"/>
      <c r="O771" s="303"/>
      <c r="P771" s="303"/>
      <c r="Q771" s="303"/>
      <c r="R771" s="303"/>
      <c r="S771" s="303"/>
      <c r="T771" s="143"/>
      <c r="U771" s="303"/>
      <c r="V771" s="303"/>
      <c r="W771" s="303"/>
      <c r="X771" s="303"/>
      <c r="Y771" s="303"/>
      <c r="Z771" s="303"/>
      <c r="AA771" s="303"/>
      <c r="AB771" s="143"/>
      <c r="AC771" s="303"/>
      <c r="AD771" s="303"/>
      <c r="AE771" s="303"/>
      <c r="AF771" s="303"/>
      <c r="AG771" s="303"/>
      <c r="AH771" s="303"/>
      <c r="AI771" s="143"/>
      <c r="AJ771" s="125"/>
      <c r="AK771" s="125"/>
      <c r="AL771" s="125"/>
      <c r="AM771" s="125"/>
    </row>
    <row r="772" spans="1:39" ht="12.75" x14ac:dyDescent="0.2">
      <c r="A772" s="303"/>
      <c r="B772" s="303"/>
      <c r="C772" s="303"/>
      <c r="D772" s="143"/>
      <c r="E772" s="303"/>
      <c r="F772" s="303"/>
      <c r="G772" s="303"/>
      <c r="H772" s="303"/>
      <c r="I772" s="303"/>
      <c r="J772" s="303"/>
      <c r="K772" s="303"/>
      <c r="L772" s="143"/>
      <c r="M772" s="303"/>
      <c r="N772" s="303"/>
      <c r="O772" s="303"/>
      <c r="P772" s="303"/>
      <c r="Q772" s="303"/>
      <c r="R772" s="303"/>
      <c r="S772" s="303"/>
      <c r="T772" s="143"/>
      <c r="U772" s="303"/>
      <c r="V772" s="303"/>
      <c r="W772" s="303"/>
      <c r="X772" s="303"/>
      <c r="Y772" s="303"/>
      <c r="Z772" s="303"/>
      <c r="AA772" s="303"/>
      <c r="AB772" s="143"/>
      <c r="AC772" s="303"/>
      <c r="AD772" s="303"/>
      <c r="AE772" s="303"/>
      <c r="AF772" s="303"/>
      <c r="AG772" s="303"/>
      <c r="AH772" s="303"/>
      <c r="AI772" s="143"/>
      <c r="AJ772" s="125"/>
      <c r="AK772" s="125"/>
      <c r="AL772" s="125"/>
      <c r="AM772" s="125"/>
    </row>
    <row r="773" spans="1:39" ht="12.75" x14ac:dyDescent="0.2">
      <c r="A773" s="303"/>
      <c r="B773" s="303"/>
      <c r="C773" s="303"/>
      <c r="D773" s="143"/>
      <c r="E773" s="303"/>
      <c r="F773" s="303"/>
      <c r="G773" s="303"/>
      <c r="H773" s="303"/>
      <c r="I773" s="303"/>
      <c r="J773" s="303"/>
      <c r="K773" s="303"/>
      <c r="L773" s="143"/>
      <c r="M773" s="303"/>
      <c r="N773" s="303"/>
      <c r="O773" s="303"/>
      <c r="P773" s="303"/>
      <c r="Q773" s="303"/>
      <c r="R773" s="303"/>
      <c r="S773" s="303"/>
      <c r="T773" s="143"/>
      <c r="U773" s="303"/>
      <c r="V773" s="303"/>
      <c r="W773" s="303"/>
      <c r="X773" s="303"/>
      <c r="Y773" s="303"/>
      <c r="Z773" s="303"/>
      <c r="AA773" s="303"/>
      <c r="AB773" s="143"/>
      <c r="AC773" s="303"/>
      <c r="AD773" s="303"/>
      <c r="AE773" s="303"/>
      <c r="AF773" s="303"/>
      <c r="AG773" s="303"/>
      <c r="AH773" s="303"/>
      <c r="AI773" s="143"/>
      <c r="AJ773" s="125"/>
      <c r="AK773" s="125"/>
      <c r="AL773" s="125"/>
      <c r="AM773" s="125"/>
    </row>
    <row r="774" spans="1:39" ht="12.75" x14ac:dyDescent="0.2">
      <c r="A774" s="303"/>
      <c r="B774" s="303"/>
      <c r="C774" s="303"/>
      <c r="D774" s="143"/>
      <c r="E774" s="303"/>
      <c r="F774" s="303"/>
      <c r="G774" s="303"/>
      <c r="H774" s="303"/>
      <c r="I774" s="303"/>
      <c r="J774" s="303"/>
      <c r="K774" s="303"/>
      <c r="L774" s="143"/>
      <c r="M774" s="303"/>
      <c r="N774" s="303"/>
      <c r="O774" s="303"/>
      <c r="P774" s="303"/>
      <c r="Q774" s="303"/>
      <c r="R774" s="303"/>
      <c r="S774" s="303"/>
      <c r="T774" s="143"/>
      <c r="U774" s="303"/>
      <c r="V774" s="303"/>
      <c r="W774" s="303"/>
      <c r="X774" s="303"/>
      <c r="Y774" s="303"/>
      <c r="Z774" s="303"/>
      <c r="AA774" s="303"/>
      <c r="AB774" s="143"/>
      <c r="AC774" s="303"/>
      <c r="AD774" s="303"/>
      <c r="AE774" s="303"/>
      <c r="AF774" s="303"/>
      <c r="AG774" s="303"/>
      <c r="AH774" s="303"/>
      <c r="AI774" s="143"/>
      <c r="AJ774" s="125"/>
      <c r="AK774" s="125"/>
      <c r="AL774" s="125"/>
      <c r="AM774" s="125"/>
    </row>
    <row r="775" spans="1:39" ht="12.75" x14ac:dyDescent="0.2">
      <c r="A775" s="303"/>
      <c r="B775" s="303"/>
      <c r="C775" s="303"/>
      <c r="D775" s="143"/>
      <c r="E775" s="303"/>
      <c r="F775" s="303"/>
      <c r="G775" s="303"/>
      <c r="H775" s="303"/>
      <c r="I775" s="303"/>
      <c r="J775" s="303"/>
      <c r="K775" s="303"/>
      <c r="L775" s="143"/>
      <c r="M775" s="303"/>
      <c r="N775" s="303"/>
      <c r="O775" s="303"/>
      <c r="P775" s="303"/>
      <c r="Q775" s="303"/>
      <c r="R775" s="303"/>
      <c r="S775" s="303"/>
      <c r="T775" s="143"/>
      <c r="U775" s="303"/>
      <c r="V775" s="303"/>
      <c r="W775" s="303"/>
      <c r="X775" s="303"/>
      <c r="Y775" s="303"/>
      <c r="Z775" s="303"/>
      <c r="AA775" s="303"/>
      <c r="AB775" s="143"/>
      <c r="AC775" s="303"/>
      <c r="AD775" s="303"/>
      <c r="AE775" s="303"/>
      <c r="AF775" s="303"/>
      <c r="AG775" s="303"/>
      <c r="AH775" s="303"/>
      <c r="AI775" s="143"/>
      <c r="AJ775" s="125"/>
      <c r="AK775" s="125"/>
      <c r="AL775" s="125"/>
      <c r="AM775" s="125"/>
    </row>
    <row r="776" spans="1:39" ht="12.75" x14ac:dyDescent="0.2">
      <c r="A776" s="303"/>
      <c r="B776" s="303"/>
      <c r="C776" s="303"/>
      <c r="D776" s="143"/>
      <c r="E776" s="303"/>
      <c r="F776" s="303"/>
      <c r="G776" s="303"/>
      <c r="H776" s="303"/>
      <c r="I776" s="303"/>
      <c r="J776" s="303"/>
      <c r="K776" s="303"/>
      <c r="L776" s="143"/>
      <c r="M776" s="303"/>
      <c r="N776" s="303"/>
      <c r="O776" s="303"/>
      <c r="P776" s="303"/>
      <c r="Q776" s="303"/>
      <c r="R776" s="303"/>
      <c r="S776" s="303"/>
      <c r="T776" s="143"/>
      <c r="U776" s="303"/>
      <c r="V776" s="303"/>
      <c r="W776" s="303"/>
      <c r="X776" s="303"/>
      <c r="Y776" s="303"/>
      <c r="Z776" s="303"/>
      <c r="AA776" s="303"/>
      <c r="AB776" s="143"/>
      <c r="AC776" s="303"/>
      <c r="AD776" s="303"/>
      <c r="AE776" s="303"/>
      <c r="AF776" s="303"/>
      <c r="AG776" s="303"/>
      <c r="AH776" s="303"/>
      <c r="AI776" s="143"/>
      <c r="AJ776" s="125"/>
      <c r="AK776" s="125"/>
      <c r="AL776" s="125"/>
      <c r="AM776" s="125"/>
    </row>
    <row r="777" spans="1:39" ht="12.75" x14ac:dyDescent="0.2">
      <c r="A777" s="303"/>
      <c r="B777" s="303"/>
      <c r="C777" s="303"/>
      <c r="D777" s="143"/>
      <c r="E777" s="303"/>
      <c r="F777" s="303"/>
      <c r="G777" s="303"/>
      <c r="H777" s="303"/>
      <c r="I777" s="303"/>
      <c r="J777" s="303"/>
      <c r="K777" s="303"/>
      <c r="L777" s="143"/>
      <c r="M777" s="303"/>
      <c r="N777" s="303"/>
      <c r="O777" s="303"/>
      <c r="P777" s="303"/>
      <c r="Q777" s="303"/>
      <c r="R777" s="303"/>
      <c r="S777" s="303"/>
      <c r="T777" s="143"/>
      <c r="U777" s="303"/>
      <c r="V777" s="303"/>
      <c r="W777" s="303"/>
      <c r="X777" s="303"/>
      <c r="Y777" s="303"/>
      <c r="Z777" s="303"/>
      <c r="AA777" s="303"/>
      <c r="AB777" s="143"/>
      <c r="AC777" s="303"/>
      <c r="AD777" s="303"/>
      <c r="AE777" s="303"/>
      <c r="AF777" s="303"/>
      <c r="AG777" s="303"/>
      <c r="AH777" s="303"/>
      <c r="AI777" s="143"/>
      <c r="AJ777" s="125"/>
      <c r="AK777" s="125"/>
      <c r="AL777" s="125"/>
      <c r="AM777" s="125"/>
    </row>
    <row r="778" spans="1:39" ht="12.75" x14ac:dyDescent="0.2">
      <c r="A778" s="303"/>
      <c r="B778" s="303"/>
      <c r="C778" s="303"/>
      <c r="D778" s="143"/>
      <c r="E778" s="303"/>
      <c r="F778" s="303"/>
      <c r="G778" s="303"/>
      <c r="H778" s="303"/>
      <c r="I778" s="303"/>
      <c r="J778" s="303"/>
      <c r="K778" s="303"/>
      <c r="L778" s="143"/>
      <c r="M778" s="303"/>
      <c r="N778" s="303"/>
      <c r="O778" s="303"/>
      <c r="P778" s="303"/>
      <c r="Q778" s="303"/>
      <c r="R778" s="303"/>
      <c r="S778" s="303"/>
      <c r="T778" s="143"/>
      <c r="U778" s="303"/>
      <c r="V778" s="303"/>
      <c r="W778" s="303"/>
      <c r="X778" s="303"/>
      <c r="Y778" s="303"/>
      <c r="Z778" s="303"/>
      <c r="AA778" s="303"/>
      <c r="AB778" s="143"/>
      <c r="AC778" s="303"/>
      <c r="AD778" s="303"/>
      <c r="AE778" s="303"/>
      <c r="AF778" s="303"/>
      <c r="AG778" s="303"/>
      <c r="AH778" s="303"/>
      <c r="AI778" s="143"/>
      <c r="AJ778" s="125"/>
      <c r="AK778" s="125"/>
      <c r="AL778" s="125"/>
      <c r="AM778" s="125"/>
    </row>
    <row r="779" spans="1:39" ht="12.75" x14ac:dyDescent="0.2">
      <c r="A779" s="303"/>
      <c r="B779" s="303"/>
      <c r="C779" s="303"/>
      <c r="D779" s="143"/>
      <c r="E779" s="303"/>
      <c r="F779" s="303"/>
      <c r="G779" s="303"/>
      <c r="H779" s="303"/>
      <c r="I779" s="303"/>
      <c r="J779" s="303"/>
      <c r="K779" s="303"/>
      <c r="L779" s="143"/>
      <c r="M779" s="303"/>
      <c r="N779" s="303"/>
      <c r="O779" s="303"/>
      <c r="P779" s="303"/>
      <c r="Q779" s="303"/>
      <c r="R779" s="303"/>
      <c r="S779" s="303"/>
      <c r="T779" s="143"/>
      <c r="U779" s="303"/>
      <c r="V779" s="303"/>
      <c r="W779" s="303"/>
      <c r="X779" s="303"/>
      <c r="Y779" s="303"/>
      <c r="Z779" s="303"/>
      <c r="AA779" s="303"/>
      <c r="AB779" s="143"/>
      <c r="AC779" s="303"/>
      <c r="AD779" s="303"/>
      <c r="AE779" s="303"/>
      <c r="AF779" s="303"/>
      <c r="AG779" s="303"/>
      <c r="AH779" s="303"/>
      <c r="AI779" s="143"/>
      <c r="AJ779" s="125"/>
      <c r="AK779" s="125"/>
      <c r="AL779" s="125"/>
      <c r="AM779" s="125"/>
    </row>
    <row r="780" spans="1:39" ht="12.75" x14ac:dyDescent="0.2">
      <c r="A780" s="303"/>
      <c r="B780" s="303"/>
      <c r="C780" s="303"/>
      <c r="D780" s="143"/>
      <c r="E780" s="303"/>
      <c r="F780" s="303"/>
      <c r="G780" s="303"/>
      <c r="H780" s="303"/>
      <c r="I780" s="303"/>
      <c r="J780" s="303"/>
      <c r="K780" s="303"/>
      <c r="L780" s="143"/>
      <c r="M780" s="303"/>
      <c r="N780" s="303"/>
      <c r="O780" s="303"/>
      <c r="P780" s="303"/>
      <c r="Q780" s="303"/>
      <c r="R780" s="303"/>
      <c r="S780" s="303"/>
      <c r="T780" s="143"/>
      <c r="U780" s="303"/>
      <c r="V780" s="303"/>
      <c r="W780" s="303"/>
      <c r="X780" s="303"/>
      <c r="Y780" s="303"/>
      <c r="Z780" s="303"/>
      <c r="AA780" s="303"/>
      <c r="AB780" s="143"/>
      <c r="AC780" s="303"/>
      <c r="AD780" s="303"/>
      <c r="AE780" s="303"/>
      <c r="AF780" s="303"/>
      <c r="AG780" s="303"/>
      <c r="AH780" s="303"/>
      <c r="AI780" s="143"/>
      <c r="AJ780" s="125"/>
      <c r="AK780" s="125"/>
      <c r="AL780" s="125"/>
      <c r="AM780" s="125"/>
    </row>
    <row r="781" spans="1:39" ht="12.75" x14ac:dyDescent="0.2">
      <c r="A781" s="303"/>
      <c r="B781" s="303"/>
      <c r="C781" s="303"/>
      <c r="D781" s="143"/>
      <c r="E781" s="303"/>
      <c r="F781" s="303"/>
      <c r="G781" s="303"/>
      <c r="H781" s="303"/>
      <c r="I781" s="303"/>
      <c r="J781" s="303"/>
      <c r="K781" s="303"/>
      <c r="L781" s="143"/>
      <c r="M781" s="303"/>
      <c r="N781" s="303"/>
      <c r="O781" s="303"/>
      <c r="P781" s="303"/>
      <c r="Q781" s="303"/>
      <c r="R781" s="303"/>
      <c r="S781" s="303"/>
      <c r="T781" s="143"/>
      <c r="U781" s="303"/>
      <c r="V781" s="303"/>
      <c r="W781" s="303"/>
      <c r="X781" s="303"/>
      <c r="Y781" s="303"/>
      <c r="Z781" s="303"/>
      <c r="AA781" s="303"/>
      <c r="AB781" s="143"/>
      <c r="AC781" s="303"/>
      <c r="AD781" s="303"/>
      <c r="AE781" s="303"/>
      <c r="AF781" s="303"/>
      <c r="AG781" s="303"/>
      <c r="AH781" s="303"/>
      <c r="AI781" s="143"/>
      <c r="AJ781" s="125"/>
      <c r="AK781" s="125"/>
      <c r="AL781" s="125"/>
      <c r="AM781" s="125"/>
    </row>
    <row r="782" spans="1:39" ht="12.75" x14ac:dyDescent="0.2">
      <c r="A782" s="303"/>
      <c r="B782" s="303"/>
      <c r="C782" s="303"/>
      <c r="D782" s="143"/>
      <c r="E782" s="303"/>
      <c r="F782" s="303"/>
      <c r="G782" s="303"/>
      <c r="H782" s="303"/>
      <c r="I782" s="303"/>
      <c r="J782" s="303"/>
      <c r="K782" s="303"/>
      <c r="L782" s="143"/>
      <c r="M782" s="303"/>
      <c r="N782" s="303"/>
      <c r="O782" s="303"/>
      <c r="P782" s="303"/>
      <c r="Q782" s="303"/>
      <c r="R782" s="303"/>
      <c r="S782" s="303"/>
      <c r="T782" s="143"/>
      <c r="U782" s="303"/>
      <c r="V782" s="303"/>
      <c r="W782" s="303"/>
      <c r="X782" s="303"/>
      <c r="Y782" s="303"/>
      <c r="Z782" s="303"/>
      <c r="AA782" s="303"/>
      <c r="AB782" s="143"/>
      <c r="AC782" s="303"/>
      <c r="AD782" s="303"/>
      <c r="AE782" s="303"/>
      <c r="AF782" s="303"/>
      <c r="AG782" s="303"/>
      <c r="AH782" s="303"/>
      <c r="AI782" s="143"/>
      <c r="AJ782" s="125"/>
      <c r="AK782" s="125"/>
      <c r="AL782" s="125"/>
      <c r="AM782" s="125"/>
    </row>
    <row r="783" spans="1:39" ht="12.75" x14ac:dyDescent="0.2">
      <c r="A783" s="303"/>
      <c r="B783" s="303"/>
      <c r="C783" s="303"/>
      <c r="D783" s="143"/>
      <c r="E783" s="303"/>
      <c r="F783" s="303"/>
      <c r="G783" s="303"/>
      <c r="H783" s="303"/>
      <c r="I783" s="303"/>
      <c r="J783" s="303"/>
      <c r="K783" s="303"/>
      <c r="L783" s="143"/>
      <c r="M783" s="303"/>
      <c r="N783" s="303"/>
      <c r="O783" s="303"/>
      <c r="P783" s="303"/>
      <c r="Q783" s="303"/>
      <c r="R783" s="303"/>
      <c r="S783" s="303"/>
      <c r="T783" s="143"/>
      <c r="U783" s="303"/>
      <c r="V783" s="303"/>
      <c r="W783" s="303"/>
      <c r="X783" s="303"/>
      <c r="Y783" s="303"/>
      <c r="Z783" s="303"/>
      <c r="AA783" s="303"/>
      <c r="AB783" s="143"/>
      <c r="AC783" s="303"/>
      <c r="AD783" s="303"/>
      <c r="AE783" s="303"/>
      <c r="AF783" s="303"/>
      <c r="AG783" s="303"/>
      <c r="AH783" s="303"/>
      <c r="AI783" s="143"/>
      <c r="AJ783" s="125"/>
      <c r="AK783" s="125"/>
      <c r="AL783" s="125"/>
      <c r="AM783" s="125"/>
    </row>
    <row r="784" spans="1:39" ht="12.75" x14ac:dyDescent="0.2">
      <c r="A784" s="303"/>
      <c r="B784" s="303"/>
      <c r="C784" s="303"/>
      <c r="D784" s="143"/>
      <c r="E784" s="303"/>
      <c r="F784" s="303"/>
      <c r="G784" s="303"/>
      <c r="H784" s="303"/>
      <c r="I784" s="303"/>
      <c r="J784" s="303"/>
      <c r="K784" s="303"/>
      <c r="L784" s="143"/>
      <c r="M784" s="303"/>
      <c r="N784" s="303"/>
      <c r="O784" s="303"/>
      <c r="P784" s="303"/>
      <c r="Q784" s="303"/>
      <c r="R784" s="303"/>
      <c r="S784" s="303"/>
      <c r="T784" s="143"/>
      <c r="U784" s="303"/>
      <c r="V784" s="303"/>
      <c r="W784" s="303"/>
      <c r="X784" s="303"/>
      <c r="Y784" s="303"/>
      <c r="Z784" s="303"/>
      <c r="AA784" s="303"/>
      <c r="AB784" s="143"/>
      <c r="AC784" s="303"/>
      <c r="AD784" s="303"/>
      <c r="AE784" s="303"/>
      <c r="AF784" s="303"/>
      <c r="AG784" s="303"/>
      <c r="AH784" s="303"/>
      <c r="AI784" s="143"/>
      <c r="AJ784" s="125"/>
      <c r="AK784" s="125"/>
      <c r="AL784" s="125"/>
      <c r="AM784" s="125"/>
    </row>
    <row r="785" spans="1:39" ht="12.75" x14ac:dyDescent="0.2">
      <c r="A785" s="303"/>
      <c r="B785" s="303"/>
      <c r="C785" s="303"/>
      <c r="D785" s="143"/>
      <c r="E785" s="303"/>
      <c r="F785" s="303"/>
      <c r="G785" s="303"/>
      <c r="H785" s="303"/>
      <c r="I785" s="303"/>
      <c r="J785" s="303"/>
      <c r="K785" s="303"/>
      <c r="L785" s="143"/>
      <c r="M785" s="303"/>
      <c r="N785" s="303"/>
      <c r="O785" s="303"/>
      <c r="P785" s="303"/>
      <c r="Q785" s="303"/>
      <c r="R785" s="303"/>
      <c r="S785" s="303"/>
      <c r="T785" s="143"/>
      <c r="U785" s="303"/>
      <c r="V785" s="303"/>
      <c r="W785" s="303"/>
      <c r="X785" s="303"/>
      <c r="Y785" s="303"/>
      <c r="Z785" s="303"/>
      <c r="AA785" s="303"/>
      <c r="AB785" s="143"/>
      <c r="AC785" s="303"/>
      <c r="AD785" s="303"/>
      <c r="AE785" s="303"/>
      <c r="AF785" s="303"/>
      <c r="AG785" s="303"/>
      <c r="AH785" s="303"/>
      <c r="AI785" s="143"/>
      <c r="AJ785" s="125"/>
      <c r="AK785" s="125"/>
      <c r="AL785" s="125"/>
      <c r="AM785" s="125"/>
    </row>
    <row r="786" spans="1:39" ht="12.75" x14ac:dyDescent="0.2">
      <c r="A786" s="303"/>
      <c r="B786" s="303"/>
      <c r="C786" s="303"/>
      <c r="D786" s="143"/>
      <c r="E786" s="303"/>
      <c r="F786" s="303"/>
      <c r="G786" s="303"/>
      <c r="H786" s="303"/>
      <c r="I786" s="303"/>
      <c r="J786" s="303"/>
      <c r="K786" s="303"/>
      <c r="L786" s="143"/>
      <c r="M786" s="303"/>
      <c r="N786" s="303"/>
      <c r="O786" s="303"/>
      <c r="P786" s="303"/>
      <c r="Q786" s="303"/>
      <c r="R786" s="303"/>
      <c r="S786" s="303"/>
      <c r="T786" s="143"/>
      <c r="U786" s="303"/>
      <c r="V786" s="303"/>
      <c r="W786" s="303"/>
      <c r="X786" s="303"/>
      <c r="Y786" s="303"/>
      <c r="Z786" s="303"/>
      <c r="AA786" s="303"/>
      <c r="AB786" s="143"/>
      <c r="AC786" s="303"/>
      <c r="AD786" s="303"/>
      <c r="AE786" s="303"/>
      <c r="AF786" s="303"/>
      <c r="AG786" s="303"/>
      <c r="AH786" s="303"/>
      <c r="AI786" s="143"/>
      <c r="AJ786" s="125"/>
      <c r="AK786" s="125"/>
      <c r="AL786" s="125"/>
      <c r="AM786" s="125"/>
    </row>
    <row r="787" spans="1:39" ht="12.75" x14ac:dyDescent="0.2">
      <c r="A787" s="303"/>
      <c r="B787" s="303"/>
      <c r="C787" s="303"/>
      <c r="D787" s="143"/>
      <c r="E787" s="303"/>
      <c r="F787" s="303"/>
      <c r="G787" s="303"/>
      <c r="H787" s="303"/>
      <c r="I787" s="303"/>
      <c r="J787" s="303"/>
      <c r="K787" s="303"/>
      <c r="L787" s="143"/>
      <c r="M787" s="303"/>
      <c r="N787" s="303"/>
      <c r="O787" s="303"/>
      <c r="P787" s="303"/>
      <c r="Q787" s="303"/>
      <c r="R787" s="303"/>
      <c r="S787" s="303"/>
      <c r="T787" s="143"/>
      <c r="U787" s="303"/>
      <c r="V787" s="303"/>
      <c r="W787" s="303"/>
      <c r="X787" s="303"/>
      <c r="Y787" s="303"/>
      <c r="Z787" s="303"/>
      <c r="AA787" s="303"/>
      <c r="AB787" s="143"/>
      <c r="AC787" s="303"/>
      <c r="AD787" s="303"/>
      <c r="AE787" s="303"/>
      <c r="AF787" s="303"/>
      <c r="AG787" s="303"/>
      <c r="AH787" s="303"/>
      <c r="AI787" s="143"/>
      <c r="AJ787" s="125"/>
      <c r="AK787" s="125"/>
      <c r="AL787" s="125"/>
      <c r="AM787" s="125"/>
    </row>
    <row r="788" spans="1:39" ht="12.75" x14ac:dyDescent="0.2">
      <c r="A788" s="303"/>
      <c r="B788" s="303"/>
      <c r="C788" s="303"/>
      <c r="D788" s="143"/>
      <c r="E788" s="303"/>
      <c r="F788" s="303"/>
      <c r="G788" s="303"/>
      <c r="H788" s="303"/>
      <c r="I788" s="303"/>
      <c r="J788" s="303"/>
      <c r="K788" s="303"/>
      <c r="L788" s="143"/>
      <c r="M788" s="303"/>
      <c r="N788" s="303"/>
      <c r="O788" s="303"/>
      <c r="P788" s="303"/>
      <c r="Q788" s="303"/>
      <c r="R788" s="303"/>
      <c r="S788" s="303"/>
      <c r="T788" s="143"/>
      <c r="U788" s="303"/>
      <c r="V788" s="303"/>
      <c r="W788" s="303"/>
      <c r="X788" s="303"/>
      <c r="Y788" s="303"/>
      <c r="Z788" s="303"/>
      <c r="AA788" s="303"/>
      <c r="AB788" s="143"/>
      <c r="AC788" s="303"/>
      <c r="AD788" s="303"/>
      <c r="AE788" s="303"/>
      <c r="AF788" s="303"/>
      <c r="AG788" s="303"/>
      <c r="AH788" s="303"/>
      <c r="AI788" s="143"/>
      <c r="AJ788" s="125"/>
      <c r="AK788" s="125"/>
      <c r="AL788" s="125"/>
      <c r="AM788" s="125"/>
    </row>
    <row r="789" spans="1:39" ht="12.75" x14ac:dyDescent="0.2">
      <c r="A789" s="303"/>
      <c r="B789" s="303"/>
      <c r="C789" s="303"/>
      <c r="D789" s="143"/>
      <c r="E789" s="303"/>
      <c r="F789" s="303"/>
      <c r="G789" s="303"/>
      <c r="H789" s="303"/>
      <c r="I789" s="303"/>
      <c r="J789" s="303"/>
      <c r="K789" s="303"/>
      <c r="L789" s="143"/>
      <c r="M789" s="303"/>
      <c r="N789" s="303"/>
      <c r="O789" s="303"/>
      <c r="P789" s="303"/>
      <c r="Q789" s="303"/>
      <c r="R789" s="303"/>
      <c r="S789" s="303"/>
      <c r="T789" s="143"/>
      <c r="U789" s="303"/>
      <c r="V789" s="303"/>
      <c r="W789" s="303"/>
      <c r="X789" s="303"/>
      <c r="Y789" s="303"/>
      <c r="Z789" s="303"/>
      <c r="AA789" s="303"/>
      <c r="AB789" s="143"/>
      <c r="AC789" s="303"/>
      <c r="AD789" s="303"/>
      <c r="AE789" s="303"/>
      <c r="AF789" s="303"/>
      <c r="AG789" s="303"/>
      <c r="AH789" s="303"/>
      <c r="AI789" s="143"/>
      <c r="AJ789" s="125"/>
      <c r="AK789" s="125"/>
      <c r="AL789" s="125"/>
      <c r="AM789" s="125"/>
    </row>
    <row r="790" spans="1:39" ht="12.75" x14ac:dyDescent="0.2">
      <c r="A790" s="303"/>
      <c r="B790" s="303"/>
      <c r="C790" s="303"/>
      <c r="D790" s="143"/>
      <c r="E790" s="303"/>
      <c r="F790" s="303"/>
      <c r="G790" s="303"/>
      <c r="H790" s="303"/>
      <c r="I790" s="303"/>
      <c r="J790" s="303"/>
      <c r="K790" s="303"/>
      <c r="L790" s="143"/>
      <c r="M790" s="303"/>
      <c r="N790" s="303"/>
      <c r="O790" s="303"/>
      <c r="P790" s="303"/>
      <c r="Q790" s="303"/>
      <c r="R790" s="303"/>
      <c r="S790" s="303"/>
      <c r="T790" s="143"/>
      <c r="U790" s="303"/>
      <c r="V790" s="303"/>
      <c r="W790" s="303"/>
      <c r="X790" s="303"/>
      <c r="Y790" s="303"/>
      <c r="Z790" s="303"/>
      <c r="AA790" s="303"/>
      <c r="AB790" s="143"/>
      <c r="AC790" s="303"/>
      <c r="AD790" s="303"/>
      <c r="AE790" s="303"/>
      <c r="AF790" s="303"/>
      <c r="AG790" s="303"/>
      <c r="AH790" s="303"/>
      <c r="AI790" s="143"/>
      <c r="AJ790" s="125"/>
      <c r="AK790" s="125"/>
      <c r="AL790" s="125"/>
      <c r="AM790" s="125"/>
    </row>
    <row r="791" spans="1:39" ht="12.75" x14ac:dyDescent="0.2">
      <c r="A791" s="303"/>
      <c r="B791" s="303"/>
      <c r="C791" s="303"/>
      <c r="D791" s="143"/>
      <c r="E791" s="303"/>
      <c r="F791" s="303"/>
      <c r="G791" s="303"/>
      <c r="H791" s="303"/>
      <c r="I791" s="303"/>
      <c r="J791" s="303"/>
      <c r="K791" s="303"/>
      <c r="L791" s="143"/>
      <c r="M791" s="303"/>
      <c r="N791" s="303"/>
      <c r="O791" s="303"/>
      <c r="P791" s="303"/>
      <c r="Q791" s="303"/>
      <c r="R791" s="303"/>
      <c r="S791" s="303"/>
      <c r="T791" s="143"/>
      <c r="U791" s="303"/>
      <c r="V791" s="303"/>
      <c r="W791" s="303"/>
      <c r="X791" s="303"/>
      <c r="Y791" s="303"/>
      <c r="Z791" s="303"/>
      <c r="AA791" s="303"/>
      <c r="AB791" s="143"/>
      <c r="AC791" s="303"/>
      <c r="AD791" s="303"/>
      <c r="AE791" s="303"/>
      <c r="AF791" s="303"/>
      <c r="AG791" s="303"/>
      <c r="AH791" s="303"/>
      <c r="AI791" s="143"/>
      <c r="AJ791" s="125"/>
      <c r="AK791" s="125"/>
      <c r="AL791" s="125"/>
      <c r="AM791" s="125"/>
    </row>
    <row r="792" spans="1:39" ht="12.75" x14ac:dyDescent="0.2">
      <c r="A792" s="303"/>
      <c r="B792" s="303"/>
      <c r="C792" s="303"/>
      <c r="D792" s="143"/>
      <c r="E792" s="303"/>
      <c r="F792" s="303"/>
      <c r="G792" s="303"/>
      <c r="H792" s="303"/>
      <c r="I792" s="303"/>
      <c r="J792" s="303"/>
      <c r="K792" s="303"/>
      <c r="L792" s="143"/>
      <c r="M792" s="303"/>
      <c r="N792" s="303"/>
      <c r="O792" s="303"/>
      <c r="P792" s="303"/>
      <c r="Q792" s="303"/>
      <c r="R792" s="303"/>
      <c r="S792" s="303"/>
      <c r="T792" s="143"/>
      <c r="U792" s="303"/>
      <c r="V792" s="303"/>
      <c r="W792" s="303"/>
      <c r="X792" s="303"/>
      <c r="Y792" s="303"/>
      <c r="Z792" s="303"/>
      <c r="AA792" s="303"/>
      <c r="AB792" s="143"/>
      <c r="AC792" s="303"/>
      <c r="AD792" s="303"/>
      <c r="AE792" s="303"/>
      <c r="AF792" s="303"/>
      <c r="AG792" s="303"/>
      <c r="AH792" s="303"/>
      <c r="AI792" s="143"/>
      <c r="AJ792" s="125"/>
      <c r="AK792" s="125"/>
      <c r="AL792" s="125"/>
      <c r="AM792" s="125"/>
    </row>
    <row r="793" spans="1:39" ht="12.75" x14ac:dyDescent="0.2">
      <c r="A793" s="303"/>
      <c r="B793" s="303"/>
      <c r="C793" s="303"/>
      <c r="D793" s="143"/>
      <c r="E793" s="303"/>
      <c r="F793" s="303"/>
      <c r="G793" s="303"/>
      <c r="H793" s="303"/>
      <c r="I793" s="303"/>
      <c r="J793" s="303"/>
      <c r="K793" s="303"/>
      <c r="L793" s="143"/>
      <c r="M793" s="303"/>
      <c r="N793" s="303"/>
      <c r="O793" s="303"/>
      <c r="P793" s="303"/>
      <c r="Q793" s="303"/>
      <c r="R793" s="303"/>
      <c r="S793" s="303"/>
      <c r="T793" s="143"/>
      <c r="U793" s="303"/>
      <c r="V793" s="303"/>
      <c r="W793" s="303"/>
      <c r="X793" s="303"/>
      <c r="Y793" s="303"/>
      <c r="Z793" s="303"/>
      <c r="AA793" s="303"/>
      <c r="AB793" s="143"/>
      <c r="AC793" s="303"/>
      <c r="AD793" s="303"/>
      <c r="AE793" s="303"/>
      <c r="AF793" s="303"/>
      <c r="AG793" s="303"/>
      <c r="AH793" s="303"/>
      <c r="AI793" s="143"/>
      <c r="AJ793" s="125"/>
      <c r="AK793" s="125"/>
      <c r="AL793" s="125"/>
      <c r="AM793" s="125"/>
    </row>
    <row r="794" spans="1:39" ht="12.75" x14ac:dyDescent="0.2">
      <c r="A794" s="303"/>
      <c r="B794" s="303"/>
      <c r="C794" s="303"/>
      <c r="D794" s="143"/>
      <c r="E794" s="303"/>
      <c r="F794" s="303"/>
      <c r="G794" s="303"/>
      <c r="H794" s="303"/>
      <c r="I794" s="303"/>
      <c r="J794" s="303"/>
      <c r="K794" s="303"/>
      <c r="L794" s="143"/>
      <c r="M794" s="303"/>
      <c r="N794" s="303"/>
      <c r="O794" s="303"/>
      <c r="P794" s="303"/>
      <c r="Q794" s="303"/>
      <c r="R794" s="303"/>
      <c r="S794" s="303"/>
      <c r="T794" s="143"/>
      <c r="U794" s="303"/>
      <c r="V794" s="303"/>
      <c r="W794" s="303"/>
      <c r="X794" s="303"/>
      <c r="Y794" s="303"/>
      <c r="Z794" s="303"/>
      <c r="AA794" s="303"/>
      <c r="AB794" s="143"/>
      <c r="AC794" s="303"/>
      <c r="AD794" s="303"/>
      <c r="AE794" s="303"/>
      <c r="AF794" s="303"/>
      <c r="AG794" s="303"/>
      <c r="AH794" s="303"/>
      <c r="AI794" s="143"/>
      <c r="AJ794" s="125"/>
      <c r="AK794" s="125"/>
      <c r="AL794" s="125"/>
      <c r="AM794" s="125"/>
    </row>
    <row r="795" spans="1:39" ht="12.75" x14ac:dyDescent="0.2">
      <c r="A795" s="303"/>
      <c r="B795" s="303"/>
      <c r="C795" s="303"/>
      <c r="D795" s="143"/>
      <c r="E795" s="303"/>
      <c r="F795" s="303"/>
      <c r="G795" s="303"/>
      <c r="H795" s="303"/>
      <c r="I795" s="303"/>
      <c r="J795" s="303"/>
      <c r="K795" s="303"/>
      <c r="L795" s="143"/>
      <c r="M795" s="303"/>
      <c r="N795" s="303"/>
      <c r="O795" s="303"/>
      <c r="P795" s="303"/>
      <c r="Q795" s="303"/>
      <c r="R795" s="303"/>
      <c r="S795" s="303"/>
      <c r="T795" s="143"/>
      <c r="U795" s="303"/>
      <c r="V795" s="303"/>
      <c r="W795" s="303"/>
      <c r="X795" s="303"/>
      <c r="Y795" s="303"/>
      <c r="Z795" s="303"/>
      <c r="AA795" s="303"/>
      <c r="AB795" s="143"/>
      <c r="AC795" s="303"/>
      <c r="AD795" s="303"/>
      <c r="AE795" s="303"/>
      <c r="AF795" s="303"/>
      <c r="AG795" s="303"/>
      <c r="AH795" s="303"/>
      <c r="AI795" s="143"/>
      <c r="AJ795" s="125"/>
      <c r="AK795" s="125"/>
      <c r="AL795" s="125"/>
      <c r="AM795" s="125"/>
    </row>
    <row r="796" spans="1:39" ht="12.75" x14ac:dyDescent="0.2">
      <c r="A796" s="303"/>
      <c r="B796" s="303"/>
      <c r="C796" s="303"/>
      <c r="D796" s="143"/>
      <c r="E796" s="303"/>
      <c r="F796" s="303"/>
      <c r="G796" s="303"/>
      <c r="H796" s="303"/>
      <c r="I796" s="303"/>
      <c r="J796" s="303"/>
      <c r="K796" s="303"/>
      <c r="L796" s="143"/>
      <c r="M796" s="303"/>
      <c r="N796" s="303"/>
      <c r="O796" s="303"/>
      <c r="P796" s="303"/>
      <c r="Q796" s="303"/>
      <c r="R796" s="303"/>
      <c r="S796" s="303"/>
      <c r="T796" s="143"/>
      <c r="U796" s="303"/>
      <c r="V796" s="303"/>
      <c r="W796" s="303"/>
      <c r="X796" s="303"/>
      <c r="Y796" s="303"/>
      <c r="Z796" s="303"/>
      <c r="AA796" s="303"/>
      <c r="AB796" s="143"/>
      <c r="AC796" s="303"/>
      <c r="AD796" s="303"/>
      <c r="AE796" s="303"/>
      <c r="AF796" s="303"/>
      <c r="AG796" s="303"/>
      <c r="AH796" s="303"/>
      <c r="AI796" s="143"/>
      <c r="AJ796" s="125"/>
      <c r="AK796" s="125"/>
      <c r="AL796" s="125"/>
      <c r="AM796" s="125"/>
    </row>
    <row r="797" spans="1:39" ht="12.75" x14ac:dyDescent="0.2">
      <c r="A797" s="303"/>
      <c r="B797" s="303"/>
      <c r="C797" s="303"/>
      <c r="D797" s="143"/>
      <c r="E797" s="303"/>
      <c r="F797" s="303"/>
      <c r="G797" s="303"/>
      <c r="H797" s="303"/>
      <c r="I797" s="303"/>
      <c r="J797" s="303"/>
      <c r="K797" s="303"/>
      <c r="L797" s="143"/>
      <c r="M797" s="303"/>
      <c r="N797" s="303"/>
      <c r="O797" s="303"/>
      <c r="P797" s="303"/>
      <c r="Q797" s="303"/>
      <c r="R797" s="303"/>
      <c r="S797" s="303"/>
      <c r="T797" s="143"/>
      <c r="U797" s="303"/>
      <c r="V797" s="303"/>
      <c r="W797" s="303"/>
      <c r="X797" s="303"/>
      <c r="Y797" s="303"/>
      <c r="Z797" s="303"/>
      <c r="AA797" s="303"/>
      <c r="AB797" s="143"/>
      <c r="AC797" s="303"/>
      <c r="AD797" s="303"/>
      <c r="AE797" s="303"/>
      <c r="AF797" s="303"/>
      <c r="AG797" s="303"/>
      <c r="AH797" s="303"/>
      <c r="AI797" s="143"/>
      <c r="AJ797" s="125"/>
      <c r="AK797" s="125"/>
      <c r="AL797" s="125"/>
      <c r="AM797" s="125"/>
    </row>
    <row r="798" spans="1:39" ht="12.75" x14ac:dyDescent="0.2">
      <c r="A798" s="303"/>
      <c r="B798" s="303"/>
      <c r="C798" s="303"/>
      <c r="D798" s="143"/>
      <c r="E798" s="303"/>
      <c r="F798" s="303"/>
      <c r="G798" s="303"/>
      <c r="H798" s="303"/>
      <c r="I798" s="303"/>
      <c r="J798" s="303"/>
      <c r="K798" s="303"/>
      <c r="L798" s="143"/>
      <c r="M798" s="303"/>
      <c r="N798" s="303"/>
      <c r="O798" s="303"/>
      <c r="P798" s="303"/>
      <c r="Q798" s="303"/>
      <c r="R798" s="303"/>
      <c r="S798" s="303"/>
      <c r="T798" s="143"/>
      <c r="U798" s="303"/>
      <c r="V798" s="303"/>
      <c r="W798" s="303"/>
      <c r="X798" s="303"/>
      <c r="Y798" s="303"/>
      <c r="Z798" s="303"/>
      <c r="AA798" s="303"/>
      <c r="AB798" s="143"/>
      <c r="AC798" s="303"/>
      <c r="AD798" s="303"/>
      <c r="AE798" s="303"/>
      <c r="AF798" s="303"/>
      <c r="AG798" s="303"/>
      <c r="AH798" s="303"/>
      <c r="AI798" s="143"/>
      <c r="AJ798" s="125"/>
      <c r="AK798" s="125"/>
      <c r="AL798" s="125"/>
      <c r="AM798" s="125"/>
    </row>
    <row r="799" spans="1:39" ht="12.75" x14ac:dyDescent="0.2">
      <c r="A799" s="303"/>
      <c r="B799" s="303"/>
      <c r="C799" s="303"/>
      <c r="D799" s="143"/>
      <c r="E799" s="303"/>
      <c r="F799" s="303"/>
      <c r="G799" s="303"/>
      <c r="H799" s="303"/>
      <c r="I799" s="303"/>
      <c r="J799" s="303"/>
      <c r="K799" s="303"/>
      <c r="L799" s="143"/>
      <c r="M799" s="303"/>
      <c r="N799" s="303"/>
      <c r="O799" s="303"/>
      <c r="P799" s="303"/>
      <c r="Q799" s="303"/>
      <c r="R799" s="303"/>
      <c r="S799" s="303"/>
      <c r="T799" s="143"/>
      <c r="U799" s="303"/>
      <c r="V799" s="303"/>
      <c r="W799" s="303"/>
      <c r="X799" s="303"/>
      <c r="Y799" s="303"/>
      <c r="Z799" s="303"/>
      <c r="AA799" s="303"/>
      <c r="AB799" s="143"/>
      <c r="AC799" s="303"/>
      <c r="AD799" s="303"/>
      <c r="AE799" s="303"/>
      <c r="AF799" s="303"/>
      <c r="AG799" s="303"/>
      <c r="AH799" s="303"/>
      <c r="AI799" s="143"/>
      <c r="AJ799" s="125"/>
      <c r="AK799" s="125"/>
      <c r="AL799" s="125"/>
      <c r="AM799" s="125"/>
    </row>
    <row r="800" spans="1:39" ht="12.75" x14ac:dyDescent="0.2">
      <c r="A800" s="303"/>
      <c r="B800" s="303"/>
      <c r="C800" s="303"/>
      <c r="D800" s="143"/>
      <c r="E800" s="303"/>
      <c r="F800" s="303"/>
      <c r="G800" s="303"/>
      <c r="H800" s="303"/>
      <c r="I800" s="303"/>
      <c r="J800" s="303"/>
      <c r="K800" s="303"/>
      <c r="L800" s="143"/>
      <c r="M800" s="303"/>
      <c r="N800" s="303"/>
      <c r="O800" s="303"/>
      <c r="P800" s="303"/>
      <c r="Q800" s="303"/>
      <c r="R800" s="303"/>
      <c r="S800" s="303"/>
      <c r="T800" s="143"/>
      <c r="U800" s="303"/>
      <c r="V800" s="303"/>
      <c r="W800" s="303"/>
      <c r="X800" s="303"/>
      <c r="Y800" s="303"/>
      <c r="Z800" s="303"/>
      <c r="AA800" s="303"/>
      <c r="AB800" s="143"/>
      <c r="AC800" s="303"/>
      <c r="AD800" s="303"/>
      <c r="AE800" s="303"/>
      <c r="AF800" s="303"/>
      <c r="AG800" s="303"/>
      <c r="AH800" s="303"/>
      <c r="AI800" s="143"/>
      <c r="AJ800" s="125"/>
      <c r="AK800" s="125"/>
      <c r="AL800" s="125"/>
      <c r="AM800" s="125"/>
    </row>
    <row r="801" spans="1:39" ht="12.75" x14ac:dyDescent="0.2">
      <c r="A801" s="303"/>
      <c r="B801" s="303"/>
      <c r="C801" s="303"/>
      <c r="D801" s="143"/>
      <c r="E801" s="303"/>
      <c r="F801" s="303"/>
      <c r="G801" s="303"/>
      <c r="H801" s="303"/>
      <c r="I801" s="303"/>
      <c r="J801" s="303"/>
      <c r="K801" s="303"/>
      <c r="L801" s="143"/>
      <c r="M801" s="303"/>
      <c r="N801" s="303"/>
      <c r="O801" s="303"/>
      <c r="P801" s="303"/>
      <c r="Q801" s="303"/>
      <c r="R801" s="303"/>
      <c r="S801" s="303"/>
      <c r="T801" s="143"/>
      <c r="U801" s="303"/>
      <c r="V801" s="303"/>
      <c r="W801" s="303"/>
      <c r="X801" s="303"/>
      <c r="Y801" s="303"/>
      <c r="Z801" s="303"/>
      <c r="AA801" s="303"/>
      <c r="AB801" s="143"/>
      <c r="AC801" s="303"/>
      <c r="AD801" s="303"/>
      <c r="AE801" s="303"/>
      <c r="AF801" s="303"/>
      <c r="AG801" s="303"/>
      <c r="AH801" s="303"/>
      <c r="AI801" s="143"/>
      <c r="AJ801" s="125"/>
      <c r="AK801" s="125"/>
      <c r="AL801" s="125"/>
      <c r="AM801" s="125"/>
    </row>
    <row r="802" spans="1:39" ht="12.75" x14ac:dyDescent="0.2">
      <c r="A802" s="303"/>
      <c r="B802" s="303"/>
      <c r="C802" s="303"/>
      <c r="D802" s="143"/>
      <c r="E802" s="303"/>
      <c r="F802" s="303"/>
      <c r="G802" s="303"/>
      <c r="H802" s="303"/>
      <c r="I802" s="303"/>
      <c r="J802" s="303"/>
      <c r="K802" s="303"/>
      <c r="L802" s="143"/>
      <c r="M802" s="303"/>
      <c r="N802" s="303"/>
      <c r="O802" s="303"/>
      <c r="P802" s="303"/>
      <c r="Q802" s="303"/>
      <c r="R802" s="303"/>
      <c r="S802" s="303"/>
      <c r="T802" s="143"/>
      <c r="U802" s="303"/>
      <c r="V802" s="303"/>
      <c r="W802" s="303"/>
      <c r="X802" s="303"/>
      <c r="Y802" s="303"/>
      <c r="Z802" s="303"/>
      <c r="AA802" s="303"/>
      <c r="AB802" s="143"/>
      <c r="AC802" s="303"/>
      <c r="AD802" s="303"/>
      <c r="AE802" s="303"/>
      <c r="AF802" s="303"/>
      <c r="AG802" s="303"/>
      <c r="AH802" s="303"/>
      <c r="AI802" s="143"/>
      <c r="AJ802" s="125"/>
      <c r="AK802" s="125"/>
      <c r="AL802" s="125"/>
      <c r="AM802" s="125"/>
    </row>
    <row r="803" spans="1:39" ht="12.75" x14ac:dyDescent="0.2">
      <c r="A803" s="303"/>
      <c r="B803" s="303"/>
      <c r="C803" s="303"/>
      <c r="D803" s="143"/>
      <c r="E803" s="303"/>
      <c r="F803" s="303"/>
      <c r="G803" s="303"/>
      <c r="H803" s="303"/>
      <c r="I803" s="303"/>
      <c r="J803" s="303"/>
      <c r="K803" s="303"/>
      <c r="L803" s="143"/>
      <c r="M803" s="303"/>
      <c r="N803" s="303"/>
      <c r="O803" s="303"/>
      <c r="P803" s="303"/>
      <c r="Q803" s="303"/>
      <c r="R803" s="303"/>
      <c r="S803" s="303"/>
      <c r="T803" s="143"/>
      <c r="U803" s="303"/>
      <c r="V803" s="303"/>
      <c r="W803" s="303"/>
      <c r="X803" s="303"/>
      <c r="Y803" s="303"/>
      <c r="Z803" s="303"/>
      <c r="AA803" s="303"/>
      <c r="AB803" s="143"/>
      <c r="AC803" s="303"/>
      <c r="AD803" s="303"/>
      <c r="AE803" s="303"/>
      <c r="AF803" s="303"/>
      <c r="AG803" s="303"/>
      <c r="AH803" s="303"/>
      <c r="AI803" s="143"/>
      <c r="AJ803" s="125"/>
      <c r="AK803" s="125"/>
      <c r="AL803" s="125"/>
      <c r="AM803" s="125"/>
    </row>
    <row r="804" spans="1:39" ht="12.75" x14ac:dyDescent="0.2">
      <c r="A804" s="303"/>
      <c r="B804" s="303"/>
      <c r="C804" s="303"/>
      <c r="D804" s="143"/>
      <c r="E804" s="303"/>
      <c r="F804" s="303"/>
      <c r="G804" s="303"/>
      <c r="H804" s="303"/>
      <c r="I804" s="303"/>
      <c r="J804" s="303"/>
      <c r="K804" s="303"/>
      <c r="L804" s="143"/>
      <c r="M804" s="303"/>
      <c r="N804" s="303"/>
      <c r="O804" s="303"/>
      <c r="P804" s="303"/>
      <c r="Q804" s="303"/>
      <c r="R804" s="303"/>
      <c r="S804" s="303"/>
      <c r="T804" s="143"/>
      <c r="U804" s="303"/>
      <c r="V804" s="303"/>
      <c r="W804" s="303"/>
      <c r="X804" s="303"/>
      <c r="Y804" s="303"/>
      <c r="Z804" s="303"/>
      <c r="AA804" s="303"/>
      <c r="AB804" s="143"/>
      <c r="AC804" s="303"/>
      <c r="AD804" s="303"/>
      <c r="AE804" s="303"/>
      <c r="AF804" s="303"/>
      <c r="AG804" s="303"/>
      <c r="AH804" s="303"/>
      <c r="AI804" s="143"/>
      <c r="AJ804" s="125"/>
      <c r="AK804" s="125"/>
      <c r="AL804" s="125"/>
      <c r="AM804" s="125"/>
    </row>
    <row r="805" spans="1:39" ht="12.75" x14ac:dyDescent="0.2">
      <c r="A805" s="303"/>
      <c r="B805" s="303"/>
      <c r="C805" s="303"/>
      <c r="D805" s="143"/>
      <c r="E805" s="303"/>
      <c r="F805" s="303"/>
      <c r="G805" s="303"/>
      <c r="H805" s="303"/>
      <c r="I805" s="303"/>
      <c r="J805" s="303"/>
      <c r="K805" s="303"/>
      <c r="L805" s="143"/>
      <c r="M805" s="303"/>
      <c r="N805" s="303"/>
      <c r="O805" s="303"/>
      <c r="P805" s="303"/>
      <c r="Q805" s="303"/>
      <c r="R805" s="303"/>
      <c r="S805" s="303"/>
      <c r="T805" s="143"/>
      <c r="U805" s="303"/>
      <c r="V805" s="303"/>
      <c r="W805" s="303"/>
      <c r="X805" s="303"/>
      <c r="Y805" s="303"/>
      <c r="Z805" s="303"/>
      <c r="AA805" s="303"/>
      <c r="AB805" s="143"/>
      <c r="AC805" s="303"/>
      <c r="AD805" s="303"/>
      <c r="AE805" s="303"/>
      <c r="AF805" s="303"/>
      <c r="AG805" s="303"/>
      <c r="AH805" s="303"/>
      <c r="AI805" s="143"/>
      <c r="AJ805" s="125"/>
      <c r="AK805" s="125"/>
      <c r="AL805" s="125"/>
      <c r="AM805" s="125"/>
    </row>
    <row r="806" spans="1:39" ht="12.75" x14ac:dyDescent="0.2">
      <c r="A806" s="303"/>
      <c r="B806" s="303"/>
      <c r="C806" s="303"/>
      <c r="D806" s="143"/>
      <c r="E806" s="303"/>
      <c r="F806" s="303"/>
      <c r="G806" s="303"/>
      <c r="H806" s="303"/>
      <c r="I806" s="303"/>
      <c r="J806" s="303"/>
      <c r="K806" s="303"/>
      <c r="L806" s="143"/>
      <c r="M806" s="303"/>
      <c r="N806" s="303"/>
      <c r="O806" s="303"/>
      <c r="P806" s="303"/>
      <c r="Q806" s="303"/>
      <c r="R806" s="303"/>
      <c r="S806" s="303"/>
      <c r="T806" s="143"/>
      <c r="U806" s="303"/>
      <c r="V806" s="303"/>
      <c r="W806" s="303"/>
      <c r="X806" s="303"/>
      <c r="Y806" s="303"/>
      <c r="Z806" s="303"/>
      <c r="AA806" s="303"/>
      <c r="AB806" s="143"/>
      <c r="AC806" s="303"/>
      <c r="AD806" s="303"/>
      <c r="AE806" s="303"/>
      <c r="AF806" s="303"/>
      <c r="AG806" s="303"/>
      <c r="AH806" s="303"/>
      <c r="AI806" s="143"/>
      <c r="AJ806" s="125"/>
      <c r="AK806" s="125"/>
      <c r="AL806" s="125"/>
      <c r="AM806" s="125"/>
    </row>
    <row r="807" spans="1:39" ht="12.75" x14ac:dyDescent="0.2">
      <c r="A807" s="303"/>
      <c r="B807" s="303"/>
      <c r="C807" s="303"/>
      <c r="D807" s="143"/>
      <c r="E807" s="303"/>
      <c r="F807" s="303"/>
      <c r="G807" s="303"/>
      <c r="H807" s="303"/>
      <c r="I807" s="303"/>
      <c r="J807" s="303"/>
      <c r="K807" s="303"/>
      <c r="L807" s="143"/>
      <c r="M807" s="303"/>
      <c r="N807" s="303"/>
      <c r="O807" s="303"/>
      <c r="P807" s="303"/>
      <c r="Q807" s="303"/>
      <c r="R807" s="303"/>
      <c r="S807" s="303"/>
      <c r="T807" s="143"/>
      <c r="U807" s="303"/>
      <c r="V807" s="303"/>
      <c r="W807" s="303"/>
      <c r="X807" s="303"/>
      <c r="Y807" s="303"/>
      <c r="Z807" s="303"/>
      <c r="AA807" s="303"/>
      <c r="AB807" s="143"/>
      <c r="AC807" s="303"/>
      <c r="AD807" s="303"/>
      <c r="AE807" s="303"/>
      <c r="AF807" s="303"/>
      <c r="AG807" s="303"/>
      <c r="AH807" s="303"/>
      <c r="AI807" s="143"/>
      <c r="AJ807" s="125"/>
      <c r="AK807" s="125"/>
      <c r="AL807" s="125"/>
      <c r="AM807" s="125"/>
    </row>
    <row r="808" spans="1:39" ht="12.75" x14ac:dyDescent="0.2">
      <c r="A808" s="303"/>
      <c r="B808" s="303"/>
      <c r="C808" s="303"/>
      <c r="D808" s="143"/>
      <c r="E808" s="303"/>
      <c r="F808" s="303"/>
      <c r="G808" s="303"/>
      <c r="H808" s="303"/>
      <c r="I808" s="303"/>
      <c r="J808" s="303"/>
      <c r="K808" s="303"/>
      <c r="L808" s="143"/>
      <c r="M808" s="303"/>
      <c r="N808" s="303"/>
      <c r="O808" s="303"/>
      <c r="P808" s="303"/>
      <c r="Q808" s="303"/>
      <c r="R808" s="303"/>
      <c r="S808" s="303"/>
      <c r="T808" s="143"/>
      <c r="U808" s="303"/>
      <c r="V808" s="303"/>
      <c r="W808" s="303"/>
      <c r="X808" s="303"/>
      <c r="Y808" s="303"/>
      <c r="Z808" s="303"/>
      <c r="AA808" s="303"/>
      <c r="AB808" s="143"/>
      <c r="AC808" s="303"/>
      <c r="AD808" s="303"/>
      <c r="AE808" s="303"/>
      <c r="AF808" s="303"/>
      <c r="AG808" s="303"/>
      <c r="AH808" s="303"/>
      <c r="AI808" s="143"/>
      <c r="AJ808" s="125"/>
      <c r="AK808" s="125"/>
      <c r="AL808" s="125"/>
      <c r="AM808" s="125"/>
    </row>
    <row r="809" spans="1:39" ht="12.75" x14ac:dyDescent="0.2">
      <c r="A809" s="303"/>
      <c r="B809" s="303"/>
      <c r="C809" s="303"/>
      <c r="D809" s="143"/>
      <c r="E809" s="303"/>
      <c r="F809" s="303"/>
      <c r="G809" s="303"/>
      <c r="H809" s="303"/>
      <c r="I809" s="303"/>
      <c r="J809" s="303"/>
      <c r="K809" s="303"/>
      <c r="L809" s="143"/>
      <c r="M809" s="303"/>
      <c r="N809" s="303"/>
      <c r="O809" s="303"/>
      <c r="P809" s="303"/>
      <c r="Q809" s="303"/>
      <c r="R809" s="303"/>
      <c r="S809" s="303"/>
      <c r="T809" s="143"/>
      <c r="U809" s="303"/>
      <c r="V809" s="303"/>
      <c r="W809" s="303"/>
      <c r="X809" s="303"/>
      <c r="Y809" s="303"/>
      <c r="Z809" s="303"/>
      <c r="AA809" s="303"/>
      <c r="AB809" s="143"/>
      <c r="AC809" s="303"/>
      <c r="AD809" s="303"/>
      <c r="AE809" s="303"/>
      <c r="AF809" s="303"/>
      <c r="AG809" s="303"/>
      <c r="AH809" s="303"/>
      <c r="AI809" s="143"/>
      <c r="AJ809" s="125"/>
      <c r="AK809" s="125"/>
      <c r="AL809" s="125"/>
      <c r="AM809" s="125"/>
    </row>
    <row r="810" spans="1:39" ht="12.75" x14ac:dyDescent="0.2">
      <c r="A810" s="303"/>
      <c r="B810" s="303"/>
      <c r="C810" s="303"/>
      <c r="D810" s="143"/>
      <c r="E810" s="303"/>
      <c r="F810" s="303"/>
      <c r="G810" s="303"/>
      <c r="H810" s="303"/>
      <c r="I810" s="303"/>
      <c r="J810" s="303"/>
      <c r="K810" s="303"/>
      <c r="L810" s="143"/>
      <c r="M810" s="303"/>
      <c r="N810" s="303"/>
      <c r="O810" s="303"/>
      <c r="P810" s="303"/>
      <c r="Q810" s="303"/>
      <c r="R810" s="303"/>
      <c r="S810" s="303"/>
      <c r="T810" s="143"/>
      <c r="U810" s="303"/>
      <c r="V810" s="303"/>
      <c r="W810" s="303"/>
      <c r="X810" s="303"/>
      <c r="Y810" s="303"/>
      <c r="Z810" s="303"/>
      <c r="AA810" s="303"/>
      <c r="AB810" s="143"/>
      <c r="AC810" s="303"/>
      <c r="AD810" s="303"/>
      <c r="AE810" s="303"/>
      <c r="AF810" s="303"/>
      <c r="AG810" s="303"/>
      <c r="AH810" s="303"/>
      <c r="AI810" s="143"/>
      <c r="AJ810" s="125"/>
      <c r="AK810" s="125"/>
      <c r="AL810" s="125"/>
      <c r="AM810" s="125"/>
    </row>
    <row r="811" spans="1:39" ht="12.75" x14ac:dyDescent="0.2">
      <c r="A811" s="303"/>
      <c r="B811" s="303"/>
      <c r="C811" s="303"/>
      <c r="D811" s="143"/>
      <c r="E811" s="303"/>
      <c r="F811" s="303"/>
      <c r="G811" s="303"/>
      <c r="H811" s="303"/>
      <c r="I811" s="303"/>
      <c r="J811" s="303"/>
      <c r="K811" s="303"/>
      <c r="L811" s="143"/>
      <c r="M811" s="303"/>
      <c r="N811" s="303"/>
      <c r="O811" s="303"/>
      <c r="P811" s="303"/>
      <c r="Q811" s="303"/>
      <c r="R811" s="303"/>
      <c r="S811" s="303"/>
      <c r="T811" s="143"/>
      <c r="U811" s="303"/>
      <c r="V811" s="303"/>
      <c r="W811" s="303"/>
      <c r="X811" s="303"/>
      <c r="Y811" s="303"/>
      <c r="Z811" s="303"/>
      <c r="AA811" s="303"/>
      <c r="AB811" s="143"/>
      <c r="AC811" s="303"/>
      <c r="AD811" s="303"/>
      <c r="AE811" s="303"/>
      <c r="AF811" s="303"/>
      <c r="AG811" s="303"/>
      <c r="AH811" s="303"/>
      <c r="AI811" s="143"/>
      <c r="AJ811" s="125"/>
      <c r="AK811" s="125"/>
      <c r="AL811" s="125"/>
      <c r="AM811" s="125"/>
    </row>
    <row r="812" spans="1:39" ht="12.75" x14ac:dyDescent="0.2">
      <c r="A812" s="303"/>
      <c r="B812" s="303"/>
      <c r="C812" s="303"/>
      <c r="D812" s="143"/>
      <c r="E812" s="303"/>
      <c r="F812" s="303"/>
      <c r="G812" s="303"/>
      <c r="H812" s="303"/>
      <c r="I812" s="303"/>
      <c r="J812" s="303"/>
      <c r="K812" s="303"/>
      <c r="L812" s="143"/>
      <c r="M812" s="303"/>
      <c r="N812" s="303"/>
      <c r="O812" s="303"/>
      <c r="P812" s="303"/>
      <c r="Q812" s="303"/>
      <c r="R812" s="303"/>
      <c r="S812" s="303"/>
      <c r="T812" s="143"/>
      <c r="U812" s="303"/>
      <c r="V812" s="303"/>
      <c r="W812" s="303"/>
      <c r="X812" s="303"/>
      <c r="Y812" s="303"/>
      <c r="Z812" s="303"/>
      <c r="AA812" s="303"/>
      <c r="AB812" s="143"/>
      <c r="AC812" s="303"/>
      <c r="AD812" s="303"/>
      <c r="AE812" s="303"/>
      <c r="AF812" s="303"/>
      <c r="AG812" s="303"/>
      <c r="AH812" s="303"/>
      <c r="AI812" s="143"/>
      <c r="AJ812" s="125"/>
      <c r="AK812" s="125"/>
      <c r="AL812" s="125"/>
      <c r="AM812" s="125"/>
    </row>
    <row r="813" spans="1:39" ht="12.75" x14ac:dyDescent="0.2">
      <c r="A813" s="303"/>
      <c r="B813" s="303"/>
      <c r="C813" s="303"/>
      <c r="D813" s="143"/>
      <c r="E813" s="303"/>
      <c r="F813" s="303"/>
      <c r="G813" s="303"/>
      <c r="H813" s="303"/>
      <c r="I813" s="303"/>
      <c r="J813" s="303"/>
      <c r="K813" s="303"/>
      <c r="L813" s="143"/>
      <c r="M813" s="303"/>
      <c r="N813" s="303"/>
      <c r="O813" s="303"/>
      <c r="P813" s="303"/>
      <c r="Q813" s="303"/>
      <c r="R813" s="303"/>
      <c r="S813" s="303"/>
      <c r="T813" s="143"/>
      <c r="U813" s="303"/>
      <c r="V813" s="303"/>
      <c r="W813" s="303"/>
      <c r="X813" s="303"/>
      <c r="Y813" s="303"/>
      <c r="Z813" s="303"/>
      <c r="AA813" s="303"/>
      <c r="AB813" s="143"/>
      <c r="AC813" s="303"/>
      <c r="AD813" s="303"/>
      <c r="AE813" s="303"/>
      <c r="AF813" s="303"/>
      <c r="AG813" s="303"/>
      <c r="AH813" s="303"/>
      <c r="AI813" s="143"/>
      <c r="AJ813" s="125"/>
      <c r="AK813" s="125"/>
      <c r="AL813" s="125"/>
      <c r="AM813" s="125"/>
    </row>
    <row r="814" spans="1:39" ht="12.75" x14ac:dyDescent="0.2">
      <c r="A814" s="303"/>
      <c r="B814" s="303"/>
      <c r="C814" s="303"/>
      <c r="D814" s="143"/>
      <c r="E814" s="303"/>
      <c r="F814" s="303"/>
      <c r="G814" s="303"/>
      <c r="H814" s="303"/>
      <c r="I814" s="303"/>
      <c r="J814" s="303"/>
      <c r="K814" s="303"/>
      <c r="L814" s="143"/>
      <c r="M814" s="303"/>
      <c r="N814" s="303"/>
      <c r="O814" s="303"/>
      <c r="P814" s="303"/>
      <c r="Q814" s="303"/>
      <c r="R814" s="303"/>
      <c r="S814" s="303"/>
      <c r="T814" s="143"/>
      <c r="U814" s="303"/>
      <c r="V814" s="303"/>
      <c r="W814" s="303"/>
      <c r="X814" s="303"/>
      <c r="Y814" s="303"/>
      <c r="Z814" s="303"/>
      <c r="AA814" s="303"/>
      <c r="AB814" s="143"/>
      <c r="AC814" s="303"/>
      <c r="AD814" s="303"/>
      <c r="AE814" s="303"/>
      <c r="AF814" s="303"/>
      <c r="AG814" s="303"/>
      <c r="AH814" s="303"/>
      <c r="AI814" s="143"/>
      <c r="AJ814" s="125"/>
      <c r="AK814" s="125"/>
      <c r="AL814" s="125"/>
      <c r="AM814" s="125"/>
    </row>
    <row r="815" spans="1:39" ht="12.75" x14ac:dyDescent="0.2">
      <c r="A815" s="303"/>
      <c r="B815" s="303"/>
      <c r="C815" s="303"/>
      <c r="D815" s="143"/>
      <c r="E815" s="303"/>
      <c r="F815" s="303"/>
      <c r="G815" s="303"/>
      <c r="H815" s="303"/>
      <c r="I815" s="303"/>
      <c r="J815" s="303"/>
      <c r="K815" s="303"/>
      <c r="L815" s="143"/>
      <c r="M815" s="303"/>
      <c r="N815" s="303"/>
      <c r="O815" s="303"/>
      <c r="P815" s="303"/>
      <c r="Q815" s="303"/>
      <c r="R815" s="303"/>
      <c r="S815" s="303"/>
      <c r="T815" s="143"/>
      <c r="U815" s="303"/>
      <c r="V815" s="303"/>
      <c r="W815" s="303"/>
      <c r="X815" s="303"/>
      <c r="Y815" s="303"/>
      <c r="Z815" s="303"/>
      <c r="AA815" s="303"/>
      <c r="AB815" s="143"/>
      <c r="AC815" s="303"/>
      <c r="AD815" s="303"/>
      <c r="AE815" s="303"/>
      <c r="AF815" s="303"/>
      <c r="AG815" s="303"/>
      <c r="AH815" s="303"/>
      <c r="AI815" s="143"/>
      <c r="AJ815" s="125"/>
      <c r="AK815" s="125"/>
      <c r="AL815" s="125"/>
      <c r="AM815" s="125"/>
    </row>
    <row r="816" spans="1:39" ht="12.75" x14ac:dyDescent="0.2">
      <c r="A816" s="303"/>
      <c r="B816" s="303"/>
      <c r="C816" s="303"/>
      <c r="D816" s="143"/>
      <c r="E816" s="303"/>
      <c r="F816" s="303"/>
      <c r="G816" s="303"/>
      <c r="H816" s="303"/>
      <c r="I816" s="303"/>
      <c r="J816" s="303"/>
      <c r="K816" s="303"/>
      <c r="L816" s="143"/>
      <c r="M816" s="303"/>
      <c r="N816" s="303"/>
      <c r="O816" s="303"/>
      <c r="P816" s="303"/>
      <c r="Q816" s="303"/>
      <c r="R816" s="303"/>
      <c r="S816" s="303"/>
      <c r="T816" s="143"/>
      <c r="U816" s="303"/>
      <c r="V816" s="303"/>
      <c r="W816" s="303"/>
      <c r="X816" s="303"/>
      <c r="Y816" s="303"/>
      <c r="Z816" s="303"/>
      <c r="AA816" s="303"/>
      <c r="AB816" s="143"/>
      <c r="AC816" s="303"/>
      <c r="AD816" s="303"/>
      <c r="AE816" s="303"/>
      <c r="AF816" s="303"/>
      <c r="AG816" s="303"/>
      <c r="AH816" s="303"/>
      <c r="AI816" s="143"/>
      <c r="AJ816" s="125"/>
      <c r="AK816" s="125"/>
      <c r="AL816" s="125"/>
      <c r="AM816" s="125"/>
    </row>
    <row r="817" spans="1:39" ht="12.75" x14ac:dyDescent="0.2">
      <c r="A817" s="303"/>
      <c r="B817" s="303"/>
      <c r="C817" s="303"/>
      <c r="D817" s="143"/>
      <c r="E817" s="303"/>
      <c r="F817" s="303"/>
      <c r="G817" s="303"/>
      <c r="H817" s="303"/>
      <c r="I817" s="303"/>
      <c r="J817" s="303"/>
      <c r="K817" s="303"/>
      <c r="L817" s="143"/>
      <c r="M817" s="303"/>
      <c r="N817" s="303"/>
      <c r="O817" s="303"/>
      <c r="P817" s="303"/>
      <c r="Q817" s="303"/>
      <c r="R817" s="303"/>
      <c r="S817" s="303"/>
      <c r="T817" s="143"/>
      <c r="U817" s="303"/>
      <c r="V817" s="303"/>
      <c r="W817" s="303"/>
      <c r="X817" s="303"/>
      <c r="Y817" s="303"/>
      <c r="Z817" s="303"/>
      <c r="AA817" s="303"/>
      <c r="AB817" s="143"/>
      <c r="AC817" s="303"/>
      <c r="AD817" s="303"/>
      <c r="AE817" s="303"/>
      <c r="AF817" s="303"/>
      <c r="AG817" s="303"/>
      <c r="AH817" s="303"/>
      <c r="AI817" s="143"/>
      <c r="AJ817" s="125"/>
      <c r="AK817" s="125"/>
      <c r="AL817" s="125"/>
      <c r="AM817" s="125"/>
    </row>
    <row r="818" spans="1:39" ht="12.75" x14ac:dyDescent="0.2">
      <c r="A818" s="303"/>
      <c r="B818" s="303"/>
      <c r="C818" s="303"/>
      <c r="D818" s="143"/>
      <c r="E818" s="303"/>
      <c r="F818" s="303"/>
      <c r="G818" s="303"/>
      <c r="H818" s="303"/>
      <c r="I818" s="303"/>
      <c r="J818" s="303"/>
      <c r="K818" s="303"/>
      <c r="L818" s="143"/>
      <c r="M818" s="303"/>
      <c r="N818" s="303"/>
      <c r="O818" s="303"/>
      <c r="P818" s="303"/>
      <c r="Q818" s="303"/>
      <c r="R818" s="303"/>
      <c r="S818" s="303"/>
      <c r="T818" s="143"/>
      <c r="U818" s="303"/>
      <c r="V818" s="303"/>
      <c r="W818" s="303"/>
      <c r="X818" s="303"/>
      <c r="Y818" s="303"/>
      <c r="Z818" s="303"/>
      <c r="AA818" s="303"/>
      <c r="AB818" s="143"/>
      <c r="AC818" s="303"/>
      <c r="AD818" s="303"/>
      <c r="AE818" s="303"/>
      <c r="AF818" s="303"/>
      <c r="AG818" s="303"/>
      <c r="AH818" s="303"/>
      <c r="AI818" s="143"/>
      <c r="AJ818" s="125"/>
      <c r="AK818" s="125"/>
      <c r="AL818" s="125"/>
      <c r="AM818" s="125"/>
    </row>
    <row r="819" spans="1:39" ht="12.75" x14ac:dyDescent="0.2">
      <c r="A819" s="303"/>
      <c r="B819" s="303"/>
      <c r="C819" s="303"/>
      <c r="D819" s="143"/>
      <c r="E819" s="303"/>
      <c r="F819" s="303"/>
      <c r="G819" s="303"/>
      <c r="H819" s="303"/>
      <c r="I819" s="303"/>
      <c r="J819" s="303"/>
      <c r="K819" s="303"/>
      <c r="L819" s="143"/>
      <c r="M819" s="303"/>
      <c r="N819" s="303"/>
      <c r="O819" s="303"/>
      <c r="P819" s="303"/>
      <c r="Q819" s="303"/>
      <c r="R819" s="303"/>
      <c r="S819" s="303"/>
      <c r="T819" s="143"/>
      <c r="U819" s="303"/>
      <c r="V819" s="303"/>
      <c r="W819" s="303"/>
      <c r="X819" s="303"/>
      <c r="Y819" s="303"/>
      <c r="Z819" s="303"/>
      <c r="AA819" s="303"/>
      <c r="AB819" s="143"/>
      <c r="AC819" s="303"/>
      <c r="AD819" s="303"/>
      <c r="AE819" s="303"/>
      <c r="AF819" s="303"/>
      <c r="AG819" s="303"/>
      <c r="AH819" s="303"/>
      <c r="AI819" s="143"/>
      <c r="AJ819" s="125"/>
      <c r="AK819" s="125"/>
      <c r="AL819" s="125"/>
      <c r="AM819" s="125"/>
    </row>
    <row r="820" spans="1:39" ht="12.75" x14ac:dyDescent="0.2">
      <c r="A820" s="303"/>
      <c r="B820" s="303"/>
      <c r="C820" s="303"/>
      <c r="D820" s="143"/>
      <c r="E820" s="303"/>
      <c r="F820" s="303"/>
      <c r="G820" s="303"/>
      <c r="H820" s="303"/>
      <c r="I820" s="303"/>
      <c r="J820" s="303"/>
      <c r="K820" s="303"/>
      <c r="L820" s="143"/>
      <c r="M820" s="303"/>
      <c r="N820" s="303"/>
      <c r="O820" s="303"/>
      <c r="P820" s="303"/>
      <c r="Q820" s="303"/>
      <c r="R820" s="303"/>
      <c r="S820" s="303"/>
      <c r="T820" s="143"/>
      <c r="U820" s="303"/>
      <c r="V820" s="303"/>
      <c r="W820" s="303"/>
      <c r="X820" s="303"/>
      <c r="Y820" s="303"/>
      <c r="Z820" s="303"/>
      <c r="AA820" s="303"/>
      <c r="AB820" s="143"/>
      <c r="AC820" s="303"/>
      <c r="AD820" s="303"/>
      <c r="AE820" s="303"/>
      <c r="AF820" s="303"/>
      <c r="AG820" s="303"/>
      <c r="AH820" s="303"/>
      <c r="AI820" s="143"/>
      <c r="AJ820" s="125"/>
      <c r="AK820" s="125"/>
      <c r="AL820" s="125"/>
      <c r="AM820" s="125"/>
    </row>
    <row r="821" spans="1:39" ht="12.75" x14ac:dyDescent="0.2">
      <c r="A821" s="303"/>
      <c r="B821" s="303"/>
      <c r="C821" s="303"/>
      <c r="D821" s="143"/>
      <c r="E821" s="303"/>
      <c r="F821" s="303"/>
      <c r="G821" s="303"/>
      <c r="H821" s="303"/>
      <c r="I821" s="303"/>
      <c r="J821" s="303"/>
      <c r="K821" s="303"/>
      <c r="L821" s="143"/>
      <c r="M821" s="303"/>
      <c r="N821" s="303"/>
      <c r="O821" s="303"/>
      <c r="P821" s="303"/>
      <c r="Q821" s="303"/>
      <c r="R821" s="303"/>
      <c r="S821" s="303"/>
      <c r="T821" s="143"/>
      <c r="U821" s="303"/>
      <c r="V821" s="303"/>
      <c r="W821" s="303"/>
      <c r="X821" s="303"/>
      <c r="Y821" s="303"/>
      <c r="Z821" s="303"/>
      <c r="AA821" s="303"/>
      <c r="AB821" s="143"/>
      <c r="AC821" s="303"/>
      <c r="AD821" s="303"/>
      <c r="AE821" s="303"/>
      <c r="AF821" s="303"/>
      <c r="AG821" s="303"/>
      <c r="AH821" s="303"/>
      <c r="AI821" s="143"/>
      <c r="AJ821" s="125"/>
      <c r="AK821" s="125"/>
      <c r="AL821" s="125"/>
      <c r="AM821" s="125"/>
    </row>
    <row r="822" spans="1:39" ht="12.75" x14ac:dyDescent="0.2">
      <c r="A822" s="303"/>
      <c r="B822" s="303"/>
      <c r="C822" s="303"/>
      <c r="D822" s="143"/>
      <c r="E822" s="303"/>
      <c r="F822" s="303"/>
      <c r="G822" s="303"/>
      <c r="H822" s="303"/>
      <c r="I822" s="303"/>
      <c r="J822" s="303"/>
      <c r="K822" s="303"/>
      <c r="L822" s="143"/>
      <c r="M822" s="303"/>
      <c r="N822" s="303"/>
      <c r="O822" s="303"/>
      <c r="P822" s="303"/>
      <c r="Q822" s="303"/>
      <c r="R822" s="303"/>
      <c r="S822" s="303"/>
      <c r="T822" s="143"/>
      <c r="U822" s="303"/>
      <c r="V822" s="303"/>
      <c r="W822" s="303"/>
      <c r="X822" s="303"/>
      <c r="Y822" s="303"/>
      <c r="Z822" s="303"/>
      <c r="AA822" s="303"/>
      <c r="AB822" s="143"/>
      <c r="AC822" s="303"/>
      <c r="AD822" s="303"/>
      <c r="AE822" s="303"/>
      <c r="AF822" s="303"/>
      <c r="AG822" s="303"/>
      <c r="AH822" s="303"/>
      <c r="AI822" s="143"/>
      <c r="AJ822" s="125"/>
      <c r="AK822" s="125"/>
      <c r="AL822" s="125"/>
      <c r="AM822" s="125"/>
    </row>
    <row r="823" spans="1:39" ht="12.75" x14ac:dyDescent="0.2">
      <c r="A823" s="303"/>
      <c r="B823" s="303"/>
      <c r="C823" s="303"/>
      <c r="D823" s="143"/>
      <c r="E823" s="303"/>
      <c r="F823" s="303"/>
      <c r="G823" s="303"/>
      <c r="H823" s="303"/>
      <c r="I823" s="303"/>
      <c r="J823" s="303"/>
      <c r="K823" s="303"/>
      <c r="L823" s="143"/>
      <c r="M823" s="303"/>
      <c r="N823" s="303"/>
      <c r="O823" s="303"/>
      <c r="P823" s="303"/>
      <c r="Q823" s="303"/>
      <c r="R823" s="303"/>
      <c r="S823" s="303"/>
      <c r="T823" s="143"/>
      <c r="U823" s="303"/>
      <c r="V823" s="303"/>
      <c r="W823" s="303"/>
      <c r="X823" s="303"/>
      <c r="Y823" s="303"/>
      <c r="Z823" s="303"/>
      <c r="AA823" s="303"/>
      <c r="AB823" s="143"/>
      <c r="AC823" s="303"/>
      <c r="AD823" s="303"/>
      <c r="AE823" s="303"/>
      <c r="AF823" s="303"/>
      <c r="AG823" s="303"/>
      <c r="AH823" s="303"/>
      <c r="AI823" s="143"/>
      <c r="AJ823" s="125"/>
      <c r="AK823" s="125"/>
      <c r="AL823" s="125"/>
      <c r="AM823" s="125"/>
    </row>
    <row r="824" spans="1:39" ht="12.75" x14ac:dyDescent="0.2">
      <c r="A824" s="303"/>
      <c r="B824" s="303"/>
      <c r="C824" s="303"/>
      <c r="D824" s="143"/>
      <c r="E824" s="303"/>
      <c r="F824" s="303"/>
      <c r="G824" s="303"/>
      <c r="H824" s="303"/>
      <c r="I824" s="303"/>
      <c r="J824" s="303"/>
      <c r="K824" s="303"/>
      <c r="L824" s="143"/>
      <c r="M824" s="303"/>
      <c r="N824" s="303"/>
      <c r="O824" s="303"/>
      <c r="P824" s="303"/>
      <c r="Q824" s="303"/>
      <c r="R824" s="303"/>
      <c r="S824" s="303"/>
      <c r="T824" s="143"/>
      <c r="U824" s="303"/>
      <c r="V824" s="303"/>
      <c r="W824" s="303"/>
      <c r="X824" s="303"/>
      <c r="Y824" s="303"/>
      <c r="Z824" s="303"/>
      <c r="AA824" s="303"/>
      <c r="AB824" s="143"/>
      <c r="AC824" s="303"/>
      <c r="AD824" s="303"/>
      <c r="AE824" s="303"/>
      <c r="AF824" s="303"/>
      <c r="AG824" s="303"/>
      <c r="AH824" s="303"/>
      <c r="AI824" s="143"/>
      <c r="AJ824" s="125"/>
      <c r="AK824" s="125"/>
      <c r="AL824" s="125"/>
      <c r="AM824" s="125"/>
    </row>
    <row r="825" spans="1:39" ht="12.75" x14ac:dyDescent="0.2">
      <c r="A825" s="303"/>
      <c r="B825" s="303"/>
      <c r="C825" s="303"/>
      <c r="D825" s="143"/>
      <c r="E825" s="303"/>
      <c r="F825" s="303"/>
      <c r="G825" s="303"/>
      <c r="H825" s="303"/>
      <c r="I825" s="303"/>
      <c r="J825" s="303"/>
      <c r="K825" s="303"/>
      <c r="L825" s="143"/>
      <c r="M825" s="303"/>
      <c r="N825" s="303"/>
      <c r="O825" s="303"/>
      <c r="P825" s="303"/>
      <c r="Q825" s="303"/>
      <c r="R825" s="303"/>
      <c r="S825" s="303"/>
      <c r="T825" s="143"/>
      <c r="U825" s="303"/>
      <c r="V825" s="303"/>
      <c r="W825" s="303"/>
      <c r="X825" s="303"/>
      <c r="Y825" s="303"/>
      <c r="Z825" s="303"/>
      <c r="AA825" s="303"/>
      <c r="AB825" s="143"/>
      <c r="AC825" s="303"/>
      <c r="AD825" s="303"/>
      <c r="AE825" s="303"/>
      <c r="AF825" s="303"/>
      <c r="AG825" s="303"/>
      <c r="AH825" s="303"/>
      <c r="AI825" s="143"/>
      <c r="AJ825" s="125"/>
      <c r="AK825" s="125"/>
      <c r="AL825" s="125"/>
      <c r="AM825" s="125"/>
    </row>
    <row r="826" spans="1:39" ht="12.75" x14ac:dyDescent="0.2">
      <c r="A826" s="303"/>
      <c r="B826" s="303"/>
      <c r="C826" s="303"/>
      <c r="D826" s="143"/>
      <c r="E826" s="303"/>
      <c r="F826" s="303"/>
      <c r="G826" s="303"/>
      <c r="H826" s="303"/>
      <c r="I826" s="303"/>
      <c r="J826" s="303"/>
      <c r="K826" s="303"/>
      <c r="L826" s="143"/>
      <c r="M826" s="303"/>
      <c r="N826" s="303"/>
      <c r="O826" s="303"/>
      <c r="P826" s="303"/>
      <c r="Q826" s="303"/>
      <c r="R826" s="303"/>
      <c r="S826" s="303"/>
      <c r="T826" s="143"/>
      <c r="U826" s="303"/>
      <c r="V826" s="303"/>
      <c r="W826" s="303"/>
      <c r="X826" s="303"/>
      <c r="Y826" s="303"/>
      <c r="Z826" s="303"/>
      <c r="AA826" s="303"/>
      <c r="AB826" s="143"/>
      <c r="AC826" s="303"/>
      <c r="AD826" s="303"/>
      <c r="AE826" s="303"/>
      <c r="AF826" s="303"/>
      <c r="AG826" s="303"/>
      <c r="AH826" s="303"/>
      <c r="AI826" s="143"/>
      <c r="AJ826" s="125"/>
      <c r="AK826" s="125"/>
      <c r="AL826" s="125"/>
      <c r="AM826" s="125"/>
    </row>
    <row r="827" spans="1:39" ht="12.75" x14ac:dyDescent="0.2">
      <c r="A827" s="303"/>
      <c r="B827" s="303"/>
      <c r="C827" s="303"/>
      <c r="D827" s="143"/>
      <c r="E827" s="303"/>
      <c r="F827" s="303"/>
      <c r="G827" s="303"/>
      <c r="H827" s="303"/>
      <c r="I827" s="303"/>
      <c r="J827" s="303"/>
      <c r="K827" s="303"/>
      <c r="L827" s="143"/>
      <c r="M827" s="303"/>
      <c r="N827" s="303"/>
      <c r="O827" s="303"/>
      <c r="P827" s="303"/>
      <c r="Q827" s="303"/>
      <c r="R827" s="303"/>
      <c r="S827" s="303"/>
      <c r="T827" s="143"/>
      <c r="U827" s="303"/>
      <c r="V827" s="303"/>
      <c r="W827" s="303"/>
      <c r="X827" s="303"/>
      <c r="Y827" s="303"/>
      <c r="Z827" s="303"/>
      <c r="AA827" s="303"/>
      <c r="AB827" s="143"/>
      <c r="AC827" s="303"/>
      <c r="AD827" s="303"/>
      <c r="AE827" s="303"/>
      <c r="AF827" s="303"/>
      <c r="AG827" s="303"/>
      <c r="AH827" s="303"/>
      <c r="AI827" s="143"/>
      <c r="AJ827" s="125"/>
      <c r="AK827" s="125"/>
      <c r="AL827" s="125"/>
      <c r="AM827" s="125"/>
    </row>
    <row r="828" spans="1:39" ht="12.75" x14ac:dyDescent="0.2">
      <c r="A828" s="303"/>
      <c r="B828" s="303"/>
      <c r="C828" s="303"/>
      <c r="D828" s="143"/>
      <c r="E828" s="303"/>
      <c r="F828" s="303"/>
      <c r="G828" s="303"/>
      <c r="H828" s="303"/>
      <c r="I828" s="303"/>
      <c r="J828" s="303"/>
      <c r="K828" s="303"/>
      <c r="L828" s="143"/>
      <c r="M828" s="303"/>
      <c r="N828" s="303"/>
      <c r="O828" s="303"/>
      <c r="P828" s="303"/>
      <c r="Q828" s="303"/>
      <c r="R828" s="303"/>
      <c r="S828" s="303"/>
      <c r="T828" s="143"/>
      <c r="U828" s="303"/>
      <c r="V828" s="303"/>
      <c r="W828" s="303"/>
      <c r="X828" s="303"/>
      <c r="Y828" s="303"/>
      <c r="Z828" s="303"/>
      <c r="AA828" s="303"/>
      <c r="AB828" s="143"/>
      <c r="AC828" s="303"/>
      <c r="AD828" s="303"/>
      <c r="AE828" s="303"/>
      <c r="AF828" s="303"/>
      <c r="AG828" s="303"/>
      <c r="AH828" s="303"/>
      <c r="AI828" s="143"/>
      <c r="AJ828" s="125"/>
      <c r="AK828" s="125"/>
      <c r="AL828" s="125"/>
      <c r="AM828" s="125"/>
    </row>
    <row r="829" spans="1:39" ht="12.75" x14ac:dyDescent="0.2">
      <c r="A829" s="303"/>
      <c r="B829" s="303"/>
      <c r="C829" s="303"/>
      <c r="D829" s="143"/>
      <c r="E829" s="303"/>
      <c r="F829" s="303"/>
      <c r="G829" s="303"/>
      <c r="H829" s="303"/>
      <c r="I829" s="303"/>
      <c r="J829" s="303"/>
      <c r="K829" s="303"/>
      <c r="L829" s="143"/>
      <c r="M829" s="303"/>
      <c r="N829" s="303"/>
      <c r="O829" s="303"/>
      <c r="P829" s="303"/>
      <c r="Q829" s="303"/>
      <c r="R829" s="303"/>
      <c r="S829" s="303"/>
      <c r="T829" s="143"/>
      <c r="U829" s="303"/>
      <c r="V829" s="303"/>
      <c r="W829" s="303"/>
      <c r="X829" s="303"/>
      <c r="Y829" s="303"/>
      <c r="Z829" s="303"/>
      <c r="AA829" s="303"/>
      <c r="AB829" s="143"/>
      <c r="AC829" s="303"/>
      <c r="AD829" s="303"/>
      <c r="AE829" s="303"/>
      <c r="AF829" s="303"/>
      <c r="AG829" s="303"/>
      <c r="AH829" s="303"/>
      <c r="AI829" s="143"/>
      <c r="AJ829" s="125"/>
      <c r="AK829" s="125"/>
      <c r="AL829" s="125"/>
      <c r="AM829" s="125"/>
    </row>
    <row r="830" spans="1:39" ht="12.75" x14ac:dyDescent="0.2">
      <c r="A830" s="303"/>
      <c r="B830" s="303"/>
      <c r="C830" s="303"/>
      <c r="D830" s="143"/>
      <c r="E830" s="303"/>
      <c r="F830" s="303"/>
      <c r="G830" s="303"/>
      <c r="H830" s="303"/>
      <c r="I830" s="303"/>
      <c r="J830" s="303"/>
      <c r="K830" s="303"/>
      <c r="L830" s="143"/>
      <c r="M830" s="303"/>
      <c r="N830" s="303"/>
      <c r="O830" s="303"/>
      <c r="P830" s="303"/>
      <c r="Q830" s="303"/>
      <c r="R830" s="303"/>
      <c r="S830" s="303"/>
      <c r="T830" s="143"/>
      <c r="U830" s="303"/>
      <c r="V830" s="303"/>
      <c r="W830" s="303"/>
      <c r="X830" s="303"/>
      <c r="Y830" s="303"/>
      <c r="Z830" s="303"/>
      <c r="AA830" s="303"/>
      <c r="AB830" s="143"/>
      <c r="AC830" s="303"/>
      <c r="AD830" s="303"/>
      <c r="AE830" s="303"/>
      <c r="AF830" s="303"/>
      <c r="AG830" s="303"/>
      <c r="AH830" s="303"/>
      <c r="AI830" s="143"/>
      <c r="AJ830" s="125"/>
      <c r="AK830" s="125"/>
      <c r="AL830" s="125"/>
      <c r="AM830" s="125"/>
    </row>
    <row r="831" spans="1:39" ht="12.75" x14ac:dyDescent="0.2">
      <c r="A831" s="303"/>
      <c r="B831" s="303"/>
      <c r="C831" s="303"/>
      <c r="D831" s="143"/>
      <c r="E831" s="303"/>
      <c r="F831" s="303"/>
      <c r="G831" s="303"/>
      <c r="H831" s="303"/>
      <c r="I831" s="303"/>
      <c r="J831" s="303"/>
      <c r="K831" s="303"/>
      <c r="L831" s="143"/>
      <c r="M831" s="303"/>
      <c r="N831" s="303"/>
      <c r="O831" s="303"/>
      <c r="P831" s="303"/>
      <c r="Q831" s="303"/>
      <c r="R831" s="303"/>
      <c r="S831" s="303"/>
      <c r="T831" s="143"/>
      <c r="U831" s="303"/>
      <c r="V831" s="303"/>
      <c r="W831" s="303"/>
      <c r="X831" s="303"/>
      <c r="Y831" s="303"/>
      <c r="Z831" s="303"/>
      <c r="AA831" s="303"/>
      <c r="AB831" s="143"/>
      <c r="AC831" s="303"/>
      <c r="AD831" s="303"/>
      <c r="AE831" s="303"/>
      <c r="AF831" s="303"/>
      <c r="AG831" s="303"/>
      <c r="AH831" s="303"/>
      <c r="AI831" s="143"/>
      <c r="AJ831" s="125"/>
      <c r="AK831" s="125"/>
      <c r="AL831" s="125"/>
      <c r="AM831" s="125"/>
    </row>
    <row r="832" spans="1:39" ht="12.75" x14ac:dyDescent="0.2">
      <c r="A832" s="303"/>
      <c r="B832" s="303"/>
      <c r="C832" s="303"/>
      <c r="D832" s="143"/>
      <c r="E832" s="303"/>
      <c r="F832" s="303"/>
      <c r="G832" s="303"/>
      <c r="H832" s="303"/>
      <c r="I832" s="303"/>
      <c r="J832" s="303"/>
      <c r="K832" s="303"/>
      <c r="L832" s="143"/>
      <c r="M832" s="303"/>
      <c r="N832" s="303"/>
      <c r="O832" s="303"/>
      <c r="P832" s="303"/>
      <c r="Q832" s="303"/>
      <c r="R832" s="303"/>
      <c r="S832" s="303"/>
      <c r="T832" s="143"/>
      <c r="U832" s="303"/>
      <c r="V832" s="303"/>
      <c r="W832" s="303"/>
      <c r="X832" s="303"/>
      <c r="Y832" s="303"/>
      <c r="Z832" s="303"/>
      <c r="AA832" s="303"/>
      <c r="AB832" s="143"/>
      <c r="AC832" s="303"/>
      <c r="AD832" s="303"/>
      <c r="AE832" s="303"/>
      <c r="AF832" s="303"/>
      <c r="AG832" s="303"/>
      <c r="AH832" s="303"/>
      <c r="AI832" s="143"/>
      <c r="AJ832" s="125"/>
      <c r="AK832" s="125"/>
      <c r="AL832" s="125"/>
      <c r="AM832" s="125"/>
    </row>
    <row r="833" spans="1:39" ht="12.75" x14ac:dyDescent="0.2">
      <c r="A833" s="303"/>
      <c r="B833" s="303"/>
      <c r="C833" s="303"/>
      <c r="D833" s="143"/>
      <c r="E833" s="303"/>
      <c r="F833" s="303"/>
      <c r="G833" s="303"/>
      <c r="H833" s="303"/>
      <c r="I833" s="303"/>
      <c r="J833" s="303"/>
      <c r="K833" s="303"/>
      <c r="L833" s="143"/>
      <c r="M833" s="303"/>
      <c r="N833" s="303"/>
      <c r="O833" s="303"/>
      <c r="P833" s="303"/>
      <c r="Q833" s="303"/>
      <c r="R833" s="303"/>
      <c r="S833" s="303"/>
      <c r="T833" s="143"/>
      <c r="U833" s="303"/>
      <c r="V833" s="303"/>
      <c r="W833" s="303"/>
      <c r="X833" s="303"/>
      <c r="Y833" s="303"/>
      <c r="Z833" s="303"/>
      <c r="AA833" s="303"/>
      <c r="AB833" s="143"/>
      <c r="AC833" s="303"/>
      <c r="AD833" s="303"/>
      <c r="AE833" s="303"/>
      <c r="AF833" s="303"/>
      <c r="AG833" s="303"/>
      <c r="AH833" s="303"/>
      <c r="AI833" s="143"/>
      <c r="AJ833" s="125"/>
      <c r="AK833" s="125"/>
      <c r="AL833" s="125"/>
      <c r="AM833" s="125"/>
    </row>
    <row r="834" spans="1:39" ht="12.75" x14ac:dyDescent="0.2">
      <c r="A834" s="303"/>
      <c r="B834" s="303"/>
      <c r="C834" s="303"/>
      <c r="D834" s="143"/>
      <c r="E834" s="303"/>
      <c r="F834" s="303"/>
      <c r="G834" s="303"/>
      <c r="H834" s="303"/>
      <c r="I834" s="303"/>
      <c r="J834" s="303"/>
      <c r="K834" s="303"/>
      <c r="L834" s="143"/>
      <c r="M834" s="303"/>
      <c r="N834" s="303"/>
      <c r="O834" s="303"/>
      <c r="P834" s="303"/>
      <c r="Q834" s="303"/>
      <c r="R834" s="303"/>
      <c r="S834" s="303"/>
      <c r="T834" s="143"/>
      <c r="U834" s="303"/>
      <c r="V834" s="303"/>
      <c r="W834" s="303"/>
      <c r="X834" s="303"/>
      <c r="Y834" s="303"/>
      <c r="Z834" s="303"/>
      <c r="AA834" s="303"/>
      <c r="AB834" s="143"/>
      <c r="AC834" s="303"/>
      <c r="AD834" s="303"/>
      <c r="AE834" s="303"/>
      <c r="AF834" s="303"/>
      <c r="AG834" s="303"/>
      <c r="AH834" s="303"/>
      <c r="AI834" s="143"/>
      <c r="AJ834" s="125"/>
      <c r="AK834" s="125"/>
      <c r="AL834" s="125"/>
      <c r="AM834" s="125"/>
    </row>
    <row r="835" spans="1:39" ht="12.75" x14ac:dyDescent="0.2">
      <c r="A835" s="303"/>
      <c r="B835" s="303"/>
      <c r="C835" s="303"/>
      <c r="D835" s="143"/>
      <c r="E835" s="303"/>
      <c r="F835" s="303"/>
      <c r="G835" s="303"/>
      <c r="H835" s="303"/>
      <c r="I835" s="303"/>
      <c r="J835" s="303"/>
      <c r="K835" s="303"/>
      <c r="L835" s="143"/>
      <c r="M835" s="303"/>
      <c r="N835" s="303"/>
      <c r="O835" s="303"/>
      <c r="P835" s="303"/>
      <c r="Q835" s="303"/>
      <c r="R835" s="303"/>
      <c r="S835" s="303"/>
      <c r="T835" s="143"/>
      <c r="U835" s="303"/>
      <c r="V835" s="303"/>
      <c r="W835" s="303"/>
      <c r="X835" s="303"/>
      <c r="Y835" s="303"/>
      <c r="Z835" s="303"/>
      <c r="AA835" s="303"/>
      <c r="AB835" s="143"/>
      <c r="AC835" s="303"/>
      <c r="AD835" s="303"/>
      <c r="AE835" s="303"/>
      <c r="AF835" s="303"/>
      <c r="AG835" s="303"/>
      <c r="AH835" s="303"/>
      <c r="AI835" s="143"/>
      <c r="AJ835" s="125"/>
      <c r="AK835" s="125"/>
      <c r="AL835" s="125"/>
      <c r="AM835" s="125"/>
    </row>
    <row r="836" spans="1:39" ht="12.75" x14ac:dyDescent="0.2">
      <c r="A836" s="303"/>
      <c r="B836" s="303"/>
      <c r="C836" s="303"/>
      <c r="D836" s="143"/>
      <c r="E836" s="303"/>
      <c r="F836" s="303"/>
      <c r="G836" s="303"/>
      <c r="H836" s="303"/>
      <c r="I836" s="303"/>
      <c r="J836" s="303"/>
      <c r="K836" s="303"/>
      <c r="L836" s="143"/>
      <c r="M836" s="303"/>
      <c r="N836" s="303"/>
      <c r="O836" s="303"/>
      <c r="P836" s="303"/>
      <c r="Q836" s="303"/>
      <c r="R836" s="303"/>
      <c r="S836" s="303"/>
      <c r="T836" s="143"/>
      <c r="U836" s="303"/>
      <c r="V836" s="303"/>
      <c r="W836" s="303"/>
      <c r="X836" s="303"/>
      <c r="Y836" s="303"/>
      <c r="Z836" s="303"/>
      <c r="AA836" s="303"/>
      <c r="AB836" s="143"/>
      <c r="AC836" s="303"/>
      <c r="AD836" s="303"/>
      <c r="AE836" s="303"/>
      <c r="AF836" s="303"/>
      <c r="AG836" s="303"/>
      <c r="AH836" s="303"/>
      <c r="AI836" s="143"/>
      <c r="AJ836" s="125"/>
      <c r="AK836" s="125"/>
      <c r="AL836" s="125"/>
      <c r="AM836" s="125"/>
    </row>
    <row r="837" spans="1:39" ht="12.75" x14ac:dyDescent="0.2">
      <c r="A837" s="303"/>
      <c r="B837" s="303"/>
      <c r="C837" s="303"/>
      <c r="D837" s="143"/>
      <c r="E837" s="303"/>
      <c r="F837" s="303"/>
      <c r="G837" s="303"/>
      <c r="H837" s="303"/>
      <c r="I837" s="303"/>
      <c r="J837" s="303"/>
      <c r="K837" s="303"/>
      <c r="L837" s="143"/>
      <c r="M837" s="303"/>
      <c r="N837" s="303"/>
      <c r="O837" s="303"/>
      <c r="P837" s="303"/>
      <c r="Q837" s="303"/>
      <c r="R837" s="303"/>
      <c r="S837" s="303"/>
      <c r="T837" s="143"/>
      <c r="U837" s="303"/>
      <c r="V837" s="303"/>
      <c r="W837" s="303"/>
      <c r="X837" s="303"/>
      <c r="Y837" s="303"/>
      <c r="Z837" s="303"/>
      <c r="AA837" s="303"/>
      <c r="AB837" s="143"/>
      <c r="AC837" s="303"/>
      <c r="AD837" s="303"/>
      <c r="AE837" s="303"/>
      <c r="AF837" s="303"/>
      <c r="AG837" s="303"/>
      <c r="AH837" s="303"/>
      <c r="AI837" s="143"/>
      <c r="AJ837" s="125"/>
      <c r="AK837" s="125"/>
      <c r="AL837" s="125"/>
      <c r="AM837" s="125"/>
    </row>
    <row r="838" spans="1:39" ht="12.75" x14ac:dyDescent="0.2">
      <c r="A838" s="303"/>
      <c r="B838" s="303"/>
      <c r="C838" s="303"/>
      <c r="D838" s="143"/>
      <c r="E838" s="303"/>
      <c r="F838" s="303"/>
      <c r="G838" s="303"/>
      <c r="H838" s="303"/>
      <c r="I838" s="303"/>
      <c r="J838" s="303"/>
      <c r="K838" s="303"/>
      <c r="L838" s="143"/>
      <c r="M838" s="303"/>
      <c r="N838" s="303"/>
      <c r="O838" s="303"/>
      <c r="P838" s="303"/>
      <c r="Q838" s="303"/>
      <c r="R838" s="303"/>
      <c r="S838" s="303"/>
      <c r="T838" s="143"/>
      <c r="U838" s="303"/>
      <c r="V838" s="303"/>
      <c r="W838" s="303"/>
      <c r="X838" s="303"/>
      <c r="Y838" s="303"/>
      <c r="Z838" s="303"/>
      <c r="AA838" s="303"/>
      <c r="AB838" s="143"/>
      <c r="AC838" s="303"/>
      <c r="AD838" s="303"/>
      <c r="AE838" s="303"/>
      <c r="AF838" s="303"/>
      <c r="AG838" s="303"/>
      <c r="AH838" s="303"/>
      <c r="AI838" s="143"/>
      <c r="AJ838" s="125"/>
      <c r="AK838" s="125"/>
      <c r="AL838" s="125"/>
      <c r="AM838" s="125"/>
    </row>
    <row r="839" spans="1:39" ht="12.75" x14ac:dyDescent="0.2">
      <c r="A839" s="303"/>
      <c r="B839" s="303"/>
      <c r="C839" s="303"/>
      <c r="D839" s="143"/>
      <c r="E839" s="303"/>
      <c r="F839" s="303"/>
      <c r="G839" s="303"/>
      <c r="H839" s="303"/>
      <c r="I839" s="303"/>
      <c r="J839" s="303"/>
      <c r="K839" s="303"/>
      <c r="L839" s="143"/>
      <c r="M839" s="303"/>
      <c r="N839" s="303"/>
      <c r="O839" s="303"/>
      <c r="P839" s="303"/>
      <c r="Q839" s="303"/>
      <c r="R839" s="303"/>
      <c r="S839" s="303"/>
      <c r="T839" s="143"/>
      <c r="U839" s="303"/>
      <c r="V839" s="303"/>
      <c r="W839" s="303"/>
      <c r="X839" s="303"/>
      <c r="Y839" s="303"/>
      <c r="Z839" s="303"/>
      <c r="AA839" s="303"/>
      <c r="AB839" s="143"/>
      <c r="AC839" s="303"/>
      <c r="AD839" s="303"/>
      <c r="AE839" s="303"/>
      <c r="AF839" s="303"/>
      <c r="AG839" s="303"/>
      <c r="AH839" s="303"/>
      <c r="AI839" s="143"/>
      <c r="AJ839" s="125"/>
      <c r="AK839" s="125"/>
      <c r="AL839" s="125"/>
      <c r="AM839" s="125"/>
    </row>
    <row r="840" spans="1:39" ht="12.75" x14ac:dyDescent="0.2">
      <c r="A840" s="303"/>
      <c r="B840" s="303"/>
      <c r="C840" s="303"/>
      <c r="D840" s="143"/>
      <c r="E840" s="303"/>
      <c r="F840" s="303"/>
      <c r="G840" s="303"/>
      <c r="H840" s="303"/>
      <c r="I840" s="303"/>
      <c r="J840" s="303"/>
      <c r="K840" s="303"/>
      <c r="L840" s="143"/>
      <c r="M840" s="303"/>
      <c r="N840" s="303"/>
      <c r="O840" s="303"/>
      <c r="P840" s="303"/>
      <c r="Q840" s="303"/>
      <c r="R840" s="303"/>
      <c r="S840" s="303"/>
      <c r="T840" s="143"/>
      <c r="U840" s="303"/>
      <c r="V840" s="303"/>
      <c r="W840" s="303"/>
      <c r="X840" s="303"/>
      <c r="Y840" s="303"/>
      <c r="Z840" s="303"/>
      <c r="AA840" s="303"/>
      <c r="AB840" s="143"/>
      <c r="AC840" s="303"/>
      <c r="AD840" s="303"/>
      <c r="AE840" s="303"/>
      <c r="AF840" s="303"/>
      <c r="AG840" s="303"/>
      <c r="AH840" s="303"/>
      <c r="AI840" s="143"/>
      <c r="AJ840" s="125"/>
      <c r="AK840" s="125"/>
      <c r="AL840" s="125"/>
      <c r="AM840" s="125"/>
    </row>
    <row r="841" spans="1:39" ht="12.75" x14ac:dyDescent="0.2">
      <c r="A841" s="303"/>
      <c r="B841" s="303"/>
      <c r="C841" s="303"/>
      <c r="D841" s="143"/>
      <c r="E841" s="303"/>
      <c r="F841" s="303"/>
      <c r="G841" s="303"/>
      <c r="H841" s="303"/>
      <c r="I841" s="303"/>
      <c r="J841" s="303"/>
      <c r="K841" s="303"/>
      <c r="L841" s="143"/>
      <c r="M841" s="303"/>
      <c r="N841" s="303"/>
      <c r="O841" s="303"/>
      <c r="P841" s="303"/>
      <c r="Q841" s="303"/>
      <c r="R841" s="303"/>
      <c r="S841" s="303"/>
      <c r="T841" s="143"/>
      <c r="U841" s="303"/>
      <c r="V841" s="303"/>
      <c r="W841" s="303"/>
      <c r="X841" s="303"/>
      <c r="Y841" s="303"/>
      <c r="Z841" s="303"/>
      <c r="AA841" s="303"/>
      <c r="AB841" s="143"/>
      <c r="AC841" s="303"/>
      <c r="AD841" s="303"/>
      <c r="AE841" s="303"/>
      <c r="AF841" s="303"/>
      <c r="AG841" s="303"/>
      <c r="AH841" s="303"/>
      <c r="AI841" s="143"/>
      <c r="AJ841" s="125"/>
      <c r="AK841" s="125"/>
      <c r="AL841" s="125"/>
      <c r="AM841" s="125"/>
    </row>
    <row r="842" spans="1:39" ht="12.75" x14ac:dyDescent="0.2">
      <c r="A842" s="303"/>
      <c r="B842" s="303"/>
      <c r="C842" s="303"/>
      <c r="D842" s="143"/>
      <c r="E842" s="303"/>
      <c r="F842" s="303"/>
      <c r="G842" s="303"/>
      <c r="H842" s="303"/>
      <c r="I842" s="303"/>
      <c r="J842" s="303"/>
      <c r="K842" s="303"/>
      <c r="L842" s="143"/>
      <c r="M842" s="303"/>
      <c r="N842" s="303"/>
      <c r="O842" s="303"/>
      <c r="P842" s="303"/>
      <c r="Q842" s="303"/>
      <c r="R842" s="303"/>
      <c r="S842" s="303"/>
      <c r="T842" s="143"/>
      <c r="U842" s="303"/>
      <c r="V842" s="303"/>
      <c r="W842" s="303"/>
      <c r="X842" s="303"/>
      <c r="Y842" s="303"/>
      <c r="Z842" s="303"/>
      <c r="AA842" s="303"/>
      <c r="AB842" s="143"/>
      <c r="AC842" s="303"/>
      <c r="AD842" s="303"/>
      <c r="AE842" s="303"/>
      <c r="AF842" s="303"/>
      <c r="AG842" s="303"/>
      <c r="AH842" s="303"/>
      <c r="AI842" s="143"/>
      <c r="AJ842" s="125"/>
      <c r="AK842" s="125"/>
      <c r="AL842" s="125"/>
      <c r="AM842" s="125"/>
    </row>
    <row r="843" spans="1:39" ht="12.75" x14ac:dyDescent="0.2">
      <c r="A843" s="303"/>
      <c r="B843" s="303"/>
      <c r="C843" s="303"/>
      <c r="D843" s="143"/>
      <c r="E843" s="303"/>
      <c r="F843" s="303"/>
      <c r="G843" s="303"/>
      <c r="H843" s="303"/>
      <c r="I843" s="303"/>
      <c r="J843" s="303"/>
      <c r="K843" s="303"/>
      <c r="L843" s="143"/>
      <c r="M843" s="303"/>
      <c r="N843" s="303"/>
      <c r="O843" s="303"/>
      <c r="P843" s="303"/>
      <c r="Q843" s="303"/>
      <c r="R843" s="303"/>
      <c r="S843" s="303"/>
      <c r="T843" s="143"/>
      <c r="U843" s="303"/>
      <c r="V843" s="303"/>
      <c r="W843" s="303"/>
      <c r="X843" s="303"/>
      <c r="Y843" s="303"/>
      <c r="Z843" s="303"/>
      <c r="AA843" s="303"/>
      <c r="AB843" s="143"/>
      <c r="AC843" s="303"/>
      <c r="AD843" s="303"/>
      <c r="AE843" s="303"/>
      <c r="AF843" s="303"/>
      <c r="AG843" s="303"/>
      <c r="AH843" s="303"/>
      <c r="AI843" s="143"/>
      <c r="AJ843" s="125"/>
      <c r="AK843" s="125"/>
      <c r="AL843" s="125"/>
      <c r="AM843" s="125"/>
    </row>
    <row r="844" spans="1:39" ht="12.75" x14ac:dyDescent="0.2">
      <c r="A844" s="303"/>
      <c r="B844" s="303"/>
      <c r="C844" s="303"/>
      <c r="D844" s="143"/>
      <c r="E844" s="303"/>
      <c r="F844" s="303"/>
      <c r="G844" s="303"/>
      <c r="H844" s="303"/>
      <c r="I844" s="303"/>
      <c r="J844" s="303"/>
      <c r="K844" s="303"/>
      <c r="L844" s="143"/>
      <c r="M844" s="303"/>
      <c r="N844" s="303"/>
      <c r="O844" s="303"/>
      <c r="P844" s="303"/>
      <c r="Q844" s="303"/>
      <c r="R844" s="303"/>
      <c r="S844" s="303"/>
      <c r="T844" s="143"/>
      <c r="U844" s="303"/>
      <c r="V844" s="303"/>
      <c r="W844" s="303"/>
      <c r="X844" s="303"/>
      <c r="Y844" s="303"/>
      <c r="Z844" s="303"/>
      <c r="AA844" s="303"/>
      <c r="AB844" s="143"/>
      <c r="AC844" s="303"/>
      <c r="AD844" s="303"/>
      <c r="AE844" s="303"/>
      <c r="AF844" s="303"/>
      <c r="AG844" s="303"/>
      <c r="AH844" s="303"/>
      <c r="AI844" s="143"/>
      <c r="AJ844" s="125"/>
      <c r="AK844" s="125"/>
      <c r="AL844" s="125"/>
      <c r="AM844" s="125"/>
    </row>
    <row r="845" spans="1:39" ht="12.75" x14ac:dyDescent="0.2">
      <c r="A845" s="303"/>
      <c r="B845" s="303"/>
      <c r="C845" s="303"/>
      <c r="D845" s="143"/>
      <c r="E845" s="303"/>
      <c r="F845" s="303"/>
      <c r="G845" s="303"/>
      <c r="H845" s="303"/>
      <c r="I845" s="303"/>
      <c r="J845" s="303"/>
      <c r="K845" s="303"/>
      <c r="L845" s="143"/>
      <c r="M845" s="303"/>
      <c r="N845" s="303"/>
      <c r="O845" s="303"/>
      <c r="P845" s="303"/>
      <c r="Q845" s="303"/>
      <c r="R845" s="303"/>
      <c r="S845" s="303"/>
      <c r="T845" s="143"/>
      <c r="U845" s="303"/>
      <c r="V845" s="303"/>
      <c r="W845" s="303"/>
      <c r="X845" s="303"/>
      <c r="Y845" s="303"/>
      <c r="Z845" s="303"/>
      <c r="AA845" s="303"/>
      <c r="AB845" s="143"/>
      <c r="AC845" s="303"/>
      <c r="AD845" s="303"/>
      <c r="AE845" s="303"/>
      <c r="AF845" s="303"/>
      <c r="AG845" s="303"/>
      <c r="AH845" s="303"/>
      <c r="AI845" s="143"/>
      <c r="AJ845" s="125"/>
      <c r="AK845" s="125"/>
      <c r="AL845" s="125"/>
      <c r="AM845" s="125"/>
    </row>
    <row r="846" spans="1:39" ht="12.75" x14ac:dyDescent="0.2">
      <c r="A846" s="303"/>
      <c r="B846" s="303"/>
      <c r="C846" s="303"/>
      <c r="D846" s="143"/>
      <c r="E846" s="303"/>
      <c r="F846" s="303"/>
      <c r="G846" s="303"/>
      <c r="H846" s="303"/>
      <c r="I846" s="303"/>
      <c r="J846" s="303"/>
      <c r="K846" s="303"/>
      <c r="L846" s="143"/>
      <c r="M846" s="303"/>
      <c r="N846" s="303"/>
      <c r="O846" s="303"/>
      <c r="P846" s="303"/>
      <c r="Q846" s="303"/>
      <c r="R846" s="303"/>
      <c r="S846" s="303"/>
      <c r="T846" s="143"/>
      <c r="U846" s="303"/>
      <c r="V846" s="303"/>
      <c r="W846" s="303"/>
      <c r="X846" s="303"/>
      <c r="Y846" s="303"/>
      <c r="Z846" s="303"/>
      <c r="AA846" s="303"/>
      <c r="AB846" s="143"/>
      <c r="AC846" s="303"/>
      <c r="AD846" s="303"/>
      <c r="AE846" s="303"/>
      <c r="AF846" s="303"/>
      <c r="AG846" s="303"/>
      <c r="AH846" s="303"/>
      <c r="AI846" s="143"/>
      <c r="AJ846" s="125"/>
      <c r="AK846" s="125"/>
      <c r="AL846" s="125"/>
      <c r="AM846" s="125"/>
    </row>
    <row r="847" spans="1:39" ht="12.75" x14ac:dyDescent="0.2">
      <c r="A847" s="303"/>
      <c r="B847" s="303"/>
      <c r="C847" s="303"/>
      <c r="D847" s="143"/>
      <c r="E847" s="303"/>
      <c r="F847" s="303"/>
      <c r="G847" s="303"/>
      <c r="H847" s="303"/>
      <c r="I847" s="303"/>
      <c r="J847" s="303"/>
      <c r="K847" s="303"/>
      <c r="L847" s="143"/>
      <c r="M847" s="303"/>
      <c r="N847" s="303"/>
      <c r="O847" s="303"/>
      <c r="P847" s="303"/>
      <c r="Q847" s="303"/>
      <c r="R847" s="303"/>
      <c r="S847" s="303"/>
      <c r="T847" s="143"/>
      <c r="U847" s="303"/>
      <c r="V847" s="303"/>
      <c r="W847" s="303"/>
      <c r="X847" s="303"/>
      <c r="Y847" s="303"/>
      <c r="Z847" s="303"/>
      <c r="AA847" s="303"/>
      <c r="AB847" s="143"/>
      <c r="AC847" s="303"/>
      <c r="AD847" s="303"/>
      <c r="AE847" s="303"/>
      <c r="AF847" s="303"/>
      <c r="AG847" s="303"/>
      <c r="AH847" s="303"/>
      <c r="AI847" s="143"/>
      <c r="AJ847" s="125"/>
      <c r="AK847" s="125"/>
      <c r="AL847" s="125"/>
      <c r="AM847" s="125"/>
    </row>
    <row r="848" spans="1:39" ht="12.75" x14ac:dyDescent="0.2">
      <c r="A848" s="303"/>
      <c r="B848" s="303"/>
      <c r="C848" s="303"/>
      <c r="D848" s="143"/>
      <c r="E848" s="303"/>
      <c r="F848" s="303"/>
      <c r="G848" s="303"/>
      <c r="H848" s="303"/>
      <c r="I848" s="303"/>
      <c r="J848" s="303"/>
      <c r="K848" s="303"/>
      <c r="L848" s="143"/>
      <c r="M848" s="303"/>
      <c r="N848" s="303"/>
      <c r="O848" s="303"/>
      <c r="P848" s="303"/>
      <c r="Q848" s="303"/>
      <c r="R848" s="303"/>
      <c r="S848" s="303"/>
      <c r="T848" s="143"/>
      <c r="U848" s="303"/>
      <c r="V848" s="303"/>
      <c r="W848" s="303"/>
      <c r="X848" s="303"/>
      <c r="Y848" s="303"/>
      <c r="Z848" s="303"/>
      <c r="AA848" s="303"/>
      <c r="AB848" s="143"/>
      <c r="AC848" s="303"/>
      <c r="AD848" s="303"/>
      <c r="AE848" s="303"/>
      <c r="AF848" s="303"/>
      <c r="AG848" s="303"/>
      <c r="AH848" s="303"/>
      <c r="AI848" s="143"/>
      <c r="AJ848" s="125"/>
      <c r="AK848" s="125"/>
      <c r="AL848" s="125"/>
      <c r="AM848" s="125"/>
    </row>
    <row r="849" spans="1:39" ht="12.75" x14ac:dyDescent="0.2">
      <c r="A849" s="303"/>
      <c r="B849" s="303"/>
      <c r="C849" s="303"/>
      <c r="D849" s="143"/>
      <c r="E849" s="303"/>
      <c r="F849" s="303"/>
      <c r="G849" s="303"/>
      <c r="H849" s="303"/>
      <c r="I849" s="303"/>
      <c r="J849" s="303"/>
      <c r="K849" s="303"/>
      <c r="L849" s="143"/>
      <c r="M849" s="303"/>
      <c r="N849" s="303"/>
      <c r="O849" s="303"/>
      <c r="P849" s="303"/>
      <c r="Q849" s="303"/>
      <c r="R849" s="303"/>
      <c r="S849" s="303"/>
      <c r="T849" s="143"/>
      <c r="U849" s="303"/>
      <c r="V849" s="303"/>
      <c r="W849" s="303"/>
      <c r="X849" s="303"/>
      <c r="Y849" s="303"/>
      <c r="Z849" s="303"/>
      <c r="AA849" s="303"/>
      <c r="AB849" s="143"/>
      <c r="AC849" s="303"/>
      <c r="AD849" s="303"/>
      <c r="AE849" s="303"/>
      <c r="AF849" s="303"/>
      <c r="AG849" s="303"/>
      <c r="AH849" s="303"/>
      <c r="AI849" s="143"/>
      <c r="AJ849" s="125"/>
      <c r="AK849" s="125"/>
      <c r="AL849" s="125"/>
      <c r="AM849" s="125"/>
    </row>
    <row r="850" spans="1:39" ht="12.75" x14ac:dyDescent="0.2">
      <c r="A850" s="303"/>
      <c r="B850" s="303"/>
      <c r="C850" s="303"/>
      <c r="D850" s="143"/>
      <c r="E850" s="303"/>
      <c r="F850" s="303"/>
      <c r="G850" s="303"/>
      <c r="H850" s="303"/>
      <c r="I850" s="303"/>
      <c r="J850" s="303"/>
      <c r="K850" s="303"/>
      <c r="L850" s="143"/>
      <c r="M850" s="303"/>
      <c r="N850" s="303"/>
      <c r="O850" s="303"/>
      <c r="P850" s="303"/>
      <c r="Q850" s="303"/>
      <c r="R850" s="303"/>
      <c r="S850" s="303"/>
      <c r="T850" s="143"/>
      <c r="U850" s="303"/>
      <c r="V850" s="303"/>
      <c r="W850" s="303"/>
      <c r="X850" s="303"/>
      <c r="Y850" s="303"/>
      <c r="Z850" s="303"/>
      <c r="AA850" s="303"/>
      <c r="AB850" s="143"/>
      <c r="AC850" s="303"/>
      <c r="AD850" s="303"/>
      <c r="AE850" s="303"/>
      <c r="AF850" s="303"/>
      <c r="AG850" s="303"/>
      <c r="AH850" s="303"/>
      <c r="AI850" s="143"/>
      <c r="AJ850" s="125"/>
      <c r="AK850" s="125"/>
      <c r="AL850" s="125"/>
      <c r="AM850" s="125"/>
    </row>
    <row r="851" spans="1:39" ht="12.75" x14ac:dyDescent="0.2">
      <c r="A851" s="303"/>
      <c r="B851" s="303"/>
      <c r="C851" s="303"/>
      <c r="D851" s="143"/>
      <c r="E851" s="303"/>
      <c r="F851" s="303"/>
      <c r="G851" s="303"/>
      <c r="H851" s="303"/>
      <c r="I851" s="303"/>
      <c r="J851" s="303"/>
      <c r="K851" s="303"/>
      <c r="L851" s="143"/>
      <c r="M851" s="303"/>
      <c r="N851" s="303"/>
      <c r="O851" s="303"/>
      <c r="P851" s="303"/>
      <c r="Q851" s="303"/>
      <c r="R851" s="303"/>
      <c r="S851" s="303"/>
      <c r="T851" s="143"/>
      <c r="U851" s="303"/>
      <c r="V851" s="303"/>
      <c r="W851" s="303"/>
      <c r="X851" s="303"/>
      <c r="Y851" s="303"/>
      <c r="Z851" s="303"/>
      <c r="AA851" s="303"/>
      <c r="AB851" s="143"/>
      <c r="AC851" s="303"/>
      <c r="AD851" s="303"/>
      <c r="AE851" s="303"/>
      <c r="AF851" s="303"/>
      <c r="AG851" s="303"/>
      <c r="AH851" s="303"/>
      <c r="AI851" s="143"/>
      <c r="AJ851" s="125"/>
      <c r="AK851" s="125"/>
      <c r="AL851" s="125"/>
      <c r="AM851" s="125"/>
    </row>
    <row r="852" spans="1:39" ht="12.75" x14ac:dyDescent="0.2">
      <c r="A852" s="303"/>
      <c r="B852" s="303"/>
      <c r="C852" s="303"/>
      <c r="D852" s="143"/>
      <c r="E852" s="303"/>
      <c r="F852" s="303"/>
      <c r="G852" s="303"/>
      <c r="H852" s="303"/>
      <c r="I852" s="303"/>
      <c r="J852" s="303"/>
      <c r="K852" s="303"/>
      <c r="L852" s="143"/>
      <c r="M852" s="303"/>
      <c r="N852" s="303"/>
      <c r="O852" s="303"/>
      <c r="P852" s="303"/>
      <c r="Q852" s="303"/>
      <c r="R852" s="303"/>
      <c r="S852" s="303"/>
      <c r="T852" s="143"/>
      <c r="U852" s="303"/>
      <c r="V852" s="303"/>
      <c r="W852" s="303"/>
      <c r="X852" s="303"/>
      <c r="Y852" s="303"/>
      <c r="Z852" s="303"/>
      <c r="AA852" s="303"/>
      <c r="AB852" s="143"/>
      <c r="AC852" s="303"/>
      <c r="AD852" s="303"/>
      <c r="AE852" s="303"/>
      <c r="AF852" s="303"/>
      <c r="AG852" s="303"/>
      <c r="AH852" s="303"/>
      <c r="AI852" s="143"/>
      <c r="AJ852" s="125"/>
      <c r="AK852" s="125"/>
      <c r="AL852" s="125"/>
      <c r="AM852" s="125"/>
    </row>
    <row r="853" spans="1:39" ht="12.75" x14ac:dyDescent="0.2">
      <c r="A853" s="303"/>
      <c r="B853" s="303"/>
      <c r="C853" s="303"/>
      <c r="D853" s="143"/>
      <c r="E853" s="303"/>
      <c r="F853" s="303"/>
      <c r="G853" s="303"/>
      <c r="H853" s="303"/>
      <c r="I853" s="303"/>
      <c r="J853" s="303"/>
      <c r="K853" s="303"/>
      <c r="L853" s="143"/>
      <c r="M853" s="303"/>
      <c r="N853" s="303"/>
      <c r="O853" s="303"/>
      <c r="P853" s="303"/>
      <c r="Q853" s="303"/>
      <c r="R853" s="303"/>
      <c r="S853" s="303"/>
      <c r="T853" s="143"/>
      <c r="U853" s="303"/>
      <c r="V853" s="303"/>
      <c r="W853" s="303"/>
      <c r="X853" s="303"/>
      <c r="Y853" s="303"/>
      <c r="Z853" s="303"/>
      <c r="AA853" s="303"/>
      <c r="AB853" s="143"/>
      <c r="AC853" s="303"/>
      <c r="AD853" s="303"/>
      <c r="AE853" s="303"/>
      <c r="AF853" s="303"/>
      <c r="AG853" s="303"/>
      <c r="AH853" s="303"/>
      <c r="AI853" s="143"/>
      <c r="AJ853" s="125"/>
      <c r="AK853" s="125"/>
      <c r="AL853" s="125"/>
      <c r="AM853" s="125"/>
    </row>
    <row r="854" spans="1:39" ht="12.75" x14ac:dyDescent="0.2">
      <c r="A854" s="303"/>
      <c r="B854" s="303"/>
      <c r="C854" s="303"/>
      <c r="D854" s="143"/>
      <c r="E854" s="303"/>
      <c r="F854" s="303"/>
      <c r="G854" s="303"/>
      <c r="H854" s="303"/>
      <c r="I854" s="303"/>
      <c r="J854" s="303"/>
      <c r="K854" s="303"/>
      <c r="L854" s="143"/>
      <c r="M854" s="303"/>
      <c r="N854" s="303"/>
      <c r="O854" s="303"/>
      <c r="P854" s="303"/>
      <c r="Q854" s="303"/>
      <c r="R854" s="303"/>
      <c r="S854" s="303"/>
      <c r="T854" s="143"/>
      <c r="U854" s="303"/>
      <c r="V854" s="303"/>
      <c r="W854" s="303"/>
      <c r="X854" s="303"/>
      <c r="Y854" s="303"/>
      <c r="Z854" s="303"/>
      <c r="AA854" s="303"/>
      <c r="AB854" s="143"/>
      <c r="AC854" s="303"/>
      <c r="AD854" s="303"/>
      <c r="AE854" s="303"/>
      <c r="AF854" s="303"/>
      <c r="AG854" s="303"/>
      <c r="AH854" s="303"/>
      <c r="AI854" s="143"/>
      <c r="AJ854" s="125"/>
      <c r="AK854" s="125"/>
      <c r="AL854" s="125"/>
      <c r="AM854" s="125"/>
    </row>
    <row r="855" spans="1:39" ht="12.75" x14ac:dyDescent="0.2">
      <c r="A855" s="303"/>
      <c r="B855" s="303"/>
      <c r="C855" s="303"/>
      <c r="D855" s="143"/>
      <c r="E855" s="303"/>
      <c r="F855" s="303"/>
      <c r="G855" s="303"/>
      <c r="H855" s="303"/>
      <c r="I855" s="303"/>
      <c r="J855" s="303"/>
      <c r="K855" s="303"/>
      <c r="L855" s="143"/>
      <c r="M855" s="303"/>
      <c r="N855" s="303"/>
      <c r="O855" s="303"/>
      <c r="P855" s="303"/>
      <c r="Q855" s="303"/>
      <c r="R855" s="303"/>
      <c r="S855" s="303"/>
      <c r="T855" s="143"/>
      <c r="U855" s="303"/>
      <c r="V855" s="303"/>
      <c r="W855" s="303"/>
      <c r="X855" s="303"/>
      <c r="Y855" s="303"/>
      <c r="Z855" s="303"/>
      <c r="AA855" s="303"/>
      <c r="AB855" s="143"/>
      <c r="AC855" s="303"/>
      <c r="AD855" s="303"/>
      <c r="AE855" s="303"/>
      <c r="AF855" s="303"/>
      <c r="AG855" s="303"/>
      <c r="AH855" s="303"/>
      <c r="AI855" s="143"/>
      <c r="AJ855" s="125"/>
      <c r="AK855" s="125"/>
      <c r="AL855" s="125"/>
      <c r="AM855" s="125"/>
    </row>
    <row r="856" spans="1:39" ht="12.75" x14ac:dyDescent="0.2">
      <c r="A856" s="303"/>
      <c r="B856" s="303"/>
      <c r="C856" s="303"/>
      <c r="D856" s="143"/>
      <c r="E856" s="303"/>
      <c r="F856" s="303"/>
      <c r="G856" s="303"/>
      <c r="H856" s="303"/>
      <c r="I856" s="303"/>
      <c r="J856" s="303"/>
      <c r="K856" s="303"/>
      <c r="L856" s="143"/>
      <c r="M856" s="303"/>
      <c r="N856" s="303"/>
      <c r="O856" s="303"/>
      <c r="P856" s="303"/>
      <c r="Q856" s="303"/>
      <c r="R856" s="303"/>
      <c r="S856" s="303"/>
      <c r="T856" s="143"/>
      <c r="U856" s="303"/>
      <c r="V856" s="303"/>
      <c r="W856" s="303"/>
      <c r="X856" s="303"/>
      <c r="Y856" s="303"/>
      <c r="Z856" s="303"/>
      <c r="AA856" s="303"/>
      <c r="AB856" s="143"/>
      <c r="AC856" s="303"/>
      <c r="AD856" s="303"/>
      <c r="AE856" s="303"/>
      <c r="AF856" s="303"/>
      <c r="AG856" s="303"/>
      <c r="AH856" s="303"/>
      <c r="AI856" s="143"/>
      <c r="AJ856" s="125"/>
      <c r="AK856" s="125"/>
      <c r="AL856" s="125"/>
      <c r="AM856" s="125"/>
    </row>
    <row r="857" spans="1:39" ht="12.75" x14ac:dyDescent="0.2">
      <c r="A857" s="303"/>
      <c r="B857" s="303"/>
      <c r="C857" s="303"/>
      <c r="D857" s="143"/>
      <c r="E857" s="303"/>
      <c r="F857" s="303"/>
      <c r="G857" s="303"/>
      <c r="H857" s="303"/>
      <c r="I857" s="303"/>
      <c r="J857" s="303"/>
      <c r="K857" s="303"/>
      <c r="L857" s="143"/>
      <c r="M857" s="303"/>
      <c r="N857" s="303"/>
      <c r="O857" s="303"/>
      <c r="P857" s="303"/>
      <c r="Q857" s="303"/>
      <c r="R857" s="303"/>
      <c r="S857" s="303"/>
      <c r="T857" s="143"/>
      <c r="U857" s="303"/>
      <c r="V857" s="303"/>
      <c r="W857" s="303"/>
      <c r="X857" s="303"/>
      <c r="Y857" s="303"/>
      <c r="Z857" s="303"/>
      <c r="AA857" s="303"/>
      <c r="AB857" s="143"/>
      <c r="AC857" s="303"/>
      <c r="AD857" s="303"/>
      <c r="AE857" s="303"/>
      <c r="AF857" s="303"/>
      <c r="AG857" s="303"/>
      <c r="AH857" s="303"/>
      <c r="AI857" s="143"/>
      <c r="AJ857" s="125"/>
      <c r="AK857" s="125"/>
      <c r="AL857" s="125"/>
      <c r="AM857" s="125"/>
    </row>
    <row r="858" spans="1:39" ht="12.75" x14ac:dyDescent="0.2">
      <c r="A858" s="303"/>
      <c r="B858" s="303"/>
      <c r="C858" s="303"/>
      <c r="D858" s="143"/>
      <c r="E858" s="303"/>
      <c r="F858" s="303"/>
      <c r="G858" s="303"/>
      <c r="H858" s="303"/>
      <c r="I858" s="303"/>
      <c r="J858" s="303"/>
      <c r="K858" s="303"/>
      <c r="L858" s="143"/>
      <c r="M858" s="303"/>
      <c r="N858" s="303"/>
      <c r="O858" s="303"/>
      <c r="P858" s="303"/>
      <c r="Q858" s="303"/>
      <c r="R858" s="303"/>
      <c r="S858" s="303"/>
      <c r="T858" s="143"/>
      <c r="U858" s="303"/>
      <c r="V858" s="303"/>
      <c r="W858" s="303"/>
      <c r="X858" s="303"/>
      <c r="Y858" s="303"/>
      <c r="Z858" s="303"/>
      <c r="AA858" s="303"/>
      <c r="AB858" s="143"/>
      <c r="AC858" s="303"/>
      <c r="AD858" s="303"/>
      <c r="AE858" s="303"/>
      <c r="AF858" s="303"/>
      <c r="AG858" s="303"/>
      <c r="AH858" s="303"/>
      <c r="AI858" s="143"/>
      <c r="AJ858" s="125"/>
      <c r="AK858" s="125"/>
      <c r="AL858" s="125"/>
      <c r="AM858" s="125"/>
    </row>
    <row r="859" spans="1:39" ht="12.75" x14ac:dyDescent="0.2">
      <c r="A859" s="303"/>
      <c r="B859" s="303"/>
      <c r="C859" s="303"/>
      <c r="D859" s="143"/>
      <c r="E859" s="303"/>
      <c r="F859" s="303"/>
      <c r="G859" s="303"/>
      <c r="H859" s="303"/>
      <c r="I859" s="303"/>
      <c r="J859" s="303"/>
      <c r="K859" s="303"/>
      <c r="L859" s="143"/>
      <c r="M859" s="303"/>
      <c r="N859" s="303"/>
      <c r="O859" s="303"/>
      <c r="P859" s="303"/>
      <c r="Q859" s="303"/>
      <c r="R859" s="303"/>
      <c r="S859" s="303"/>
      <c r="T859" s="143"/>
      <c r="U859" s="303"/>
      <c r="V859" s="303"/>
      <c r="W859" s="303"/>
      <c r="X859" s="303"/>
      <c r="Y859" s="303"/>
      <c r="Z859" s="303"/>
      <c r="AA859" s="303"/>
      <c r="AB859" s="143"/>
      <c r="AC859" s="303"/>
      <c r="AD859" s="303"/>
      <c r="AE859" s="303"/>
      <c r="AF859" s="303"/>
      <c r="AG859" s="303"/>
      <c r="AH859" s="303"/>
      <c r="AI859" s="143"/>
      <c r="AJ859" s="125"/>
      <c r="AK859" s="125"/>
      <c r="AL859" s="125"/>
      <c r="AM859" s="125"/>
    </row>
    <row r="860" spans="1:39" ht="12.75" x14ac:dyDescent="0.2">
      <c r="A860" s="303"/>
      <c r="B860" s="303"/>
      <c r="C860" s="303"/>
      <c r="D860" s="143"/>
      <c r="E860" s="303"/>
      <c r="F860" s="303"/>
      <c r="G860" s="303"/>
      <c r="H860" s="303"/>
      <c r="I860" s="303"/>
      <c r="J860" s="303"/>
      <c r="K860" s="303"/>
      <c r="L860" s="143"/>
      <c r="M860" s="303"/>
      <c r="N860" s="303"/>
      <c r="O860" s="303"/>
      <c r="P860" s="303"/>
      <c r="Q860" s="303"/>
      <c r="R860" s="303"/>
      <c r="S860" s="303"/>
      <c r="T860" s="143"/>
      <c r="U860" s="303"/>
      <c r="V860" s="303"/>
      <c r="W860" s="303"/>
      <c r="X860" s="303"/>
      <c r="Y860" s="303"/>
      <c r="Z860" s="303"/>
      <c r="AA860" s="303"/>
      <c r="AB860" s="143"/>
      <c r="AC860" s="303"/>
      <c r="AD860" s="303"/>
      <c r="AE860" s="303"/>
      <c r="AF860" s="303"/>
      <c r="AG860" s="303"/>
      <c r="AH860" s="303"/>
      <c r="AI860" s="143"/>
      <c r="AJ860" s="125"/>
      <c r="AK860" s="125"/>
      <c r="AL860" s="125"/>
      <c r="AM860" s="125"/>
    </row>
    <row r="861" spans="1:39" ht="12.75" x14ac:dyDescent="0.2">
      <c r="A861" s="303"/>
      <c r="B861" s="303"/>
      <c r="C861" s="303"/>
      <c r="D861" s="143"/>
      <c r="E861" s="303"/>
      <c r="F861" s="303"/>
      <c r="G861" s="303"/>
      <c r="H861" s="303"/>
      <c r="I861" s="303"/>
      <c r="J861" s="303"/>
      <c r="K861" s="303"/>
      <c r="L861" s="143"/>
      <c r="M861" s="303"/>
      <c r="N861" s="303"/>
      <c r="O861" s="303"/>
      <c r="P861" s="303"/>
      <c r="Q861" s="303"/>
      <c r="R861" s="303"/>
      <c r="S861" s="303"/>
      <c r="T861" s="143"/>
      <c r="U861" s="303"/>
      <c r="V861" s="303"/>
      <c r="W861" s="303"/>
      <c r="X861" s="303"/>
      <c r="Y861" s="303"/>
      <c r="Z861" s="303"/>
      <c r="AA861" s="303"/>
      <c r="AB861" s="143"/>
      <c r="AC861" s="303"/>
      <c r="AD861" s="303"/>
      <c r="AE861" s="303"/>
      <c r="AF861" s="303"/>
      <c r="AG861" s="303"/>
      <c r="AH861" s="303"/>
      <c r="AI861" s="143"/>
      <c r="AJ861" s="125"/>
      <c r="AK861" s="125"/>
      <c r="AL861" s="125"/>
      <c r="AM861" s="125"/>
    </row>
    <row r="862" spans="1:39" ht="12.75" x14ac:dyDescent="0.2">
      <c r="A862" s="303"/>
      <c r="B862" s="303"/>
      <c r="C862" s="303"/>
      <c r="D862" s="143"/>
      <c r="E862" s="303"/>
      <c r="F862" s="303"/>
      <c r="G862" s="303"/>
      <c r="H862" s="303"/>
      <c r="I862" s="303"/>
      <c r="J862" s="303"/>
      <c r="K862" s="303"/>
      <c r="L862" s="143"/>
      <c r="M862" s="303"/>
      <c r="N862" s="303"/>
      <c r="O862" s="303"/>
      <c r="P862" s="303"/>
      <c r="Q862" s="303"/>
      <c r="R862" s="303"/>
      <c r="S862" s="303"/>
      <c r="T862" s="143"/>
      <c r="U862" s="303"/>
      <c r="V862" s="303"/>
      <c r="W862" s="303"/>
      <c r="X862" s="303"/>
      <c r="Y862" s="303"/>
      <c r="Z862" s="303"/>
      <c r="AA862" s="303"/>
      <c r="AB862" s="143"/>
      <c r="AC862" s="303"/>
      <c r="AD862" s="303"/>
      <c r="AE862" s="303"/>
      <c r="AF862" s="303"/>
      <c r="AG862" s="303"/>
      <c r="AH862" s="303"/>
      <c r="AI862" s="143"/>
      <c r="AJ862" s="125"/>
      <c r="AK862" s="125"/>
      <c r="AL862" s="125"/>
      <c r="AM862" s="125"/>
    </row>
    <row r="863" spans="1:39" ht="12.75" x14ac:dyDescent="0.2">
      <c r="A863" s="303"/>
      <c r="B863" s="303"/>
      <c r="C863" s="303"/>
      <c r="D863" s="143"/>
      <c r="E863" s="303"/>
      <c r="F863" s="303"/>
      <c r="G863" s="303"/>
      <c r="H863" s="303"/>
      <c r="I863" s="303"/>
      <c r="J863" s="303"/>
      <c r="K863" s="303"/>
      <c r="L863" s="143"/>
      <c r="M863" s="303"/>
      <c r="N863" s="303"/>
      <c r="O863" s="303"/>
      <c r="P863" s="303"/>
      <c r="Q863" s="303"/>
      <c r="R863" s="303"/>
      <c r="S863" s="303"/>
      <c r="T863" s="143"/>
      <c r="U863" s="303"/>
      <c r="V863" s="303"/>
      <c r="W863" s="303"/>
      <c r="X863" s="303"/>
      <c r="Y863" s="303"/>
      <c r="Z863" s="303"/>
      <c r="AA863" s="303"/>
      <c r="AB863" s="143"/>
      <c r="AC863" s="303"/>
      <c r="AD863" s="303"/>
      <c r="AE863" s="303"/>
      <c r="AF863" s="303"/>
      <c r="AG863" s="303"/>
      <c r="AH863" s="303"/>
      <c r="AI863" s="143"/>
      <c r="AJ863" s="125"/>
      <c r="AK863" s="125"/>
      <c r="AL863" s="125"/>
      <c r="AM863" s="125"/>
    </row>
    <row r="864" spans="1:39" ht="12.75" x14ac:dyDescent="0.2">
      <c r="A864" s="303"/>
      <c r="B864" s="303"/>
      <c r="C864" s="303"/>
      <c r="D864" s="143"/>
      <c r="E864" s="303"/>
      <c r="F864" s="303"/>
      <c r="G864" s="303"/>
      <c r="H864" s="303"/>
      <c r="I864" s="303"/>
      <c r="J864" s="303"/>
      <c r="K864" s="303"/>
      <c r="L864" s="143"/>
      <c r="M864" s="303"/>
      <c r="N864" s="303"/>
      <c r="O864" s="303"/>
      <c r="P864" s="303"/>
      <c r="Q864" s="303"/>
      <c r="R864" s="303"/>
      <c r="S864" s="303"/>
      <c r="T864" s="143"/>
      <c r="U864" s="303"/>
      <c r="V864" s="303"/>
      <c r="W864" s="303"/>
      <c r="X864" s="303"/>
      <c r="Y864" s="303"/>
      <c r="Z864" s="303"/>
      <c r="AA864" s="303"/>
      <c r="AB864" s="143"/>
      <c r="AC864" s="303"/>
      <c r="AD864" s="303"/>
      <c r="AE864" s="303"/>
      <c r="AF864" s="303"/>
      <c r="AG864" s="303"/>
      <c r="AH864" s="303"/>
      <c r="AI864" s="143"/>
      <c r="AJ864" s="125"/>
      <c r="AK864" s="125"/>
      <c r="AL864" s="125"/>
      <c r="AM864" s="125"/>
    </row>
    <row r="865" spans="1:39" ht="12.75" x14ac:dyDescent="0.2">
      <c r="A865" s="303"/>
      <c r="B865" s="303"/>
      <c r="C865" s="303"/>
      <c r="D865" s="143"/>
      <c r="E865" s="303"/>
      <c r="F865" s="303"/>
      <c r="G865" s="303"/>
      <c r="H865" s="303"/>
      <c r="I865" s="303"/>
      <c r="J865" s="303"/>
      <c r="K865" s="303"/>
      <c r="L865" s="143"/>
      <c r="M865" s="303"/>
      <c r="N865" s="303"/>
      <c r="O865" s="303"/>
      <c r="P865" s="303"/>
      <c r="Q865" s="303"/>
      <c r="R865" s="303"/>
      <c r="S865" s="303"/>
      <c r="T865" s="143"/>
      <c r="U865" s="303"/>
      <c r="V865" s="303"/>
      <c r="W865" s="303"/>
      <c r="X865" s="303"/>
      <c r="Y865" s="303"/>
      <c r="Z865" s="303"/>
      <c r="AA865" s="303"/>
      <c r="AB865" s="143"/>
      <c r="AC865" s="303"/>
      <c r="AD865" s="303"/>
      <c r="AE865" s="303"/>
      <c r="AF865" s="303"/>
      <c r="AG865" s="303"/>
      <c r="AH865" s="303"/>
      <c r="AI865" s="143"/>
      <c r="AJ865" s="125"/>
      <c r="AK865" s="125"/>
      <c r="AL865" s="125"/>
      <c r="AM865" s="125"/>
    </row>
    <row r="866" spans="1:39" ht="12.75" x14ac:dyDescent="0.2">
      <c r="A866" s="303"/>
      <c r="B866" s="303"/>
      <c r="C866" s="303"/>
      <c r="D866" s="143"/>
      <c r="E866" s="303"/>
      <c r="F866" s="303"/>
      <c r="G866" s="303"/>
      <c r="H866" s="303"/>
      <c r="I866" s="303"/>
      <c r="J866" s="303"/>
      <c r="K866" s="303"/>
      <c r="L866" s="143"/>
      <c r="M866" s="303"/>
      <c r="N866" s="303"/>
      <c r="O866" s="303"/>
      <c r="P866" s="303"/>
      <c r="Q866" s="303"/>
      <c r="R866" s="303"/>
      <c r="S866" s="303"/>
      <c r="T866" s="143"/>
      <c r="U866" s="303"/>
      <c r="V866" s="303"/>
      <c r="W866" s="303"/>
      <c r="X866" s="303"/>
      <c r="Y866" s="303"/>
      <c r="Z866" s="303"/>
      <c r="AA866" s="303"/>
      <c r="AB866" s="143"/>
      <c r="AC866" s="303"/>
      <c r="AD866" s="303"/>
      <c r="AE866" s="303"/>
      <c r="AF866" s="303"/>
      <c r="AG866" s="303"/>
      <c r="AH866" s="303"/>
      <c r="AI866" s="143"/>
      <c r="AJ866" s="125"/>
      <c r="AK866" s="125"/>
      <c r="AL866" s="125"/>
      <c r="AM866" s="125"/>
    </row>
    <row r="867" spans="1:39" ht="12.75" x14ac:dyDescent="0.2">
      <c r="A867" s="303"/>
      <c r="B867" s="303"/>
      <c r="C867" s="303"/>
      <c r="D867" s="143"/>
      <c r="E867" s="303"/>
      <c r="F867" s="303"/>
      <c r="G867" s="303"/>
      <c r="H867" s="303"/>
      <c r="I867" s="303"/>
      <c r="J867" s="303"/>
      <c r="K867" s="303"/>
      <c r="L867" s="143"/>
      <c r="M867" s="303"/>
      <c r="N867" s="303"/>
      <c r="O867" s="303"/>
      <c r="P867" s="303"/>
      <c r="Q867" s="303"/>
      <c r="R867" s="303"/>
      <c r="S867" s="303"/>
      <c r="T867" s="143"/>
      <c r="U867" s="303"/>
      <c r="V867" s="303"/>
      <c r="W867" s="303"/>
      <c r="X867" s="303"/>
      <c r="Y867" s="303"/>
      <c r="Z867" s="303"/>
      <c r="AA867" s="303"/>
      <c r="AB867" s="143"/>
      <c r="AC867" s="303"/>
      <c r="AD867" s="303"/>
      <c r="AE867" s="303"/>
      <c r="AF867" s="303"/>
      <c r="AG867" s="303"/>
      <c r="AH867" s="303"/>
      <c r="AI867" s="143"/>
      <c r="AJ867" s="125"/>
      <c r="AK867" s="125"/>
      <c r="AL867" s="125"/>
      <c r="AM867" s="125"/>
    </row>
    <row r="868" spans="1:39" ht="12.75" x14ac:dyDescent="0.2">
      <c r="A868" s="303"/>
      <c r="B868" s="303"/>
      <c r="C868" s="303"/>
      <c r="D868" s="143"/>
      <c r="E868" s="303"/>
      <c r="F868" s="303"/>
      <c r="G868" s="303"/>
      <c r="H868" s="303"/>
      <c r="I868" s="303"/>
      <c r="J868" s="303"/>
      <c r="K868" s="303"/>
      <c r="L868" s="143"/>
      <c r="M868" s="303"/>
      <c r="N868" s="303"/>
      <c r="O868" s="303"/>
      <c r="P868" s="303"/>
      <c r="Q868" s="303"/>
      <c r="R868" s="303"/>
      <c r="S868" s="303"/>
      <c r="T868" s="143"/>
      <c r="U868" s="303"/>
      <c r="V868" s="303"/>
      <c r="W868" s="303"/>
      <c r="X868" s="303"/>
      <c r="Y868" s="303"/>
      <c r="Z868" s="303"/>
      <c r="AA868" s="303"/>
      <c r="AB868" s="143"/>
      <c r="AC868" s="303"/>
      <c r="AD868" s="303"/>
      <c r="AE868" s="303"/>
      <c r="AF868" s="303"/>
      <c r="AG868" s="303"/>
      <c r="AH868" s="303"/>
      <c r="AI868" s="143"/>
      <c r="AJ868" s="125"/>
      <c r="AK868" s="125"/>
      <c r="AL868" s="125"/>
      <c r="AM868" s="125"/>
    </row>
    <row r="869" spans="1:39" ht="12.75" x14ac:dyDescent="0.2">
      <c r="A869" s="303"/>
      <c r="B869" s="303"/>
      <c r="C869" s="303"/>
      <c r="D869" s="143"/>
      <c r="E869" s="303"/>
      <c r="F869" s="303"/>
      <c r="G869" s="303"/>
      <c r="H869" s="303"/>
      <c r="I869" s="303"/>
      <c r="J869" s="303"/>
      <c r="K869" s="303"/>
      <c r="L869" s="143"/>
      <c r="M869" s="303"/>
      <c r="N869" s="303"/>
      <c r="O869" s="303"/>
      <c r="P869" s="303"/>
      <c r="Q869" s="303"/>
      <c r="R869" s="303"/>
      <c r="S869" s="303"/>
      <c r="T869" s="143"/>
      <c r="U869" s="303"/>
      <c r="V869" s="303"/>
      <c r="W869" s="303"/>
      <c r="X869" s="303"/>
      <c r="Y869" s="303"/>
      <c r="Z869" s="303"/>
      <c r="AA869" s="303"/>
      <c r="AB869" s="143"/>
      <c r="AC869" s="303"/>
      <c r="AD869" s="303"/>
      <c r="AE869" s="303"/>
      <c r="AF869" s="303"/>
      <c r="AG869" s="303"/>
      <c r="AH869" s="303"/>
      <c r="AI869" s="143"/>
      <c r="AJ869" s="125"/>
      <c r="AK869" s="125"/>
      <c r="AL869" s="125"/>
      <c r="AM869" s="125"/>
    </row>
    <row r="870" spans="1:39" ht="12.75" x14ac:dyDescent="0.2">
      <c r="A870" s="303"/>
      <c r="B870" s="303"/>
      <c r="C870" s="303"/>
      <c r="D870" s="143"/>
      <c r="E870" s="303"/>
      <c r="F870" s="303"/>
      <c r="G870" s="303"/>
      <c r="H870" s="303"/>
      <c r="I870" s="303"/>
      <c r="J870" s="303"/>
      <c r="K870" s="303"/>
      <c r="L870" s="143"/>
      <c r="M870" s="303"/>
      <c r="N870" s="303"/>
      <c r="O870" s="303"/>
      <c r="P870" s="303"/>
      <c r="Q870" s="303"/>
      <c r="R870" s="303"/>
      <c r="S870" s="303"/>
      <c r="T870" s="143"/>
      <c r="U870" s="303"/>
      <c r="V870" s="303"/>
      <c r="W870" s="303"/>
      <c r="X870" s="303"/>
      <c r="Y870" s="303"/>
      <c r="Z870" s="303"/>
      <c r="AA870" s="303"/>
      <c r="AB870" s="143"/>
      <c r="AC870" s="303"/>
      <c r="AD870" s="303"/>
      <c r="AE870" s="303"/>
      <c r="AF870" s="303"/>
      <c r="AG870" s="303"/>
      <c r="AH870" s="303"/>
      <c r="AI870" s="143"/>
      <c r="AJ870" s="125"/>
      <c r="AK870" s="125"/>
      <c r="AL870" s="125"/>
      <c r="AM870" s="125"/>
    </row>
    <row r="871" spans="1:39" ht="12.75" x14ac:dyDescent="0.2">
      <c r="A871" s="303"/>
      <c r="B871" s="303"/>
      <c r="C871" s="303"/>
      <c r="D871" s="143"/>
      <c r="E871" s="303"/>
      <c r="F871" s="303"/>
      <c r="G871" s="303"/>
      <c r="H871" s="303"/>
      <c r="I871" s="303"/>
      <c r="J871" s="303"/>
      <c r="K871" s="303"/>
      <c r="L871" s="143"/>
      <c r="M871" s="303"/>
      <c r="N871" s="303"/>
      <c r="O871" s="303"/>
      <c r="P871" s="303"/>
      <c r="Q871" s="303"/>
      <c r="R871" s="303"/>
      <c r="S871" s="303"/>
      <c r="T871" s="143"/>
      <c r="U871" s="303"/>
      <c r="V871" s="303"/>
      <c r="W871" s="303"/>
      <c r="X871" s="303"/>
      <c r="Y871" s="303"/>
      <c r="Z871" s="303"/>
      <c r="AA871" s="303"/>
      <c r="AB871" s="143"/>
      <c r="AC871" s="303"/>
      <c r="AD871" s="303"/>
      <c r="AE871" s="303"/>
      <c r="AF871" s="303"/>
      <c r="AG871" s="303"/>
      <c r="AH871" s="303"/>
      <c r="AI871" s="143"/>
      <c r="AJ871" s="125"/>
      <c r="AK871" s="125"/>
      <c r="AL871" s="125"/>
      <c r="AM871" s="125"/>
    </row>
    <row r="872" spans="1:39" ht="12.75" x14ac:dyDescent="0.2">
      <c r="A872" s="303"/>
      <c r="B872" s="303"/>
      <c r="C872" s="303"/>
      <c r="D872" s="143"/>
      <c r="E872" s="303"/>
      <c r="F872" s="303"/>
      <c r="G872" s="303"/>
      <c r="H872" s="303"/>
      <c r="I872" s="303"/>
      <c r="J872" s="303"/>
      <c r="K872" s="303"/>
      <c r="L872" s="143"/>
      <c r="M872" s="303"/>
      <c r="N872" s="303"/>
      <c r="O872" s="303"/>
      <c r="P872" s="303"/>
      <c r="Q872" s="303"/>
      <c r="R872" s="303"/>
      <c r="S872" s="303"/>
      <c r="T872" s="143"/>
      <c r="U872" s="303"/>
      <c r="V872" s="303"/>
      <c r="W872" s="303"/>
      <c r="X872" s="303"/>
      <c r="Y872" s="303"/>
      <c r="Z872" s="303"/>
      <c r="AA872" s="303"/>
      <c r="AB872" s="143"/>
      <c r="AC872" s="303"/>
      <c r="AD872" s="303"/>
      <c r="AE872" s="303"/>
      <c r="AF872" s="303"/>
      <c r="AG872" s="303"/>
      <c r="AH872" s="303"/>
      <c r="AI872" s="143"/>
      <c r="AJ872" s="125"/>
      <c r="AK872" s="125"/>
      <c r="AL872" s="125"/>
      <c r="AM872" s="125"/>
    </row>
    <row r="873" spans="1:39" ht="12.75" x14ac:dyDescent="0.2">
      <c r="A873" s="303"/>
      <c r="B873" s="303"/>
      <c r="C873" s="303"/>
      <c r="D873" s="143"/>
      <c r="E873" s="303"/>
      <c r="F873" s="303"/>
      <c r="G873" s="303"/>
      <c r="H873" s="303"/>
      <c r="I873" s="303"/>
      <c r="J873" s="303"/>
      <c r="K873" s="303"/>
      <c r="L873" s="143"/>
      <c r="M873" s="303"/>
      <c r="N873" s="303"/>
      <c r="O873" s="303"/>
      <c r="P873" s="303"/>
      <c r="Q873" s="303"/>
      <c r="R873" s="303"/>
      <c r="S873" s="303"/>
      <c r="T873" s="143"/>
      <c r="U873" s="303"/>
      <c r="V873" s="303"/>
      <c r="W873" s="303"/>
      <c r="X873" s="303"/>
      <c r="Y873" s="303"/>
      <c r="Z873" s="303"/>
      <c r="AA873" s="303"/>
      <c r="AB873" s="143"/>
      <c r="AC873" s="303"/>
      <c r="AD873" s="303"/>
      <c r="AE873" s="303"/>
      <c r="AF873" s="303"/>
      <c r="AG873" s="303"/>
      <c r="AH873" s="303"/>
      <c r="AI873" s="143"/>
      <c r="AJ873" s="125"/>
      <c r="AK873" s="125"/>
      <c r="AL873" s="125"/>
      <c r="AM873" s="125"/>
    </row>
    <row r="874" spans="1:39" ht="12.75" x14ac:dyDescent="0.2">
      <c r="A874" s="303"/>
      <c r="B874" s="303"/>
      <c r="C874" s="303"/>
      <c r="D874" s="143"/>
      <c r="E874" s="303"/>
      <c r="F874" s="303"/>
      <c r="G874" s="303"/>
      <c r="H874" s="303"/>
      <c r="I874" s="303"/>
      <c r="J874" s="303"/>
      <c r="K874" s="303"/>
      <c r="L874" s="143"/>
      <c r="M874" s="303"/>
      <c r="N874" s="303"/>
      <c r="O874" s="303"/>
      <c r="P874" s="303"/>
      <c r="Q874" s="303"/>
      <c r="R874" s="303"/>
      <c r="S874" s="303"/>
      <c r="T874" s="143"/>
      <c r="U874" s="303"/>
      <c r="V874" s="303"/>
      <c r="W874" s="303"/>
      <c r="X874" s="303"/>
      <c r="Y874" s="303"/>
      <c r="Z874" s="303"/>
      <c r="AA874" s="303"/>
      <c r="AB874" s="143"/>
      <c r="AC874" s="303"/>
      <c r="AD874" s="303"/>
      <c r="AE874" s="303"/>
      <c r="AF874" s="303"/>
      <c r="AG874" s="303"/>
      <c r="AH874" s="303"/>
      <c r="AI874" s="143"/>
      <c r="AJ874" s="125"/>
      <c r="AK874" s="125"/>
      <c r="AL874" s="125"/>
      <c r="AM874" s="125"/>
    </row>
    <row r="875" spans="1:39" ht="12.75" x14ac:dyDescent="0.2">
      <c r="A875" s="303"/>
      <c r="B875" s="303"/>
      <c r="C875" s="303"/>
      <c r="D875" s="143"/>
      <c r="E875" s="303"/>
      <c r="F875" s="303"/>
      <c r="G875" s="303"/>
      <c r="H875" s="303"/>
      <c r="I875" s="303"/>
      <c r="J875" s="303"/>
      <c r="K875" s="303"/>
      <c r="L875" s="143"/>
      <c r="M875" s="303"/>
      <c r="N875" s="303"/>
      <c r="O875" s="303"/>
      <c r="P875" s="303"/>
      <c r="Q875" s="303"/>
      <c r="R875" s="303"/>
      <c r="S875" s="303"/>
      <c r="T875" s="143"/>
      <c r="U875" s="303"/>
      <c r="V875" s="303"/>
      <c r="W875" s="303"/>
      <c r="X875" s="303"/>
      <c r="Y875" s="303"/>
      <c r="Z875" s="303"/>
      <c r="AA875" s="303"/>
      <c r="AB875" s="143"/>
      <c r="AC875" s="303"/>
      <c r="AD875" s="303"/>
      <c r="AE875" s="303"/>
      <c r="AF875" s="303"/>
      <c r="AG875" s="303"/>
      <c r="AH875" s="303"/>
      <c r="AI875" s="143"/>
      <c r="AJ875" s="125"/>
      <c r="AK875" s="125"/>
      <c r="AL875" s="125"/>
      <c r="AM875" s="125"/>
    </row>
    <row r="876" spans="1:39" ht="12.75" x14ac:dyDescent="0.2">
      <c r="A876" s="303"/>
      <c r="B876" s="303"/>
      <c r="C876" s="303"/>
      <c r="D876" s="143"/>
      <c r="E876" s="303"/>
      <c r="F876" s="303"/>
      <c r="G876" s="303"/>
      <c r="H876" s="303"/>
      <c r="I876" s="303"/>
      <c r="J876" s="303"/>
      <c r="K876" s="303"/>
      <c r="L876" s="143"/>
      <c r="M876" s="303"/>
      <c r="N876" s="303"/>
      <c r="O876" s="303"/>
      <c r="P876" s="303"/>
      <c r="Q876" s="303"/>
      <c r="R876" s="303"/>
      <c r="S876" s="303"/>
      <c r="T876" s="143"/>
      <c r="U876" s="303"/>
      <c r="V876" s="303"/>
      <c r="W876" s="303"/>
      <c r="X876" s="303"/>
      <c r="Y876" s="303"/>
      <c r="Z876" s="303"/>
      <c r="AA876" s="303"/>
      <c r="AB876" s="143"/>
      <c r="AC876" s="303"/>
      <c r="AD876" s="303"/>
      <c r="AE876" s="303"/>
      <c r="AF876" s="303"/>
      <c r="AG876" s="303"/>
      <c r="AH876" s="303"/>
      <c r="AI876" s="143"/>
      <c r="AJ876" s="125"/>
      <c r="AK876" s="125"/>
      <c r="AL876" s="125"/>
      <c r="AM876" s="125"/>
    </row>
    <row r="877" spans="1:39" ht="12.75" x14ac:dyDescent="0.2">
      <c r="A877" s="303"/>
      <c r="B877" s="303"/>
      <c r="C877" s="303"/>
      <c r="D877" s="143"/>
      <c r="E877" s="303"/>
      <c r="F877" s="303"/>
      <c r="G877" s="303"/>
      <c r="H877" s="303"/>
      <c r="I877" s="303"/>
      <c r="J877" s="303"/>
      <c r="K877" s="303"/>
      <c r="L877" s="143"/>
      <c r="M877" s="303"/>
      <c r="N877" s="303"/>
      <c r="O877" s="303"/>
      <c r="P877" s="303"/>
      <c r="Q877" s="303"/>
      <c r="R877" s="303"/>
      <c r="S877" s="303"/>
      <c r="T877" s="143"/>
      <c r="U877" s="303"/>
      <c r="V877" s="303"/>
      <c r="W877" s="303"/>
      <c r="X877" s="303"/>
      <c r="Y877" s="303"/>
      <c r="Z877" s="303"/>
      <c r="AA877" s="303"/>
      <c r="AB877" s="143"/>
      <c r="AC877" s="303"/>
      <c r="AD877" s="303"/>
      <c r="AE877" s="303"/>
      <c r="AF877" s="303"/>
      <c r="AG877" s="303"/>
      <c r="AH877" s="303"/>
      <c r="AI877" s="143"/>
      <c r="AJ877" s="125"/>
      <c r="AK877" s="125"/>
      <c r="AL877" s="125"/>
      <c r="AM877" s="125"/>
    </row>
    <row r="878" spans="1:39" ht="12.75" x14ac:dyDescent="0.2">
      <c r="A878" s="303"/>
      <c r="B878" s="303"/>
      <c r="C878" s="303"/>
      <c r="D878" s="143"/>
      <c r="E878" s="303"/>
      <c r="F878" s="303"/>
      <c r="G878" s="303"/>
      <c r="H878" s="303"/>
      <c r="I878" s="303"/>
      <c r="J878" s="303"/>
      <c r="K878" s="303"/>
      <c r="L878" s="143"/>
      <c r="M878" s="303"/>
      <c r="N878" s="303"/>
      <c r="O878" s="303"/>
      <c r="P878" s="303"/>
      <c r="Q878" s="303"/>
      <c r="R878" s="303"/>
      <c r="S878" s="303"/>
      <c r="T878" s="143"/>
      <c r="U878" s="303"/>
      <c r="V878" s="303"/>
      <c r="W878" s="303"/>
      <c r="X878" s="303"/>
      <c r="Y878" s="303"/>
      <c r="Z878" s="303"/>
      <c r="AA878" s="303"/>
      <c r="AB878" s="143"/>
      <c r="AC878" s="303"/>
      <c r="AD878" s="303"/>
      <c r="AE878" s="303"/>
      <c r="AF878" s="303"/>
      <c r="AG878" s="303"/>
      <c r="AH878" s="303"/>
      <c r="AI878" s="143"/>
      <c r="AJ878" s="125"/>
      <c r="AK878" s="125"/>
      <c r="AL878" s="125"/>
      <c r="AM878" s="125"/>
    </row>
    <row r="879" spans="1:39" ht="12.75" x14ac:dyDescent="0.2">
      <c r="A879" s="303"/>
      <c r="B879" s="303"/>
      <c r="C879" s="303"/>
      <c r="D879" s="143"/>
      <c r="E879" s="303"/>
      <c r="F879" s="303"/>
      <c r="G879" s="303"/>
      <c r="H879" s="303"/>
      <c r="I879" s="303"/>
      <c r="J879" s="303"/>
      <c r="K879" s="303"/>
      <c r="L879" s="143"/>
      <c r="M879" s="303"/>
      <c r="N879" s="303"/>
      <c r="O879" s="303"/>
      <c r="P879" s="303"/>
      <c r="Q879" s="303"/>
      <c r="R879" s="303"/>
      <c r="S879" s="303"/>
      <c r="T879" s="143"/>
      <c r="U879" s="303"/>
      <c r="V879" s="303"/>
      <c r="W879" s="303"/>
      <c r="X879" s="303"/>
      <c r="Y879" s="303"/>
      <c r="Z879" s="303"/>
      <c r="AA879" s="303"/>
      <c r="AB879" s="143"/>
      <c r="AC879" s="303"/>
      <c r="AD879" s="303"/>
      <c r="AE879" s="303"/>
      <c r="AF879" s="303"/>
      <c r="AG879" s="303"/>
      <c r="AH879" s="303"/>
      <c r="AI879" s="143"/>
      <c r="AJ879" s="125"/>
      <c r="AK879" s="125"/>
      <c r="AL879" s="125"/>
      <c r="AM879" s="125"/>
    </row>
    <row r="880" spans="1:39" ht="12.75" x14ac:dyDescent="0.2">
      <c r="A880" s="303"/>
      <c r="B880" s="303"/>
      <c r="C880" s="303"/>
      <c r="D880" s="143"/>
      <c r="E880" s="303"/>
      <c r="F880" s="303"/>
      <c r="G880" s="303"/>
      <c r="H880" s="303"/>
      <c r="I880" s="303"/>
      <c r="J880" s="303"/>
      <c r="K880" s="303"/>
      <c r="L880" s="143"/>
      <c r="M880" s="303"/>
      <c r="N880" s="303"/>
      <c r="O880" s="303"/>
      <c r="P880" s="303"/>
      <c r="Q880" s="303"/>
      <c r="R880" s="303"/>
      <c r="S880" s="303"/>
      <c r="T880" s="143"/>
      <c r="U880" s="303"/>
      <c r="V880" s="303"/>
      <c r="W880" s="303"/>
      <c r="X880" s="303"/>
      <c r="Y880" s="303"/>
      <c r="Z880" s="303"/>
      <c r="AA880" s="303"/>
      <c r="AB880" s="143"/>
      <c r="AC880" s="303"/>
      <c r="AD880" s="303"/>
      <c r="AE880" s="303"/>
      <c r="AF880" s="303"/>
      <c r="AG880" s="303"/>
      <c r="AH880" s="303"/>
      <c r="AI880" s="143"/>
      <c r="AJ880" s="125"/>
      <c r="AK880" s="125"/>
      <c r="AL880" s="125"/>
      <c r="AM880" s="125"/>
    </row>
    <row r="881" spans="1:39" ht="12.75" x14ac:dyDescent="0.2">
      <c r="A881" s="303"/>
      <c r="B881" s="303"/>
      <c r="C881" s="303"/>
      <c r="D881" s="143"/>
      <c r="E881" s="303"/>
      <c r="F881" s="303"/>
      <c r="G881" s="303"/>
      <c r="H881" s="303"/>
      <c r="I881" s="303"/>
      <c r="J881" s="303"/>
      <c r="K881" s="303"/>
      <c r="L881" s="143"/>
      <c r="M881" s="303"/>
      <c r="N881" s="303"/>
      <c r="O881" s="303"/>
      <c r="P881" s="303"/>
      <c r="Q881" s="303"/>
      <c r="R881" s="303"/>
      <c r="S881" s="303"/>
      <c r="T881" s="143"/>
      <c r="U881" s="303"/>
      <c r="V881" s="303"/>
      <c r="W881" s="303"/>
      <c r="X881" s="303"/>
      <c r="Y881" s="303"/>
      <c r="Z881" s="303"/>
      <c r="AA881" s="303"/>
      <c r="AB881" s="143"/>
      <c r="AC881" s="303"/>
      <c r="AD881" s="303"/>
      <c r="AE881" s="303"/>
      <c r="AF881" s="303"/>
      <c r="AG881" s="303"/>
      <c r="AH881" s="303"/>
      <c r="AI881" s="143"/>
      <c r="AJ881" s="125"/>
      <c r="AK881" s="125"/>
      <c r="AL881" s="125"/>
      <c r="AM881" s="125"/>
    </row>
    <row r="882" spans="1:39" ht="12.75" x14ac:dyDescent="0.2">
      <c r="A882" s="303"/>
      <c r="B882" s="303"/>
      <c r="C882" s="303"/>
      <c r="D882" s="143"/>
      <c r="E882" s="303"/>
      <c r="F882" s="303"/>
      <c r="G882" s="303"/>
      <c r="H882" s="303"/>
      <c r="I882" s="303"/>
      <c r="J882" s="303"/>
      <c r="K882" s="303"/>
      <c r="L882" s="143"/>
      <c r="M882" s="303"/>
      <c r="N882" s="303"/>
      <c r="O882" s="303"/>
      <c r="P882" s="303"/>
      <c r="Q882" s="303"/>
      <c r="R882" s="303"/>
      <c r="S882" s="303"/>
      <c r="T882" s="143"/>
      <c r="U882" s="303"/>
      <c r="V882" s="303"/>
      <c r="W882" s="303"/>
      <c r="X882" s="303"/>
      <c r="Y882" s="303"/>
      <c r="Z882" s="303"/>
      <c r="AA882" s="303"/>
      <c r="AB882" s="143"/>
      <c r="AC882" s="303"/>
      <c r="AD882" s="303"/>
      <c r="AE882" s="303"/>
      <c r="AF882" s="303"/>
      <c r="AG882" s="303"/>
      <c r="AH882" s="303"/>
      <c r="AI882" s="143"/>
      <c r="AJ882" s="125"/>
      <c r="AK882" s="125"/>
      <c r="AL882" s="125"/>
      <c r="AM882" s="125"/>
    </row>
    <row r="883" spans="1:39" ht="12.75" x14ac:dyDescent="0.2">
      <c r="A883" s="303"/>
      <c r="B883" s="303"/>
      <c r="C883" s="303"/>
      <c r="D883" s="143"/>
      <c r="E883" s="303"/>
      <c r="F883" s="303"/>
      <c r="G883" s="303"/>
      <c r="H883" s="303"/>
      <c r="I883" s="303"/>
      <c r="J883" s="303"/>
      <c r="K883" s="303"/>
      <c r="L883" s="143"/>
      <c r="M883" s="303"/>
      <c r="N883" s="303"/>
      <c r="O883" s="303"/>
      <c r="P883" s="303"/>
      <c r="Q883" s="303"/>
      <c r="R883" s="303"/>
      <c r="S883" s="303"/>
      <c r="T883" s="143"/>
      <c r="U883" s="303"/>
      <c r="V883" s="303"/>
      <c r="W883" s="303"/>
      <c r="X883" s="303"/>
      <c r="Y883" s="303"/>
      <c r="Z883" s="303"/>
      <c r="AA883" s="303"/>
      <c r="AB883" s="143"/>
      <c r="AC883" s="303"/>
      <c r="AD883" s="303"/>
      <c r="AE883" s="303"/>
      <c r="AF883" s="303"/>
      <c r="AG883" s="303"/>
      <c r="AH883" s="303"/>
      <c r="AI883" s="143"/>
      <c r="AJ883" s="125"/>
      <c r="AK883" s="125"/>
      <c r="AL883" s="125"/>
      <c r="AM883" s="125"/>
    </row>
    <row r="884" spans="1:39" ht="12.75" x14ac:dyDescent="0.2">
      <c r="A884" s="303"/>
      <c r="B884" s="303"/>
      <c r="C884" s="303"/>
      <c r="D884" s="143"/>
      <c r="E884" s="303"/>
      <c r="F884" s="303"/>
      <c r="G884" s="303"/>
      <c r="H884" s="303"/>
      <c r="I884" s="303"/>
      <c r="J884" s="303"/>
      <c r="K884" s="303"/>
      <c r="L884" s="143"/>
      <c r="M884" s="303"/>
      <c r="N884" s="303"/>
      <c r="O884" s="303"/>
      <c r="P884" s="303"/>
      <c r="Q884" s="303"/>
      <c r="R884" s="303"/>
      <c r="S884" s="303"/>
      <c r="T884" s="143"/>
      <c r="U884" s="303"/>
      <c r="V884" s="303"/>
      <c r="W884" s="303"/>
      <c r="X884" s="303"/>
      <c r="Y884" s="303"/>
      <c r="Z884" s="303"/>
      <c r="AA884" s="303"/>
      <c r="AB884" s="143"/>
      <c r="AC884" s="303"/>
      <c r="AD884" s="303"/>
      <c r="AE884" s="303"/>
      <c r="AF884" s="303"/>
      <c r="AG884" s="303"/>
      <c r="AH884" s="303"/>
      <c r="AI884" s="143"/>
      <c r="AJ884" s="125"/>
      <c r="AK884" s="125"/>
      <c r="AL884" s="125"/>
      <c r="AM884" s="125"/>
    </row>
    <row r="885" spans="1:39" ht="12.75" x14ac:dyDescent="0.2">
      <c r="A885" s="303"/>
      <c r="B885" s="303"/>
      <c r="C885" s="303"/>
      <c r="D885" s="143"/>
      <c r="E885" s="303"/>
      <c r="F885" s="303"/>
      <c r="G885" s="303"/>
      <c r="H885" s="303"/>
      <c r="I885" s="303"/>
      <c r="J885" s="303"/>
      <c r="K885" s="303"/>
      <c r="L885" s="143"/>
      <c r="M885" s="303"/>
      <c r="N885" s="303"/>
      <c r="O885" s="303"/>
      <c r="P885" s="303"/>
      <c r="Q885" s="303"/>
      <c r="R885" s="303"/>
      <c r="S885" s="303"/>
      <c r="T885" s="143"/>
      <c r="U885" s="303"/>
      <c r="V885" s="303"/>
      <c r="W885" s="303"/>
      <c r="X885" s="303"/>
      <c r="Y885" s="303"/>
      <c r="Z885" s="303"/>
      <c r="AA885" s="303"/>
      <c r="AB885" s="143"/>
      <c r="AC885" s="303"/>
      <c r="AD885" s="303"/>
      <c r="AE885" s="303"/>
      <c r="AF885" s="303"/>
      <c r="AG885" s="303"/>
      <c r="AH885" s="303"/>
      <c r="AI885" s="143"/>
      <c r="AJ885" s="125"/>
      <c r="AK885" s="125"/>
      <c r="AL885" s="125"/>
      <c r="AM885" s="125"/>
    </row>
    <row r="886" spans="1:39" ht="12.75" x14ac:dyDescent="0.2">
      <c r="A886" s="303"/>
      <c r="B886" s="303"/>
      <c r="C886" s="303"/>
      <c r="D886" s="143"/>
      <c r="E886" s="303"/>
      <c r="F886" s="303"/>
      <c r="G886" s="303"/>
      <c r="H886" s="303"/>
      <c r="I886" s="303"/>
      <c r="J886" s="303"/>
      <c r="K886" s="303"/>
      <c r="L886" s="143"/>
      <c r="M886" s="303"/>
      <c r="N886" s="303"/>
      <c r="O886" s="303"/>
      <c r="P886" s="303"/>
      <c r="Q886" s="303"/>
      <c r="R886" s="303"/>
      <c r="S886" s="303"/>
      <c r="T886" s="143"/>
      <c r="U886" s="303"/>
      <c r="V886" s="303"/>
      <c r="W886" s="303"/>
      <c r="X886" s="303"/>
      <c r="Y886" s="303"/>
      <c r="Z886" s="303"/>
      <c r="AA886" s="303"/>
      <c r="AB886" s="143"/>
      <c r="AC886" s="303"/>
      <c r="AD886" s="303"/>
      <c r="AE886" s="303"/>
      <c r="AF886" s="303"/>
      <c r="AG886" s="303"/>
      <c r="AH886" s="303"/>
      <c r="AI886" s="143"/>
      <c r="AJ886" s="125"/>
      <c r="AK886" s="125"/>
      <c r="AL886" s="125"/>
      <c r="AM886" s="125"/>
    </row>
    <row r="887" spans="1:39" ht="12.75" x14ac:dyDescent="0.2">
      <c r="A887" s="303"/>
      <c r="B887" s="303"/>
      <c r="C887" s="303"/>
      <c r="D887" s="143"/>
      <c r="E887" s="303"/>
      <c r="F887" s="303"/>
      <c r="G887" s="303"/>
      <c r="H887" s="303"/>
      <c r="I887" s="303"/>
      <c r="J887" s="303"/>
      <c r="K887" s="303"/>
      <c r="L887" s="143"/>
      <c r="M887" s="303"/>
      <c r="N887" s="303"/>
      <c r="O887" s="303"/>
      <c r="P887" s="303"/>
      <c r="Q887" s="303"/>
      <c r="R887" s="303"/>
      <c r="S887" s="303"/>
      <c r="T887" s="143"/>
      <c r="U887" s="303"/>
      <c r="V887" s="303"/>
      <c r="W887" s="303"/>
      <c r="X887" s="303"/>
      <c r="Y887" s="303"/>
      <c r="Z887" s="303"/>
      <c r="AA887" s="303"/>
      <c r="AB887" s="143"/>
      <c r="AC887" s="303"/>
      <c r="AD887" s="303"/>
      <c r="AE887" s="303"/>
      <c r="AF887" s="303"/>
      <c r="AG887" s="303"/>
      <c r="AH887" s="303"/>
      <c r="AI887" s="143"/>
      <c r="AJ887" s="125"/>
      <c r="AK887" s="125"/>
      <c r="AL887" s="125"/>
      <c r="AM887" s="125"/>
    </row>
    <row r="888" spans="1:39" ht="12.75" x14ac:dyDescent="0.2">
      <c r="A888" s="303"/>
      <c r="B888" s="303"/>
      <c r="C888" s="303"/>
      <c r="D888" s="143"/>
      <c r="E888" s="303"/>
      <c r="F888" s="303"/>
      <c r="G888" s="303"/>
      <c r="H888" s="303"/>
      <c r="I888" s="303"/>
      <c r="J888" s="303"/>
      <c r="K888" s="303"/>
      <c r="L888" s="143"/>
      <c r="M888" s="303"/>
      <c r="N888" s="303"/>
      <c r="O888" s="303"/>
      <c r="P888" s="303"/>
      <c r="Q888" s="303"/>
      <c r="R888" s="303"/>
      <c r="S888" s="303"/>
      <c r="T888" s="143"/>
      <c r="U888" s="303"/>
      <c r="V888" s="303"/>
      <c r="W888" s="303"/>
      <c r="X888" s="303"/>
      <c r="Y888" s="303"/>
      <c r="Z888" s="303"/>
      <c r="AA888" s="303"/>
      <c r="AB888" s="143"/>
      <c r="AC888" s="303"/>
      <c r="AD888" s="303"/>
      <c r="AE888" s="303"/>
      <c r="AF888" s="303"/>
      <c r="AG888" s="303"/>
      <c r="AH888" s="303"/>
      <c r="AI888" s="143"/>
      <c r="AJ888" s="125"/>
      <c r="AK888" s="125"/>
      <c r="AL888" s="125"/>
      <c r="AM888" s="125"/>
    </row>
    <row r="889" spans="1:39" ht="12.75" x14ac:dyDescent="0.2">
      <c r="A889" s="303"/>
      <c r="B889" s="303"/>
      <c r="C889" s="303"/>
      <c r="D889" s="143"/>
      <c r="E889" s="303"/>
      <c r="F889" s="303"/>
      <c r="G889" s="303"/>
      <c r="H889" s="303"/>
      <c r="I889" s="303"/>
      <c r="J889" s="303"/>
      <c r="K889" s="303"/>
      <c r="L889" s="143"/>
      <c r="M889" s="303"/>
      <c r="N889" s="303"/>
      <c r="O889" s="303"/>
      <c r="P889" s="303"/>
      <c r="Q889" s="303"/>
      <c r="R889" s="303"/>
      <c r="S889" s="303"/>
      <c r="T889" s="143"/>
      <c r="U889" s="303"/>
      <c r="V889" s="303"/>
      <c r="W889" s="303"/>
      <c r="X889" s="303"/>
      <c r="Y889" s="303"/>
      <c r="Z889" s="303"/>
      <c r="AA889" s="303"/>
      <c r="AB889" s="143"/>
      <c r="AC889" s="303"/>
      <c r="AD889" s="303"/>
      <c r="AE889" s="303"/>
      <c r="AF889" s="303"/>
      <c r="AG889" s="303"/>
      <c r="AH889" s="303"/>
      <c r="AI889" s="143"/>
      <c r="AJ889" s="125"/>
      <c r="AK889" s="125"/>
      <c r="AL889" s="125"/>
      <c r="AM889" s="125"/>
    </row>
    <row r="890" spans="1:39" ht="12.75" x14ac:dyDescent="0.2">
      <c r="A890" s="303"/>
      <c r="B890" s="303"/>
      <c r="C890" s="303"/>
      <c r="D890" s="143"/>
      <c r="E890" s="303"/>
      <c r="F890" s="303"/>
      <c r="G890" s="303"/>
      <c r="H890" s="303"/>
      <c r="I890" s="303"/>
      <c r="J890" s="303"/>
      <c r="K890" s="303"/>
      <c r="L890" s="143"/>
      <c r="M890" s="303"/>
      <c r="N890" s="303"/>
      <c r="O890" s="303"/>
      <c r="P890" s="303"/>
      <c r="Q890" s="303"/>
      <c r="R890" s="303"/>
      <c r="S890" s="303"/>
      <c r="T890" s="143"/>
      <c r="U890" s="303"/>
      <c r="V890" s="303"/>
      <c r="W890" s="303"/>
      <c r="X890" s="303"/>
      <c r="Y890" s="303"/>
      <c r="Z890" s="303"/>
      <c r="AA890" s="303"/>
      <c r="AB890" s="143"/>
      <c r="AC890" s="303"/>
      <c r="AD890" s="303"/>
      <c r="AE890" s="303"/>
      <c r="AF890" s="303"/>
      <c r="AG890" s="303"/>
      <c r="AH890" s="303"/>
      <c r="AI890" s="143"/>
      <c r="AJ890" s="125"/>
      <c r="AK890" s="125"/>
      <c r="AL890" s="125"/>
      <c r="AM890" s="125"/>
    </row>
    <row r="891" spans="1:39" ht="12.75" x14ac:dyDescent="0.2">
      <c r="A891" s="303"/>
      <c r="B891" s="303"/>
      <c r="C891" s="303"/>
      <c r="D891" s="143"/>
      <c r="E891" s="303"/>
      <c r="F891" s="303"/>
      <c r="G891" s="303"/>
      <c r="H891" s="303"/>
      <c r="I891" s="303"/>
      <c r="J891" s="303"/>
      <c r="K891" s="303"/>
      <c r="L891" s="143"/>
      <c r="M891" s="303"/>
      <c r="N891" s="303"/>
      <c r="O891" s="303"/>
      <c r="P891" s="303"/>
      <c r="Q891" s="303"/>
      <c r="R891" s="303"/>
      <c r="S891" s="303"/>
      <c r="T891" s="143"/>
      <c r="U891" s="303"/>
      <c r="V891" s="303"/>
      <c r="W891" s="303"/>
      <c r="X891" s="303"/>
      <c r="Y891" s="303"/>
      <c r="Z891" s="303"/>
      <c r="AA891" s="303"/>
      <c r="AB891" s="143"/>
      <c r="AC891" s="303"/>
      <c r="AD891" s="303"/>
      <c r="AE891" s="303"/>
      <c r="AF891" s="303"/>
      <c r="AG891" s="303"/>
      <c r="AH891" s="303"/>
      <c r="AI891" s="143"/>
      <c r="AJ891" s="125"/>
      <c r="AK891" s="125"/>
      <c r="AL891" s="125"/>
      <c r="AM891" s="125"/>
    </row>
    <row r="892" spans="1:39" ht="12.75" x14ac:dyDescent="0.2">
      <c r="A892" s="303"/>
      <c r="B892" s="303"/>
      <c r="C892" s="303"/>
      <c r="D892" s="143"/>
      <c r="E892" s="303"/>
      <c r="F892" s="303"/>
      <c r="G892" s="303"/>
      <c r="H892" s="303"/>
      <c r="I892" s="303"/>
      <c r="J892" s="303"/>
      <c r="K892" s="303"/>
      <c r="L892" s="143"/>
      <c r="M892" s="303"/>
      <c r="N892" s="303"/>
      <c r="O892" s="303"/>
      <c r="P892" s="303"/>
      <c r="Q892" s="303"/>
      <c r="R892" s="303"/>
      <c r="S892" s="303"/>
      <c r="T892" s="143"/>
      <c r="U892" s="303"/>
      <c r="V892" s="303"/>
      <c r="W892" s="303"/>
      <c r="X892" s="303"/>
      <c r="Y892" s="303"/>
      <c r="Z892" s="303"/>
      <c r="AA892" s="303"/>
      <c r="AB892" s="143"/>
      <c r="AC892" s="303"/>
      <c r="AD892" s="303"/>
      <c r="AE892" s="303"/>
      <c r="AF892" s="303"/>
      <c r="AG892" s="303"/>
      <c r="AH892" s="303"/>
      <c r="AI892" s="143"/>
      <c r="AJ892" s="125"/>
      <c r="AK892" s="125"/>
      <c r="AL892" s="125"/>
      <c r="AM892" s="125"/>
    </row>
    <row r="893" spans="1:39" ht="12.75" x14ac:dyDescent="0.2">
      <c r="A893" s="303"/>
      <c r="B893" s="303"/>
      <c r="C893" s="303"/>
      <c r="D893" s="143"/>
      <c r="E893" s="303"/>
      <c r="F893" s="303"/>
      <c r="G893" s="303"/>
      <c r="H893" s="303"/>
      <c r="I893" s="303"/>
      <c r="J893" s="303"/>
      <c r="K893" s="303"/>
      <c r="L893" s="143"/>
      <c r="M893" s="303"/>
      <c r="N893" s="303"/>
      <c r="O893" s="303"/>
      <c r="P893" s="303"/>
      <c r="Q893" s="303"/>
      <c r="R893" s="303"/>
      <c r="S893" s="303"/>
      <c r="T893" s="143"/>
      <c r="U893" s="303"/>
      <c r="V893" s="303"/>
      <c r="W893" s="303"/>
      <c r="X893" s="303"/>
      <c r="Y893" s="303"/>
      <c r="Z893" s="303"/>
      <c r="AA893" s="303"/>
      <c r="AB893" s="143"/>
      <c r="AC893" s="303"/>
      <c r="AD893" s="303"/>
      <c r="AE893" s="303"/>
      <c r="AF893" s="303"/>
      <c r="AG893" s="303"/>
      <c r="AH893" s="303"/>
      <c r="AI893" s="143"/>
      <c r="AJ893" s="125"/>
      <c r="AK893" s="125"/>
      <c r="AL893" s="125"/>
      <c r="AM893" s="125"/>
    </row>
    <row r="894" spans="1:39" ht="12.75" x14ac:dyDescent="0.2">
      <c r="A894" s="303"/>
      <c r="B894" s="303"/>
      <c r="C894" s="303"/>
      <c r="D894" s="143"/>
      <c r="E894" s="303"/>
      <c r="F894" s="303"/>
      <c r="G894" s="303"/>
      <c r="H894" s="303"/>
      <c r="I894" s="303"/>
      <c r="J894" s="303"/>
      <c r="K894" s="303"/>
      <c r="L894" s="143"/>
      <c r="M894" s="303"/>
      <c r="N894" s="303"/>
      <c r="O894" s="303"/>
      <c r="P894" s="303"/>
      <c r="Q894" s="303"/>
      <c r="R894" s="303"/>
      <c r="S894" s="303"/>
      <c r="T894" s="143"/>
      <c r="U894" s="303"/>
      <c r="V894" s="303"/>
      <c r="W894" s="303"/>
      <c r="X894" s="303"/>
      <c r="Y894" s="303"/>
      <c r="Z894" s="303"/>
      <c r="AA894" s="303"/>
      <c r="AB894" s="143"/>
      <c r="AC894" s="303"/>
      <c r="AD894" s="303"/>
      <c r="AE894" s="303"/>
      <c r="AF894" s="303"/>
      <c r="AG894" s="303"/>
      <c r="AH894" s="303"/>
      <c r="AI894" s="143"/>
      <c r="AJ894" s="125"/>
      <c r="AK894" s="125"/>
      <c r="AL894" s="125"/>
      <c r="AM894" s="125"/>
    </row>
    <row r="895" spans="1:39" ht="12.75" x14ac:dyDescent="0.2">
      <c r="A895" s="303"/>
      <c r="B895" s="303"/>
      <c r="C895" s="303"/>
      <c r="D895" s="143"/>
      <c r="E895" s="303"/>
      <c r="F895" s="303"/>
      <c r="G895" s="303"/>
      <c r="H895" s="303"/>
      <c r="I895" s="303"/>
      <c r="J895" s="303"/>
      <c r="K895" s="303"/>
      <c r="L895" s="143"/>
      <c r="M895" s="303"/>
      <c r="N895" s="303"/>
      <c r="O895" s="303"/>
      <c r="P895" s="303"/>
      <c r="Q895" s="303"/>
      <c r="R895" s="303"/>
      <c r="S895" s="303"/>
      <c r="T895" s="143"/>
      <c r="U895" s="303"/>
      <c r="V895" s="303"/>
      <c r="W895" s="303"/>
      <c r="X895" s="303"/>
      <c r="Y895" s="303"/>
      <c r="Z895" s="303"/>
      <c r="AA895" s="303"/>
      <c r="AB895" s="143"/>
      <c r="AC895" s="303"/>
      <c r="AD895" s="303"/>
      <c r="AE895" s="303"/>
      <c r="AF895" s="303"/>
      <c r="AG895" s="303"/>
      <c r="AH895" s="303"/>
      <c r="AI895" s="143"/>
      <c r="AJ895" s="125"/>
      <c r="AK895" s="125"/>
      <c r="AL895" s="125"/>
      <c r="AM895" s="125"/>
    </row>
    <row r="896" spans="1:39" ht="12.75" x14ac:dyDescent="0.2">
      <c r="A896" s="303"/>
      <c r="B896" s="303"/>
      <c r="C896" s="303"/>
      <c r="D896" s="143"/>
      <c r="E896" s="303"/>
      <c r="F896" s="303"/>
      <c r="G896" s="303"/>
      <c r="H896" s="303"/>
      <c r="I896" s="303"/>
      <c r="J896" s="303"/>
      <c r="K896" s="303"/>
      <c r="L896" s="143"/>
      <c r="M896" s="303"/>
      <c r="N896" s="303"/>
      <c r="O896" s="303"/>
      <c r="P896" s="303"/>
      <c r="Q896" s="303"/>
      <c r="R896" s="303"/>
      <c r="S896" s="303"/>
      <c r="T896" s="143"/>
      <c r="U896" s="303"/>
      <c r="V896" s="303"/>
      <c r="W896" s="303"/>
      <c r="X896" s="303"/>
      <c r="Y896" s="303"/>
      <c r="Z896" s="303"/>
      <c r="AA896" s="303"/>
      <c r="AB896" s="143"/>
      <c r="AC896" s="303"/>
      <c r="AD896" s="303"/>
      <c r="AE896" s="303"/>
      <c r="AF896" s="303"/>
      <c r="AG896" s="303"/>
      <c r="AH896" s="303"/>
      <c r="AI896" s="143"/>
      <c r="AJ896" s="125"/>
      <c r="AK896" s="125"/>
      <c r="AL896" s="125"/>
      <c r="AM896" s="125"/>
    </row>
    <row r="897" spans="1:39" ht="12.75" x14ac:dyDescent="0.2">
      <c r="A897" s="303"/>
      <c r="B897" s="303"/>
      <c r="C897" s="303"/>
      <c r="D897" s="143"/>
      <c r="E897" s="303"/>
      <c r="F897" s="303"/>
      <c r="G897" s="303"/>
      <c r="H897" s="303"/>
      <c r="I897" s="303"/>
      <c r="J897" s="303"/>
      <c r="K897" s="303"/>
      <c r="L897" s="143"/>
      <c r="M897" s="303"/>
      <c r="N897" s="303"/>
      <c r="O897" s="303"/>
      <c r="P897" s="303"/>
      <c r="Q897" s="303"/>
      <c r="R897" s="303"/>
      <c r="S897" s="303"/>
      <c r="T897" s="143"/>
      <c r="U897" s="303"/>
      <c r="V897" s="303"/>
      <c r="W897" s="303"/>
      <c r="X897" s="303"/>
      <c r="Y897" s="303"/>
      <c r="Z897" s="303"/>
      <c r="AA897" s="303"/>
      <c r="AB897" s="143"/>
      <c r="AC897" s="303"/>
      <c r="AD897" s="303"/>
      <c r="AE897" s="303"/>
      <c r="AF897" s="303"/>
      <c r="AG897" s="303"/>
      <c r="AH897" s="303"/>
      <c r="AI897" s="143"/>
      <c r="AJ897" s="125"/>
      <c r="AK897" s="125"/>
      <c r="AL897" s="125"/>
      <c r="AM897" s="125"/>
    </row>
    <row r="898" spans="1:39" ht="12.75" x14ac:dyDescent="0.2">
      <c r="A898" s="303"/>
      <c r="B898" s="303"/>
      <c r="C898" s="303"/>
      <c r="D898" s="143"/>
      <c r="E898" s="303"/>
      <c r="F898" s="303"/>
      <c r="G898" s="303"/>
      <c r="H898" s="303"/>
      <c r="I898" s="303"/>
      <c r="J898" s="303"/>
      <c r="K898" s="303"/>
      <c r="L898" s="143"/>
      <c r="M898" s="303"/>
      <c r="N898" s="303"/>
      <c r="O898" s="303"/>
      <c r="P898" s="303"/>
      <c r="Q898" s="303"/>
      <c r="R898" s="303"/>
      <c r="S898" s="303"/>
      <c r="T898" s="143"/>
      <c r="U898" s="303"/>
      <c r="V898" s="303"/>
      <c r="W898" s="303"/>
      <c r="X898" s="303"/>
      <c r="Y898" s="303"/>
      <c r="Z898" s="303"/>
      <c r="AA898" s="303"/>
      <c r="AB898" s="143"/>
      <c r="AC898" s="303"/>
      <c r="AD898" s="303"/>
      <c r="AE898" s="303"/>
      <c r="AF898" s="303"/>
      <c r="AG898" s="303"/>
      <c r="AH898" s="303"/>
      <c r="AI898" s="143"/>
      <c r="AJ898" s="125"/>
      <c r="AK898" s="125"/>
      <c r="AL898" s="125"/>
      <c r="AM898" s="125"/>
    </row>
    <row r="899" spans="1:39" ht="12.75" x14ac:dyDescent="0.2">
      <c r="A899" s="303"/>
      <c r="B899" s="303"/>
      <c r="C899" s="303"/>
      <c r="D899" s="143"/>
      <c r="E899" s="303"/>
      <c r="F899" s="303"/>
      <c r="G899" s="303"/>
      <c r="H899" s="303"/>
      <c r="I899" s="303"/>
      <c r="J899" s="303"/>
      <c r="K899" s="303"/>
      <c r="L899" s="143"/>
      <c r="M899" s="303"/>
      <c r="N899" s="303"/>
      <c r="O899" s="303"/>
      <c r="P899" s="303"/>
      <c r="Q899" s="303"/>
      <c r="R899" s="303"/>
      <c r="S899" s="303"/>
      <c r="T899" s="143"/>
      <c r="U899" s="303"/>
      <c r="V899" s="303"/>
      <c r="W899" s="303"/>
      <c r="X899" s="303"/>
      <c r="Y899" s="303"/>
      <c r="Z899" s="303"/>
      <c r="AA899" s="303"/>
      <c r="AB899" s="143"/>
      <c r="AC899" s="303"/>
      <c r="AD899" s="303"/>
      <c r="AE899" s="303"/>
      <c r="AF899" s="303"/>
      <c r="AG899" s="303"/>
      <c r="AH899" s="303"/>
      <c r="AI899" s="143"/>
      <c r="AJ899" s="125"/>
      <c r="AK899" s="125"/>
      <c r="AL899" s="125"/>
      <c r="AM899" s="125"/>
    </row>
    <row r="900" spans="1:39" ht="12.75" x14ac:dyDescent="0.2">
      <c r="A900" s="303"/>
      <c r="B900" s="303"/>
      <c r="C900" s="303"/>
      <c r="D900" s="143"/>
      <c r="E900" s="303"/>
      <c r="F900" s="303"/>
      <c r="G900" s="303"/>
      <c r="H900" s="303"/>
      <c r="I900" s="303"/>
      <c r="J900" s="303"/>
      <c r="K900" s="303"/>
      <c r="L900" s="143"/>
      <c r="M900" s="303"/>
      <c r="N900" s="303"/>
      <c r="O900" s="303"/>
      <c r="P900" s="303"/>
      <c r="Q900" s="303"/>
      <c r="R900" s="303"/>
      <c r="S900" s="303"/>
      <c r="T900" s="143"/>
      <c r="U900" s="303"/>
      <c r="V900" s="303"/>
      <c r="W900" s="303"/>
      <c r="X900" s="303"/>
      <c r="Y900" s="303"/>
      <c r="Z900" s="303"/>
      <c r="AA900" s="303"/>
      <c r="AB900" s="143"/>
      <c r="AC900" s="303"/>
      <c r="AD900" s="303"/>
      <c r="AE900" s="303"/>
      <c r="AF900" s="303"/>
      <c r="AG900" s="303"/>
      <c r="AH900" s="303"/>
      <c r="AI900" s="143"/>
      <c r="AJ900" s="125"/>
      <c r="AK900" s="125"/>
      <c r="AL900" s="125"/>
      <c r="AM900" s="125"/>
    </row>
    <row r="901" spans="1:39" ht="12.75" x14ac:dyDescent="0.2">
      <c r="A901" s="303"/>
      <c r="B901" s="303"/>
      <c r="C901" s="303"/>
      <c r="D901" s="143"/>
      <c r="E901" s="303"/>
      <c r="F901" s="303"/>
      <c r="G901" s="303"/>
      <c r="H901" s="303"/>
      <c r="I901" s="303"/>
      <c r="J901" s="303"/>
      <c r="K901" s="303"/>
      <c r="L901" s="143"/>
      <c r="M901" s="303"/>
      <c r="N901" s="303"/>
      <c r="O901" s="303"/>
      <c r="P901" s="303"/>
      <c r="Q901" s="303"/>
      <c r="R901" s="303"/>
      <c r="S901" s="303"/>
      <c r="T901" s="143"/>
      <c r="U901" s="303"/>
      <c r="V901" s="303"/>
      <c r="W901" s="303"/>
      <c r="X901" s="303"/>
      <c r="Y901" s="303"/>
      <c r="Z901" s="303"/>
      <c r="AA901" s="303"/>
      <c r="AB901" s="143"/>
      <c r="AC901" s="303"/>
      <c r="AD901" s="303"/>
      <c r="AE901" s="303"/>
      <c r="AF901" s="303"/>
      <c r="AG901" s="303"/>
      <c r="AH901" s="303"/>
      <c r="AI901" s="143"/>
      <c r="AJ901" s="125"/>
      <c r="AK901" s="125"/>
      <c r="AL901" s="125"/>
      <c r="AM901" s="125"/>
    </row>
    <row r="902" spans="1:39" ht="12.75" x14ac:dyDescent="0.2">
      <c r="A902" s="303"/>
      <c r="B902" s="303"/>
      <c r="C902" s="303"/>
      <c r="D902" s="143"/>
      <c r="E902" s="303"/>
      <c r="F902" s="303"/>
      <c r="G902" s="303"/>
      <c r="H902" s="303"/>
      <c r="I902" s="303"/>
      <c r="J902" s="303"/>
      <c r="K902" s="303"/>
      <c r="L902" s="143"/>
      <c r="M902" s="303"/>
      <c r="N902" s="303"/>
      <c r="O902" s="303"/>
      <c r="P902" s="303"/>
      <c r="Q902" s="303"/>
      <c r="R902" s="303"/>
      <c r="S902" s="303"/>
      <c r="T902" s="143"/>
      <c r="U902" s="303"/>
      <c r="V902" s="303"/>
      <c r="W902" s="303"/>
      <c r="X902" s="303"/>
      <c r="Y902" s="303"/>
      <c r="Z902" s="303"/>
      <c r="AA902" s="303"/>
      <c r="AB902" s="143"/>
      <c r="AC902" s="303"/>
      <c r="AD902" s="303"/>
      <c r="AE902" s="303"/>
      <c r="AF902" s="303"/>
      <c r="AG902" s="303"/>
      <c r="AH902" s="303"/>
      <c r="AI902" s="143"/>
      <c r="AJ902" s="125"/>
      <c r="AK902" s="125"/>
      <c r="AL902" s="125"/>
      <c r="AM902" s="125"/>
    </row>
    <row r="903" spans="1:39" ht="12.75" x14ac:dyDescent="0.2">
      <c r="A903" s="303"/>
      <c r="B903" s="303"/>
      <c r="C903" s="303"/>
      <c r="D903" s="143"/>
      <c r="E903" s="303"/>
      <c r="F903" s="303"/>
      <c r="G903" s="303"/>
      <c r="H903" s="303"/>
      <c r="I903" s="303"/>
      <c r="J903" s="303"/>
      <c r="K903" s="303"/>
      <c r="L903" s="143"/>
      <c r="M903" s="303"/>
      <c r="N903" s="303"/>
      <c r="O903" s="303"/>
      <c r="P903" s="303"/>
      <c r="Q903" s="303"/>
      <c r="R903" s="303"/>
      <c r="S903" s="303"/>
      <c r="T903" s="143"/>
      <c r="U903" s="303"/>
      <c r="V903" s="303"/>
      <c r="W903" s="303"/>
      <c r="X903" s="303"/>
      <c r="Y903" s="303"/>
      <c r="Z903" s="303"/>
      <c r="AA903" s="303"/>
      <c r="AB903" s="143"/>
      <c r="AC903" s="303"/>
      <c r="AD903" s="303"/>
      <c r="AE903" s="303"/>
      <c r="AF903" s="303"/>
      <c r="AG903" s="303"/>
      <c r="AH903" s="303"/>
      <c r="AI903" s="143"/>
      <c r="AJ903" s="125"/>
      <c r="AK903" s="125"/>
      <c r="AL903" s="125"/>
      <c r="AM903" s="125"/>
    </row>
    <row r="904" spans="1:39" ht="12.75" x14ac:dyDescent="0.2">
      <c r="A904" s="303"/>
      <c r="B904" s="303"/>
      <c r="C904" s="303"/>
      <c r="D904" s="143"/>
      <c r="E904" s="303"/>
      <c r="F904" s="303"/>
      <c r="G904" s="303"/>
      <c r="H904" s="303"/>
      <c r="I904" s="303"/>
      <c r="J904" s="303"/>
      <c r="K904" s="303"/>
      <c r="L904" s="143"/>
      <c r="M904" s="303"/>
      <c r="N904" s="303"/>
      <c r="O904" s="303"/>
      <c r="P904" s="303"/>
      <c r="Q904" s="303"/>
      <c r="R904" s="303"/>
      <c r="S904" s="303"/>
      <c r="T904" s="143"/>
      <c r="U904" s="303"/>
      <c r="V904" s="303"/>
      <c r="W904" s="303"/>
      <c r="X904" s="303"/>
      <c r="Y904" s="303"/>
      <c r="Z904" s="303"/>
      <c r="AA904" s="303"/>
      <c r="AB904" s="143"/>
      <c r="AC904" s="303"/>
      <c r="AD904" s="303"/>
      <c r="AE904" s="303"/>
      <c r="AF904" s="303"/>
      <c r="AG904" s="303"/>
      <c r="AH904" s="303"/>
      <c r="AI904" s="143"/>
      <c r="AJ904" s="125"/>
      <c r="AK904" s="125"/>
      <c r="AL904" s="125"/>
      <c r="AM904" s="125"/>
    </row>
    <row r="905" spans="1:39" ht="12.75" x14ac:dyDescent="0.2">
      <c r="A905" s="303"/>
      <c r="B905" s="303"/>
      <c r="C905" s="303"/>
      <c r="D905" s="143"/>
      <c r="E905" s="303"/>
      <c r="F905" s="303"/>
      <c r="G905" s="303"/>
      <c r="H905" s="303"/>
      <c r="I905" s="303"/>
      <c r="J905" s="303"/>
      <c r="K905" s="303"/>
      <c r="L905" s="143"/>
      <c r="M905" s="303"/>
      <c r="N905" s="303"/>
      <c r="O905" s="303"/>
      <c r="P905" s="303"/>
      <c r="Q905" s="303"/>
      <c r="R905" s="303"/>
      <c r="S905" s="303"/>
      <c r="T905" s="143"/>
      <c r="U905" s="303"/>
      <c r="V905" s="303"/>
      <c r="W905" s="303"/>
      <c r="X905" s="303"/>
      <c r="Y905" s="303"/>
      <c r="Z905" s="303"/>
      <c r="AA905" s="303"/>
      <c r="AB905" s="143"/>
      <c r="AC905" s="303"/>
      <c r="AD905" s="303"/>
      <c r="AE905" s="303"/>
      <c r="AF905" s="303"/>
      <c r="AG905" s="303"/>
      <c r="AH905" s="303"/>
      <c r="AI905" s="143"/>
      <c r="AJ905" s="125"/>
      <c r="AK905" s="125"/>
      <c r="AL905" s="125"/>
      <c r="AM905" s="125"/>
    </row>
    <row r="906" spans="1:39" ht="12.75" x14ac:dyDescent="0.2">
      <c r="A906" s="303"/>
      <c r="B906" s="303"/>
      <c r="C906" s="303"/>
      <c r="D906" s="143"/>
      <c r="E906" s="303"/>
      <c r="F906" s="303"/>
      <c r="G906" s="303"/>
      <c r="H906" s="303"/>
      <c r="I906" s="303"/>
      <c r="J906" s="303"/>
      <c r="K906" s="303"/>
      <c r="L906" s="143"/>
      <c r="M906" s="303"/>
      <c r="N906" s="303"/>
      <c r="O906" s="303"/>
      <c r="P906" s="303"/>
      <c r="Q906" s="303"/>
      <c r="R906" s="303"/>
      <c r="S906" s="303"/>
      <c r="T906" s="143"/>
      <c r="U906" s="303"/>
      <c r="V906" s="303"/>
      <c r="W906" s="303"/>
      <c r="X906" s="303"/>
      <c r="Y906" s="303"/>
      <c r="Z906" s="303"/>
      <c r="AA906" s="303"/>
      <c r="AB906" s="143"/>
      <c r="AC906" s="303"/>
      <c r="AD906" s="303"/>
      <c r="AE906" s="303"/>
      <c r="AF906" s="303"/>
      <c r="AG906" s="303"/>
      <c r="AH906" s="303"/>
      <c r="AI906" s="143"/>
      <c r="AJ906" s="125"/>
      <c r="AK906" s="125"/>
      <c r="AL906" s="125"/>
      <c r="AM906" s="125"/>
    </row>
    <row r="907" spans="1:39" ht="12.75" x14ac:dyDescent="0.2">
      <c r="A907" s="303"/>
      <c r="B907" s="303"/>
      <c r="C907" s="303"/>
      <c r="D907" s="143"/>
      <c r="E907" s="303"/>
      <c r="F907" s="303"/>
      <c r="G907" s="303"/>
      <c r="H907" s="303"/>
      <c r="I907" s="303"/>
      <c r="J907" s="303"/>
      <c r="K907" s="303"/>
      <c r="L907" s="143"/>
      <c r="M907" s="303"/>
      <c r="N907" s="303"/>
      <c r="O907" s="303"/>
      <c r="P907" s="303"/>
      <c r="Q907" s="303"/>
      <c r="R907" s="303"/>
      <c r="S907" s="303"/>
      <c r="T907" s="143"/>
      <c r="U907" s="303"/>
      <c r="V907" s="303"/>
      <c r="W907" s="303"/>
      <c r="X907" s="303"/>
      <c r="Y907" s="303"/>
      <c r="Z907" s="303"/>
      <c r="AA907" s="303"/>
      <c r="AB907" s="143"/>
      <c r="AC907" s="303"/>
      <c r="AD907" s="303"/>
      <c r="AE907" s="303"/>
      <c r="AF907" s="303"/>
      <c r="AG907" s="303"/>
      <c r="AH907" s="303"/>
      <c r="AI907" s="143"/>
      <c r="AJ907" s="125"/>
      <c r="AK907" s="125"/>
      <c r="AL907" s="125"/>
      <c r="AM907" s="125"/>
    </row>
    <row r="908" spans="1:39" ht="12.75" x14ac:dyDescent="0.2">
      <c r="A908" s="303"/>
      <c r="B908" s="303"/>
      <c r="C908" s="303"/>
      <c r="D908" s="143"/>
      <c r="E908" s="303"/>
      <c r="F908" s="303"/>
      <c r="G908" s="303"/>
      <c r="H908" s="303"/>
      <c r="I908" s="303"/>
      <c r="J908" s="303"/>
      <c r="K908" s="303"/>
      <c r="L908" s="143"/>
      <c r="M908" s="303"/>
      <c r="N908" s="303"/>
      <c r="O908" s="303"/>
      <c r="P908" s="303"/>
      <c r="Q908" s="303"/>
      <c r="R908" s="303"/>
      <c r="S908" s="303"/>
      <c r="T908" s="143"/>
      <c r="U908" s="303"/>
      <c r="V908" s="303"/>
      <c r="W908" s="303"/>
      <c r="X908" s="303"/>
      <c r="Y908" s="303"/>
      <c r="Z908" s="303"/>
      <c r="AA908" s="303"/>
      <c r="AB908" s="143"/>
      <c r="AC908" s="303"/>
      <c r="AD908" s="303"/>
      <c r="AE908" s="303"/>
      <c r="AF908" s="303"/>
      <c r="AG908" s="303"/>
      <c r="AH908" s="303"/>
      <c r="AI908" s="143"/>
      <c r="AJ908" s="125"/>
      <c r="AK908" s="125"/>
      <c r="AL908" s="125"/>
      <c r="AM908" s="125"/>
    </row>
    <row r="909" spans="1:39" ht="12.75" x14ac:dyDescent="0.2">
      <c r="A909" s="303"/>
      <c r="B909" s="303"/>
      <c r="C909" s="303"/>
      <c r="D909" s="143"/>
      <c r="E909" s="303"/>
      <c r="F909" s="303"/>
      <c r="G909" s="303"/>
      <c r="H909" s="303"/>
      <c r="I909" s="303"/>
      <c r="J909" s="303"/>
      <c r="K909" s="303"/>
      <c r="L909" s="143"/>
      <c r="M909" s="303"/>
      <c r="N909" s="303"/>
      <c r="O909" s="303"/>
      <c r="P909" s="303"/>
      <c r="Q909" s="303"/>
      <c r="R909" s="303"/>
      <c r="S909" s="303"/>
      <c r="T909" s="143"/>
      <c r="U909" s="303"/>
      <c r="V909" s="303"/>
      <c r="W909" s="303"/>
      <c r="X909" s="303"/>
      <c r="Y909" s="303"/>
      <c r="Z909" s="303"/>
      <c r="AA909" s="303"/>
      <c r="AB909" s="143"/>
      <c r="AC909" s="303"/>
      <c r="AD909" s="303"/>
      <c r="AE909" s="303"/>
      <c r="AF909" s="303"/>
      <c r="AG909" s="303"/>
      <c r="AH909" s="303"/>
      <c r="AI909" s="143"/>
      <c r="AJ909" s="125"/>
      <c r="AK909" s="125"/>
      <c r="AL909" s="125"/>
      <c r="AM909" s="125"/>
    </row>
    <row r="910" spans="1:39" ht="12.75" x14ac:dyDescent="0.2">
      <c r="A910" s="303"/>
      <c r="B910" s="303"/>
      <c r="C910" s="303"/>
      <c r="D910" s="143"/>
      <c r="E910" s="303"/>
      <c r="F910" s="303"/>
      <c r="G910" s="303"/>
      <c r="H910" s="303"/>
      <c r="I910" s="303"/>
      <c r="J910" s="303"/>
      <c r="K910" s="303"/>
      <c r="L910" s="143"/>
      <c r="M910" s="303"/>
      <c r="N910" s="303"/>
      <c r="O910" s="303"/>
      <c r="P910" s="303"/>
      <c r="Q910" s="303"/>
      <c r="R910" s="303"/>
      <c r="S910" s="303"/>
      <c r="T910" s="143"/>
      <c r="U910" s="303"/>
      <c r="V910" s="303"/>
      <c r="W910" s="303"/>
      <c r="X910" s="303"/>
      <c r="Y910" s="303"/>
      <c r="Z910" s="303"/>
      <c r="AA910" s="303"/>
      <c r="AB910" s="143"/>
      <c r="AC910" s="303"/>
      <c r="AD910" s="303"/>
      <c r="AE910" s="303"/>
      <c r="AF910" s="303"/>
      <c r="AG910" s="303"/>
      <c r="AH910" s="303"/>
      <c r="AI910" s="143"/>
      <c r="AJ910" s="125"/>
      <c r="AK910" s="125"/>
      <c r="AL910" s="125"/>
      <c r="AM910" s="125"/>
    </row>
    <row r="911" spans="1:39" ht="12.75" x14ac:dyDescent="0.2">
      <c r="A911" s="303"/>
      <c r="B911" s="303"/>
      <c r="C911" s="303"/>
      <c r="D911" s="143"/>
      <c r="E911" s="303"/>
      <c r="F911" s="303"/>
      <c r="G911" s="303"/>
      <c r="H911" s="303"/>
      <c r="I911" s="303"/>
      <c r="J911" s="303"/>
      <c r="K911" s="303"/>
      <c r="L911" s="143"/>
      <c r="M911" s="303"/>
      <c r="N911" s="303"/>
      <c r="O911" s="303"/>
      <c r="P911" s="303"/>
      <c r="Q911" s="303"/>
      <c r="R911" s="303"/>
      <c r="S911" s="303"/>
      <c r="T911" s="143"/>
      <c r="U911" s="303"/>
      <c r="V911" s="303"/>
      <c r="W911" s="303"/>
      <c r="X911" s="303"/>
      <c r="Y911" s="303"/>
      <c r="Z911" s="303"/>
      <c r="AA911" s="303"/>
      <c r="AB911" s="143"/>
      <c r="AC911" s="303"/>
      <c r="AD911" s="303"/>
      <c r="AE911" s="303"/>
      <c r="AF911" s="303"/>
      <c r="AG911" s="303"/>
      <c r="AH911" s="303"/>
      <c r="AI911" s="143"/>
      <c r="AJ911" s="125"/>
      <c r="AK911" s="125"/>
      <c r="AL911" s="125"/>
      <c r="AM911" s="125"/>
    </row>
    <row r="912" spans="1:39" ht="12.75" x14ac:dyDescent="0.2">
      <c r="A912" s="303"/>
      <c r="B912" s="303"/>
      <c r="C912" s="303"/>
      <c r="D912" s="143"/>
      <c r="E912" s="303"/>
      <c r="F912" s="303"/>
      <c r="G912" s="303"/>
      <c r="H912" s="303"/>
      <c r="I912" s="303"/>
      <c r="J912" s="303"/>
      <c r="K912" s="303"/>
      <c r="L912" s="143"/>
      <c r="M912" s="303"/>
      <c r="N912" s="303"/>
      <c r="O912" s="303"/>
      <c r="P912" s="303"/>
      <c r="Q912" s="303"/>
      <c r="R912" s="303"/>
      <c r="S912" s="303"/>
      <c r="T912" s="143"/>
      <c r="U912" s="303"/>
      <c r="V912" s="303"/>
      <c r="W912" s="303"/>
      <c r="X912" s="303"/>
      <c r="Y912" s="303"/>
      <c r="Z912" s="303"/>
      <c r="AA912" s="303"/>
      <c r="AB912" s="143"/>
      <c r="AC912" s="303"/>
      <c r="AD912" s="303"/>
      <c r="AE912" s="303"/>
      <c r="AF912" s="303"/>
      <c r="AG912" s="303"/>
      <c r="AH912" s="303"/>
      <c r="AI912" s="143"/>
      <c r="AJ912" s="125"/>
      <c r="AK912" s="125"/>
      <c r="AL912" s="125"/>
      <c r="AM912" s="125"/>
    </row>
    <row r="913" spans="1:39" ht="12.75" x14ac:dyDescent="0.2">
      <c r="A913" s="303"/>
      <c r="B913" s="303"/>
      <c r="C913" s="303"/>
      <c r="D913" s="143"/>
      <c r="E913" s="303"/>
      <c r="F913" s="303"/>
      <c r="G913" s="303"/>
      <c r="H913" s="303"/>
      <c r="I913" s="303"/>
      <c r="J913" s="303"/>
      <c r="K913" s="303"/>
      <c r="L913" s="143"/>
      <c r="M913" s="303"/>
      <c r="N913" s="303"/>
      <c r="O913" s="303"/>
      <c r="P913" s="303"/>
      <c r="Q913" s="303"/>
      <c r="R913" s="303"/>
      <c r="S913" s="303"/>
      <c r="T913" s="143"/>
      <c r="U913" s="303"/>
      <c r="V913" s="303"/>
      <c r="W913" s="303"/>
      <c r="X913" s="303"/>
      <c r="Y913" s="303"/>
      <c r="Z913" s="303"/>
      <c r="AA913" s="303"/>
      <c r="AB913" s="143"/>
      <c r="AC913" s="303"/>
      <c r="AD913" s="303"/>
      <c r="AE913" s="303"/>
      <c r="AF913" s="303"/>
      <c r="AG913" s="303"/>
      <c r="AH913" s="303"/>
      <c r="AI913" s="143"/>
      <c r="AJ913" s="125"/>
      <c r="AK913" s="125"/>
      <c r="AL913" s="125"/>
      <c r="AM913" s="125"/>
    </row>
    <row r="914" spans="1:39" ht="12.75" x14ac:dyDescent="0.2">
      <c r="A914" s="303"/>
      <c r="B914" s="303"/>
      <c r="C914" s="303"/>
      <c r="D914" s="143"/>
      <c r="E914" s="303"/>
      <c r="F914" s="303"/>
      <c r="G914" s="303"/>
      <c r="H914" s="303"/>
      <c r="I914" s="303"/>
      <c r="J914" s="303"/>
      <c r="K914" s="303"/>
      <c r="L914" s="143"/>
      <c r="M914" s="303"/>
      <c r="N914" s="303"/>
      <c r="O914" s="303"/>
      <c r="P914" s="303"/>
      <c r="Q914" s="303"/>
      <c r="R914" s="303"/>
      <c r="S914" s="303"/>
      <c r="T914" s="143"/>
      <c r="U914" s="303"/>
      <c r="V914" s="303"/>
      <c r="W914" s="303"/>
      <c r="X914" s="303"/>
      <c r="Y914" s="303"/>
      <c r="Z914" s="303"/>
      <c r="AA914" s="303"/>
      <c r="AB914" s="143"/>
      <c r="AC914" s="303"/>
      <c r="AD914" s="303"/>
      <c r="AE914" s="303"/>
      <c r="AF914" s="303"/>
      <c r="AG914" s="303"/>
      <c r="AH914" s="303"/>
      <c r="AI914" s="143"/>
      <c r="AJ914" s="125"/>
      <c r="AK914" s="125"/>
      <c r="AL914" s="125"/>
      <c r="AM914" s="125"/>
    </row>
    <row r="915" spans="1:39" ht="12.75" x14ac:dyDescent="0.2">
      <c r="A915" s="303"/>
      <c r="B915" s="303"/>
      <c r="C915" s="303"/>
      <c r="D915" s="143"/>
      <c r="E915" s="303"/>
      <c r="F915" s="303"/>
      <c r="G915" s="303"/>
      <c r="H915" s="303"/>
      <c r="I915" s="303"/>
      <c r="J915" s="303"/>
      <c r="K915" s="303"/>
      <c r="L915" s="143"/>
      <c r="M915" s="303"/>
      <c r="N915" s="303"/>
      <c r="O915" s="303"/>
      <c r="P915" s="303"/>
      <c r="Q915" s="303"/>
      <c r="R915" s="303"/>
      <c r="S915" s="303"/>
      <c r="T915" s="143"/>
      <c r="U915" s="303"/>
      <c r="V915" s="303"/>
      <c r="W915" s="303"/>
      <c r="X915" s="303"/>
      <c r="Y915" s="303"/>
      <c r="Z915" s="303"/>
      <c r="AA915" s="303"/>
      <c r="AB915" s="143"/>
      <c r="AC915" s="303"/>
      <c r="AD915" s="303"/>
      <c r="AE915" s="303"/>
      <c r="AF915" s="303"/>
      <c r="AG915" s="303"/>
      <c r="AH915" s="303"/>
      <c r="AI915" s="143"/>
      <c r="AJ915" s="125"/>
      <c r="AK915" s="125"/>
      <c r="AL915" s="125"/>
      <c r="AM915" s="125"/>
    </row>
    <row r="916" spans="1:39" ht="12.75" x14ac:dyDescent="0.2">
      <c r="A916" s="303"/>
      <c r="B916" s="303"/>
      <c r="C916" s="303"/>
      <c r="D916" s="143"/>
      <c r="E916" s="303"/>
      <c r="F916" s="303"/>
      <c r="G916" s="303"/>
      <c r="H916" s="303"/>
      <c r="I916" s="303"/>
      <c r="J916" s="303"/>
      <c r="K916" s="303"/>
      <c r="L916" s="143"/>
      <c r="M916" s="303"/>
      <c r="N916" s="303"/>
      <c r="O916" s="303"/>
      <c r="P916" s="303"/>
      <c r="Q916" s="303"/>
      <c r="R916" s="303"/>
      <c r="S916" s="303"/>
      <c r="T916" s="143"/>
      <c r="U916" s="303"/>
      <c r="V916" s="303"/>
      <c r="W916" s="303"/>
      <c r="X916" s="303"/>
      <c r="Y916" s="303"/>
      <c r="Z916" s="303"/>
      <c r="AA916" s="303"/>
      <c r="AB916" s="143"/>
      <c r="AC916" s="303"/>
      <c r="AD916" s="303"/>
      <c r="AE916" s="303"/>
      <c r="AF916" s="303"/>
      <c r="AG916" s="303"/>
      <c r="AH916" s="303"/>
      <c r="AI916" s="143"/>
      <c r="AJ916" s="125"/>
      <c r="AK916" s="125"/>
      <c r="AL916" s="125"/>
      <c r="AM916" s="125"/>
    </row>
    <row r="917" spans="1:39" ht="12.75" x14ac:dyDescent="0.2">
      <c r="A917" s="303"/>
      <c r="B917" s="303"/>
      <c r="C917" s="303"/>
      <c r="D917" s="143"/>
      <c r="E917" s="303"/>
      <c r="F917" s="303"/>
      <c r="G917" s="303"/>
      <c r="H917" s="303"/>
      <c r="I917" s="303"/>
      <c r="J917" s="303"/>
      <c r="K917" s="303"/>
      <c r="L917" s="143"/>
      <c r="M917" s="303"/>
      <c r="N917" s="303"/>
      <c r="O917" s="303"/>
      <c r="P917" s="303"/>
      <c r="Q917" s="303"/>
      <c r="R917" s="303"/>
      <c r="S917" s="303"/>
      <c r="T917" s="143"/>
      <c r="U917" s="303"/>
      <c r="V917" s="303"/>
      <c r="W917" s="303"/>
      <c r="X917" s="303"/>
      <c r="Y917" s="303"/>
      <c r="Z917" s="303"/>
      <c r="AA917" s="303"/>
      <c r="AB917" s="143"/>
      <c r="AC917" s="303"/>
      <c r="AD917" s="303"/>
      <c r="AE917" s="303"/>
      <c r="AF917" s="303"/>
      <c r="AG917" s="303"/>
      <c r="AH917" s="303"/>
      <c r="AI917" s="143"/>
      <c r="AJ917" s="125"/>
      <c r="AK917" s="125"/>
      <c r="AL917" s="125"/>
      <c r="AM917" s="125"/>
    </row>
    <row r="918" spans="1:39" ht="12.75" x14ac:dyDescent="0.2">
      <c r="A918" s="303"/>
      <c r="B918" s="303"/>
      <c r="C918" s="303"/>
      <c r="D918" s="143"/>
      <c r="E918" s="303"/>
      <c r="F918" s="303"/>
      <c r="G918" s="303"/>
      <c r="H918" s="303"/>
      <c r="I918" s="303"/>
      <c r="J918" s="303"/>
      <c r="K918" s="303"/>
      <c r="L918" s="143"/>
      <c r="M918" s="303"/>
      <c r="N918" s="303"/>
      <c r="O918" s="303"/>
      <c r="P918" s="303"/>
      <c r="Q918" s="303"/>
      <c r="R918" s="303"/>
      <c r="S918" s="303"/>
      <c r="T918" s="143"/>
      <c r="U918" s="303"/>
      <c r="V918" s="303"/>
      <c r="W918" s="303"/>
      <c r="X918" s="303"/>
      <c r="Y918" s="303"/>
      <c r="Z918" s="303"/>
      <c r="AA918" s="303"/>
      <c r="AB918" s="143"/>
      <c r="AC918" s="303"/>
      <c r="AD918" s="303"/>
      <c r="AE918" s="303"/>
      <c r="AF918" s="303"/>
      <c r="AG918" s="303"/>
      <c r="AH918" s="303"/>
      <c r="AI918" s="143"/>
      <c r="AJ918" s="125"/>
      <c r="AK918" s="125"/>
      <c r="AL918" s="125"/>
      <c r="AM918" s="125"/>
    </row>
    <row r="919" spans="1:39" ht="12.75" x14ac:dyDescent="0.2">
      <c r="A919" s="303"/>
      <c r="B919" s="303"/>
      <c r="C919" s="303"/>
      <c r="D919" s="143"/>
      <c r="E919" s="303"/>
      <c r="F919" s="303"/>
      <c r="G919" s="303"/>
      <c r="H919" s="303"/>
      <c r="I919" s="303"/>
      <c r="J919" s="303"/>
      <c r="K919" s="303"/>
      <c r="L919" s="143"/>
      <c r="M919" s="303"/>
      <c r="N919" s="303"/>
      <c r="O919" s="303"/>
      <c r="P919" s="303"/>
      <c r="Q919" s="303"/>
      <c r="R919" s="303"/>
      <c r="S919" s="303"/>
      <c r="T919" s="143"/>
      <c r="U919" s="303"/>
      <c r="V919" s="303"/>
      <c r="W919" s="303"/>
      <c r="X919" s="303"/>
      <c r="Y919" s="303"/>
      <c r="Z919" s="303"/>
      <c r="AA919" s="303"/>
      <c r="AB919" s="143"/>
      <c r="AC919" s="303"/>
      <c r="AD919" s="303"/>
      <c r="AE919" s="303"/>
      <c r="AF919" s="303"/>
      <c r="AG919" s="303"/>
      <c r="AH919" s="303"/>
      <c r="AI919" s="143"/>
      <c r="AJ919" s="125"/>
      <c r="AK919" s="125"/>
      <c r="AL919" s="125"/>
      <c r="AM919" s="125"/>
    </row>
    <row r="920" spans="1:39" ht="12.75" x14ac:dyDescent="0.2">
      <c r="A920" s="303"/>
      <c r="B920" s="303"/>
      <c r="C920" s="303"/>
      <c r="D920" s="143"/>
      <c r="E920" s="303"/>
      <c r="F920" s="303"/>
      <c r="G920" s="303"/>
      <c r="H920" s="303"/>
      <c r="I920" s="303"/>
      <c r="J920" s="303"/>
      <c r="K920" s="303"/>
      <c r="L920" s="143"/>
      <c r="M920" s="303"/>
      <c r="N920" s="303"/>
      <c r="O920" s="303"/>
      <c r="P920" s="303"/>
      <c r="Q920" s="303"/>
      <c r="R920" s="303"/>
      <c r="S920" s="303"/>
      <c r="T920" s="143"/>
      <c r="U920" s="303"/>
      <c r="V920" s="303"/>
      <c r="W920" s="303"/>
      <c r="X920" s="303"/>
      <c r="Y920" s="303"/>
      <c r="Z920" s="303"/>
      <c r="AA920" s="303"/>
      <c r="AB920" s="143"/>
      <c r="AC920" s="303"/>
      <c r="AD920" s="303"/>
      <c r="AE920" s="303"/>
      <c r="AF920" s="303"/>
      <c r="AG920" s="303"/>
      <c r="AH920" s="303"/>
      <c r="AI920" s="143"/>
      <c r="AJ920" s="125"/>
      <c r="AK920" s="125"/>
      <c r="AL920" s="125"/>
      <c r="AM920" s="125"/>
    </row>
    <row r="921" spans="1:39" ht="12.75" x14ac:dyDescent="0.2">
      <c r="A921" s="303"/>
      <c r="B921" s="303"/>
      <c r="C921" s="303"/>
      <c r="D921" s="143"/>
      <c r="E921" s="303"/>
      <c r="F921" s="303"/>
      <c r="G921" s="303"/>
      <c r="H921" s="303"/>
      <c r="I921" s="303"/>
      <c r="J921" s="303"/>
      <c r="K921" s="303"/>
      <c r="L921" s="143"/>
      <c r="M921" s="303"/>
      <c r="N921" s="303"/>
      <c r="O921" s="303"/>
      <c r="P921" s="303"/>
      <c r="Q921" s="303"/>
      <c r="R921" s="303"/>
      <c r="S921" s="303"/>
      <c r="T921" s="143"/>
      <c r="U921" s="303"/>
      <c r="V921" s="303"/>
      <c r="W921" s="303"/>
      <c r="X921" s="303"/>
      <c r="Y921" s="303"/>
      <c r="Z921" s="303"/>
      <c r="AA921" s="303"/>
      <c r="AB921" s="143"/>
      <c r="AC921" s="303"/>
      <c r="AD921" s="303"/>
      <c r="AE921" s="303"/>
      <c r="AF921" s="303"/>
      <c r="AG921" s="303"/>
      <c r="AH921" s="303"/>
      <c r="AI921" s="143"/>
      <c r="AJ921" s="125"/>
      <c r="AK921" s="125"/>
      <c r="AL921" s="125"/>
      <c r="AM921" s="125"/>
    </row>
    <row r="922" spans="1:39" ht="12.75" x14ac:dyDescent="0.2">
      <c r="A922" s="303"/>
      <c r="B922" s="303"/>
      <c r="C922" s="303"/>
      <c r="D922" s="143"/>
      <c r="E922" s="303"/>
      <c r="F922" s="303"/>
      <c r="G922" s="303"/>
      <c r="H922" s="303"/>
      <c r="I922" s="303"/>
      <c r="J922" s="303"/>
      <c r="K922" s="303"/>
      <c r="L922" s="143"/>
      <c r="M922" s="303"/>
      <c r="N922" s="303"/>
      <c r="O922" s="303"/>
      <c r="P922" s="303"/>
      <c r="Q922" s="303"/>
      <c r="R922" s="303"/>
      <c r="S922" s="303"/>
      <c r="T922" s="143"/>
      <c r="U922" s="303"/>
      <c r="V922" s="303"/>
      <c r="W922" s="303"/>
      <c r="X922" s="303"/>
      <c r="Y922" s="303"/>
      <c r="Z922" s="303"/>
      <c r="AA922" s="303"/>
      <c r="AB922" s="143"/>
      <c r="AC922" s="303"/>
      <c r="AD922" s="303"/>
      <c r="AE922" s="303"/>
      <c r="AF922" s="303"/>
      <c r="AG922" s="303"/>
      <c r="AH922" s="303"/>
      <c r="AI922" s="143"/>
      <c r="AJ922" s="125"/>
      <c r="AK922" s="125"/>
      <c r="AL922" s="125"/>
      <c r="AM922" s="125"/>
    </row>
    <row r="923" spans="1:39" ht="12.75" x14ac:dyDescent="0.2">
      <c r="A923" s="303"/>
      <c r="B923" s="303"/>
      <c r="C923" s="303"/>
      <c r="D923" s="143"/>
      <c r="E923" s="303"/>
      <c r="F923" s="303"/>
      <c r="G923" s="303"/>
      <c r="H923" s="303"/>
      <c r="I923" s="303"/>
      <c r="J923" s="303"/>
      <c r="K923" s="303"/>
      <c r="L923" s="143"/>
      <c r="M923" s="303"/>
      <c r="N923" s="303"/>
      <c r="O923" s="303"/>
      <c r="P923" s="303"/>
      <c r="Q923" s="303"/>
      <c r="R923" s="303"/>
      <c r="S923" s="303"/>
      <c r="T923" s="143"/>
      <c r="U923" s="303"/>
      <c r="V923" s="303"/>
      <c r="W923" s="303"/>
      <c r="X923" s="303"/>
      <c r="Y923" s="303"/>
      <c r="Z923" s="303"/>
      <c r="AA923" s="303"/>
      <c r="AB923" s="143"/>
      <c r="AC923" s="303"/>
      <c r="AD923" s="303"/>
      <c r="AE923" s="303"/>
      <c r="AF923" s="303"/>
      <c r="AG923" s="303"/>
      <c r="AH923" s="303"/>
      <c r="AI923" s="143"/>
      <c r="AJ923" s="125"/>
      <c r="AK923" s="125"/>
      <c r="AL923" s="125"/>
      <c r="AM923" s="125"/>
    </row>
    <row r="924" spans="1:39" ht="12.75" x14ac:dyDescent="0.2">
      <c r="A924" s="303"/>
      <c r="B924" s="303"/>
      <c r="C924" s="303"/>
      <c r="D924" s="143"/>
      <c r="E924" s="303"/>
      <c r="F924" s="303"/>
      <c r="G924" s="303"/>
      <c r="H924" s="303"/>
      <c r="I924" s="303"/>
      <c r="J924" s="303"/>
      <c r="K924" s="303"/>
      <c r="L924" s="143"/>
      <c r="M924" s="303"/>
      <c r="N924" s="303"/>
      <c r="O924" s="303"/>
      <c r="P924" s="303"/>
      <c r="Q924" s="303"/>
      <c r="R924" s="303"/>
      <c r="S924" s="303"/>
      <c r="T924" s="143"/>
      <c r="U924" s="303"/>
      <c r="V924" s="303"/>
      <c r="W924" s="303"/>
      <c r="X924" s="303"/>
      <c r="Y924" s="303"/>
      <c r="Z924" s="303"/>
      <c r="AA924" s="303"/>
      <c r="AB924" s="143"/>
      <c r="AC924" s="303"/>
      <c r="AD924" s="303"/>
      <c r="AE924" s="303"/>
      <c r="AF924" s="303"/>
      <c r="AG924" s="303"/>
      <c r="AH924" s="303"/>
      <c r="AI924" s="143"/>
      <c r="AJ924" s="125"/>
      <c r="AK924" s="125"/>
      <c r="AL924" s="125"/>
      <c r="AM924" s="125"/>
    </row>
    <row r="925" spans="1:39" ht="12.75" x14ac:dyDescent="0.2">
      <c r="A925" s="303"/>
      <c r="B925" s="303"/>
      <c r="C925" s="303"/>
      <c r="D925" s="143"/>
      <c r="E925" s="303"/>
      <c r="F925" s="303"/>
      <c r="G925" s="303"/>
      <c r="H925" s="303"/>
      <c r="I925" s="303"/>
      <c r="J925" s="303"/>
      <c r="K925" s="303"/>
      <c r="L925" s="143"/>
      <c r="M925" s="303"/>
      <c r="N925" s="303"/>
      <c r="O925" s="303"/>
      <c r="P925" s="303"/>
      <c r="Q925" s="303"/>
      <c r="R925" s="303"/>
      <c r="S925" s="303"/>
      <c r="T925" s="143"/>
      <c r="U925" s="303"/>
      <c r="V925" s="303"/>
      <c r="W925" s="303"/>
      <c r="X925" s="303"/>
      <c r="Y925" s="303"/>
      <c r="Z925" s="303"/>
      <c r="AA925" s="303"/>
      <c r="AB925" s="143"/>
      <c r="AC925" s="303"/>
      <c r="AD925" s="303"/>
      <c r="AE925" s="303"/>
      <c r="AF925" s="303"/>
      <c r="AG925" s="303"/>
      <c r="AH925" s="303"/>
      <c r="AI925" s="143"/>
      <c r="AJ925" s="125"/>
      <c r="AK925" s="125"/>
      <c r="AL925" s="125"/>
      <c r="AM925" s="125"/>
    </row>
    <row r="926" spans="1:39" ht="12.75" x14ac:dyDescent="0.2">
      <c r="A926" s="303"/>
      <c r="B926" s="303"/>
      <c r="C926" s="303"/>
      <c r="D926" s="143"/>
      <c r="E926" s="303"/>
      <c r="F926" s="303"/>
      <c r="G926" s="303"/>
      <c r="H926" s="303"/>
      <c r="I926" s="303"/>
      <c r="J926" s="303"/>
      <c r="K926" s="303"/>
      <c r="L926" s="143"/>
      <c r="M926" s="303"/>
      <c r="N926" s="303"/>
      <c r="O926" s="303"/>
      <c r="P926" s="303"/>
      <c r="Q926" s="303"/>
      <c r="R926" s="303"/>
      <c r="S926" s="303"/>
      <c r="T926" s="143"/>
      <c r="U926" s="303"/>
      <c r="V926" s="303"/>
      <c r="W926" s="303"/>
      <c r="X926" s="303"/>
      <c r="Y926" s="303"/>
      <c r="Z926" s="303"/>
      <c r="AA926" s="303"/>
      <c r="AB926" s="143"/>
      <c r="AC926" s="303"/>
      <c r="AD926" s="303"/>
      <c r="AE926" s="303"/>
      <c r="AF926" s="303"/>
      <c r="AG926" s="303"/>
      <c r="AH926" s="303"/>
      <c r="AI926" s="143"/>
      <c r="AJ926" s="125"/>
      <c r="AK926" s="125"/>
      <c r="AL926" s="125"/>
      <c r="AM926" s="125"/>
    </row>
    <row r="927" spans="1:39" ht="12.75" x14ac:dyDescent="0.2">
      <c r="A927" s="303"/>
      <c r="B927" s="303"/>
      <c r="C927" s="303"/>
      <c r="D927" s="143"/>
      <c r="E927" s="303"/>
      <c r="F927" s="303"/>
      <c r="G927" s="303"/>
      <c r="H927" s="303"/>
      <c r="I927" s="303"/>
      <c r="J927" s="303"/>
      <c r="K927" s="303"/>
      <c r="L927" s="143"/>
      <c r="M927" s="303"/>
      <c r="N927" s="303"/>
      <c r="O927" s="303"/>
      <c r="P927" s="303"/>
      <c r="Q927" s="303"/>
      <c r="R927" s="303"/>
      <c r="S927" s="303"/>
      <c r="T927" s="143"/>
      <c r="U927" s="303"/>
      <c r="V927" s="303"/>
      <c r="W927" s="303"/>
      <c r="X927" s="303"/>
      <c r="Y927" s="303"/>
      <c r="Z927" s="303"/>
      <c r="AA927" s="303"/>
      <c r="AB927" s="143"/>
      <c r="AC927" s="303"/>
      <c r="AD927" s="303"/>
      <c r="AE927" s="303"/>
      <c r="AF927" s="303"/>
      <c r="AG927" s="303"/>
      <c r="AH927" s="303"/>
      <c r="AI927" s="143"/>
      <c r="AJ927" s="125"/>
      <c r="AK927" s="125"/>
      <c r="AL927" s="125"/>
      <c r="AM927" s="125"/>
    </row>
    <row r="928" spans="1:39" ht="12.75" x14ac:dyDescent="0.2">
      <c r="A928" s="303"/>
      <c r="B928" s="303"/>
      <c r="C928" s="303"/>
      <c r="D928" s="143"/>
      <c r="E928" s="303"/>
      <c r="F928" s="303"/>
      <c r="G928" s="303"/>
      <c r="H928" s="303"/>
      <c r="I928" s="303"/>
      <c r="J928" s="303"/>
      <c r="K928" s="303"/>
      <c r="L928" s="143"/>
      <c r="M928" s="303"/>
      <c r="N928" s="303"/>
      <c r="O928" s="303"/>
      <c r="P928" s="303"/>
      <c r="Q928" s="303"/>
      <c r="R928" s="303"/>
      <c r="S928" s="303"/>
      <c r="T928" s="143"/>
      <c r="U928" s="303"/>
      <c r="V928" s="303"/>
      <c r="W928" s="303"/>
      <c r="X928" s="303"/>
      <c r="Y928" s="303"/>
      <c r="Z928" s="303"/>
      <c r="AA928" s="303"/>
      <c r="AB928" s="143"/>
      <c r="AC928" s="303"/>
      <c r="AD928" s="303"/>
      <c r="AE928" s="303"/>
      <c r="AF928" s="303"/>
      <c r="AG928" s="303"/>
      <c r="AH928" s="303"/>
      <c r="AI928" s="143"/>
      <c r="AJ928" s="125"/>
      <c r="AK928" s="125"/>
      <c r="AL928" s="125"/>
      <c r="AM928" s="125"/>
    </row>
    <row r="929" spans="1:39" ht="12.75" x14ac:dyDescent="0.2">
      <c r="A929" s="303"/>
      <c r="B929" s="303"/>
      <c r="C929" s="303"/>
      <c r="D929" s="143"/>
      <c r="E929" s="303"/>
      <c r="F929" s="303"/>
      <c r="G929" s="303"/>
      <c r="H929" s="303"/>
      <c r="I929" s="303"/>
      <c r="J929" s="303"/>
      <c r="K929" s="303"/>
      <c r="L929" s="143"/>
      <c r="M929" s="303"/>
      <c r="N929" s="303"/>
      <c r="O929" s="303"/>
      <c r="P929" s="303"/>
      <c r="Q929" s="303"/>
      <c r="R929" s="303"/>
      <c r="S929" s="303"/>
      <c r="T929" s="143"/>
      <c r="U929" s="303"/>
      <c r="V929" s="303"/>
      <c r="W929" s="303"/>
      <c r="X929" s="303"/>
      <c r="Y929" s="303"/>
      <c r="Z929" s="303"/>
      <c r="AA929" s="303"/>
      <c r="AB929" s="143"/>
      <c r="AC929" s="303"/>
      <c r="AD929" s="303"/>
      <c r="AE929" s="303"/>
      <c r="AF929" s="303"/>
      <c r="AG929" s="303"/>
      <c r="AH929" s="303"/>
      <c r="AI929" s="143"/>
      <c r="AJ929" s="125"/>
      <c r="AK929" s="125"/>
      <c r="AL929" s="125"/>
      <c r="AM929" s="125"/>
    </row>
    <row r="930" spans="1:39" ht="12.75" x14ac:dyDescent="0.2">
      <c r="A930" s="303"/>
      <c r="B930" s="303"/>
      <c r="C930" s="303"/>
      <c r="D930" s="143"/>
      <c r="E930" s="303"/>
      <c r="F930" s="303"/>
      <c r="G930" s="303"/>
      <c r="H930" s="303"/>
      <c r="I930" s="303"/>
      <c r="J930" s="303"/>
      <c r="K930" s="303"/>
      <c r="L930" s="143"/>
      <c r="M930" s="303"/>
      <c r="N930" s="303"/>
      <c r="O930" s="303"/>
      <c r="P930" s="303"/>
      <c r="Q930" s="303"/>
      <c r="R930" s="303"/>
      <c r="S930" s="303"/>
      <c r="T930" s="143"/>
      <c r="U930" s="303"/>
      <c r="V930" s="303"/>
      <c r="W930" s="303"/>
      <c r="X930" s="303"/>
      <c r="Y930" s="303"/>
      <c r="Z930" s="303"/>
      <c r="AA930" s="303"/>
      <c r="AB930" s="143"/>
      <c r="AC930" s="303"/>
      <c r="AD930" s="303"/>
      <c r="AE930" s="303"/>
      <c r="AF930" s="303"/>
      <c r="AG930" s="303"/>
      <c r="AH930" s="303"/>
      <c r="AI930" s="143"/>
      <c r="AJ930" s="125"/>
      <c r="AK930" s="125"/>
      <c r="AL930" s="125"/>
      <c r="AM930" s="125"/>
    </row>
    <row r="931" spans="1:39" ht="12.75" x14ac:dyDescent="0.2">
      <c r="A931" s="303"/>
      <c r="B931" s="303"/>
      <c r="C931" s="303"/>
      <c r="D931" s="143"/>
      <c r="E931" s="303"/>
      <c r="F931" s="303"/>
      <c r="G931" s="303"/>
      <c r="H931" s="303"/>
      <c r="I931" s="303"/>
      <c r="J931" s="303"/>
      <c r="K931" s="303"/>
      <c r="L931" s="143"/>
      <c r="M931" s="303"/>
      <c r="N931" s="303"/>
      <c r="O931" s="303"/>
      <c r="P931" s="303"/>
      <c r="Q931" s="303"/>
      <c r="R931" s="303"/>
      <c r="S931" s="303"/>
      <c r="T931" s="143"/>
      <c r="U931" s="303"/>
      <c r="V931" s="303"/>
      <c r="W931" s="303"/>
      <c r="X931" s="303"/>
      <c r="Y931" s="303"/>
      <c r="Z931" s="303"/>
      <c r="AA931" s="303"/>
      <c r="AB931" s="143"/>
      <c r="AC931" s="303"/>
      <c r="AD931" s="303"/>
      <c r="AE931" s="303"/>
      <c r="AF931" s="303"/>
      <c r="AG931" s="303"/>
      <c r="AH931" s="303"/>
      <c r="AI931" s="143"/>
      <c r="AJ931" s="125"/>
      <c r="AK931" s="125"/>
      <c r="AL931" s="125"/>
      <c r="AM931" s="125"/>
    </row>
    <row r="932" spans="1:39" ht="12.75" x14ac:dyDescent="0.2">
      <c r="A932" s="303"/>
      <c r="B932" s="303"/>
      <c r="C932" s="303"/>
      <c r="D932" s="143"/>
      <c r="E932" s="303"/>
      <c r="F932" s="303"/>
      <c r="G932" s="303"/>
      <c r="H932" s="303"/>
      <c r="I932" s="303"/>
      <c r="J932" s="303"/>
      <c r="K932" s="303"/>
      <c r="L932" s="143"/>
      <c r="M932" s="303"/>
      <c r="N932" s="303"/>
      <c r="O932" s="303"/>
      <c r="P932" s="303"/>
      <c r="Q932" s="303"/>
      <c r="R932" s="303"/>
      <c r="S932" s="303"/>
      <c r="T932" s="143"/>
      <c r="U932" s="303"/>
      <c r="V932" s="303"/>
      <c r="W932" s="303"/>
      <c r="X932" s="303"/>
      <c r="Y932" s="303"/>
      <c r="Z932" s="303"/>
      <c r="AA932" s="303"/>
      <c r="AB932" s="143"/>
      <c r="AC932" s="303"/>
      <c r="AD932" s="303"/>
      <c r="AE932" s="303"/>
      <c r="AF932" s="303"/>
      <c r="AG932" s="303"/>
      <c r="AH932" s="303"/>
      <c r="AI932" s="143"/>
      <c r="AJ932" s="125"/>
      <c r="AK932" s="125"/>
      <c r="AL932" s="125"/>
      <c r="AM932" s="125"/>
    </row>
    <row r="933" spans="1:39" ht="12.75" x14ac:dyDescent="0.2">
      <c r="A933" s="303"/>
      <c r="B933" s="303"/>
      <c r="C933" s="303"/>
      <c r="D933" s="143"/>
      <c r="E933" s="303"/>
      <c r="F933" s="303"/>
      <c r="G933" s="303"/>
      <c r="H933" s="303"/>
      <c r="I933" s="303"/>
      <c r="J933" s="303"/>
      <c r="K933" s="303"/>
      <c r="L933" s="143"/>
      <c r="M933" s="303"/>
      <c r="N933" s="303"/>
      <c r="O933" s="303"/>
      <c r="P933" s="303"/>
      <c r="Q933" s="303"/>
      <c r="R933" s="303"/>
      <c r="S933" s="303"/>
      <c r="T933" s="143"/>
      <c r="U933" s="303"/>
      <c r="V933" s="303"/>
      <c r="W933" s="303"/>
      <c r="X933" s="303"/>
      <c r="Y933" s="303"/>
      <c r="Z933" s="303"/>
      <c r="AA933" s="303"/>
      <c r="AB933" s="143"/>
      <c r="AC933" s="303"/>
      <c r="AD933" s="303"/>
      <c r="AE933" s="303"/>
      <c r="AF933" s="303"/>
      <c r="AG933" s="303"/>
      <c r="AH933" s="303"/>
      <c r="AI933" s="143"/>
      <c r="AJ933" s="125"/>
      <c r="AK933" s="125"/>
      <c r="AL933" s="125"/>
      <c r="AM933" s="125"/>
    </row>
    <row r="934" spans="1:39" ht="12.75" x14ac:dyDescent="0.2">
      <c r="A934" s="303"/>
      <c r="B934" s="303"/>
      <c r="C934" s="303"/>
      <c r="D934" s="143"/>
      <c r="E934" s="303"/>
      <c r="F934" s="303"/>
      <c r="G934" s="303"/>
      <c r="H934" s="303"/>
      <c r="I934" s="303"/>
      <c r="J934" s="303"/>
      <c r="K934" s="303"/>
      <c r="L934" s="143"/>
      <c r="M934" s="303"/>
      <c r="N934" s="303"/>
      <c r="O934" s="303"/>
      <c r="P934" s="303"/>
      <c r="Q934" s="303"/>
      <c r="R934" s="303"/>
      <c r="S934" s="303"/>
      <c r="T934" s="143"/>
      <c r="U934" s="303"/>
      <c r="V934" s="303"/>
      <c r="W934" s="303"/>
      <c r="X934" s="303"/>
      <c r="Y934" s="303"/>
      <c r="Z934" s="303"/>
      <c r="AA934" s="303"/>
      <c r="AB934" s="143"/>
      <c r="AC934" s="303"/>
      <c r="AD934" s="303"/>
      <c r="AE934" s="303"/>
      <c r="AF934" s="303"/>
      <c r="AG934" s="303"/>
      <c r="AH934" s="303"/>
      <c r="AI934" s="143"/>
      <c r="AJ934" s="125"/>
      <c r="AK934" s="125"/>
      <c r="AL934" s="125"/>
      <c r="AM934" s="125"/>
    </row>
    <row r="935" spans="1:39" ht="12.75" x14ac:dyDescent="0.2">
      <c r="A935" s="303"/>
      <c r="B935" s="303"/>
      <c r="C935" s="303"/>
      <c r="D935" s="143"/>
      <c r="E935" s="303"/>
      <c r="F935" s="303"/>
      <c r="G935" s="303"/>
      <c r="H935" s="303"/>
      <c r="I935" s="303"/>
      <c r="J935" s="303"/>
      <c r="K935" s="303"/>
      <c r="L935" s="143"/>
      <c r="M935" s="303"/>
      <c r="N935" s="303"/>
      <c r="O935" s="303"/>
      <c r="P935" s="303"/>
      <c r="Q935" s="303"/>
      <c r="R935" s="303"/>
      <c r="S935" s="303"/>
      <c r="T935" s="143"/>
      <c r="U935" s="303"/>
      <c r="V935" s="303"/>
      <c r="W935" s="303"/>
      <c r="X935" s="303"/>
      <c r="Y935" s="303"/>
      <c r="Z935" s="303"/>
      <c r="AA935" s="303"/>
      <c r="AB935" s="143"/>
      <c r="AC935" s="303"/>
      <c r="AD935" s="303"/>
      <c r="AE935" s="303"/>
      <c r="AF935" s="303"/>
      <c r="AG935" s="303"/>
      <c r="AH935" s="303"/>
      <c r="AI935" s="143"/>
      <c r="AJ935" s="125"/>
      <c r="AK935" s="125"/>
      <c r="AL935" s="125"/>
      <c r="AM935" s="125"/>
    </row>
    <row r="936" spans="1:39" ht="12.75" x14ac:dyDescent="0.2">
      <c r="A936" s="303"/>
      <c r="B936" s="303"/>
      <c r="C936" s="303"/>
      <c r="D936" s="143"/>
      <c r="E936" s="303"/>
      <c r="F936" s="303"/>
      <c r="G936" s="303"/>
      <c r="H936" s="303"/>
      <c r="I936" s="303"/>
      <c r="J936" s="303"/>
      <c r="K936" s="303"/>
      <c r="L936" s="143"/>
      <c r="M936" s="303"/>
      <c r="N936" s="303"/>
      <c r="O936" s="303"/>
      <c r="P936" s="303"/>
      <c r="Q936" s="303"/>
      <c r="R936" s="303"/>
      <c r="S936" s="303"/>
      <c r="T936" s="143"/>
      <c r="U936" s="303"/>
      <c r="V936" s="303"/>
      <c r="W936" s="303"/>
      <c r="X936" s="303"/>
      <c r="Y936" s="303"/>
      <c r="Z936" s="303"/>
      <c r="AA936" s="303"/>
      <c r="AB936" s="143"/>
      <c r="AC936" s="303"/>
      <c r="AD936" s="303"/>
      <c r="AE936" s="303"/>
      <c r="AF936" s="303"/>
      <c r="AG936" s="303"/>
      <c r="AH936" s="303"/>
      <c r="AI936" s="143"/>
      <c r="AJ936" s="125"/>
      <c r="AK936" s="125"/>
      <c r="AL936" s="125"/>
      <c r="AM936" s="125"/>
    </row>
    <row r="937" spans="1:39" ht="12.75" x14ac:dyDescent="0.2">
      <c r="A937" s="303"/>
      <c r="B937" s="303"/>
      <c r="C937" s="303"/>
      <c r="D937" s="143"/>
      <c r="E937" s="303"/>
      <c r="F937" s="303"/>
      <c r="G937" s="303"/>
      <c r="H937" s="303"/>
      <c r="I937" s="303"/>
      <c r="J937" s="303"/>
      <c r="K937" s="303"/>
      <c r="L937" s="143"/>
      <c r="M937" s="303"/>
      <c r="N937" s="303"/>
      <c r="O937" s="303"/>
      <c r="P937" s="303"/>
      <c r="Q937" s="303"/>
      <c r="R937" s="303"/>
      <c r="S937" s="303"/>
      <c r="T937" s="143"/>
      <c r="U937" s="303"/>
      <c r="V937" s="303"/>
      <c r="W937" s="303"/>
      <c r="X937" s="303"/>
      <c r="Y937" s="303"/>
      <c r="Z937" s="303"/>
      <c r="AA937" s="303"/>
      <c r="AB937" s="143"/>
      <c r="AC937" s="303"/>
      <c r="AD937" s="303"/>
      <c r="AE937" s="303"/>
      <c r="AF937" s="303"/>
      <c r="AG937" s="303"/>
      <c r="AH937" s="303"/>
      <c r="AI937" s="143"/>
      <c r="AJ937" s="125"/>
      <c r="AK937" s="125"/>
      <c r="AL937" s="125"/>
      <c r="AM937" s="125"/>
    </row>
    <row r="938" spans="1:39" ht="12.75" x14ac:dyDescent="0.2">
      <c r="A938" s="303"/>
      <c r="B938" s="303"/>
      <c r="C938" s="303"/>
      <c r="D938" s="143"/>
      <c r="E938" s="303"/>
      <c r="F938" s="303"/>
      <c r="G938" s="303"/>
      <c r="H938" s="303"/>
      <c r="I938" s="303"/>
      <c r="J938" s="303"/>
      <c r="K938" s="303"/>
      <c r="L938" s="143"/>
      <c r="M938" s="303"/>
      <c r="N938" s="303"/>
      <c r="O938" s="303"/>
      <c r="P938" s="303"/>
      <c r="Q938" s="303"/>
      <c r="R938" s="303"/>
      <c r="S938" s="303"/>
      <c r="T938" s="143"/>
      <c r="U938" s="303"/>
      <c r="V938" s="303"/>
      <c r="W938" s="303"/>
      <c r="X938" s="303"/>
      <c r="Y938" s="303"/>
      <c r="Z938" s="303"/>
      <c r="AA938" s="303"/>
      <c r="AB938" s="143"/>
      <c r="AC938" s="303"/>
      <c r="AD938" s="303"/>
      <c r="AE938" s="303"/>
      <c r="AF938" s="303"/>
      <c r="AG938" s="303"/>
      <c r="AH938" s="303"/>
      <c r="AI938" s="143"/>
      <c r="AJ938" s="125"/>
      <c r="AK938" s="125"/>
      <c r="AL938" s="125"/>
      <c r="AM938" s="125"/>
    </row>
    <row r="939" spans="1:39" ht="12.75" x14ac:dyDescent="0.2">
      <c r="A939" s="303"/>
      <c r="B939" s="303"/>
      <c r="C939" s="303"/>
      <c r="D939" s="143"/>
      <c r="E939" s="303"/>
      <c r="F939" s="303"/>
      <c r="G939" s="303"/>
      <c r="H939" s="303"/>
      <c r="I939" s="303"/>
      <c r="J939" s="303"/>
      <c r="K939" s="303"/>
      <c r="L939" s="143"/>
      <c r="M939" s="303"/>
      <c r="N939" s="303"/>
      <c r="O939" s="303"/>
      <c r="P939" s="303"/>
      <c r="Q939" s="303"/>
      <c r="R939" s="303"/>
      <c r="S939" s="303"/>
      <c r="T939" s="143"/>
      <c r="U939" s="303"/>
      <c r="V939" s="303"/>
      <c r="W939" s="303"/>
      <c r="X939" s="303"/>
      <c r="Y939" s="303"/>
      <c r="Z939" s="303"/>
      <c r="AA939" s="303"/>
      <c r="AB939" s="143"/>
      <c r="AC939" s="303"/>
      <c r="AD939" s="303"/>
      <c r="AE939" s="303"/>
      <c r="AF939" s="303"/>
      <c r="AG939" s="303"/>
      <c r="AH939" s="303"/>
      <c r="AI939" s="143"/>
      <c r="AJ939" s="125"/>
      <c r="AK939" s="125"/>
      <c r="AL939" s="125"/>
      <c r="AM939" s="125"/>
    </row>
    <row r="940" spans="1:39" ht="12.75" x14ac:dyDescent="0.2">
      <c r="A940" s="303"/>
      <c r="B940" s="303"/>
      <c r="C940" s="303"/>
      <c r="D940" s="143"/>
      <c r="E940" s="303"/>
      <c r="F940" s="303"/>
      <c r="G940" s="303"/>
      <c r="H940" s="303"/>
      <c r="I940" s="303"/>
      <c r="J940" s="303"/>
      <c r="K940" s="303"/>
      <c r="L940" s="143"/>
      <c r="M940" s="303"/>
      <c r="N940" s="303"/>
      <c r="O940" s="303"/>
      <c r="P940" s="303"/>
      <c r="Q940" s="303"/>
      <c r="R940" s="303"/>
      <c r="S940" s="303"/>
      <c r="T940" s="143"/>
      <c r="U940" s="303"/>
      <c r="V940" s="303"/>
      <c r="W940" s="303"/>
      <c r="X940" s="303"/>
      <c r="Y940" s="303"/>
      <c r="Z940" s="303"/>
      <c r="AA940" s="303"/>
      <c r="AB940" s="143"/>
      <c r="AC940" s="303"/>
      <c r="AD940" s="303"/>
      <c r="AE940" s="303"/>
      <c r="AF940" s="303"/>
      <c r="AG940" s="303"/>
      <c r="AH940" s="303"/>
      <c r="AI940" s="143"/>
      <c r="AJ940" s="125"/>
      <c r="AK940" s="125"/>
      <c r="AL940" s="125"/>
      <c r="AM940" s="125"/>
    </row>
    <row r="941" spans="1:39" ht="12.75" x14ac:dyDescent="0.2">
      <c r="A941" s="303"/>
      <c r="B941" s="303"/>
      <c r="C941" s="303"/>
      <c r="D941" s="143"/>
      <c r="E941" s="303"/>
      <c r="F941" s="303"/>
      <c r="G941" s="303"/>
      <c r="H941" s="303"/>
      <c r="I941" s="303"/>
      <c r="J941" s="303"/>
      <c r="K941" s="303"/>
      <c r="L941" s="143"/>
      <c r="M941" s="303"/>
      <c r="N941" s="303"/>
      <c r="O941" s="303"/>
      <c r="P941" s="303"/>
      <c r="Q941" s="303"/>
      <c r="R941" s="303"/>
      <c r="S941" s="303"/>
      <c r="T941" s="143"/>
      <c r="U941" s="303"/>
      <c r="V941" s="303"/>
      <c r="W941" s="303"/>
      <c r="X941" s="303"/>
      <c r="Y941" s="303"/>
      <c r="Z941" s="303"/>
      <c r="AA941" s="303"/>
      <c r="AB941" s="143"/>
      <c r="AC941" s="303"/>
      <c r="AD941" s="303"/>
      <c r="AE941" s="303"/>
      <c r="AF941" s="303"/>
      <c r="AG941" s="303"/>
      <c r="AH941" s="303"/>
      <c r="AI941" s="143"/>
      <c r="AJ941" s="125"/>
      <c r="AK941" s="125"/>
      <c r="AL941" s="125"/>
      <c r="AM941" s="125"/>
    </row>
    <row r="942" spans="1:39" ht="12.75" x14ac:dyDescent="0.2">
      <c r="A942" s="303"/>
      <c r="B942" s="303"/>
      <c r="C942" s="303"/>
      <c r="D942" s="143"/>
      <c r="E942" s="303"/>
      <c r="F942" s="303"/>
      <c r="G942" s="303"/>
      <c r="H942" s="303"/>
      <c r="I942" s="303"/>
      <c r="J942" s="303"/>
      <c r="K942" s="303"/>
      <c r="L942" s="143"/>
      <c r="M942" s="303"/>
      <c r="N942" s="303"/>
      <c r="O942" s="303"/>
      <c r="P942" s="303"/>
      <c r="Q942" s="303"/>
      <c r="R942" s="303"/>
      <c r="S942" s="303"/>
      <c r="T942" s="143"/>
      <c r="U942" s="303"/>
      <c r="V942" s="303"/>
      <c r="W942" s="303"/>
      <c r="X942" s="303"/>
      <c r="Y942" s="303"/>
      <c r="Z942" s="303"/>
      <c r="AA942" s="303"/>
      <c r="AB942" s="143"/>
      <c r="AC942" s="303"/>
      <c r="AD942" s="303"/>
      <c r="AE942" s="303"/>
      <c r="AF942" s="303"/>
      <c r="AG942" s="303"/>
      <c r="AH942" s="303"/>
      <c r="AI942" s="143"/>
      <c r="AJ942" s="125"/>
      <c r="AK942" s="125"/>
      <c r="AL942" s="125"/>
      <c r="AM942" s="125"/>
    </row>
    <row r="943" spans="1:39" ht="12.75" x14ac:dyDescent="0.2">
      <c r="A943" s="303"/>
      <c r="B943" s="303"/>
      <c r="C943" s="303"/>
      <c r="D943" s="143"/>
      <c r="E943" s="303"/>
      <c r="F943" s="303"/>
      <c r="G943" s="303"/>
      <c r="H943" s="303"/>
      <c r="I943" s="303"/>
      <c r="J943" s="303"/>
      <c r="K943" s="303"/>
      <c r="L943" s="143"/>
      <c r="M943" s="303"/>
      <c r="N943" s="303"/>
      <c r="O943" s="303"/>
      <c r="P943" s="303"/>
      <c r="Q943" s="303"/>
      <c r="R943" s="303"/>
      <c r="S943" s="303"/>
      <c r="T943" s="143"/>
      <c r="U943" s="303"/>
      <c r="V943" s="303"/>
      <c r="W943" s="303"/>
      <c r="X943" s="303"/>
      <c r="Y943" s="303"/>
      <c r="Z943" s="303"/>
      <c r="AA943" s="303"/>
      <c r="AB943" s="143"/>
      <c r="AC943" s="303"/>
      <c r="AD943" s="303"/>
      <c r="AE943" s="303"/>
      <c r="AF943" s="303"/>
      <c r="AG943" s="303"/>
      <c r="AH943" s="303"/>
      <c r="AI943" s="143"/>
      <c r="AJ943" s="125"/>
      <c r="AK943" s="125"/>
      <c r="AL943" s="125"/>
      <c r="AM943" s="125"/>
    </row>
    <row r="944" spans="1:39" ht="12.75" x14ac:dyDescent="0.2">
      <c r="A944" s="303"/>
      <c r="B944" s="303"/>
      <c r="C944" s="303"/>
      <c r="D944" s="143"/>
      <c r="E944" s="303"/>
      <c r="F944" s="303"/>
      <c r="G944" s="303"/>
      <c r="H944" s="303"/>
      <c r="I944" s="303"/>
      <c r="J944" s="303"/>
      <c r="K944" s="303"/>
      <c r="L944" s="143"/>
      <c r="M944" s="303"/>
      <c r="N944" s="303"/>
      <c r="O944" s="303"/>
      <c r="P944" s="303"/>
      <c r="Q944" s="303"/>
      <c r="R944" s="303"/>
      <c r="S944" s="303"/>
      <c r="T944" s="143"/>
      <c r="U944" s="303"/>
      <c r="V944" s="303"/>
      <c r="W944" s="303"/>
      <c r="X944" s="303"/>
      <c r="Y944" s="303"/>
      <c r="Z944" s="303"/>
      <c r="AA944" s="303"/>
      <c r="AB944" s="143"/>
      <c r="AC944" s="303"/>
      <c r="AD944" s="303"/>
      <c r="AE944" s="303"/>
      <c r="AF944" s="303"/>
      <c r="AG944" s="303"/>
      <c r="AH944" s="303"/>
      <c r="AI944" s="143"/>
      <c r="AJ944" s="125"/>
      <c r="AK944" s="125"/>
      <c r="AL944" s="125"/>
      <c r="AM944" s="125"/>
    </row>
    <row r="945" spans="1:39" ht="12.75" x14ac:dyDescent="0.2">
      <c r="A945" s="303"/>
      <c r="B945" s="303"/>
      <c r="C945" s="303"/>
      <c r="D945" s="143"/>
      <c r="E945" s="303"/>
      <c r="F945" s="303"/>
      <c r="G945" s="303"/>
      <c r="H945" s="303"/>
      <c r="I945" s="303"/>
      <c r="J945" s="303"/>
      <c r="K945" s="303"/>
      <c r="L945" s="143"/>
      <c r="M945" s="303"/>
      <c r="N945" s="303"/>
      <c r="O945" s="303"/>
      <c r="P945" s="303"/>
      <c r="Q945" s="303"/>
      <c r="R945" s="303"/>
      <c r="S945" s="303"/>
      <c r="T945" s="143"/>
      <c r="U945" s="303"/>
      <c r="V945" s="303"/>
      <c r="W945" s="303"/>
      <c r="X945" s="303"/>
      <c r="Y945" s="303"/>
      <c r="Z945" s="303"/>
      <c r="AA945" s="303"/>
      <c r="AB945" s="143"/>
      <c r="AC945" s="303"/>
      <c r="AD945" s="303"/>
      <c r="AE945" s="303"/>
      <c r="AF945" s="303"/>
      <c r="AG945" s="303"/>
      <c r="AH945" s="303"/>
      <c r="AI945" s="143"/>
      <c r="AJ945" s="125"/>
      <c r="AK945" s="125"/>
      <c r="AL945" s="125"/>
      <c r="AM945" s="125"/>
    </row>
    <row r="946" spans="1:39" ht="12.75" x14ac:dyDescent="0.2">
      <c r="A946" s="303"/>
      <c r="B946" s="303"/>
      <c r="C946" s="303"/>
      <c r="D946" s="143"/>
      <c r="E946" s="303"/>
      <c r="F946" s="303"/>
      <c r="G946" s="303"/>
      <c r="H946" s="303"/>
      <c r="I946" s="303"/>
      <c r="J946" s="303"/>
      <c r="K946" s="303"/>
      <c r="L946" s="143"/>
      <c r="M946" s="303"/>
      <c r="N946" s="303"/>
      <c r="O946" s="303"/>
      <c r="P946" s="303"/>
      <c r="Q946" s="303"/>
      <c r="R946" s="303"/>
      <c r="S946" s="303"/>
      <c r="T946" s="143"/>
      <c r="U946" s="303"/>
      <c r="V946" s="303"/>
      <c r="W946" s="303"/>
      <c r="X946" s="303"/>
      <c r="Y946" s="303"/>
      <c r="Z946" s="303"/>
      <c r="AA946" s="303"/>
      <c r="AB946" s="143"/>
      <c r="AC946" s="303"/>
      <c r="AD946" s="303"/>
      <c r="AE946" s="303"/>
      <c r="AF946" s="303"/>
      <c r="AG946" s="303"/>
      <c r="AH946" s="303"/>
      <c r="AI946" s="143"/>
      <c r="AJ946" s="125"/>
      <c r="AK946" s="125"/>
      <c r="AL946" s="125"/>
      <c r="AM946" s="125"/>
    </row>
    <row r="947" spans="1:39" ht="12.75" x14ac:dyDescent="0.2">
      <c r="A947" s="303"/>
      <c r="B947" s="303"/>
      <c r="C947" s="303"/>
      <c r="D947" s="143"/>
      <c r="E947" s="303"/>
      <c r="F947" s="303"/>
      <c r="G947" s="303"/>
      <c r="H947" s="303"/>
      <c r="I947" s="303"/>
      <c r="J947" s="303"/>
      <c r="K947" s="303"/>
      <c r="L947" s="143"/>
      <c r="M947" s="303"/>
      <c r="N947" s="303"/>
      <c r="O947" s="303"/>
      <c r="P947" s="303"/>
      <c r="Q947" s="303"/>
      <c r="R947" s="303"/>
      <c r="S947" s="303"/>
      <c r="T947" s="143"/>
      <c r="U947" s="303"/>
      <c r="V947" s="303"/>
      <c r="W947" s="303"/>
      <c r="X947" s="303"/>
      <c r="Y947" s="303"/>
      <c r="Z947" s="303"/>
      <c r="AA947" s="303"/>
      <c r="AB947" s="143"/>
      <c r="AC947" s="303"/>
      <c r="AD947" s="303"/>
      <c r="AE947" s="303"/>
      <c r="AF947" s="303"/>
      <c r="AG947" s="303"/>
      <c r="AH947" s="303"/>
      <c r="AI947" s="143"/>
      <c r="AJ947" s="125"/>
      <c r="AK947" s="125"/>
      <c r="AL947" s="125"/>
      <c r="AM947" s="125"/>
    </row>
    <row r="948" spans="1:39" ht="12.75" x14ac:dyDescent="0.2">
      <c r="A948" s="303"/>
      <c r="B948" s="303"/>
      <c r="C948" s="303"/>
      <c r="D948" s="143"/>
      <c r="E948" s="303"/>
      <c r="F948" s="303"/>
      <c r="G948" s="303"/>
      <c r="H948" s="303"/>
      <c r="I948" s="303"/>
      <c r="J948" s="303"/>
      <c r="K948" s="303"/>
      <c r="L948" s="143"/>
      <c r="M948" s="303"/>
      <c r="N948" s="303"/>
      <c r="O948" s="303"/>
      <c r="P948" s="303"/>
      <c r="Q948" s="303"/>
      <c r="R948" s="303"/>
      <c r="S948" s="303"/>
      <c r="T948" s="143"/>
      <c r="U948" s="303"/>
      <c r="V948" s="303"/>
      <c r="W948" s="303"/>
      <c r="X948" s="303"/>
      <c r="Y948" s="303"/>
      <c r="Z948" s="303"/>
      <c r="AA948" s="303"/>
      <c r="AB948" s="143"/>
      <c r="AC948" s="303"/>
      <c r="AD948" s="303"/>
      <c r="AE948" s="303"/>
      <c r="AF948" s="303"/>
      <c r="AG948" s="303"/>
      <c r="AH948" s="303"/>
      <c r="AI948" s="143"/>
      <c r="AJ948" s="125"/>
      <c r="AK948" s="125"/>
      <c r="AL948" s="125"/>
      <c r="AM948" s="125"/>
    </row>
    <row r="949" spans="1:39" ht="12.75" x14ac:dyDescent="0.2">
      <c r="A949" s="303"/>
      <c r="B949" s="303"/>
      <c r="C949" s="303"/>
      <c r="D949" s="143"/>
      <c r="E949" s="303"/>
      <c r="F949" s="303"/>
      <c r="G949" s="303"/>
      <c r="H949" s="303"/>
      <c r="I949" s="303"/>
      <c r="J949" s="303"/>
      <c r="K949" s="303"/>
      <c r="L949" s="143"/>
      <c r="M949" s="303"/>
      <c r="N949" s="303"/>
      <c r="O949" s="303"/>
      <c r="P949" s="303"/>
      <c r="Q949" s="303"/>
      <c r="R949" s="303"/>
      <c r="S949" s="303"/>
      <c r="T949" s="143"/>
      <c r="U949" s="303"/>
      <c r="V949" s="303"/>
      <c r="W949" s="303"/>
      <c r="X949" s="303"/>
      <c r="Y949" s="303"/>
      <c r="Z949" s="303"/>
      <c r="AA949" s="303"/>
      <c r="AB949" s="143"/>
      <c r="AC949" s="303"/>
      <c r="AD949" s="303"/>
      <c r="AE949" s="303"/>
      <c r="AF949" s="303"/>
      <c r="AG949" s="303"/>
      <c r="AH949" s="303"/>
      <c r="AI949" s="143"/>
      <c r="AJ949" s="125"/>
      <c r="AK949" s="125"/>
      <c r="AL949" s="125"/>
      <c r="AM949" s="125"/>
    </row>
    <row r="950" spans="1:39" ht="12.75" x14ac:dyDescent="0.2">
      <c r="A950" s="303"/>
      <c r="B950" s="303"/>
      <c r="C950" s="303"/>
      <c r="D950" s="143"/>
      <c r="E950" s="303"/>
      <c r="F950" s="303"/>
      <c r="G950" s="303"/>
      <c r="H950" s="303"/>
      <c r="I950" s="303"/>
      <c r="J950" s="303"/>
      <c r="K950" s="303"/>
      <c r="L950" s="143"/>
      <c r="M950" s="303"/>
      <c r="N950" s="303"/>
      <c r="O950" s="303"/>
      <c r="P950" s="303"/>
      <c r="Q950" s="303"/>
      <c r="R950" s="303"/>
      <c r="S950" s="303"/>
      <c r="T950" s="143"/>
      <c r="U950" s="303"/>
      <c r="V950" s="303"/>
      <c r="W950" s="303"/>
      <c r="X950" s="303"/>
      <c r="Y950" s="303"/>
      <c r="Z950" s="303"/>
      <c r="AA950" s="303"/>
      <c r="AB950" s="143"/>
      <c r="AC950" s="303"/>
      <c r="AD950" s="303"/>
      <c r="AE950" s="303"/>
      <c r="AF950" s="303"/>
      <c r="AG950" s="303"/>
      <c r="AH950" s="303"/>
      <c r="AI950" s="143"/>
      <c r="AJ950" s="125"/>
      <c r="AK950" s="125"/>
      <c r="AL950" s="125"/>
      <c r="AM950" s="125"/>
    </row>
    <row r="951" spans="1:39" ht="12.75" x14ac:dyDescent="0.2">
      <c r="A951" s="303"/>
      <c r="B951" s="303"/>
      <c r="C951" s="303"/>
      <c r="D951" s="143"/>
      <c r="E951" s="303"/>
      <c r="F951" s="303"/>
      <c r="G951" s="303"/>
      <c r="H951" s="303"/>
      <c r="I951" s="303"/>
      <c r="J951" s="303"/>
      <c r="K951" s="303"/>
      <c r="L951" s="143"/>
      <c r="M951" s="303"/>
      <c r="N951" s="303"/>
      <c r="O951" s="303"/>
      <c r="P951" s="303"/>
      <c r="Q951" s="303"/>
      <c r="R951" s="303"/>
      <c r="S951" s="303"/>
      <c r="T951" s="143"/>
      <c r="U951" s="303"/>
      <c r="V951" s="303"/>
      <c r="W951" s="303"/>
      <c r="X951" s="303"/>
      <c r="Y951" s="303"/>
      <c r="Z951" s="303"/>
      <c r="AA951" s="303"/>
      <c r="AB951" s="143"/>
      <c r="AC951" s="303"/>
      <c r="AD951" s="303"/>
      <c r="AE951" s="303"/>
      <c r="AF951" s="303"/>
      <c r="AG951" s="303"/>
      <c r="AH951" s="303"/>
      <c r="AI951" s="143"/>
      <c r="AJ951" s="125"/>
      <c r="AK951" s="125"/>
      <c r="AL951" s="125"/>
      <c r="AM951" s="125"/>
    </row>
    <row r="952" spans="1:39" ht="12.75" x14ac:dyDescent="0.2">
      <c r="A952" s="303"/>
      <c r="B952" s="303"/>
      <c r="C952" s="303"/>
      <c r="D952" s="143"/>
      <c r="E952" s="303"/>
      <c r="F952" s="303"/>
      <c r="G952" s="303"/>
      <c r="H952" s="303"/>
      <c r="I952" s="303"/>
      <c r="J952" s="303"/>
      <c r="K952" s="303"/>
      <c r="L952" s="143"/>
      <c r="M952" s="303"/>
      <c r="N952" s="303"/>
      <c r="O952" s="303"/>
      <c r="P952" s="303"/>
      <c r="Q952" s="303"/>
      <c r="R952" s="303"/>
      <c r="S952" s="303"/>
      <c r="T952" s="143"/>
      <c r="U952" s="303"/>
      <c r="V952" s="303"/>
      <c r="W952" s="303"/>
      <c r="X952" s="303"/>
      <c r="Y952" s="303"/>
      <c r="Z952" s="303"/>
      <c r="AA952" s="303"/>
      <c r="AB952" s="143"/>
      <c r="AC952" s="303"/>
      <c r="AD952" s="303"/>
      <c r="AE952" s="303"/>
      <c r="AF952" s="303"/>
      <c r="AG952" s="303"/>
      <c r="AH952" s="303"/>
      <c r="AI952" s="143"/>
      <c r="AJ952" s="125"/>
      <c r="AK952" s="125"/>
      <c r="AL952" s="125"/>
      <c r="AM952" s="125"/>
    </row>
    <row r="953" spans="1:39" ht="12.75" x14ac:dyDescent="0.2">
      <c r="A953" s="303"/>
      <c r="B953" s="303"/>
      <c r="C953" s="303"/>
      <c r="D953" s="143"/>
      <c r="E953" s="303"/>
      <c r="F953" s="303"/>
      <c r="G953" s="303"/>
      <c r="H953" s="303"/>
      <c r="I953" s="303"/>
      <c r="J953" s="303"/>
      <c r="K953" s="303"/>
      <c r="L953" s="143"/>
      <c r="M953" s="303"/>
      <c r="N953" s="303"/>
      <c r="O953" s="303"/>
      <c r="P953" s="303"/>
      <c r="Q953" s="303"/>
      <c r="R953" s="303"/>
      <c r="S953" s="303"/>
      <c r="T953" s="143"/>
      <c r="U953" s="303"/>
      <c r="V953" s="303"/>
      <c r="W953" s="303"/>
      <c r="X953" s="303"/>
      <c r="Y953" s="303"/>
      <c r="Z953" s="303"/>
      <c r="AA953" s="303"/>
      <c r="AB953" s="143"/>
      <c r="AC953" s="303"/>
      <c r="AD953" s="303"/>
      <c r="AE953" s="303"/>
      <c r="AF953" s="303"/>
      <c r="AG953" s="303"/>
      <c r="AH953" s="303"/>
      <c r="AI953" s="143"/>
      <c r="AJ953" s="125"/>
      <c r="AK953" s="125"/>
      <c r="AL953" s="125"/>
      <c r="AM953" s="125"/>
    </row>
    <row r="954" spans="1:39" ht="12.75" x14ac:dyDescent="0.2">
      <c r="A954" s="303"/>
      <c r="B954" s="303"/>
      <c r="C954" s="303"/>
      <c r="D954" s="143"/>
      <c r="E954" s="303"/>
      <c r="F954" s="303"/>
      <c r="G954" s="303"/>
      <c r="H954" s="303"/>
      <c r="I954" s="303"/>
      <c r="J954" s="303"/>
      <c r="K954" s="303"/>
      <c r="L954" s="143"/>
      <c r="M954" s="303"/>
      <c r="N954" s="303"/>
      <c r="O954" s="303"/>
      <c r="P954" s="303"/>
      <c r="Q954" s="303"/>
      <c r="R954" s="303"/>
      <c r="S954" s="303"/>
      <c r="T954" s="143"/>
      <c r="U954" s="303"/>
      <c r="V954" s="303"/>
      <c r="W954" s="303"/>
      <c r="X954" s="303"/>
      <c r="Y954" s="303"/>
      <c r="Z954" s="303"/>
      <c r="AA954" s="303"/>
      <c r="AB954" s="143"/>
      <c r="AC954" s="303"/>
      <c r="AD954" s="303"/>
      <c r="AE954" s="303"/>
      <c r="AF954" s="303"/>
      <c r="AG954" s="303"/>
      <c r="AH954" s="303"/>
      <c r="AI954" s="143"/>
      <c r="AJ954" s="125"/>
      <c r="AK954" s="125"/>
      <c r="AL954" s="125"/>
      <c r="AM954" s="125"/>
    </row>
    <row r="955" spans="1:39" ht="12.75" x14ac:dyDescent="0.2">
      <c r="A955" s="303"/>
      <c r="B955" s="303"/>
      <c r="C955" s="303"/>
      <c r="D955" s="143"/>
      <c r="E955" s="303"/>
      <c r="F955" s="303"/>
      <c r="G955" s="303"/>
      <c r="H955" s="303"/>
      <c r="I955" s="303"/>
      <c r="J955" s="303"/>
      <c r="K955" s="303"/>
      <c r="L955" s="143"/>
      <c r="M955" s="303"/>
      <c r="N955" s="303"/>
      <c r="O955" s="303"/>
      <c r="P955" s="303"/>
      <c r="Q955" s="303"/>
      <c r="R955" s="303"/>
      <c r="S955" s="303"/>
      <c r="T955" s="143"/>
      <c r="U955" s="303"/>
      <c r="V955" s="303"/>
      <c r="W955" s="303"/>
      <c r="X955" s="303"/>
      <c r="Y955" s="303"/>
      <c r="Z955" s="303"/>
      <c r="AA955" s="303"/>
      <c r="AB955" s="143"/>
      <c r="AC955" s="303"/>
      <c r="AD955" s="303"/>
      <c r="AE955" s="303"/>
      <c r="AF955" s="303"/>
      <c r="AG955" s="303"/>
      <c r="AH955" s="303"/>
      <c r="AI955" s="143"/>
      <c r="AJ955" s="125"/>
      <c r="AK955" s="125"/>
      <c r="AL955" s="125"/>
      <c r="AM955" s="125"/>
    </row>
    <row r="956" spans="1:39" ht="12.75" x14ac:dyDescent="0.2">
      <c r="A956" s="303"/>
      <c r="B956" s="303"/>
      <c r="C956" s="303"/>
      <c r="D956" s="143"/>
      <c r="E956" s="303"/>
      <c r="F956" s="303"/>
      <c r="G956" s="303"/>
      <c r="H956" s="303"/>
      <c r="I956" s="303"/>
      <c r="J956" s="303"/>
      <c r="K956" s="303"/>
      <c r="L956" s="143"/>
      <c r="M956" s="303"/>
      <c r="N956" s="303"/>
      <c r="O956" s="303"/>
      <c r="P956" s="303"/>
      <c r="Q956" s="303"/>
      <c r="R956" s="303"/>
      <c r="S956" s="303"/>
      <c r="T956" s="143"/>
      <c r="U956" s="303"/>
      <c r="V956" s="303"/>
      <c r="W956" s="303"/>
      <c r="X956" s="303"/>
      <c r="Y956" s="303"/>
      <c r="Z956" s="303"/>
      <c r="AA956" s="303"/>
      <c r="AB956" s="143"/>
      <c r="AC956" s="303"/>
      <c r="AD956" s="303"/>
      <c r="AE956" s="303"/>
      <c r="AF956" s="303"/>
      <c r="AG956" s="303"/>
      <c r="AH956" s="303"/>
      <c r="AI956" s="143"/>
      <c r="AJ956" s="125"/>
      <c r="AK956" s="125"/>
      <c r="AL956" s="125"/>
      <c r="AM956" s="125"/>
    </row>
    <row r="957" spans="1:39" ht="12.75" x14ac:dyDescent="0.2">
      <c r="A957" s="303"/>
      <c r="B957" s="303"/>
      <c r="C957" s="303"/>
      <c r="D957" s="143"/>
      <c r="E957" s="303"/>
      <c r="F957" s="303"/>
      <c r="G957" s="303"/>
      <c r="H957" s="303"/>
      <c r="I957" s="303"/>
      <c r="J957" s="303"/>
      <c r="K957" s="303"/>
      <c r="L957" s="143"/>
      <c r="M957" s="303"/>
      <c r="N957" s="303"/>
      <c r="O957" s="303"/>
      <c r="P957" s="303"/>
      <c r="Q957" s="303"/>
      <c r="R957" s="303"/>
      <c r="S957" s="303"/>
      <c r="T957" s="143"/>
      <c r="U957" s="303"/>
      <c r="V957" s="303"/>
      <c r="W957" s="303"/>
      <c r="X957" s="303"/>
      <c r="Y957" s="303"/>
      <c r="Z957" s="303"/>
      <c r="AA957" s="303"/>
      <c r="AB957" s="143"/>
      <c r="AC957" s="303"/>
      <c r="AD957" s="303"/>
      <c r="AE957" s="303"/>
      <c r="AF957" s="303"/>
      <c r="AG957" s="303"/>
      <c r="AH957" s="303"/>
      <c r="AI957" s="143"/>
      <c r="AJ957" s="125"/>
      <c r="AK957" s="125"/>
      <c r="AL957" s="125"/>
      <c r="AM957" s="125"/>
    </row>
    <row r="958" spans="1:39" ht="12.75" x14ac:dyDescent="0.2">
      <c r="A958" s="303"/>
      <c r="B958" s="303"/>
      <c r="C958" s="303"/>
      <c r="D958" s="143"/>
      <c r="E958" s="303"/>
      <c r="F958" s="303"/>
      <c r="G958" s="303"/>
      <c r="H958" s="303"/>
      <c r="I958" s="303"/>
      <c r="J958" s="303"/>
      <c r="K958" s="303"/>
      <c r="L958" s="143"/>
      <c r="M958" s="303"/>
      <c r="N958" s="303"/>
      <c r="O958" s="303"/>
      <c r="P958" s="303"/>
      <c r="Q958" s="303"/>
      <c r="R958" s="303"/>
      <c r="S958" s="303"/>
      <c r="T958" s="143"/>
      <c r="U958" s="303"/>
      <c r="V958" s="303"/>
      <c r="W958" s="303"/>
      <c r="X958" s="303"/>
      <c r="Y958" s="303"/>
      <c r="Z958" s="303"/>
      <c r="AA958" s="303"/>
      <c r="AB958" s="143"/>
      <c r="AC958" s="303"/>
      <c r="AD958" s="303"/>
      <c r="AE958" s="303"/>
      <c r="AF958" s="303"/>
      <c r="AG958" s="303"/>
      <c r="AH958" s="303"/>
      <c r="AI958" s="143"/>
      <c r="AJ958" s="125"/>
      <c r="AK958" s="125"/>
      <c r="AL958" s="125"/>
      <c r="AM958" s="125"/>
    </row>
    <row r="959" spans="1:39" ht="12.75" x14ac:dyDescent="0.2">
      <c r="A959" s="303"/>
      <c r="B959" s="303"/>
      <c r="C959" s="303"/>
      <c r="D959" s="143"/>
      <c r="E959" s="303"/>
      <c r="F959" s="303"/>
      <c r="G959" s="303"/>
      <c r="H959" s="303"/>
      <c r="I959" s="303"/>
      <c r="J959" s="303"/>
      <c r="K959" s="303"/>
      <c r="L959" s="143"/>
      <c r="M959" s="303"/>
      <c r="N959" s="303"/>
      <c r="O959" s="303"/>
      <c r="P959" s="303"/>
      <c r="Q959" s="303"/>
      <c r="R959" s="303"/>
      <c r="S959" s="303"/>
      <c r="T959" s="143"/>
      <c r="U959" s="303"/>
      <c r="V959" s="303"/>
      <c r="W959" s="303"/>
      <c r="X959" s="303"/>
      <c r="Y959" s="303"/>
      <c r="Z959" s="303"/>
      <c r="AA959" s="303"/>
      <c r="AB959" s="143"/>
      <c r="AC959" s="303"/>
      <c r="AD959" s="303"/>
      <c r="AE959" s="303"/>
      <c r="AF959" s="303"/>
      <c r="AG959" s="303"/>
      <c r="AH959" s="303"/>
      <c r="AI959" s="143"/>
      <c r="AJ959" s="125"/>
      <c r="AK959" s="125"/>
      <c r="AL959" s="125"/>
      <c r="AM959" s="125"/>
    </row>
    <row r="960" spans="1:39" ht="12.75" x14ac:dyDescent="0.2">
      <c r="A960" s="303"/>
      <c r="B960" s="303"/>
      <c r="C960" s="303"/>
      <c r="D960" s="143"/>
      <c r="E960" s="303"/>
      <c r="F960" s="303"/>
      <c r="G960" s="303"/>
      <c r="H960" s="303"/>
      <c r="I960" s="303"/>
      <c r="J960" s="303"/>
      <c r="K960" s="303"/>
      <c r="L960" s="143"/>
      <c r="M960" s="303"/>
      <c r="N960" s="303"/>
      <c r="O960" s="303"/>
      <c r="P960" s="303"/>
      <c r="Q960" s="303"/>
      <c r="R960" s="303"/>
      <c r="S960" s="303"/>
      <c r="T960" s="143"/>
      <c r="U960" s="303"/>
      <c r="V960" s="303"/>
      <c r="W960" s="303"/>
      <c r="X960" s="303"/>
      <c r="Y960" s="303"/>
      <c r="Z960" s="303"/>
      <c r="AA960" s="303"/>
      <c r="AB960" s="143"/>
      <c r="AC960" s="303"/>
      <c r="AD960" s="303"/>
      <c r="AE960" s="303"/>
      <c r="AF960" s="303"/>
      <c r="AG960" s="303"/>
      <c r="AH960" s="303"/>
      <c r="AI960" s="143"/>
      <c r="AJ960" s="125"/>
      <c r="AK960" s="125"/>
      <c r="AL960" s="125"/>
      <c r="AM960" s="125"/>
    </row>
    <row r="961" spans="1:39" ht="12.75" x14ac:dyDescent="0.2">
      <c r="A961" s="303"/>
      <c r="B961" s="303"/>
      <c r="C961" s="303"/>
      <c r="D961" s="143"/>
      <c r="E961" s="303"/>
      <c r="F961" s="303"/>
      <c r="G961" s="303"/>
      <c r="H961" s="303"/>
      <c r="I961" s="303"/>
      <c r="J961" s="303"/>
      <c r="K961" s="303"/>
      <c r="L961" s="143"/>
      <c r="M961" s="303"/>
      <c r="N961" s="303"/>
      <c r="O961" s="303"/>
      <c r="P961" s="303"/>
      <c r="Q961" s="303"/>
      <c r="R961" s="303"/>
      <c r="S961" s="303"/>
      <c r="T961" s="143"/>
      <c r="U961" s="303"/>
      <c r="V961" s="303"/>
      <c r="W961" s="303"/>
      <c r="X961" s="303"/>
      <c r="Y961" s="303"/>
      <c r="Z961" s="303"/>
      <c r="AA961" s="303"/>
      <c r="AB961" s="143"/>
      <c r="AC961" s="303"/>
      <c r="AD961" s="303"/>
      <c r="AE961" s="303"/>
      <c r="AF961" s="303"/>
      <c r="AG961" s="303"/>
      <c r="AH961" s="303"/>
      <c r="AI961" s="143"/>
      <c r="AJ961" s="125"/>
      <c r="AK961" s="125"/>
      <c r="AL961" s="125"/>
      <c r="AM961" s="125"/>
    </row>
    <row r="962" spans="1:39" ht="12.75" x14ac:dyDescent="0.2">
      <c r="A962" s="303"/>
      <c r="B962" s="303"/>
      <c r="C962" s="303"/>
      <c r="D962" s="143"/>
      <c r="E962" s="303"/>
      <c r="F962" s="303"/>
      <c r="G962" s="303"/>
      <c r="H962" s="303"/>
      <c r="I962" s="303"/>
      <c r="J962" s="303"/>
      <c r="K962" s="303"/>
      <c r="L962" s="143"/>
      <c r="M962" s="303"/>
      <c r="N962" s="303"/>
      <c r="O962" s="303"/>
      <c r="P962" s="303"/>
      <c r="Q962" s="303"/>
      <c r="R962" s="303"/>
      <c r="S962" s="303"/>
      <c r="T962" s="143"/>
      <c r="U962" s="303"/>
      <c r="V962" s="303"/>
      <c r="W962" s="303"/>
      <c r="X962" s="303"/>
      <c r="Y962" s="303"/>
      <c r="Z962" s="303"/>
      <c r="AA962" s="303"/>
      <c r="AB962" s="143"/>
      <c r="AC962" s="303"/>
      <c r="AD962" s="303"/>
      <c r="AE962" s="303"/>
      <c r="AF962" s="303"/>
      <c r="AG962" s="303"/>
      <c r="AH962" s="303"/>
      <c r="AI962" s="143"/>
      <c r="AJ962" s="125"/>
      <c r="AK962" s="125"/>
      <c r="AL962" s="125"/>
      <c r="AM962" s="125"/>
    </row>
    <row r="963" spans="1:39" ht="12.75" x14ac:dyDescent="0.2">
      <c r="A963" s="303"/>
      <c r="B963" s="303"/>
      <c r="C963" s="303"/>
      <c r="D963" s="143"/>
      <c r="E963" s="303"/>
      <c r="F963" s="303"/>
      <c r="G963" s="303"/>
      <c r="H963" s="303"/>
      <c r="I963" s="303"/>
      <c r="J963" s="303"/>
      <c r="K963" s="303"/>
      <c r="L963" s="143"/>
      <c r="M963" s="303"/>
      <c r="N963" s="303"/>
      <c r="O963" s="303"/>
      <c r="P963" s="303"/>
      <c r="Q963" s="303"/>
      <c r="R963" s="303"/>
      <c r="S963" s="303"/>
      <c r="T963" s="143"/>
      <c r="U963" s="303"/>
      <c r="V963" s="303"/>
      <c r="W963" s="303"/>
      <c r="X963" s="303"/>
      <c r="Y963" s="303"/>
      <c r="Z963" s="303"/>
      <c r="AA963" s="303"/>
      <c r="AB963" s="143"/>
      <c r="AC963" s="303"/>
      <c r="AD963" s="303"/>
      <c r="AE963" s="303"/>
      <c r="AF963" s="303"/>
      <c r="AG963" s="303"/>
      <c r="AH963" s="303"/>
      <c r="AI963" s="143"/>
      <c r="AJ963" s="125"/>
      <c r="AK963" s="125"/>
      <c r="AL963" s="125"/>
      <c r="AM963" s="125"/>
    </row>
    <row r="964" spans="1:39" ht="12.75" x14ac:dyDescent="0.2">
      <c r="A964" s="303"/>
      <c r="B964" s="303"/>
      <c r="C964" s="303"/>
      <c r="D964" s="143"/>
      <c r="E964" s="303"/>
      <c r="F964" s="303"/>
      <c r="G964" s="303"/>
      <c r="H964" s="303"/>
      <c r="I964" s="303"/>
      <c r="J964" s="303"/>
      <c r="K964" s="303"/>
      <c r="L964" s="143"/>
      <c r="M964" s="303"/>
      <c r="N964" s="303"/>
      <c r="O964" s="303"/>
      <c r="P964" s="303"/>
      <c r="Q964" s="303"/>
      <c r="R964" s="303"/>
      <c r="S964" s="303"/>
      <c r="T964" s="143"/>
      <c r="U964" s="303"/>
      <c r="V964" s="303"/>
      <c r="W964" s="303"/>
      <c r="X964" s="303"/>
      <c r="Y964" s="303"/>
      <c r="Z964" s="303"/>
      <c r="AA964" s="303"/>
      <c r="AB964" s="143"/>
      <c r="AC964" s="303"/>
      <c r="AD964" s="303"/>
      <c r="AE964" s="303"/>
      <c r="AF964" s="303"/>
      <c r="AG964" s="303"/>
      <c r="AH964" s="303"/>
      <c r="AI964" s="143"/>
      <c r="AJ964" s="125"/>
      <c r="AK964" s="125"/>
      <c r="AL964" s="125"/>
      <c r="AM964" s="125"/>
    </row>
    <row r="965" spans="1:39" ht="12.75" x14ac:dyDescent="0.2">
      <c r="A965" s="303"/>
      <c r="B965" s="303"/>
      <c r="C965" s="303"/>
      <c r="D965" s="143"/>
      <c r="E965" s="303"/>
      <c r="F965" s="303"/>
      <c r="G965" s="303"/>
      <c r="H965" s="303"/>
      <c r="I965" s="303"/>
      <c r="J965" s="303"/>
      <c r="K965" s="303"/>
      <c r="L965" s="143"/>
      <c r="M965" s="303"/>
      <c r="N965" s="303"/>
      <c r="O965" s="303"/>
      <c r="P965" s="303"/>
      <c r="Q965" s="303"/>
      <c r="R965" s="303"/>
      <c r="S965" s="303"/>
      <c r="T965" s="143"/>
      <c r="U965" s="303"/>
      <c r="V965" s="303"/>
      <c r="W965" s="303"/>
      <c r="X965" s="303"/>
      <c r="Y965" s="303"/>
      <c r="Z965" s="303"/>
      <c r="AA965" s="303"/>
      <c r="AB965" s="143"/>
      <c r="AC965" s="303"/>
      <c r="AD965" s="303"/>
      <c r="AE965" s="303"/>
      <c r="AF965" s="303"/>
      <c r="AG965" s="303"/>
      <c r="AH965" s="303"/>
      <c r="AI965" s="143"/>
      <c r="AJ965" s="125"/>
      <c r="AK965" s="125"/>
      <c r="AL965" s="125"/>
      <c r="AM965" s="125"/>
    </row>
    <row r="966" spans="1:39" ht="12.75" x14ac:dyDescent="0.2">
      <c r="A966" s="303"/>
      <c r="B966" s="303"/>
      <c r="C966" s="303"/>
      <c r="D966" s="143"/>
      <c r="E966" s="303"/>
      <c r="F966" s="303"/>
      <c r="G966" s="303"/>
      <c r="H966" s="303"/>
      <c r="I966" s="303"/>
      <c r="J966" s="303"/>
      <c r="K966" s="303"/>
      <c r="L966" s="143"/>
      <c r="M966" s="303"/>
      <c r="N966" s="303"/>
      <c r="O966" s="303"/>
      <c r="P966" s="303"/>
      <c r="Q966" s="303"/>
      <c r="R966" s="303"/>
      <c r="S966" s="303"/>
      <c r="T966" s="143"/>
      <c r="U966" s="303"/>
      <c r="V966" s="303"/>
      <c r="W966" s="303"/>
      <c r="X966" s="303"/>
      <c r="Y966" s="303"/>
      <c r="Z966" s="303"/>
      <c r="AA966" s="303"/>
      <c r="AB966" s="143"/>
      <c r="AC966" s="303"/>
      <c r="AD966" s="303"/>
      <c r="AE966" s="303"/>
      <c r="AF966" s="303"/>
      <c r="AG966" s="303"/>
      <c r="AH966" s="303"/>
      <c r="AI966" s="143"/>
      <c r="AJ966" s="125"/>
      <c r="AK966" s="125"/>
      <c r="AL966" s="125"/>
      <c r="AM966" s="125"/>
    </row>
    <row r="967" spans="1:39" ht="12.75" x14ac:dyDescent="0.2">
      <c r="A967" s="303"/>
      <c r="B967" s="303"/>
      <c r="C967" s="303"/>
      <c r="D967" s="143"/>
      <c r="E967" s="303"/>
      <c r="F967" s="303"/>
      <c r="G967" s="303"/>
      <c r="H967" s="303"/>
      <c r="I967" s="303"/>
      <c r="J967" s="303"/>
      <c r="K967" s="303"/>
      <c r="L967" s="143"/>
      <c r="M967" s="303"/>
      <c r="N967" s="303"/>
      <c r="O967" s="303"/>
      <c r="P967" s="303"/>
      <c r="Q967" s="303"/>
      <c r="R967" s="303"/>
      <c r="S967" s="303"/>
      <c r="T967" s="143"/>
      <c r="U967" s="303"/>
      <c r="V967" s="303"/>
      <c r="W967" s="303"/>
      <c r="X967" s="303"/>
      <c r="Y967" s="303"/>
      <c r="Z967" s="303"/>
      <c r="AA967" s="303"/>
      <c r="AB967" s="143"/>
      <c r="AC967" s="303"/>
      <c r="AD967" s="303"/>
      <c r="AE967" s="303"/>
      <c r="AF967" s="303"/>
      <c r="AG967" s="303"/>
      <c r="AH967" s="303"/>
      <c r="AI967" s="143"/>
      <c r="AJ967" s="125"/>
      <c r="AK967" s="125"/>
      <c r="AL967" s="125"/>
      <c r="AM967" s="125"/>
    </row>
    <row r="968" spans="1:39" ht="12.75" x14ac:dyDescent="0.2">
      <c r="A968" s="303"/>
      <c r="B968" s="303"/>
      <c r="C968" s="303"/>
      <c r="D968" s="143"/>
      <c r="E968" s="303"/>
      <c r="F968" s="303"/>
      <c r="G968" s="303"/>
      <c r="H968" s="303"/>
      <c r="I968" s="303"/>
      <c r="J968" s="303"/>
      <c r="K968" s="303"/>
      <c r="L968" s="143"/>
      <c r="M968" s="303"/>
      <c r="N968" s="303"/>
      <c r="O968" s="303"/>
      <c r="P968" s="303"/>
      <c r="Q968" s="303"/>
      <c r="R968" s="303"/>
      <c r="S968" s="303"/>
      <c r="T968" s="143"/>
      <c r="U968" s="303"/>
      <c r="V968" s="303"/>
      <c r="W968" s="303"/>
      <c r="X968" s="303"/>
      <c r="Y968" s="303"/>
      <c r="Z968" s="303"/>
      <c r="AA968" s="303"/>
      <c r="AB968" s="143"/>
      <c r="AC968" s="303"/>
      <c r="AD968" s="303"/>
      <c r="AE968" s="303"/>
      <c r="AF968" s="303"/>
      <c r="AG968" s="303"/>
      <c r="AH968" s="303"/>
      <c r="AI968" s="143"/>
      <c r="AJ968" s="125"/>
      <c r="AK968" s="125"/>
      <c r="AL968" s="125"/>
      <c r="AM968" s="125"/>
    </row>
    <row r="969" spans="1:39" ht="12.75" x14ac:dyDescent="0.2">
      <c r="A969" s="303"/>
      <c r="B969" s="303"/>
      <c r="C969" s="303"/>
      <c r="D969" s="143"/>
      <c r="E969" s="303"/>
      <c r="F969" s="303"/>
      <c r="G969" s="303"/>
      <c r="H969" s="303"/>
      <c r="I969" s="303"/>
      <c r="J969" s="303"/>
      <c r="K969" s="303"/>
      <c r="L969" s="143"/>
      <c r="M969" s="303"/>
      <c r="N969" s="303"/>
      <c r="O969" s="303"/>
      <c r="P969" s="303"/>
      <c r="Q969" s="303"/>
      <c r="R969" s="303"/>
      <c r="S969" s="303"/>
      <c r="T969" s="143"/>
      <c r="U969" s="303"/>
      <c r="V969" s="303"/>
      <c r="W969" s="303"/>
      <c r="X969" s="303"/>
      <c r="Y969" s="303"/>
      <c r="Z969" s="303"/>
      <c r="AA969" s="303"/>
      <c r="AB969" s="143"/>
      <c r="AC969" s="303"/>
      <c r="AD969" s="303"/>
      <c r="AE969" s="303"/>
      <c r="AF969" s="303"/>
      <c r="AG969" s="303"/>
      <c r="AH969" s="303"/>
      <c r="AI969" s="143"/>
      <c r="AJ969" s="125"/>
      <c r="AK969" s="125"/>
      <c r="AL969" s="125"/>
      <c r="AM969" s="125"/>
    </row>
    <row r="970" spans="1:39" ht="12.75" x14ac:dyDescent="0.2">
      <c r="A970" s="303"/>
      <c r="B970" s="303"/>
      <c r="C970" s="303"/>
      <c r="D970" s="143"/>
      <c r="E970" s="303"/>
      <c r="F970" s="303"/>
      <c r="G970" s="303"/>
      <c r="H970" s="303"/>
      <c r="I970" s="303"/>
      <c r="J970" s="303"/>
      <c r="K970" s="303"/>
      <c r="L970" s="143"/>
      <c r="M970" s="303"/>
      <c r="N970" s="303"/>
      <c r="O970" s="303"/>
      <c r="P970" s="303"/>
      <c r="Q970" s="303"/>
      <c r="R970" s="303"/>
      <c r="S970" s="303"/>
      <c r="T970" s="143"/>
      <c r="U970" s="303"/>
      <c r="V970" s="303"/>
      <c r="W970" s="303"/>
      <c r="X970" s="303"/>
      <c r="Y970" s="303"/>
      <c r="Z970" s="303"/>
      <c r="AA970" s="303"/>
      <c r="AB970" s="143"/>
      <c r="AC970" s="303"/>
      <c r="AD970" s="303"/>
      <c r="AE970" s="303"/>
      <c r="AF970" s="303"/>
      <c r="AG970" s="303"/>
      <c r="AH970" s="303"/>
      <c r="AI970" s="143"/>
      <c r="AJ970" s="125"/>
      <c r="AK970" s="125"/>
      <c r="AL970" s="125"/>
      <c r="AM970" s="125"/>
    </row>
    <row r="971" spans="1:39" ht="12.75" x14ac:dyDescent="0.2">
      <c r="A971" s="303"/>
      <c r="B971" s="303"/>
      <c r="C971" s="303"/>
      <c r="D971" s="143"/>
      <c r="E971" s="303"/>
      <c r="F971" s="303"/>
      <c r="G971" s="303"/>
      <c r="H971" s="303"/>
      <c r="I971" s="303"/>
      <c r="J971" s="303"/>
      <c r="K971" s="303"/>
      <c r="L971" s="143"/>
      <c r="M971" s="303"/>
      <c r="N971" s="303"/>
      <c r="O971" s="303"/>
      <c r="P971" s="303"/>
      <c r="Q971" s="303"/>
      <c r="R971" s="303"/>
      <c r="S971" s="303"/>
      <c r="T971" s="143"/>
      <c r="U971" s="303"/>
      <c r="V971" s="303"/>
      <c r="W971" s="303"/>
      <c r="X971" s="303"/>
      <c r="Y971" s="303"/>
      <c r="Z971" s="303"/>
      <c r="AA971" s="303"/>
      <c r="AB971" s="143"/>
      <c r="AC971" s="303"/>
      <c r="AD971" s="303"/>
      <c r="AE971" s="303"/>
      <c r="AF971" s="303"/>
      <c r="AG971" s="303"/>
      <c r="AH971" s="303"/>
      <c r="AI971" s="143"/>
      <c r="AJ971" s="125"/>
      <c r="AK971" s="125"/>
      <c r="AL971" s="125"/>
      <c r="AM971" s="125"/>
    </row>
    <row r="972" spans="1:39" ht="12.75" x14ac:dyDescent="0.2">
      <c r="A972" s="303"/>
      <c r="B972" s="303"/>
      <c r="C972" s="303"/>
      <c r="D972" s="143"/>
      <c r="E972" s="303"/>
      <c r="F972" s="303"/>
      <c r="G972" s="303"/>
      <c r="H972" s="303"/>
      <c r="I972" s="303"/>
      <c r="J972" s="303"/>
      <c r="K972" s="303"/>
      <c r="L972" s="143"/>
      <c r="M972" s="303"/>
      <c r="N972" s="303"/>
      <c r="O972" s="303"/>
      <c r="P972" s="303"/>
      <c r="Q972" s="303"/>
      <c r="R972" s="303"/>
      <c r="S972" s="303"/>
      <c r="T972" s="143"/>
      <c r="U972" s="303"/>
      <c r="V972" s="303"/>
      <c r="W972" s="303"/>
      <c r="X972" s="303"/>
      <c r="Y972" s="303"/>
      <c r="Z972" s="303"/>
      <c r="AA972" s="303"/>
      <c r="AB972" s="143"/>
      <c r="AC972" s="303"/>
      <c r="AD972" s="303"/>
      <c r="AE972" s="303"/>
      <c r="AF972" s="303"/>
      <c r="AG972" s="303"/>
      <c r="AH972" s="303"/>
      <c r="AI972" s="143"/>
      <c r="AJ972" s="125"/>
      <c r="AK972" s="125"/>
      <c r="AL972" s="125"/>
      <c r="AM972" s="125"/>
    </row>
    <row r="973" spans="1:39" ht="12.75" x14ac:dyDescent="0.2">
      <c r="A973" s="303"/>
      <c r="B973" s="303"/>
      <c r="C973" s="303"/>
      <c r="D973" s="143"/>
      <c r="E973" s="303"/>
      <c r="F973" s="303"/>
      <c r="G973" s="303"/>
      <c r="H973" s="303"/>
      <c r="I973" s="303"/>
      <c r="J973" s="303"/>
      <c r="K973" s="303"/>
      <c r="L973" s="143"/>
      <c r="M973" s="303"/>
      <c r="N973" s="303"/>
      <c r="O973" s="303"/>
      <c r="P973" s="303"/>
      <c r="Q973" s="303"/>
      <c r="R973" s="303"/>
      <c r="S973" s="303"/>
      <c r="T973" s="143"/>
      <c r="U973" s="303"/>
      <c r="V973" s="303"/>
      <c r="W973" s="303"/>
      <c r="X973" s="303"/>
      <c r="Y973" s="303"/>
      <c r="Z973" s="303"/>
      <c r="AA973" s="303"/>
      <c r="AB973" s="143"/>
      <c r="AC973" s="303"/>
      <c r="AD973" s="303"/>
      <c r="AE973" s="303"/>
      <c r="AF973" s="303"/>
      <c r="AG973" s="303"/>
      <c r="AH973" s="303"/>
      <c r="AI973" s="143"/>
      <c r="AJ973" s="125"/>
      <c r="AK973" s="125"/>
      <c r="AL973" s="125"/>
      <c r="AM973" s="125"/>
    </row>
    <row r="974" spans="1:39" ht="12.75" x14ac:dyDescent="0.2">
      <c r="A974" s="303"/>
      <c r="B974" s="303"/>
      <c r="C974" s="303"/>
      <c r="D974" s="143"/>
      <c r="E974" s="303"/>
      <c r="F974" s="303"/>
      <c r="G974" s="303"/>
      <c r="H974" s="303"/>
      <c r="I974" s="303"/>
      <c r="J974" s="303"/>
      <c r="K974" s="303"/>
      <c r="L974" s="143"/>
      <c r="M974" s="303"/>
      <c r="N974" s="303"/>
      <c r="O974" s="303"/>
      <c r="P974" s="303"/>
      <c r="Q974" s="303"/>
      <c r="R974" s="303"/>
      <c r="S974" s="303"/>
      <c r="T974" s="143"/>
      <c r="U974" s="303"/>
      <c r="V974" s="303"/>
      <c r="W974" s="303"/>
      <c r="X974" s="303"/>
      <c r="Y974" s="303"/>
      <c r="Z974" s="303"/>
      <c r="AA974" s="303"/>
      <c r="AB974" s="143"/>
      <c r="AC974" s="303"/>
      <c r="AD974" s="303"/>
      <c r="AE974" s="303"/>
      <c r="AF974" s="303"/>
      <c r="AG974" s="303"/>
      <c r="AH974" s="303"/>
      <c r="AI974" s="143"/>
      <c r="AJ974" s="125"/>
      <c r="AK974" s="125"/>
      <c r="AL974" s="125"/>
      <c r="AM974" s="125"/>
    </row>
    <row r="975" spans="1:39" ht="12.75" x14ac:dyDescent="0.2">
      <c r="A975" s="303"/>
      <c r="B975" s="303"/>
      <c r="C975" s="303"/>
      <c r="D975" s="143"/>
      <c r="E975" s="303"/>
      <c r="F975" s="303"/>
      <c r="G975" s="303"/>
      <c r="H975" s="303"/>
      <c r="I975" s="303"/>
      <c r="J975" s="303"/>
      <c r="K975" s="303"/>
      <c r="L975" s="143"/>
      <c r="M975" s="303"/>
      <c r="N975" s="303"/>
      <c r="O975" s="303"/>
      <c r="P975" s="303"/>
      <c r="Q975" s="303"/>
      <c r="R975" s="303"/>
      <c r="S975" s="303"/>
      <c r="T975" s="143"/>
      <c r="U975" s="303"/>
      <c r="V975" s="303"/>
      <c r="W975" s="303"/>
      <c r="X975" s="303"/>
      <c r="Y975" s="303"/>
      <c r="Z975" s="303"/>
      <c r="AA975" s="303"/>
      <c r="AB975" s="143"/>
      <c r="AC975" s="303"/>
      <c r="AD975" s="303"/>
      <c r="AE975" s="303"/>
      <c r="AF975" s="303"/>
      <c r="AG975" s="303"/>
      <c r="AH975" s="303"/>
      <c r="AI975" s="143"/>
      <c r="AJ975" s="125"/>
      <c r="AK975" s="125"/>
      <c r="AL975" s="125"/>
      <c r="AM975" s="125"/>
    </row>
    <row r="976" spans="1:39" ht="12.75" x14ac:dyDescent="0.2">
      <c r="A976" s="303"/>
      <c r="B976" s="303"/>
      <c r="C976" s="303"/>
      <c r="D976" s="143"/>
      <c r="E976" s="303"/>
      <c r="F976" s="303"/>
      <c r="G976" s="303"/>
      <c r="H976" s="303"/>
      <c r="I976" s="303"/>
      <c r="J976" s="303"/>
      <c r="K976" s="303"/>
      <c r="L976" s="143"/>
      <c r="M976" s="303"/>
      <c r="N976" s="303"/>
      <c r="O976" s="303"/>
      <c r="P976" s="303"/>
      <c r="Q976" s="303"/>
      <c r="R976" s="303"/>
      <c r="S976" s="303"/>
      <c r="T976" s="143"/>
      <c r="U976" s="303"/>
      <c r="V976" s="303"/>
      <c r="W976" s="303"/>
      <c r="X976" s="303"/>
      <c r="Y976" s="303"/>
      <c r="Z976" s="303"/>
      <c r="AA976" s="303"/>
      <c r="AB976" s="143"/>
      <c r="AC976" s="303"/>
      <c r="AD976" s="303"/>
      <c r="AE976" s="303"/>
      <c r="AF976" s="303"/>
      <c r="AG976" s="303"/>
      <c r="AH976" s="303"/>
      <c r="AI976" s="143"/>
      <c r="AJ976" s="125"/>
      <c r="AK976" s="125"/>
      <c r="AL976" s="125"/>
      <c r="AM976" s="125"/>
    </row>
    <row r="977" spans="1:39" ht="12.75" x14ac:dyDescent="0.2">
      <c r="A977" s="303"/>
      <c r="B977" s="303"/>
      <c r="C977" s="303"/>
      <c r="D977" s="143"/>
      <c r="E977" s="303"/>
      <c r="F977" s="303"/>
      <c r="G977" s="303"/>
      <c r="H977" s="303"/>
      <c r="I977" s="303"/>
      <c r="J977" s="303"/>
      <c r="K977" s="303"/>
      <c r="L977" s="143"/>
      <c r="M977" s="303"/>
      <c r="N977" s="303"/>
      <c r="O977" s="303"/>
      <c r="P977" s="303"/>
      <c r="Q977" s="303"/>
      <c r="R977" s="303"/>
      <c r="S977" s="303"/>
      <c r="T977" s="143"/>
      <c r="U977" s="303"/>
      <c r="V977" s="303"/>
      <c r="W977" s="303"/>
      <c r="X977" s="303"/>
      <c r="Y977" s="303"/>
      <c r="Z977" s="303"/>
      <c r="AA977" s="303"/>
      <c r="AB977" s="143"/>
      <c r="AC977" s="303"/>
      <c r="AD977" s="303"/>
      <c r="AE977" s="303"/>
      <c r="AF977" s="303"/>
      <c r="AG977" s="303"/>
      <c r="AH977" s="303"/>
      <c r="AI977" s="143"/>
      <c r="AJ977" s="125"/>
      <c r="AK977" s="125"/>
      <c r="AL977" s="125"/>
      <c r="AM977" s="125"/>
    </row>
    <row r="978" spans="1:39" ht="12.75" x14ac:dyDescent="0.2">
      <c r="A978" s="303"/>
      <c r="B978" s="303"/>
      <c r="C978" s="303"/>
      <c r="D978" s="143"/>
      <c r="E978" s="303"/>
      <c r="F978" s="303"/>
      <c r="G978" s="303"/>
      <c r="H978" s="303"/>
      <c r="I978" s="303"/>
      <c r="J978" s="303"/>
      <c r="K978" s="303"/>
      <c r="L978" s="143"/>
      <c r="M978" s="303"/>
      <c r="N978" s="303"/>
      <c r="O978" s="303"/>
      <c r="P978" s="303"/>
      <c r="Q978" s="303"/>
      <c r="R978" s="303"/>
      <c r="S978" s="303"/>
      <c r="T978" s="143"/>
      <c r="U978" s="303"/>
      <c r="V978" s="303"/>
      <c r="W978" s="303"/>
      <c r="X978" s="303"/>
      <c r="Y978" s="303"/>
      <c r="Z978" s="303"/>
      <c r="AA978" s="303"/>
      <c r="AB978" s="143"/>
      <c r="AC978" s="303"/>
      <c r="AD978" s="303"/>
      <c r="AE978" s="303"/>
      <c r="AF978" s="303"/>
      <c r="AG978" s="303"/>
      <c r="AH978" s="303"/>
      <c r="AI978" s="143"/>
      <c r="AJ978" s="125"/>
      <c r="AK978" s="125"/>
      <c r="AL978" s="125"/>
      <c r="AM978" s="125"/>
    </row>
    <row r="979" spans="1:39" ht="12.75" x14ac:dyDescent="0.2">
      <c r="A979" s="303"/>
      <c r="B979" s="303"/>
      <c r="C979" s="303"/>
      <c r="D979" s="143"/>
      <c r="E979" s="303"/>
      <c r="F979" s="303"/>
      <c r="G979" s="303"/>
      <c r="H979" s="303"/>
      <c r="I979" s="303"/>
      <c r="J979" s="303"/>
      <c r="K979" s="303"/>
      <c r="L979" s="143"/>
      <c r="M979" s="303"/>
      <c r="N979" s="303"/>
      <c r="O979" s="303"/>
      <c r="P979" s="303"/>
      <c r="Q979" s="303"/>
      <c r="R979" s="303"/>
      <c r="S979" s="303"/>
      <c r="T979" s="143"/>
      <c r="U979" s="303"/>
      <c r="V979" s="303"/>
      <c r="W979" s="303"/>
      <c r="X979" s="303"/>
      <c r="Y979" s="303"/>
      <c r="Z979" s="303"/>
      <c r="AA979" s="303"/>
      <c r="AB979" s="143"/>
      <c r="AC979" s="303"/>
      <c r="AD979" s="303"/>
      <c r="AE979" s="303"/>
      <c r="AF979" s="303"/>
      <c r="AG979" s="303"/>
      <c r="AH979" s="303"/>
      <c r="AI979" s="143"/>
      <c r="AJ979" s="125"/>
      <c r="AK979" s="125"/>
      <c r="AL979" s="125"/>
      <c r="AM979" s="125"/>
    </row>
    <row r="980" spans="1:39" ht="12.75" x14ac:dyDescent="0.2">
      <c r="A980" s="303"/>
      <c r="B980" s="303"/>
      <c r="C980" s="303"/>
      <c r="D980" s="143"/>
      <c r="E980" s="303"/>
      <c r="F980" s="303"/>
      <c r="G980" s="303"/>
      <c r="H980" s="303"/>
      <c r="I980" s="303"/>
      <c r="J980" s="303"/>
      <c r="K980" s="303"/>
      <c r="L980" s="143"/>
      <c r="M980" s="303"/>
      <c r="N980" s="303"/>
      <c r="O980" s="303"/>
      <c r="P980" s="303"/>
      <c r="Q980" s="303"/>
      <c r="R980" s="303"/>
      <c r="S980" s="303"/>
      <c r="T980" s="143"/>
      <c r="U980" s="303"/>
      <c r="V980" s="303"/>
      <c r="W980" s="303"/>
      <c r="X980" s="303"/>
      <c r="Y980" s="303"/>
      <c r="Z980" s="303"/>
      <c r="AA980" s="303"/>
      <c r="AB980" s="143"/>
      <c r="AC980" s="303"/>
      <c r="AD980" s="303"/>
      <c r="AE980" s="303"/>
      <c r="AF980" s="303"/>
      <c r="AG980" s="303"/>
      <c r="AH980" s="303"/>
      <c r="AI980" s="143"/>
      <c r="AJ980" s="125"/>
      <c r="AK980" s="125"/>
      <c r="AL980" s="125"/>
      <c r="AM980" s="125"/>
    </row>
    <row r="981" spans="1:39" ht="12.75" x14ac:dyDescent="0.2">
      <c r="A981" s="303"/>
      <c r="B981" s="303"/>
      <c r="C981" s="303"/>
      <c r="D981" s="143"/>
      <c r="E981" s="303"/>
      <c r="F981" s="303"/>
      <c r="G981" s="303"/>
      <c r="H981" s="303"/>
      <c r="I981" s="303"/>
      <c r="J981" s="303"/>
      <c r="K981" s="303"/>
      <c r="L981" s="143"/>
      <c r="M981" s="303"/>
      <c r="N981" s="303"/>
      <c r="O981" s="303"/>
      <c r="P981" s="303"/>
      <c r="Q981" s="303"/>
      <c r="R981" s="303"/>
      <c r="S981" s="303"/>
      <c r="T981" s="143"/>
      <c r="U981" s="303"/>
      <c r="V981" s="303"/>
      <c r="W981" s="303"/>
      <c r="X981" s="303"/>
      <c r="Y981" s="303"/>
      <c r="Z981" s="303"/>
      <c r="AA981" s="303"/>
      <c r="AB981" s="143"/>
      <c r="AC981" s="303"/>
      <c r="AD981" s="303"/>
      <c r="AE981" s="303"/>
      <c r="AF981" s="303"/>
      <c r="AG981" s="303"/>
      <c r="AH981" s="303"/>
      <c r="AI981" s="143"/>
      <c r="AJ981" s="125"/>
      <c r="AK981" s="125"/>
      <c r="AL981" s="125"/>
      <c r="AM981" s="125"/>
    </row>
    <row r="982" spans="1:39" ht="12.75" x14ac:dyDescent="0.2">
      <c r="A982" s="303"/>
      <c r="B982" s="303"/>
      <c r="C982" s="303"/>
      <c r="D982" s="143"/>
      <c r="E982" s="303"/>
      <c r="F982" s="303"/>
      <c r="G982" s="303"/>
      <c r="H982" s="303"/>
      <c r="I982" s="303"/>
      <c r="J982" s="303"/>
      <c r="K982" s="303"/>
      <c r="L982" s="143"/>
      <c r="M982" s="303"/>
      <c r="N982" s="303"/>
      <c r="O982" s="303"/>
      <c r="P982" s="303"/>
      <c r="Q982" s="303"/>
      <c r="R982" s="303"/>
      <c r="S982" s="303"/>
      <c r="T982" s="143"/>
      <c r="U982" s="303"/>
      <c r="V982" s="303"/>
      <c r="W982" s="303"/>
      <c r="X982" s="303"/>
      <c r="Y982" s="303"/>
      <c r="Z982" s="303"/>
      <c r="AA982" s="303"/>
      <c r="AB982" s="143"/>
      <c r="AC982" s="303"/>
      <c r="AD982" s="303"/>
      <c r="AE982" s="303"/>
      <c r="AF982" s="303"/>
      <c r="AG982" s="303"/>
      <c r="AH982" s="303"/>
      <c r="AI982" s="143"/>
      <c r="AJ982" s="125"/>
      <c r="AK982" s="125"/>
      <c r="AL982" s="125"/>
      <c r="AM982" s="125"/>
    </row>
    <row r="983" spans="1:39" ht="12.75" x14ac:dyDescent="0.2">
      <c r="A983" s="303"/>
      <c r="B983" s="303"/>
      <c r="C983" s="303"/>
      <c r="D983" s="143"/>
      <c r="E983" s="303"/>
      <c r="F983" s="303"/>
      <c r="G983" s="303"/>
      <c r="H983" s="303"/>
      <c r="I983" s="303"/>
      <c r="J983" s="303"/>
      <c r="K983" s="303"/>
      <c r="L983" s="143"/>
      <c r="M983" s="303"/>
      <c r="N983" s="303"/>
      <c r="O983" s="303"/>
      <c r="P983" s="303"/>
      <c r="Q983" s="303"/>
      <c r="R983" s="303"/>
      <c r="S983" s="303"/>
      <c r="T983" s="143"/>
      <c r="U983" s="303"/>
      <c r="V983" s="303"/>
      <c r="W983" s="303"/>
      <c r="X983" s="303"/>
      <c r="Y983" s="303"/>
      <c r="Z983" s="303"/>
      <c r="AA983" s="303"/>
      <c r="AB983" s="143"/>
      <c r="AC983" s="303"/>
      <c r="AD983" s="303"/>
      <c r="AE983" s="303"/>
      <c r="AF983" s="303"/>
      <c r="AG983" s="303"/>
      <c r="AH983" s="303"/>
      <c r="AI983" s="143"/>
      <c r="AJ983" s="125"/>
      <c r="AK983" s="125"/>
      <c r="AL983" s="125"/>
      <c r="AM983" s="125"/>
    </row>
    <row r="984" spans="1:39" ht="12.75" x14ac:dyDescent="0.2">
      <c r="A984" s="303"/>
      <c r="B984" s="303"/>
      <c r="C984" s="303"/>
      <c r="D984" s="143"/>
      <c r="E984" s="303"/>
      <c r="F984" s="303"/>
      <c r="G984" s="303"/>
      <c r="H984" s="303"/>
      <c r="I984" s="303"/>
      <c r="J984" s="303"/>
      <c r="K984" s="303"/>
      <c r="L984" s="143"/>
      <c r="M984" s="303"/>
      <c r="N984" s="303"/>
      <c r="O984" s="303"/>
      <c r="P984" s="303"/>
      <c r="Q984" s="303"/>
      <c r="R984" s="303"/>
      <c r="S984" s="303"/>
      <c r="T984" s="143"/>
      <c r="U984" s="303"/>
      <c r="V984" s="303"/>
      <c r="W984" s="303"/>
      <c r="X984" s="303"/>
      <c r="Y984" s="303"/>
      <c r="Z984" s="303"/>
      <c r="AA984" s="303"/>
      <c r="AB984" s="143"/>
      <c r="AC984" s="303"/>
      <c r="AD984" s="303"/>
      <c r="AE984" s="303"/>
      <c r="AF984" s="303"/>
      <c r="AG984" s="303"/>
      <c r="AH984" s="303"/>
      <c r="AI984" s="143"/>
      <c r="AJ984" s="125"/>
      <c r="AK984" s="125"/>
      <c r="AL984" s="125"/>
      <c r="AM984" s="125"/>
    </row>
    <row r="985" spans="1:39" ht="12.75" x14ac:dyDescent="0.2">
      <c r="A985" s="303"/>
      <c r="B985" s="303"/>
      <c r="C985" s="303"/>
      <c r="D985" s="143"/>
      <c r="E985" s="303"/>
      <c r="F985" s="303"/>
      <c r="G985" s="303"/>
      <c r="H985" s="303"/>
      <c r="I985" s="303"/>
      <c r="J985" s="303"/>
      <c r="K985" s="303"/>
      <c r="L985" s="143"/>
      <c r="M985" s="303"/>
      <c r="N985" s="303"/>
      <c r="O985" s="303"/>
      <c r="P985" s="303"/>
      <c r="Q985" s="303"/>
      <c r="R985" s="303"/>
      <c r="S985" s="303"/>
      <c r="T985" s="143"/>
      <c r="U985" s="303"/>
      <c r="V985" s="303"/>
      <c r="W985" s="303"/>
      <c r="X985" s="303"/>
      <c r="Y985" s="303"/>
      <c r="Z985" s="303"/>
      <c r="AA985" s="303"/>
      <c r="AB985" s="143"/>
      <c r="AC985" s="303"/>
      <c r="AD985" s="303"/>
      <c r="AE985" s="303"/>
      <c r="AF985" s="303"/>
      <c r="AG985" s="303"/>
      <c r="AH985" s="303"/>
      <c r="AI985" s="143"/>
      <c r="AJ985" s="125"/>
      <c r="AK985" s="125"/>
      <c r="AL985" s="125"/>
      <c r="AM985" s="125"/>
    </row>
    <row r="986" spans="1:39" ht="12.75" x14ac:dyDescent="0.2">
      <c r="A986" s="303"/>
      <c r="B986" s="303"/>
      <c r="C986" s="303"/>
      <c r="D986" s="143"/>
      <c r="E986" s="303"/>
      <c r="F986" s="303"/>
      <c r="G986" s="303"/>
      <c r="H986" s="303"/>
      <c r="I986" s="303"/>
      <c r="J986" s="303"/>
      <c r="K986" s="303"/>
      <c r="L986" s="143"/>
      <c r="M986" s="303"/>
      <c r="N986" s="303"/>
      <c r="O986" s="303"/>
      <c r="P986" s="303"/>
      <c r="Q986" s="303"/>
      <c r="R986" s="303"/>
      <c r="S986" s="303"/>
      <c r="T986" s="143"/>
      <c r="U986" s="303"/>
      <c r="V986" s="303"/>
      <c r="W986" s="303"/>
      <c r="X986" s="303"/>
      <c r="Y986" s="303"/>
      <c r="Z986" s="303"/>
      <c r="AA986" s="303"/>
      <c r="AB986" s="143"/>
      <c r="AC986" s="303"/>
      <c r="AD986" s="303"/>
      <c r="AE986" s="303"/>
      <c r="AF986" s="303"/>
      <c r="AG986" s="303"/>
      <c r="AH986" s="303"/>
      <c r="AI986" s="143"/>
      <c r="AJ986" s="125"/>
      <c r="AK986" s="125"/>
      <c r="AL986" s="125"/>
      <c r="AM986" s="125"/>
    </row>
    <row r="987" spans="1:39" ht="12.75" x14ac:dyDescent="0.2">
      <c r="A987" s="303"/>
      <c r="B987" s="303"/>
      <c r="C987" s="303"/>
      <c r="D987" s="143"/>
      <c r="E987" s="303"/>
      <c r="F987" s="303"/>
      <c r="G987" s="303"/>
      <c r="H987" s="303"/>
      <c r="I987" s="303"/>
      <c r="J987" s="303"/>
      <c r="K987" s="303"/>
      <c r="L987" s="143"/>
      <c r="M987" s="303"/>
      <c r="N987" s="303"/>
      <c r="O987" s="303"/>
      <c r="P987" s="303"/>
      <c r="Q987" s="303"/>
      <c r="R987" s="303"/>
      <c r="S987" s="303"/>
      <c r="T987" s="143"/>
      <c r="U987" s="303"/>
      <c r="V987" s="303"/>
      <c r="W987" s="303"/>
      <c r="X987" s="303"/>
      <c r="Y987" s="303"/>
      <c r="Z987" s="303"/>
      <c r="AA987" s="303"/>
      <c r="AB987" s="143"/>
      <c r="AC987" s="303"/>
      <c r="AD987" s="303"/>
      <c r="AE987" s="303"/>
      <c r="AF987" s="303"/>
      <c r="AG987" s="303"/>
      <c r="AH987" s="303"/>
      <c r="AI987" s="143"/>
      <c r="AJ987" s="125"/>
      <c r="AK987" s="125"/>
      <c r="AL987" s="125"/>
      <c r="AM987" s="125"/>
    </row>
    <row r="988" spans="1:39" ht="12.75" x14ac:dyDescent="0.2">
      <c r="A988" s="303"/>
      <c r="B988" s="303"/>
      <c r="C988" s="303"/>
      <c r="D988" s="143"/>
      <c r="E988" s="303"/>
      <c r="F988" s="303"/>
      <c r="G988" s="303"/>
      <c r="H988" s="303"/>
      <c r="I988" s="303"/>
      <c r="J988" s="303"/>
      <c r="K988" s="303"/>
      <c r="L988" s="143"/>
      <c r="M988" s="303"/>
      <c r="N988" s="303"/>
      <c r="O988" s="303"/>
      <c r="P988" s="303"/>
      <c r="Q988" s="303"/>
      <c r="R988" s="303"/>
      <c r="S988" s="303"/>
      <c r="T988" s="143"/>
      <c r="U988" s="303"/>
      <c r="V988" s="303"/>
      <c r="W988" s="303"/>
      <c r="X988" s="303"/>
      <c r="Y988" s="303"/>
      <c r="Z988" s="303"/>
      <c r="AA988" s="303"/>
      <c r="AB988" s="143"/>
      <c r="AC988" s="303"/>
      <c r="AD988" s="303"/>
      <c r="AE988" s="303"/>
      <c r="AF988" s="303"/>
      <c r="AG988" s="303"/>
      <c r="AH988" s="303"/>
      <c r="AI988" s="143"/>
      <c r="AJ988" s="125"/>
      <c r="AK988" s="125"/>
      <c r="AL988" s="125"/>
      <c r="AM988" s="125"/>
    </row>
    <row r="989" spans="1:39" ht="12.75" x14ac:dyDescent="0.2">
      <c r="A989" s="303"/>
      <c r="B989" s="303"/>
      <c r="C989" s="303"/>
      <c r="D989" s="143"/>
      <c r="E989" s="303"/>
      <c r="F989" s="303"/>
      <c r="G989" s="303"/>
      <c r="H989" s="303"/>
      <c r="I989" s="303"/>
      <c r="J989" s="303"/>
      <c r="K989" s="303"/>
      <c r="L989" s="143"/>
      <c r="M989" s="303"/>
      <c r="N989" s="303"/>
      <c r="O989" s="303"/>
      <c r="P989" s="303"/>
      <c r="Q989" s="303"/>
      <c r="R989" s="303"/>
      <c r="S989" s="303"/>
      <c r="T989" s="143"/>
      <c r="U989" s="303"/>
      <c r="V989" s="303"/>
      <c r="W989" s="303"/>
      <c r="X989" s="303"/>
      <c r="Y989" s="303"/>
      <c r="Z989" s="303"/>
      <c r="AA989" s="303"/>
      <c r="AB989" s="143"/>
      <c r="AC989" s="303"/>
      <c r="AD989" s="303"/>
      <c r="AE989" s="303"/>
      <c r="AF989" s="303"/>
      <c r="AG989" s="303"/>
      <c r="AH989" s="303"/>
      <c r="AI989" s="143"/>
      <c r="AJ989" s="125"/>
      <c r="AK989" s="125"/>
      <c r="AL989" s="125"/>
      <c r="AM989" s="125"/>
    </row>
    <row r="990" spans="1:39" ht="12.75" x14ac:dyDescent="0.2">
      <c r="A990" s="303"/>
      <c r="B990" s="303"/>
      <c r="C990" s="303"/>
      <c r="D990" s="143"/>
      <c r="E990" s="303"/>
      <c r="F990" s="303"/>
      <c r="G990" s="303"/>
      <c r="H990" s="303"/>
      <c r="I990" s="303"/>
      <c r="J990" s="303"/>
      <c r="K990" s="303"/>
      <c r="L990" s="143"/>
      <c r="M990" s="303"/>
      <c r="N990" s="303"/>
      <c r="O990" s="303"/>
      <c r="P990" s="303"/>
      <c r="Q990" s="303"/>
      <c r="R990" s="303"/>
      <c r="S990" s="303"/>
      <c r="T990" s="143"/>
      <c r="U990" s="303"/>
      <c r="V990" s="303"/>
      <c r="W990" s="303"/>
      <c r="X990" s="303"/>
      <c r="Y990" s="303"/>
      <c r="Z990" s="303"/>
      <c r="AA990" s="303"/>
      <c r="AB990" s="143"/>
      <c r="AC990" s="303"/>
      <c r="AD990" s="303"/>
      <c r="AE990" s="303"/>
      <c r="AF990" s="303"/>
      <c r="AG990" s="303"/>
      <c r="AH990" s="303"/>
      <c r="AI990" s="143"/>
      <c r="AJ990" s="125"/>
      <c r="AK990" s="125"/>
      <c r="AL990" s="125"/>
      <c r="AM990" s="125"/>
    </row>
    <row r="991" spans="1:39" ht="12.75" x14ac:dyDescent="0.2">
      <c r="AB991" s="143"/>
      <c r="AC991" s="303"/>
      <c r="AD991" s="303"/>
      <c r="AE991" s="303"/>
      <c r="AF991" s="303"/>
      <c r="AG991" s="303"/>
      <c r="AH991" s="303"/>
      <c r="AI991" s="143"/>
      <c r="AJ991" s="125"/>
      <c r="AK991" s="125"/>
      <c r="AL991" s="125"/>
      <c r="AM991" s="125"/>
    </row>
    <row r="992" spans="1:39" ht="12.75" x14ac:dyDescent="0.2">
      <c r="AB992" s="143"/>
      <c r="AC992" s="303"/>
      <c r="AD992" s="303"/>
      <c r="AE992" s="303"/>
      <c r="AF992" s="303"/>
      <c r="AG992" s="303"/>
      <c r="AH992" s="303"/>
      <c r="AI992" s="143"/>
      <c r="AJ992" s="125"/>
      <c r="AK992" s="125"/>
      <c r="AL992" s="125"/>
      <c r="AM992" s="125"/>
    </row>
    <row r="993" spans="28:39" ht="12.75" x14ac:dyDescent="0.2">
      <c r="AB993" s="143"/>
      <c r="AC993" s="303"/>
      <c r="AD993" s="303"/>
      <c r="AE993" s="303"/>
      <c r="AF993" s="303"/>
      <c r="AG993" s="303"/>
      <c r="AH993" s="303"/>
      <c r="AI993" s="143"/>
      <c r="AJ993" s="125"/>
      <c r="AK993" s="125"/>
      <c r="AL993" s="125"/>
      <c r="AM993" s="125"/>
    </row>
    <row r="994" spans="28:39" ht="12.75" x14ac:dyDescent="0.2">
      <c r="AB994" s="143"/>
      <c r="AC994" s="303"/>
      <c r="AD994" s="303"/>
      <c r="AE994" s="303"/>
      <c r="AF994" s="303"/>
      <c r="AG994" s="303"/>
      <c r="AH994" s="303"/>
      <c r="AI994" s="143"/>
      <c r="AJ994" s="125"/>
      <c r="AK994" s="125"/>
      <c r="AL994" s="125"/>
      <c r="AM994" s="125"/>
    </row>
    <row r="995" spans="28:39" ht="12.75" x14ac:dyDescent="0.2">
      <c r="AB995" s="143"/>
      <c r="AC995" s="303"/>
      <c r="AD995" s="303"/>
      <c r="AE995" s="303"/>
      <c r="AF995" s="303"/>
      <c r="AG995" s="303"/>
      <c r="AH995" s="303"/>
      <c r="AI995" s="143"/>
      <c r="AJ995" s="125"/>
      <c r="AK995" s="125"/>
      <c r="AL995" s="125"/>
      <c r="AM995" s="125"/>
    </row>
    <row r="996" spans="28:39" ht="12.75" x14ac:dyDescent="0.2">
      <c r="AB996" s="143"/>
      <c r="AC996" s="303"/>
      <c r="AD996" s="303"/>
      <c r="AE996" s="303"/>
      <c r="AF996" s="303"/>
      <c r="AG996" s="303"/>
      <c r="AH996" s="303"/>
      <c r="AI996" s="143"/>
      <c r="AJ996" s="125"/>
      <c r="AK996" s="125"/>
      <c r="AL996" s="125"/>
      <c r="AM996" s="125"/>
    </row>
    <row r="997" spans="28:39" ht="12.75" x14ac:dyDescent="0.2">
      <c r="AB997" s="143"/>
      <c r="AC997" s="303"/>
      <c r="AD997" s="303"/>
      <c r="AE997" s="303"/>
      <c r="AF997" s="303"/>
      <c r="AG997" s="303"/>
      <c r="AH997" s="303"/>
      <c r="AI997" s="143"/>
      <c r="AJ997" s="125"/>
      <c r="AK997" s="125"/>
      <c r="AL997" s="125"/>
      <c r="AM997" s="125"/>
    </row>
    <row r="998" spans="28:39" ht="12.75" x14ac:dyDescent="0.2">
      <c r="AB998" s="143"/>
      <c r="AC998" s="303"/>
      <c r="AD998" s="303"/>
      <c r="AE998" s="303"/>
      <c r="AF998" s="303"/>
      <c r="AG998" s="303"/>
      <c r="AH998" s="303"/>
      <c r="AI998" s="143"/>
      <c r="AJ998" s="125"/>
      <c r="AK998" s="125"/>
      <c r="AL998" s="125"/>
      <c r="AM998" s="125"/>
    </row>
    <row r="999" spans="28:39" ht="12.75" x14ac:dyDescent="0.2">
      <c r="AB999" s="143"/>
      <c r="AC999" s="303"/>
      <c r="AD999" s="303"/>
      <c r="AE999" s="303"/>
      <c r="AF999" s="303"/>
      <c r="AG999" s="303"/>
      <c r="AH999" s="303"/>
      <c r="AI999" s="143"/>
      <c r="AJ999" s="125"/>
      <c r="AK999" s="125"/>
      <c r="AL999" s="125"/>
      <c r="AM999" s="125"/>
    </row>
    <row r="1000" spans="28:39" ht="12.75" x14ac:dyDescent="0.2">
      <c r="AB1000" s="143"/>
      <c r="AC1000" s="303"/>
      <c r="AD1000" s="303"/>
      <c r="AE1000" s="303"/>
      <c r="AF1000" s="303"/>
      <c r="AG1000" s="303"/>
      <c r="AH1000" s="303"/>
      <c r="AI1000" s="143"/>
      <c r="AJ1000" s="125"/>
      <c r="AK1000" s="125"/>
      <c r="AL1000" s="125"/>
      <c r="AM1000" s="125"/>
    </row>
    <row r="1001" spans="28:39" ht="12.75" x14ac:dyDescent="0.2">
      <c r="AB1001" s="143"/>
      <c r="AC1001" s="303"/>
      <c r="AD1001" s="303"/>
      <c r="AE1001" s="303"/>
      <c r="AF1001" s="303"/>
      <c r="AG1001" s="303"/>
      <c r="AH1001" s="303"/>
      <c r="AI1001" s="143"/>
      <c r="AJ1001" s="125"/>
      <c r="AK1001" s="125"/>
      <c r="AL1001" s="125"/>
      <c r="AM1001" s="125"/>
    </row>
    <row r="1002" spans="28:39" ht="12.75" x14ac:dyDescent="0.2">
      <c r="AB1002" s="143"/>
      <c r="AC1002" s="303"/>
      <c r="AD1002" s="303"/>
      <c r="AE1002" s="303"/>
      <c r="AF1002" s="303"/>
      <c r="AG1002" s="303"/>
      <c r="AH1002" s="303"/>
      <c r="AI1002" s="143"/>
      <c r="AJ1002" s="125"/>
      <c r="AK1002" s="125"/>
      <c r="AL1002" s="125"/>
      <c r="AM1002" s="125"/>
    </row>
  </sheetData>
  <mergeCells count="11">
    <mergeCell ref="AE25:AG25"/>
    <mergeCell ref="AE29:AG29"/>
    <mergeCell ref="AE32:AG32"/>
    <mergeCell ref="AE35:AG35"/>
    <mergeCell ref="E1:J1"/>
    <mergeCell ref="M1:S1"/>
    <mergeCell ref="U1:AA1"/>
    <mergeCell ref="AC1:AE1"/>
    <mergeCell ref="AF1:AH1"/>
    <mergeCell ref="AE19:AG19"/>
    <mergeCell ref="AE22:AG2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T305"/>
  <sheetViews>
    <sheetView workbookViewId="0"/>
  </sheetViews>
  <sheetFormatPr defaultColWidth="12.5703125" defaultRowHeight="15.75" customHeight="1" x14ac:dyDescent="0.2"/>
  <cols>
    <col min="1" max="1" width="9.140625" customWidth="1"/>
    <col min="2" max="2" width="6.42578125" customWidth="1"/>
    <col min="3" max="3" width="29.7109375" customWidth="1"/>
    <col min="4" max="4" width="9.85546875" customWidth="1"/>
    <col min="5" max="5" width="9.42578125" customWidth="1"/>
    <col min="6" max="6" width="6.85546875" customWidth="1"/>
    <col min="7" max="7" width="6.42578125" customWidth="1"/>
    <col min="8" max="8" width="29.7109375" customWidth="1"/>
    <col min="9" max="9" width="9.85546875" customWidth="1"/>
    <col min="10" max="10" width="9.42578125" customWidth="1"/>
    <col min="11" max="11" width="6.85546875" customWidth="1"/>
    <col min="12" max="12" width="7.28515625" customWidth="1"/>
    <col min="13" max="13" width="29.7109375" customWidth="1"/>
    <col min="14" max="14" width="9.85546875" customWidth="1"/>
    <col min="15" max="15" width="9.42578125" customWidth="1"/>
    <col min="16" max="16" width="7" customWidth="1"/>
    <col min="17" max="17" width="6.42578125" customWidth="1"/>
    <col min="18" max="18" width="29.7109375" customWidth="1"/>
    <col min="19" max="19" width="9.85546875" customWidth="1"/>
    <col min="20" max="20" width="9.42578125" customWidth="1"/>
    <col min="21" max="21" width="6.85546875" customWidth="1"/>
    <col min="22" max="22" width="7.28515625" customWidth="1"/>
    <col min="23" max="23" width="29.7109375" customWidth="1"/>
    <col min="24" max="24" width="9.85546875" customWidth="1"/>
    <col min="25" max="25" width="9.42578125" customWidth="1"/>
    <col min="26" max="26" width="7" customWidth="1"/>
    <col min="27" max="27" width="6.42578125" customWidth="1"/>
    <col min="28" max="28" width="29.7109375" customWidth="1"/>
    <col min="29" max="29" width="9.85546875" customWidth="1"/>
    <col min="30" max="30" width="9.42578125" customWidth="1"/>
    <col min="31" max="31" width="6.85546875" customWidth="1"/>
    <col min="32" max="32" width="7.28515625" customWidth="1"/>
    <col min="33" max="33" width="29.7109375" customWidth="1"/>
    <col min="34" max="34" width="9.85546875" customWidth="1"/>
    <col min="35" max="35" width="9.42578125" customWidth="1"/>
    <col min="36" max="36" width="7" customWidth="1"/>
    <col min="38" max="38" width="15.85546875" customWidth="1"/>
    <col min="39" max="39" width="16.5703125" customWidth="1"/>
    <col min="41" max="41" width="9.7109375" customWidth="1"/>
    <col min="42" max="42" width="16.5703125" customWidth="1"/>
    <col min="43" max="43" width="13.5703125" customWidth="1"/>
    <col min="45" max="45" width="8.85546875" customWidth="1"/>
    <col min="46" max="46" width="15.7109375" customWidth="1"/>
  </cols>
  <sheetData>
    <row r="1" spans="1:46" x14ac:dyDescent="0.2">
      <c r="A1" s="551" t="s">
        <v>0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323"/>
      <c r="AG1" s="323"/>
      <c r="AH1" s="323"/>
      <c r="AI1" s="323"/>
      <c r="AJ1" s="323"/>
      <c r="AN1" s="159" t="s">
        <v>478</v>
      </c>
      <c r="AO1" s="159" t="s">
        <v>479</v>
      </c>
      <c r="AP1" s="159" t="s">
        <v>480</v>
      </c>
      <c r="AQ1" s="159" t="s">
        <v>481</v>
      </c>
      <c r="AR1" s="159" t="s">
        <v>482</v>
      </c>
    </row>
    <row r="2" spans="1:46" x14ac:dyDescent="0.2">
      <c r="A2" s="552">
        <f>Input!B18</f>
        <v>1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M2" s="159" t="s">
        <v>483</v>
      </c>
      <c r="AN2" s="159" t="s">
        <v>484</v>
      </c>
      <c r="AO2" s="159" t="s">
        <v>485</v>
      </c>
      <c r="AP2" s="159" t="s">
        <v>486</v>
      </c>
      <c r="AQ2" s="159" t="s">
        <v>487</v>
      </c>
      <c r="AR2" s="553">
        <v>0</v>
      </c>
      <c r="AT2" s="159" t="s">
        <v>64</v>
      </c>
    </row>
    <row r="3" spans="1:46" x14ac:dyDescent="0.2">
      <c r="A3" s="323"/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L3" s="330" t="str">
        <f>Math!A16</f>
        <v>Jake</v>
      </c>
      <c r="AM3" s="159">
        <f>IF(Math!C16&lt;=0,5,IF(Math!C16/Math!B16&gt;=0.75,1,IF(AND(Math!C16/Math!B16&lt;0.75,Math!C16/Math!B16&gt;0.5),2,IF(AND(Math!C16/Math!B16&lt;0.49,Math!C16/Math!B16&gt;0.25),3,4))))</f>
        <v>1</v>
      </c>
      <c r="AS3" s="159" t="s">
        <v>488</v>
      </c>
      <c r="AT3" s="159">
        <f>IF(Math!C13&lt;=0,5,IF(Math!C13/Math!B13&gt;=0.75,1,IF(AND(Math!C13/Math!B13&lt;0.75,Math!C13/Math!B13&gt;0.5),2,IF(AND(Math!C13/Math!B13&lt;0.49,Math!C13/Math!B13&gt;0.25),3,4))))</f>
        <v>1</v>
      </c>
    </row>
    <row r="4" spans="1:46" x14ac:dyDescent="0.2">
      <c r="A4" s="614" t="s">
        <v>489</v>
      </c>
      <c r="B4" s="574"/>
      <c r="C4" s="574"/>
      <c r="D4" s="574"/>
      <c r="E4" s="574"/>
      <c r="F4" s="575"/>
      <c r="G4" s="614" t="s">
        <v>490</v>
      </c>
      <c r="H4" s="574"/>
      <c r="I4" s="574"/>
      <c r="J4" s="574"/>
      <c r="K4" s="575"/>
      <c r="L4" s="614" t="s">
        <v>491</v>
      </c>
      <c r="M4" s="574"/>
      <c r="N4" s="574"/>
      <c r="O4" s="574"/>
      <c r="P4" s="575"/>
      <c r="Q4" s="614" t="s">
        <v>492</v>
      </c>
      <c r="R4" s="574"/>
      <c r="S4" s="574"/>
      <c r="T4" s="574"/>
      <c r="U4" s="575"/>
      <c r="V4" s="614" t="s">
        <v>493</v>
      </c>
      <c r="W4" s="574"/>
      <c r="X4" s="574"/>
      <c r="Y4" s="574"/>
      <c r="Z4" s="575"/>
      <c r="AA4" s="614" t="s">
        <v>494</v>
      </c>
      <c r="AB4" s="574"/>
      <c r="AC4" s="574"/>
      <c r="AD4" s="574"/>
      <c r="AE4" s="575"/>
      <c r="AF4" s="614" t="s">
        <v>495</v>
      </c>
      <c r="AG4" s="574"/>
      <c r="AH4" s="574"/>
      <c r="AI4" s="574"/>
      <c r="AJ4" s="575"/>
      <c r="AL4" s="554" t="str">
        <f>Math!A17</f>
        <v>Jim</v>
      </c>
      <c r="AM4" s="159">
        <f>IF(Math!C17&lt;=0,5,IF(Math!C17/Math!B17&gt;=0.75,1,IF(AND(Math!C17/Math!B17&lt;0.75,Math!C17/Math!B17&gt;0.5),2,IF(AND(Math!C17/Math!B17&lt;0.49,Math!C17/Math!B17&gt;0.25),3,4))))</f>
        <v>1</v>
      </c>
      <c r="AS4" s="159" t="s">
        <v>496</v>
      </c>
      <c r="AT4" s="159">
        <f>IF(Math!C14&lt;=0,5,IF(Math!C14/Math!B14&gt;=0.75,1,IF(AND(Math!C14/Math!B14&lt;0.75,Math!C14/Math!B14&gt;0.5),2,IF(AND(Math!C14/Math!B14&lt;0.49,Math!C14/Math!B14&gt;0.25),3,4))))</f>
        <v>1</v>
      </c>
    </row>
    <row r="5" spans="1:46" x14ac:dyDescent="0.2">
      <c r="A5" s="555" t="str">
        <f>BuffsDebuffs!G1</f>
        <v>Combatant</v>
      </c>
      <c r="B5" s="361" t="str">
        <f>BuffsDebuffs!H1</f>
        <v>Source</v>
      </c>
      <c r="C5" s="361" t="str">
        <f>BuffsDebuffs!I1</f>
        <v>Type</v>
      </c>
      <c r="D5" s="361" t="str">
        <f>BuffsDebuffs!J1</f>
        <v>Round Start</v>
      </c>
      <c r="E5" s="361" t="str">
        <f>BuffsDebuffs!K1</f>
        <v>Round End</v>
      </c>
      <c r="F5" s="394" t="str">
        <f>BuffsDebuffs!L1</f>
        <v>Change</v>
      </c>
      <c r="G5" s="311" t="str">
        <f t="shared" ref="G5:AJ5" si="0">B5</f>
        <v>Source</v>
      </c>
      <c r="H5" s="311" t="str">
        <f t="shared" si="0"/>
        <v>Type</v>
      </c>
      <c r="I5" s="311" t="str">
        <f t="shared" si="0"/>
        <v>Round Start</v>
      </c>
      <c r="J5" s="311" t="str">
        <f t="shared" si="0"/>
        <v>Round End</v>
      </c>
      <c r="K5" s="312" t="str">
        <f t="shared" si="0"/>
        <v>Change</v>
      </c>
      <c r="L5" s="195" t="str">
        <f t="shared" si="0"/>
        <v>Source</v>
      </c>
      <c r="M5" s="311" t="str">
        <f t="shared" si="0"/>
        <v>Type</v>
      </c>
      <c r="N5" s="311" t="str">
        <f t="shared" si="0"/>
        <v>Round Start</v>
      </c>
      <c r="O5" s="311" t="str">
        <f t="shared" si="0"/>
        <v>Round End</v>
      </c>
      <c r="P5" s="312" t="str">
        <f t="shared" si="0"/>
        <v>Change</v>
      </c>
      <c r="Q5" s="311" t="str">
        <f t="shared" si="0"/>
        <v>Source</v>
      </c>
      <c r="R5" s="311" t="str">
        <f t="shared" si="0"/>
        <v>Type</v>
      </c>
      <c r="S5" s="311" t="str">
        <f t="shared" si="0"/>
        <v>Round Start</v>
      </c>
      <c r="T5" s="311" t="str">
        <f t="shared" si="0"/>
        <v>Round End</v>
      </c>
      <c r="U5" s="312" t="str">
        <f t="shared" si="0"/>
        <v>Change</v>
      </c>
      <c r="V5" s="195" t="str">
        <f t="shared" si="0"/>
        <v>Source</v>
      </c>
      <c r="W5" s="311" t="str">
        <f t="shared" si="0"/>
        <v>Type</v>
      </c>
      <c r="X5" s="311" t="str">
        <f t="shared" si="0"/>
        <v>Round Start</v>
      </c>
      <c r="Y5" s="311" t="str">
        <f t="shared" si="0"/>
        <v>Round End</v>
      </c>
      <c r="Z5" s="312" t="str">
        <f t="shared" si="0"/>
        <v>Change</v>
      </c>
      <c r="AA5" s="311" t="str">
        <f t="shared" si="0"/>
        <v>Source</v>
      </c>
      <c r="AB5" s="311" t="str">
        <f t="shared" si="0"/>
        <v>Type</v>
      </c>
      <c r="AC5" s="311" t="str">
        <f t="shared" si="0"/>
        <v>Round Start</v>
      </c>
      <c r="AD5" s="311" t="str">
        <f t="shared" si="0"/>
        <v>Round End</v>
      </c>
      <c r="AE5" s="312" t="str">
        <f t="shared" si="0"/>
        <v>Change</v>
      </c>
      <c r="AF5" s="195" t="str">
        <f t="shared" si="0"/>
        <v>Source</v>
      </c>
      <c r="AG5" s="311" t="str">
        <f t="shared" si="0"/>
        <v>Type</v>
      </c>
      <c r="AH5" s="311" t="str">
        <f t="shared" si="0"/>
        <v>Round Start</v>
      </c>
      <c r="AI5" s="311" t="str">
        <f t="shared" si="0"/>
        <v>Round End</v>
      </c>
      <c r="AJ5" s="312" t="str">
        <f t="shared" si="0"/>
        <v>Change</v>
      </c>
      <c r="AL5" s="554" t="str">
        <f>Math!A18</f>
        <v>Jordan</v>
      </c>
      <c r="AM5" s="159">
        <f>IF(Math!C18&lt;=0,5,IF(Math!C18/Math!B18&gt;=0.75,1,IF(AND(Math!C18/Math!B18&lt;0.75,Math!C18/Math!B18&gt;0.5),2,IF(AND(Math!C18/Math!B18&lt;0.49,Math!C18/Math!B18&gt;0.25),3,4))))</f>
        <v>1</v>
      </c>
      <c r="AS5" s="159" t="s">
        <v>497</v>
      </c>
      <c r="AT5" s="159">
        <f>IF(Math!C15&lt;=0,5,IF(Math!C15/Math!B15&gt;=0.75,1,IF(AND(Math!C15/Math!B15&lt;0.75,Math!C15/Math!B15&gt;0.5),2,IF(AND(Math!C15/Math!B15&lt;0.49,Math!C15/Math!B15&gt;0.25),3,4))))</f>
        <v>1</v>
      </c>
    </row>
    <row r="6" spans="1:46" x14ac:dyDescent="0.2">
      <c r="A6" s="164" t="str">
        <f>IF(BuffsDebuffs!$M2=1,BuffsDebuffs!G$2,"")</f>
        <v/>
      </c>
      <c r="B6" s="196" t="str">
        <f>IF(BuffsDebuffs!$M2=1,BuffsDebuffs!H$2,"")</f>
        <v/>
      </c>
      <c r="C6" s="196" t="str">
        <f>IF(BuffsDebuffs!$M2=1,BuffsDebuffs!I$2,"")</f>
        <v/>
      </c>
      <c r="D6" s="196" t="str">
        <f>IF(BuffsDebuffs!$M2=1,BuffsDebuffs!J$2,"")</f>
        <v/>
      </c>
      <c r="E6" s="196" t="str">
        <f>IF(BuffsDebuffs!$M2=1,BuffsDebuffs!K$2,"")</f>
        <v/>
      </c>
      <c r="F6" s="196" t="str">
        <f>IF(BuffsDebuffs!$M2=1,BuffsDebuffs!L$2,"")</f>
        <v/>
      </c>
      <c r="G6" s="195" t="str">
        <f>IF($A6=Input!$A$3,B6,"")</f>
        <v/>
      </c>
      <c r="H6" s="311" t="str">
        <f>IF($A6=Input!$A$3,C6,"")</f>
        <v/>
      </c>
      <c r="I6" s="311" t="str">
        <f>IF($A6=Input!$A$3,D6,"")</f>
        <v/>
      </c>
      <c r="J6" s="311" t="str">
        <f>IF($A6=Input!$A$3,E6,"")</f>
        <v/>
      </c>
      <c r="K6" s="311" t="str">
        <f>IF($A6=Input!$A$3,F6,"")</f>
        <v/>
      </c>
      <c r="L6" s="195" t="str">
        <f ca="1">IFERROR(__xludf.DUMMYFUNCTION("SORTN('Combatant info data'!G6:K305,7,0,'Combatant info data'!I6:I305,True)"),"")</f>
        <v/>
      </c>
      <c r="M6" s="311" t="str">
        <f ca="1">IFERROR(__xludf.DUMMYFUNCTION("""COMPUTED_VALUE"""),"")</f>
        <v/>
      </c>
      <c r="N6" s="311" t="str">
        <f ca="1">IFERROR(__xludf.DUMMYFUNCTION("""COMPUTED_VALUE"""),"")</f>
        <v/>
      </c>
      <c r="O6" s="311" t="str">
        <f ca="1">IFERROR(__xludf.DUMMYFUNCTION("""COMPUTED_VALUE"""),"")</f>
        <v/>
      </c>
      <c r="P6" s="312" t="str">
        <f ca="1">IFERROR(__xludf.DUMMYFUNCTION("""COMPUTED_VALUE"""),"")</f>
        <v/>
      </c>
      <c r="Q6" s="311" t="str">
        <f>IF($A6=Input!$A$4,$B6,"")</f>
        <v/>
      </c>
      <c r="R6" s="311" t="str">
        <f>IF($A6=Input!$A$4,$C6,"")</f>
        <v/>
      </c>
      <c r="S6" s="311" t="str">
        <f>IF($A6=Input!$A$4,$D6,"")</f>
        <v/>
      </c>
      <c r="T6" s="311" t="str">
        <f>IF($A6=Input!$A$4,$E6,"")</f>
        <v/>
      </c>
      <c r="U6" s="311" t="str">
        <f>IF($A6=Input!$A$4,$F6,"")</f>
        <v/>
      </c>
      <c r="V6" s="195" t="str">
        <f ca="1">IFERROR(__xludf.DUMMYFUNCTION("SORTN('Combatant info data'!Q6:U305,7,0,'Combatant info data'!S6:S305,True)"),"")</f>
        <v/>
      </c>
      <c r="W6" s="311" t="str">
        <f ca="1">IFERROR(__xludf.DUMMYFUNCTION("""COMPUTED_VALUE"""),"")</f>
        <v/>
      </c>
      <c r="X6" s="311" t="str">
        <f ca="1">IFERROR(__xludf.DUMMYFUNCTION("""COMPUTED_VALUE"""),"")</f>
        <v/>
      </c>
      <c r="Y6" s="311" t="str">
        <f ca="1">IFERROR(__xludf.DUMMYFUNCTION("""COMPUTED_VALUE"""),"")</f>
        <v/>
      </c>
      <c r="Z6" s="312" t="str">
        <f ca="1">IFERROR(__xludf.DUMMYFUNCTION("""COMPUTED_VALUE"""),"")</f>
        <v/>
      </c>
      <c r="AA6" s="311" t="str">
        <f>IF($A6=Input!$A$5,$B6,"")</f>
        <v/>
      </c>
      <c r="AB6" s="311" t="str">
        <f>IF($A6=Input!$A$5,$C6,"")</f>
        <v/>
      </c>
      <c r="AC6" s="311" t="str">
        <f>IF($A6=Input!$A$5,$D6,"")</f>
        <v/>
      </c>
      <c r="AD6" s="311" t="str">
        <f>IF($A6=Input!$A$5,$E6,"")</f>
        <v/>
      </c>
      <c r="AE6" s="311" t="str">
        <f>IF($A6=Input!$A$5,$F6,"")</f>
        <v/>
      </c>
      <c r="AF6" s="195" t="str">
        <f ca="1">IFERROR(__xludf.DUMMYFUNCTION("SORTN('Combatant info data'!AA6:AE305,7,0,'Combatant info data'!AC6:AC305,True)"),"")</f>
        <v/>
      </c>
      <c r="AG6" s="311" t="str">
        <f ca="1">IFERROR(__xludf.DUMMYFUNCTION("""COMPUTED_VALUE"""),"")</f>
        <v/>
      </c>
      <c r="AH6" s="311" t="str">
        <f ca="1">IFERROR(__xludf.DUMMYFUNCTION("""COMPUTED_VALUE"""),"")</f>
        <v/>
      </c>
      <c r="AI6" s="311" t="str">
        <f ca="1">IFERROR(__xludf.DUMMYFUNCTION("""COMPUTED_VALUE"""),"")</f>
        <v/>
      </c>
      <c r="AJ6" s="312" t="str">
        <f ca="1">IFERROR(__xludf.DUMMYFUNCTION("""COMPUTED_VALUE"""),"")</f>
        <v/>
      </c>
    </row>
    <row r="7" spans="1:46" x14ac:dyDescent="0.2">
      <c r="A7" s="250" t="str">
        <f>IF(BuffsDebuffs!$M3=1,BuffsDebuffs!G$2,"")</f>
        <v/>
      </c>
      <c r="B7" s="251" t="str">
        <f>IF(BuffsDebuffs!$M3=1,BuffsDebuffs!H$2,"")</f>
        <v/>
      </c>
      <c r="C7" s="251" t="str">
        <f>IF(BuffsDebuffs!$M3=1,BuffsDebuffs!I$2,"")</f>
        <v/>
      </c>
      <c r="D7" s="251" t="str">
        <f>IF(BuffsDebuffs!$M3=1,BuffsDebuffs!J$2,"")</f>
        <v/>
      </c>
      <c r="E7" s="251" t="str">
        <f>IF(BuffsDebuffs!$M3=1,BuffsDebuffs!K$2,"")</f>
        <v/>
      </c>
      <c r="F7" s="251" t="str">
        <f>IF(BuffsDebuffs!$M3=1,BuffsDebuffs!L$2,"")</f>
        <v/>
      </c>
      <c r="G7" s="387" t="str">
        <f>IF($A7=Input!$A$3,B7,"")</f>
        <v/>
      </c>
      <c r="H7" s="323" t="str">
        <f>IF($A7=Input!$A$3,C7,"")</f>
        <v/>
      </c>
      <c r="I7" s="323" t="str">
        <f>IF($A7=Input!$A$3,D7,"")</f>
        <v/>
      </c>
      <c r="J7" s="323" t="str">
        <f>IF($A7=Input!$A$3,E7,"")</f>
        <v/>
      </c>
      <c r="K7" s="323" t="str">
        <f>IF($A7=Input!$A$3,F7,"")</f>
        <v/>
      </c>
      <c r="L7" s="387" t="str">
        <f ca="1">IFERROR(__xludf.DUMMYFUNCTION("""COMPUTED_VALUE"""),"")</f>
        <v/>
      </c>
      <c r="M7" s="323" t="str">
        <f ca="1">IFERROR(__xludf.DUMMYFUNCTION("""COMPUTED_VALUE"""),"")</f>
        <v/>
      </c>
      <c r="N7" s="323" t="str">
        <f ca="1">IFERROR(__xludf.DUMMYFUNCTION("""COMPUTED_VALUE"""),"")</f>
        <v/>
      </c>
      <c r="O7" s="323" t="str">
        <f ca="1">IFERROR(__xludf.DUMMYFUNCTION("""COMPUTED_VALUE"""),"")</f>
        <v/>
      </c>
      <c r="P7" s="386" t="str">
        <f ca="1">IFERROR(__xludf.DUMMYFUNCTION("""COMPUTED_VALUE"""),"")</f>
        <v/>
      </c>
      <c r="Q7" s="323" t="str">
        <f>IF($A7=Input!$A$4,$B7,"")</f>
        <v/>
      </c>
      <c r="R7" s="323" t="str">
        <f>IF($A7=Input!$A$4,$C7,"")</f>
        <v/>
      </c>
      <c r="S7" s="323" t="str">
        <f>IF($A7=Input!$A$4,$D7,"")</f>
        <v/>
      </c>
      <c r="T7" s="323" t="str">
        <f>IF($A7=Input!$A$4,$E7,"")</f>
        <v/>
      </c>
      <c r="U7" s="323" t="str">
        <f>IF($A7=Input!$A$4,$F7,"")</f>
        <v/>
      </c>
      <c r="V7" s="387" t="str">
        <f ca="1">IFERROR(__xludf.DUMMYFUNCTION("""COMPUTED_VALUE"""),"")</f>
        <v/>
      </c>
      <c r="W7" s="323" t="str">
        <f ca="1">IFERROR(__xludf.DUMMYFUNCTION("""COMPUTED_VALUE"""),"")</f>
        <v/>
      </c>
      <c r="X7" s="323" t="str">
        <f ca="1">IFERROR(__xludf.DUMMYFUNCTION("""COMPUTED_VALUE"""),"")</f>
        <v/>
      </c>
      <c r="Y7" s="323" t="str">
        <f ca="1">IFERROR(__xludf.DUMMYFUNCTION("""COMPUTED_VALUE"""),"")</f>
        <v/>
      </c>
      <c r="Z7" s="386" t="str">
        <f ca="1">IFERROR(__xludf.DUMMYFUNCTION("""COMPUTED_VALUE"""),"")</f>
        <v/>
      </c>
      <c r="AA7" s="323" t="str">
        <f>IF($A7=Input!$A$5,$B7,"")</f>
        <v/>
      </c>
      <c r="AB7" s="323" t="str">
        <f>IF($A7=Input!$A$5,$C7,"")</f>
        <v/>
      </c>
      <c r="AC7" s="323" t="str">
        <f>IF($A7=Input!$A$5,$D7,"")</f>
        <v/>
      </c>
      <c r="AD7" s="323" t="str">
        <f>IF($A7=Input!$A$5,$E7,"")</f>
        <v/>
      </c>
      <c r="AE7" s="323" t="str">
        <f>IF($A7=Input!$A$5,$F7,"")</f>
        <v/>
      </c>
      <c r="AF7" s="387" t="str">
        <f ca="1">IFERROR(__xludf.DUMMYFUNCTION("""COMPUTED_VALUE"""),"")</f>
        <v/>
      </c>
      <c r="AG7" s="323" t="str">
        <f ca="1">IFERROR(__xludf.DUMMYFUNCTION("""COMPUTED_VALUE"""),"")</f>
        <v/>
      </c>
      <c r="AH7" s="323" t="str">
        <f ca="1">IFERROR(__xludf.DUMMYFUNCTION("""COMPUTED_VALUE"""),"")</f>
        <v/>
      </c>
      <c r="AI7" s="323" t="str">
        <f ca="1">IFERROR(__xludf.DUMMYFUNCTION("""COMPUTED_VALUE"""),"")</f>
        <v/>
      </c>
      <c r="AJ7" s="386" t="str">
        <f ca="1">IFERROR(__xludf.DUMMYFUNCTION("""COMPUTED_VALUE"""),"")</f>
        <v/>
      </c>
    </row>
    <row r="8" spans="1:46" x14ac:dyDescent="0.2">
      <c r="A8" s="250" t="str">
        <f>IF(BuffsDebuffs!$M4=1,BuffsDebuffs!G$2,"")</f>
        <v/>
      </c>
      <c r="B8" s="251" t="str">
        <f>IF(BuffsDebuffs!$M4=1,BuffsDebuffs!H$2,"")</f>
        <v/>
      </c>
      <c r="C8" s="251" t="str">
        <f>IF(BuffsDebuffs!$M4=1,BuffsDebuffs!I$2,"")</f>
        <v/>
      </c>
      <c r="D8" s="251" t="str">
        <f>IF(BuffsDebuffs!$M4=1,BuffsDebuffs!J$2,"")</f>
        <v/>
      </c>
      <c r="E8" s="251" t="str">
        <f>IF(BuffsDebuffs!$M4=1,BuffsDebuffs!K$2,"")</f>
        <v/>
      </c>
      <c r="F8" s="251" t="str">
        <f>IF(BuffsDebuffs!$M4=1,BuffsDebuffs!L$2,"")</f>
        <v/>
      </c>
      <c r="G8" s="387" t="str">
        <f>IF($A8=Input!$A$3,B8,"")</f>
        <v/>
      </c>
      <c r="H8" s="323" t="str">
        <f>IF($A8=Input!$A$3,C8,"")</f>
        <v/>
      </c>
      <c r="I8" s="323" t="str">
        <f>IF($A8=Input!$A$3,D8,"")</f>
        <v/>
      </c>
      <c r="J8" s="323" t="str">
        <f>IF($A8=Input!$A$3,E8,"")</f>
        <v/>
      </c>
      <c r="K8" s="323" t="str">
        <f>IF($A8=Input!$A$3,F8,"")</f>
        <v/>
      </c>
      <c r="L8" s="387" t="str">
        <f ca="1">IFERROR(__xludf.DUMMYFUNCTION("""COMPUTED_VALUE"""),"")</f>
        <v/>
      </c>
      <c r="M8" s="323" t="str">
        <f ca="1">IFERROR(__xludf.DUMMYFUNCTION("""COMPUTED_VALUE"""),"")</f>
        <v/>
      </c>
      <c r="N8" s="323" t="str">
        <f ca="1">IFERROR(__xludf.DUMMYFUNCTION("""COMPUTED_VALUE"""),"")</f>
        <v/>
      </c>
      <c r="O8" s="323" t="str">
        <f ca="1">IFERROR(__xludf.DUMMYFUNCTION("""COMPUTED_VALUE"""),"")</f>
        <v/>
      </c>
      <c r="P8" s="386" t="str">
        <f ca="1">IFERROR(__xludf.DUMMYFUNCTION("""COMPUTED_VALUE"""),"")</f>
        <v/>
      </c>
      <c r="Q8" s="323" t="str">
        <f>IF($A8=Input!$A$4,$B8,"")</f>
        <v/>
      </c>
      <c r="R8" s="323" t="str">
        <f>IF($A8=Input!$A$4,$C8,"")</f>
        <v/>
      </c>
      <c r="S8" s="323" t="str">
        <f>IF($A8=Input!$A$4,$D8,"")</f>
        <v/>
      </c>
      <c r="T8" s="323" t="str">
        <f>IF($A8=Input!$A$4,$E8,"")</f>
        <v/>
      </c>
      <c r="U8" s="323" t="str">
        <f>IF($A8=Input!$A$4,$F8,"")</f>
        <v/>
      </c>
      <c r="V8" s="387" t="str">
        <f ca="1">IFERROR(__xludf.DUMMYFUNCTION("""COMPUTED_VALUE"""),"")</f>
        <v/>
      </c>
      <c r="W8" s="323" t="str">
        <f ca="1">IFERROR(__xludf.DUMMYFUNCTION("""COMPUTED_VALUE"""),"")</f>
        <v/>
      </c>
      <c r="X8" s="323" t="str">
        <f ca="1">IFERROR(__xludf.DUMMYFUNCTION("""COMPUTED_VALUE"""),"")</f>
        <v/>
      </c>
      <c r="Y8" s="323" t="str">
        <f ca="1">IFERROR(__xludf.DUMMYFUNCTION("""COMPUTED_VALUE"""),"")</f>
        <v/>
      </c>
      <c r="Z8" s="386" t="str">
        <f ca="1">IFERROR(__xludf.DUMMYFUNCTION("""COMPUTED_VALUE"""),"")</f>
        <v/>
      </c>
      <c r="AA8" s="323" t="str">
        <f>IF($A8=Input!$A$5,$B8,"")</f>
        <v/>
      </c>
      <c r="AB8" s="323" t="str">
        <f>IF($A8=Input!$A$5,$C8,"")</f>
        <v/>
      </c>
      <c r="AC8" s="323" t="str">
        <f>IF($A8=Input!$A$5,$D8,"")</f>
        <v/>
      </c>
      <c r="AD8" s="323" t="str">
        <f>IF($A8=Input!$A$5,$E8,"")</f>
        <v/>
      </c>
      <c r="AE8" s="323" t="str">
        <f>IF($A8=Input!$A$5,$F8,"")</f>
        <v/>
      </c>
      <c r="AF8" s="387" t="str">
        <f ca="1">IFERROR(__xludf.DUMMYFUNCTION("""COMPUTED_VALUE"""),"")</f>
        <v/>
      </c>
      <c r="AG8" s="323" t="str">
        <f ca="1">IFERROR(__xludf.DUMMYFUNCTION("""COMPUTED_VALUE"""),"")</f>
        <v/>
      </c>
      <c r="AH8" s="323" t="str">
        <f ca="1">IFERROR(__xludf.DUMMYFUNCTION("""COMPUTED_VALUE"""),"")</f>
        <v/>
      </c>
      <c r="AI8" s="323" t="str">
        <f ca="1">IFERROR(__xludf.DUMMYFUNCTION("""COMPUTED_VALUE"""),"")</f>
        <v/>
      </c>
      <c r="AJ8" s="386" t="str">
        <f ca="1">IFERROR(__xludf.DUMMYFUNCTION("""COMPUTED_VALUE"""),"")</f>
        <v/>
      </c>
      <c r="AL8" s="159" t="s">
        <v>1</v>
      </c>
      <c r="AM8" s="159" t="s">
        <v>498</v>
      </c>
      <c r="AN8" s="556" t="s">
        <v>499</v>
      </c>
      <c r="AO8" s="556" t="s">
        <v>500</v>
      </c>
      <c r="AP8" s="556" t="s">
        <v>501</v>
      </c>
      <c r="AQ8" s="556" t="s">
        <v>502</v>
      </c>
      <c r="AR8" s="556" t="s">
        <v>503</v>
      </c>
      <c r="AS8" s="556" t="s">
        <v>504</v>
      </c>
    </row>
    <row r="9" spans="1:46" x14ac:dyDescent="0.2">
      <c r="A9" s="250" t="str">
        <f>IF(BuffsDebuffs!$M5=1,BuffsDebuffs!G$2,"")</f>
        <v/>
      </c>
      <c r="B9" s="251" t="str">
        <f>IF(BuffsDebuffs!$M5=1,BuffsDebuffs!H$2,"")</f>
        <v/>
      </c>
      <c r="C9" s="251" t="str">
        <f>IF(BuffsDebuffs!$M5=1,BuffsDebuffs!I$2,"")</f>
        <v/>
      </c>
      <c r="D9" s="251" t="str">
        <f>IF(BuffsDebuffs!$M5=1,BuffsDebuffs!J$2,"")</f>
        <v/>
      </c>
      <c r="E9" s="251" t="str">
        <f>IF(BuffsDebuffs!$M5=1,BuffsDebuffs!K$2,"")</f>
        <v/>
      </c>
      <c r="F9" s="251" t="str">
        <f>IF(BuffsDebuffs!$M5=1,BuffsDebuffs!L$2,"")</f>
        <v/>
      </c>
      <c r="G9" s="387" t="str">
        <f>IF($A9=Input!$A$3,B9,"")</f>
        <v/>
      </c>
      <c r="H9" s="323" t="str">
        <f>IF($A9=Input!$A$3,C9,"")</f>
        <v/>
      </c>
      <c r="I9" s="323" t="str">
        <f>IF($A9=Input!$A$3,D9,"")</f>
        <v/>
      </c>
      <c r="J9" s="323" t="str">
        <f>IF($A9=Input!$A$3,E9,"")</f>
        <v/>
      </c>
      <c r="K9" s="323" t="str">
        <f>IF($A9=Input!$A$3,F9,"")</f>
        <v/>
      </c>
      <c r="L9" s="387" t="str">
        <f ca="1">IFERROR(__xludf.DUMMYFUNCTION("""COMPUTED_VALUE"""),"")</f>
        <v/>
      </c>
      <c r="M9" s="323" t="str">
        <f ca="1">IFERROR(__xludf.DUMMYFUNCTION("""COMPUTED_VALUE"""),"")</f>
        <v/>
      </c>
      <c r="N9" s="323" t="str">
        <f ca="1">IFERROR(__xludf.DUMMYFUNCTION("""COMPUTED_VALUE"""),"")</f>
        <v/>
      </c>
      <c r="O9" s="323" t="str">
        <f ca="1">IFERROR(__xludf.DUMMYFUNCTION("""COMPUTED_VALUE"""),"")</f>
        <v/>
      </c>
      <c r="P9" s="386" t="str">
        <f ca="1">IFERROR(__xludf.DUMMYFUNCTION("""COMPUTED_VALUE"""),"")</f>
        <v/>
      </c>
      <c r="Q9" s="323" t="str">
        <f>IF($A9=Input!$A$4,$B9,"")</f>
        <v/>
      </c>
      <c r="R9" s="323" t="str">
        <f>IF($A9=Input!$A$4,$C9,"")</f>
        <v/>
      </c>
      <c r="S9" s="323" t="str">
        <f>IF($A9=Input!$A$4,$D9,"")</f>
        <v/>
      </c>
      <c r="T9" s="323" t="str">
        <f>IF($A9=Input!$A$4,$E9,"")</f>
        <v/>
      </c>
      <c r="U9" s="323" t="str">
        <f>IF($A9=Input!$A$4,$F9,"")</f>
        <v/>
      </c>
      <c r="V9" s="387" t="str">
        <f ca="1">IFERROR(__xludf.DUMMYFUNCTION("""COMPUTED_VALUE"""),"")</f>
        <v/>
      </c>
      <c r="W9" s="323" t="str">
        <f ca="1">IFERROR(__xludf.DUMMYFUNCTION("""COMPUTED_VALUE"""),"")</f>
        <v/>
      </c>
      <c r="X9" s="323" t="str">
        <f ca="1">IFERROR(__xludf.DUMMYFUNCTION("""COMPUTED_VALUE"""),"")</f>
        <v/>
      </c>
      <c r="Y9" s="323" t="str">
        <f ca="1">IFERROR(__xludf.DUMMYFUNCTION("""COMPUTED_VALUE"""),"")</f>
        <v/>
      </c>
      <c r="Z9" s="386" t="str">
        <f ca="1">IFERROR(__xludf.DUMMYFUNCTION("""COMPUTED_VALUE"""),"")</f>
        <v/>
      </c>
      <c r="AA9" s="323" t="str">
        <f>IF($A9=Input!$A$5,$B9,"")</f>
        <v/>
      </c>
      <c r="AB9" s="323" t="str">
        <f>IF($A9=Input!$A$5,$C9,"")</f>
        <v/>
      </c>
      <c r="AC9" s="323" t="str">
        <f>IF($A9=Input!$A$5,$D9,"")</f>
        <v/>
      </c>
      <c r="AD9" s="323" t="str">
        <f>IF($A9=Input!$A$5,$E9,"")</f>
        <v/>
      </c>
      <c r="AE9" s="323" t="str">
        <f>IF($A9=Input!$A$5,$F9,"")</f>
        <v/>
      </c>
      <c r="AF9" s="387" t="str">
        <f ca="1">IFERROR(__xludf.DUMMYFUNCTION("""COMPUTED_VALUE"""),"")</f>
        <v/>
      </c>
      <c r="AG9" s="323" t="str">
        <f ca="1">IFERROR(__xludf.DUMMYFUNCTION("""COMPUTED_VALUE"""),"")</f>
        <v/>
      </c>
      <c r="AH9" s="323" t="str">
        <f ca="1">IFERROR(__xludf.DUMMYFUNCTION("""COMPUTED_VALUE"""),"")</f>
        <v/>
      </c>
      <c r="AI9" s="323" t="str">
        <f ca="1">IFERROR(__xludf.DUMMYFUNCTION("""COMPUTED_VALUE"""),"")</f>
        <v/>
      </c>
      <c r="AJ9" s="386" t="str">
        <f ca="1">IFERROR(__xludf.DUMMYFUNCTION("""COMPUTED_VALUE"""),"")</f>
        <v/>
      </c>
      <c r="AL9" s="241" t="str">
        <f>Input!A3</f>
        <v>Will</v>
      </c>
      <c r="AM9" s="159" t="str">
        <f>IF(Input!$N$28=6,IF(VLOOKUP(AL9,Input!$G$22:$H$27,2,FALSE)="Evade","E",IF(VLOOKUP(AL9,Input!$G$22:$H$27,2,FALSE)="Defend","D",IF(VLOOKUP(AL9,Input!$G$22:$H$27,2,FALSE)="","","A"))),"")</f>
        <v/>
      </c>
      <c r="AN9" s="159">
        <f>IF(Math!F22&gt;=1,1,0)</f>
        <v>0</v>
      </c>
      <c r="AO9" s="159">
        <f>IF(Math!F22&gt;=2,1,0)</f>
        <v>0</v>
      </c>
      <c r="AP9" s="159">
        <f>IF(Math!F22&gt;=3,1,0)</f>
        <v>0</v>
      </c>
      <c r="AQ9" s="159">
        <f>IF(Math!F22&gt;=4,1,0)</f>
        <v>0</v>
      </c>
      <c r="AR9" s="159">
        <f>IF(Math!F22&gt;=5,1,0)</f>
        <v>0</v>
      </c>
      <c r="AS9" s="159">
        <f>IF(Math!F22=6,1,0)</f>
        <v>0</v>
      </c>
    </row>
    <row r="10" spans="1:46" x14ac:dyDescent="0.2">
      <c r="A10" s="250" t="str">
        <f>IF(BuffsDebuffs!$M6=1,BuffsDebuffs!G$2,"")</f>
        <v/>
      </c>
      <c r="B10" s="251" t="str">
        <f>IF(BuffsDebuffs!$M6=1,BuffsDebuffs!H$2,"")</f>
        <v/>
      </c>
      <c r="C10" s="251" t="str">
        <f>IF(BuffsDebuffs!$M6=1,BuffsDebuffs!I$2,"")</f>
        <v/>
      </c>
      <c r="D10" s="251" t="str">
        <f>IF(BuffsDebuffs!$M6=1,BuffsDebuffs!J$2,"")</f>
        <v/>
      </c>
      <c r="E10" s="251" t="str">
        <f>IF(BuffsDebuffs!$M6=1,BuffsDebuffs!K$2,"")</f>
        <v/>
      </c>
      <c r="F10" s="251" t="str">
        <f>IF(BuffsDebuffs!$M6=1,BuffsDebuffs!L$2,"")</f>
        <v/>
      </c>
      <c r="G10" s="387" t="str">
        <f>IF($A10=Input!$A$3,B10,"")</f>
        <v/>
      </c>
      <c r="H10" s="323" t="str">
        <f>IF($A10=Input!$A$3,C10,"")</f>
        <v/>
      </c>
      <c r="I10" s="323" t="str">
        <f>IF($A10=Input!$A$3,D10,"")</f>
        <v/>
      </c>
      <c r="J10" s="323" t="str">
        <f>IF($A10=Input!$A$3,E10,"")</f>
        <v/>
      </c>
      <c r="K10" s="323" t="str">
        <f>IF($A10=Input!$A$3,F10,"")</f>
        <v/>
      </c>
      <c r="L10" s="387" t="str">
        <f ca="1">IFERROR(__xludf.DUMMYFUNCTION("""COMPUTED_VALUE"""),"")</f>
        <v/>
      </c>
      <c r="M10" s="323" t="str">
        <f ca="1">IFERROR(__xludf.DUMMYFUNCTION("""COMPUTED_VALUE"""),"")</f>
        <v/>
      </c>
      <c r="N10" s="323" t="str">
        <f ca="1">IFERROR(__xludf.DUMMYFUNCTION("""COMPUTED_VALUE"""),"")</f>
        <v/>
      </c>
      <c r="O10" s="323" t="str">
        <f ca="1">IFERROR(__xludf.DUMMYFUNCTION("""COMPUTED_VALUE"""),"")</f>
        <v/>
      </c>
      <c r="P10" s="386" t="str">
        <f ca="1">IFERROR(__xludf.DUMMYFUNCTION("""COMPUTED_VALUE"""),"")</f>
        <v/>
      </c>
      <c r="Q10" s="323" t="str">
        <f>IF($A10=Input!$A$4,$B10,"")</f>
        <v/>
      </c>
      <c r="R10" s="323" t="str">
        <f>IF($A10=Input!$A$4,$C10,"")</f>
        <v/>
      </c>
      <c r="S10" s="323" t="str">
        <f>IF($A10=Input!$A$4,$D10,"")</f>
        <v/>
      </c>
      <c r="T10" s="323" t="str">
        <f>IF($A10=Input!$A$4,$E10,"")</f>
        <v/>
      </c>
      <c r="U10" s="323" t="str">
        <f>IF($A10=Input!$A$4,$F10,"")</f>
        <v/>
      </c>
      <c r="V10" s="387" t="str">
        <f ca="1">IFERROR(__xludf.DUMMYFUNCTION("""COMPUTED_VALUE"""),"")</f>
        <v/>
      </c>
      <c r="W10" s="323" t="str">
        <f ca="1">IFERROR(__xludf.DUMMYFUNCTION("""COMPUTED_VALUE"""),"")</f>
        <v/>
      </c>
      <c r="X10" s="323" t="str">
        <f ca="1">IFERROR(__xludf.DUMMYFUNCTION("""COMPUTED_VALUE"""),"")</f>
        <v/>
      </c>
      <c r="Y10" s="323" t="str">
        <f ca="1">IFERROR(__xludf.DUMMYFUNCTION("""COMPUTED_VALUE"""),"")</f>
        <v/>
      </c>
      <c r="Z10" s="386" t="str">
        <f ca="1">IFERROR(__xludf.DUMMYFUNCTION("""COMPUTED_VALUE"""),"")</f>
        <v/>
      </c>
      <c r="AA10" s="323" t="str">
        <f>IF($A10=Input!$A$5,$B10,"")</f>
        <v/>
      </c>
      <c r="AB10" s="323" t="str">
        <f>IF($A10=Input!$A$5,$C10,"")</f>
        <v/>
      </c>
      <c r="AC10" s="323" t="str">
        <f>IF($A10=Input!$A$5,$D10,"")</f>
        <v/>
      </c>
      <c r="AD10" s="323" t="str">
        <f>IF($A10=Input!$A$5,$E10,"")</f>
        <v/>
      </c>
      <c r="AE10" s="323" t="str">
        <f>IF($A10=Input!$A$5,$F10,"")</f>
        <v/>
      </c>
      <c r="AF10" s="387" t="str">
        <f ca="1">IFERROR(__xludf.DUMMYFUNCTION("""COMPUTED_VALUE"""),"")</f>
        <v/>
      </c>
      <c r="AG10" s="323" t="str">
        <f ca="1">IFERROR(__xludf.DUMMYFUNCTION("""COMPUTED_VALUE"""),"")</f>
        <v/>
      </c>
      <c r="AH10" s="323" t="str">
        <f ca="1">IFERROR(__xludf.DUMMYFUNCTION("""COMPUTED_VALUE"""),"")</f>
        <v/>
      </c>
      <c r="AI10" s="323" t="str">
        <f ca="1">IFERROR(__xludf.DUMMYFUNCTION("""COMPUTED_VALUE"""),"")</f>
        <v/>
      </c>
      <c r="AJ10" s="386" t="str">
        <f ca="1">IFERROR(__xludf.DUMMYFUNCTION("""COMPUTED_VALUE"""),"")</f>
        <v/>
      </c>
      <c r="AL10" s="243" t="str">
        <f>Input!A4</f>
        <v>Carter</v>
      </c>
      <c r="AM10" s="159" t="str">
        <f>IF(Input!$N$28=6,IF(VLOOKUP(AL10,Input!$G$22:$H$27,2,FALSE)="Evade","E",IF(VLOOKUP(AL10,Input!$G$22:$H$27,2,FALSE)="Defend","D",IF(VLOOKUP(AL10,Input!$G$22:$H$27,2,FALSE)="","","A"))),"")</f>
        <v/>
      </c>
      <c r="AN10" s="159">
        <f>IF(Math!F23&gt;=1,1,0)</f>
        <v>0</v>
      </c>
      <c r="AO10" s="159">
        <f>IF(Math!F23&gt;=2,1,0)</f>
        <v>0</v>
      </c>
      <c r="AP10" s="159">
        <f>IF(Math!F23&gt;=3,1,0)</f>
        <v>0</v>
      </c>
      <c r="AQ10" s="159">
        <f>IF(Math!F23&gt;=4,1,0)</f>
        <v>0</v>
      </c>
      <c r="AR10" s="159">
        <f>IF(Math!F23&gt;=5,1,0)</f>
        <v>0</v>
      </c>
      <c r="AS10" s="159">
        <f>IF(Math!F23=6,1,0)</f>
        <v>0</v>
      </c>
    </row>
    <row r="11" spans="1:46" x14ac:dyDescent="0.2">
      <c r="A11" s="250" t="str">
        <f>IF(BuffsDebuffs!$M7=1,BuffsDebuffs!G$2,"")</f>
        <v/>
      </c>
      <c r="B11" s="251" t="str">
        <f>IF(BuffsDebuffs!$M7=1,BuffsDebuffs!H$2,"")</f>
        <v/>
      </c>
      <c r="C11" s="251" t="str">
        <f>IF(BuffsDebuffs!$M7=1,BuffsDebuffs!I$2,"")</f>
        <v/>
      </c>
      <c r="D11" s="251" t="str">
        <f>IF(BuffsDebuffs!$M7=1,BuffsDebuffs!J$2,"")</f>
        <v/>
      </c>
      <c r="E11" s="251" t="str">
        <f>IF(BuffsDebuffs!$M7=1,BuffsDebuffs!K$2,"")</f>
        <v/>
      </c>
      <c r="F11" s="251" t="str">
        <f>IF(BuffsDebuffs!$M7=1,BuffsDebuffs!L$2,"")</f>
        <v/>
      </c>
      <c r="G11" s="387" t="str">
        <f>IF($A11=Input!$A$3,B11,"")</f>
        <v/>
      </c>
      <c r="H11" s="323" t="str">
        <f>IF($A11=Input!$A$3,C11,"")</f>
        <v/>
      </c>
      <c r="I11" s="323" t="str">
        <f>IF($A11=Input!$A$3,D11,"")</f>
        <v/>
      </c>
      <c r="J11" s="323" t="str">
        <f>IF($A11=Input!$A$3,E11,"")</f>
        <v/>
      </c>
      <c r="K11" s="323" t="str">
        <f>IF($A11=Input!$A$3,F11,"")</f>
        <v/>
      </c>
      <c r="L11" s="387" t="str">
        <f ca="1">IFERROR(__xludf.DUMMYFUNCTION("""COMPUTED_VALUE"""),"")</f>
        <v/>
      </c>
      <c r="M11" s="323" t="str">
        <f ca="1">IFERROR(__xludf.DUMMYFUNCTION("""COMPUTED_VALUE"""),"")</f>
        <v/>
      </c>
      <c r="N11" s="323" t="str">
        <f ca="1">IFERROR(__xludf.DUMMYFUNCTION("""COMPUTED_VALUE"""),"")</f>
        <v/>
      </c>
      <c r="O11" s="323" t="str">
        <f ca="1">IFERROR(__xludf.DUMMYFUNCTION("""COMPUTED_VALUE"""),"")</f>
        <v/>
      </c>
      <c r="P11" s="386" t="str">
        <f ca="1">IFERROR(__xludf.DUMMYFUNCTION("""COMPUTED_VALUE"""),"")</f>
        <v/>
      </c>
      <c r="Q11" s="323" t="str">
        <f>IF($A11=Input!$A$4,$B11,"")</f>
        <v/>
      </c>
      <c r="R11" s="323" t="str">
        <f>IF($A11=Input!$A$4,$C11,"")</f>
        <v/>
      </c>
      <c r="S11" s="323" t="str">
        <f>IF($A11=Input!$A$4,$D11,"")</f>
        <v/>
      </c>
      <c r="T11" s="323" t="str">
        <f>IF($A11=Input!$A$4,$E11,"")</f>
        <v/>
      </c>
      <c r="U11" s="323" t="str">
        <f>IF($A11=Input!$A$4,$F11,"")</f>
        <v/>
      </c>
      <c r="V11" s="387" t="str">
        <f ca="1">IFERROR(__xludf.DUMMYFUNCTION("""COMPUTED_VALUE"""),"")</f>
        <v/>
      </c>
      <c r="W11" s="323" t="str">
        <f ca="1">IFERROR(__xludf.DUMMYFUNCTION("""COMPUTED_VALUE"""),"")</f>
        <v/>
      </c>
      <c r="X11" s="323" t="str">
        <f ca="1">IFERROR(__xludf.DUMMYFUNCTION("""COMPUTED_VALUE"""),"")</f>
        <v/>
      </c>
      <c r="Y11" s="323" t="str">
        <f ca="1">IFERROR(__xludf.DUMMYFUNCTION("""COMPUTED_VALUE"""),"")</f>
        <v/>
      </c>
      <c r="Z11" s="386" t="str">
        <f ca="1">IFERROR(__xludf.DUMMYFUNCTION("""COMPUTED_VALUE"""),"")</f>
        <v/>
      </c>
      <c r="AA11" s="323" t="str">
        <f>IF($A11=Input!$A$5,$B11,"")</f>
        <v/>
      </c>
      <c r="AB11" s="323" t="str">
        <f>IF($A11=Input!$A$5,$C11,"")</f>
        <v/>
      </c>
      <c r="AC11" s="323" t="str">
        <f>IF($A11=Input!$A$5,$D11,"")</f>
        <v/>
      </c>
      <c r="AD11" s="323" t="str">
        <f>IF($A11=Input!$A$5,$E11,"")</f>
        <v/>
      </c>
      <c r="AE11" s="323" t="str">
        <f>IF($A11=Input!$A$5,$F11,"")</f>
        <v/>
      </c>
      <c r="AF11" s="387" t="str">
        <f ca="1">IFERROR(__xludf.DUMMYFUNCTION("""COMPUTED_VALUE"""),"")</f>
        <v/>
      </c>
      <c r="AG11" s="323" t="str">
        <f ca="1">IFERROR(__xludf.DUMMYFUNCTION("""COMPUTED_VALUE"""),"")</f>
        <v/>
      </c>
      <c r="AH11" s="323" t="str">
        <f ca="1">IFERROR(__xludf.DUMMYFUNCTION("""COMPUTED_VALUE"""),"")</f>
        <v/>
      </c>
      <c r="AI11" s="323" t="str">
        <f ca="1">IFERROR(__xludf.DUMMYFUNCTION("""COMPUTED_VALUE"""),"")</f>
        <v/>
      </c>
      <c r="AJ11" s="386" t="str">
        <f ca="1">IFERROR(__xludf.DUMMYFUNCTION("""COMPUTED_VALUE"""),"")</f>
        <v/>
      </c>
      <c r="AL11" s="243" t="str">
        <f>Input!A5</f>
        <v>Joe</v>
      </c>
      <c r="AM11" s="159" t="str">
        <f>IF(Input!$N$28=6,IF(VLOOKUP(AL11,Input!$G$22:$H$27,2,FALSE)="Evade","E",IF(VLOOKUP(AL11,Input!$G$22:$H$27,2,FALSE)="Defend","D",IF(VLOOKUP(AL11,Input!$G$22:$H$27,2,FALSE)="","","A"))),"")</f>
        <v/>
      </c>
      <c r="AN11" s="159">
        <f>IF(Math!F24&gt;=1,1,0)</f>
        <v>0</v>
      </c>
      <c r="AO11" s="159">
        <f>IF(Math!F24&gt;=2,1,0)</f>
        <v>0</v>
      </c>
      <c r="AP11" s="159">
        <f>IF(Math!F24&gt;=3,1,0)</f>
        <v>0</v>
      </c>
      <c r="AQ11" s="159">
        <f>IF(Math!F24&gt;=4,1,0)</f>
        <v>0</v>
      </c>
      <c r="AR11" s="159">
        <f>IF(Math!F24&gt;=5,1,0)</f>
        <v>0</v>
      </c>
      <c r="AS11" s="159">
        <f>IF(Math!F24=6,1,0)</f>
        <v>0</v>
      </c>
    </row>
    <row r="12" spans="1:46" x14ac:dyDescent="0.2">
      <c r="A12" s="250" t="str">
        <f>IF(BuffsDebuffs!$M8=1,BuffsDebuffs!G$2,"")</f>
        <v/>
      </c>
      <c r="B12" s="251" t="str">
        <f>IF(BuffsDebuffs!$M8=1,BuffsDebuffs!H$2,"")</f>
        <v/>
      </c>
      <c r="C12" s="251" t="str">
        <f>IF(BuffsDebuffs!$M8=1,BuffsDebuffs!I$2,"")</f>
        <v/>
      </c>
      <c r="D12" s="251" t="str">
        <f>IF(BuffsDebuffs!$M8=1,BuffsDebuffs!J$2,"")</f>
        <v/>
      </c>
      <c r="E12" s="251" t="str">
        <f>IF(BuffsDebuffs!$M8=1,BuffsDebuffs!K$2,"")</f>
        <v/>
      </c>
      <c r="F12" s="251" t="str">
        <f>IF(BuffsDebuffs!$M8=1,BuffsDebuffs!L$2,"")</f>
        <v/>
      </c>
      <c r="G12" s="387" t="str">
        <f>IF($A12=Input!$A$3,B12,"")</f>
        <v/>
      </c>
      <c r="H12" s="323" t="str">
        <f>IF($A12=Input!$A$3,C12,"")</f>
        <v/>
      </c>
      <c r="I12" s="323" t="str">
        <f>IF($A12=Input!$A$3,D12,"")</f>
        <v/>
      </c>
      <c r="J12" s="323" t="str">
        <f>IF($A12=Input!$A$3,E12,"")</f>
        <v/>
      </c>
      <c r="K12" s="323" t="str">
        <f>IF($A12=Input!$A$3,F12,"")</f>
        <v/>
      </c>
      <c r="L12" s="555" t="str">
        <f ca="1">IFERROR(__xludf.DUMMYFUNCTION("""COMPUTED_VALUE"""),"")</f>
        <v/>
      </c>
      <c r="M12" s="361" t="str">
        <f ca="1">IFERROR(__xludf.DUMMYFUNCTION("""COMPUTED_VALUE"""),"")</f>
        <v/>
      </c>
      <c r="N12" s="361" t="str">
        <f ca="1">IFERROR(__xludf.DUMMYFUNCTION("""COMPUTED_VALUE"""),"")</f>
        <v/>
      </c>
      <c r="O12" s="361" t="str">
        <f ca="1">IFERROR(__xludf.DUMMYFUNCTION("""COMPUTED_VALUE"""),"")</f>
        <v/>
      </c>
      <c r="P12" s="394" t="str">
        <f ca="1">IFERROR(__xludf.DUMMYFUNCTION("""COMPUTED_VALUE"""),"")</f>
        <v/>
      </c>
      <c r="Q12" s="323" t="str">
        <f>IF($A12=Input!$A$4,$B12,"")</f>
        <v/>
      </c>
      <c r="R12" s="323" t="str">
        <f>IF($A12=Input!$A$4,$C12,"")</f>
        <v/>
      </c>
      <c r="S12" s="323" t="str">
        <f>IF($A12=Input!$A$4,$D12,"")</f>
        <v/>
      </c>
      <c r="T12" s="323" t="str">
        <f>IF($A12=Input!$A$4,$E12,"")</f>
        <v/>
      </c>
      <c r="U12" s="323" t="str">
        <f>IF($A12=Input!$A$4,$F12,"")</f>
        <v/>
      </c>
      <c r="V12" s="555" t="str">
        <f ca="1">IFERROR(__xludf.DUMMYFUNCTION("""COMPUTED_VALUE"""),"")</f>
        <v/>
      </c>
      <c r="W12" s="361" t="str">
        <f ca="1">IFERROR(__xludf.DUMMYFUNCTION("""COMPUTED_VALUE"""),"")</f>
        <v/>
      </c>
      <c r="X12" s="361" t="str">
        <f ca="1">IFERROR(__xludf.DUMMYFUNCTION("""COMPUTED_VALUE"""),"")</f>
        <v/>
      </c>
      <c r="Y12" s="361" t="str">
        <f ca="1">IFERROR(__xludf.DUMMYFUNCTION("""COMPUTED_VALUE"""),"")</f>
        <v/>
      </c>
      <c r="Z12" s="394" t="str">
        <f ca="1">IFERROR(__xludf.DUMMYFUNCTION("""COMPUTED_VALUE"""),"")</f>
        <v/>
      </c>
      <c r="AA12" s="323" t="str">
        <f>IF($A12=Input!$A$5,$B12,"")</f>
        <v/>
      </c>
      <c r="AB12" s="323" t="str">
        <f>IF($A12=Input!$A$5,$C12,"")</f>
        <v/>
      </c>
      <c r="AC12" s="323" t="str">
        <f>IF($A12=Input!$A$5,$D12,"")</f>
        <v/>
      </c>
      <c r="AD12" s="323" t="str">
        <f>IF($A12=Input!$A$5,$E12,"")</f>
        <v/>
      </c>
      <c r="AE12" s="323" t="str">
        <f>IF($A12=Input!$A$5,$F12,"")</f>
        <v/>
      </c>
      <c r="AF12" s="555" t="str">
        <f ca="1">IFERROR(__xludf.DUMMYFUNCTION("""COMPUTED_VALUE"""),"")</f>
        <v/>
      </c>
      <c r="AG12" s="361" t="str">
        <f ca="1">IFERROR(__xludf.DUMMYFUNCTION("""COMPUTED_VALUE"""),"")</f>
        <v/>
      </c>
      <c r="AH12" s="361" t="str">
        <f ca="1">IFERROR(__xludf.DUMMYFUNCTION("""COMPUTED_VALUE"""),"")</f>
        <v/>
      </c>
      <c r="AI12" s="361" t="str">
        <f ca="1">IFERROR(__xludf.DUMMYFUNCTION("""COMPUTED_VALUE"""),"")</f>
        <v/>
      </c>
      <c r="AJ12" s="394" t="str">
        <f ca="1">IFERROR(__xludf.DUMMYFUNCTION("""COMPUTED_VALUE"""),"")</f>
        <v/>
      </c>
      <c r="AL12" s="364" t="str">
        <f>Input!A6</f>
        <v>Jake</v>
      </c>
      <c r="AM12" s="159" t="str">
        <f>IF(Input!$N$28=6,IF(VLOOKUP(AL12,Input!$G$22:$H$27,2,FALSE)="Evade","E",IF(VLOOKUP(AL12,Input!$G$22:$H$27,2,FALSE)="Defend","D",IF(VLOOKUP(AL12,Input!$G$22:$H$27,2,FALSE)="","","A"))),"")</f>
        <v/>
      </c>
      <c r="AN12" s="159">
        <f>IF(Math!F25&gt;=1,1,0)</f>
        <v>0</v>
      </c>
      <c r="AO12" s="159">
        <f>IF(Math!F25&gt;=2,1,0)</f>
        <v>0</v>
      </c>
      <c r="AP12" s="159">
        <f>IF(Math!F25&gt;=3,1,0)</f>
        <v>0</v>
      </c>
      <c r="AQ12" s="159">
        <f>IF(Math!F25&gt;=4,1,0)</f>
        <v>0</v>
      </c>
      <c r="AR12" s="159">
        <f>IF(Math!F25&gt;=5,1,0)</f>
        <v>0</v>
      </c>
      <c r="AS12" s="159">
        <f>IF(Math!F25=6,1,0)</f>
        <v>0</v>
      </c>
    </row>
    <row r="13" spans="1:46" x14ac:dyDescent="0.2">
      <c r="A13" s="250" t="str">
        <f>IF(BuffsDebuffs!$M9=1,BuffsDebuffs!G$2,"")</f>
        <v/>
      </c>
      <c r="B13" s="251" t="str">
        <f>IF(BuffsDebuffs!$M9=1,BuffsDebuffs!H$2,"")</f>
        <v/>
      </c>
      <c r="C13" s="251" t="str">
        <f>IF(BuffsDebuffs!$M9=1,BuffsDebuffs!I$2,"")</f>
        <v/>
      </c>
      <c r="D13" s="251" t="str">
        <f>IF(BuffsDebuffs!$M9=1,BuffsDebuffs!J$2,"")</f>
        <v/>
      </c>
      <c r="E13" s="251" t="str">
        <f>IF(BuffsDebuffs!$M9=1,BuffsDebuffs!K$2,"")</f>
        <v/>
      </c>
      <c r="F13" s="251" t="str">
        <f>IF(BuffsDebuffs!$M9=1,BuffsDebuffs!L$2,"")</f>
        <v/>
      </c>
      <c r="G13" s="387" t="str">
        <f>IF($A13=Input!$A$3,B13,"")</f>
        <v/>
      </c>
      <c r="H13" s="323" t="str">
        <f>IF($A13=Input!$A$3,C13,"")</f>
        <v/>
      </c>
      <c r="I13" s="323" t="str">
        <f>IF($A13=Input!$A$3,D13,"")</f>
        <v/>
      </c>
      <c r="J13" s="323" t="str">
        <f>IF($A13=Input!$A$3,E13,"")</f>
        <v/>
      </c>
      <c r="K13" s="386" t="str">
        <f>IF($A13=Input!$A$3,F13,"")</f>
        <v/>
      </c>
      <c r="L13" s="387"/>
      <c r="M13" s="323"/>
      <c r="N13" s="323"/>
      <c r="O13" s="323"/>
      <c r="P13" s="323"/>
      <c r="Q13" s="387" t="str">
        <f>IF($A13=Input!$A$4,$B13,"")</f>
        <v/>
      </c>
      <c r="R13" s="323" t="str">
        <f>IF($A13=Input!$A$4,$C13,"")</f>
        <v/>
      </c>
      <c r="S13" s="323" t="str">
        <f>IF($A13=Input!$A$4,$D13,"")</f>
        <v/>
      </c>
      <c r="T13" s="323" t="str">
        <f>IF($A13=Input!$A$4,$E13,"")</f>
        <v/>
      </c>
      <c r="U13" s="386" t="str">
        <f>IF($A13=Input!$A$4,$F13,"")</f>
        <v/>
      </c>
      <c r="V13" s="323"/>
      <c r="W13" s="323"/>
      <c r="X13" s="323"/>
      <c r="Y13" s="323"/>
      <c r="Z13" s="323"/>
      <c r="AA13" s="387" t="str">
        <f>IF($A13=Input!$A$5,$B13,"")</f>
        <v/>
      </c>
      <c r="AB13" s="323" t="str">
        <f>IF($A13=Input!$A$5,$C13,"")</f>
        <v/>
      </c>
      <c r="AC13" s="323" t="str">
        <f>IF($A13=Input!$A$5,$D13,"")</f>
        <v/>
      </c>
      <c r="AD13" s="323" t="str">
        <f>IF($A13=Input!$A$5,$E13,"")</f>
        <v/>
      </c>
      <c r="AE13" s="386" t="str">
        <f>IF($A13=Input!$A$5,$F13,"")</f>
        <v/>
      </c>
      <c r="AF13" s="323"/>
      <c r="AG13" s="323"/>
      <c r="AH13" s="323"/>
      <c r="AI13" s="323"/>
      <c r="AJ13" s="323"/>
      <c r="AL13" s="266" t="str">
        <f>Input!A7</f>
        <v>Jim</v>
      </c>
      <c r="AM13" s="159" t="str">
        <f>IF(Input!$N$28=6,IF(VLOOKUP(AL13,Input!$G$22:$H$27,2,FALSE)="Evade","E",IF(VLOOKUP(AL13,Input!$G$22:$H$27,2,FALSE)="Defend","D",IF(VLOOKUP(AL13,Input!$G$22:$H$27,2,FALSE)="","","A"))),"")</f>
        <v/>
      </c>
      <c r="AN13" s="159">
        <f>IF(Math!F26&gt;=1,1,0)</f>
        <v>0</v>
      </c>
      <c r="AO13" s="159">
        <f>IF(Math!F26&gt;=2,1,0)</f>
        <v>0</v>
      </c>
      <c r="AP13" s="159">
        <f>IF(Math!F26&gt;=3,1,0)</f>
        <v>0</v>
      </c>
      <c r="AQ13" s="159">
        <f>IF(Math!F26&gt;=4,1,0)</f>
        <v>0</v>
      </c>
      <c r="AR13" s="159">
        <f>IF(Math!F26&gt;=5,1,0)</f>
        <v>0</v>
      </c>
      <c r="AS13" s="159">
        <f>IF(Math!F26=6,1,0)</f>
        <v>0</v>
      </c>
    </row>
    <row r="14" spans="1:46" x14ac:dyDescent="0.2">
      <c r="A14" s="250" t="str">
        <f>IF(BuffsDebuffs!$M10=1,BuffsDebuffs!G$2,"")</f>
        <v/>
      </c>
      <c r="B14" s="251" t="str">
        <f>IF(BuffsDebuffs!$M10=1,BuffsDebuffs!H$2,"")</f>
        <v/>
      </c>
      <c r="C14" s="251" t="str">
        <f>IF(BuffsDebuffs!$M10=1,BuffsDebuffs!I$2,"")</f>
        <v/>
      </c>
      <c r="D14" s="251" t="str">
        <f>IF(BuffsDebuffs!$M10=1,BuffsDebuffs!J$2,"")</f>
        <v/>
      </c>
      <c r="E14" s="251" t="str">
        <f>IF(BuffsDebuffs!$M10=1,BuffsDebuffs!K$2,"")</f>
        <v/>
      </c>
      <c r="F14" s="251" t="str">
        <f>IF(BuffsDebuffs!$M10=1,BuffsDebuffs!L$2,"")</f>
        <v/>
      </c>
      <c r="G14" s="387" t="str">
        <f>IF($A14=Input!$A$3,B14,"")</f>
        <v/>
      </c>
      <c r="H14" s="323" t="str">
        <f>IF($A14=Input!$A$3,C14,"")</f>
        <v/>
      </c>
      <c r="I14" s="323" t="str">
        <f>IF($A14=Input!$A$3,D14,"")</f>
        <v/>
      </c>
      <c r="J14" s="323" t="str">
        <f>IF($A14=Input!$A$3,E14,"")</f>
        <v/>
      </c>
      <c r="K14" s="386" t="str">
        <f>IF($A14=Input!$A$3,F14,"")</f>
        <v/>
      </c>
      <c r="L14" s="387"/>
      <c r="M14" s="323"/>
      <c r="N14" s="323"/>
      <c r="O14" s="323"/>
      <c r="P14" s="323"/>
      <c r="Q14" s="387" t="str">
        <f>IF($A14=Input!$A$4,$B14,"")</f>
        <v/>
      </c>
      <c r="R14" s="323" t="str">
        <f>IF($A14=Input!$A$4,$C14,"")</f>
        <v/>
      </c>
      <c r="S14" s="323" t="str">
        <f>IF($A14=Input!$A$4,$D14,"")</f>
        <v/>
      </c>
      <c r="T14" s="323" t="str">
        <f>IF($A14=Input!$A$4,$E14,"")</f>
        <v/>
      </c>
      <c r="U14" s="386" t="str">
        <f>IF($A14=Input!$A$4,$F14,"")</f>
        <v/>
      </c>
      <c r="V14" s="323"/>
      <c r="W14" s="323"/>
      <c r="X14" s="323"/>
      <c r="Y14" s="323"/>
      <c r="Z14" s="323"/>
      <c r="AA14" s="387" t="str">
        <f>IF($A14=Input!$A$5,$B14,"")</f>
        <v/>
      </c>
      <c r="AB14" s="323" t="str">
        <f>IF($A14=Input!$A$5,$C14,"")</f>
        <v/>
      </c>
      <c r="AC14" s="323" t="str">
        <f>IF($A14=Input!$A$5,$D14,"")</f>
        <v/>
      </c>
      <c r="AD14" s="323" t="str">
        <f>IF($A14=Input!$A$5,$E14,"")</f>
        <v/>
      </c>
      <c r="AE14" s="386" t="str">
        <f>IF($A14=Input!$A$5,$F14,"")</f>
        <v/>
      </c>
      <c r="AF14" s="323"/>
      <c r="AG14" s="323"/>
      <c r="AH14" s="323"/>
      <c r="AI14" s="323"/>
      <c r="AJ14" s="323"/>
      <c r="AL14" s="269" t="str">
        <f>Input!A8</f>
        <v>Jordan</v>
      </c>
      <c r="AM14" s="159" t="str">
        <f>IF(Input!$N$28=6,IF(VLOOKUP(AL14,Input!$G$22:$H$27,2,FALSE)="Evade","E",IF(VLOOKUP(AL14,Input!$G$22:$H$27,2,FALSE)="Defend","D",IF(VLOOKUP(AL14,Input!$G$22:$H$27,2,FALSE)="","","A"))),"")</f>
        <v/>
      </c>
      <c r="AN14" s="159">
        <f>IF(Math!F27&gt;=1,1,0)</f>
        <v>0</v>
      </c>
      <c r="AO14" s="159">
        <f>IF(Math!F27&gt;=2,1,0)</f>
        <v>0</v>
      </c>
      <c r="AP14" s="159">
        <f>IF(Math!F27&gt;=3,1,0)</f>
        <v>0</v>
      </c>
      <c r="AQ14" s="159">
        <f>IF(Math!F27&gt;=4,1,0)</f>
        <v>0</v>
      </c>
      <c r="AR14" s="159">
        <f>IF(Math!F27&gt;=5,1,0)</f>
        <v>0</v>
      </c>
      <c r="AS14" s="159">
        <f>IF(Math!F27=6,1,0)</f>
        <v>0</v>
      </c>
    </row>
    <row r="15" spans="1:46" x14ac:dyDescent="0.2">
      <c r="A15" s="250" t="str">
        <f>IF(BuffsDebuffs!$M11=1,BuffsDebuffs!G$2,"")</f>
        <v/>
      </c>
      <c r="B15" s="251" t="str">
        <f>IF(BuffsDebuffs!$M11=1,BuffsDebuffs!H$2,"")</f>
        <v/>
      </c>
      <c r="C15" s="251" t="str">
        <f>IF(BuffsDebuffs!$M11=1,BuffsDebuffs!I$2,"")</f>
        <v/>
      </c>
      <c r="D15" s="251" t="str">
        <f>IF(BuffsDebuffs!$M11=1,BuffsDebuffs!J$2,"")</f>
        <v/>
      </c>
      <c r="E15" s="251" t="str">
        <f>IF(BuffsDebuffs!$M11=1,BuffsDebuffs!K$2,"")</f>
        <v/>
      </c>
      <c r="F15" s="251" t="str">
        <f>IF(BuffsDebuffs!$M11=1,BuffsDebuffs!L$2,"")</f>
        <v/>
      </c>
      <c r="G15" s="387" t="str">
        <f>IF($A15=Input!$A$3,B15,"")</f>
        <v/>
      </c>
      <c r="H15" s="323" t="str">
        <f>IF($A15=Input!$A$3,C15,"")</f>
        <v/>
      </c>
      <c r="I15" s="323" t="str">
        <f>IF($A15=Input!$A$3,D15,"")</f>
        <v/>
      </c>
      <c r="J15" s="323" t="str">
        <f>IF($A15=Input!$A$3,E15,"")</f>
        <v/>
      </c>
      <c r="K15" s="386" t="str">
        <f>IF($A15=Input!$A$3,F15,"")</f>
        <v/>
      </c>
      <c r="L15" s="387"/>
      <c r="M15" s="323"/>
      <c r="N15" s="323"/>
      <c r="O15" s="323"/>
      <c r="P15" s="323"/>
      <c r="Q15" s="387" t="str">
        <f>IF($A15=Input!$A$4,$B15,"")</f>
        <v/>
      </c>
      <c r="R15" s="323" t="str">
        <f>IF($A15=Input!$A$4,$C15,"")</f>
        <v/>
      </c>
      <c r="S15" s="323" t="str">
        <f>IF($A15=Input!$A$4,$D15,"")</f>
        <v/>
      </c>
      <c r="T15" s="323" t="str">
        <f>IF($A15=Input!$A$4,$E15,"")</f>
        <v/>
      </c>
      <c r="U15" s="386" t="str">
        <f>IF($A15=Input!$A$4,$F15,"")</f>
        <v/>
      </c>
      <c r="V15" s="323"/>
      <c r="W15" s="323"/>
      <c r="X15" s="323"/>
      <c r="Y15" s="323"/>
      <c r="Z15" s="323"/>
      <c r="AA15" s="387" t="str">
        <f>IF($A15=Input!$A$5,$B15,"")</f>
        <v/>
      </c>
      <c r="AB15" s="323" t="str">
        <f>IF($A15=Input!$A$5,$C15,"")</f>
        <v/>
      </c>
      <c r="AC15" s="323" t="str">
        <f>IF($A15=Input!$A$5,$D15,"")</f>
        <v/>
      </c>
      <c r="AD15" s="323" t="str">
        <f>IF($A15=Input!$A$5,$E15,"")</f>
        <v/>
      </c>
      <c r="AE15" s="386" t="str">
        <f>IF($A15=Input!$A$5,$F15,"")</f>
        <v/>
      </c>
      <c r="AF15" s="323"/>
      <c r="AG15" s="323"/>
      <c r="AH15" s="323"/>
      <c r="AI15" s="323"/>
      <c r="AJ15" s="323"/>
    </row>
    <row r="16" spans="1:46" x14ac:dyDescent="0.2">
      <c r="A16" s="250" t="str">
        <f>IF(BuffsDebuffs!$M12=1,BuffsDebuffs!G$2,"")</f>
        <v/>
      </c>
      <c r="B16" s="251" t="str">
        <f>IF(BuffsDebuffs!$M12=1,BuffsDebuffs!H$2,"")</f>
        <v/>
      </c>
      <c r="C16" s="251" t="str">
        <f>IF(BuffsDebuffs!$M12=1,BuffsDebuffs!I$2,"")</f>
        <v/>
      </c>
      <c r="D16" s="251" t="str">
        <f>IF(BuffsDebuffs!$M12=1,BuffsDebuffs!J$2,"")</f>
        <v/>
      </c>
      <c r="E16" s="251" t="str">
        <f>IF(BuffsDebuffs!$M12=1,BuffsDebuffs!K$2,"")</f>
        <v/>
      </c>
      <c r="F16" s="251" t="str">
        <f>IF(BuffsDebuffs!$M12=1,BuffsDebuffs!L$2,"")</f>
        <v/>
      </c>
      <c r="G16" s="387" t="str">
        <f>IF($A16=Input!$A$3,B16,"")</f>
        <v/>
      </c>
      <c r="H16" s="323" t="str">
        <f>IF($A16=Input!$A$3,C16,"")</f>
        <v/>
      </c>
      <c r="I16" s="323" t="str">
        <f>IF($A16=Input!$A$3,D16,"")</f>
        <v/>
      </c>
      <c r="J16" s="323" t="str">
        <f>IF($A16=Input!$A$3,E16,"")</f>
        <v/>
      </c>
      <c r="K16" s="386" t="str">
        <f>IF($A16=Input!$A$3,F16,"")</f>
        <v/>
      </c>
      <c r="L16" s="387"/>
      <c r="M16" s="323"/>
      <c r="N16" s="323"/>
      <c r="O16" s="323"/>
      <c r="P16" s="323"/>
      <c r="Q16" s="387" t="str">
        <f>IF($A16=Input!$A$4,$B16,"")</f>
        <v/>
      </c>
      <c r="R16" s="323" t="str">
        <f>IF($A16=Input!$A$4,$C16,"")</f>
        <v/>
      </c>
      <c r="S16" s="323" t="str">
        <f>IF($A16=Input!$A$4,$D16,"")</f>
        <v/>
      </c>
      <c r="T16" s="323" t="str">
        <f>IF($A16=Input!$A$4,$E16,"")</f>
        <v/>
      </c>
      <c r="U16" s="386" t="str">
        <f>IF($A16=Input!$A$4,$F16,"")</f>
        <v/>
      </c>
      <c r="V16" s="323"/>
      <c r="W16" s="323"/>
      <c r="X16" s="323"/>
      <c r="Y16" s="323"/>
      <c r="Z16" s="323"/>
      <c r="AA16" s="387" t="str">
        <f>IF($A16=Input!$A$5,$B16,"")</f>
        <v/>
      </c>
      <c r="AB16" s="323" t="str">
        <f>IF($A16=Input!$A$5,$C16,"")</f>
        <v/>
      </c>
      <c r="AC16" s="323" t="str">
        <f>IF($A16=Input!$A$5,$D16,"")</f>
        <v/>
      </c>
      <c r="AD16" s="323" t="str">
        <f>IF($A16=Input!$A$5,$E16,"")</f>
        <v/>
      </c>
      <c r="AE16" s="386" t="str">
        <f>IF($A16=Input!$A$5,$F16,"")</f>
        <v/>
      </c>
      <c r="AF16" s="323"/>
      <c r="AG16" s="323"/>
      <c r="AH16" s="323"/>
      <c r="AI16" s="323"/>
      <c r="AJ16" s="323"/>
    </row>
    <row r="17" spans="1:36" x14ac:dyDescent="0.2">
      <c r="A17" s="250" t="str">
        <f>IF(BuffsDebuffs!$M13=1,BuffsDebuffs!G$2,"")</f>
        <v/>
      </c>
      <c r="B17" s="251" t="str">
        <f>IF(BuffsDebuffs!$M13=1,BuffsDebuffs!H$2,"")</f>
        <v/>
      </c>
      <c r="C17" s="251" t="str">
        <f>IF(BuffsDebuffs!$M13=1,BuffsDebuffs!I$2,"")</f>
        <v/>
      </c>
      <c r="D17" s="251" t="str">
        <f>IF(BuffsDebuffs!$M13=1,BuffsDebuffs!J$2,"")</f>
        <v/>
      </c>
      <c r="E17" s="251" t="str">
        <f>IF(BuffsDebuffs!$M13=1,BuffsDebuffs!K$2,"")</f>
        <v/>
      </c>
      <c r="F17" s="251" t="str">
        <f>IF(BuffsDebuffs!$M13=1,BuffsDebuffs!L$2,"")</f>
        <v/>
      </c>
      <c r="G17" s="387" t="str">
        <f>IF($A17=Input!$A$3,B17,"")</f>
        <v/>
      </c>
      <c r="H17" s="323" t="str">
        <f>IF($A17=Input!$A$3,C17,"")</f>
        <v/>
      </c>
      <c r="I17" s="323" t="str">
        <f>IF($A17=Input!$A$3,D17,"")</f>
        <v/>
      </c>
      <c r="J17" s="323" t="str">
        <f>IF($A17=Input!$A$3,E17,"")</f>
        <v/>
      </c>
      <c r="K17" s="386" t="str">
        <f>IF($A17=Input!$A$3,F17,"")</f>
        <v/>
      </c>
      <c r="L17" s="387"/>
      <c r="M17" s="323"/>
      <c r="N17" s="323"/>
      <c r="O17" s="323"/>
      <c r="P17" s="323"/>
      <c r="Q17" s="387" t="str">
        <f>IF($A17=Input!$A$4,$B17,"")</f>
        <v/>
      </c>
      <c r="R17" s="323" t="str">
        <f>IF($A17=Input!$A$4,$C17,"")</f>
        <v/>
      </c>
      <c r="S17" s="323" t="str">
        <f>IF($A17=Input!$A$4,$D17,"")</f>
        <v/>
      </c>
      <c r="T17" s="323" t="str">
        <f>IF($A17=Input!$A$4,$E17,"")</f>
        <v/>
      </c>
      <c r="U17" s="386" t="str">
        <f>IF($A17=Input!$A$4,$F17,"")</f>
        <v/>
      </c>
      <c r="V17" s="323"/>
      <c r="W17" s="323"/>
      <c r="X17" s="323"/>
      <c r="Y17" s="323"/>
      <c r="Z17" s="323"/>
      <c r="AA17" s="387" t="str">
        <f>IF($A17=Input!$A$5,$B17,"")</f>
        <v/>
      </c>
      <c r="AB17" s="323" t="str">
        <f>IF($A17=Input!$A$5,$C17,"")</f>
        <v/>
      </c>
      <c r="AC17" s="323" t="str">
        <f>IF($A17=Input!$A$5,$D17,"")</f>
        <v/>
      </c>
      <c r="AD17" s="323" t="str">
        <f>IF($A17=Input!$A$5,$E17,"")</f>
        <v/>
      </c>
      <c r="AE17" s="386" t="str">
        <f>IF($A17=Input!$A$5,$F17,"")</f>
        <v/>
      </c>
      <c r="AF17" s="323"/>
      <c r="AG17" s="323"/>
      <c r="AH17" s="323"/>
      <c r="AI17" s="323"/>
      <c r="AJ17" s="323"/>
    </row>
    <row r="18" spans="1:36" x14ac:dyDescent="0.2">
      <c r="A18" s="250" t="str">
        <f>IF(BuffsDebuffs!$M14=1,BuffsDebuffs!G$2,"")</f>
        <v/>
      </c>
      <c r="B18" s="251" t="str">
        <f>IF(BuffsDebuffs!$M14=1,BuffsDebuffs!H$2,"")</f>
        <v/>
      </c>
      <c r="C18" s="251" t="str">
        <f>IF(BuffsDebuffs!$M14=1,BuffsDebuffs!I$2,"")</f>
        <v/>
      </c>
      <c r="D18" s="251" t="str">
        <f>IF(BuffsDebuffs!$M14=1,BuffsDebuffs!J$2,"")</f>
        <v/>
      </c>
      <c r="E18" s="251" t="str">
        <f>IF(BuffsDebuffs!$M14=1,BuffsDebuffs!K$2,"")</f>
        <v/>
      </c>
      <c r="F18" s="251" t="str">
        <f>IF(BuffsDebuffs!$M14=1,BuffsDebuffs!L$2,"")</f>
        <v/>
      </c>
      <c r="G18" s="387" t="str">
        <f>IF($A18=Input!$A$3,B18,"")</f>
        <v/>
      </c>
      <c r="H18" s="323" t="str">
        <f>IF($A18=Input!$A$3,C18,"")</f>
        <v/>
      </c>
      <c r="I18" s="323" t="str">
        <f>IF($A18=Input!$A$3,D18,"")</f>
        <v/>
      </c>
      <c r="J18" s="323" t="str">
        <f>IF($A18=Input!$A$3,E18,"")</f>
        <v/>
      </c>
      <c r="K18" s="386" t="str">
        <f>IF($A18=Input!$A$3,F18,"")</f>
        <v/>
      </c>
      <c r="L18" s="387"/>
      <c r="M18" s="323"/>
      <c r="N18" s="323"/>
      <c r="O18" s="323"/>
      <c r="P18" s="323"/>
      <c r="Q18" s="387" t="str">
        <f>IF($A18=Input!$A$4,$B18,"")</f>
        <v/>
      </c>
      <c r="R18" s="323" t="str">
        <f>IF($A18=Input!$A$4,$C18,"")</f>
        <v/>
      </c>
      <c r="S18" s="323" t="str">
        <f>IF($A18=Input!$A$4,$D18,"")</f>
        <v/>
      </c>
      <c r="T18" s="323" t="str">
        <f>IF($A18=Input!$A$4,$E18,"")</f>
        <v/>
      </c>
      <c r="U18" s="386" t="str">
        <f>IF($A18=Input!$A$4,$F18,"")</f>
        <v/>
      </c>
      <c r="V18" s="323"/>
      <c r="W18" s="323"/>
      <c r="X18" s="323"/>
      <c r="Y18" s="323"/>
      <c r="Z18" s="323"/>
      <c r="AA18" s="387" t="str">
        <f>IF($A18=Input!$A$5,$B18,"")</f>
        <v/>
      </c>
      <c r="AB18" s="323" t="str">
        <f>IF($A18=Input!$A$5,$C18,"")</f>
        <v/>
      </c>
      <c r="AC18" s="323" t="str">
        <f>IF($A18=Input!$A$5,$D18,"")</f>
        <v/>
      </c>
      <c r="AD18" s="323" t="str">
        <f>IF($A18=Input!$A$5,$E18,"")</f>
        <v/>
      </c>
      <c r="AE18" s="386" t="str">
        <f>IF($A18=Input!$A$5,$F18,"")</f>
        <v/>
      </c>
      <c r="AF18" s="323"/>
      <c r="AG18" s="323"/>
      <c r="AH18" s="323"/>
      <c r="AI18" s="323"/>
      <c r="AJ18" s="323"/>
    </row>
    <row r="19" spans="1:36" x14ac:dyDescent="0.2">
      <c r="A19" s="250" t="str">
        <f>IF(BuffsDebuffs!$M15=1,BuffsDebuffs!G$2,"")</f>
        <v/>
      </c>
      <c r="B19" s="251" t="str">
        <f>IF(BuffsDebuffs!$M15=1,BuffsDebuffs!H$2,"")</f>
        <v/>
      </c>
      <c r="C19" s="251" t="str">
        <f>IF(BuffsDebuffs!$M15=1,BuffsDebuffs!I$2,"")</f>
        <v/>
      </c>
      <c r="D19" s="251" t="str">
        <f>IF(BuffsDebuffs!$M15=1,BuffsDebuffs!J$2,"")</f>
        <v/>
      </c>
      <c r="E19" s="251" t="str">
        <f>IF(BuffsDebuffs!$M15=1,BuffsDebuffs!K$2,"")</f>
        <v/>
      </c>
      <c r="F19" s="251" t="str">
        <f>IF(BuffsDebuffs!$M15=1,BuffsDebuffs!L$2,"")</f>
        <v/>
      </c>
      <c r="G19" s="387" t="str">
        <f>IF($A19=Input!$A$3,B19,"")</f>
        <v/>
      </c>
      <c r="H19" s="323" t="str">
        <f>IF($A19=Input!$A$3,C19,"")</f>
        <v/>
      </c>
      <c r="I19" s="323" t="str">
        <f>IF($A19=Input!$A$3,D19,"")</f>
        <v/>
      </c>
      <c r="J19" s="323" t="str">
        <f>IF($A19=Input!$A$3,E19,"")</f>
        <v/>
      </c>
      <c r="K19" s="386" t="str">
        <f>IF($A19=Input!$A$3,F19,"")</f>
        <v/>
      </c>
      <c r="L19" s="387"/>
      <c r="M19" s="323"/>
      <c r="N19" s="323"/>
      <c r="O19" s="323"/>
      <c r="P19" s="323"/>
      <c r="Q19" s="387" t="str">
        <f>IF($A19=Input!$A$4,$B19,"")</f>
        <v/>
      </c>
      <c r="R19" s="323" t="str">
        <f>IF($A19=Input!$A$4,$C19,"")</f>
        <v/>
      </c>
      <c r="S19" s="323" t="str">
        <f>IF($A19=Input!$A$4,$D19,"")</f>
        <v/>
      </c>
      <c r="T19" s="323" t="str">
        <f>IF($A19=Input!$A$4,$E19,"")</f>
        <v/>
      </c>
      <c r="U19" s="386" t="str">
        <f>IF($A19=Input!$A$4,$F19,"")</f>
        <v/>
      </c>
      <c r="V19" s="323"/>
      <c r="W19" s="323"/>
      <c r="X19" s="323"/>
      <c r="Y19" s="323"/>
      <c r="Z19" s="323"/>
      <c r="AA19" s="387" t="str">
        <f>IF($A19=Input!$A$5,$B19,"")</f>
        <v/>
      </c>
      <c r="AB19" s="323" t="str">
        <f>IF($A19=Input!$A$5,$C19,"")</f>
        <v/>
      </c>
      <c r="AC19" s="323" t="str">
        <f>IF($A19=Input!$A$5,$D19,"")</f>
        <v/>
      </c>
      <c r="AD19" s="323" t="str">
        <f>IF($A19=Input!$A$5,$E19,"")</f>
        <v/>
      </c>
      <c r="AE19" s="386" t="str">
        <f>IF($A19=Input!$A$5,$F19,"")</f>
        <v/>
      </c>
      <c r="AF19" s="323"/>
      <c r="AG19" s="323"/>
      <c r="AH19" s="323"/>
      <c r="AI19" s="323"/>
      <c r="AJ19" s="323"/>
    </row>
    <row r="20" spans="1:36" x14ac:dyDescent="0.2">
      <c r="A20" s="250" t="str">
        <f>IF(BuffsDebuffs!$M16=1,BuffsDebuffs!G$2,"")</f>
        <v/>
      </c>
      <c r="B20" s="251" t="str">
        <f>IF(BuffsDebuffs!$M16=1,BuffsDebuffs!H$2,"")</f>
        <v/>
      </c>
      <c r="C20" s="251" t="str">
        <f>IF(BuffsDebuffs!$M16=1,BuffsDebuffs!I$2,"")</f>
        <v/>
      </c>
      <c r="D20" s="251" t="str">
        <f>IF(BuffsDebuffs!$M16=1,BuffsDebuffs!J$2,"")</f>
        <v/>
      </c>
      <c r="E20" s="251" t="str">
        <f>IF(BuffsDebuffs!$M16=1,BuffsDebuffs!K$2,"")</f>
        <v/>
      </c>
      <c r="F20" s="251" t="str">
        <f>IF(BuffsDebuffs!$M16=1,BuffsDebuffs!L$2,"")</f>
        <v/>
      </c>
      <c r="G20" s="387" t="str">
        <f>IF($A20=Input!$A$3,B20,"")</f>
        <v/>
      </c>
      <c r="H20" s="323" t="str">
        <f>IF($A20=Input!$A$3,C20,"")</f>
        <v/>
      </c>
      <c r="I20" s="323" t="str">
        <f>IF($A20=Input!$A$3,D20,"")</f>
        <v/>
      </c>
      <c r="J20" s="323" t="str">
        <f>IF($A20=Input!$A$3,E20,"")</f>
        <v/>
      </c>
      <c r="K20" s="386" t="str">
        <f>IF($A20=Input!$A$3,F20,"")</f>
        <v/>
      </c>
      <c r="L20" s="387"/>
      <c r="M20" s="323"/>
      <c r="N20" s="323"/>
      <c r="O20" s="323"/>
      <c r="P20" s="323"/>
      <c r="Q20" s="387" t="str">
        <f>IF($A20=Input!$A$4,$B20,"")</f>
        <v/>
      </c>
      <c r="R20" s="323" t="str">
        <f>IF($A20=Input!$A$4,$C20,"")</f>
        <v/>
      </c>
      <c r="S20" s="323" t="str">
        <f>IF($A20=Input!$A$4,$D20,"")</f>
        <v/>
      </c>
      <c r="T20" s="323" t="str">
        <f>IF($A20=Input!$A$4,$E20,"")</f>
        <v/>
      </c>
      <c r="U20" s="386" t="str">
        <f>IF($A20=Input!$A$4,$F20,"")</f>
        <v/>
      </c>
      <c r="V20" s="323"/>
      <c r="W20" s="323"/>
      <c r="X20" s="323"/>
      <c r="Y20" s="323"/>
      <c r="Z20" s="323"/>
      <c r="AA20" s="387" t="str">
        <f>IF($A20=Input!$A$5,$B20,"")</f>
        <v/>
      </c>
      <c r="AB20" s="323" t="str">
        <f>IF($A20=Input!$A$5,$C20,"")</f>
        <v/>
      </c>
      <c r="AC20" s="323" t="str">
        <f>IF($A20=Input!$A$5,$D20,"")</f>
        <v/>
      </c>
      <c r="AD20" s="323" t="str">
        <f>IF($A20=Input!$A$5,$E20,"")</f>
        <v/>
      </c>
      <c r="AE20" s="386" t="str">
        <f>IF($A20=Input!$A$5,$F20,"")</f>
        <v/>
      </c>
      <c r="AF20" s="323"/>
      <c r="AG20" s="323"/>
      <c r="AH20" s="323"/>
      <c r="AI20" s="323"/>
      <c r="AJ20" s="323"/>
    </row>
    <row r="21" spans="1:36" x14ac:dyDescent="0.2">
      <c r="A21" s="250" t="str">
        <f>IF(BuffsDebuffs!$M17=1,BuffsDebuffs!G$2,"")</f>
        <v/>
      </c>
      <c r="B21" s="251" t="str">
        <f>IF(BuffsDebuffs!$M17=1,BuffsDebuffs!H$2,"")</f>
        <v/>
      </c>
      <c r="C21" s="251" t="str">
        <f>IF(BuffsDebuffs!$M17=1,BuffsDebuffs!I$2,"")</f>
        <v/>
      </c>
      <c r="D21" s="251" t="str">
        <f>IF(BuffsDebuffs!$M17=1,BuffsDebuffs!J$2,"")</f>
        <v/>
      </c>
      <c r="E21" s="251" t="str">
        <f>IF(BuffsDebuffs!$M17=1,BuffsDebuffs!K$2,"")</f>
        <v/>
      </c>
      <c r="F21" s="251" t="str">
        <f>IF(BuffsDebuffs!$M17=1,BuffsDebuffs!L$2,"")</f>
        <v/>
      </c>
      <c r="G21" s="387" t="str">
        <f>IF($A21=Input!$A$3,B21,"")</f>
        <v/>
      </c>
      <c r="H21" s="323" t="str">
        <f>IF($A21=Input!$A$3,C21,"")</f>
        <v/>
      </c>
      <c r="I21" s="323" t="str">
        <f>IF($A21=Input!$A$3,D21,"")</f>
        <v/>
      </c>
      <c r="J21" s="323" t="str">
        <f>IF($A21=Input!$A$3,E21,"")</f>
        <v/>
      </c>
      <c r="K21" s="386" t="str">
        <f>IF($A21=Input!$A$3,F21,"")</f>
        <v/>
      </c>
      <c r="L21" s="387"/>
      <c r="M21" s="323"/>
      <c r="N21" s="323"/>
      <c r="O21" s="323"/>
      <c r="P21" s="323"/>
      <c r="Q21" s="387" t="str">
        <f>IF($A21=Input!$A$4,$B21,"")</f>
        <v/>
      </c>
      <c r="R21" s="323" t="str">
        <f>IF($A21=Input!$A$4,$C21,"")</f>
        <v/>
      </c>
      <c r="S21" s="323" t="str">
        <f>IF($A21=Input!$A$4,$D21,"")</f>
        <v/>
      </c>
      <c r="T21" s="323" t="str">
        <f>IF($A21=Input!$A$4,$E21,"")</f>
        <v/>
      </c>
      <c r="U21" s="386" t="str">
        <f>IF($A21=Input!$A$4,$F21,"")</f>
        <v/>
      </c>
      <c r="V21" s="323"/>
      <c r="W21" s="323"/>
      <c r="X21" s="323"/>
      <c r="Y21" s="323"/>
      <c r="Z21" s="323"/>
      <c r="AA21" s="387" t="str">
        <f>IF($A21=Input!$A$5,$B21,"")</f>
        <v/>
      </c>
      <c r="AB21" s="323" t="str">
        <f>IF($A21=Input!$A$5,$C21,"")</f>
        <v/>
      </c>
      <c r="AC21" s="323" t="str">
        <f>IF($A21=Input!$A$5,$D21,"")</f>
        <v/>
      </c>
      <c r="AD21" s="323" t="str">
        <f>IF($A21=Input!$A$5,$E21,"")</f>
        <v/>
      </c>
      <c r="AE21" s="386" t="str">
        <f>IF($A21=Input!$A$5,$F21,"")</f>
        <v/>
      </c>
      <c r="AF21" s="323"/>
      <c r="AG21" s="323"/>
      <c r="AH21" s="323"/>
      <c r="AI21" s="323"/>
      <c r="AJ21" s="323"/>
    </row>
    <row r="22" spans="1:36" x14ac:dyDescent="0.2">
      <c r="A22" s="250" t="str">
        <f>IF(BuffsDebuffs!$M18=1,BuffsDebuffs!G$2,"")</f>
        <v/>
      </c>
      <c r="B22" s="251" t="str">
        <f>IF(BuffsDebuffs!$M18=1,BuffsDebuffs!H$2,"")</f>
        <v/>
      </c>
      <c r="C22" s="251" t="str">
        <f>IF(BuffsDebuffs!$M18=1,BuffsDebuffs!I$2,"")</f>
        <v/>
      </c>
      <c r="D22" s="251" t="str">
        <f>IF(BuffsDebuffs!$M18=1,BuffsDebuffs!J$2,"")</f>
        <v/>
      </c>
      <c r="E22" s="251" t="str">
        <f>IF(BuffsDebuffs!$M18=1,BuffsDebuffs!K$2,"")</f>
        <v/>
      </c>
      <c r="F22" s="251" t="str">
        <f>IF(BuffsDebuffs!$M18=1,BuffsDebuffs!L$2,"")</f>
        <v/>
      </c>
      <c r="G22" s="387" t="str">
        <f>IF($A22=Input!$A$3,B22,"")</f>
        <v/>
      </c>
      <c r="H22" s="323" t="str">
        <f>IF($A22=Input!$A$3,C22,"")</f>
        <v/>
      </c>
      <c r="I22" s="323" t="str">
        <f>IF($A22=Input!$A$3,D22,"")</f>
        <v/>
      </c>
      <c r="J22" s="323" t="str">
        <f>IF($A22=Input!$A$3,E22,"")</f>
        <v/>
      </c>
      <c r="K22" s="386" t="str">
        <f>IF($A22=Input!$A$3,F22,"")</f>
        <v/>
      </c>
      <c r="L22" s="387"/>
      <c r="M22" s="323"/>
      <c r="N22" s="323"/>
      <c r="O22" s="323"/>
      <c r="P22" s="323"/>
      <c r="Q22" s="387" t="str">
        <f>IF($A22=Input!$A$4,$B22,"")</f>
        <v/>
      </c>
      <c r="R22" s="323" t="str">
        <f>IF($A22=Input!$A$4,$C22,"")</f>
        <v/>
      </c>
      <c r="S22" s="323" t="str">
        <f>IF($A22=Input!$A$4,$D22,"")</f>
        <v/>
      </c>
      <c r="T22" s="323" t="str">
        <f>IF($A22=Input!$A$4,$E22,"")</f>
        <v/>
      </c>
      <c r="U22" s="386" t="str">
        <f>IF($A22=Input!$A$4,$F22,"")</f>
        <v/>
      </c>
      <c r="V22" s="323"/>
      <c r="W22" s="323"/>
      <c r="X22" s="323"/>
      <c r="Y22" s="323"/>
      <c r="Z22" s="323"/>
      <c r="AA22" s="387" t="str">
        <f>IF($A22=Input!$A$5,$B22,"")</f>
        <v/>
      </c>
      <c r="AB22" s="323" t="str">
        <f>IF($A22=Input!$A$5,$C22,"")</f>
        <v/>
      </c>
      <c r="AC22" s="323" t="str">
        <f>IF($A22=Input!$A$5,$D22,"")</f>
        <v/>
      </c>
      <c r="AD22" s="323" t="str">
        <f>IF($A22=Input!$A$5,$E22,"")</f>
        <v/>
      </c>
      <c r="AE22" s="386" t="str">
        <f>IF($A22=Input!$A$5,$F22,"")</f>
        <v/>
      </c>
      <c r="AF22" s="323"/>
      <c r="AG22" s="323"/>
      <c r="AH22" s="323"/>
      <c r="AI22" s="323"/>
      <c r="AJ22" s="323"/>
    </row>
    <row r="23" spans="1:36" x14ac:dyDescent="0.2">
      <c r="A23" s="250" t="str">
        <f>IF(BuffsDebuffs!$M19=1,BuffsDebuffs!G$2,"")</f>
        <v/>
      </c>
      <c r="B23" s="251" t="str">
        <f>IF(BuffsDebuffs!$M19=1,BuffsDebuffs!H$2,"")</f>
        <v/>
      </c>
      <c r="C23" s="251" t="str">
        <f>IF(BuffsDebuffs!$M19=1,BuffsDebuffs!I$2,"")</f>
        <v/>
      </c>
      <c r="D23" s="251" t="str">
        <f>IF(BuffsDebuffs!$M19=1,BuffsDebuffs!J$2,"")</f>
        <v/>
      </c>
      <c r="E23" s="251" t="str">
        <f>IF(BuffsDebuffs!$M19=1,BuffsDebuffs!K$2,"")</f>
        <v/>
      </c>
      <c r="F23" s="251" t="str">
        <f>IF(BuffsDebuffs!$M19=1,BuffsDebuffs!L$2,"")</f>
        <v/>
      </c>
      <c r="G23" s="387" t="str">
        <f>IF($A23=Input!$A$3,B23,"")</f>
        <v/>
      </c>
      <c r="H23" s="323" t="str">
        <f>IF($A23=Input!$A$3,C23,"")</f>
        <v/>
      </c>
      <c r="I23" s="323" t="str">
        <f>IF($A23=Input!$A$3,D23,"")</f>
        <v/>
      </c>
      <c r="J23" s="323" t="str">
        <f>IF($A23=Input!$A$3,E23,"")</f>
        <v/>
      </c>
      <c r="K23" s="386" t="str">
        <f>IF($A23=Input!$A$3,F23,"")</f>
        <v/>
      </c>
      <c r="L23" s="387"/>
      <c r="M23" s="323"/>
      <c r="N23" s="323"/>
      <c r="O23" s="323"/>
      <c r="P23" s="323"/>
      <c r="Q23" s="387" t="str">
        <f>IF($A23=Input!$A$4,$B23,"")</f>
        <v/>
      </c>
      <c r="R23" s="323" t="str">
        <f>IF($A23=Input!$A$4,$C23,"")</f>
        <v/>
      </c>
      <c r="S23" s="323" t="str">
        <f>IF($A23=Input!$A$4,$D23,"")</f>
        <v/>
      </c>
      <c r="T23" s="323" t="str">
        <f>IF($A23=Input!$A$4,$E23,"")</f>
        <v/>
      </c>
      <c r="U23" s="386" t="str">
        <f>IF($A23=Input!$A$4,$F23,"")</f>
        <v/>
      </c>
      <c r="V23" s="323"/>
      <c r="W23" s="323"/>
      <c r="X23" s="323"/>
      <c r="Y23" s="323"/>
      <c r="Z23" s="323"/>
      <c r="AA23" s="387" t="str">
        <f>IF($A23=Input!$A$5,$B23,"")</f>
        <v/>
      </c>
      <c r="AB23" s="323" t="str">
        <f>IF($A23=Input!$A$5,$C23,"")</f>
        <v/>
      </c>
      <c r="AC23" s="323" t="str">
        <f>IF($A23=Input!$A$5,$D23,"")</f>
        <v/>
      </c>
      <c r="AD23" s="323" t="str">
        <f>IF($A23=Input!$A$5,$E23,"")</f>
        <v/>
      </c>
      <c r="AE23" s="386" t="str">
        <f>IF($A23=Input!$A$5,$F23,"")</f>
        <v/>
      </c>
      <c r="AF23" s="323"/>
      <c r="AG23" s="323"/>
      <c r="AH23" s="323"/>
      <c r="AI23" s="323"/>
      <c r="AJ23" s="323"/>
    </row>
    <row r="24" spans="1:36" x14ac:dyDescent="0.2">
      <c r="A24" s="250" t="str">
        <f>IF(BuffsDebuffs!$M20=1,BuffsDebuffs!G$2,"")</f>
        <v/>
      </c>
      <c r="B24" s="251" t="str">
        <f>IF(BuffsDebuffs!$M20=1,BuffsDebuffs!H$2,"")</f>
        <v/>
      </c>
      <c r="C24" s="251" t="str">
        <f>IF(BuffsDebuffs!$M20=1,BuffsDebuffs!I$2,"")</f>
        <v/>
      </c>
      <c r="D24" s="251" t="str">
        <f>IF(BuffsDebuffs!$M20=1,BuffsDebuffs!J$2,"")</f>
        <v/>
      </c>
      <c r="E24" s="251" t="str">
        <f>IF(BuffsDebuffs!$M20=1,BuffsDebuffs!K$2,"")</f>
        <v/>
      </c>
      <c r="F24" s="251" t="str">
        <f>IF(BuffsDebuffs!$M20=1,BuffsDebuffs!L$2,"")</f>
        <v/>
      </c>
      <c r="G24" s="387" t="str">
        <f>IF($A24=Input!$A$3,B24,"")</f>
        <v/>
      </c>
      <c r="H24" s="323" t="str">
        <f>IF($A24=Input!$A$3,C24,"")</f>
        <v/>
      </c>
      <c r="I24" s="323" t="str">
        <f>IF($A24=Input!$A$3,D24,"")</f>
        <v/>
      </c>
      <c r="J24" s="323" t="str">
        <f>IF($A24=Input!$A$3,E24,"")</f>
        <v/>
      </c>
      <c r="K24" s="386" t="str">
        <f>IF($A24=Input!$A$3,F24,"")</f>
        <v/>
      </c>
      <c r="L24" s="387"/>
      <c r="M24" s="323"/>
      <c r="N24" s="323"/>
      <c r="O24" s="323"/>
      <c r="P24" s="323"/>
      <c r="Q24" s="387" t="str">
        <f>IF($A24=Input!$A$4,$B24,"")</f>
        <v/>
      </c>
      <c r="R24" s="323" t="str">
        <f>IF($A24=Input!$A$4,$C24,"")</f>
        <v/>
      </c>
      <c r="S24" s="323" t="str">
        <f>IF($A24=Input!$A$4,$D24,"")</f>
        <v/>
      </c>
      <c r="T24" s="323" t="str">
        <f>IF($A24=Input!$A$4,$E24,"")</f>
        <v/>
      </c>
      <c r="U24" s="386" t="str">
        <f>IF($A24=Input!$A$4,$F24,"")</f>
        <v/>
      </c>
      <c r="V24" s="323"/>
      <c r="W24" s="323"/>
      <c r="X24" s="323"/>
      <c r="Y24" s="323"/>
      <c r="Z24" s="323"/>
      <c r="AA24" s="387" t="str">
        <f>IF($A24=Input!$A$5,$B24,"")</f>
        <v/>
      </c>
      <c r="AB24" s="323" t="str">
        <f>IF($A24=Input!$A$5,$C24,"")</f>
        <v/>
      </c>
      <c r="AC24" s="323" t="str">
        <f>IF($A24=Input!$A$5,$D24,"")</f>
        <v/>
      </c>
      <c r="AD24" s="323" t="str">
        <f>IF($A24=Input!$A$5,$E24,"")</f>
        <v/>
      </c>
      <c r="AE24" s="386" t="str">
        <f>IF($A24=Input!$A$5,$F24,"")</f>
        <v/>
      </c>
      <c r="AF24" s="323"/>
      <c r="AG24" s="323"/>
      <c r="AH24" s="323"/>
      <c r="AI24" s="323"/>
      <c r="AJ24" s="323"/>
    </row>
    <row r="25" spans="1:36" x14ac:dyDescent="0.2">
      <c r="A25" s="250" t="str">
        <f>IF(BuffsDebuffs!$M21=1,BuffsDebuffs!G$2,"")</f>
        <v/>
      </c>
      <c r="B25" s="251" t="str">
        <f>IF(BuffsDebuffs!$M21=1,BuffsDebuffs!H$2,"")</f>
        <v/>
      </c>
      <c r="C25" s="251" t="str">
        <f>IF(BuffsDebuffs!$M21=1,BuffsDebuffs!I$2,"")</f>
        <v/>
      </c>
      <c r="D25" s="251" t="str">
        <f>IF(BuffsDebuffs!$M21=1,BuffsDebuffs!J$2,"")</f>
        <v/>
      </c>
      <c r="E25" s="251" t="str">
        <f>IF(BuffsDebuffs!$M21=1,BuffsDebuffs!K$2,"")</f>
        <v/>
      </c>
      <c r="F25" s="251" t="str">
        <f>IF(BuffsDebuffs!$M21=1,BuffsDebuffs!L$2,"")</f>
        <v/>
      </c>
      <c r="G25" s="387" t="str">
        <f>IF($A25=Input!$A$3,B25,"")</f>
        <v/>
      </c>
      <c r="H25" s="323" t="str">
        <f>IF($A25=Input!$A$3,C25,"")</f>
        <v/>
      </c>
      <c r="I25" s="323" t="str">
        <f>IF($A25=Input!$A$3,D25,"")</f>
        <v/>
      </c>
      <c r="J25" s="323" t="str">
        <f>IF($A25=Input!$A$3,E25,"")</f>
        <v/>
      </c>
      <c r="K25" s="386" t="str">
        <f>IF($A25=Input!$A$3,F25,"")</f>
        <v/>
      </c>
      <c r="L25" s="387"/>
      <c r="M25" s="323"/>
      <c r="N25" s="323"/>
      <c r="O25" s="323"/>
      <c r="P25" s="323"/>
      <c r="Q25" s="387" t="str">
        <f>IF($A25=Input!$A$4,$B25,"")</f>
        <v/>
      </c>
      <c r="R25" s="323" t="str">
        <f>IF($A25=Input!$A$4,$C25,"")</f>
        <v/>
      </c>
      <c r="S25" s="323" t="str">
        <f>IF($A25=Input!$A$4,$D25,"")</f>
        <v/>
      </c>
      <c r="T25" s="323" t="str">
        <f>IF($A25=Input!$A$4,$E25,"")</f>
        <v/>
      </c>
      <c r="U25" s="386" t="str">
        <f>IF($A25=Input!$A$4,$F25,"")</f>
        <v/>
      </c>
      <c r="V25" s="323"/>
      <c r="W25" s="323"/>
      <c r="X25" s="323"/>
      <c r="Y25" s="323"/>
      <c r="Z25" s="323"/>
      <c r="AA25" s="387" t="str">
        <f>IF($A25=Input!$A$5,$B25,"")</f>
        <v/>
      </c>
      <c r="AB25" s="323" t="str">
        <f>IF($A25=Input!$A$5,$C25,"")</f>
        <v/>
      </c>
      <c r="AC25" s="323" t="str">
        <f>IF($A25=Input!$A$5,$D25,"")</f>
        <v/>
      </c>
      <c r="AD25" s="323" t="str">
        <f>IF($A25=Input!$A$5,$E25,"")</f>
        <v/>
      </c>
      <c r="AE25" s="386" t="str">
        <f>IF($A25=Input!$A$5,$F25,"")</f>
        <v/>
      </c>
      <c r="AF25" s="323"/>
      <c r="AG25" s="323"/>
      <c r="AH25" s="323"/>
      <c r="AI25" s="323"/>
      <c r="AJ25" s="323"/>
    </row>
    <row r="26" spans="1:36" x14ac:dyDescent="0.2">
      <c r="A26" s="250" t="str">
        <f>IF(BuffsDebuffs!$M22=1,BuffsDebuffs!G$2,"")</f>
        <v/>
      </c>
      <c r="B26" s="251" t="str">
        <f>IF(BuffsDebuffs!$M22=1,BuffsDebuffs!H$2,"")</f>
        <v/>
      </c>
      <c r="C26" s="251" t="str">
        <f>IF(BuffsDebuffs!$M22=1,BuffsDebuffs!I$2,"")</f>
        <v/>
      </c>
      <c r="D26" s="251" t="str">
        <f>IF(BuffsDebuffs!$M22=1,BuffsDebuffs!J$2,"")</f>
        <v/>
      </c>
      <c r="E26" s="251" t="str">
        <f>IF(BuffsDebuffs!$M22=1,BuffsDebuffs!K$2,"")</f>
        <v/>
      </c>
      <c r="F26" s="251" t="str">
        <f>IF(BuffsDebuffs!$M22=1,BuffsDebuffs!L$2,"")</f>
        <v/>
      </c>
      <c r="G26" s="387" t="str">
        <f>IF($A26=Input!$A$3,B26,"")</f>
        <v/>
      </c>
      <c r="H26" s="323" t="str">
        <f>IF($A26=Input!$A$3,C26,"")</f>
        <v/>
      </c>
      <c r="I26" s="323" t="str">
        <f>IF($A26=Input!$A$3,D26,"")</f>
        <v/>
      </c>
      <c r="J26" s="323" t="str">
        <f>IF($A26=Input!$A$3,E26,"")</f>
        <v/>
      </c>
      <c r="K26" s="386" t="str">
        <f>IF($A26=Input!$A$3,F26,"")</f>
        <v/>
      </c>
      <c r="L26" s="387"/>
      <c r="M26" s="323"/>
      <c r="N26" s="323"/>
      <c r="O26" s="323"/>
      <c r="P26" s="323"/>
      <c r="Q26" s="387" t="str">
        <f>IF($A26=Input!$A$4,$B26,"")</f>
        <v/>
      </c>
      <c r="R26" s="323" t="str">
        <f>IF($A26=Input!$A$4,$C26,"")</f>
        <v/>
      </c>
      <c r="S26" s="323" t="str">
        <f>IF($A26=Input!$A$4,$D26,"")</f>
        <v/>
      </c>
      <c r="T26" s="323" t="str">
        <f>IF($A26=Input!$A$4,$E26,"")</f>
        <v/>
      </c>
      <c r="U26" s="386" t="str">
        <f>IF($A26=Input!$A$4,$F26,"")</f>
        <v/>
      </c>
      <c r="V26" s="323"/>
      <c r="W26" s="323"/>
      <c r="X26" s="323"/>
      <c r="Y26" s="323"/>
      <c r="Z26" s="323"/>
      <c r="AA26" s="387" t="str">
        <f>IF($A26=Input!$A$5,$B26,"")</f>
        <v/>
      </c>
      <c r="AB26" s="323" t="str">
        <f>IF($A26=Input!$A$5,$C26,"")</f>
        <v/>
      </c>
      <c r="AC26" s="323" t="str">
        <f>IF($A26=Input!$A$5,$D26,"")</f>
        <v/>
      </c>
      <c r="AD26" s="323" t="str">
        <f>IF($A26=Input!$A$5,$E26,"")</f>
        <v/>
      </c>
      <c r="AE26" s="386" t="str">
        <f>IF($A26=Input!$A$5,$F26,"")</f>
        <v/>
      </c>
      <c r="AF26" s="323"/>
      <c r="AG26" s="323"/>
      <c r="AH26" s="323"/>
      <c r="AI26" s="323"/>
      <c r="AJ26" s="323"/>
    </row>
    <row r="27" spans="1:36" x14ac:dyDescent="0.2">
      <c r="A27" s="250" t="str">
        <f>IF(BuffsDebuffs!$M23=1,BuffsDebuffs!G$2,"")</f>
        <v/>
      </c>
      <c r="B27" s="251" t="str">
        <f>IF(BuffsDebuffs!$M23=1,BuffsDebuffs!H$2,"")</f>
        <v/>
      </c>
      <c r="C27" s="251" t="str">
        <f>IF(BuffsDebuffs!$M23=1,BuffsDebuffs!I$2,"")</f>
        <v/>
      </c>
      <c r="D27" s="251" t="str">
        <f>IF(BuffsDebuffs!$M23=1,BuffsDebuffs!J$2,"")</f>
        <v/>
      </c>
      <c r="E27" s="251" t="str">
        <f>IF(BuffsDebuffs!$M23=1,BuffsDebuffs!K$2,"")</f>
        <v/>
      </c>
      <c r="F27" s="251" t="str">
        <f>IF(BuffsDebuffs!$M23=1,BuffsDebuffs!L$2,"")</f>
        <v/>
      </c>
      <c r="G27" s="387" t="str">
        <f>IF($A27=Input!$A$3,B27,"")</f>
        <v/>
      </c>
      <c r="H27" s="323" t="str">
        <f>IF($A27=Input!$A$3,C27,"")</f>
        <v/>
      </c>
      <c r="I27" s="323" t="str">
        <f>IF($A27=Input!$A$3,D27,"")</f>
        <v/>
      </c>
      <c r="J27" s="323" t="str">
        <f>IF($A27=Input!$A$3,E27,"")</f>
        <v/>
      </c>
      <c r="K27" s="386" t="str">
        <f>IF($A27=Input!$A$3,F27,"")</f>
        <v/>
      </c>
      <c r="L27" s="387"/>
      <c r="M27" s="323"/>
      <c r="N27" s="323"/>
      <c r="O27" s="323"/>
      <c r="P27" s="323"/>
      <c r="Q27" s="387" t="str">
        <f>IF($A27=Input!$A$4,$B27,"")</f>
        <v/>
      </c>
      <c r="R27" s="323" t="str">
        <f>IF($A27=Input!$A$4,$C27,"")</f>
        <v/>
      </c>
      <c r="S27" s="323" t="str">
        <f>IF($A27=Input!$A$4,$D27,"")</f>
        <v/>
      </c>
      <c r="T27" s="323" t="str">
        <f>IF($A27=Input!$A$4,$E27,"")</f>
        <v/>
      </c>
      <c r="U27" s="386" t="str">
        <f>IF($A27=Input!$A$4,$F27,"")</f>
        <v/>
      </c>
      <c r="V27" s="323"/>
      <c r="W27" s="323"/>
      <c r="X27" s="323"/>
      <c r="Y27" s="323"/>
      <c r="Z27" s="323"/>
      <c r="AA27" s="387" t="str">
        <f>IF($A27=Input!$A$5,$B27,"")</f>
        <v/>
      </c>
      <c r="AB27" s="323" t="str">
        <f>IF($A27=Input!$A$5,$C27,"")</f>
        <v/>
      </c>
      <c r="AC27" s="323" t="str">
        <f>IF($A27=Input!$A$5,$D27,"")</f>
        <v/>
      </c>
      <c r="AD27" s="323" t="str">
        <f>IF($A27=Input!$A$5,$E27,"")</f>
        <v/>
      </c>
      <c r="AE27" s="386" t="str">
        <f>IF($A27=Input!$A$5,$F27,"")</f>
        <v/>
      </c>
      <c r="AF27" s="323"/>
      <c r="AG27" s="323"/>
      <c r="AH27" s="323"/>
      <c r="AI27" s="323"/>
      <c r="AJ27" s="323"/>
    </row>
    <row r="28" spans="1:36" x14ac:dyDescent="0.2">
      <c r="A28" s="250" t="str">
        <f>IF(BuffsDebuffs!$M24=1,BuffsDebuffs!G$2,"")</f>
        <v/>
      </c>
      <c r="B28" s="251" t="str">
        <f>IF(BuffsDebuffs!$M24=1,BuffsDebuffs!H$2,"")</f>
        <v/>
      </c>
      <c r="C28" s="251" t="str">
        <f>IF(BuffsDebuffs!$M24=1,BuffsDebuffs!I$2,"")</f>
        <v/>
      </c>
      <c r="D28" s="251" t="str">
        <f>IF(BuffsDebuffs!$M24=1,BuffsDebuffs!J$2,"")</f>
        <v/>
      </c>
      <c r="E28" s="251" t="str">
        <f>IF(BuffsDebuffs!$M24=1,BuffsDebuffs!K$2,"")</f>
        <v/>
      </c>
      <c r="F28" s="251" t="str">
        <f>IF(BuffsDebuffs!$M24=1,BuffsDebuffs!L$2,"")</f>
        <v/>
      </c>
      <c r="G28" s="387" t="str">
        <f>IF($A28=Input!$A$3,B28,"")</f>
        <v/>
      </c>
      <c r="H28" s="323" t="str">
        <f>IF($A28=Input!$A$3,C28,"")</f>
        <v/>
      </c>
      <c r="I28" s="323" t="str">
        <f>IF($A28=Input!$A$3,D28,"")</f>
        <v/>
      </c>
      <c r="J28" s="323" t="str">
        <f>IF($A28=Input!$A$3,E28,"")</f>
        <v/>
      </c>
      <c r="K28" s="386" t="str">
        <f>IF($A28=Input!$A$3,F28,"")</f>
        <v/>
      </c>
      <c r="L28" s="387"/>
      <c r="M28" s="323"/>
      <c r="N28" s="323"/>
      <c r="O28" s="323"/>
      <c r="P28" s="323"/>
      <c r="Q28" s="387" t="str">
        <f>IF($A28=Input!$A$4,$B28,"")</f>
        <v/>
      </c>
      <c r="R28" s="323" t="str">
        <f>IF($A28=Input!$A$4,$C28,"")</f>
        <v/>
      </c>
      <c r="S28" s="323" t="str">
        <f>IF($A28=Input!$A$4,$D28,"")</f>
        <v/>
      </c>
      <c r="T28" s="323" t="str">
        <f>IF($A28=Input!$A$4,$E28,"")</f>
        <v/>
      </c>
      <c r="U28" s="386" t="str">
        <f>IF($A28=Input!$A$4,$F28,"")</f>
        <v/>
      </c>
      <c r="V28" s="323"/>
      <c r="W28" s="323"/>
      <c r="X28" s="323"/>
      <c r="Y28" s="323"/>
      <c r="Z28" s="323"/>
      <c r="AA28" s="387" t="str">
        <f>IF($A28=Input!$A$5,$B28,"")</f>
        <v/>
      </c>
      <c r="AB28" s="323" t="str">
        <f>IF($A28=Input!$A$5,$C28,"")</f>
        <v/>
      </c>
      <c r="AC28" s="323" t="str">
        <f>IF($A28=Input!$A$5,$D28,"")</f>
        <v/>
      </c>
      <c r="AD28" s="323" t="str">
        <f>IF($A28=Input!$A$5,$E28,"")</f>
        <v/>
      </c>
      <c r="AE28" s="386" t="str">
        <f>IF($A28=Input!$A$5,$F28,"")</f>
        <v/>
      </c>
      <c r="AF28" s="323"/>
      <c r="AG28" s="323"/>
      <c r="AH28" s="323"/>
      <c r="AI28" s="323"/>
      <c r="AJ28" s="323"/>
    </row>
    <row r="29" spans="1:36" x14ac:dyDescent="0.2">
      <c r="A29" s="250" t="str">
        <f>IF(BuffsDebuffs!$M25=1,BuffsDebuffs!G$2,"")</f>
        <v/>
      </c>
      <c r="B29" s="251" t="str">
        <f>IF(BuffsDebuffs!$M25=1,BuffsDebuffs!H$2,"")</f>
        <v/>
      </c>
      <c r="C29" s="251" t="str">
        <f>IF(BuffsDebuffs!$M25=1,BuffsDebuffs!I$2,"")</f>
        <v/>
      </c>
      <c r="D29" s="251" t="str">
        <f>IF(BuffsDebuffs!$M25=1,BuffsDebuffs!J$2,"")</f>
        <v/>
      </c>
      <c r="E29" s="251" t="str">
        <f>IF(BuffsDebuffs!$M25=1,BuffsDebuffs!K$2,"")</f>
        <v/>
      </c>
      <c r="F29" s="251" t="str">
        <f>IF(BuffsDebuffs!$M25=1,BuffsDebuffs!L$2,"")</f>
        <v/>
      </c>
      <c r="G29" s="387" t="str">
        <f>IF($A29=Input!$A$3,B29,"")</f>
        <v/>
      </c>
      <c r="H29" s="323" t="str">
        <f>IF($A29=Input!$A$3,C29,"")</f>
        <v/>
      </c>
      <c r="I29" s="323" t="str">
        <f>IF($A29=Input!$A$3,D29,"")</f>
        <v/>
      </c>
      <c r="J29" s="323" t="str">
        <f>IF($A29=Input!$A$3,E29,"")</f>
        <v/>
      </c>
      <c r="K29" s="386" t="str">
        <f>IF($A29=Input!$A$3,F29,"")</f>
        <v/>
      </c>
      <c r="L29" s="387"/>
      <c r="M29" s="323"/>
      <c r="N29" s="323"/>
      <c r="O29" s="323"/>
      <c r="P29" s="323"/>
      <c r="Q29" s="387" t="str">
        <f>IF($A29=Input!$A$4,$B29,"")</f>
        <v/>
      </c>
      <c r="R29" s="323" t="str">
        <f>IF($A29=Input!$A$4,$C29,"")</f>
        <v/>
      </c>
      <c r="S29" s="323" t="str">
        <f>IF($A29=Input!$A$4,$D29,"")</f>
        <v/>
      </c>
      <c r="T29" s="323" t="str">
        <f>IF($A29=Input!$A$4,$E29,"")</f>
        <v/>
      </c>
      <c r="U29" s="386" t="str">
        <f>IF($A29=Input!$A$4,$F29,"")</f>
        <v/>
      </c>
      <c r="V29" s="323"/>
      <c r="W29" s="323"/>
      <c r="X29" s="323"/>
      <c r="Y29" s="323"/>
      <c r="Z29" s="323"/>
      <c r="AA29" s="387" t="str">
        <f>IF($A29=Input!$A$5,$B29,"")</f>
        <v/>
      </c>
      <c r="AB29" s="323" t="str">
        <f>IF($A29=Input!$A$5,$C29,"")</f>
        <v/>
      </c>
      <c r="AC29" s="323" t="str">
        <f>IF($A29=Input!$A$5,$D29,"")</f>
        <v/>
      </c>
      <c r="AD29" s="323" t="str">
        <f>IF($A29=Input!$A$5,$E29,"")</f>
        <v/>
      </c>
      <c r="AE29" s="386" t="str">
        <f>IF($A29=Input!$A$5,$F29,"")</f>
        <v/>
      </c>
      <c r="AF29" s="323"/>
      <c r="AG29" s="323"/>
      <c r="AH29" s="323"/>
      <c r="AI29" s="323"/>
      <c r="AJ29" s="323"/>
    </row>
    <row r="30" spans="1:36" x14ac:dyDescent="0.2">
      <c r="A30" s="250" t="str">
        <f>IF(BuffsDebuffs!$M26=1,BuffsDebuffs!G$2,"")</f>
        <v/>
      </c>
      <c r="B30" s="251" t="str">
        <f>IF(BuffsDebuffs!$M26=1,BuffsDebuffs!H$2,"")</f>
        <v/>
      </c>
      <c r="C30" s="251" t="str">
        <f>IF(BuffsDebuffs!$M26=1,BuffsDebuffs!I$2,"")</f>
        <v/>
      </c>
      <c r="D30" s="251" t="str">
        <f>IF(BuffsDebuffs!$M26=1,BuffsDebuffs!J$2,"")</f>
        <v/>
      </c>
      <c r="E30" s="251" t="str">
        <f>IF(BuffsDebuffs!$M26=1,BuffsDebuffs!K$2,"")</f>
        <v/>
      </c>
      <c r="F30" s="251" t="str">
        <f>IF(BuffsDebuffs!$M26=1,BuffsDebuffs!L$2,"")</f>
        <v/>
      </c>
      <c r="G30" s="387" t="str">
        <f>IF($A30=Input!$A$3,B30,"")</f>
        <v/>
      </c>
      <c r="H30" s="323" t="str">
        <f>IF($A30=Input!$A$3,C30,"")</f>
        <v/>
      </c>
      <c r="I30" s="323" t="str">
        <f>IF($A30=Input!$A$3,D30,"")</f>
        <v/>
      </c>
      <c r="J30" s="323" t="str">
        <f>IF($A30=Input!$A$3,E30,"")</f>
        <v/>
      </c>
      <c r="K30" s="386" t="str">
        <f>IF($A30=Input!$A$3,F30,"")</f>
        <v/>
      </c>
      <c r="L30" s="387"/>
      <c r="M30" s="323"/>
      <c r="N30" s="323"/>
      <c r="O30" s="323"/>
      <c r="P30" s="323"/>
      <c r="Q30" s="387" t="str">
        <f>IF($A30=Input!$A$4,$B30,"")</f>
        <v/>
      </c>
      <c r="R30" s="323" t="str">
        <f>IF($A30=Input!$A$4,$C30,"")</f>
        <v/>
      </c>
      <c r="S30" s="323" t="str">
        <f>IF($A30=Input!$A$4,$D30,"")</f>
        <v/>
      </c>
      <c r="T30" s="323" t="str">
        <f>IF($A30=Input!$A$4,$E30,"")</f>
        <v/>
      </c>
      <c r="U30" s="386" t="str">
        <f>IF($A30=Input!$A$4,$F30,"")</f>
        <v/>
      </c>
      <c r="V30" s="323"/>
      <c r="W30" s="323"/>
      <c r="X30" s="323"/>
      <c r="Y30" s="323"/>
      <c r="Z30" s="323"/>
      <c r="AA30" s="387" t="str">
        <f>IF($A30=Input!$A$5,$B30,"")</f>
        <v/>
      </c>
      <c r="AB30" s="323" t="str">
        <f>IF($A30=Input!$A$5,$C30,"")</f>
        <v/>
      </c>
      <c r="AC30" s="323" t="str">
        <f>IF($A30=Input!$A$5,$D30,"")</f>
        <v/>
      </c>
      <c r="AD30" s="323" t="str">
        <f>IF($A30=Input!$A$5,$E30,"")</f>
        <v/>
      </c>
      <c r="AE30" s="386" t="str">
        <f>IF($A30=Input!$A$5,$F30,"")</f>
        <v/>
      </c>
      <c r="AF30" s="323"/>
      <c r="AG30" s="323"/>
      <c r="AH30" s="323"/>
      <c r="AI30" s="323"/>
      <c r="AJ30" s="323"/>
    </row>
    <row r="31" spans="1:36" x14ac:dyDescent="0.2">
      <c r="A31" s="250" t="str">
        <f>IF(BuffsDebuffs!$M27=1,BuffsDebuffs!G$2,"")</f>
        <v/>
      </c>
      <c r="B31" s="251" t="str">
        <f>IF(BuffsDebuffs!$M27=1,BuffsDebuffs!H$2,"")</f>
        <v/>
      </c>
      <c r="C31" s="251" t="str">
        <f>IF(BuffsDebuffs!$M27=1,BuffsDebuffs!I$2,"")</f>
        <v/>
      </c>
      <c r="D31" s="251" t="str">
        <f>IF(BuffsDebuffs!$M27=1,BuffsDebuffs!J$2,"")</f>
        <v/>
      </c>
      <c r="E31" s="251" t="str">
        <f>IF(BuffsDebuffs!$M27=1,BuffsDebuffs!K$2,"")</f>
        <v/>
      </c>
      <c r="F31" s="251" t="str">
        <f>IF(BuffsDebuffs!$M27=1,BuffsDebuffs!L$2,"")</f>
        <v/>
      </c>
      <c r="G31" s="387" t="str">
        <f>IF($A31=Input!$A$3,B31,"")</f>
        <v/>
      </c>
      <c r="H31" s="323" t="str">
        <f>IF($A31=Input!$A$3,C31,"")</f>
        <v/>
      </c>
      <c r="I31" s="323" t="str">
        <f>IF($A31=Input!$A$3,D31,"")</f>
        <v/>
      </c>
      <c r="J31" s="323" t="str">
        <f>IF($A31=Input!$A$3,E31,"")</f>
        <v/>
      </c>
      <c r="K31" s="386" t="str">
        <f>IF($A31=Input!$A$3,F31,"")</f>
        <v/>
      </c>
      <c r="L31" s="387"/>
      <c r="M31" s="323"/>
      <c r="N31" s="323"/>
      <c r="O31" s="323"/>
      <c r="P31" s="323"/>
      <c r="Q31" s="387" t="str">
        <f>IF($A31=Input!$A$4,$B31,"")</f>
        <v/>
      </c>
      <c r="R31" s="323" t="str">
        <f>IF($A31=Input!$A$4,$C31,"")</f>
        <v/>
      </c>
      <c r="S31" s="323" t="str">
        <f>IF($A31=Input!$A$4,$D31,"")</f>
        <v/>
      </c>
      <c r="T31" s="323" t="str">
        <f>IF($A31=Input!$A$4,$E31,"")</f>
        <v/>
      </c>
      <c r="U31" s="386" t="str">
        <f>IF($A31=Input!$A$4,$F31,"")</f>
        <v/>
      </c>
      <c r="V31" s="323"/>
      <c r="W31" s="323"/>
      <c r="X31" s="323"/>
      <c r="Y31" s="323"/>
      <c r="Z31" s="323"/>
      <c r="AA31" s="387" t="str">
        <f>IF($A31=Input!$A$5,$B31,"")</f>
        <v/>
      </c>
      <c r="AB31" s="323" t="str">
        <f>IF($A31=Input!$A$5,$C31,"")</f>
        <v/>
      </c>
      <c r="AC31" s="323" t="str">
        <f>IF($A31=Input!$A$5,$D31,"")</f>
        <v/>
      </c>
      <c r="AD31" s="323" t="str">
        <f>IF($A31=Input!$A$5,$E31,"")</f>
        <v/>
      </c>
      <c r="AE31" s="386" t="str">
        <f>IF($A31=Input!$A$5,$F31,"")</f>
        <v/>
      </c>
      <c r="AF31" s="323"/>
      <c r="AG31" s="323"/>
      <c r="AH31" s="323"/>
      <c r="AI31" s="323"/>
      <c r="AJ31" s="323"/>
    </row>
    <row r="32" spans="1:36" x14ac:dyDescent="0.2">
      <c r="A32" s="250" t="str">
        <f>IF(BuffsDebuffs!$M28=1,BuffsDebuffs!G$2,"")</f>
        <v/>
      </c>
      <c r="B32" s="251" t="str">
        <f>IF(BuffsDebuffs!$M28=1,BuffsDebuffs!H$2,"")</f>
        <v/>
      </c>
      <c r="C32" s="251" t="str">
        <f>IF(BuffsDebuffs!$M28=1,BuffsDebuffs!I$2,"")</f>
        <v/>
      </c>
      <c r="D32" s="251" t="str">
        <f>IF(BuffsDebuffs!$M28=1,BuffsDebuffs!J$2,"")</f>
        <v/>
      </c>
      <c r="E32" s="251" t="str">
        <f>IF(BuffsDebuffs!$M28=1,BuffsDebuffs!K$2,"")</f>
        <v/>
      </c>
      <c r="F32" s="251" t="str">
        <f>IF(BuffsDebuffs!$M28=1,BuffsDebuffs!L$2,"")</f>
        <v/>
      </c>
      <c r="G32" s="387" t="str">
        <f>IF($A32=Input!$A$3,B32,"")</f>
        <v/>
      </c>
      <c r="H32" s="323" t="str">
        <f>IF($A32=Input!$A$3,C32,"")</f>
        <v/>
      </c>
      <c r="I32" s="323" t="str">
        <f>IF($A32=Input!$A$3,D32,"")</f>
        <v/>
      </c>
      <c r="J32" s="323" t="str">
        <f>IF($A32=Input!$A$3,E32,"")</f>
        <v/>
      </c>
      <c r="K32" s="386" t="str">
        <f>IF($A32=Input!$A$3,F32,"")</f>
        <v/>
      </c>
      <c r="L32" s="387"/>
      <c r="M32" s="323"/>
      <c r="N32" s="323"/>
      <c r="O32" s="323"/>
      <c r="P32" s="323"/>
      <c r="Q32" s="387" t="str">
        <f>IF($A32=Input!$A$4,$B32,"")</f>
        <v/>
      </c>
      <c r="R32" s="323" t="str">
        <f>IF($A32=Input!$A$4,$C32,"")</f>
        <v/>
      </c>
      <c r="S32" s="323" t="str">
        <f>IF($A32=Input!$A$4,$D32,"")</f>
        <v/>
      </c>
      <c r="T32" s="323" t="str">
        <f>IF($A32=Input!$A$4,$E32,"")</f>
        <v/>
      </c>
      <c r="U32" s="386" t="str">
        <f>IF($A32=Input!$A$4,$F32,"")</f>
        <v/>
      </c>
      <c r="V32" s="323"/>
      <c r="W32" s="323"/>
      <c r="X32" s="323"/>
      <c r="Y32" s="323"/>
      <c r="Z32" s="323"/>
      <c r="AA32" s="387" t="str">
        <f>IF($A32=Input!$A$5,$B32,"")</f>
        <v/>
      </c>
      <c r="AB32" s="323" t="str">
        <f>IF($A32=Input!$A$5,$C32,"")</f>
        <v/>
      </c>
      <c r="AC32" s="323" t="str">
        <f>IF($A32=Input!$A$5,$D32,"")</f>
        <v/>
      </c>
      <c r="AD32" s="323" t="str">
        <f>IF($A32=Input!$A$5,$E32,"")</f>
        <v/>
      </c>
      <c r="AE32" s="386" t="str">
        <f>IF($A32=Input!$A$5,$F32,"")</f>
        <v/>
      </c>
      <c r="AF32" s="323"/>
      <c r="AG32" s="323"/>
      <c r="AH32" s="323"/>
      <c r="AI32" s="323"/>
      <c r="AJ32" s="323"/>
    </row>
    <row r="33" spans="1:36" x14ac:dyDescent="0.2">
      <c r="A33" s="250" t="str">
        <f>IF(BuffsDebuffs!$M29=1,BuffsDebuffs!G$2,"")</f>
        <v/>
      </c>
      <c r="B33" s="251" t="str">
        <f>IF(BuffsDebuffs!$M29=1,BuffsDebuffs!H$2,"")</f>
        <v/>
      </c>
      <c r="C33" s="251" t="str">
        <f>IF(BuffsDebuffs!$M29=1,BuffsDebuffs!I$2,"")</f>
        <v/>
      </c>
      <c r="D33" s="251" t="str">
        <f>IF(BuffsDebuffs!$M29=1,BuffsDebuffs!J$2,"")</f>
        <v/>
      </c>
      <c r="E33" s="251" t="str">
        <f>IF(BuffsDebuffs!$M29=1,BuffsDebuffs!K$2,"")</f>
        <v/>
      </c>
      <c r="F33" s="251" t="str">
        <f>IF(BuffsDebuffs!$M29=1,BuffsDebuffs!L$2,"")</f>
        <v/>
      </c>
      <c r="G33" s="387" t="str">
        <f>IF($A33=Input!$A$3,B33,"")</f>
        <v/>
      </c>
      <c r="H33" s="323" t="str">
        <f>IF($A33=Input!$A$3,C33,"")</f>
        <v/>
      </c>
      <c r="I33" s="323" t="str">
        <f>IF($A33=Input!$A$3,D33,"")</f>
        <v/>
      </c>
      <c r="J33" s="323" t="str">
        <f>IF($A33=Input!$A$3,E33,"")</f>
        <v/>
      </c>
      <c r="K33" s="386" t="str">
        <f>IF($A33=Input!$A$3,F33,"")</f>
        <v/>
      </c>
      <c r="L33" s="387"/>
      <c r="M33" s="323"/>
      <c r="N33" s="323"/>
      <c r="O33" s="323"/>
      <c r="P33" s="323"/>
      <c r="Q33" s="387" t="str">
        <f>IF($A33=Input!$A$4,$B33,"")</f>
        <v/>
      </c>
      <c r="R33" s="323" t="str">
        <f>IF($A33=Input!$A$4,$C33,"")</f>
        <v/>
      </c>
      <c r="S33" s="323" t="str">
        <f>IF($A33=Input!$A$4,$D33,"")</f>
        <v/>
      </c>
      <c r="T33" s="323" t="str">
        <f>IF($A33=Input!$A$4,$E33,"")</f>
        <v/>
      </c>
      <c r="U33" s="386" t="str">
        <f>IF($A33=Input!$A$4,$F33,"")</f>
        <v/>
      </c>
      <c r="V33" s="323"/>
      <c r="W33" s="323"/>
      <c r="X33" s="323"/>
      <c r="Y33" s="323"/>
      <c r="Z33" s="323"/>
      <c r="AA33" s="387" t="str">
        <f>IF($A33=Input!$A$5,$B33,"")</f>
        <v/>
      </c>
      <c r="AB33" s="323" t="str">
        <f>IF($A33=Input!$A$5,$C33,"")</f>
        <v/>
      </c>
      <c r="AC33" s="323" t="str">
        <f>IF($A33=Input!$A$5,$D33,"")</f>
        <v/>
      </c>
      <c r="AD33" s="323" t="str">
        <f>IF($A33=Input!$A$5,$E33,"")</f>
        <v/>
      </c>
      <c r="AE33" s="386" t="str">
        <f>IF($A33=Input!$A$5,$F33,"")</f>
        <v/>
      </c>
      <c r="AF33" s="323"/>
      <c r="AG33" s="323"/>
      <c r="AH33" s="323"/>
      <c r="AI33" s="323"/>
      <c r="AJ33" s="323"/>
    </row>
    <row r="34" spans="1:36" x14ac:dyDescent="0.2">
      <c r="A34" s="250" t="str">
        <f>IF(BuffsDebuffs!$M30=1,BuffsDebuffs!G$2,"")</f>
        <v/>
      </c>
      <c r="B34" s="251" t="str">
        <f>IF(BuffsDebuffs!$M30=1,BuffsDebuffs!H$2,"")</f>
        <v/>
      </c>
      <c r="C34" s="251" t="str">
        <f>IF(BuffsDebuffs!$M30=1,BuffsDebuffs!I$2,"")</f>
        <v/>
      </c>
      <c r="D34" s="251" t="str">
        <f>IF(BuffsDebuffs!$M30=1,BuffsDebuffs!J$2,"")</f>
        <v/>
      </c>
      <c r="E34" s="251" t="str">
        <f>IF(BuffsDebuffs!$M30=1,BuffsDebuffs!K$2,"")</f>
        <v/>
      </c>
      <c r="F34" s="251" t="str">
        <f>IF(BuffsDebuffs!$M30=1,BuffsDebuffs!L$2,"")</f>
        <v/>
      </c>
      <c r="G34" s="387" t="str">
        <f>IF($A34=Input!$A$3,B34,"")</f>
        <v/>
      </c>
      <c r="H34" s="323" t="str">
        <f>IF($A34=Input!$A$3,C34,"")</f>
        <v/>
      </c>
      <c r="I34" s="323" t="str">
        <f>IF($A34=Input!$A$3,D34,"")</f>
        <v/>
      </c>
      <c r="J34" s="323" t="str">
        <f>IF($A34=Input!$A$3,E34,"")</f>
        <v/>
      </c>
      <c r="K34" s="386" t="str">
        <f>IF($A34=Input!$A$3,F34,"")</f>
        <v/>
      </c>
      <c r="L34" s="387"/>
      <c r="M34" s="323"/>
      <c r="N34" s="323"/>
      <c r="O34" s="323"/>
      <c r="P34" s="323"/>
      <c r="Q34" s="387" t="str">
        <f>IF($A34=Input!$A$4,$B34,"")</f>
        <v/>
      </c>
      <c r="R34" s="323" t="str">
        <f>IF($A34=Input!$A$4,$C34,"")</f>
        <v/>
      </c>
      <c r="S34" s="323" t="str">
        <f>IF($A34=Input!$A$4,$D34,"")</f>
        <v/>
      </c>
      <c r="T34" s="323" t="str">
        <f>IF($A34=Input!$A$4,$E34,"")</f>
        <v/>
      </c>
      <c r="U34" s="386" t="str">
        <f>IF($A34=Input!$A$4,$F34,"")</f>
        <v/>
      </c>
      <c r="V34" s="323"/>
      <c r="W34" s="323"/>
      <c r="X34" s="323"/>
      <c r="Y34" s="323"/>
      <c r="Z34" s="323"/>
      <c r="AA34" s="387" t="str">
        <f>IF($A34=Input!$A$5,$B34,"")</f>
        <v/>
      </c>
      <c r="AB34" s="323" t="str">
        <f>IF($A34=Input!$A$5,$C34,"")</f>
        <v/>
      </c>
      <c r="AC34" s="323" t="str">
        <f>IF($A34=Input!$A$5,$D34,"")</f>
        <v/>
      </c>
      <c r="AD34" s="323" t="str">
        <f>IF($A34=Input!$A$5,$E34,"")</f>
        <v/>
      </c>
      <c r="AE34" s="386" t="str">
        <f>IF($A34=Input!$A$5,$F34,"")</f>
        <v/>
      </c>
      <c r="AF34" s="323"/>
      <c r="AG34" s="323"/>
      <c r="AH34" s="323"/>
      <c r="AI34" s="323"/>
      <c r="AJ34" s="323"/>
    </row>
    <row r="35" spans="1:36" x14ac:dyDescent="0.2">
      <c r="A35" s="250" t="str">
        <f>IF(BuffsDebuffs!$M31=1,BuffsDebuffs!G$2,"")</f>
        <v/>
      </c>
      <c r="B35" s="251" t="str">
        <f>IF(BuffsDebuffs!$M31=1,BuffsDebuffs!H$2,"")</f>
        <v/>
      </c>
      <c r="C35" s="251" t="str">
        <f>IF(BuffsDebuffs!$M31=1,BuffsDebuffs!I$2,"")</f>
        <v/>
      </c>
      <c r="D35" s="251" t="str">
        <f>IF(BuffsDebuffs!$M31=1,BuffsDebuffs!J$2,"")</f>
        <v/>
      </c>
      <c r="E35" s="251" t="str">
        <f>IF(BuffsDebuffs!$M31=1,BuffsDebuffs!K$2,"")</f>
        <v/>
      </c>
      <c r="F35" s="251" t="str">
        <f>IF(BuffsDebuffs!$M31=1,BuffsDebuffs!L$2,"")</f>
        <v/>
      </c>
      <c r="G35" s="387" t="str">
        <f>IF($A35=Input!$A$3,B35,"")</f>
        <v/>
      </c>
      <c r="H35" s="323" t="str">
        <f>IF($A35=Input!$A$3,C35,"")</f>
        <v/>
      </c>
      <c r="I35" s="323" t="str">
        <f>IF($A35=Input!$A$3,D35,"")</f>
        <v/>
      </c>
      <c r="J35" s="323" t="str">
        <f>IF($A35=Input!$A$3,E35,"")</f>
        <v/>
      </c>
      <c r="K35" s="386" t="str">
        <f>IF($A35=Input!$A$3,F35,"")</f>
        <v/>
      </c>
      <c r="L35" s="387"/>
      <c r="M35" s="323"/>
      <c r="N35" s="323"/>
      <c r="O35" s="323"/>
      <c r="P35" s="323"/>
      <c r="Q35" s="387" t="str">
        <f>IF($A35=Input!$A$4,$B35,"")</f>
        <v/>
      </c>
      <c r="R35" s="323" t="str">
        <f>IF($A35=Input!$A$4,$C35,"")</f>
        <v/>
      </c>
      <c r="S35" s="323" t="str">
        <f>IF($A35=Input!$A$4,$D35,"")</f>
        <v/>
      </c>
      <c r="T35" s="323" t="str">
        <f>IF($A35=Input!$A$4,$E35,"")</f>
        <v/>
      </c>
      <c r="U35" s="386" t="str">
        <f>IF($A35=Input!$A$4,$F35,"")</f>
        <v/>
      </c>
      <c r="V35" s="323"/>
      <c r="W35" s="323"/>
      <c r="X35" s="323"/>
      <c r="Y35" s="323"/>
      <c r="Z35" s="323"/>
      <c r="AA35" s="387" t="str">
        <f>IF($A35=Input!$A$5,$B35,"")</f>
        <v/>
      </c>
      <c r="AB35" s="323" t="str">
        <f>IF($A35=Input!$A$5,$C35,"")</f>
        <v/>
      </c>
      <c r="AC35" s="323" t="str">
        <f>IF($A35=Input!$A$5,$D35,"")</f>
        <v/>
      </c>
      <c r="AD35" s="323" t="str">
        <f>IF($A35=Input!$A$5,$E35,"")</f>
        <v/>
      </c>
      <c r="AE35" s="386" t="str">
        <f>IF($A35=Input!$A$5,$F35,"")</f>
        <v/>
      </c>
      <c r="AF35" s="323"/>
      <c r="AG35" s="323"/>
      <c r="AH35" s="323"/>
      <c r="AI35" s="323"/>
      <c r="AJ35" s="323"/>
    </row>
    <row r="36" spans="1:36" x14ac:dyDescent="0.2">
      <c r="A36" s="250" t="str">
        <f>IF(BuffsDebuffs!$M32=1,BuffsDebuffs!G$2,"")</f>
        <v/>
      </c>
      <c r="B36" s="251" t="str">
        <f>IF(BuffsDebuffs!$M32=1,BuffsDebuffs!H$2,"")</f>
        <v/>
      </c>
      <c r="C36" s="251" t="str">
        <f>IF(BuffsDebuffs!$M32=1,BuffsDebuffs!I$2,"")</f>
        <v/>
      </c>
      <c r="D36" s="251" t="str">
        <f>IF(BuffsDebuffs!$M32=1,BuffsDebuffs!J$2,"")</f>
        <v/>
      </c>
      <c r="E36" s="251" t="str">
        <f>IF(BuffsDebuffs!$M32=1,BuffsDebuffs!K$2,"")</f>
        <v/>
      </c>
      <c r="F36" s="251" t="str">
        <f>IF(BuffsDebuffs!$M32=1,BuffsDebuffs!L$2,"")</f>
        <v/>
      </c>
      <c r="G36" s="387" t="str">
        <f>IF($A36=Input!$A$3,B36,"")</f>
        <v/>
      </c>
      <c r="H36" s="323" t="str">
        <f>IF($A36=Input!$A$3,C36,"")</f>
        <v/>
      </c>
      <c r="I36" s="323" t="str">
        <f>IF($A36=Input!$A$3,D36,"")</f>
        <v/>
      </c>
      <c r="J36" s="323" t="str">
        <f>IF($A36=Input!$A$3,E36,"")</f>
        <v/>
      </c>
      <c r="K36" s="386" t="str">
        <f>IF($A36=Input!$A$3,F36,"")</f>
        <v/>
      </c>
      <c r="L36" s="387"/>
      <c r="M36" s="323"/>
      <c r="N36" s="323"/>
      <c r="O36" s="323"/>
      <c r="P36" s="323"/>
      <c r="Q36" s="387" t="str">
        <f>IF($A36=Input!$A$4,$B36,"")</f>
        <v/>
      </c>
      <c r="R36" s="323" t="str">
        <f>IF($A36=Input!$A$4,$C36,"")</f>
        <v/>
      </c>
      <c r="S36" s="323" t="str">
        <f>IF($A36=Input!$A$4,$D36,"")</f>
        <v/>
      </c>
      <c r="T36" s="323" t="str">
        <f>IF($A36=Input!$A$4,$E36,"")</f>
        <v/>
      </c>
      <c r="U36" s="386" t="str">
        <f>IF($A36=Input!$A$4,$F36,"")</f>
        <v/>
      </c>
      <c r="V36" s="323"/>
      <c r="W36" s="323"/>
      <c r="X36" s="323"/>
      <c r="Y36" s="323"/>
      <c r="Z36" s="323"/>
      <c r="AA36" s="387" t="str">
        <f>IF($A36=Input!$A$5,$B36,"")</f>
        <v/>
      </c>
      <c r="AB36" s="323" t="str">
        <f>IF($A36=Input!$A$5,$C36,"")</f>
        <v/>
      </c>
      <c r="AC36" s="323" t="str">
        <f>IF($A36=Input!$A$5,$D36,"")</f>
        <v/>
      </c>
      <c r="AD36" s="323" t="str">
        <f>IF($A36=Input!$A$5,$E36,"")</f>
        <v/>
      </c>
      <c r="AE36" s="386" t="str">
        <f>IF($A36=Input!$A$5,$F36,"")</f>
        <v/>
      </c>
      <c r="AF36" s="323"/>
      <c r="AG36" s="323"/>
      <c r="AH36" s="323"/>
      <c r="AI36" s="323"/>
      <c r="AJ36" s="323"/>
    </row>
    <row r="37" spans="1:36" x14ac:dyDescent="0.2">
      <c r="A37" s="250" t="str">
        <f>IF(BuffsDebuffs!$M33=1,BuffsDebuffs!G$2,"")</f>
        <v/>
      </c>
      <c r="B37" s="251" t="str">
        <f>IF(BuffsDebuffs!$M33=1,BuffsDebuffs!H$2,"")</f>
        <v/>
      </c>
      <c r="C37" s="251" t="str">
        <f>IF(BuffsDebuffs!$M33=1,BuffsDebuffs!I$2,"")</f>
        <v/>
      </c>
      <c r="D37" s="251" t="str">
        <f>IF(BuffsDebuffs!$M33=1,BuffsDebuffs!J$2,"")</f>
        <v/>
      </c>
      <c r="E37" s="251" t="str">
        <f>IF(BuffsDebuffs!$M33=1,BuffsDebuffs!K$2,"")</f>
        <v/>
      </c>
      <c r="F37" s="251" t="str">
        <f>IF(BuffsDebuffs!$M33=1,BuffsDebuffs!L$2,"")</f>
        <v/>
      </c>
      <c r="G37" s="387" t="str">
        <f>IF($A37=Input!$A$3,B37,"")</f>
        <v/>
      </c>
      <c r="H37" s="323" t="str">
        <f>IF($A37=Input!$A$3,C37,"")</f>
        <v/>
      </c>
      <c r="I37" s="323" t="str">
        <f>IF($A37=Input!$A$3,D37,"")</f>
        <v/>
      </c>
      <c r="J37" s="323" t="str">
        <f>IF($A37=Input!$A$3,E37,"")</f>
        <v/>
      </c>
      <c r="K37" s="386" t="str">
        <f>IF($A37=Input!$A$3,F37,"")</f>
        <v/>
      </c>
      <c r="L37" s="387"/>
      <c r="M37" s="323"/>
      <c r="N37" s="323"/>
      <c r="O37" s="323"/>
      <c r="P37" s="323"/>
      <c r="Q37" s="387" t="str">
        <f>IF($A37=Input!$A$4,$B37,"")</f>
        <v/>
      </c>
      <c r="R37" s="323" t="str">
        <f>IF($A37=Input!$A$4,$C37,"")</f>
        <v/>
      </c>
      <c r="S37" s="323" t="str">
        <f>IF($A37=Input!$A$4,$D37,"")</f>
        <v/>
      </c>
      <c r="T37" s="323" t="str">
        <f>IF($A37=Input!$A$4,$E37,"")</f>
        <v/>
      </c>
      <c r="U37" s="386" t="str">
        <f>IF($A37=Input!$A$4,$F37,"")</f>
        <v/>
      </c>
      <c r="V37" s="323"/>
      <c r="W37" s="323"/>
      <c r="X37" s="323"/>
      <c r="Y37" s="323"/>
      <c r="Z37" s="323"/>
      <c r="AA37" s="387" t="str">
        <f>IF($A37=Input!$A$5,$B37,"")</f>
        <v/>
      </c>
      <c r="AB37" s="323" t="str">
        <f>IF($A37=Input!$A$5,$C37,"")</f>
        <v/>
      </c>
      <c r="AC37" s="323" t="str">
        <f>IF($A37=Input!$A$5,$D37,"")</f>
        <v/>
      </c>
      <c r="AD37" s="323" t="str">
        <f>IF($A37=Input!$A$5,$E37,"")</f>
        <v/>
      </c>
      <c r="AE37" s="386" t="str">
        <f>IF($A37=Input!$A$5,$F37,"")</f>
        <v/>
      </c>
      <c r="AF37" s="323"/>
      <c r="AG37" s="323"/>
      <c r="AH37" s="323"/>
      <c r="AI37" s="323"/>
      <c r="AJ37" s="323"/>
    </row>
    <row r="38" spans="1:36" x14ac:dyDescent="0.2">
      <c r="A38" s="250" t="str">
        <f>IF(BuffsDebuffs!$M34=1,BuffsDebuffs!G$2,"")</f>
        <v/>
      </c>
      <c r="B38" s="251" t="str">
        <f>IF(BuffsDebuffs!$M34=1,BuffsDebuffs!H$2,"")</f>
        <v/>
      </c>
      <c r="C38" s="251" t="str">
        <f>IF(BuffsDebuffs!$M34=1,BuffsDebuffs!I$2,"")</f>
        <v/>
      </c>
      <c r="D38" s="251" t="str">
        <f>IF(BuffsDebuffs!$M34=1,BuffsDebuffs!J$2,"")</f>
        <v/>
      </c>
      <c r="E38" s="251" t="str">
        <f>IF(BuffsDebuffs!$M34=1,BuffsDebuffs!K$2,"")</f>
        <v/>
      </c>
      <c r="F38" s="251" t="str">
        <f>IF(BuffsDebuffs!$M34=1,BuffsDebuffs!L$2,"")</f>
        <v/>
      </c>
      <c r="G38" s="387" t="str">
        <f>IF($A38=Input!$A$3,B38,"")</f>
        <v/>
      </c>
      <c r="H38" s="323" t="str">
        <f>IF($A38=Input!$A$3,C38,"")</f>
        <v/>
      </c>
      <c r="I38" s="323" t="str">
        <f>IF($A38=Input!$A$3,D38,"")</f>
        <v/>
      </c>
      <c r="J38" s="323" t="str">
        <f>IF($A38=Input!$A$3,E38,"")</f>
        <v/>
      </c>
      <c r="K38" s="386" t="str">
        <f>IF($A38=Input!$A$3,F38,"")</f>
        <v/>
      </c>
      <c r="L38" s="387"/>
      <c r="M38" s="323"/>
      <c r="N38" s="323"/>
      <c r="O38" s="323"/>
      <c r="P38" s="323"/>
      <c r="Q38" s="387" t="str">
        <f>IF($A38=Input!$A$4,$B38,"")</f>
        <v/>
      </c>
      <c r="R38" s="323" t="str">
        <f>IF($A38=Input!$A$4,$C38,"")</f>
        <v/>
      </c>
      <c r="S38" s="323" t="str">
        <f>IF($A38=Input!$A$4,$D38,"")</f>
        <v/>
      </c>
      <c r="T38" s="323" t="str">
        <f>IF($A38=Input!$A$4,$E38,"")</f>
        <v/>
      </c>
      <c r="U38" s="386" t="str">
        <f>IF($A38=Input!$A$4,$F38,"")</f>
        <v/>
      </c>
      <c r="V38" s="323"/>
      <c r="W38" s="323"/>
      <c r="X38" s="323"/>
      <c r="Y38" s="323"/>
      <c r="Z38" s="323"/>
      <c r="AA38" s="387" t="str">
        <f>IF($A38=Input!$A$5,$B38,"")</f>
        <v/>
      </c>
      <c r="AB38" s="323" t="str">
        <f>IF($A38=Input!$A$5,$C38,"")</f>
        <v/>
      </c>
      <c r="AC38" s="323" t="str">
        <f>IF($A38=Input!$A$5,$D38,"")</f>
        <v/>
      </c>
      <c r="AD38" s="323" t="str">
        <f>IF($A38=Input!$A$5,$E38,"")</f>
        <v/>
      </c>
      <c r="AE38" s="386" t="str">
        <f>IF($A38=Input!$A$5,$F38,"")</f>
        <v/>
      </c>
      <c r="AF38" s="323"/>
      <c r="AG38" s="323"/>
      <c r="AH38" s="323"/>
      <c r="AI38" s="323"/>
      <c r="AJ38" s="323"/>
    </row>
    <row r="39" spans="1:36" x14ac:dyDescent="0.2">
      <c r="A39" s="250" t="str">
        <f>IF(BuffsDebuffs!$M35=1,BuffsDebuffs!G$2,"")</f>
        <v/>
      </c>
      <c r="B39" s="251" t="str">
        <f>IF(BuffsDebuffs!$M35=1,BuffsDebuffs!H$2,"")</f>
        <v/>
      </c>
      <c r="C39" s="251" t="str">
        <f>IF(BuffsDebuffs!$M35=1,BuffsDebuffs!I$2,"")</f>
        <v/>
      </c>
      <c r="D39" s="251" t="str">
        <f>IF(BuffsDebuffs!$M35=1,BuffsDebuffs!J$2,"")</f>
        <v/>
      </c>
      <c r="E39" s="251" t="str">
        <f>IF(BuffsDebuffs!$M35=1,BuffsDebuffs!K$2,"")</f>
        <v/>
      </c>
      <c r="F39" s="251" t="str">
        <f>IF(BuffsDebuffs!$M35=1,BuffsDebuffs!L$2,"")</f>
        <v/>
      </c>
      <c r="G39" s="387" t="str">
        <f>IF($A39=Input!$A$3,B39,"")</f>
        <v/>
      </c>
      <c r="H39" s="323" t="str">
        <f>IF($A39=Input!$A$3,C39,"")</f>
        <v/>
      </c>
      <c r="I39" s="323" t="str">
        <f>IF($A39=Input!$A$3,D39,"")</f>
        <v/>
      </c>
      <c r="J39" s="323" t="str">
        <f>IF($A39=Input!$A$3,E39,"")</f>
        <v/>
      </c>
      <c r="K39" s="386" t="str">
        <f>IF($A39=Input!$A$3,F39,"")</f>
        <v/>
      </c>
      <c r="L39" s="387"/>
      <c r="M39" s="323"/>
      <c r="N39" s="323"/>
      <c r="O39" s="323"/>
      <c r="P39" s="323"/>
      <c r="Q39" s="387" t="str">
        <f>IF($A39=Input!$A$4,$B39,"")</f>
        <v/>
      </c>
      <c r="R39" s="323" t="str">
        <f>IF($A39=Input!$A$4,$C39,"")</f>
        <v/>
      </c>
      <c r="S39" s="323" t="str">
        <f>IF($A39=Input!$A$4,$D39,"")</f>
        <v/>
      </c>
      <c r="T39" s="323" t="str">
        <f>IF($A39=Input!$A$4,$E39,"")</f>
        <v/>
      </c>
      <c r="U39" s="386" t="str">
        <f>IF($A39=Input!$A$4,$F39,"")</f>
        <v/>
      </c>
      <c r="V39" s="323"/>
      <c r="W39" s="323"/>
      <c r="X39" s="323"/>
      <c r="Y39" s="323"/>
      <c r="Z39" s="323"/>
      <c r="AA39" s="387" t="str">
        <f>IF($A39=Input!$A$5,$B39,"")</f>
        <v/>
      </c>
      <c r="AB39" s="323" t="str">
        <f>IF($A39=Input!$A$5,$C39,"")</f>
        <v/>
      </c>
      <c r="AC39" s="323" t="str">
        <f>IF($A39=Input!$A$5,$D39,"")</f>
        <v/>
      </c>
      <c r="AD39" s="323" t="str">
        <f>IF($A39=Input!$A$5,$E39,"")</f>
        <v/>
      </c>
      <c r="AE39" s="386" t="str">
        <f>IF($A39=Input!$A$5,$F39,"")</f>
        <v/>
      </c>
      <c r="AF39" s="323"/>
      <c r="AG39" s="323"/>
      <c r="AH39" s="323"/>
      <c r="AI39" s="323"/>
      <c r="AJ39" s="323"/>
    </row>
    <row r="40" spans="1:36" x14ac:dyDescent="0.2">
      <c r="A40" s="250" t="str">
        <f>IF(BuffsDebuffs!$M36=1,BuffsDebuffs!G$2,"")</f>
        <v/>
      </c>
      <c r="B40" s="251" t="str">
        <f>IF(BuffsDebuffs!$M36=1,BuffsDebuffs!H$2,"")</f>
        <v/>
      </c>
      <c r="C40" s="251" t="str">
        <f>IF(BuffsDebuffs!$M36=1,BuffsDebuffs!I$2,"")</f>
        <v/>
      </c>
      <c r="D40" s="251" t="str">
        <f>IF(BuffsDebuffs!$M36=1,BuffsDebuffs!J$2,"")</f>
        <v/>
      </c>
      <c r="E40" s="251" t="str">
        <f>IF(BuffsDebuffs!$M36=1,BuffsDebuffs!K$2,"")</f>
        <v/>
      </c>
      <c r="F40" s="251" t="str">
        <f>IF(BuffsDebuffs!$M36=1,BuffsDebuffs!L$2,"")</f>
        <v/>
      </c>
      <c r="G40" s="387" t="str">
        <f>IF($A40=Input!$A$3,B40,"")</f>
        <v/>
      </c>
      <c r="H40" s="323" t="str">
        <f>IF($A40=Input!$A$3,C40,"")</f>
        <v/>
      </c>
      <c r="I40" s="323" t="str">
        <f>IF($A40=Input!$A$3,D40,"")</f>
        <v/>
      </c>
      <c r="J40" s="323" t="str">
        <f>IF($A40=Input!$A$3,E40,"")</f>
        <v/>
      </c>
      <c r="K40" s="386" t="str">
        <f>IF($A40=Input!$A$3,F40,"")</f>
        <v/>
      </c>
      <c r="L40" s="387"/>
      <c r="M40" s="323"/>
      <c r="N40" s="323"/>
      <c r="O40" s="323"/>
      <c r="P40" s="323"/>
      <c r="Q40" s="387" t="str">
        <f>IF($A40=Input!$A$4,$B40,"")</f>
        <v/>
      </c>
      <c r="R40" s="323" t="str">
        <f>IF($A40=Input!$A$4,$C40,"")</f>
        <v/>
      </c>
      <c r="S40" s="323" t="str">
        <f>IF($A40=Input!$A$4,$D40,"")</f>
        <v/>
      </c>
      <c r="T40" s="323" t="str">
        <f>IF($A40=Input!$A$4,$E40,"")</f>
        <v/>
      </c>
      <c r="U40" s="386" t="str">
        <f>IF($A40=Input!$A$4,$F40,"")</f>
        <v/>
      </c>
      <c r="V40" s="323"/>
      <c r="W40" s="323"/>
      <c r="X40" s="323"/>
      <c r="Y40" s="323"/>
      <c r="Z40" s="323"/>
      <c r="AA40" s="387" t="str">
        <f>IF($A40=Input!$A$5,$B40,"")</f>
        <v/>
      </c>
      <c r="AB40" s="323" t="str">
        <f>IF($A40=Input!$A$5,$C40,"")</f>
        <v/>
      </c>
      <c r="AC40" s="323" t="str">
        <f>IF($A40=Input!$A$5,$D40,"")</f>
        <v/>
      </c>
      <c r="AD40" s="323" t="str">
        <f>IF($A40=Input!$A$5,$E40,"")</f>
        <v/>
      </c>
      <c r="AE40" s="386" t="str">
        <f>IF($A40=Input!$A$5,$F40,"")</f>
        <v/>
      </c>
      <c r="AF40" s="323"/>
      <c r="AG40" s="323"/>
      <c r="AH40" s="323"/>
      <c r="AI40" s="323"/>
      <c r="AJ40" s="323"/>
    </row>
    <row r="41" spans="1:36" x14ac:dyDescent="0.2">
      <c r="A41" s="250" t="str">
        <f>IF(BuffsDebuffs!$M37=1,BuffsDebuffs!G$2,"")</f>
        <v/>
      </c>
      <c r="B41" s="251" t="str">
        <f>IF(BuffsDebuffs!$M37=1,BuffsDebuffs!H$2,"")</f>
        <v/>
      </c>
      <c r="C41" s="251" t="str">
        <f>IF(BuffsDebuffs!$M37=1,BuffsDebuffs!I$2,"")</f>
        <v/>
      </c>
      <c r="D41" s="251" t="str">
        <f>IF(BuffsDebuffs!$M37=1,BuffsDebuffs!J$2,"")</f>
        <v/>
      </c>
      <c r="E41" s="251" t="str">
        <f>IF(BuffsDebuffs!$M37=1,BuffsDebuffs!K$2,"")</f>
        <v/>
      </c>
      <c r="F41" s="251" t="str">
        <f>IF(BuffsDebuffs!$M37=1,BuffsDebuffs!L$2,"")</f>
        <v/>
      </c>
      <c r="G41" s="387" t="str">
        <f>IF($A41=Input!$A$3,B41,"")</f>
        <v/>
      </c>
      <c r="H41" s="323" t="str">
        <f>IF($A41=Input!$A$3,C41,"")</f>
        <v/>
      </c>
      <c r="I41" s="323" t="str">
        <f>IF($A41=Input!$A$3,D41,"")</f>
        <v/>
      </c>
      <c r="J41" s="323" t="str">
        <f>IF($A41=Input!$A$3,E41,"")</f>
        <v/>
      </c>
      <c r="K41" s="386" t="str">
        <f>IF($A41=Input!$A$3,F41,"")</f>
        <v/>
      </c>
      <c r="L41" s="387"/>
      <c r="M41" s="323"/>
      <c r="N41" s="323"/>
      <c r="O41" s="323"/>
      <c r="P41" s="323"/>
      <c r="Q41" s="387" t="str">
        <f>IF($A41=Input!$A$4,$B41,"")</f>
        <v/>
      </c>
      <c r="R41" s="323" t="str">
        <f>IF($A41=Input!$A$4,$C41,"")</f>
        <v/>
      </c>
      <c r="S41" s="323" t="str">
        <f>IF($A41=Input!$A$4,$D41,"")</f>
        <v/>
      </c>
      <c r="T41" s="323" t="str">
        <f>IF($A41=Input!$A$4,$E41,"")</f>
        <v/>
      </c>
      <c r="U41" s="386" t="str">
        <f>IF($A41=Input!$A$4,$F41,"")</f>
        <v/>
      </c>
      <c r="V41" s="323"/>
      <c r="W41" s="323"/>
      <c r="X41" s="323"/>
      <c r="Y41" s="323"/>
      <c r="Z41" s="323"/>
      <c r="AA41" s="387" t="str">
        <f>IF($A41=Input!$A$5,$B41,"")</f>
        <v/>
      </c>
      <c r="AB41" s="323" t="str">
        <f>IF($A41=Input!$A$5,$C41,"")</f>
        <v/>
      </c>
      <c r="AC41" s="323" t="str">
        <f>IF($A41=Input!$A$5,$D41,"")</f>
        <v/>
      </c>
      <c r="AD41" s="323" t="str">
        <f>IF($A41=Input!$A$5,$E41,"")</f>
        <v/>
      </c>
      <c r="AE41" s="386" t="str">
        <f>IF($A41=Input!$A$5,$F41,"")</f>
        <v/>
      </c>
      <c r="AF41" s="323"/>
      <c r="AG41" s="323"/>
      <c r="AH41" s="323"/>
      <c r="AI41" s="323"/>
      <c r="AJ41" s="323"/>
    </row>
    <row r="42" spans="1:36" x14ac:dyDescent="0.2">
      <c r="A42" s="250" t="str">
        <f>IF(BuffsDebuffs!$M38=1,BuffsDebuffs!G$2,"")</f>
        <v/>
      </c>
      <c r="B42" s="251" t="str">
        <f>IF(BuffsDebuffs!$M38=1,BuffsDebuffs!H$2,"")</f>
        <v/>
      </c>
      <c r="C42" s="251" t="str">
        <f>IF(BuffsDebuffs!$M38=1,BuffsDebuffs!I$2,"")</f>
        <v/>
      </c>
      <c r="D42" s="251" t="str">
        <f>IF(BuffsDebuffs!$M38=1,BuffsDebuffs!J$2,"")</f>
        <v/>
      </c>
      <c r="E42" s="251" t="str">
        <f>IF(BuffsDebuffs!$M38=1,BuffsDebuffs!K$2,"")</f>
        <v/>
      </c>
      <c r="F42" s="251" t="str">
        <f>IF(BuffsDebuffs!$M38=1,BuffsDebuffs!L$2,"")</f>
        <v/>
      </c>
      <c r="G42" s="387" t="str">
        <f>IF($A42=Input!$A$3,B42,"")</f>
        <v/>
      </c>
      <c r="H42" s="323" t="str">
        <f>IF($A42=Input!$A$3,C42,"")</f>
        <v/>
      </c>
      <c r="I42" s="323" t="str">
        <f>IF($A42=Input!$A$3,D42,"")</f>
        <v/>
      </c>
      <c r="J42" s="323" t="str">
        <f>IF($A42=Input!$A$3,E42,"")</f>
        <v/>
      </c>
      <c r="K42" s="386" t="str">
        <f>IF($A42=Input!$A$3,F42,"")</f>
        <v/>
      </c>
      <c r="L42" s="387"/>
      <c r="M42" s="323"/>
      <c r="N42" s="323"/>
      <c r="O42" s="323"/>
      <c r="P42" s="323"/>
      <c r="Q42" s="387" t="str">
        <f>IF($A42=Input!$A$4,$B42,"")</f>
        <v/>
      </c>
      <c r="R42" s="323" t="str">
        <f>IF($A42=Input!$A$4,$C42,"")</f>
        <v/>
      </c>
      <c r="S42" s="323" t="str">
        <f>IF($A42=Input!$A$4,$D42,"")</f>
        <v/>
      </c>
      <c r="T42" s="323" t="str">
        <f>IF($A42=Input!$A$4,$E42,"")</f>
        <v/>
      </c>
      <c r="U42" s="386" t="str">
        <f>IF($A42=Input!$A$4,$F42,"")</f>
        <v/>
      </c>
      <c r="V42" s="323"/>
      <c r="W42" s="323"/>
      <c r="X42" s="323"/>
      <c r="Y42" s="323"/>
      <c r="Z42" s="323"/>
      <c r="AA42" s="387" t="str">
        <f>IF($A42=Input!$A$5,$B42,"")</f>
        <v/>
      </c>
      <c r="AB42" s="323" t="str">
        <f>IF($A42=Input!$A$5,$C42,"")</f>
        <v/>
      </c>
      <c r="AC42" s="323" t="str">
        <f>IF($A42=Input!$A$5,$D42,"")</f>
        <v/>
      </c>
      <c r="AD42" s="323" t="str">
        <f>IF($A42=Input!$A$5,$E42,"")</f>
        <v/>
      </c>
      <c r="AE42" s="386" t="str">
        <f>IF($A42=Input!$A$5,$F42,"")</f>
        <v/>
      </c>
      <c r="AF42" s="323"/>
      <c r="AG42" s="323"/>
      <c r="AH42" s="323"/>
      <c r="AI42" s="323"/>
      <c r="AJ42" s="323"/>
    </row>
    <row r="43" spans="1:36" x14ac:dyDescent="0.2">
      <c r="A43" s="250" t="str">
        <f>IF(BuffsDebuffs!$M39=1,BuffsDebuffs!G$2,"")</f>
        <v/>
      </c>
      <c r="B43" s="251" t="str">
        <f>IF(BuffsDebuffs!$M39=1,BuffsDebuffs!H$2,"")</f>
        <v/>
      </c>
      <c r="C43" s="251" t="str">
        <f>IF(BuffsDebuffs!$M39=1,BuffsDebuffs!I$2,"")</f>
        <v/>
      </c>
      <c r="D43" s="251" t="str">
        <f>IF(BuffsDebuffs!$M39=1,BuffsDebuffs!J$2,"")</f>
        <v/>
      </c>
      <c r="E43" s="251" t="str">
        <f>IF(BuffsDebuffs!$M39=1,BuffsDebuffs!K$2,"")</f>
        <v/>
      </c>
      <c r="F43" s="251" t="str">
        <f>IF(BuffsDebuffs!$M39=1,BuffsDebuffs!L$2,"")</f>
        <v/>
      </c>
      <c r="G43" s="387" t="str">
        <f>IF($A43=Input!$A$3,B43,"")</f>
        <v/>
      </c>
      <c r="H43" s="323" t="str">
        <f>IF($A43=Input!$A$3,C43,"")</f>
        <v/>
      </c>
      <c r="I43" s="323" t="str">
        <f>IF($A43=Input!$A$3,D43,"")</f>
        <v/>
      </c>
      <c r="J43" s="323" t="str">
        <f>IF($A43=Input!$A$3,E43,"")</f>
        <v/>
      </c>
      <c r="K43" s="386" t="str">
        <f>IF($A43=Input!$A$3,F43,"")</f>
        <v/>
      </c>
      <c r="L43" s="387"/>
      <c r="M43" s="323"/>
      <c r="N43" s="323"/>
      <c r="O43" s="323"/>
      <c r="P43" s="323"/>
      <c r="Q43" s="387" t="str">
        <f>IF($A43=Input!$A$4,$B43,"")</f>
        <v/>
      </c>
      <c r="R43" s="323" t="str">
        <f>IF($A43=Input!$A$4,$C43,"")</f>
        <v/>
      </c>
      <c r="S43" s="323" t="str">
        <f>IF($A43=Input!$A$4,$D43,"")</f>
        <v/>
      </c>
      <c r="T43" s="323" t="str">
        <f>IF($A43=Input!$A$4,$E43,"")</f>
        <v/>
      </c>
      <c r="U43" s="386" t="str">
        <f>IF($A43=Input!$A$4,$F43,"")</f>
        <v/>
      </c>
      <c r="V43" s="323"/>
      <c r="W43" s="323"/>
      <c r="X43" s="323"/>
      <c r="Y43" s="323"/>
      <c r="Z43" s="323"/>
      <c r="AA43" s="387" t="str">
        <f>IF($A43=Input!$A$5,$B43,"")</f>
        <v/>
      </c>
      <c r="AB43" s="323" t="str">
        <f>IF($A43=Input!$A$5,$C43,"")</f>
        <v/>
      </c>
      <c r="AC43" s="323" t="str">
        <f>IF($A43=Input!$A$5,$D43,"")</f>
        <v/>
      </c>
      <c r="AD43" s="323" t="str">
        <f>IF($A43=Input!$A$5,$E43,"")</f>
        <v/>
      </c>
      <c r="AE43" s="386" t="str">
        <f>IF($A43=Input!$A$5,$F43,"")</f>
        <v/>
      </c>
      <c r="AF43" s="323"/>
      <c r="AG43" s="323"/>
      <c r="AH43" s="323"/>
      <c r="AI43" s="323"/>
      <c r="AJ43" s="323"/>
    </row>
    <row r="44" spans="1:36" x14ac:dyDescent="0.2">
      <c r="A44" s="250" t="str">
        <f>IF(BuffsDebuffs!$M40=1,BuffsDebuffs!G$2,"")</f>
        <v/>
      </c>
      <c r="B44" s="251" t="str">
        <f>IF(BuffsDebuffs!$M40=1,BuffsDebuffs!H$2,"")</f>
        <v/>
      </c>
      <c r="C44" s="251" t="str">
        <f>IF(BuffsDebuffs!$M40=1,BuffsDebuffs!I$2,"")</f>
        <v/>
      </c>
      <c r="D44" s="251" t="str">
        <f>IF(BuffsDebuffs!$M40=1,BuffsDebuffs!J$2,"")</f>
        <v/>
      </c>
      <c r="E44" s="251" t="str">
        <f>IF(BuffsDebuffs!$M40=1,BuffsDebuffs!K$2,"")</f>
        <v/>
      </c>
      <c r="F44" s="251" t="str">
        <f>IF(BuffsDebuffs!$M40=1,BuffsDebuffs!L$2,"")</f>
        <v/>
      </c>
      <c r="G44" s="387" t="str">
        <f>IF($A44=Input!$A$3,B44,"")</f>
        <v/>
      </c>
      <c r="H44" s="323" t="str">
        <f>IF($A44=Input!$A$3,C44,"")</f>
        <v/>
      </c>
      <c r="I44" s="323" t="str">
        <f>IF($A44=Input!$A$3,D44,"")</f>
        <v/>
      </c>
      <c r="J44" s="323" t="str">
        <f>IF($A44=Input!$A$3,E44,"")</f>
        <v/>
      </c>
      <c r="K44" s="386" t="str">
        <f>IF($A44=Input!$A$3,F44,"")</f>
        <v/>
      </c>
      <c r="L44" s="387"/>
      <c r="M44" s="323"/>
      <c r="N44" s="323"/>
      <c r="O44" s="323"/>
      <c r="P44" s="323"/>
      <c r="Q44" s="387" t="str">
        <f>IF($A44=Input!$A$4,$B44,"")</f>
        <v/>
      </c>
      <c r="R44" s="323" t="str">
        <f>IF($A44=Input!$A$4,$C44,"")</f>
        <v/>
      </c>
      <c r="S44" s="323" t="str">
        <f>IF($A44=Input!$A$4,$D44,"")</f>
        <v/>
      </c>
      <c r="T44" s="323" t="str">
        <f>IF($A44=Input!$A$4,$E44,"")</f>
        <v/>
      </c>
      <c r="U44" s="386" t="str">
        <f>IF($A44=Input!$A$4,$F44,"")</f>
        <v/>
      </c>
      <c r="V44" s="323"/>
      <c r="W44" s="323"/>
      <c r="X44" s="323"/>
      <c r="Y44" s="323"/>
      <c r="Z44" s="323"/>
      <c r="AA44" s="387" t="str">
        <f>IF($A44=Input!$A$5,$B44,"")</f>
        <v/>
      </c>
      <c r="AB44" s="323" t="str">
        <f>IF($A44=Input!$A$5,$C44,"")</f>
        <v/>
      </c>
      <c r="AC44" s="323" t="str">
        <f>IF($A44=Input!$A$5,$D44,"")</f>
        <v/>
      </c>
      <c r="AD44" s="323" t="str">
        <f>IF($A44=Input!$A$5,$E44,"")</f>
        <v/>
      </c>
      <c r="AE44" s="386" t="str">
        <f>IF($A44=Input!$A$5,$F44,"")</f>
        <v/>
      </c>
      <c r="AF44" s="323"/>
      <c r="AG44" s="323"/>
      <c r="AH44" s="323"/>
      <c r="AI44" s="323"/>
      <c r="AJ44" s="323"/>
    </row>
    <row r="45" spans="1:36" x14ac:dyDescent="0.2">
      <c r="A45" s="250" t="str">
        <f>IF(BuffsDebuffs!$M41=1,BuffsDebuffs!G$2,"")</f>
        <v/>
      </c>
      <c r="B45" s="251" t="str">
        <f>IF(BuffsDebuffs!$M41=1,BuffsDebuffs!H$2,"")</f>
        <v/>
      </c>
      <c r="C45" s="251" t="str">
        <f>IF(BuffsDebuffs!$M41=1,BuffsDebuffs!I$2,"")</f>
        <v/>
      </c>
      <c r="D45" s="251" t="str">
        <f>IF(BuffsDebuffs!$M41=1,BuffsDebuffs!J$2,"")</f>
        <v/>
      </c>
      <c r="E45" s="251" t="str">
        <f>IF(BuffsDebuffs!$M41=1,BuffsDebuffs!K$2,"")</f>
        <v/>
      </c>
      <c r="F45" s="251" t="str">
        <f>IF(BuffsDebuffs!$M41=1,BuffsDebuffs!L$2,"")</f>
        <v/>
      </c>
      <c r="G45" s="387" t="str">
        <f>IF($A45=Input!$A$3,B45,"")</f>
        <v/>
      </c>
      <c r="H45" s="323" t="str">
        <f>IF($A45=Input!$A$3,C45,"")</f>
        <v/>
      </c>
      <c r="I45" s="323" t="str">
        <f>IF($A45=Input!$A$3,D45,"")</f>
        <v/>
      </c>
      <c r="J45" s="323" t="str">
        <f>IF($A45=Input!$A$3,E45,"")</f>
        <v/>
      </c>
      <c r="K45" s="386" t="str">
        <f>IF($A45=Input!$A$3,F45,"")</f>
        <v/>
      </c>
      <c r="L45" s="387"/>
      <c r="M45" s="323"/>
      <c r="N45" s="323"/>
      <c r="O45" s="323"/>
      <c r="P45" s="323"/>
      <c r="Q45" s="387" t="str">
        <f>IF($A45=Input!$A$4,$B45,"")</f>
        <v/>
      </c>
      <c r="R45" s="323" t="str">
        <f>IF($A45=Input!$A$4,$C45,"")</f>
        <v/>
      </c>
      <c r="S45" s="323" t="str">
        <f>IF($A45=Input!$A$4,$D45,"")</f>
        <v/>
      </c>
      <c r="T45" s="323" t="str">
        <f>IF($A45=Input!$A$4,$E45,"")</f>
        <v/>
      </c>
      <c r="U45" s="386" t="str">
        <f>IF($A45=Input!$A$4,$F45,"")</f>
        <v/>
      </c>
      <c r="V45" s="323"/>
      <c r="W45" s="323"/>
      <c r="X45" s="323"/>
      <c r="Y45" s="323"/>
      <c r="Z45" s="323"/>
      <c r="AA45" s="387" t="str">
        <f>IF($A45=Input!$A$5,$B45,"")</f>
        <v/>
      </c>
      <c r="AB45" s="323" t="str">
        <f>IF($A45=Input!$A$5,$C45,"")</f>
        <v/>
      </c>
      <c r="AC45" s="323" t="str">
        <f>IF($A45=Input!$A$5,$D45,"")</f>
        <v/>
      </c>
      <c r="AD45" s="323" t="str">
        <f>IF($A45=Input!$A$5,$E45,"")</f>
        <v/>
      </c>
      <c r="AE45" s="386" t="str">
        <f>IF($A45=Input!$A$5,$F45,"")</f>
        <v/>
      </c>
      <c r="AF45" s="323"/>
      <c r="AG45" s="323"/>
      <c r="AH45" s="323"/>
      <c r="AI45" s="323"/>
      <c r="AJ45" s="323"/>
    </row>
    <row r="46" spans="1:36" x14ac:dyDescent="0.2">
      <c r="A46" s="250" t="str">
        <f>IF(BuffsDebuffs!$M42=1,BuffsDebuffs!G$2,"")</f>
        <v/>
      </c>
      <c r="B46" s="251" t="str">
        <f>IF(BuffsDebuffs!$M42=1,BuffsDebuffs!H$2,"")</f>
        <v/>
      </c>
      <c r="C46" s="251" t="str">
        <f>IF(BuffsDebuffs!$M42=1,BuffsDebuffs!I$2,"")</f>
        <v/>
      </c>
      <c r="D46" s="251" t="str">
        <f>IF(BuffsDebuffs!$M42=1,BuffsDebuffs!J$2,"")</f>
        <v/>
      </c>
      <c r="E46" s="251" t="str">
        <f>IF(BuffsDebuffs!$M42=1,BuffsDebuffs!K$2,"")</f>
        <v/>
      </c>
      <c r="F46" s="251" t="str">
        <f>IF(BuffsDebuffs!$M42=1,BuffsDebuffs!L$2,"")</f>
        <v/>
      </c>
      <c r="G46" s="387" t="str">
        <f>IF($A46=Input!$A$3,B46,"")</f>
        <v/>
      </c>
      <c r="H46" s="323" t="str">
        <f>IF($A46=Input!$A$3,C46,"")</f>
        <v/>
      </c>
      <c r="I46" s="323" t="str">
        <f>IF($A46=Input!$A$3,D46,"")</f>
        <v/>
      </c>
      <c r="J46" s="323" t="str">
        <f>IF($A46=Input!$A$3,E46,"")</f>
        <v/>
      </c>
      <c r="K46" s="386" t="str">
        <f>IF($A46=Input!$A$3,F46,"")</f>
        <v/>
      </c>
      <c r="L46" s="387"/>
      <c r="M46" s="323"/>
      <c r="N46" s="323"/>
      <c r="O46" s="323"/>
      <c r="P46" s="323"/>
      <c r="Q46" s="387" t="str">
        <f>IF($A46=Input!$A$4,$B46,"")</f>
        <v/>
      </c>
      <c r="R46" s="323" t="str">
        <f>IF($A46=Input!$A$4,$C46,"")</f>
        <v/>
      </c>
      <c r="S46" s="323" t="str">
        <f>IF($A46=Input!$A$4,$D46,"")</f>
        <v/>
      </c>
      <c r="T46" s="323" t="str">
        <f>IF($A46=Input!$A$4,$E46,"")</f>
        <v/>
      </c>
      <c r="U46" s="386" t="str">
        <f>IF($A46=Input!$A$4,$F46,"")</f>
        <v/>
      </c>
      <c r="V46" s="323"/>
      <c r="W46" s="323"/>
      <c r="X46" s="323"/>
      <c r="Y46" s="323"/>
      <c r="Z46" s="323"/>
      <c r="AA46" s="387" t="str">
        <f>IF($A46=Input!$A$5,$B46,"")</f>
        <v/>
      </c>
      <c r="AB46" s="323" t="str">
        <f>IF($A46=Input!$A$5,$C46,"")</f>
        <v/>
      </c>
      <c r="AC46" s="323" t="str">
        <f>IF($A46=Input!$A$5,$D46,"")</f>
        <v/>
      </c>
      <c r="AD46" s="323" t="str">
        <f>IF($A46=Input!$A$5,$E46,"")</f>
        <v/>
      </c>
      <c r="AE46" s="386" t="str">
        <f>IF($A46=Input!$A$5,$F46,"")</f>
        <v/>
      </c>
      <c r="AF46" s="323"/>
      <c r="AG46" s="323"/>
      <c r="AH46" s="323"/>
      <c r="AI46" s="323"/>
      <c r="AJ46" s="323"/>
    </row>
    <row r="47" spans="1:36" x14ac:dyDescent="0.2">
      <c r="A47" s="250" t="str">
        <f>IF(BuffsDebuffs!$M43=1,BuffsDebuffs!G$2,"")</f>
        <v/>
      </c>
      <c r="B47" s="251" t="str">
        <f>IF(BuffsDebuffs!$M43=1,BuffsDebuffs!H$2,"")</f>
        <v/>
      </c>
      <c r="C47" s="251" t="str">
        <f>IF(BuffsDebuffs!$M43=1,BuffsDebuffs!I$2,"")</f>
        <v/>
      </c>
      <c r="D47" s="251" t="str">
        <f>IF(BuffsDebuffs!$M43=1,BuffsDebuffs!J$2,"")</f>
        <v/>
      </c>
      <c r="E47" s="251" t="str">
        <f>IF(BuffsDebuffs!$M43=1,BuffsDebuffs!K$2,"")</f>
        <v/>
      </c>
      <c r="F47" s="251" t="str">
        <f>IF(BuffsDebuffs!$M43=1,BuffsDebuffs!L$2,"")</f>
        <v/>
      </c>
      <c r="G47" s="387" t="str">
        <f>IF($A47=Input!$A$3,B47,"")</f>
        <v/>
      </c>
      <c r="H47" s="323" t="str">
        <f>IF($A47=Input!$A$3,C47,"")</f>
        <v/>
      </c>
      <c r="I47" s="323" t="str">
        <f>IF($A47=Input!$A$3,D47,"")</f>
        <v/>
      </c>
      <c r="J47" s="323" t="str">
        <f>IF($A47=Input!$A$3,E47,"")</f>
        <v/>
      </c>
      <c r="K47" s="386" t="str">
        <f>IF($A47=Input!$A$3,F47,"")</f>
        <v/>
      </c>
      <c r="L47" s="387"/>
      <c r="M47" s="323"/>
      <c r="N47" s="323"/>
      <c r="O47" s="323"/>
      <c r="P47" s="323"/>
      <c r="Q47" s="387" t="str">
        <f>IF($A47=Input!$A$4,$B47,"")</f>
        <v/>
      </c>
      <c r="R47" s="323" t="str">
        <f>IF($A47=Input!$A$4,$C47,"")</f>
        <v/>
      </c>
      <c r="S47" s="323" t="str">
        <f>IF($A47=Input!$A$4,$D47,"")</f>
        <v/>
      </c>
      <c r="T47" s="323" t="str">
        <f>IF($A47=Input!$A$4,$E47,"")</f>
        <v/>
      </c>
      <c r="U47" s="386" t="str">
        <f>IF($A47=Input!$A$4,$F47,"")</f>
        <v/>
      </c>
      <c r="V47" s="323"/>
      <c r="W47" s="323"/>
      <c r="X47" s="323"/>
      <c r="Y47" s="323"/>
      <c r="Z47" s="323"/>
      <c r="AA47" s="387" t="str">
        <f>IF($A47=Input!$A$5,$B47,"")</f>
        <v/>
      </c>
      <c r="AB47" s="323" t="str">
        <f>IF($A47=Input!$A$5,$C47,"")</f>
        <v/>
      </c>
      <c r="AC47" s="323" t="str">
        <f>IF($A47=Input!$A$5,$D47,"")</f>
        <v/>
      </c>
      <c r="AD47" s="323" t="str">
        <f>IF($A47=Input!$A$5,$E47,"")</f>
        <v/>
      </c>
      <c r="AE47" s="386" t="str">
        <f>IF($A47=Input!$A$5,$F47,"")</f>
        <v/>
      </c>
      <c r="AF47" s="323"/>
      <c r="AG47" s="323"/>
      <c r="AH47" s="323"/>
      <c r="AI47" s="323"/>
      <c r="AJ47" s="323"/>
    </row>
    <row r="48" spans="1:36" x14ac:dyDescent="0.2">
      <c r="A48" s="250" t="str">
        <f>IF(BuffsDebuffs!$M44=1,BuffsDebuffs!G$2,"")</f>
        <v/>
      </c>
      <c r="B48" s="251" t="str">
        <f>IF(BuffsDebuffs!$M44=1,BuffsDebuffs!H$2,"")</f>
        <v/>
      </c>
      <c r="C48" s="251" t="str">
        <f>IF(BuffsDebuffs!$M44=1,BuffsDebuffs!I$2,"")</f>
        <v/>
      </c>
      <c r="D48" s="251" t="str">
        <f>IF(BuffsDebuffs!$M44=1,BuffsDebuffs!J$2,"")</f>
        <v/>
      </c>
      <c r="E48" s="251" t="str">
        <f>IF(BuffsDebuffs!$M44=1,BuffsDebuffs!K$2,"")</f>
        <v/>
      </c>
      <c r="F48" s="251" t="str">
        <f>IF(BuffsDebuffs!$M44=1,BuffsDebuffs!L$2,"")</f>
        <v/>
      </c>
      <c r="G48" s="387" t="str">
        <f>IF($A48=Input!$A$3,B48,"")</f>
        <v/>
      </c>
      <c r="H48" s="323" t="str">
        <f>IF($A48=Input!$A$3,C48,"")</f>
        <v/>
      </c>
      <c r="I48" s="323" t="str">
        <f>IF($A48=Input!$A$3,D48,"")</f>
        <v/>
      </c>
      <c r="J48" s="323" t="str">
        <f>IF($A48=Input!$A$3,E48,"")</f>
        <v/>
      </c>
      <c r="K48" s="386" t="str">
        <f>IF($A48=Input!$A$3,F48,"")</f>
        <v/>
      </c>
      <c r="L48" s="387"/>
      <c r="M48" s="323"/>
      <c r="N48" s="323"/>
      <c r="O48" s="323"/>
      <c r="P48" s="323"/>
      <c r="Q48" s="387" t="str">
        <f>IF($A48=Input!$A$4,$B48,"")</f>
        <v/>
      </c>
      <c r="R48" s="323" t="str">
        <f>IF($A48=Input!$A$4,$C48,"")</f>
        <v/>
      </c>
      <c r="S48" s="323" t="str">
        <f>IF($A48=Input!$A$4,$D48,"")</f>
        <v/>
      </c>
      <c r="T48" s="323" t="str">
        <f>IF($A48=Input!$A$4,$E48,"")</f>
        <v/>
      </c>
      <c r="U48" s="386" t="str">
        <f>IF($A48=Input!$A$4,$F48,"")</f>
        <v/>
      </c>
      <c r="V48" s="323"/>
      <c r="W48" s="323"/>
      <c r="X48" s="323"/>
      <c r="Y48" s="323"/>
      <c r="Z48" s="323"/>
      <c r="AA48" s="387" t="str">
        <f>IF($A48=Input!$A$5,$B48,"")</f>
        <v/>
      </c>
      <c r="AB48" s="323" t="str">
        <f>IF($A48=Input!$A$5,$C48,"")</f>
        <v/>
      </c>
      <c r="AC48" s="323" t="str">
        <f>IF($A48=Input!$A$5,$D48,"")</f>
        <v/>
      </c>
      <c r="AD48" s="323" t="str">
        <f>IF($A48=Input!$A$5,$E48,"")</f>
        <v/>
      </c>
      <c r="AE48" s="386" t="str">
        <f>IF($A48=Input!$A$5,$F48,"")</f>
        <v/>
      </c>
      <c r="AF48" s="323"/>
      <c r="AG48" s="323"/>
      <c r="AH48" s="323"/>
      <c r="AI48" s="323"/>
      <c r="AJ48" s="323"/>
    </row>
    <row r="49" spans="1:36" x14ac:dyDescent="0.2">
      <c r="A49" s="250" t="str">
        <f>IF(BuffsDebuffs!$M45=1,BuffsDebuffs!G$2,"")</f>
        <v/>
      </c>
      <c r="B49" s="251" t="str">
        <f>IF(BuffsDebuffs!$M45=1,BuffsDebuffs!H$2,"")</f>
        <v/>
      </c>
      <c r="C49" s="251" t="str">
        <f>IF(BuffsDebuffs!$M45=1,BuffsDebuffs!I$2,"")</f>
        <v/>
      </c>
      <c r="D49" s="251" t="str">
        <f>IF(BuffsDebuffs!$M45=1,BuffsDebuffs!J$2,"")</f>
        <v/>
      </c>
      <c r="E49" s="251" t="str">
        <f>IF(BuffsDebuffs!$M45=1,BuffsDebuffs!K$2,"")</f>
        <v/>
      </c>
      <c r="F49" s="251" t="str">
        <f>IF(BuffsDebuffs!$M45=1,BuffsDebuffs!L$2,"")</f>
        <v/>
      </c>
      <c r="G49" s="387" t="str">
        <f>IF($A49=Input!$A$3,B49,"")</f>
        <v/>
      </c>
      <c r="H49" s="323" t="str">
        <f>IF($A49=Input!$A$3,C49,"")</f>
        <v/>
      </c>
      <c r="I49" s="323" t="str">
        <f>IF($A49=Input!$A$3,D49,"")</f>
        <v/>
      </c>
      <c r="J49" s="323" t="str">
        <f>IF($A49=Input!$A$3,E49,"")</f>
        <v/>
      </c>
      <c r="K49" s="386" t="str">
        <f>IF($A49=Input!$A$3,F49,"")</f>
        <v/>
      </c>
      <c r="L49" s="387"/>
      <c r="M49" s="323"/>
      <c r="N49" s="323"/>
      <c r="O49" s="323"/>
      <c r="P49" s="323"/>
      <c r="Q49" s="387" t="str">
        <f>IF($A49=Input!$A$4,$B49,"")</f>
        <v/>
      </c>
      <c r="R49" s="323" t="str">
        <f>IF($A49=Input!$A$4,$C49,"")</f>
        <v/>
      </c>
      <c r="S49" s="323" t="str">
        <f>IF($A49=Input!$A$4,$D49,"")</f>
        <v/>
      </c>
      <c r="T49" s="323" t="str">
        <f>IF($A49=Input!$A$4,$E49,"")</f>
        <v/>
      </c>
      <c r="U49" s="386" t="str">
        <f>IF($A49=Input!$A$4,$F49,"")</f>
        <v/>
      </c>
      <c r="V49" s="323"/>
      <c r="W49" s="323"/>
      <c r="X49" s="323"/>
      <c r="Y49" s="323"/>
      <c r="Z49" s="323"/>
      <c r="AA49" s="387" t="str">
        <f>IF($A49=Input!$A$5,$B49,"")</f>
        <v/>
      </c>
      <c r="AB49" s="323" t="str">
        <f>IF($A49=Input!$A$5,$C49,"")</f>
        <v/>
      </c>
      <c r="AC49" s="323" t="str">
        <f>IF($A49=Input!$A$5,$D49,"")</f>
        <v/>
      </c>
      <c r="AD49" s="323" t="str">
        <f>IF($A49=Input!$A$5,$E49,"")</f>
        <v/>
      </c>
      <c r="AE49" s="386" t="str">
        <f>IF($A49=Input!$A$5,$F49,"")</f>
        <v/>
      </c>
      <c r="AF49" s="323"/>
      <c r="AG49" s="323"/>
      <c r="AH49" s="323"/>
      <c r="AI49" s="323"/>
      <c r="AJ49" s="323"/>
    </row>
    <row r="50" spans="1:36" x14ac:dyDescent="0.2">
      <c r="A50" s="250" t="str">
        <f>IF(BuffsDebuffs!$M46=1,BuffsDebuffs!G$2,"")</f>
        <v/>
      </c>
      <c r="B50" s="251" t="str">
        <f>IF(BuffsDebuffs!$M46=1,BuffsDebuffs!H$2,"")</f>
        <v/>
      </c>
      <c r="C50" s="251" t="str">
        <f>IF(BuffsDebuffs!$M46=1,BuffsDebuffs!I$2,"")</f>
        <v/>
      </c>
      <c r="D50" s="251" t="str">
        <f>IF(BuffsDebuffs!$M46=1,BuffsDebuffs!J$2,"")</f>
        <v/>
      </c>
      <c r="E50" s="251" t="str">
        <f>IF(BuffsDebuffs!$M46=1,BuffsDebuffs!K$2,"")</f>
        <v/>
      </c>
      <c r="F50" s="251" t="str">
        <f>IF(BuffsDebuffs!$M46=1,BuffsDebuffs!L$2,"")</f>
        <v/>
      </c>
      <c r="G50" s="387" t="str">
        <f>IF($A50=Input!$A$3,B50,"")</f>
        <v/>
      </c>
      <c r="H50" s="323" t="str">
        <f>IF($A50=Input!$A$3,C50,"")</f>
        <v/>
      </c>
      <c r="I50" s="323" t="str">
        <f>IF($A50=Input!$A$3,D50,"")</f>
        <v/>
      </c>
      <c r="J50" s="323" t="str">
        <f>IF($A50=Input!$A$3,E50,"")</f>
        <v/>
      </c>
      <c r="K50" s="386" t="str">
        <f>IF($A50=Input!$A$3,F50,"")</f>
        <v/>
      </c>
      <c r="L50" s="387"/>
      <c r="M50" s="323"/>
      <c r="N50" s="323"/>
      <c r="O50" s="323"/>
      <c r="P50" s="323"/>
      <c r="Q50" s="387" t="str">
        <f>IF($A50=Input!$A$4,$B50,"")</f>
        <v/>
      </c>
      <c r="R50" s="323" t="str">
        <f>IF($A50=Input!$A$4,$C50,"")</f>
        <v/>
      </c>
      <c r="S50" s="323" t="str">
        <f>IF($A50=Input!$A$4,$D50,"")</f>
        <v/>
      </c>
      <c r="T50" s="323" t="str">
        <f>IF($A50=Input!$A$4,$E50,"")</f>
        <v/>
      </c>
      <c r="U50" s="386" t="str">
        <f>IF($A50=Input!$A$4,$F50,"")</f>
        <v/>
      </c>
      <c r="V50" s="323"/>
      <c r="W50" s="323"/>
      <c r="X50" s="323"/>
      <c r="Y50" s="323"/>
      <c r="Z50" s="323"/>
      <c r="AA50" s="387" t="str">
        <f>IF($A50=Input!$A$5,$B50,"")</f>
        <v/>
      </c>
      <c r="AB50" s="323" t="str">
        <f>IF($A50=Input!$A$5,$C50,"")</f>
        <v/>
      </c>
      <c r="AC50" s="323" t="str">
        <f>IF($A50=Input!$A$5,$D50,"")</f>
        <v/>
      </c>
      <c r="AD50" s="323" t="str">
        <f>IF($A50=Input!$A$5,$E50,"")</f>
        <v/>
      </c>
      <c r="AE50" s="386" t="str">
        <f>IF($A50=Input!$A$5,$F50,"")</f>
        <v/>
      </c>
      <c r="AF50" s="323"/>
      <c r="AG50" s="323"/>
      <c r="AH50" s="323"/>
      <c r="AI50" s="323"/>
      <c r="AJ50" s="323"/>
    </row>
    <row r="51" spans="1:36" x14ac:dyDescent="0.2">
      <c r="A51" s="250" t="str">
        <f>IF(BuffsDebuffs!$M47=1,BuffsDebuffs!G$2,"")</f>
        <v/>
      </c>
      <c r="B51" s="251" t="str">
        <f>IF(BuffsDebuffs!$M47=1,BuffsDebuffs!H$2,"")</f>
        <v/>
      </c>
      <c r="C51" s="251" t="str">
        <f>IF(BuffsDebuffs!$M47=1,BuffsDebuffs!I$2,"")</f>
        <v/>
      </c>
      <c r="D51" s="251" t="str">
        <f>IF(BuffsDebuffs!$M47=1,BuffsDebuffs!J$2,"")</f>
        <v/>
      </c>
      <c r="E51" s="251" t="str">
        <f>IF(BuffsDebuffs!$M47=1,BuffsDebuffs!K$2,"")</f>
        <v/>
      </c>
      <c r="F51" s="251" t="str">
        <f>IF(BuffsDebuffs!$M47=1,BuffsDebuffs!L$2,"")</f>
        <v/>
      </c>
      <c r="G51" s="387" t="str">
        <f>IF($A51=Input!$A$3,B51,"")</f>
        <v/>
      </c>
      <c r="H51" s="323" t="str">
        <f>IF($A51=Input!$A$3,C51,"")</f>
        <v/>
      </c>
      <c r="I51" s="323" t="str">
        <f>IF($A51=Input!$A$3,D51,"")</f>
        <v/>
      </c>
      <c r="J51" s="323" t="str">
        <f>IF($A51=Input!$A$3,E51,"")</f>
        <v/>
      </c>
      <c r="K51" s="386" t="str">
        <f>IF($A51=Input!$A$3,F51,"")</f>
        <v/>
      </c>
      <c r="L51" s="387"/>
      <c r="M51" s="323"/>
      <c r="N51" s="323"/>
      <c r="O51" s="323"/>
      <c r="P51" s="323"/>
      <c r="Q51" s="387" t="str">
        <f>IF($A51=Input!$A$4,$B51,"")</f>
        <v/>
      </c>
      <c r="R51" s="323" t="str">
        <f>IF($A51=Input!$A$4,$C51,"")</f>
        <v/>
      </c>
      <c r="S51" s="323" t="str">
        <f>IF($A51=Input!$A$4,$D51,"")</f>
        <v/>
      </c>
      <c r="T51" s="323" t="str">
        <f>IF($A51=Input!$A$4,$E51,"")</f>
        <v/>
      </c>
      <c r="U51" s="386" t="str">
        <f>IF($A51=Input!$A$4,$F51,"")</f>
        <v/>
      </c>
      <c r="V51" s="323"/>
      <c r="W51" s="323"/>
      <c r="X51" s="323"/>
      <c r="Y51" s="323"/>
      <c r="Z51" s="323"/>
      <c r="AA51" s="387" t="str">
        <f>IF($A51=Input!$A$5,$B51,"")</f>
        <v/>
      </c>
      <c r="AB51" s="323" t="str">
        <f>IF($A51=Input!$A$5,$C51,"")</f>
        <v/>
      </c>
      <c r="AC51" s="323" t="str">
        <f>IF($A51=Input!$A$5,$D51,"")</f>
        <v/>
      </c>
      <c r="AD51" s="323" t="str">
        <f>IF($A51=Input!$A$5,$E51,"")</f>
        <v/>
      </c>
      <c r="AE51" s="386" t="str">
        <f>IF($A51=Input!$A$5,$F51,"")</f>
        <v/>
      </c>
      <c r="AF51" s="323"/>
      <c r="AG51" s="323"/>
      <c r="AH51" s="323"/>
      <c r="AI51" s="323"/>
      <c r="AJ51" s="323"/>
    </row>
    <row r="52" spans="1:36" x14ac:dyDescent="0.2">
      <c r="A52" s="250" t="str">
        <f>IF(BuffsDebuffs!$M48=1,BuffsDebuffs!G$2,"")</f>
        <v/>
      </c>
      <c r="B52" s="251" t="str">
        <f>IF(BuffsDebuffs!$M48=1,BuffsDebuffs!H$2,"")</f>
        <v/>
      </c>
      <c r="C52" s="251" t="str">
        <f>IF(BuffsDebuffs!$M48=1,BuffsDebuffs!I$2,"")</f>
        <v/>
      </c>
      <c r="D52" s="251" t="str">
        <f>IF(BuffsDebuffs!$M48=1,BuffsDebuffs!J$2,"")</f>
        <v/>
      </c>
      <c r="E52" s="251" t="str">
        <f>IF(BuffsDebuffs!$M48=1,BuffsDebuffs!K$2,"")</f>
        <v/>
      </c>
      <c r="F52" s="251" t="str">
        <f>IF(BuffsDebuffs!$M48=1,BuffsDebuffs!L$2,"")</f>
        <v/>
      </c>
      <c r="G52" s="387" t="str">
        <f>IF($A52=Input!$A$3,B52,"")</f>
        <v/>
      </c>
      <c r="H52" s="323" t="str">
        <f>IF($A52=Input!$A$3,C52,"")</f>
        <v/>
      </c>
      <c r="I52" s="323" t="str">
        <f>IF($A52=Input!$A$3,D52,"")</f>
        <v/>
      </c>
      <c r="J52" s="323" t="str">
        <f>IF($A52=Input!$A$3,E52,"")</f>
        <v/>
      </c>
      <c r="K52" s="386" t="str">
        <f>IF($A52=Input!$A$3,F52,"")</f>
        <v/>
      </c>
      <c r="L52" s="387"/>
      <c r="M52" s="323"/>
      <c r="N52" s="323"/>
      <c r="O52" s="323"/>
      <c r="P52" s="323"/>
      <c r="Q52" s="387" t="str">
        <f>IF($A52=Input!$A$4,$B52,"")</f>
        <v/>
      </c>
      <c r="R52" s="323" t="str">
        <f>IF($A52=Input!$A$4,$C52,"")</f>
        <v/>
      </c>
      <c r="S52" s="323" t="str">
        <f>IF($A52=Input!$A$4,$D52,"")</f>
        <v/>
      </c>
      <c r="T52" s="323" t="str">
        <f>IF($A52=Input!$A$4,$E52,"")</f>
        <v/>
      </c>
      <c r="U52" s="386" t="str">
        <f>IF($A52=Input!$A$4,$F52,"")</f>
        <v/>
      </c>
      <c r="V52" s="323"/>
      <c r="W52" s="323"/>
      <c r="X52" s="323"/>
      <c r="Y52" s="323"/>
      <c r="Z52" s="323"/>
      <c r="AA52" s="387" t="str">
        <f>IF($A52=Input!$A$5,$B52,"")</f>
        <v/>
      </c>
      <c r="AB52" s="323" t="str">
        <f>IF($A52=Input!$A$5,$C52,"")</f>
        <v/>
      </c>
      <c r="AC52" s="323" t="str">
        <f>IF($A52=Input!$A$5,$D52,"")</f>
        <v/>
      </c>
      <c r="AD52" s="323" t="str">
        <f>IF($A52=Input!$A$5,$E52,"")</f>
        <v/>
      </c>
      <c r="AE52" s="386" t="str">
        <f>IF($A52=Input!$A$5,$F52,"")</f>
        <v/>
      </c>
      <c r="AF52" s="323"/>
      <c r="AG52" s="323"/>
      <c r="AH52" s="323"/>
      <c r="AI52" s="323"/>
      <c r="AJ52" s="323"/>
    </row>
    <row r="53" spans="1:36" x14ac:dyDescent="0.2">
      <c r="A53" s="250" t="str">
        <f>IF(BuffsDebuffs!$M49=1,BuffsDebuffs!G$2,"")</f>
        <v/>
      </c>
      <c r="B53" s="251" t="str">
        <f>IF(BuffsDebuffs!$M49=1,BuffsDebuffs!H$2,"")</f>
        <v/>
      </c>
      <c r="C53" s="251" t="str">
        <f>IF(BuffsDebuffs!$M49=1,BuffsDebuffs!I$2,"")</f>
        <v/>
      </c>
      <c r="D53" s="251" t="str">
        <f>IF(BuffsDebuffs!$M49=1,BuffsDebuffs!J$2,"")</f>
        <v/>
      </c>
      <c r="E53" s="251" t="str">
        <f>IF(BuffsDebuffs!$M49=1,BuffsDebuffs!K$2,"")</f>
        <v/>
      </c>
      <c r="F53" s="251" t="str">
        <f>IF(BuffsDebuffs!$M49=1,BuffsDebuffs!L$2,"")</f>
        <v/>
      </c>
      <c r="G53" s="387" t="str">
        <f>IF($A53=Input!$A$3,B53,"")</f>
        <v/>
      </c>
      <c r="H53" s="323" t="str">
        <f>IF($A53=Input!$A$3,C53,"")</f>
        <v/>
      </c>
      <c r="I53" s="323" t="str">
        <f>IF($A53=Input!$A$3,D53,"")</f>
        <v/>
      </c>
      <c r="J53" s="323" t="str">
        <f>IF($A53=Input!$A$3,E53,"")</f>
        <v/>
      </c>
      <c r="K53" s="386" t="str">
        <f>IF($A53=Input!$A$3,F53,"")</f>
        <v/>
      </c>
      <c r="L53" s="387"/>
      <c r="M53" s="323"/>
      <c r="N53" s="323"/>
      <c r="O53" s="323"/>
      <c r="P53" s="323"/>
      <c r="Q53" s="387" t="str">
        <f>IF($A53=Input!$A$4,$B53,"")</f>
        <v/>
      </c>
      <c r="R53" s="323" t="str">
        <f>IF($A53=Input!$A$4,$C53,"")</f>
        <v/>
      </c>
      <c r="S53" s="323" t="str">
        <f>IF($A53=Input!$A$4,$D53,"")</f>
        <v/>
      </c>
      <c r="T53" s="323" t="str">
        <f>IF($A53=Input!$A$4,$E53,"")</f>
        <v/>
      </c>
      <c r="U53" s="386" t="str">
        <f>IF($A53=Input!$A$4,$F53,"")</f>
        <v/>
      </c>
      <c r="V53" s="323"/>
      <c r="W53" s="323"/>
      <c r="X53" s="323"/>
      <c r="Y53" s="323"/>
      <c r="Z53" s="323"/>
      <c r="AA53" s="387" t="str">
        <f>IF($A53=Input!$A$5,$B53,"")</f>
        <v/>
      </c>
      <c r="AB53" s="323" t="str">
        <f>IF($A53=Input!$A$5,$C53,"")</f>
        <v/>
      </c>
      <c r="AC53" s="323" t="str">
        <f>IF($A53=Input!$A$5,$D53,"")</f>
        <v/>
      </c>
      <c r="AD53" s="323" t="str">
        <f>IF($A53=Input!$A$5,$E53,"")</f>
        <v/>
      </c>
      <c r="AE53" s="386" t="str">
        <f>IF($A53=Input!$A$5,$F53,"")</f>
        <v/>
      </c>
      <c r="AF53" s="323"/>
      <c r="AG53" s="323"/>
      <c r="AH53" s="323"/>
      <c r="AI53" s="323"/>
      <c r="AJ53" s="323"/>
    </row>
    <row r="54" spans="1:36" x14ac:dyDescent="0.2">
      <c r="A54" s="250" t="str">
        <f>IF(BuffsDebuffs!$M50=1,BuffsDebuffs!G$2,"")</f>
        <v/>
      </c>
      <c r="B54" s="251" t="str">
        <f>IF(BuffsDebuffs!$M50=1,BuffsDebuffs!H$2,"")</f>
        <v/>
      </c>
      <c r="C54" s="251" t="str">
        <f>IF(BuffsDebuffs!$M50=1,BuffsDebuffs!I$2,"")</f>
        <v/>
      </c>
      <c r="D54" s="251" t="str">
        <f>IF(BuffsDebuffs!$M50=1,BuffsDebuffs!J$2,"")</f>
        <v/>
      </c>
      <c r="E54" s="251" t="str">
        <f>IF(BuffsDebuffs!$M50=1,BuffsDebuffs!K$2,"")</f>
        <v/>
      </c>
      <c r="F54" s="251" t="str">
        <f>IF(BuffsDebuffs!$M50=1,BuffsDebuffs!L$2,"")</f>
        <v/>
      </c>
      <c r="G54" s="387" t="str">
        <f>IF($A54=Input!$A$3,B54,"")</f>
        <v/>
      </c>
      <c r="H54" s="323" t="str">
        <f>IF($A54=Input!$A$3,C54,"")</f>
        <v/>
      </c>
      <c r="I54" s="323" t="str">
        <f>IF($A54=Input!$A$3,D54,"")</f>
        <v/>
      </c>
      <c r="J54" s="323" t="str">
        <f>IF($A54=Input!$A$3,E54,"")</f>
        <v/>
      </c>
      <c r="K54" s="386" t="str">
        <f>IF($A54=Input!$A$3,F54,"")</f>
        <v/>
      </c>
      <c r="L54" s="387"/>
      <c r="M54" s="323"/>
      <c r="N54" s="323"/>
      <c r="O54" s="323"/>
      <c r="P54" s="323"/>
      <c r="Q54" s="387" t="str">
        <f>IF($A54=Input!$A$4,$B54,"")</f>
        <v/>
      </c>
      <c r="R54" s="323" t="str">
        <f>IF($A54=Input!$A$4,$C54,"")</f>
        <v/>
      </c>
      <c r="S54" s="323" t="str">
        <f>IF($A54=Input!$A$4,$D54,"")</f>
        <v/>
      </c>
      <c r="T54" s="323" t="str">
        <f>IF($A54=Input!$A$4,$E54,"")</f>
        <v/>
      </c>
      <c r="U54" s="386" t="str">
        <f>IF($A54=Input!$A$4,$F54,"")</f>
        <v/>
      </c>
      <c r="V54" s="323"/>
      <c r="W54" s="323"/>
      <c r="X54" s="323"/>
      <c r="Y54" s="323"/>
      <c r="Z54" s="323"/>
      <c r="AA54" s="387" t="str">
        <f>IF($A54=Input!$A$5,$B54,"")</f>
        <v/>
      </c>
      <c r="AB54" s="323" t="str">
        <f>IF($A54=Input!$A$5,$C54,"")</f>
        <v/>
      </c>
      <c r="AC54" s="323" t="str">
        <f>IF($A54=Input!$A$5,$D54,"")</f>
        <v/>
      </c>
      <c r="AD54" s="323" t="str">
        <f>IF($A54=Input!$A$5,$E54,"")</f>
        <v/>
      </c>
      <c r="AE54" s="386" t="str">
        <f>IF($A54=Input!$A$5,$F54,"")</f>
        <v/>
      </c>
      <c r="AF54" s="323"/>
      <c r="AG54" s="323"/>
      <c r="AH54" s="323"/>
      <c r="AI54" s="323"/>
      <c r="AJ54" s="323"/>
    </row>
    <row r="55" spans="1:36" x14ac:dyDescent="0.2">
      <c r="A55" s="250" t="str">
        <f>IF(BuffsDebuffs!$M51=1,BuffsDebuffs!G$2,"")</f>
        <v/>
      </c>
      <c r="B55" s="251" t="str">
        <f>IF(BuffsDebuffs!$M51=1,BuffsDebuffs!H$2,"")</f>
        <v/>
      </c>
      <c r="C55" s="251" t="str">
        <f>IF(BuffsDebuffs!$M51=1,BuffsDebuffs!I$2,"")</f>
        <v/>
      </c>
      <c r="D55" s="251" t="str">
        <f>IF(BuffsDebuffs!$M51=1,BuffsDebuffs!J$2,"")</f>
        <v/>
      </c>
      <c r="E55" s="251" t="str">
        <f>IF(BuffsDebuffs!$M51=1,BuffsDebuffs!K$2,"")</f>
        <v/>
      </c>
      <c r="F55" s="251" t="str">
        <f>IF(BuffsDebuffs!$M51=1,BuffsDebuffs!L$2,"")</f>
        <v/>
      </c>
      <c r="G55" s="387" t="str">
        <f>IF($A55=Input!$A$3,B55,"")</f>
        <v/>
      </c>
      <c r="H55" s="323" t="str">
        <f>IF($A55=Input!$A$3,C55,"")</f>
        <v/>
      </c>
      <c r="I55" s="323" t="str">
        <f>IF($A55=Input!$A$3,D55,"")</f>
        <v/>
      </c>
      <c r="J55" s="323" t="str">
        <f>IF($A55=Input!$A$3,E55,"")</f>
        <v/>
      </c>
      <c r="K55" s="386" t="str">
        <f>IF($A55=Input!$A$3,F55,"")</f>
        <v/>
      </c>
      <c r="L55" s="387"/>
      <c r="M55" s="323"/>
      <c r="N55" s="323"/>
      <c r="O55" s="323"/>
      <c r="P55" s="323"/>
      <c r="Q55" s="387" t="str">
        <f>IF($A55=Input!$A$4,$B55,"")</f>
        <v/>
      </c>
      <c r="R55" s="323" t="str">
        <f>IF($A55=Input!$A$4,$C55,"")</f>
        <v/>
      </c>
      <c r="S55" s="323" t="str">
        <f>IF($A55=Input!$A$4,$D55,"")</f>
        <v/>
      </c>
      <c r="T55" s="323" t="str">
        <f>IF($A55=Input!$A$4,$E55,"")</f>
        <v/>
      </c>
      <c r="U55" s="386" t="str">
        <f>IF($A55=Input!$A$4,$F55,"")</f>
        <v/>
      </c>
      <c r="V55" s="323"/>
      <c r="W55" s="323"/>
      <c r="X55" s="323"/>
      <c r="Y55" s="323"/>
      <c r="Z55" s="323"/>
      <c r="AA55" s="387" t="str">
        <f>IF($A55=Input!$A$5,$B55,"")</f>
        <v/>
      </c>
      <c r="AB55" s="323" t="str">
        <f>IF($A55=Input!$A$5,$C55,"")</f>
        <v/>
      </c>
      <c r="AC55" s="323" t="str">
        <f>IF($A55=Input!$A$5,$D55,"")</f>
        <v/>
      </c>
      <c r="AD55" s="323" t="str">
        <f>IF($A55=Input!$A$5,$E55,"")</f>
        <v/>
      </c>
      <c r="AE55" s="386" t="str">
        <f>IF($A55=Input!$A$5,$F55,"")</f>
        <v/>
      </c>
      <c r="AF55" s="323"/>
      <c r="AG55" s="323"/>
      <c r="AH55" s="323"/>
      <c r="AI55" s="323"/>
      <c r="AJ55" s="323"/>
    </row>
    <row r="56" spans="1:36" x14ac:dyDescent="0.2">
      <c r="A56" s="250" t="str">
        <f>IF(BuffsDebuffs!$M52=1,BuffsDebuffs!G$2,"")</f>
        <v/>
      </c>
      <c r="B56" s="251" t="str">
        <f>IF(BuffsDebuffs!$M52=1,BuffsDebuffs!H$2,"")</f>
        <v/>
      </c>
      <c r="C56" s="251" t="str">
        <f>IF(BuffsDebuffs!$M52=1,BuffsDebuffs!I$2,"")</f>
        <v/>
      </c>
      <c r="D56" s="251" t="str">
        <f>IF(BuffsDebuffs!$M52=1,BuffsDebuffs!J$2,"")</f>
        <v/>
      </c>
      <c r="E56" s="251" t="str">
        <f>IF(BuffsDebuffs!$M52=1,BuffsDebuffs!K$2,"")</f>
        <v/>
      </c>
      <c r="F56" s="251" t="str">
        <f>IF(BuffsDebuffs!$M52=1,BuffsDebuffs!L$2,"")</f>
        <v/>
      </c>
      <c r="G56" s="387" t="str">
        <f>IF($A56=Input!$A$3,B56,"")</f>
        <v/>
      </c>
      <c r="H56" s="323" t="str">
        <f>IF($A56=Input!$A$3,C56,"")</f>
        <v/>
      </c>
      <c r="I56" s="323" t="str">
        <f>IF($A56=Input!$A$3,D56,"")</f>
        <v/>
      </c>
      <c r="J56" s="323" t="str">
        <f>IF($A56=Input!$A$3,E56,"")</f>
        <v/>
      </c>
      <c r="K56" s="386" t="str">
        <f>IF($A56=Input!$A$3,F56,"")</f>
        <v/>
      </c>
      <c r="L56" s="387"/>
      <c r="M56" s="323"/>
      <c r="N56" s="323"/>
      <c r="O56" s="323"/>
      <c r="P56" s="323"/>
      <c r="Q56" s="387" t="str">
        <f>IF($A56=Input!$A$4,$B56,"")</f>
        <v/>
      </c>
      <c r="R56" s="323" t="str">
        <f>IF($A56=Input!$A$4,$C56,"")</f>
        <v/>
      </c>
      <c r="S56" s="323" t="str">
        <f>IF($A56=Input!$A$4,$D56,"")</f>
        <v/>
      </c>
      <c r="T56" s="323" t="str">
        <f>IF($A56=Input!$A$4,$E56,"")</f>
        <v/>
      </c>
      <c r="U56" s="386" t="str">
        <f>IF($A56=Input!$A$4,$F56,"")</f>
        <v/>
      </c>
      <c r="V56" s="323"/>
      <c r="W56" s="323"/>
      <c r="X56" s="323"/>
      <c r="Y56" s="323"/>
      <c r="Z56" s="323"/>
      <c r="AA56" s="387" t="str">
        <f>IF($A56=Input!$A$5,$B56,"")</f>
        <v/>
      </c>
      <c r="AB56" s="323" t="str">
        <f>IF($A56=Input!$A$5,$C56,"")</f>
        <v/>
      </c>
      <c r="AC56" s="323" t="str">
        <f>IF($A56=Input!$A$5,$D56,"")</f>
        <v/>
      </c>
      <c r="AD56" s="323" t="str">
        <f>IF($A56=Input!$A$5,$E56,"")</f>
        <v/>
      </c>
      <c r="AE56" s="386" t="str">
        <f>IF($A56=Input!$A$5,$F56,"")</f>
        <v/>
      </c>
      <c r="AF56" s="323"/>
      <c r="AG56" s="323"/>
      <c r="AH56" s="323"/>
      <c r="AI56" s="323"/>
      <c r="AJ56" s="323"/>
    </row>
    <row r="57" spans="1:36" x14ac:dyDescent="0.2">
      <c r="A57" s="250" t="str">
        <f>IF(BuffsDebuffs!$M53=1,BuffsDebuffs!G$2,"")</f>
        <v/>
      </c>
      <c r="B57" s="251" t="str">
        <f>IF(BuffsDebuffs!$M53=1,BuffsDebuffs!H$2,"")</f>
        <v/>
      </c>
      <c r="C57" s="251" t="str">
        <f>IF(BuffsDebuffs!$M53=1,BuffsDebuffs!I$2,"")</f>
        <v/>
      </c>
      <c r="D57" s="251" t="str">
        <f>IF(BuffsDebuffs!$M53=1,BuffsDebuffs!J$2,"")</f>
        <v/>
      </c>
      <c r="E57" s="251" t="str">
        <f>IF(BuffsDebuffs!$M53=1,BuffsDebuffs!K$2,"")</f>
        <v/>
      </c>
      <c r="F57" s="251" t="str">
        <f>IF(BuffsDebuffs!$M53=1,BuffsDebuffs!L$2,"")</f>
        <v/>
      </c>
      <c r="G57" s="387" t="str">
        <f>IF($A57=Input!$A$3,B57,"")</f>
        <v/>
      </c>
      <c r="H57" s="323" t="str">
        <f>IF($A57=Input!$A$3,C57,"")</f>
        <v/>
      </c>
      <c r="I57" s="323" t="str">
        <f>IF($A57=Input!$A$3,D57,"")</f>
        <v/>
      </c>
      <c r="J57" s="323" t="str">
        <f>IF($A57=Input!$A$3,E57,"")</f>
        <v/>
      </c>
      <c r="K57" s="386" t="str">
        <f>IF($A57=Input!$A$3,F57,"")</f>
        <v/>
      </c>
      <c r="L57" s="387"/>
      <c r="M57" s="323"/>
      <c r="N57" s="323"/>
      <c r="O57" s="323"/>
      <c r="P57" s="323"/>
      <c r="Q57" s="387" t="str">
        <f>IF($A57=Input!$A$4,$B57,"")</f>
        <v/>
      </c>
      <c r="R57" s="323" t="str">
        <f>IF($A57=Input!$A$4,$C57,"")</f>
        <v/>
      </c>
      <c r="S57" s="323" t="str">
        <f>IF($A57=Input!$A$4,$D57,"")</f>
        <v/>
      </c>
      <c r="T57" s="323" t="str">
        <f>IF($A57=Input!$A$4,$E57,"")</f>
        <v/>
      </c>
      <c r="U57" s="386" t="str">
        <f>IF($A57=Input!$A$4,$F57,"")</f>
        <v/>
      </c>
      <c r="V57" s="323"/>
      <c r="W57" s="323"/>
      <c r="X57" s="323"/>
      <c r="Y57" s="323"/>
      <c r="Z57" s="323"/>
      <c r="AA57" s="387" t="str">
        <f>IF($A57=Input!$A$5,$B57,"")</f>
        <v/>
      </c>
      <c r="AB57" s="323" t="str">
        <f>IF($A57=Input!$A$5,$C57,"")</f>
        <v/>
      </c>
      <c r="AC57" s="323" t="str">
        <f>IF($A57=Input!$A$5,$D57,"")</f>
        <v/>
      </c>
      <c r="AD57" s="323" t="str">
        <f>IF($A57=Input!$A$5,$E57,"")</f>
        <v/>
      </c>
      <c r="AE57" s="386" t="str">
        <f>IF($A57=Input!$A$5,$F57,"")</f>
        <v/>
      </c>
      <c r="AF57" s="323"/>
      <c r="AG57" s="323"/>
      <c r="AH57" s="323"/>
      <c r="AI57" s="323"/>
      <c r="AJ57" s="323"/>
    </row>
    <row r="58" spans="1:36" x14ac:dyDescent="0.2">
      <c r="A58" s="250" t="str">
        <f>IF(BuffsDebuffs!$M54=1,BuffsDebuffs!G$2,"")</f>
        <v/>
      </c>
      <c r="B58" s="251" t="str">
        <f>IF(BuffsDebuffs!$M54=1,BuffsDebuffs!H$2,"")</f>
        <v/>
      </c>
      <c r="C58" s="251" t="str">
        <f>IF(BuffsDebuffs!$M54=1,BuffsDebuffs!I$2,"")</f>
        <v/>
      </c>
      <c r="D58" s="251" t="str">
        <f>IF(BuffsDebuffs!$M54=1,BuffsDebuffs!J$2,"")</f>
        <v/>
      </c>
      <c r="E58" s="251" t="str">
        <f>IF(BuffsDebuffs!$M54=1,BuffsDebuffs!K$2,"")</f>
        <v/>
      </c>
      <c r="F58" s="251" t="str">
        <f>IF(BuffsDebuffs!$M54=1,BuffsDebuffs!L$2,"")</f>
        <v/>
      </c>
      <c r="G58" s="387" t="str">
        <f>IF($A58=Input!$A$3,B58,"")</f>
        <v/>
      </c>
      <c r="H58" s="323" t="str">
        <f>IF($A58=Input!$A$3,C58,"")</f>
        <v/>
      </c>
      <c r="I58" s="323" t="str">
        <f>IF($A58=Input!$A$3,D58,"")</f>
        <v/>
      </c>
      <c r="J58" s="323" t="str">
        <f>IF($A58=Input!$A$3,E58,"")</f>
        <v/>
      </c>
      <c r="K58" s="386" t="str">
        <f>IF($A58=Input!$A$3,F58,"")</f>
        <v/>
      </c>
      <c r="L58" s="387"/>
      <c r="M58" s="323"/>
      <c r="N58" s="323"/>
      <c r="O58" s="323"/>
      <c r="P58" s="323"/>
      <c r="Q58" s="387" t="str">
        <f>IF($A58=Input!$A$4,$B58,"")</f>
        <v/>
      </c>
      <c r="R58" s="323" t="str">
        <f>IF($A58=Input!$A$4,$C58,"")</f>
        <v/>
      </c>
      <c r="S58" s="323" t="str">
        <f>IF($A58=Input!$A$4,$D58,"")</f>
        <v/>
      </c>
      <c r="T58" s="323" t="str">
        <f>IF($A58=Input!$A$4,$E58,"")</f>
        <v/>
      </c>
      <c r="U58" s="386" t="str">
        <f>IF($A58=Input!$A$4,$F58,"")</f>
        <v/>
      </c>
      <c r="V58" s="323"/>
      <c r="W58" s="323"/>
      <c r="X58" s="323"/>
      <c r="Y58" s="323"/>
      <c r="Z58" s="323"/>
      <c r="AA58" s="387" t="str">
        <f>IF($A58=Input!$A$5,$B58,"")</f>
        <v/>
      </c>
      <c r="AB58" s="323" t="str">
        <f>IF($A58=Input!$A$5,$C58,"")</f>
        <v/>
      </c>
      <c r="AC58" s="323" t="str">
        <f>IF($A58=Input!$A$5,$D58,"")</f>
        <v/>
      </c>
      <c r="AD58" s="323" t="str">
        <f>IF($A58=Input!$A$5,$E58,"")</f>
        <v/>
      </c>
      <c r="AE58" s="386" t="str">
        <f>IF($A58=Input!$A$5,$F58,"")</f>
        <v/>
      </c>
      <c r="AF58" s="323"/>
      <c r="AG58" s="323"/>
      <c r="AH58" s="323"/>
      <c r="AI58" s="323"/>
      <c r="AJ58" s="323"/>
    </row>
    <row r="59" spans="1:36" x14ac:dyDescent="0.2">
      <c r="A59" s="250" t="str">
        <f>IF(BuffsDebuffs!$M55=1,BuffsDebuffs!G$2,"")</f>
        <v/>
      </c>
      <c r="B59" s="251" t="str">
        <f>IF(BuffsDebuffs!$M55=1,BuffsDebuffs!H$2,"")</f>
        <v/>
      </c>
      <c r="C59" s="251" t="str">
        <f>IF(BuffsDebuffs!$M55=1,BuffsDebuffs!I$2,"")</f>
        <v/>
      </c>
      <c r="D59" s="251" t="str">
        <f>IF(BuffsDebuffs!$M55=1,BuffsDebuffs!J$2,"")</f>
        <v/>
      </c>
      <c r="E59" s="251" t="str">
        <f>IF(BuffsDebuffs!$M55=1,BuffsDebuffs!K$2,"")</f>
        <v/>
      </c>
      <c r="F59" s="251" t="str">
        <f>IF(BuffsDebuffs!$M55=1,BuffsDebuffs!L$2,"")</f>
        <v/>
      </c>
      <c r="G59" s="387" t="str">
        <f>IF($A59=Input!$A$3,B59,"")</f>
        <v/>
      </c>
      <c r="H59" s="323" t="str">
        <f>IF($A59=Input!$A$3,C59,"")</f>
        <v/>
      </c>
      <c r="I59" s="323" t="str">
        <f>IF($A59=Input!$A$3,D59,"")</f>
        <v/>
      </c>
      <c r="J59" s="323" t="str">
        <f>IF($A59=Input!$A$3,E59,"")</f>
        <v/>
      </c>
      <c r="K59" s="386" t="str">
        <f>IF($A59=Input!$A$3,F59,"")</f>
        <v/>
      </c>
      <c r="L59" s="387"/>
      <c r="M59" s="323"/>
      <c r="N59" s="323"/>
      <c r="O59" s="323"/>
      <c r="P59" s="323"/>
      <c r="Q59" s="387" t="str">
        <f>IF($A59=Input!$A$4,$B59,"")</f>
        <v/>
      </c>
      <c r="R59" s="323" t="str">
        <f>IF($A59=Input!$A$4,$C59,"")</f>
        <v/>
      </c>
      <c r="S59" s="323" t="str">
        <f>IF($A59=Input!$A$4,$D59,"")</f>
        <v/>
      </c>
      <c r="T59" s="323" t="str">
        <f>IF($A59=Input!$A$4,$E59,"")</f>
        <v/>
      </c>
      <c r="U59" s="386" t="str">
        <f>IF($A59=Input!$A$4,$F59,"")</f>
        <v/>
      </c>
      <c r="V59" s="323"/>
      <c r="W59" s="323"/>
      <c r="X59" s="323"/>
      <c r="Y59" s="323"/>
      <c r="Z59" s="323"/>
      <c r="AA59" s="387" t="str">
        <f>IF($A59=Input!$A$5,$B59,"")</f>
        <v/>
      </c>
      <c r="AB59" s="323" t="str">
        <f>IF($A59=Input!$A$5,$C59,"")</f>
        <v/>
      </c>
      <c r="AC59" s="323" t="str">
        <f>IF($A59=Input!$A$5,$D59,"")</f>
        <v/>
      </c>
      <c r="AD59" s="323" t="str">
        <f>IF($A59=Input!$A$5,$E59,"")</f>
        <v/>
      </c>
      <c r="AE59" s="386" t="str">
        <f>IF($A59=Input!$A$5,$F59,"")</f>
        <v/>
      </c>
      <c r="AF59" s="323"/>
      <c r="AG59" s="323"/>
      <c r="AH59" s="323"/>
      <c r="AI59" s="323"/>
      <c r="AJ59" s="323"/>
    </row>
    <row r="60" spans="1:36" x14ac:dyDescent="0.2">
      <c r="A60" s="250" t="str">
        <f>IF(BuffsDebuffs!$M56=1,BuffsDebuffs!G$2,"")</f>
        <v/>
      </c>
      <c r="B60" s="251" t="str">
        <f>IF(BuffsDebuffs!$M56=1,BuffsDebuffs!H$2,"")</f>
        <v/>
      </c>
      <c r="C60" s="251" t="str">
        <f>IF(BuffsDebuffs!$M56=1,BuffsDebuffs!I$2,"")</f>
        <v/>
      </c>
      <c r="D60" s="251" t="str">
        <f>IF(BuffsDebuffs!$M56=1,BuffsDebuffs!J$2,"")</f>
        <v/>
      </c>
      <c r="E60" s="251" t="str">
        <f>IF(BuffsDebuffs!$M56=1,BuffsDebuffs!K$2,"")</f>
        <v/>
      </c>
      <c r="F60" s="251" t="str">
        <f>IF(BuffsDebuffs!$M56=1,BuffsDebuffs!L$2,"")</f>
        <v/>
      </c>
      <c r="G60" s="387" t="str">
        <f>IF($A60=Input!$A$3,B60,"")</f>
        <v/>
      </c>
      <c r="H60" s="323" t="str">
        <f>IF($A60=Input!$A$3,C60,"")</f>
        <v/>
      </c>
      <c r="I60" s="323" t="str">
        <f>IF($A60=Input!$A$3,D60,"")</f>
        <v/>
      </c>
      <c r="J60" s="323" t="str">
        <f>IF($A60=Input!$A$3,E60,"")</f>
        <v/>
      </c>
      <c r="K60" s="386" t="str">
        <f>IF($A60=Input!$A$3,F60,"")</f>
        <v/>
      </c>
      <c r="L60" s="387"/>
      <c r="M60" s="323"/>
      <c r="N60" s="323"/>
      <c r="O60" s="323"/>
      <c r="P60" s="323"/>
      <c r="Q60" s="387" t="str">
        <f>IF($A60=Input!$A$4,$B60,"")</f>
        <v/>
      </c>
      <c r="R60" s="323" t="str">
        <f>IF($A60=Input!$A$4,$C60,"")</f>
        <v/>
      </c>
      <c r="S60" s="323" t="str">
        <f>IF($A60=Input!$A$4,$D60,"")</f>
        <v/>
      </c>
      <c r="T60" s="323" t="str">
        <f>IF($A60=Input!$A$4,$E60,"")</f>
        <v/>
      </c>
      <c r="U60" s="386" t="str">
        <f>IF($A60=Input!$A$4,$F60,"")</f>
        <v/>
      </c>
      <c r="V60" s="323"/>
      <c r="W60" s="323"/>
      <c r="X60" s="323"/>
      <c r="Y60" s="323"/>
      <c r="Z60" s="323"/>
      <c r="AA60" s="387" t="str">
        <f>IF($A60=Input!$A$5,$B60,"")</f>
        <v/>
      </c>
      <c r="AB60" s="323" t="str">
        <f>IF($A60=Input!$A$5,$C60,"")</f>
        <v/>
      </c>
      <c r="AC60" s="323" t="str">
        <f>IF($A60=Input!$A$5,$D60,"")</f>
        <v/>
      </c>
      <c r="AD60" s="323" t="str">
        <f>IF($A60=Input!$A$5,$E60,"")</f>
        <v/>
      </c>
      <c r="AE60" s="386" t="str">
        <f>IF($A60=Input!$A$5,$F60,"")</f>
        <v/>
      </c>
      <c r="AF60" s="323"/>
      <c r="AG60" s="323"/>
      <c r="AH60" s="323"/>
      <c r="AI60" s="323"/>
      <c r="AJ60" s="323"/>
    </row>
    <row r="61" spans="1:36" x14ac:dyDescent="0.2">
      <c r="A61" s="250" t="str">
        <f>IF(BuffsDebuffs!$M57=1,BuffsDebuffs!G$2,"")</f>
        <v/>
      </c>
      <c r="B61" s="251" t="str">
        <f>IF(BuffsDebuffs!$M57=1,BuffsDebuffs!H$2,"")</f>
        <v/>
      </c>
      <c r="C61" s="251" t="str">
        <f>IF(BuffsDebuffs!$M57=1,BuffsDebuffs!I$2,"")</f>
        <v/>
      </c>
      <c r="D61" s="251" t="str">
        <f>IF(BuffsDebuffs!$M57=1,BuffsDebuffs!J$2,"")</f>
        <v/>
      </c>
      <c r="E61" s="251" t="str">
        <f>IF(BuffsDebuffs!$M57=1,BuffsDebuffs!K$2,"")</f>
        <v/>
      </c>
      <c r="F61" s="251" t="str">
        <f>IF(BuffsDebuffs!$M57=1,BuffsDebuffs!L$2,"")</f>
        <v/>
      </c>
      <c r="G61" s="387" t="str">
        <f>IF($A61=Input!$A$3,B61,"")</f>
        <v/>
      </c>
      <c r="H61" s="323" t="str">
        <f>IF($A61=Input!$A$3,C61,"")</f>
        <v/>
      </c>
      <c r="I61" s="323" t="str">
        <f>IF($A61=Input!$A$3,D61,"")</f>
        <v/>
      </c>
      <c r="J61" s="323" t="str">
        <f>IF($A61=Input!$A$3,E61,"")</f>
        <v/>
      </c>
      <c r="K61" s="386" t="str">
        <f>IF($A61=Input!$A$3,F61,"")</f>
        <v/>
      </c>
      <c r="L61" s="387"/>
      <c r="M61" s="323"/>
      <c r="N61" s="323"/>
      <c r="O61" s="323"/>
      <c r="P61" s="323"/>
      <c r="Q61" s="387" t="str">
        <f>IF($A61=Input!$A$4,$B61,"")</f>
        <v/>
      </c>
      <c r="R61" s="323" t="str">
        <f>IF($A61=Input!$A$4,$C61,"")</f>
        <v/>
      </c>
      <c r="S61" s="323" t="str">
        <f>IF($A61=Input!$A$4,$D61,"")</f>
        <v/>
      </c>
      <c r="T61" s="323" t="str">
        <f>IF($A61=Input!$A$4,$E61,"")</f>
        <v/>
      </c>
      <c r="U61" s="386" t="str">
        <f>IF($A61=Input!$A$4,$F61,"")</f>
        <v/>
      </c>
      <c r="V61" s="323"/>
      <c r="W61" s="323"/>
      <c r="X61" s="323"/>
      <c r="Y61" s="323"/>
      <c r="Z61" s="323"/>
      <c r="AA61" s="387" t="str">
        <f>IF($A61=Input!$A$5,$B61,"")</f>
        <v/>
      </c>
      <c r="AB61" s="323" t="str">
        <f>IF($A61=Input!$A$5,$C61,"")</f>
        <v/>
      </c>
      <c r="AC61" s="323" t="str">
        <f>IF($A61=Input!$A$5,$D61,"")</f>
        <v/>
      </c>
      <c r="AD61" s="323" t="str">
        <f>IF($A61=Input!$A$5,$E61,"")</f>
        <v/>
      </c>
      <c r="AE61" s="386" t="str">
        <f>IF($A61=Input!$A$5,$F61,"")</f>
        <v/>
      </c>
      <c r="AF61" s="323"/>
      <c r="AG61" s="323"/>
      <c r="AH61" s="323"/>
      <c r="AI61" s="323"/>
      <c r="AJ61" s="323"/>
    </row>
    <row r="62" spans="1:36" x14ac:dyDescent="0.2">
      <c r="A62" s="250" t="str">
        <f>IF(BuffsDebuffs!$M58=1,BuffsDebuffs!G$2,"")</f>
        <v/>
      </c>
      <c r="B62" s="251" t="str">
        <f>IF(BuffsDebuffs!$M58=1,BuffsDebuffs!H$2,"")</f>
        <v/>
      </c>
      <c r="C62" s="251" t="str">
        <f>IF(BuffsDebuffs!$M58=1,BuffsDebuffs!I$2,"")</f>
        <v/>
      </c>
      <c r="D62" s="251" t="str">
        <f>IF(BuffsDebuffs!$M58=1,BuffsDebuffs!J$2,"")</f>
        <v/>
      </c>
      <c r="E62" s="251" t="str">
        <f>IF(BuffsDebuffs!$M58=1,BuffsDebuffs!K$2,"")</f>
        <v/>
      </c>
      <c r="F62" s="251" t="str">
        <f>IF(BuffsDebuffs!$M58=1,BuffsDebuffs!L$2,"")</f>
        <v/>
      </c>
      <c r="G62" s="387" t="str">
        <f>IF($A62=Input!$A$3,B62,"")</f>
        <v/>
      </c>
      <c r="H62" s="323" t="str">
        <f>IF($A62=Input!$A$3,C62,"")</f>
        <v/>
      </c>
      <c r="I62" s="323" t="str">
        <f>IF($A62=Input!$A$3,D62,"")</f>
        <v/>
      </c>
      <c r="J62" s="323" t="str">
        <f>IF($A62=Input!$A$3,E62,"")</f>
        <v/>
      </c>
      <c r="K62" s="386" t="str">
        <f>IF($A62=Input!$A$3,F62,"")</f>
        <v/>
      </c>
      <c r="L62" s="387"/>
      <c r="M62" s="323"/>
      <c r="N62" s="323"/>
      <c r="O62" s="323"/>
      <c r="P62" s="323"/>
      <c r="Q62" s="387" t="str">
        <f>IF($A62=Input!$A$4,$B62,"")</f>
        <v/>
      </c>
      <c r="R62" s="323" t="str">
        <f>IF($A62=Input!$A$4,$C62,"")</f>
        <v/>
      </c>
      <c r="S62" s="323" t="str">
        <f>IF($A62=Input!$A$4,$D62,"")</f>
        <v/>
      </c>
      <c r="T62" s="323" t="str">
        <f>IF($A62=Input!$A$4,$E62,"")</f>
        <v/>
      </c>
      <c r="U62" s="386" t="str">
        <f>IF($A62=Input!$A$4,$F62,"")</f>
        <v/>
      </c>
      <c r="V62" s="323"/>
      <c r="W62" s="323"/>
      <c r="X62" s="323"/>
      <c r="Y62" s="323"/>
      <c r="Z62" s="323"/>
      <c r="AA62" s="387" t="str">
        <f>IF($A62=Input!$A$5,$B62,"")</f>
        <v/>
      </c>
      <c r="AB62" s="323" t="str">
        <f>IF($A62=Input!$A$5,$C62,"")</f>
        <v/>
      </c>
      <c r="AC62" s="323" t="str">
        <f>IF($A62=Input!$A$5,$D62,"")</f>
        <v/>
      </c>
      <c r="AD62" s="323" t="str">
        <f>IF($A62=Input!$A$5,$E62,"")</f>
        <v/>
      </c>
      <c r="AE62" s="386" t="str">
        <f>IF($A62=Input!$A$5,$F62,"")</f>
        <v/>
      </c>
      <c r="AF62" s="323"/>
      <c r="AG62" s="323"/>
      <c r="AH62" s="323"/>
      <c r="AI62" s="323"/>
      <c r="AJ62" s="323"/>
    </row>
    <row r="63" spans="1:36" x14ac:dyDescent="0.2">
      <c r="A63" s="250" t="str">
        <f>IF(BuffsDebuffs!$M59=1,BuffsDebuffs!G$2,"")</f>
        <v/>
      </c>
      <c r="B63" s="251" t="str">
        <f>IF(BuffsDebuffs!$M59=1,BuffsDebuffs!H$2,"")</f>
        <v/>
      </c>
      <c r="C63" s="251" t="str">
        <f>IF(BuffsDebuffs!$M59=1,BuffsDebuffs!I$2,"")</f>
        <v/>
      </c>
      <c r="D63" s="251" t="str">
        <f>IF(BuffsDebuffs!$M59=1,BuffsDebuffs!J$2,"")</f>
        <v/>
      </c>
      <c r="E63" s="251" t="str">
        <f>IF(BuffsDebuffs!$M59=1,BuffsDebuffs!K$2,"")</f>
        <v/>
      </c>
      <c r="F63" s="251" t="str">
        <f>IF(BuffsDebuffs!$M59=1,BuffsDebuffs!L$2,"")</f>
        <v/>
      </c>
      <c r="G63" s="387" t="str">
        <f>IF($A63=Input!$A$3,B63,"")</f>
        <v/>
      </c>
      <c r="H63" s="323" t="str">
        <f>IF($A63=Input!$A$3,C63,"")</f>
        <v/>
      </c>
      <c r="I63" s="323" t="str">
        <f>IF($A63=Input!$A$3,D63,"")</f>
        <v/>
      </c>
      <c r="J63" s="323" t="str">
        <f>IF($A63=Input!$A$3,E63,"")</f>
        <v/>
      </c>
      <c r="K63" s="386" t="str">
        <f>IF($A63=Input!$A$3,F63,"")</f>
        <v/>
      </c>
      <c r="L63" s="387"/>
      <c r="M63" s="323"/>
      <c r="N63" s="323"/>
      <c r="O63" s="323"/>
      <c r="P63" s="323"/>
      <c r="Q63" s="387" t="str">
        <f>IF($A63=Input!$A$4,$B63,"")</f>
        <v/>
      </c>
      <c r="R63" s="323" t="str">
        <f>IF($A63=Input!$A$4,$C63,"")</f>
        <v/>
      </c>
      <c r="S63" s="323" t="str">
        <f>IF($A63=Input!$A$4,$D63,"")</f>
        <v/>
      </c>
      <c r="T63" s="323" t="str">
        <f>IF($A63=Input!$A$4,$E63,"")</f>
        <v/>
      </c>
      <c r="U63" s="386" t="str">
        <f>IF($A63=Input!$A$4,$F63,"")</f>
        <v/>
      </c>
      <c r="V63" s="323"/>
      <c r="W63" s="323"/>
      <c r="X63" s="323"/>
      <c r="Y63" s="323"/>
      <c r="Z63" s="323"/>
      <c r="AA63" s="387" t="str">
        <f>IF($A63=Input!$A$5,$B63,"")</f>
        <v/>
      </c>
      <c r="AB63" s="323" t="str">
        <f>IF($A63=Input!$A$5,$C63,"")</f>
        <v/>
      </c>
      <c r="AC63" s="323" t="str">
        <f>IF($A63=Input!$A$5,$D63,"")</f>
        <v/>
      </c>
      <c r="AD63" s="323" t="str">
        <f>IF($A63=Input!$A$5,$E63,"")</f>
        <v/>
      </c>
      <c r="AE63" s="386" t="str">
        <f>IF($A63=Input!$A$5,$F63,"")</f>
        <v/>
      </c>
      <c r="AF63" s="323"/>
      <c r="AG63" s="323"/>
      <c r="AH63" s="323"/>
      <c r="AI63" s="323"/>
      <c r="AJ63" s="323"/>
    </row>
    <row r="64" spans="1:36" x14ac:dyDescent="0.2">
      <c r="A64" s="250" t="str">
        <f>IF(BuffsDebuffs!$M60=1,BuffsDebuffs!G$2,"")</f>
        <v/>
      </c>
      <c r="B64" s="251" t="str">
        <f>IF(BuffsDebuffs!$M60=1,BuffsDebuffs!H$2,"")</f>
        <v/>
      </c>
      <c r="C64" s="251" t="str">
        <f>IF(BuffsDebuffs!$M60=1,BuffsDebuffs!I$2,"")</f>
        <v/>
      </c>
      <c r="D64" s="251" t="str">
        <f>IF(BuffsDebuffs!$M60=1,BuffsDebuffs!J$2,"")</f>
        <v/>
      </c>
      <c r="E64" s="251" t="str">
        <f>IF(BuffsDebuffs!$M60=1,BuffsDebuffs!K$2,"")</f>
        <v/>
      </c>
      <c r="F64" s="251" t="str">
        <f>IF(BuffsDebuffs!$M60=1,BuffsDebuffs!L$2,"")</f>
        <v/>
      </c>
      <c r="G64" s="387" t="str">
        <f>IF($A64=Input!$A$3,B64,"")</f>
        <v/>
      </c>
      <c r="H64" s="323" t="str">
        <f>IF($A64=Input!$A$3,C64,"")</f>
        <v/>
      </c>
      <c r="I64" s="323" t="str">
        <f>IF($A64=Input!$A$3,D64,"")</f>
        <v/>
      </c>
      <c r="J64" s="323" t="str">
        <f>IF($A64=Input!$A$3,E64,"")</f>
        <v/>
      </c>
      <c r="K64" s="386" t="str">
        <f>IF($A64=Input!$A$3,F64,"")</f>
        <v/>
      </c>
      <c r="L64" s="387"/>
      <c r="M64" s="323"/>
      <c r="N64" s="323"/>
      <c r="O64" s="323"/>
      <c r="P64" s="323"/>
      <c r="Q64" s="387" t="str">
        <f>IF($A64=Input!$A$4,$B64,"")</f>
        <v/>
      </c>
      <c r="R64" s="323" t="str">
        <f>IF($A64=Input!$A$4,$C64,"")</f>
        <v/>
      </c>
      <c r="S64" s="323" t="str">
        <f>IF($A64=Input!$A$4,$D64,"")</f>
        <v/>
      </c>
      <c r="T64" s="323" t="str">
        <f>IF($A64=Input!$A$4,$E64,"")</f>
        <v/>
      </c>
      <c r="U64" s="386" t="str">
        <f>IF($A64=Input!$A$4,$F64,"")</f>
        <v/>
      </c>
      <c r="V64" s="323"/>
      <c r="W64" s="323"/>
      <c r="X64" s="323"/>
      <c r="Y64" s="323"/>
      <c r="Z64" s="323"/>
      <c r="AA64" s="387" t="str">
        <f>IF($A64=Input!$A$5,$B64,"")</f>
        <v/>
      </c>
      <c r="AB64" s="323" t="str">
        <f>IF($A64=Input!$A$5,$C64,"")</f>
        <v/>
      </c>
      <c r="AC64" s="323" t="str">
        <f>IF($A64=Input!$A$5,$D64,"")</f>
        <v/>
      </c>
      <c r="AD64" s="323" t="str">
        <f>IF($A64=Input!$A$5,$E64,"")</f>
        <v/>
      </c>
      <c r="AE64" s="386" t="str">
        <f>IF($A64=Input!$A$5,$F64,"")</f>
        <v/>
      </c>
      <c r="AF64" s="323"/>
      <c r="AG64" s="323"/>
      <c r="AH64" s="323"/>
      <c r="AI64" s="323"/>
      <c r="AJ64" s="323"/>
    </row>
    <row r="65" spans="1:36" x14ac:dyDescent="0.2">
      <c r="A65" s="250" t="str">
        <f>IF(BuffsDebuffs!$M61=1,BuffsDebuffs!G$2,"")</f>
        <v/>
      </c>
      <c r="B65" s="251" t="str">
        <f>IF(BuffsDebuffs!$M61=1,BuffsDebuffs!H$2,"")</f>
        <v/>
      </c>
      <c r="C65" s="251" t="str">
        <f>IF(BuffsDebuffs!$M61=1,BuffsDebuffs!I$2,"")</f>
        <v/>
      </c>
      <c r="D65" s="251" t="str">
        <f>IF(BuffsDebuffs!$M61=1,BuffsDebuffs!J$2,"")</f>
        <v/>
      </c>
      <c r="E65" s="251" t="str">
        <f>IF(BuffsDebuffs!$M61=1,BuffsDebuffs!K$2,"")</f>
        <v/>
      </c>
      <c r="F65" s="251" t="str">
        <f>IF(BuffsDebuffs!$M61=1,BuffsDebuffs!L$2,"")</f>
        <v/>
      </c>
      <c r="G65" s="387" t="str">
        <f>IF($A65=Input!$A$3,B65,"")</f>
        <v/>
      </c>
      <c r="H65" s="323" t="str">
        <f>IF($A65=Input!$A$3,C65,"")</f>
        <v/>
      </c>
      <c r="I65" s="323" t="str">
        <f>IF($A65=Input!$A$3,D65,"")</f>
        <v/>
      </c>
      <c r="J65" s="323" t="str">
        <f>IF($A65=Input!$A$3,E65,"")</f>
        <v/>
      </c>
      <c r="K65" s="386" t="str">
        <f>IF($A65=Input!$A$3,F65,"")</f>
        <v/>
      </c>
      <c r="L65" s="387"/>
      <c r="M65" s="323"/>
      <c r="N65" s="323"/>
      <c r="O65" s="323"/>
      <c r="P65" s="323"/>
      <c r="Q65" s="387" t="str">
        <f>IF($A65=Input!$A$4,$B65,"")</f>
        <v/>
      </c>
      <c r="R65" s="323" t="str">
        <f>IF($A65=Input!$A$4,$C65,"")</f>
        <v/>
      </c>
      <c r="S65" s="323" t="str">
        <f>IF($A65=Input!$A$4,$D65,"")</f>
        <v/>
      </c>
      <c r="T65" s="323" t="str">
        <f>IF($A65=Input!$A$4,$E65,"")</f>
        <v/>
      </c>
      <c r="U65" s="386" t="str">
        <f>IF($A65=Input!$A$4,$F65,"")</f>
        <v/>
      </c>
      <c r="V65" s="323"/>
      <c r="W65" s="323"/>
      <c r="X65" s="323"/>
      <c r="Y65" s="323"/>
      <c r="Z65" s="323"/>
      <c r="AA65" s="387" t="str">
        <f>IF($A65=Input!$A$5,$B65,"")</f>
        <v/>
      </c>
      <c r="AB65" s="323" t="str">
        <f>IF($A65=Input!$A$5,$C65,"")</f>
        <v/>
      </c>
      <c r="AC65" s="323" t="str">
        <f>IF($A65=Input!$A$5,$D65,"")</f>
        <v/>
      </c>
      <c r="AD65" s="323" t="str">
        <f>IF($A65=Input!$A$5,$E65,"")</f>
        <v/>
      </c>
      <c r="AE65" s="386" t="str">
        <f>IF($A65=Input!$A$5,$F65,"")</f>
        <v/>
      </c>
      <c r="AF65" s="323"/>
      <c r="AG65" s="323"/>
      <c r="AH65" s="323"/>
      <c r="AI65" s="323"/>
      <c r="AJ65" s="323"/>
    </row>
    <row r="66" spans="1:36" x14ac:dyDescent="0.2">
      <c r="A66" s="250" t="str">
        <f>IF(BuffsDebuffs!$M62=1,BuffsDebuffs!G$2,"")</f>
        <v/>
      </c>
      <c r="B66" s="251" t="str">
        <f>IF(BuffsDebuffs!$M62=1,BuffsDebuffs!H$2,"")</f>
        <v/>
      </c>
      <c r="C66" s="251" t="str">
        <f>IF(BuffsDebuffs!$M62=1,BuffsDebuffs!I$2,"")</f>
        <v/>
      </c>
      <c r="D66" s="251" t="str">
        <f>IF(BuffsDebuffs!$M62=1,BuffsDebuffs!J$2,"")</f>
        <v/>
      </c>
      <c r="E66" s="251" t="str">
        <f>IF(BuffsDebuffs!$M62=1,BuffsDebuffs!K$2,"")</f>
        <v/>
      </c>
      <c r="F66" s="251" t="str">
        <f>IF(BuffsDebuffs!$M62=1,BuffsDebuffs!L$2,"")</f>
        <v/>
      </c>
      <c r="G66" s="387" t="str">
        <f>IF($A66=Input!$A$3,B66,"")</f>
        <v/>
      </c>
      <c r="H66" s="323" t="str">
        <f>IF($A66=Input!$A$3,C66,"")</f>
        <v/>
      </c>
      <c r="I66" s="323" t="str">
        <f>IF($A66=Input!$A$3,D66,"")</f>
        <v/>
      </c>
      <c r="J66" s="323" t="str">
        <f>IF($A66=Input!$A$3,E66,"")</f>
        <v/>
      </c>
      <c r="K66" s="386" t="str">
        <f>IF($A66=Input!$A$3,F66,"")</f>
        <v/>
      </c>
      <c r="L66" s="387"/>
      <c r="M66" s="323"/>
      <c r="N66" s="323"/>
      <c r="O66" s="323"/>
      <c r="P66" s="323"/>
      <c r="Q66" s="387" t="str">
        <f>IF($A66=Input!$A$4,$B66,"")</f>
        <v/>
      </c>
      <c r="R66" s="323" t="str">
        <f>IF($A66=Input!$A$4,$C66,"")</f>
        <v/>
      </c>
      <c r="S66" s="323" t="str">
        <f>IF($A66=Input!$A$4,$D66,"")</f>
        <v/>
      </c>
      <c r="T66" s="323" t="str">
        <f>IF($A66=Input!$A$4,$E66,"")</f>
        <v/>
      </c>
      <c r="U66" s="386" t="str">
        <f>IF($A66=Input!$A$4,$F66,"")</f>
        <v/>
      </c>
      <c r="V66" s="323"/>
      <c r="W66" s="323"/>
      <c r="X66" s="323"/>
      <c r="Y66" s="323"/>
      <c r="Z66" s="323"/>
      <c r="AA66" s="387" t="str">
        <f>IF($A66=Input!$A$5,$B66,"")</f>
        <v/>
      </c>
      <c r="AB66" s="323" t="str">
        <f>IF($A66=Input!$A$5,$C66,"")</f>
        <v/>
      </c>
      <c r="AC66" s="323" t="str">
        <f>IF($A66=Input!$A$5,$D66,"")</f>
        <v/>
      </c>
      <c r="AD66" s="323" t="str">
        <f>IF($A66=Input!$A$5,$E66,"")</f>
        <v/>
      </c>
      <c r="AE66" s="386" t="str">
        <f>IF($A66=Input!$A$5,$F66,"")</f>
        <v/>
      </c>
      <c r="AF66" s="323"/>
      <c r="AG66" s="323"/>
      <c r="AH66" s="323"/>
      <c r="AI66" s="323"/>
      <c r="AJ66" s="323"/>
    </row>
    <row r="67" spans="1:36" x14ac:dyDescent="0.2">
      <c r="A67" s="250" t="str">
        <f>IF(BuffsDebuffs!$M63=1,BuffsDebuffs!G$2,"")</f>
        <v/>
      </c>
      <c r="B67" s="251" t="str">
        <f>IF(BuffsDebuffs!$M63=1,BuffsDebuffs!H$2,"")</f>
        <v/>
      </c>
      <c r="C67" s="251" t="str">
        <f>IF(BuffsDebuffs!$M63=1,BuffsDebuffs!I$2,"")</f>
        <v/>
      </c>
      <c r="D67" s="251" t="str">
        <f>IF(BuffsDebuffs!$M63=1,BuffsDebuffs!J$2,"")</f>
        <v/>
      </c>
      <c r="E67" s="251" t="str">
        <f>IF(BuffsDebuffs!$M63=1,BuffsDebuffs!K$2,"")</f>
        <v/>
      </c>
      <c r="F67" s="251" t="str">
        <f>IF(BuffsDebuffs!$M63=1,BuffsDebuffs!L$2,"")</f>
        <v/>
      </c>
      <c r="G67" s="387" t="str">
        <f>IF($A67=Input!$A$3,B67,"")</f>
        <v/>
      </c>
      <c r="H67" s="323" t="str">
        <f>IF($A67=Input!$A$3,C67,"")</f>
        <v/>
      </c>
      <c r="I67" s="323" t="str">
        <f>IF($A67=Input!$A$3,D67,"")</f>
        <v/>
      </c>
      <c r="J67" s="323" t="str">
        <f>IF($A67=Input!$A$3,E67,"")</f>
        <v/>
      </c>
      <c r="K67" s="386" t="str">
        <f>IF($A67=Input!$A$3,F67,"")</f>
        <v/>
      </c>
      <c r="L67" s="387"/>
      <c r="M67" s="323"/>
      <c r="N67" s="323"/>
      <c r="O67" s="323"/>
      <c r="P67" s="323"/>
      <c r="Q67" s="387" t="str">
        <f>IF($A67=Input!$A$4,$B67,"")</f>
        <v/>
      </c>
      <c r="R67" s="323" t="str">
        <f>IF($A67=Input!$A$4,$C67,"")</f>
        <v/>
      </c>
      <c r="S67" s="323" t="str">
        <f>IF($A67=Input!$A$4,$D67,"")</f>
        <v/>
      </c>
      <c r="T67" s="323" t="str">
        <f>IF($A67=Input!$A$4,$E67,"")</f>
        <v/>
      </c>
      <c r="U67" s="386" t="str">
        <f>IF($A67=Input!$A$4,$F67,"")</f>
        <v/>
      </c>
      <c r="V67" s="323"/>
      <c r="W67" s="323"/>
      <c r="X67" s="323"/>
      <c r="Y67" s="323"/>
      <c r="Z67" s="323"/>
      <c r="AA67" s="387" t="str">
        <f>IF($A67=Input!$A$5,$B67,"")</f>
        <v/>
      </c>
      <c r="AB67" s="323" t="str">
        <f>IF($A67=Input!$A$5,$C67,"")</f>
        <v/>
      </c>
      <c r="AC67" s="323" t="str">
        <f>IF($A67=Input!$A$5,$D67,"")</f>
        <v/>
      </c>
      <c r="AD67" s="323" t="str">
        <f>IF($A67=Input!$A$5,$E67,"")</f>
        <v/>
      </c>
      <c r="AE67" s="386" t="str">
        <f>IF($A67=Input!$A$5,$F67,"")</f>
        <v/>
      </c>
      <c r="AF67" s="323"/>
      <c r="AG67" s="323"/>
      <c r="AH67" s="323"/>
      <c r="AI67" s="323"/>
      <c r="AJ67" s="323"/>
    </row>
    <row r="68" spans="1:36" x14ac:dyDescent="0.2">
      <c r="A68" s="250" t="str">
        <f>IF(BuffsDebuffs!$M64=1,BuffsDebuffs!G$2,"")</f>
        <v/>
      </c>
      <c r="B68" s="251" t="str">
        <f>IF(BuffsDebuffs!$M64=1,BuffsDebuffs!H$2,"")</f>
        <v/>
      </c>
      <c r="C68" s="251" t="str">
        <f>IF(BuffsDebuffs!$M64=1,BuffsDebuffs!I$2,"")</f>
        <v/>
      </c>
      <c r="D68" s="251" t="str">
        <f>IF(BuffsDebuffs!$M64=1,BuffsDebuffs!J$2,"")</f>
        <v/>
      </c>
      <c r="E68" s="251" t="str">
        <f>IF(BuffsDebuffs!$M64=1,BuffsDebuffs!K$2,"")</f>
        <v/>
      </c>
      <c r="F68" s="251" t="str">
        <f>IF(BuffsDebuffs!$M64=1,BuffsDebuffs!L$2,"")</f>
        <v/>
      </c>
      <c r="G68" s="387" t="str">
        <f>IF($A68=Input!$A$3,B68,"")</f>
        <v/>
      </c>
      <c r="H68" s="323" t="str">
        <f>IF($A68=Input!$A$3,C68,"")</f>
        <v/>
      </c>
      <c r="I68" s="323" t="str">
        <f>IF($A68=Input!$A$3,D68,"")</f>
        <v/>
      </c>
      <c r="J68" s="323" t="str">
        <f>IF($A68=Input!$A$3,E68,"")</f>
        <v/>
      </c>
      <c r="K68" s="386" t="str">
        <f>IF($A68=Input!$A$3,F68,"")</f>
        <v/>
      </c>
      <c r="L68" s="387"/>
      <c r="M68" s="323"/>
      <c r="N68" s="323"/>
      <c r="O68" s="323"/>
      <c r="P68" s="323"/>
      <c r="Q68" s="387" t="str">
        <f>IF($A68=Input!$A$4,$B68,"")</f>
        <v/>
      </c>
      <c r="R68" s="323" t="str">
        <f>IF($A68=Input!$A$4,$C68,"")</f>
        <v/>
      </c>
      <c r="S68" s="323" t="str">
        <f>IF($A68=Input!$A$4,$D68,"")</f>
        <v/>
      </c>
      <c r="T68" s="323" t="str">
        <f>IF($A68=Input!$A$4,$E68,"")</f>
        <v/>
      </c>
      <c r="U68" s="386" t="str">
        <f>IF($A68=Input!$A$4,$F68,"")</f>
        <v/>
      </c>
      <c r="V68" s="323"/>
      <c r="W68" s="323"/>
      <c r="X68" s="323"/>
      <c r="Y68" s="323"/>
      <c r="Z68" s="323"/>
      <c r="AA68" s="387" t="str">
        <f>IF($A68=Input!$A$5,$B68,"")</f>
        <v/>
      </c>
      <c r="AB68" s="323" t="str">
        <f>IF($A68=Input!$A$5,$C68,"")</f>
        <v/>
      </c>
      <c r="AC68" s="323" t="str">
        <f>IF($A68=Input!$A$5,$D68,"")</f>
        <v/>
      </c>
      <c r="AD68" s="323" t="str">
        <f>IF($A68=Input!$A$5,$E68,"")</f>
        <v/>
      </c>
      <c r="AE68" s="386" t="str">
        <f>IF($A68=Input!$A$5,$F68,"")</f>
        <v/>
      </c>
      <c r="AF68" s="323"/>
      <c r="AG68" s="323"/>
      <c r="AH68" s="323"/>
      <c r="AI68" s="323"/>
      <c r="AJ68" s="323"/>
    </row>
    <row r="69" spans="1:36" x14ac:dyDescent="0.2">
      <c r="A69" s="250" t="str">
        <f>IF(BuffsDebuffs!$M65=1,BuffsDebuffs!G$2,"")</f>
        <v/>
      </c>
      <c r="B69" s="251" t="str">
        <f>IF(BuffsDebuffs!$M65=1,BuffsDebuffs!H$2,"")</f>
        <v/>
      </c>
      <c r="C69" s="251" t="str">
        <f>IF(BuffsDebuffs!$M65=1,BuffsDebuffs!I$2,"")</f>
        <v/>
      </c>
      <c r="D69" s="251" t="str">
        <f>IF(BuffsDebuffs!$M65=1,BuffsDebuffs!J$2,"")</f>
        <v/>
      </c>
      <c r="E69" s="251" t="str">
        <f>IF(BuffsDebuffs!$M65=1,BuffsDebuffs!K$2,"")</f>
        <v/>
      </c>
      <c r="F69" s="251" t="str">
        <f>IF(BuffsDebuffs!$M65=1,BuffsDebuffs!L$2,"")</f>
        <v/>
      </c>
      <c r="G69" s="387" t="str">
        <f>IF($A69=Input!$A$3,B69,"")</f>
        <v/>
      </c>
      <c r="H69" s="323" t="str">
        <f>IF($A69=Input!$A$3,C69,"")</f>
        <v/>
      </c>
      <c r="I69" s="323" t="str">
        <f>IF($A69=Input!$A$3,D69,"")</f>
        <v/>
      </c>
      <c r="J69" s="323" t="str">
        <f>IF($A69=Input!$A$3,E69,"")</f>
        <v/>
      </c>
      <c r="K69" s="386" t="str">
        <f>IF($A69=Input!$A$3,F69,"")</f>
        <v/>
      </c>
      <c r="L69" s="387"/>
      <c r="M69" s="323"/>
      <c r="N69" s="323"/>
      <c r="O69" s="323"/>
      <c r="P69" s="323"/>
      <c r="Q69" s="387" t="str">
        <f>IF($A69=Input!$A$4,$B69,"")</f>
        <v/>
      </c>
      <c r="R69" s="323" t="str">
        <f>IF($A69=Input!$A$4,$C69,"")</f>
        <v/>
      </c>
      <c r="S69" s="323" t="str">
        <f>IF($A69=Input!$A$4,$D69,"")</f>
        <v/>
      </c>
      <c r="T69" s="323" t="str">
        <f>IF($A69=Input!$A$4,$E69,"")</f>
        <v/>
      </c>
      <c r="U69" s="386" t="str">
        <f>IF($A69=Input!$A$4,$F69,"")</f>
        <v/>
      </c>
      <c r="V69" s="323"/>
      <c r="W69" s="323"/>
      <c r="X69" s="323"/>
      <c r="Y69" s="323"/>
      <c r="Z69" s="323"/>
      <c r="AA69" s="387" t="str">
        <f>IF($A69=Input!$A$5,$B69,"")</f>
        <v/>
      </c>
      <c r="AB69" s="323" t="str">
        <f>IF($A69=Input!$A$5,$C69,"")</f>
        <v/>
      </c>
      <c r="AC69" s="323" t="str">
        <f>IF($A69=Input!$A$5,$D69,"")</f>
        <v/>
      </c>
      <c r="AD69" s="323" t="str">
        <f>IF($A69=Input!$A$5,$E69,"")</f>
        <v/>
      </c>
      <c r="AE69" s="386" t="str">
        <f>IF($A69=Input!$A$5,$F69,"")</f>
        <v/>
      </c>
      <c r="AF69" s="323"/>
      <c r="AG69" s="323"/>
      <c r="AH69" s="323"/>
      <c r="AI69" s="323"/>
      <c r="AJ69" s="323"/>
    </row>
    <row r="70" spans="1:36" x14ac:dyDescent="0.2">
      <c r="A70" s="250" t="str">
        <f>IF(BuffsDebuffs!$M66=1,BuffsDebuffs!G$2,"")</f>
        <v/>
      </c>
      <c r="B70" s="251" t="str">
        <f>IF(BuffsDebuffs!$M66=1,BuffsDebuffs!H$2,"")</f>
        <v/>
      </c>
      <c r="C70" s="251" t="str">
        <f>IF(BuffsDebuffs!$M66=1,BuffsDebuffs!I$2,"")</f>
        <v/>
      </c>
      <c r="D70" s="251" t="str">
        <f>IF(BuffsDebuffs!$M66=1,BuffsDebuffs!J$2,"")</f>
        <v/>
      </c>
      <c r="E70" s="251" t="str">
        <f>IF(BuffsDebuffs!$M66=1,BuffsDebuffs!K$2,"")</f>
        <v/>
      </c>
      <c r="F70" s="251" t="str">
        <f>IF(BuffsDebuffs!$M66=1,BuffsDebuffs!L$2,"")</f>
        <v/>
      </c>
      <c r="G70" s="387" t="str">
        <f>IF($A70=Input!$A$3,B70,"")</f>
        <v/>
      </c>
      <c r="H70" s="323" t="str">
        <f>IF($A70=Input!$A$3,C70,"")</f>
        <v/>
      </c>
      <c r="I70" s="323" t="str">
        <f>IF($A70=Input!$A$3,D70,"")</f>
        <v/>
      </c>
      <c r="J70" s="323" t="str">
        <f>IF($A70=Input!$A$3,E70,"")</f>
        <v/>
      </c>
      <c r="K70" s="386" t="str">
        <f>IF($A70=Input!$A$3,F70,"")</f>
        <v/>
      </c>
      <c r="L70" s="387"/>
      <c r="M70" s="323"/>
      <c r="N70" s="323"/>
      <c r="O70" s="323"/>
      <c r="P70" s="323"/>
      <c r="Q70" s="387" t="str">
        <f>IF($A70=Input!$A$4,$B70,"")</f>
        <v/>
      </c>
      <c r="R70" s="323" t="str">
        <f>IF($A70=Input!$A$4,$C70,"")</f>
        <v/>
      </c>
      <c r="S70" s="323" t="str">
        <f>IF($A70=Input!$A$4,$D70,"")</f>
        <v/>
      </c>
      <c r="T70" s="323" t="str">
        <f>IF($A70=Input!$A$4,$E70,"")</f>
        <v/>
      </c>
      <c r="U70" s="386" t="str">
        <f>IF($A70=Input!$A$4,$F70,"")</f>
        <v/>
      </c>
      <c r="V70" s="323"/>
      <c r="W70" s="323"/>
      <c r="X70" s="323"/>
      <c r="Y70" s="323"/>
      <c r="Z70" s="323"/>
      <c r="AA70" s="387" t="str">
        <f>IF($A70=Input!$A$5,$B70,"")</f>
        <v/>
      </c>
      <c r="AB70" s="323" t="str">
        <f>IF($A70=Input!$A$5,$C70,"")</f>
        <v/>
      </c>
      <c r="AC70" s="323" t="str">
        <f>IF($A70=Input!$A$5,$D70,"")</f>
        <v/>
      </c>
      <c r="AD70" s="323" t="str">
        <f>IF($A70=Input!$A$5,$E70,"")</f>
        <v/>
      </c>
      <c r="AE70" s="386" t="str">
        <f>IF($A70=Input!$A$5,$F70,"")</f>
        <v/>
      </c>
      <c r="AF70" s="323"/>
      <c r="AG70" s="323"/>
      <c r="AH70" s="323"/>
      <c r="AI70" s="323"/>
      <c r="AJ70" s="323"/>
    </row>
    <row r="71" spans="1:36" x14ac:dyDescent="0.2">
      <c r="A71" s="250" t="str">
        <f>IF(BuffsDebuffs!$M67=1,BuffsDebuffs!G$2,"")</f>
        <v/>
      </c>
      <c r="B71" s="251" t="str">
        <f>IF(BuffsDebuffs!$M67=1,BuffsDebuffs!H$2,"")</f>
        <v/>
      </c>
      <c r="C71" s="251" t="str">
        <f>IF(BuffsDebuffs!$M67=1,BuffsDebuffs!I$2,"")</f>
        <v/>
      </c>
      <c r="D71" s="251" t="str">
        <f>IF(BuffsDebuffs!$M67=1,BuffsDebuffs!J$2,"")</f>
        <v/>
      </c>
      <c r="E71" s="251" t="str">
        <f>IF(BuffsDebuffs!$M67=1,BuffsDebuffs!K$2,"")</f>
        <v/>
      </c>
      <c r="F71" s="251" t="str">
        <f>IF(BuffsDebuffs!$M67=1,BuffsDebuffs!L$2,"")</f>
        <v/>
      </c>
      <c r="G71" s="387" t="str">
        <f>IF($A71=Input!$A$3,B71,"")</f>
        <v/>
      </c>
      <c r="H71" s="323" t="str">
        <f>IF($A71=Input!$A$3,C71,"")</f>
        <v/>
      </c>
      <c r="I71" s="323" t="str">
        <f>IF($A71=Input!$A$3,D71,"")</f>
        <v/>
      </c>
      <c r="J71" s="323" t="str">
        <f>IF($A71=Input!$A$3,E71,"")</f>
        <v/>
      </c>
      <c r="K71" s="386" t="str">
        <f>IF($A71=Input!$A$3,F71,"")</f>
        <v/>
      </c>
      <c r="L71" s="387"/>
      <c r="M71" s="323"/>
      <c r="N71" s="323"/>
      <c r="O71" s="323"/>
      <c r="P71" s="323"/>
      <c r="Q71" s="387" t="str">
        <f>IF($A71=Input!$A$4,$B71,"")</f>
        <v/>
      </c>
      <c r="R71" s="323" t="str">
        <f>IF($A71=Input!$A$4,$C71,"")</f>
        <v/>
      </c>
      <c r="S71" s="323" t="str">
        <f>IF($A71=Input!$A$4,$D71,"")</f>
        <v/>
      </c>
      <c r="T71" s="323" t="str">
        <f>IF($A71=Input!$A$4,$E71,"")</f>
        <v/>
      </c>
      <c r="U71" s="386" t="str">
        <f>IF($A71=Input!$A$4,$F71,"")</f>
        <v/>
      </c>
      <c r="V71" s="323"/>
      <c r="W71" s="323"/>
      <c r="X71" s="323"/>
      <c r="Y71" s="323"/>
      <c r="Z71" s="323"/>
      <c r="AA71" s="387" t="str">
        <f>IF($A71=Input!$A$5,$B71,"")</f>
        <v/>
      </c>
      <c r="AB71" s="323" t="str">
        <f>IF($A71=Input!$A$5,$C71,"")</f>
        <v/>
      </c>
      <c r="AC71" s="323" t="str">
        <f>IF($A71=Input!$A$5,$D71,"")</f>
        <v/>
      </c>
      <c r="AD71" s="323" t="str">
        <f>IF($A71=Input!$A$5,$E71,"")</f>
        <v/>
      </c>
      <c r="AE71" s="386" t="str">
        <f>IF($A71=Input!$A$5,$F71,"")</f>
        <v/>
      </c>
      <c r="AF71" s="323"/>
      <c r="AG71" s="323"/>
      <c r="AH71" s="323"/>
      <c r="AI71" s="323"/>
      <c r="AJ71" s="323"/>
    </row>
    <row r="72" spans="1:36" x14ac:dyDescent="0.2">
      <c r="A72" s="250" t="str">
        <f>IF(BuffsDebuffs!$M68=1,BuffsDebuffs!G$2,"")</f>
        <v/>
      </c>
      <c r="B72" s="251" t="str">
        <f>IF(BuffsDebuffs!$M68=1,BuffsDebuffs!H$2,"")</f>
        <v/>
      </c>
      <c r="C72" s="251" t="str">
        <f>IF(BuffsDebuffs!$M68=1,BuffsDebuffs!I$2,"")</f>
        <v/>
      </c>
      <c r="D72" s="251" t="str">
        <f>IF(BuffsDebuffs!$M68=1,BuffsDebuffs!J$2,"")</f>
        <v/>
      </c>
      <c r="E72" s="251" t="str">
        <f>IF(BuffsDebuffs!$M68=1,BuffsDebuffs!K$2,"")</f>
        <v/>
      </c>
      <c r="F72" s="251" t="str">
        <f>IF(BuffsDebuffs!$M68=1,BuffsDebuffs!L$2,"")</f>
        <v/>
      </c>
      <c r="G72" s="387" t="str">
        <f>IF($A72=Input!$A$3,B72,"")</f>
        <v/>
      </c>
      <c r="H72" s="323" t="str">
        <f>IF($A72=Input!$A$3,C72,"")</f>
        <v/>
      </c>
      <c r="I72" s="323" t="str">
        <f>IF($A72=Input!$A$3,D72,"")</f>
        <v/>
      </c>
      <c r="J72" s="323" t="str">
        <f>IF($A72=Input!$A$3,E72,"")</f>
        <v/>
      </c>
      <c r="K72" s="386" t="str">
        <f>IF($A72=Input!$A$3,F72,"")</f>
        <v/>
      </c>
      <c r="L72" s="387"/>
      <c r="M72" s="323"/>
      <c r="N72" s="323"/>
      <c r="O72" s="323"/>
      <c r="P72" s="323"/>
      <c r="Q72" s="387" t="str">
        <f>IF($A72=Input!$A$4,$B72,"")</f>
        <v/>
      </c>
      <c r="R72" s="323" t="str">
        <f>IF($A72=Input!$A$4,$C72,"")</f>
        <v/>
      </c>
      <c r="S72" s="323" t="str">
        <f>IF($A72=Input!$A$4,$D72,"")</f>
        <v/>
      </c>
      <c r="T72" s="323" t="str">
        <f>IF($A72=Input!$A$4,$E72,"")</f>
        <v/>
      </c>
      <c r="U72" s="386" t="str">
        <f>IF($A72=Input!$A$4,$F72,"")</f>
        <v/>
      </c>
      <c r="V72" s="323"/>
      <c r="W72" s="323"/>
      <c r="X72" s="323"/>
      <c r="Y72" s="323"/>
      <c r="Z72" s="323"/>
      <c r="AA72" s="387" t="str">
        <f>IF($A72=Input!$A$5,$B72,"")</f>
        <v/>
      </c>
      <c r="AB72" s="323" t="str">
        <f>IF($A72=Input!$A$5,$C72,"")</f>
        <v/>
      </c>
      <c r="AC72" s="323" t="str">
        <f>IF($A72=Input!$A$5,$D72,"")</f>
        <v/>
      </c>
      <c r="AD72" s="323" t="str">
        <f>IF($A72=Input!$A$5,$E72,"")</f>
        <v/>
      </c>
      <c r="AE72" s="386" t="str">
        <f>IF($A72=Input!$A$5,$F72,"")</f>
        <v/>
      </c>
      <c r="AF72" s="323"/>
      <c r="AG72" s="323"/>
      <c r="AH72" s="323"/>
      <c r="AI72" s="323"/>
      <c r="AJ72" s="323"/>
    </row>
    <row r="73" spans="1:36" x14ac:dyDescent="0.2">
      <c r="A73" s="250" t="str">
        <f>IF(BuffsDebuffs!$M69=1,BuffsDebuffs!G$2,"")</f>
        <v/>
      </c>
      <c r="B73" s="251" t="str">
        <f>IF(BuffsDebuffs!$M69=1,BuffsDebuffs!H$2,"")</f>
        <v/>
      </c>
      <c r="C73" s="251" t="str">
        <f>IF(BuffsDebuffs!$M69=1,BuffsDebuffs!I$2,"")</f>
        <v/>
      </c>
      <c r="D73" s="251" t="str">
        <f>IF(BuffsDebuffs!$M69=1,BuffsDebuffs!J$2,"")</f>
        <v/>
      </c>
      <c r="E73" s="251" t="str">
        <f>IF(BuffsDebuffs!$M69=1,BuffsDebuffs!K$2,"")</f>
        <v/>
      </c>
      <c r="F73" s="251" t="str">
        <f>IF(BuffsDebuffs!$M69=1,BuffsDebuffs!L$2,"")</f>
        <v/>
      </c>
      <c r="G73" s="387" t="str">
        <f>IF($A73=Input!$A$3,B73,"")</f>
        <v/>
      </c>
      <c r="H73" s="323" t="str">
        <f>IF($A73=Input!$A$3,C73,"")</f>
        <v/>
      </c>
      <c r="I73" s="323" t="str">
        <f>IF($A73=Input!$A$3,D73,"")</f>
        <v/>
      </c>
      <c r="J73" s="323" t="str">
        <f>IF($A73=Input!$A$3,E73,"")</f>
        <v/>
      </c>
      <c r="K73" s="386" t="str">
        <f>IF($A73=Input!$A$3,F73,"")</f>
        <v/>
      </c>
      <c r="L73" s="387"/>
      <c r="M73" s="323"/>
      <c r="N73" s="323"/>
      <c r="O73" s="323"/>
      <c r="P73" s="323"/>
      <c r="Q73" s="387" t="str">
        <f>IF($A73=Input!$A$4,$B73,"")</f>
        <v/>
      </c>
      <c r="R73" s="323" t="str">
        <f>IF($A73=Input!$A$4,$C73,"")</f>
        <v/>
      </c>
      <c r="S73" s="323" t="str">
        <f>IF($A73=Input!$A$4,$D73,"")</f>
        <v/>
      </c>
      <c r="T73" s="323" t="str">
        <f>IF($A73=Input!$A$4,$E73,"")</f>
        <v/>
      </c>
      <c r="U73" s="386" t="str">
        <f>IF($A73=Input!$A$4,$F73,"")</f>
        <v/>
      </c>
      <c r="V73" s="323"/>
      <c r="W73" s="323"/>
      <c r="X73" s="323"/>
      <c r="Y73" s="323"/>
      <c r="Z73" s="323"/>
      <c r="AA73" s="387" t="str">
        <f>IF($A73=Input!$A$5,$B73,"")</f>
        <v/>
      </c>
      <c r="AB73" s="323" t="str">
        <f>IF($A73=Input!$A$5,$C73,"")</f>
        <v/>
      </c>
      <c r="AC73" s="323" t="str">
        <f>IF($A73=Input!$A$5,$D73,"")</f>
        <v/>
      </c>
      <c r="AD73" s="323" t="str">
        <f>IF($A73=Input!$A$5,$E73,"")</f>
        <v/>
      </c>
      <c r="AE73" s="386" t="str">
        <f>IF($A73=Input!$A$5,$F73,"")</f>
        <v/>
      </c>
      <c r="AF73" s="323"/>
      <c r="AG73" s="323"/>
      <c r="AH73" s="323"/>
      <c r="AI73" s="323"/>
      <c r="AJ73" s="323"/>
    </row>
    <row r="74" spans="1:36" x14ac:dyDescent="0.2">
      <c r="A74" s="250" t="str">
        <f>IF(BuffsDebuffs!$M70=1,BuffsDebuffs!G$2,"")</f>
        <v/>
      </c>
      <c r="B74" s="251" t="str">
        <f>IF(BuffsDebuffs!$M70=1,BuffsDebuffs!H$2,"")</f>
        <v/>
      </c>
      <c r="C74" s="251" t="str">
        <f>IF(BuffsDebuffs!$M70=1,BuffsDebuffs!I$2,"")</f>
        <v/>
      </c>
      <c r="D74" s="251" t="str">
        <f>IF(BuffsDebuffs!$M70=1,BuffsDebuffs!J$2,"")</f>
        <v/>
      </c>
      <c r="E74" s="251" t="str">
        <f>IF(BuffsDebuffs!$M70=1,BuffsDebuffs!K$2,"")</f>
        <v/>
      </c>
      <c r="F74" s="251" t="str">
        <f>IF(BuffsDebuffs!$M70=1,BuffsDebuffs!L$2,"")</f>
        <v/>
      </c>
      <c r="G74" s="387" t="str">
        <f>IF($A74=Input!$A$3,B74,"")</f>
        <v/>
      </c>
      <c r="H74" s="323" t="str">
        <f>IF($A74=Input!$A$3,C74,"")</f>
        <v/>
      </c>
      <c r="I74" s="323" t="str">
        <f>IF($A74=Input!$A$3,D74,"")</f>
        <v/>
      </c>
      <c r="J74" s="323" t="str">
        <f>IF($A74=Input!$A$3,E74,"")</f>
        <v/>
      </c>
      <c r="K74" s="386" t="str">
        <f>IF($A74=Input!$A$3,F74,"")</f>
        <v/>
      </c>
      <c r="L74" s="387"/>
      <c r="M74" s="323"/>
      <c r="N74" s="323"/>
      <c r="O74" s="323"/>
      <c r="P74" s="323"/>
      <c r="Q74" s="387" t="str">
        <f>IF($A74=Input!$A$4,$B74,"")</f>
        <v/>
      </c>
      <c r="R74" s="323" t="str">
        <f>IF($A74=Input!$A$4,$C74,"")</f>
        <v/>
      </c>
      <c r="S74" s="323" t="str">
        <f>IF($A74=Input!$A$4,$D74,"")</f>
        <v/>
      </c>
      <c r="T74" s="323" t="str">
        <f>IF($A74=Input!$A$4,$E74,"")</f>
        <v/>
      </c>
      <c r="U74" s="386" t="str">
        <f>IF($A74=Input!$A$4,$F74,"")</f>
        <v/>
      </c>
      <c r="V74" s="323"/>
      <c r="W74" s="323"/>
      <c r="X74" s="323"/>
      <c r="Y74" s="323"/>
      <c r="Z74" s="323"/>
      <c r="AA74" s="387" t="str">
        <f>IF($A74=Input!$A$5,$B74,"")</f>
        <v/>
      </c>
      <c r="AB74" s="323" t="str">
        <f>IF($A74=Input!$A$5,$C74,"")</f>
        <v/>
      </c>
      <c r="AC74" s="323" t="str">
        <f>IF($A74=Input!$A$5,$D74,"")</f>
        <v/>
      </c>
      <c r="AD74" s="323" t="str">
        <f>IF($A74=Input!$A$5,$E74,"")</f>
        <v/>
      </c>
      <c r="AE74" s="386" t="str">
        <f>IF($A74=Input!$A$5,$F74,"")</f>
        <v/>
      </c>
      <c r="AF74" s="323"/>
      <c r="AG74" s="323"/>
      <c r="AH74" s="323"/>
      <c r="AI74" s="323"/>
      <c r="AJ74" s="323"/>
    </row>
    <row r="75" spans="1:36" x14ac:dyDescent="0.2">
      <c r="A75" s="250" t="str">
        <f>IF(BuffsDebuffs!$M71=1,BuffsDebuffs!G$2,"")</f>
        <v/>
      </c>
      <c r="B75" s="251" t="str">
        <f>IF(BuffsDebuffs!$M71=1,BuffsDebuffs!H$2,"")</f>
        <v/>
      </c>
      <c r="C75" s="251" t="str">
        <f>IF(BuffsDebuffs!$M71=1,BuffsDebuffs!I$2,"")</f>
        <v/>
      </c>
      <c r="D75" s="251" t="str">
        <f>IF(BuffsDebuffs!$M71=1,BuffsDebuffs!J$2,"")</f>
        <v/>
      </c>
      <c r="E75" s="251" t="str">
        <f>IF(BuffsDebuffs!$M71=1,BuffsDebuffs!K$2,"")</f>
        <v/>
      </c>
      <c r="F75" s="251" t="str">
        <f>IF(BuffsDebuffs!$M71=1,BuffsDebuffs!L$2,"")</f>
        <v/>
      </c>
      <c r="G75" s="387" t="str">
        <f>IF($A75=Input!$A$3,B75,"")</f>
        <v/>
      </c>
      <c r="H75" s="323" t="str">
        <f>IF($A75=Input!$A$3,C75,"")</f>
        <v/>
      </c>
      <c r="I75" s="323" t="str">
        <f>IF($A75=Input!$A$3,D75,"")</f>
        <v/>
      </c>
      <c r="J75" s="323" t="str">
        <f>IF($A75=Input!$A$3,E75,"")</f>
        <v/>
      </c>
      <c r="K75" s="386" t="str">
        <f>IF($A75=Input!$A$3,F75,"")</f>
        <v/>
      </c>
      <c r="L75" s="387"/>
      <c r="M75" s="323"/>
      <c r="N75" s="323"/>
      <c r="O75" s="323"/>
      <c r="P75" s="323"/>
      <c r="Q75" s="387" t="str">
        <f>IF($A75=Input!$A$4,$B75,"")</f>
        <v/>
      </c>
      <c r="R75" s="323" t="str">
        <f>IF($A75=Input!$A$4,$C75,"")</f>
        <v/>
      </c>
      <c r="S75" s="323" t="str">
        <f>IF($A75=Input!$A$4,$D75,"")</f>
        <v/>
      </c>
      <c r="T75" s="323" t="str">
        <f>IF($A75=Input!$A$4,$E75,"")</f>
        <v/>
      </c>
      <c r="U75" s="386" t="str">
        <f>IF($A75=Input!$A$4,$F75,"")</f>
        <v/>
      </c>
      <c r="V75" s="323"/>
      <c r="W75" s="323"/>
      <c r="X75" s="323"/>
      <c r="Y75" s="323"/>
      <c r="Z75" s="323"/>
      <c r="AA75" s="387" t="str">
        <f>IF($A75=Input!$A$5,$B75,"")</f>
        <v/>
      </c>
      <c r="AB75" s="323" t="str">
        <f>IF($A75=Input!$A$5,$C75,"")</f>
        <v/>
      </c>
      <c r="AC75" s="323" t="str">
        <f>IF($A75=Input!$A$5,$D75,"")</f>
        <v/>
      </c>
      <c r="AD75" s="323" t="str">
        <f>IF($A75=Input!$A$5,$E75,"")</f>
        <v/>
      </c>
      <c r="AE75" s="386" t="str">
        <f>IF($A75=Input!$A$5,$F75,"")</f>
        <v/>
      </c>
      <c r="AF75" s="323"/>
      <c r="AG75" s="323"/>
      <c r="AH75" s="323"/>
      <c r="AI75" s="323"/>
      <c r="AJ75" s="323"/>
    </row>
    <row r="76" spans="1:36" x14ac:dyDescent="0.2">
      <c r="A76" s="250" t="str">
        <f>IF(BuffsDebuffs!$M72=1,BuffsDebuffs!G$2,"")</f>
        <v/>
      </c>
      <c r="B76" s="251" t="str">
        <f>IF(BuffsDebuffs!$M72=1,BuffsDebuffs!H$2,"")</f>
        <v/>
      </c>
      <c r="C76" s="251" t="str">
        <f>IF(BuffsDebuffs!$M72=1,BuffsDebuffs!I$2,"")</f>
        <v/>
      </c>
      <c r="D76" s="251" t="str">
        <f>IF(BuffsDebuffs!$M72=1,BuffsDebuffs!J$2,"")</f>
        <v/>
      </c>
      <c r="E76" s="251" t="str">
        <f>IF(BuffsDebuffs!$M72=1,BuffsDebuffs!K$2,"")</f>
        <v/>
      </c>
      <c r="F76" s="251" t="str">
        <f>IF(BuffsDebuffs!$M72=1,BuffsDebuffs!L$2,"")</f>
        <v/>
      </c>
      <c r="G76" s="387" t="str">
        <f>IF($A76=Input!$A$3,B76,"")</f>
        <v/>
      </c>
      <c r="H76" s="323" t="str">
        <f>IF($A76=Input!$A$3,C76,"")</f>
        <v/>
      </c>
      <c r="I76" s="323" t="str">
        <f>IF($A76=Input!$A$3,D76,"")</f>
        <v/>
      </c>
      <c r="J76" s="323" t="str">
        <f>IF($A76=Input!$A$3,E76,"")</f>
        <v/>
      </c>
      <c r="K76" s="386" t="str">
        <f>IF($A76=Input!$A$3,F76,"")</f>
        <v/>
      </c>
      <c r="L76" s="387"/>
      <c r="M76" s="323"/>
      <c r="N76" s="323"/>
      <c r="O76" s="323"/>
      <c r="P76" s="323"/>
      <c r="Q76" s="387" t="str">
        <f>IF($A76=Input!$A$4,$B76,"")</f>
        <v/>
      </c>
      <c r="R76" s="323" t="str">
        <f>IF($A76=Input!$A$4,$C76,"")</f>
        <v/>
      </c>
      <c r="S76" s="323" t="str">
        <f>IF($A76=Input!$A$4,$D76,"")</f>
        <v/>
      </c>
      <c r="T76" s="323" t="str">
        <f>IF($A76=Input!$A$4,$E76,"")</f>
        <v/>
      </c>
      <c r="U76" s="386" t="str">
        <f>IF($A76=Input!$A$4,$F76,"")</f>
        <v/>
      </c>
      <c r="V76" s="323"/>
      <c r="W76" s="323"/>
      <c r="X76" s="323"/>
      <c r="Y76" s="323"/>
      <c r="Z76" s="323"/>
      <c r="AA76" s="387" t="str">
        <f>IF($A76=Input!$A$5,$B76,"")</f>
        <v/>
      </c>
      <c r="AB76" s="323" t="str">
        <f>IF($A76=Input!$A$5,$C76,"")</f>
        <v/>
      </c>
      <c r="AC76" s="323" t="str">
        <f>IF($A76=Input!$A$5,$D76,"")</f>
        <v/>
      </c>
      <c r="AD76" s="323" t="str">
        <f>IF($A76=Input!$A$5,$E76,"")</f>
        <v/>
      </c>
      <c r="AE76" s="386" t="str">
        <f>IF($A76=Input!$A$5,$F76,"")</f>
        <v/>
      </c>
      <c r="AF76" s="323"/>
      <c r="AG76" s="323"/>
      <c r="AH76" s="323"/>
      <c r="AI76" s="323"/>
      <c r="AJ76" s="323"/>
    </row>
    <row r="77" spans="1:36" x14ac:dyDescent="0.2">
      <c r="A77" s="250" t="str">
        <f>IF(BuffsDebuffs!$M73=1,BuffsDebuffs!G$2,"")</f>
        <v/>
      </c>
      <c r="B77" s="251" t="str">
        <f>IF(BuffsDebuffs!$M73=1,BuffsDebuffs!H$2,"")</f>
        <v/>
      </c>
      <c r="C77" s="251" t="str">
        <f>IF(BuffsDebuffs!$M73=1,BuffsDebuffs!I$2,"")</f>
        <v/>
      </c>
      <c r="D77" s="251" t="str">
        <f>IF(BuffsDebuffs!$M73=1,BuffsDebuffs!J$2,"")</f>
        <v/>
      </c>
      <c r="E77" s="251" t="str">
        <f>IF(BuffsDebuffs!$M73=1,BuffsDebuffs!K$2,"")</f>
        <v/>
      </c>
      <c r="F77" s="251" t="str">
        <f>IF(BuffsDebuffs!$M73=1,BuffsDebuffs!L$2,"")</f>
        <v/>
      </c>
      <c r="G77" s="387" t="str">
        <f>IF($A77=Input!$A$3,B77,"")</f>
        <v/>
      </c>
      <c r="H77" s="323" t="str">
        <f>IF($A77=Input!$A$3,C77,"")</f>
        <v/>
      </c>
      <c r="I77" s="323" t="str">
        <f>IF($A77=Input!$A$3,D77,"")</f>
        <v/>
      </c>
      <c r="J77" s="323" t="str">
        <f>IF($A77=Input!$A$3,E77,"")</f>
        <v/>
      </c>
      <c r="K77" s="386" t="str">
        <f>IF($A77=Input!$A$3,F77,"")</f>
        <v/>
      </c>
      <c r="L77" s="387"/>
      <c r="M77" s="323"/>
      <c r="N77" s="323"/>
      <c r="O77" s="323"/>
      <c r="P77" s="323"/>
      <c r="Q77" s="387" t="str">
        <f>IF($A77=Input!$A$4,$B77,"")</f>
        <v/>
      </c>
      <c r="R77" s="323" t="str">
        <f>IF($A77=Input!$A$4,$C77,"")</f>
        <v/>
      </c>
      <c r="S77" s="323" t="str">
        <f>IF($A77=Input!$A$4,$D77,"")</f>
        <v/>
      </c>
      <c r="T77" s="323" t="str">
        <f>IF($A77=Input!$A$4,$E77,"")</f>
        <v/>
      </c>
      <c r="U77" s="386" t="str">
        <f>IF($A77=Input!$A$4,$F77,"")</f>
        <v/>
      </c>
      <c r="V77" s="323"/>
      <c r="W77" s="323"/>
      <c r="X77" s="323"/>
      <c r="Y77" s="323"/>
      <c r="Z77" s="323"/>
      <c r="AA77" s="387" t="str">
        <f>IF($A77=Input!$A$5,$B77,"")</f>
        <v/>
      </c>
      <c r="AB77" s="323" t="str">
        <f>IF($A77=Input!$A$5,$C77,"")</f>
        <v/>
      </c>
      <c r="AC77" s="323" t="str">
        <f>IF($A77=Input!$A$5,$D77,"")</f>
        <v/>
      </c>
      <c r="AD77" s="323" t="str">
        <f>IF($A77=Input!$A$5,$E77,"")</f>
        <v/>
      </c>
      <c r="AE77" s="386" t="str">
        <f>IF($A77=Input!$A$5,$F77,"")</f>
        <v/>
      </c>
      <c r="AF77" s="323"/>
      <c r="AG77" s="323"/>
      <c r="AH77" s="323"/>
      <c r="AI77" s="323"/>
      <c r="AJ77" s="323"/>
    </row>
    <row r="78" spans="1:36" x14ac:dyDescent="0.2">
      <c r="A78" s="250" t="str">
        <f>IF(BuffsDebuffs!$M74=1,BuffsDebuffs!G$2,"")</f>
        <v/>
      </c>
      <c r="B78" s="251" t="str">
        <f>IF(BuffsDebuffs!$M74=1,BuffsDebuffs!H$2,"")</f>
        <v/>
      </c>
      <c r="C78" s="251" t="str">
        <f>IF(BuffsDebuffs!$M74=1,BuffsDebuffs!I$2,"")</f>
        <v/>
      </c>
      <c r="D78" s="251" t="str">
        <f>IF(BuffsDebuffs!$M74=1,BuffsDebuffs!J$2,"")</f>
        <v/>
      </c>
      <c r="E78" s="251" t="str">
        <f>IF(BuffsDebuffs!$M74=1,BuffsDebuffs!K$2,"")</f>
        <v/>
      </c>
      <c r="F78" s="251" t="str">
        <f>IF(BuffsDebuffs!$M74=1,BuffsDebuffs!L$2,"")</f>
        <v/>
      </c>
      <c r="G78" s="387" t="str">
        <f>IF($A78=Input!$A$3,B78,"")</f>
        <v/>
      </c>
      <c r="H78" s="323" t="str">
        <f>IF($A78=Input!$A$3,C78,"")</f>
        <v/>
      </c>
      <c r="I78" s="323" t="str">
        <f>IF($A78=Input!$A$3,D78,"")</f>
        <v/>
      </c>
      <c r="J78" s="323" t="str">
        <f>IF($A78=Input!$A$3,E78,"")</f>
        <v/>
      </c>
      <c r="K78" s="386" t="str">
        <f>IF($A78=Input!$A$3,F78,"")</f>
        <v/>
      </c>
      <c r="L78" s="387"/>
      <c r="M78" s="323"/>
      <c r="N78" s="323"/>
      <c r="O78" s="323"/>
      <c r="P78" s="323"/>
      <c r="Q78" s="387" t="str">
        <f>IF($A78=Input!$A$4,$B78,"")</f>
        <v/>
      </c>
      <c r="R78" s="323" t="str">
        <f>IF($A78=Input!$A$4,$C78,"")</f>
        <v/>
      </c>
      <c r="S78" s="323" t="str">
        <f>IF($A78=Input!$A$4,$D78,"")</f>
        <v/>
      </c>
      <c r="T78" s="323" t="str">
        <f>IF($A78=Input!$A$4,$E78,"")</f>
        <v/>
      </c>
      <c r="U78" s="386" t="str">
        <f>IF($A78=Input!$A$4,$F78,"")</f>
        <v/>
      </c>
      <c r="V78" s="323"/>
      <c r="W78" s="323"/>
      <c r="X78" s="323"/>
      <c r="Y78" s="323"/>
      <c r="Z78" s="323"/>
      <c r="AA78" s="387" t="str">
        <f>IF($A78=Input!$A$5,$B78,"")</f>
        <v/>
      </c>
      <c r="AB78" s="323" t="str">
        <f>IF($A78=Input!$A$5,$C78,"")</f>
        <v/>
      </c>
      <c r="AC78" s="323" t="str">
        <f>IF($A78=Input!$A$5,$D78,"")</f>
        <v/>
      </c>
      <c r="AD78" s="323" t="str">
        <f>IF($A78=Input!$A$5,$E78,"")</f>
        <v/>
      </c>
      <c r="AE78" s="386" t="str">
        <f>IF($A78=Input!$A$5,$F78,"")</f>
        <v/>
      </c>
      <c r="AF78" s="323"/>
      <c r="AG78" s="323"/>
      <c r="AH78" s="323"/>
      <c r="AI78" s="323"/>
      <c r="AJ78" s="323"/>
    </row>
    <row r="79" spans="1:36" x14ac:dyDescent="0.2">
      <c r="A79" s="250" t="str">
        <f>IF(BuffsDebuffs!$M75=1,BuffsDebuffs!G$2,"")</f>
        <v/>
      </c>
      <c r="B79" s="251" t="str">
        <f>IF(BuffsDebuffs!$M75=1,BuffsDebuffs!H$2,"")</f>
        <v/>
      </c>
      <c r="C79" s="251" t="str">
        <f>IF(BuffsDebuffs!$M75=1,BuffsDebuffs!I$2,"")</f>
        <v/>
      </c>
      <c r="D79" s="251" t="str">
        <f>IF(BuffsDebuffs!$M75=1,BuffsDebuffs!J$2,"")</f>
        <v/>
      </c>
      <c r="E79" s="251" t="str">
        <f>IF(BuffsDebuffs!$M75=1,BuffsDebuffs!K$2,"")</f>
        <v/>
      </c>
      <c r="F79" s="251" t="str">
        <f>IF(BuffsDebuffs!$M75=1,BuffsDebuffs!L$2,"")</f>
        <v/>
      </c>
      <c r="G79" s="387" t="str">
        <f>IF($A79=Input!$A$3,B79,"")</f>
        <v/>
      </c>
      <c r="H79" s="323" t="str">
        <f>IF($A79=Input!$A$3,C79,"")</f>
        <v/>
      </c>
      <c r="I79" s="323" t="str">
        <f>IF($A79=Input!$A$3,D79,"")</f>
        <v/>
      </c>
      <c r="J79" s="323" t="str">
        <f>IF($A79=Input!$A$3,E79,"")</f>
        <v/>
      </c>
      <c r="K79" s="386" t="str">
        <f>IF($A79=Input!$A$3,F79,"")</f>
        <v/>
      </c>
      <c r="L79" s="387"/>
      <c r="M79" s="323"/>
      <c r="N79" s="323"/>
      <c r="O79" s="323"/>
      <c r="P79" s="323"/>
      <c r="Q79" s="387" t="str">
        <f>IF($A79=Input!$A$4,$B79,"")</f>
        <v/>
      </c>
      <c r="R79" s="323" t="str">
        <f>IF($A79=Input!$A$4,$C79,"")</f>
        <v/>
      </c>
      <c r="S79" s="323" t="str">
        <f>IF($A79=Input!$A$4,$D79,"")</f>
        <v/>
      </c>
      <c r="T79" s="323" t="str">
        <f>IF($A79=Input!$A$4,$E79,"")</f>
        <v/>
      </c>
      <c r="U79" s="386" t="str">
        <f>IF($A79=Input!$A$4,$F79,"")</f>
        <v/>
      </c>
      <c r="V79" s="323"/>
      <c r="W79" s="323"/>
      <c r="X79" s="323"/>
      <c r="Y79" s="323"/>
      <c r="Z79" s="323"/>
      <c r="AA79" s="387" t="str">
        <f>IF($A79=Input!$A$5,$B79,"")</f>
        <v/>
      </c>
      <c r="AB79" s="323" t="str">
        <f>IF($A79=Input!$A$5,$C79,"")</f>
        <v/>
      </c>
      <c r="AC79" s="323" t="str">
        <f>IF($A79=Input!$A$5,$D79,"")</f>
        <v/>
      </c>
      <c r="AD79" s="323" t="str">
        <f>IF($A79=Input!$A$5,$E79,"")</f>
        <v/>
      </c>
      <c r="AE79" s="386" t="str">
        <f>IF($A79=Input!$A$5,$F79,"")</f>
        <v/>
      </c>
      <c r="AF79" s="323"/>
      <c r="AG79" s="323"/>
      <c r="AH79" s="323"/>
      <c r="AI79" s="323"/>
      <c r="AJ79" s="323"/>
    </row>
    <row r="80" spans="1:36" x14ac:dyDescent="0.2">
      <c r="A80" s="250" t="str">
        <f>IF(BuffsDebuffs!$M76=1,BuffsDebuffs!G$2,"")</f>
        <v/>
      </c>
      <c r="B80" s="251" t="str">
        <f>IF(BuffsDebuffs!$M76=1,BuffsDebuffs!H$2,"")</f>
        <v/>
      </c>
      <c r="C80" s="251" t="str">
        <f>IF(BuffsDebuffs!$M76=1,BuffsDebuffs!I$2,"")</f>
        <v/>
      </c>
      <c r="D80" s="251" t="str">
        <f>IF(BuffsDebuffs!$M76=1,BuffsDebuffs!J$2,"")</f>
        <v/>
      </c>
      <c r="E80" s="251" t="str">
        <f>IF(BuffsDebuffs!$M76=1,BuffsDebuffs!K$2,"")</f>
        <v/>
      </c>
      <c r="F80" s="251" t="str">
        <f>IF(BuffsDebuffs!$M76=1,BuffsDebuffs!L$2,"")</f>
        <v/>
      </c>
      <c r="G80" s="387" t="str">
        <f>IF($A80=Input!$A$3,B80,"")</f>
        <v/>
      </c>
      <c r="H80" s="323" t="str">
        <f>IF($A80=Input!$A$3,C80,"")</f>
        <v/>
      </c>
      <c r="I80" s="323" t="str">
        <f>IF($A80=Input!$A$3,D80,"")</f>
        <v/>
      </c>
      <c r="J80" s="323" t="str">
        <f>IF($A80=Input!$A$3,E80,"")</f>
        <v/>
      </c>
      <c r="K80" s="386" t="str">
        <f>IF($A80=Input!$A$3,F80,"")</f>
        <v/>
      </c>
      <c r="L80" s="387"/>
      <c r="M80" s="323"/>
      <c r="N80" s="323"/>
      <c r="O80" s="323"/>
      <c r="P80" s="323"/>
      <c r="Q80" s="387" t="str">
        <f>IF($A80=Input!$A$4,$B80,"")</f>
        <v/>
      </c>
      <c r="R80" s="323" t="str">
        <f>IF($A80=Input!$A$4,$C80,"")</f>
        <v/>
      </c>
      <c r="S80" s="323" t="str">
        <f>IF($A80=Input!$A$4,$D80,"")</f>
        <v/>
      </c>
      <c r="T80" s="323" t="str">
        <f>IF($A80=Input!$A$4,$E80,"")</f>
        <v/>
      </c>
      <c r="U80" s="386" t="str">
        <f>IF($A80=Input!$A$4,$F80,"")</f>
        <v/>
      </c>
      <c r="V80" s="323"/>
      <c r="W80" s="323"/>
      <c r="X80" s="323"/>
      <c r="Y80" s="323"/>
      <c r="Z80" s="323"/>
      <c r="AA80" s="387" t="str">
        <f>IF($A80=Input!$A$5,$B80,"")</f>
        <v/>
      </c>
      <c r="AB80" s="323" t="str">
        <f>IF($A80=Input!$A$5,$C80,"")</f>
        <v/>
      </c>
      <c r="AC80" s="323" t="str">
        <f>IF($A80=Input!$A$5,$D80,"")</f>
        <v/>
      </c>
      <c r="AD80" s="323" t="str">
        <f>IF($A80=Input!$A$5,$E80,"")</f>
        <v/>
      </c>
      <c r="AE80" s="386" t="str">
        <f>IF($A80=Input!$A$5,$F80,"")</f>
        <v/>
      </c>
      <c r="AF80" s="323"/>
      <c r="AG80" s="323"/>
      <c r="AH80" s="323"/>
      <c r="AI80" s="323"/>
      <c r="AJ80" s="323"/>
    </row>
    <row r="81" spans="1:36" x14ac:dyDescent="0.2">
      <c r="A81" s="250" t="str">
        <f>IF(BuffsDebuffs!$M77=1,BuffsDebuffs!G$2,"")</f>
        <v/>
      </c>
      <c r="B81" s="251" t="str">
        <f>IF(BuffsDebuffs!$M77=1,BuffsDebuffs!H$2,"")</f>
        <v/>
      </c>
      <c r="C81" s="251" t="str">
        <f>IF(BuffsDebuffs!$M77=1,BuffsDebuffs!I$2,"")</f>
        <v/>
      </c>
      <c r="D81" s="251" t="str">
        <f>IF(BuffsDebuffs!$M77=1,BuffsDebuffs!J$2,"")</f>
        <v/>
      </c>
      <c r="E81" s="251" t="str">
        <f>IF(BuffsDebuffs!$M77=1,BuffsDebuffs!K$2,"")</f>
        <v/>
      </c>
      <c r="F81" s="251" t="str">
        <f>IF(BuffsDebuffs!$M77=1,BuffsDebuffs!L$2,"")</f>
        <v/>
      </c>
      <c r="G81" s="387" t="str">
        <f>IF($A81=Input!$A$3,B81,"")</f>
        <v/>
      </c>
      <c r="H81" s="323" t="str">
        <f>IF($A81=Input!$A$3,C81,"")</f>
        <v/>
      </c>
      <c r="I81" s="323" t="str">
        <f>IF($A81=Input!$A$3,D81,"")</f>
        <v/>
      </c>
      <c r="J81" s="323" t="str">
        <f>IF($A81=Input!$A$3,E81,"")</f>
        <v/>
      </c>
      <c r="K81" s="386" t="str">
        <f>IF($A81=Input!$A$3,F81,"")</f>
        <v/>
      </c>
      <c r="L81" s="387"/>
      <c r="M81" s="323"/>
      <c r="N81" s="323"/>
      <c r="O81" s="323"/>
      <c r="P81" s="323"/>
      <c r="Q81" s="387" t="str">
        <f>IF($A81=Input!$A$4,$B81,"")</f>
        <v/>
      </c>
      <c r="R81" s="323" t="str">
        <f>IF($A81=Input!$A$4,$C81,"")</f>
        <v/>
      </c>
      <c r="S81" s="323" t="str">
        <f>IF($A81=Input!$A$4,$D81,"")</f>
        <v/>
      </c>
      <c r="T81" s="323" t="str">
        <f>IF($A81=Input!$A$4,$E81,"")</f>
        <v/>
      </c>
      <c r="U81" s="386" t="str">
        <f>IF($A81=Input!$A$4,$F81,"")</f>
        <v/>
      </c>
      <c r="V81" s="323"/>
      <c r="W81" s="323"/>
      <c r="X81" s="323"/>
      <c r="Y81" s="323"/>
      <c r="Z81" s="323"/>
      <c r="AA81" s="387" t="str">
        <f>IF($A81=Input!$A$5,$B81,"")</f>
        <v/>
      </c>
      <c r="AB81" s="323" t="str">
        <f>IF($A81=Input!$A$5,$C81,"")</f>
        <v/>
      </c>
      <c r="AC81" s="323" t="str">
        <f>IF($A81=Input!$A$5,$D81,"")</f>
        <v/>
      </c>
      <c r="AD81" s="323" t="str">
        <f>IF($A81=Input!$A$5,$E81,"")</f>
        <v/>
      </c>
      <c r="AE81" s="386" t="str">
        <f>IF($A81=Input!$A$5,$F81,"")</f>
        <v/>
      </c>
      <c r="AF81" s="323"/>
      <c r="AG81" s="323"/>
      <c r="AH81" s="323"/>
      <c r="AI81" s="323"/>
      <c r="AJ81" s="323"/>
    </row>
    <row r="82" spans="1:36" x14ac:dyDescent="0.2">
      <c r="A82" s="250" t="str">
        <f>IF(BuffsDebuffs!$M78=1,BuffsDebuffs!G$2,"")</f>
        <v/>
      </c>
      <c r="B82" s="251" t="str">
        <f>IF(BuffsDebuffs!$M78=1,BuffsDebuffs!H$2,"")</f>
        <v/>
      </c>
      <c r="C82" s="251" t="str">
        <f>IF(BuffsDebuffs!$M78=1,BuffsDebuffs!I$2,"")</f>
        <v/>
      </c>
      <c r="D82" s="251" t="str">
        <f>IF(BuffsDebuffs!$M78=1,BuffsDebuffs!J$2,"")</f>
        <v/>
      </c>
      <c r="E82" s="251" t="str">
        <f>IF(BuffsDebuffs!$M78=1,BuffsDebuffs!K$2,"")</f>
        <v/>
      </c>
      <c r="F82" s="251" t="str">
        <f>IF(BuffsDebuffs!$M78=1,BuffsDebuffs!L$2,"")</f>
        <v/>
      </c>
      <c r="G82" s="387" t="str">
        <f>IF($A82=Input!$A$3,B82,"")</f>
        <v/>
      </c>
      <c r="H82" s="323" t="str">
        <f>IF($A82=Input!$A$3,C82,"")</f>
        <v/>
      </c>
      <c r="I82" s="323" t="str">
        <f>IF($A82=Input!$A$3,D82,"")</f>
        <v/>
      </c>
      <c r="J82" s="323" t="str">
        <f>IF($A82=Input!$A$3,E82,"")</f>
        <v/>
      </c>
      <c r="K82" s="386" t="str">
        <f>IF($A82=Input!$A$3,F82,"")</f>
        <v/>
      </c>
      <c r="L82" s="387"/>
      <c r="M82" s="323"/>
      <c r="N82" s="323"/>
      <c r="O82" s="323"/>
      <c r="P82" s="323"/>
      <c r="Q82" s="387" t="str">
        <f>IF($A82=Input!$A$4,$B82,"")</f>
        <v/>
      </c>
      <c r="R82" s="323" t="str">
        <f>IF($A82=Input!$A$4,$C82,"")</f>
        <v/>
      </c>
      <c r="S82" s="323" t="str">
        <f>IF($A82=Input!$A$4,$D82,"")</f>
        <v/>
      </c>
      <c r="T82" s="323" t="str">
        <f>IF($A82=Input!$A$4,$E82,"")</f>
        <v/>
      </c>
      <c r="U82" s="386" t="str">
        <f>IF($A82=Input!$A$4,$F82,"")</f>
        <v/>
      </c>
      <c r="V82" s="323"/>
      <c r="W82" s="323"/>
      <c r="X82" s="323"/>
      <c r="Y82" s="323"/>
      <c r="Z82" s="323"/>
      <c r="AA82" s="387" t="str">
        <f>IF($A82=Input!$A$5,$B82,"")</f>
        <v/>
      </c>
      <c r="AB82" s="323" t="str">
        <f>IF($A82=Input!$A$5,$C82,"")</f>
        <v/>
      </c>
      <c r="AC82" s="323" t="str">
        <f>IF($A82=Input!$A$5,$D82,"")</f>
        <v/>
      </c>
      <c r="AD82" s="323" t="str">
        <f>IF($A82=Input!$A$5,$E82,"")</f>
        <v/>
      </c>
      <c r="AE82" s="386" t="str">
        <f>IF($A82=Input!$A$5,$F82,"")</f>
        <v/>
      </c>
      <c r="AF82" s="323"/>
      <c r="AG82" s="323"/>
      <c r="AH82" s="323"/>
      <c r="AI82" s="323"/>
      <c r="AJ82" s="323"/>
    </row>
    <row r="83" spans="1:36" x14ac:dyDescent="0.2">
      <c r="A83" s="250" t="str">
        <f>IF(BuffsDebuffs!$M79=1,BuffsDebuffs!G$2,"")</f>
        <v/>
      </c>
      <c r="B83" s="251" t="str">
        <f>IF(BuffsDebuffs!$M79=1,BuffsDebuffs!H$2,"")</f>
        <v/>
      </c>
      <c r="C83" s="251" t="str">
        <f>IF(BuffsDebuffs!$M79=1,BuffsDebuffs!I$2,"")</f>
        <v/>
      </c>
      <c r="D83" s="251" t="str">
        <f>IF(BuffsDebuffs!$M79=1,BuffsDebuffs!J$2,"")</f>
        <v/>
      </c>
      <c r="E83" s="251" t="str">
        <f>IF(BuffsDebuffs!$M79=1,BuffsDebuffs!K$2,"")</f>
        <v/>
      </c>
      <c r="F83" s="251" t="str">
        <f>IF(BuffsDebuffs!$M79=1,BuffsDebuffs!L$2,"")</f>
        <v/>
      </c>
      <c r="G83" s="387" t="str">
        <f>IF($A83=Input!$A$3,B83,"")</f>
        <v/>
      </c>
      <c r="H83" s="323" t="str">
        <f>IF($A83=Input!$A$3,C83,"")</f>
        <v/>
      </c>
      <c r="I83" s="323" t="str">
        <f>IF($A83=Input!$A$3,D83,"")</f>
        <v/>
      </c>
      <c r="J83" s="323" t="str">
        <f>IF($A83=Input!$A$3,E83,"")</f>
        <v/>
      </c>
      <c r="K83" s="386" t="str">
        <f>IF($A83=Input!$A$3,F83,"")</f>
        <v/>
      </c>
      <c r="L83" s="387"/>
      <c r="M83" s="323"/>
      <c r="N83" s="323"/>
      <c r="O83" s="323"/>
      <c r="P83" s="323"/>
      <c r="Q83" s="387" t="str">
        <f>IF($A83=Input!$A$4,$B83,"")</f>
        <v/>
      </c>
      <c r="R83" s="323" t="str">
        <f>IF($A83=Input!$A$4,$C83,"")</f>
        <v/>
      </c>
      <c r="S83" s="323" t="str">
        <f>IF($A83=Input!$A$4,$D83,"")</f>
        <v/>
      </c>
      <c r="T83" s="323" t="str">
        <f>IF($A83=Input!$A$4,$E83,"")</f>
        <v/>
      </c>
      <c r="U83" s="386" t="str">
        <f>IF($A83=Input!$A$4,$F83,"")</f>
        <v/>
      </c>
      <c r="V83" s="323"/>
      <c r="W83" s="323"/>
      <c r="X83" s="323"/>
      <c r="Y83" s="323"/>
      <c r="Z83" s="323"/>
      <c r="AA83" s="387" t="str">
        <f>IF($A83=Input!$A$5,$B83,"")</f>
        <v/>
      </c>
      <c r="AB83" s="323" t="str">
        <f>IF($A83=Input!$A$5,$C83,"")</f>
        <v/>
      </c>
      <c r="AC83" s="323" t="str">
        <f>IF($A83=Input!$A$5,$D83,"")</f>
        <v/>
      </c>
      <c r="AD83" s="323" t="str">
        <f>IF($A83=Input!$A$5,$E83,"")</f>
        <v/>
      </c>
      <c r="AE83" s="386" t="str">
        <f>IF($A83=Input!$A$5,$F83,"")</f>
        <v/>
      </c>
      <c r="AF83" s="323"/>
      <c r="AG83" s="323"/>
      <c r="AH83" s="323"/>
      <c r="AI83" s="323"/>
      <c r="AJ83" s="323"/>
    </row>
    <row r="84" spans="1:36" x14ac:dyDescent="0.2">
      <c r="A84" s="250" t="str">
        <f>IF(BuffsDebuffs!$M80=1,BuffsDebuffs!G$2,"")</f>
        <v/>
      </c>
      <c r="B84" s="251" t="str">
        <f>IF(BuffsDebuffs!$M80=1,BuffsDebuffs!H$2,"")</f>
        <v/>
      </c>
      <c r="C84" s="251" t="str">
        <f>IF(BuffsDebuffs!$M80=1,BuffsDebuffs!I$2,"")</f>
        <v/>
      </c>
      <c r="D84" s="251" t="str">
        <f>IF(BuffsDebuffs!$M80=1,BuffsDebuffs!J$2,"")</f>
        <v/>
      </c>
      <c r="E84" s="251" t="str">
        <f>IF(BuffsDebuffs!$M80=1,BuffsDebuffs!K$2,"")</f>
        <v/>
      </c>
      <c r="F84" s="251" t="str">
        <f>IF(BuffsDebuffs!$M80=1,BuffsDebuffs!L$2,"")</f>
        <v/>
      </c>
      <c r="G84" s="387" t="str">
        <f>IF($A84=Input!$A$3,B84,"")</f>
        <v/>
      </c>
      <c r="H84" s="323" t="str">
        <f>IF($A84=Input!$A$3,C84,"")</f>
        <v/>
      </c>
      <c r="I84" s="323" t="str">
        <f>IF($A84=Input!$A$3,D84,"")</f>
        <v/>
      </c>
      <c r="J84" s="323" t="str">
        <f>IF($A84=Input!$A$3,E84,"")</f>
        <v/>
      </c>
      <c r="K84" s="386" t="str">
        <f>IF($A84=Input!$A$3,F84,"")</f>
        <v/>
      </c>
      <c r="L84" s="387"/>
      <c r="M84" s="323"/>
      <c r="N84" s="323"/>
      <c r="O84" s="323"/>
      <c r="P84" s="323"/>
      <c r="Q84" s="387" t="str">
        <f>IF($A84=Input!$A$4,$B84,"")</f>
        <v/>
      </c>
      <c r="R84" s="323" t="str">
        <f>IF($A84=Input!$A$4,$C84,"")</f>
        <v/>
      </c>
      <c r="S84" s="323" t="str">
        <f>IF($A84=Input!$A$4,$D84,"")</f>
        <v/>
      </c>
      <c r="T84" s="323" t="str">
        <f>IF($A84=Input!$A$4,$E84,"")</f>
        <v/>
      </c>
      <c r="U84" s="386" t="str">
        <f>IF($A84=Input!$A$4,$F84,"")</f>
        <v/>
      </c>
      <c r="V84" s="323"/>
      <c r="W84" s="323"/>
      <c r="X84" s="323"/>
      <c r="Y84" s="323"/>
      <c r="Z84" s="323"/>
      <c r="AA84" s="387" t="str">
        <f>IF($A84=Input!$A$5,$B84,"")</f>
        <v/>
      </c>
      <c r="AB84" s="323" t="str">
        <f>IF($A84=Input!$A$5,$C84,"")</f>
        <v/>
      </c>
      <c r="AC84" s="323" t="str">
        <f>IF($A84=Input!$A$5,$D84,"")</f>
        <v/>
      </c>
      <c r="AD84" s="323" t="str">
        <f>IF($A84=Input!$A$5,$E84,"")</f>
        <v/>
      </c>
      <c r="AE84" s="386" t="str">
        <f>IF($A84=Input!$A$5,$F84,"")</f>
        <v/>
      </c>
      <c r="AF84" s="323"/>
      <c r="AG84" s="323"/>
      <c r="AH84" s="323"/>
      <c r="AI84" s="323"/>
      <c r="AJ84" s="323"/>
    </row>
    <row r="85" spans="1:36" x14ac:dyDescent="0.2">
      <c r="A85" s="250" t="str">
        <f>IF(BuffsDebuffs!$M81=1,BuffsDebuffs!G$2,"")</f>
        <v/>
      </c>
      <c r="B85" s="251" t="str">
        <f>IF(BuffsDebuffs!$M81=1,BuffsDebuffs!H$2,"")</f>
        <v/>
      </c>
      <c r="C85" s="251" t="str">
        <f>IF(BuffsDebuffs!$M81=1,BuffsDebuffs!I$2,"")</f>
        <v/>
      </c>
      <c r="D85" s="251" t="str">
        <f>IF(BuffsDebuffs!$M81=1,BuffsDebuffs!J$2,"")</f>
        <v/>
      </c>
      <c r="E85" s="251" t="str">
        <f>IF(BuffsDebuffs!$M81=1,BuffsDebuffs!K$2,"")</f>
        <v/>
      </c>
      <c r="F85" s="251" t="str">
        <f>IF(BuffsDebuffs!$M81=1,BuffsDebuffs!L$2,"")</f>
        <v/>
      </c>
      <c r="G85" s="387" t="str">
        <f>IF($A85=Input!$A$3,B85,"")</f>
        <v/>
      </c>
      <c r="H85" s="323" t="str">
        <f>IF($A85=Input!$A$3,C85,"")</f>
        <v/>
      </c>
      <c r="I85" s="323" t="str">
        <f>IF($A85=Input!$A$3,D85,"")</f>
        <v/>
      </c>
      <c r="J85" s="323" t="str">
        <f>IF($A85=Input!$A$3,E85,"")</f>
        <v/>
      </c>
      <c r="K85" s="386" t="str">
        <f>IF($A85=Input!$A$3,F85,"")</f>
        <v/>
      </c>
      <c r="L85" s="387"/>
      <c r="M85" s="323"/>
      <c r="N85" s="323"/>
      <c r="O85" s="323"/>
      <c r="P85" s="323"/>
      <c r="Q85" s="387" t="str">
        <f>IF($A85=Input!$A$4,$B85,"")</f>
        <v/>
      </c>
      <c r="R85" s="323" t="str">
        <f>IF($A85=Input!$A$4,$C85,"")</f>
        <v/>
      </c>
      <c r="S85" s="323" t="str">
        <f>IF($A85=Input!$A$4,$D85,"")</f>
        <v/>
      </c>
      <c r="T85" s="323" t="str">
        <f>IF($A85=Input!$A$4,$E85,"")</f>
        <v/>
      </c>
      <c r="U85" s="386" t="str">
        <f>IF($A85=Input!$A$4,$F85,"")</f>
        <v/>
      </c>
      <c r="V85" s="323"/>
      <c r="W85" s="323"/>
      <c r="X85" s="323"/>
      <c r="Y85" s="323"/>
      <c r="Z85" s="323"/>
      <c r="AA85" s="387" t="str">
        <f>IF($A85=Input!$A$5,$B85,"")</f>
        <v/>
      </c>
      <c r="AB85" s="323" t="str">
        <f>IF($A85=Input!$A$5,$C85,"")</f>
        <v/>
      </c>
      <c r="AC85" s="323" t="str">
        <f>IF($A85=Input!$A$5,$D85,"")</f>
        <v/>
      </c>
      <c r="AD85" s="323" t="str">
        <f>IF($A85=Input!$A$5,$E85,"")</f>
        <v/>
      </c>
      <c r="AE85" s="386" t="str">
        <f>IF($A85=Input!$A$5,$F85,"")</f>
        <v/>
      </c>
      <c r="AF85" s="323"/>
      <c r="AG85" s="323"/>
      <c r="AH85" s="323"/>
      <c r="AI85" s="323"/>
      <c r="AJ85" s="323"/>
    </row>
    <row r="86" spans="1:36" x14ac:dyDescent="0.2">
      <c r="A86" s="250" t="str">
        <f>IF(BuffsDebuffs!$M82=1,BuffsDebuffs!G$2,"")</f>
        <v/>
      </c>
      <c r="B86" s="251" t="str">
        <f>IF(BuffsDebuffs!$M82=1,BuffsDebuffs!H$2,"")</f>
        <v/>
      </c>
      <c r="C86" s="251" t="str">
        <f>IF(BuffsDebuffs!$M82=1,BuffsDebuffs!I$2,"")</f>
        <v/>
      </c>
      <c r="D86" s="251" t="str">
        <f>IF(BuffsDebuffs!$M82=1,BuffsDebuffs!J$2,"")</f>
        <v/>
      </c>
      <c r="E86" s="251" t="str">
        <f>IF(BuffsDebuffs!$M82=1,BuffsDebuffs!K$2,"")</f>
        <v/>
      </c>
      <c r="F86" s="251" t="str">
        <f>IF(BuffsDebuffs!$M82=1,BuffsDebuffs!L$2,"")</f>
        <v/>
      </c>
      <c r="G86" s="387" t="str">
        <f>IF($A86=Input!$A$3,B86,"")</f>
        <v/>
      </c>
      <c r="H86" s="323" t="str">
        <f>IF($A86=Input!$A$3,C86,"")</f>
        <v/>
      </c>
      <c r="I86" s="323" t="str">
        <f>IF($A86=Input!$A$3,D86,"")</f>
        <v/>
      </c>
      <c r="J86" s="323" t="str">
        <f>IF($A86=Input!$A$3,E86,"")</f>
        <v/>
      </c>
      <c r="K86" s="386" t="str">
        <f>IF($A86=Input!$A$3,F86,"")</f>
        <v/>
      </c>
      <c r="L86" s="387"/>
      <c r="M86" s="323"/>
      <c r="N86" s="323"/>
      <c r="O86" s="323"/>
      <c r="P86" s="323"/>
      <c r="Q86" s="387" t="str">
        <f>IF($A86=Input!$A$4,$B86,"")</f>
        <v/>
      </c>
      <c r="R86" s="323" t="str">
        <f>IF($A86=Input!$A$4,$C86,"")</f>
        <v/>
      </c>
      <c r="S86" s="323" t="str">
        <f>IF($A86=Input!$A$4,$D86,"")</f>
        <v/>
      </c>
      <c r="T86" s="323" t="str">
        <f>IF($A86=Input!$A$4,$E86,"")</f>
        <v/>
      </c>
      <c r="U86" s="386" t="str">
        <f>IF($A86=Input!$A$4,$F86,"")</f>
        <v/>
      </c>
      <c r="V86" s="323"/>
      <c r="W86" s="323"/>
      <c r="X86" s="323"/>
      <c r="Y86" s="323"/>
      <c r="Z86" s="323"/>
      <c r="AA86" s="387" t="str">
        <f>IF($A86=Input!$A$5,$B86,"")</f>
        <v/>
      </c>
      <c r="AB86" s="323" t="str">
        <f>IF($A86=Input!$A$5,$C86,"")</f>
        <v/>
      </c>
      <c r="AC86" s="323" t="str">
        <f>IF($A86=Input!$A$5,$D86,"")</f>
        <v/>
      </c>
      <c r="AD86" s="323" t="str">
        <f>IF($A86=Input!$A$5,$E86,"")</f>
        <v/>
      </c>
      <c r="AE86" s="386" t="str">
        <f>IF($A86=Input!$A$5,$F86,"")</f>
        <v/>
      </c>
      <c r="AF86" s="323"/>
      <c r="AG86" s="323"/>
      <c r="AH86" s="323"/>
      <c r="AI86" s="323"/>
      <c r="AJ86" s="323"/>
    </row>
    <row r="87" spans="1:36" x14ac:dyDescent="0.2">
      <c r="A87" s="250" t="str">
        <f>IF(BuffsDebuffs!$M83=1,BuffsDebuffs!G$2,"")</f>
        <v/>
      </c>
      <c r="B87" s="251" t="str">
        <f>IF(BuffsDebuffs!$M83=1,BuffsDebuffs!H$2,"")</f>
        <v/>
      </c>
      <c r="C87" s="251" t="str">
        <f>IF(BuffsDebuffs!$M83=1,BuffsDebuffs!I$2,"")</f>
        <v/>
      </c>
      <c r="D87" s="251" t="str">
        <f>IF(BuffsDebuffs!$M83=1,BuffsDebuffs!J$2,"")</f>
        <v/>
      </c>
      <c r="E87" s="251" t="str">
        <f>IF(BuffsDebuffs!$M83=1,BuffsDebuffs!K$2,"")</f>
        <v/>
      </c>
      <c r="F87" s="251" t="str">
        <f>IF(BuffsDebuffs!$M83=1,BuffsDebuffs!L$2,"")</f>
        <v/>
      </c>
      <c r="G87" s="387" t="str">
        <f>IF($A87=Input!$A$3,B87,"")</f>
        <v/>
      </c>
      <c r="H87" s="323" t="str">
        <f>IF($A87=Input!$A$3,C87,"")</f>
        <v/>
      </c>
      <c r="I87" s="323" t="str">
        <f>IF($A87=Input!$A$3,D87,"")</f>
        <v/>
      </c>
      <c r="J87" s="323" t="str">
        <f>IF($A87=Input!$A$3,E87,"")</f>
        <v/>
      </c>
      <c r="K87" s="386" t="str">
        <f>IF($A87=Input!$A$3,F87,"")</f>
        <v/>
      </c>
      <c r="L87" s="387"/>
      <c r="M87" s="323"/>
      <c r="N87" s="323"/>
      <c r="O87" s="323"/>
      <c r="P87" s="323"/>
      <c r="Q87" s="387" t="str">
        <f>IF($A87=Input!$A$4,$B87,"")</f>
        <v/>
      </c>
      <c r="R87" s="323" t="str">
        <f>IF($A87=Input!$A$4,$C87,"")</f>
        <v/>
      </c>
      <c r="S87" s="323" t="str">
        <f>IF($A87=Input!$A$4,$D87,"")</f>
        <v/>
      </c>
      <c r="T87" s="323" t="str">
        <f>IF($A87=Input!$A$4,$E87,"")</f>
        <v/>
      </c>
      <c r="U87" s="386" t="str">
        <f>IF($A87=Input!$A$4,$F87,"")</f>
        <v/>
      </c>
      <c r="V87" s="323"/>
      <c r="W87" s="323"/>
      <c r="X87" s="323"/>
      <c r="Y87" s="323"/>
      <c r="Z87" s="323"/>
      <c r="AA87" s="387" t="str">
        <f>IF($A87=Input!$A$5,$B87,"")</f>
        <v/>
      </c>
      <c r="AB87" s="323" t="str">
        <f>IF($A87=Input!$A$5,$C87,"")</f>
        <v/>
      </c>
      <c r="AC87" s="323" t="str">
        <f>IF($A87=Input!$A$5,$D87,"")</f>
        <v/>
      </c>
      <c r="AD87" s="323" t="str">
        <f>IF($A87=Input!$A$5,$E87,"")</f>
        <v/>
      </c>
      <c r="AE87" s="386" t="str">
        <f>IF($A87=Input!$A$5,$F87,"")</f>
        <v/>
      </c>
      <c r="AF87" s="323"/>
      <c r="AG87" s="323"/>
      <c r="AH87" s="323"/>
      <c r="AI87" s="323"/>
      <c r="AJ87" s="323"/>
    </row>
    <row r="88" spans="1:36" x14ac:dyDescent="0.2">
      <c r="A88" s="250" t="str">
        <f>IF(BuffsDebuffs!$M84=1,BuffsDebuffs!G$2,"")</f>
        <v/>
      </c>
      <c r="B88" s="251" t="str">
        <f>IF(BuffsDebuffs!$M84=1,BuffsDebuffs!H$2,"")</f>
        <v/>
      </c>
      <c r="C88" s="251" t="str">
        <f>IF(BuffsDebuffs!$M84=1,BuffsDebuffs!I$2,"")</f>
        <v/>
      </c>
      <c r="D88" s="251" t="str">
        <f>IF(BuffsDebuffs!$M84=1,BuffsDebuffs!J$2,"")</f>
        <v/>
      </c>
      <c r="E88" s="251" t="str">
        <f>IF(BuffsDebuffs!$M84=1,BuffsDebuffs!K$2,"")</f>
        <v/>
      </c>
      <c r="F88" s="251" t="str">
        <f>IF(BuffsDebuffs!$M84=1,BuffsDebuffs!L$2,"")</f>
        <v/>
      </c>
      <c r="G88" s="387" t="str">
        <f>IF($A88=Input!$A$3,B88,"")</f>
        <v/>
      </c>
      <c r="H88" s="323" t="str">
        <f>IF($A88=Input!$A$3,C88,"")</f>
        <v/>
      </c>
      <c r="I88" s="323" t="str">
        <f>IF($A88=Input!$A$3,D88,"")</f>
        <v/>
      </c>
      <c r="J88" s="323" t="str">
        <f>IF($A88=Input!$A$3,E88,"")</f>
        <v/>
      </c>
      <c r="K88" s="386" t="str">
        <f>IF($A88=Input!$A$3,F88,"")</f>
        <v/>
      </c>
      <c r="L88" s="387"/>
      <c r="M88" s="323"/>
      <c r="N88" s="323"/>
      <c r="O88" s="323"/>
      <c r="P88" s="323"/>
      <c r="Q88" s="387" t="str">
        <f>IF($A88=Input!$A$4,$B88,"")</f>
        <v/>
      </c>
      <c r="R88" s="323" t="str">
        <f>IF($A88=Input!$A$4,$C88,"")</f>
        <v/>
      </c>
      <c r="S88" s="323" t="str">
        <f>IF($A88=Input!$A$4,$D88,"")</f>
        <v/>
      </c>
      <c r="T88" s="323" t="str">
        <f>IF($A88=Input!$A$4,$E88,"")</f>
        <v/>
      </c>
      <c r="U88" s="386" t="str">
        <f>IF($A88=Input!$A$4,$F88,"")</f>
        <v/>
      </c>
      <c r="V88" s="323"/>
      <c r="W88" s="323"/>
      <c r="X88" s="323"/>
      <c r="Y88" s="323"/>
      <c r="Z88" s="323"/>
      <c r="AA88" s="387" t="str">
        <f>IF($A88=Input!$A$5,$B88,"")</f>
        <v/>
      </c>
      <c r="AB88" s="323" t="str">
        <f>IF($A88=Input!$A$5,$C88,"")</f>
        <v/>
      </c>
      <c r="AC88" s="323" t="str">
        <f>IF($A88=Input!$A$5,$D88,"")</f>
        <v/>
      </c>
      <c r="AD88" s="323" t="str">
        <f>IF($A88=Input!$A$5,$E88,"")</f>
        <v/>
      </c>
      <c r="AE88" s="386" t="str">
        <f>IF($A88=Input!$A$5,$F88,"")</f>
        <v/>
      </c>
      <c r="AF88" s="323"/>
      <c r="AG88" s="323"/>
      <c r="AH88" s="323"/>
      <c r="AI88" s="323"/>
      <c r="AJ88" s="323"/>
    </row>
    <row r="89" spans="1:36" x14ac:dyDescent="0.2">
      <c r="A89" s="250" t="str">
        <f>IF(BuffsDebuffs!$M85=1,BuffsDebuffs!G$2,"")</f>
        <v/>
      </c>
      <c r="B89" s="251" t="str">
        <f>IF(BuffsDebuffs!$M85=1,BuffsDebuffs!H$2,"")</f>
        <v/>
      </c>
      <c r="C89" s="251" t="str">
        <f>IF(BuffsDebuffs!$M85=1,BuffsDebuffs!I$2,"")</f>
        <v/>
      </c>
      <c r="D89" s="251" t="str">
        <f>IF(BuffsDebuffs!$M85=1,BuffsDebuffs!J$2,"")</f>
        <v/>
      </c>
      <c r="E89" s="251" t="str">
        <f>IF(BuffsDebuffs!$M85=1,BuffsDebuffs!K$2,"")</f>
        <v/>
      </c>
      <c r="F89" s="251" t="str">
        <f>IF(BuffsDebuffs!$M85=1,BuffsDebuffs!L$2,"")</f>
        <v/>
      </c>
      <c r="G89" s="387" t="str">
        <f>IF($A89=Input!$A$3,B89,"")</f>
        <v/>
      </c>
      <c r="H89" s="323" t="str">
        <f>IF($A89=Input!$A$3,C89,"")</f>
        <v/>
      </c>
      <c r="I89" s="323" t="str">
        <f>IF($A89=Input!$A$3,D89,"")</f>
        <v/>
      </c>
      <c r="J89" s="323" t="str">
        <f>IF($A89=Input!$A$3,E89,"")</f>
        <v/>
      </c>
      <c r="K89" s="386" t="str">
        <f>IF($A89=Input!$A$3,F89,"")</f>
        <v/>
      </c>
      <c r="L89" s="387"/>
      <c r="M89" s="323"/>
      <c r="N89" s="323"/>
      <c r="O89" s="323"/>
      <c r="P89" s="323"/>
      <c r="Q89" s="387" t="str">
        <f>IF($A89=Input!$A$4,$B89,"")</f>
        <v/>
      </c>
      <c r="R89" s="323" t="str">
        <f>IF($A89=Input!$A$4,$C89,"")</f>
        <v/>
      </c>
      <c r="S89" s="323" t="str">
        <f>IF($A89=Input!$A$4,$D89,"")</f>
        <v/>
      </c>
      <c r="T89" s="323" t="str">
        <f>IF($A89=Input!$A$4,$E89,"")</f>
        <v/>
      </c>
      <c r="U89" s="386" t="str">
        <f>IF($A89=Input!$A$4,$F89,"")</f>
        <v/>
      </c>
      <c r="V89" s="323"/>
      <c r="W89" s="323"/>
      <c r="X89" s="323"/>
      <c r="Y89" s="323"/>
      <c r="Z89" s="323"/>
      <c r="AA89" s="387" t="str">
        <f>IF($A89=Input!$A$5,$B89,"")</f>
        <v/>
      </c>
      <c r="AB89" s="323" t="str">
        <f>IF($A89=Input!$A$5,$C89,"")</f>
        <v/>
      </c>
      <c r="AC89" s="323" t="str">
        <f>IF($A89=Input!$A$5,$D89,"")</f>
        <v/>
      </c>
      <c r="AD89" s="323" t="str">
        <f>IF($A89=Input!$A$5,$E89,"")</f>
        <v/>
      </c>
      <c r="AE89" s="386" t="str">
        <f>IF($A89=Input!$A$5,$F89,"")</f>
        <v/>
      </c>
      <c r="AF89" s="323"/>
      <c r="AG89" s="323"/>
      <c r="AH89" s="323"/>
      <c r="AI89" s="323"/>
      <c r="AJ89" s="323"/>
    </row>
    <row r="90" spans="1:36" x14ac:dyDescent="0.2">
      <c r="A90" s="250" t="str">
        <f>IF(BuffsDebuffs!$M86=1,BuffsDebuffs!G$2,"")</f>
        <v/>
      </c>
      <c r="B90" s="251" t="str">
        <f>IF(BuffsDebuffs!$M86=1,BuffsDebuffs!H$2,"")</f>
        <v/>
      </c>
      <c r="C90" s="251" t="str">
        <f>IF(BuffsDebuffs!$M86=1,BuffsDebuffs!I$2,"")</f>
        <v/>
      </c>
      <c r="D90" s="251" t="str">
        <f>IF(BuffsDebuffs!$M86=1,BuffsDebuffs!J$2,"")</f>
        <v/>
      </c>
      <c r="E90" s="251" t="str">
        <f>IF(BuffsDebuffs!$M86=1,BuffsDebuffs!K$2,"")</f>
        <v/>
      </c>
      <c r="F90" s="251" t="str">
        <f>IF(BuffsDebuffs!$M86=1,BuffsDebuffs!L$2,"")</f>
        <v/>
      </c>
      <c r="G90" s="387" t="str">
        <f>IF($A90=Input!$A$3,B90,"")</f>
        <v/>
      </c>
      <c r="H90" s="323" t="str">
        <f>IF($A90=Input!$A$3,C90,"")</f>
        <v/>
      </c>
      <c r="I90" s="323" t="str">
        <f>IF($A90=Input!$A$3,D90,"")</f>
        <v/>
      </c>
      <c r="J90" s="323" t="str">
        <f>IF($A90=Input!$A$3,E90,"")</f>
        <v/>
      </c>
      <c r="K90" s="386" t="str">
        <f>IF($A90=Input!$A$3,F90,"")</f>
        <v/>
      </c>
      <c r="L90" s="387"/>
      <c r="M90" s="323"/>
      <c r="N90" s="323"/>
      <c r="O90" s="323"/>
      <c r="P90" s="323"/>
      <c r="Q90" s="387" t="str">
        <f>IF($A90=Input!$A$4,$B90,"")</f>
        <v/>
      </c>
      <c r="R90" s="323" t="str">
        <f>IF($A90=Input!$A$4,$C90,"")</f>
        <v/>
      </c>
      <c r="S90" s="323" t="str">
        <f>IF($A90=Input!$A$4,$D90,"")</f>
        <v/>
      </c>
      <c r="T90" s="323" t="str">
        <f>IF($A90=Input!$A$4,$E90,"")</f>
        <v/>
      </c>
      <c r="U90" s="386" t="str">
        <f>IF($A90=Input!$A$4,$F90,"")</f>
        <v/>
      </c>
      <c r="V90" s="323"/>
      <c r="W90" s="323"/>
      <c r="X90" s="323"/>
      <c r="Y90" s="323"/>
      <c r="Z90" s="323"/>
      <c r="AA90" s="387" t="str">
        <f>IF($A90=Input!$A$5,$B90,"")</f>
        <v/>
      </c>
      <c r="AB90" s="323" t="str">
        <f>IF($A90=Input!$A$5,$C90,"")</f>
        <v/>
      </c>
      <c r="AC90" s="323" t="str">
        <f>IF($A90=Input!$A$5,$D90,"")</f>
        <v/>
      </c>
      <c r="AD90" s="323" t="str">
        <f>IF($A90=Input!$A$5,$E90,"")</f>
        <v/>
      </c>
      <c r="AE90" s="386" t="str">
        <f>IF($A90=Input!$A$5,$F90,"")</f>
        <v/>
      </c>
      <c r="AF90" s="323"/>
      <c r="AG90" s="323"/>
      <c r="AH90" s="323"/>
      <c r="AI90" s="323"/>
      <c r="AJ90" s="323"/>
    </row>
    <row r="91" spans="1:36" x14ac:dyDescent="0.2">
      <c r="A91" s="250" t="str">
        <f>IF(BuffsDebuffs!$M87=1,BuffsDebuffs!G$2,"")</f>
        <v/>
      </c>
      <c r="B91" s="251" t="str">
        <f>IF(BuffsDebuffs!$M87=1,BuffsDebuffs!H$2,"")</f>
        <v/>
      </c>
      <c r="C91" s="251" t="str">
        <f>IF(BuffsDebuffs!$M87=1,BuffsDebuffs!I$2,"")</f>
        <v/>
      </c>
      <c r="D91" s="251" t="str">
        <f>IF(BuffsDebuffs!$M87=1,BuffsDebuffs!J$2,"")</f>
        <v/>
      </c>
      <c r="E91" s="251" t="str">
        <f>IF(BuffsDebuffs!$M87=1,BuffsDebuffs!K$2,"")</f>
        <v/>
      </c>
      <c r="F91" s="251" t="str">
        <f>IF(BuffsDebuffs!$M87=1,BuffsDebuffs!L$2,"")</f>
        <v/>
      </c>
      <c r="G91" s="387" t="str">
        <f>IF($A91=Input!$A$3,B91,"")</f>
        <v/>
      </c>
      <c r="H91" s="323" t="str">
        <f>IF($A91=Input!$A$3,C91,"")</f>
        <v/>
      </c>
      <c r="I91" s="323" t="str">
        <f>IF($A91=Input!$A$3,D91,"")</f>
        <v/>
      </c>
      <c r="J91" s="323" t="str">
        <f>IF($A91=Input!$A$3,E91,"")</f>
        <v/>
      </c>
      <c r="K91" s="386" t="str">
        <f>IF($A91=Input!$A$3,F91,"")</f>
        <v/>
      </c>
      <c r="L91" s="387"/>
      <c r="M91" s="323"/>
      <c r="N91" s="323"/>
      <c r="O91" s="323"/>
      <c r="P91" s="323"/>
      <c r="Q91" s="387" t="str">
        <f>IF($A91=Input!$A$4,$B91,"")</f>
        <v/>
      </c>
      <c r="R91" s="323" t="str">
        <f>IF($A91=Input!$A$4,$C91,"")</f>
        <v/>
      </c>
      <c r="S91" s="323" t="str">
        <f>IF($A91=Input!$A$4,$D91,"")</f>
        <v/>
      </c>
      <c r="T91" s="323" t="str">
        <f>IF($A91=Input!$A$4,$E91,"")</f>
        <v/>
      </c>
      <c r="U91" s="386" t="str">
        <f>IF($A91=Input!$A$4,$F91,"")</f>
        <v/>
      </c>
      <c r="V91" s="323"/>
      <c r="W91" s="323"/>
      <c r="X91" s="323"/>
      <c r="Y91" s="323"/>
      <c r="Z91" s="323"/>
      <c r="AA91" s="387" t="str">
        <f>IF($A91=Input!$A$5,$B91,"")</f>
        <v/>
      </c>
      <c r="AB91" s="323" t="str">
        <f>IF($A91=Input!$A$5,$C91,"")</f>
        <v/>
      </c>
      <c r="AC91" s="323" t="str">
        <f>IF($A91=Input!$A$5,$D91,"")</f>
        <v/>
      </c>
      <c r="AD91" s="323" t="str">
        <f>IF($A91=Input!$A$5,$E91,"")</f>
        <v/>
      </c>
      <c r="AE91" s="386" t="str">
        <f>IF($A91=Input!$A$5,$F91,"")</f>
        <v/>
      </c>
      <c r="AF91" s="323"/>
      <c r="AG91" s="323"/>
      <c r="AH91" s="323"/>
      <c r="AI91" s="323"/>
      <c r="AJ91" s="323"/>
    </row>
    <row r="92" spans="1:36" x14ac:dyDescent="0.2">
      <c r="A92" s="250" t="str">
        <f>IF(BuffsDebuffs!$M88=1,BuffsDebuffs!G$2,"")</f>
        <v/>
      </c>
      <c r="B92" s="251" t="str">
        <f>IF(BuffsDebuffs!$M88=1,BuffsDebuffs!H$2,"")</f>
        <v/>
      </c>
      <c r="C92" s="251" t="str">
        <f>IF(BuffsDebuffs!$M88=1,BuffsDebuffs!I$2,"")</f>
        <v/>
      </c>
      <c r="D92" s="251" t="str">
        <f>IF(BuffsDebuffs!$M88=1,BuffsDebuffs!J$2,"")</f>
        <v/>
      </c>
      <c r="E92" s="251" t="str">
        <f>IF(BuffsDebuffs!$M88=1,BuffsDebuffs!K$2,"")</f>
        <v/>
      </c>
      <c r="F92" s="251" t="str">
        <f>IF(BuffsDebuffs!$M88=1,BuffsDebuffs!L$2,"")</f>
        <v/>
      </c>
      <c r="G92" s="387" t="str">
        <f>IF($A92=Input!$A$3,B92,"")</f>
        <v/>
      </c>
      <c r="H92" s="323" t="str">
        <f>IF($A92=Input!$A$3,C92,"")</f>
        <v/>
      </c>
      <c r="I92" s="323" t="str">
        <f>IF($A92=Input!$A$3,D92,"")</f>
        <v/>
      </c>
      <c r="J92" s="323" t="str">
        <f>IF($A92=Input!$A$3,E92,"")</f>
        <v/>
      </c>
      <c r="K92" s="386" t="str">
        <f>IF($A92=Input!$A$3,F92,"")</f>
        <v/>
      </c>
      <c r="L92" s="387"/>
      <c r="M92" s="323"/>
      <c r="N92" s="323"/>
      <c r="O92" s="323"/>
      <c r="P92" s="323"/>
      <c r="Q92" s="387" t="str">
        <f>IF($A92=Input!$A$4,$B92,"")</f>
        <v/>
      </c>
      <c r="R92" s="323" t="str">
        <f>IF($A92=Input!$A$4,$C92,"")</f>
        <v/>
      </c>
      <c r="S92" s="323" t="str">
        <f>IF($A92=Input!$A$4,$D92,"")</f>
        <v/>
      </c>
      <c r="T92" s="323" t="str">
        <f>IF($A92=Input!$A$4,$E92,"")</f>
        <v/>
      </c>
      <c r="U92" s="386" t="str">
        <f>IF($A92=Input!$A$4,$F92,"")</f>
        <v/>
      </c>
      <c r="V92" s="323"/>
      <c r="W92" s="323"/>
      <c r="X92" s="323"/>
      <c r="Y92" s="323"/>
      <c r="Z92" s="323"/>
      <c r="AA92" s="387" t="str">
        <f>IF($A92=Input!$A$5,$B92,"")</f>
        <v/>
      </c>
      <c r="AB92" s="323" t="str">
        <f>IF($A92=Input!$A$5,$C92,"")</f>
        <v/>
      </c>
      <c r="AC92" s="323" t="str">
        <f>IF($A92=Input!$A$5,$D92,"")</f>
        <v/>
      </c>
      <c r="AD92" s="323" t="str">
        <f>IF($A92=Input!$A$5,$E92,"")</f>
        <v/>
      </c>
      <c r="AE92" s="386" t="str">
        <f>IF($A92=Input!$A$5,$F92,"")</f>
        <v/>
      </c>
      <c r="AF92" s="323"/>
      <c r="AG92" s="323"/>
      <c r="AH92" s="323"/>
      <c r="AI92" s="323"/>
      <c r="AJ92" s="323"/>
    </row>
    <row r="93" spans="1:36" x14ac:dyDescent="0.2">
      <c r="A93" s="250" t="str">
        <f>IF(BuffsDebuffs!$M89=1,BuffsDebuffs!G$2,"")</f>
        <v/>
      </c>
      <c r="B93" s="251" t="str">
        <f>IF(BuffsDebuffs!$M89=1,BuffsDebuffs!H$2,"")</f>
        <v/>
      </c>
      <c r="C93" s="251" t="str">
        <f>IF(BuffsDebuffs!$M89=1,BuffsDebuffs!I$2,"")</f>
        <v/>
      </c>
      <c r="D93" s="251" t="str">
        <f>IF(BuffsDebuffs!$M89=1,BuffsDebuffs!J$2,"")</f>
        <v/>
      </c>
      <c r="E93" s="251" t="str">
        <f>IF(BuffsDebuffs!$M89=1,BuffsDebuffs!K$2,"")</f>
        <v/>
      </c>
      <c r="F93" s="251" t="str">
        <f>IF(BuffsDebuffs!$M89=1,BuffsDebuffs!L$2,"")</f>
        <v/>
      </c>
      <c r="G93" s="387" t="str">
        <f>IF($A93=Input!$A$3,B93,"")</f>
        <v/>
      </c>
      <c r="H93" s="323" t="str">
        <f>IF($A93=Input!$A$3,C93,"")</f>
        <v/>
      </c>
      <c r="I93" s="323" t="str">
        <f>IF($A93=Input!$A$3,D93,"")</f>
        <v/>
      </c>
      <c r="J93" s="323" t="str">
        <f>IF($A93=Input!$A$3,E93,"")</f>
        <v/>
      </c>
      <c r="K93" s="386" t="str">
        <f>IF($A93=Input!$A$3,F93,"")</f>
        <v/>
      </c>
      <c r="L93" s="387"/>
      <c r="M93" s="323"/>
      <c r="N93" s="323"/>
      <c r="O93" s="323"/>
      <c r="P93" s="323"/>
      <c r="Q93" s="387" t="str">
        <f>IF($A93=Input!$A$4,$B93,"")</f>
        <v/>
      </c>
      <c r="R93" s="323" t="str">
        <f>IF($A93=Input!$A$4,$C93,"")</f>
        <v/>
      </c>
      <c r="S93" s="323" t="str">
        <f>IF($A93=Input!$A$4,$D93,"")</f>
        <v/>
      </c>
      <c r="T93" s="323" t="str">
        <f>IF($A93=Input!$A$4,$E93,"")</f>
        <v/>
      </c>
      <c r="U93" s="386" t="str">
        <f>IF($A93=Input!$A$4,$F93,"")</f>
        <v/>
      </c>
      <c r="V93" s="323"/>
      <c r="W93" s="323"/>
      <c r="X93" s="323"/>
      <c r="Y93" s="323"/>
      <c r="Z93" s="323"/>
      <c r="AA93" s="387" t="str">
        <f>IF($A93=Input!$A$5,$B93,"")</f>
        <v/>
      </c>
      <c r="AB93" s="323" t="str">
        <f>IF($A93=Input!$A$5,$C93,"")</f>
        <v/>
      </c>
      <c r="AC93" s="323" t="str">
        <f>IF($A93=Input!$A$5,$D93,"")</f>
        <v/>
      </c>
      <c r="AD93" s="323" t="str">
        <f>IF($A93=Input!$A$5,$E93,"")</f>
        <v/>
      </c>
      <c r="AE93" s="386" t="str">
        <f>IF($A93=Input!$A$5,$F93,"")</f>
        <v/>
      </c>
      <c r="AF93" s="323"/>
      <c r="AG93" s="323"/>
      <c r="AH93" s="323"/>
      <c r="AI93" s="323"/>
      <c r="AJ93" s="323"/>
    </row>
    <row r="94" spans="1:36" x14ac:dyDescent="0.2">
      <c r="A94" s="250" t="str">
        <f>IF(BuffsDebuffs!$M90=1,BuffsDebuffs!G$2,"")</f>
        <v/>
      </c>
      <c r="B94" s="251" t="str">
        <f>IF(BuffsDebuffs!$M90=1,BuffsDebuffs!H$2,"")</f>
        <v/>
      </c>
      <c r="C94" s="251" t="str">
        <f>IF(BuffsDebuffs!$M90=1,BuffsDebuffs!I$2,"")</f>
        <v/>
      </c>
      <c r="D94" s="251" t="str">
        <f>IF(BuffsDebuffs!$M90=1,BuffsDebuffs!J$2,"")</f>
        <v/>
      </c>
      <c r="E94" s="251" t="str">
        <f>IF(BuffsDebuffs!$M90=1,BuffsDebuffs!K$2,"")</f>
        <v/>
      </c>
      <c r="F94" s="251" t="str">
        <f>IF(BuffsDebuffs!$M90=1,BuffsDebuffs!L$2,"")</f>
        <v/>
      </c>
      <c r="G94" s="387" t="str">
        <f>IF($A94=Input!$A$3,B94,"")</f>
        <v/>
      </c>
      <c r="H94" s="323" t="str">
        <f>IF($A94=Input!$A$3,C94,"")</f>
        <v/>
      </c>
      <c r="I94" s="323" t="str">
        <f>IF($A94=Input!$A$3,D94,"")</f>
        <v/>
      </c>
      <c r="J94" s="323" t="str">
        <f>IF($A94=Input!$A$3,E94,"")</f>
        <v/>
      </c>
      <c r="K94" s="386" t="str">
        <f>IF($A94=Input!$A$3,F94,"")</f>
        <v/>
      </c>
      <c r="L94" s="387"/>
      <c r="M94" s="323"/>
      <c r="N94" s="323"/>
      <c r="O94" s="323"/>
      <c r="P94" s="323"/>
      <c r="Q94" s="387" t="str">
        <f>IF($A94=Input!$A$4,$B94,"")</f>
        <v/>
      </c>
      <c r="R94" s="323" t="str">
        <f>IF($A94=Input!$A$4,$C94,"")</f>
        <v/>
      </c>
      <c r="S94" s="323" t="str">
        <f>IF($A94=Input!$A$4,$D94,"")</f>
        <v/>
      </c>
      <c r="T94" s="323" t="str">
        <f>IF($A94=Input!$A$4,$E94,"")</f>
        <v/>
      </c>
      <c r="U94" s="386" t="str">
        <f>IF($A94=Input!$A$4,$F94,"")</f>
        <v/>
      </c>
      <c r="V94" s="323"/>
      <c r="W94" s="323"/>
      <c r="X94" s="323"/>
      <c r="Y94" s="323"/>
      <c r="Z94" s="323"/>
      <c r="AA94" s="387" t="str">
        <f>IF($A94=Input!$A$5,$B94,"")</f>
        <v/>
      </c>
      <c r="AB94" s="323" t="str">
        <f>IF($A94=Input!$A$5,$C94,"")</f>
        <v/>
      </c>
      <c r="AC94" s="323" t="str">
        <f>IF($A94=Input!$A$5,$D94,"")</f>
        <v/>
      </c>
      <c r="AD94" s="323" t="str">
        <f>IF($A94=Input!$A$5,$E94,"")</f>
        <v/>
      </c>
      <c r="AE94" s="386" t="str">
        <f>IF($A94=Input!$A$5,$F94,"")</f>
        <v/>
      </c>
      <c r="AF94" s="323"/>
      <c r="AG94" s="323"/>
      <c r="AH94" s="323"/>
      <c r="AI94" s="323"/>
      <c r="AJ94" s="323"/>
    </row>
    <row r="95" spans="1:36" x14ac:dyDescent="0.2">
      <c r="A95" s="250" t="str">
        <f>IF(BuffsDebuffs!$M91=1,BuffsDebuffs!G$2,"")</f>
        <v/>
      </c>
      <c r="B95" s="251" t="str">
        <f>IF(BuffsDebuffs!$M91=1,BuffsDebuffs!H$2,"")</f>
        <v/>
      </c>
      <c r="C95" s="251" t="str">
        <f>IF(BuffsDebuffs!$M91=1,BuffsDebuffs!I$2,"")</f>
        <v/>
      </c>
      <c r="D95" s="251" t="str">
        <f>IF(BuffsDebuffs!$M91=1,BuffsDebuffs!J$2,"")</f>
        <v/>
      </c>
      <c r="E95" s="251" t="str">
        <f>IF(BuffsDebuffs!$M91=1,BuffsDebuffs!K$2,"")</f>
        <v/>
      </c>
      <c r="F95" s="251" t="str">
        <f>IF(BuffsDebuffs!$M91=1,BuffsDebuffs!L$2,"")</f>
        <v/>
      </c>
      <c r="G95" s="387" t="str">
        <f>IF($A95=Input!$A$3,B95,"")</f>
        <v/>
      </c>
      <c r="H95" s="323" t="str">
        <f>IF($A95=Input!$A$3,C95,"")</f>
        <v/>
      </c>
      <c r="I95" s="323" t="str">
        <f>IF($A95=Input!$A$3,D95,"")</f>
        <v/>
      </c>
      <c r="J95" s="323" t="str">
        <f>IF($A95=Input!$A$3,E95,"")</f>
        <v/>
      </c>
      <c r="K95" s="386" t="str">
        <f>IF($A95=Input!$A$3,F95,"")</f>
        <v/>
      </c>
      <c r="L95" s="387"/>
      <c r="M95" s="323"/>
      <c r="N95" s="323"/>
      <c r="O95" s="323"/>
      <c r="P95" s="323"/>
      <c r="Q95" s="387" t="str">
        <f>IF($A95=Input!$A$4,$B95,"")</f>
        <v/>
      </c>
      <c r="R95" s="323" t="str">
        <f>IF($A95=Input!$A$4,$C95,"")</f>
        <v/>
      </c>
      <c r="S95" s="323" t="str">
        <f>IF($A95=Input!$A$4,$D95,"")</f>
        <v/>
      </c>
      <c r="T95" s="323" t="str">
        <f>IF($A95=Input!$A$4,$E95,"")</f>
        <v/>
      </c>
      <c r="U95" s="386" t="str">
        <f>IF($A95=Input!$A$4,$F95,"")</f>
        <v/>
      </c>
      <c r="V95" s="323"/>
      <c r="W95" s="323"/>
      <c r="X95" s="323"/>
      <c r="Y95" s="323"/>
      <c r="Z95" s="323"/>
      <c r="AA95" s="387" t="str">
        <f>IF($A95=Input!$A$5,$B95,"")</f>
        <v/>
      </c>
      <c r="AB95" s="323" t="str">
        <f>IF($A95=Input!$A$5,$C95,"")</f>
        <v/>
      </c>
      <c r="AC95" s="323" t="str">
        <f>IF($A95=Input!$A$5,$D95,"")</f>
        <v/>
      </c>
      <c r="AD95" s="323" t="str">
        <f>IF($A95=Input!$A$5,$E95,"")</f>
        <v/>
      </c>
      <c r="AE95" s="386" t="str">
        <f>IF($A95=Input!$A$5,$F95,"")</f>
        <v/>
      </c>
      <c r="AF95" s="323"/>
      <c r="AG95" s="323"/>
      <c r="AH95" s="323"/>
      <c r="AI95" s="323"/>
      <c r="AJ95" s="323"/>
    </row>
    <row r="96" spans="1:36" x14ac:dyDescent="0.2">
      <c r="A96" s="250" t="str">
        <f>IF(BuffsDebuffs!$M92=1,BuffsDebuffs!G$2,"")</f>
        <v/>
      </c>
      <c r="B96" s="251" t="str">
        <f>IF(BuffsDebuffs!$M92=1,BuffsDebuffs!H$2,"")</f>
        <v/>
      </c>
      <c r="C96" s="251" t="str">
        <f>IF(BuffsDebuffs!$M92=1,BuffsDebuffs!I$2,"")</f>
        <v/>
      </c>
      <c r="D96" s="251" t="str">
        <f>IF(BuffsDebuffs!$M92=1,BuffsDebuffs!J$2,"")</f>
        <v/>
      </c>
      <c r="E96" s="251" t="str">
        <f>IF(BuffsDebuffs!$M92=1,BuffsDebuffs!K$2,"")</f>
        <v/>
      </c>
      <c r="F96" s="251" t="str">
        <f>IF(BuffsDebuffs!$M92=1,BuffsDebuffs!L$2,"")</f>
        <v/>
      </c>
      <c r="G96" s="387" t="str">
        <f>IF($A96=Input!$A$3,B96,"")</f>
        <v/>
      </c>
      <c r="H96" s="323" t="str">
        <f>IF($A96=Input!$A$3,C96,"")</f>
        <v/>
      </c>
      <c r="I96" s="323" t="str">
        <f>IF($A96=Input!$A$3,D96,"")</f>
        <v/>
      </c>
      <c r="J96" s="323" t="str">
        <f>IF($A96=Input!$A$3,E96,"")</f>
        <v/>
      </c>
      <c r="K96" s="386" t="str">
        <f>IF($A96=Input!$A$3,F96,"")</f>
        <v/>
      </c>
      <c r="L96" s="387"/>
      <c r="M96" s="323"/>
      <c r="N96" s="323"/>
      <c r="O96" s="323"/>
      <c r="P96" s="323"/>
      <c r="Q96" s="387" t="str">
        <f>IF($A96=Input!$A$4,$B96,"")</f>
        <v/>
      </c>
      <c r="R96" s="323" t="str">
        <f>IF($A96=Input!$A$4,$C96,"")</f>
        <v/>
      </c>
      <c r="S96" s="323" t="str">
        <f>IF($A96=Input!$A$4,$D96,"")</f>
        <v/>
      </c>
      <c r="T96" s="323" t="str">
        <f>IF($A96=Input!$A$4,$E96,"")</f>
        <v/>
      </c>
      <c r="U96" s="386" t="str">
        <f>IF($A96=Input!$A$4,$F96,"")</f>
        <v/>
      </c>
      <c r="V96" s="323"/>
      <c r="W96" s="323"/>
      <c r="X96" s="323"/>
      <c r="Y96" s="323"/>
      <c r="Z96" s="323"/>
      <c r="AA96" s="387" t="str">
        <f>IF($A96=Input!$A$5,$B96,"")</f>
        <v/>
      </c>
      <c r="AB96" s="323" t="str">
        <f>IF($A96=Input!$A$5,$C96,"")</f>
        <v/>
      </c>
      <c r="AC96" s="323" t="str">
        <f>IF($A96=Input!$A$5,$D96,"")</f>
        <v/>
      </c>
      <c r="AD96" s="323" t="str">
        <f>IF($A96=Input!$A$5,$E96,"")</f>
        <v/>
      </c>
      <c r="AE96" s="386" t="str">
        <f>IF($A96=Input!$A$5,$F96,"")</f>
        <v/>
      </c>
      <c r="AF96" s="323"/>
      <c r="AG96" s="323"/>
      <c r="AH96" s="323"/>
      <c r="AI96" s="323"/>
      <c r="AJ96" s="323"/>
    </row>
    <row r="97" spans="1:36" x14ac:dyDescent="0.2">
      <c r="A97" s="250" t="str">
        <f>IF(BuffsDebuffs!$M93=1,BuffsDebuffs!G$2,"")</f>
        <v/>
      </c>
      <c r="B97" s="251" t="str">
        <f>IF(BuffsDebuffs!$M93=1,BuffsDebuffs!H$2,"")</f>
        <v/>
      </c>
      <c r="C97" s="251" t="str">
        <f>IF(BuffsDebuffs!$M93=1,BuffsDebuffs!I$2,"")</f>
        <v/>
      </c>
      <c r="D97" s="251" t="str">
        <f>IF(BuffsDebuffs!$M93=1,BuffsDebuffs!J$2,"")</f>
        <v/>
      </c>
      <c r="E97" s="251" t="str">
        <f>IF(BuffsDebuffs!$M93=1,BuffsDebuffs!K$2,"")</f>
        <v/>
      </c>
      <c r="F97" s="251" t="str">
        <f>IF(BuffsDebuffs!$M93=1,BuffsDebuffs!L$2,"")</f>
        <v/>
      </c>
      <c r="G97" s="387" t="str">
        <f>IF($A97=Input!$A$3,B97,"")</f>
        <v/>
      </c>
      <c r="H97" s="323" t="str">
        <f>IF($A97=Input!$A$3,C97,"")</f>
        <v/>
      </c>
      <c r="I97" s="323" t="str">
        <f>IF($A97=Input!$A$3,D97,"")</f>
        <v/>
      </c>
      <c r="J97" s="323" t="str">
        <f>IF($A97=Input!$A$3,E97,"")</f>
        <v/>
      </c>
      <c r="K97" s="386" t="str">
        <f>IF($A97=Input!$A$3,F97,"")</f>
        <v/>
      </c>
      <c r="L97" s="387"/>
      <c r="M97" s="323"/>
      <c r="N97" s="323"/>
      <c r="O97" s="323"/>
      <c r="P97" s="323"/>
      <c r="Q97" s="387" t="str">
        <f>IF($A97=Input!$A$4,$B97,"")</f>
        <v/>
      </c>
      <c r="R97" s="323" t="str">
        <f>IF($A97=Input!$A$4,$C97,"")</f>
        <v/>
      </c>
      <c r="S97" s="323" t="str">
        <f>IF($A97=Input!$A$4,$D97,"")</f>
        <v/>
      </c>
      <c r="T97" s="323" t="str">
        <f>IF($A97=Input!$A$4,$E97,"")</f>
        <v/>
      </c>
      <c r="U97" s="386" t="str">
        <f>IF($A97=Input!$A$4,$F97,"")</f>
        <v/>
      </c>
      <c r="V97" s="323"/>
      <c r="W97" s="323"/>
      <c r="X97" s="323"/>
      <c r="Y97" s="323"/>
      <c r="Z97" s="323"/>
      <c r="AA97" s="387" t="str">
        <f>IF($A97=Input!$A$5,$B97,"")</f>
        <v/>
      </c>
      <c r="AB97" s="323" t="str">
        <f>IF($A97=Input!$A$5,$C97,"")</f>
        <v/>
      </c>
      <c r="AC97" s="323" t="str">
        <f>IF($A97=Input!$A$5,$D97,"")</f>
        <v/>
      </c>
      <c r="AD97" s="323" t="str">
        <f>IF($A97=Input!$A$5,$E97,"")</f>
        <v/>
      </c>
      <c r="AE97" s="386" t="str">
        <f>IF($A97=Input!$A$5,$F97,"")</f>
        <v/>
      </c>
      <c r="AF97" s="323"/>
      <c r="AG97" s="323"/>
      <c r="AH97" s="323"/>
      <c r="AI97" s="323"/>
      <c r="AJ97" s="323"/>
    </row>
    <row r="98" spans="1:36" x14ac:dyDescent="0.2">
      <c r="A98" s="250" t="str">
        <f>IF(BuffsDebuffs!$M94=1,BuffsDebuffs!G$2,"")</f>
        <v/>
      </c>
      <c r="B98" s="251" t="str">
        <f>IF(BuffsDebuffs!$M94=1,BuffsDebuffs!H$2,"")</f>
        <v/>
      </c>
      <c r="C98" s="251" t="str">
        <f>IF(BuffsDebuffs!$M94=1,BuffsDebuffs!I$2,"")</f>
        <v/>
      </c>
      <c r="D98" s="251" t="str">
        <f>IF(BuffsDebuffs!$M94=1,BuffsDebuffs!J$2,"")</f>
        <v/>
      </c>
      <c r="E98" s="251" t="str">
        <f>IF(BuffsDebuffs!$M94=1,BuffsDebuffs!K$2,"")</f>
        <v/>
      </c>
      <c r="F98" s="251" t="str">
        <f>IF(BuffsDebuffs!$M94=1,BuffsDebuffs!L$2,"")</f>
        <v/>
      </c>
      <c r="G98" s="387" t="str">
        <f>IF($A98=Input!$A$3,B98,"")</f>
        <v/>
      </c>
      <c r="H98" s="323" t="str">
        <f>IF($A98=Input!$A$3,C98,"")</f>
        <v/>
      </c>
      <c r="I98" s="323" t="str">
        <f>IF($A98=Input!$A$3,D98,"")</f>
        <v/>
      </c>
      <c r="J98" s="323" t="str">
        <f>IF($A98=Input!$A$3,E98,"")</f>
        <v/>
      </c>
      <c r="K98" s="386" t="str">
        <f>IF($A98=Input!$A$3,F98,"")</f>
        <v/>
      </c>
      <c r="L98" s="387"/>
      <c r="M98" s="323"/>
      <c r="N98" s="323"/>
      <c r="O98" s="323"/>
      <c r="P98" s="323"/>
      <c r="Q98" s="387" t="str">
        <f>IF($A98=Input!$A$4,$B98,"")</f>
        <v/>
      </c>
      <c r="R98" s="323" t="str">
        <f>IF($A98=Input!$A$4,$C98,"")</f>
        <v/>
      </c>
      <c r="S98" s="323" t="str">
        <f>IF($A98=Input!$A$4,$D98,"")</f>
        <v/>
      </c>
      <c r="T98" s="323" t="str">
        <f>IF($A98=Input!$A$4,$E98,"")</f>
        <v/>
      </c>
      <c r="U98" s="386" t="str">
        <f>IF($A98=Input!$A$4,$F98,"")</f>
        <v/>
      </c>
      <c r="V98" s="323"/>
      <c r="W98" s="323"/>
      <c r="X98" s="323"/>
      <c r="Y98" s="323"/>
      <c r="Z98" s="323"/>
      <c r="AA98" s="387" t="str">
        <f>IF($A98=Input!$A$5,$B98,"")</f>
        <v/>
      </c>
      <c r="AB98" s="323" t="str">
        <f>IF($A98=Input!$A$5,$C98,"")</f>
        <v/>
      </c>
      <c r="AC98" s="323" t="str">
        <f>IF($A98=Input!$A$5,$D98,"")</f>
        <v/>
      </c>
      <c r="AD98" s="323" t="str">
        <f>IF($A98=Input!$A$5,$E98,"")</f>
        <v/>
      </c>
      <c r="AE98" s="386" t="str">
        <f>IF($A98=Input!$A$5,$F98,"")</f>
        <v/>
      </c>
      <c r="AF98" s="323"/>
      <c r="AG98" s="323"/>
      <c r="AH98" s="323"/>
      <c r="AI98" s="323"/>
      <c r="AJ98" s="323"/>
    </row>
    <row r="99" spans="1:36" x14ac:dyDescent="0.2">
      <c r="A99" s="250" t="str">
        <f>IF(BuffsDebuffs!$M95=1,BuffsDebuffs!G$2,"")</f>
        <v/>
      </c>
      <c r="B99" s="251" t="str">
        <f>IF(BuffsDebuffs!$M95=1,BuffsDebuffs!H$2,"")</f>
        <v/>
      </c>
      <c r="C99" s="251" t="str">
        <f>IF(BuffsDebuffs!$M95=1,BuffsDebuffs!I$2,"")</f>
        <v/>
      </c>
      <c r="D99" s="251" t="str">
        <f>IF(BuffsDebuffs!$M95=1,BuffsDebuffs!J$2,"")</f>
        <v/>
      </c>
      <c r="E99" s="251" t="str">
        <f>IF(BuffsDebuffs!$M95=1,BuffsDebuffs!K$2,"")</f>
        <v/>
      </c>
      <c r="F99" s="251" t="str">
        <f>IF(BuffsDebuffs!$M95=1,BuffsDebuffs!L$2,"")</f>
        <v/>
      </c>
      <c r="G99" s="387" t="str">
        <f>IF($A99=Input!$A$3,B99,"")</f>
        <v/>
      </c>
      <c r="H99" s="323" t="str">
        <f>IF($A99=Input!$A$3,C99,"")</f>
        <v/>
      </c>
      <c r="I99" s="323" t="str">
        <f>IF($A99=Input!$A$3,D99,"")</f>
        <v/>
      </c>
      <c r="J99" s="323" t="str">
        <f>IF($A99=Input!$A$3,E99,"")</f>
        <v/>
      </c>
      <c r="K99" s="386" t="str">
        <f>IF($A99=Input!$A$3,F99,"")</f>
        <v/>
      </c>
      <c r="L99" s="387"/>
      <c r="M99" s="323"/>
      <c r="N99" s="323"/>
      <c r="O99" s="323"/>
      <c r="P99" s="323"/>
      <c r="Q99" s="387" t="str">
        <f>IF($A99=Input!$A$4,$B99,"")</f>
        <v/>
      </c>
      <c r="R99" s="323" t="str">
        <f>IF($A99=Input!$A$4,$C99,"")</f>
        <v/>
      </c>
      <c r="S99" s="323" t="str">
        <f>IF($A99=Input!$A$4,$D99,"")</f>
        <v/>
      </c>
      <c r="T99" s="323" t="str">
        <f>IF($A99=Input!$A$4,$E99,"")</f>
        <v/>
      </c>
      <c r="U99" s="386" t="str">
        <f>IF($A99=Input!$A$4,$F99,"")</f>
        <v/>
      </c>
      <c r="V99" s="323"/>
      <c r="W99" s="323"/>
      <c r="X99" s="323"/>
      <c r="Y99" s="323"/>
      <c r="Z99" s="323"/>
      <c r="AA99" s="387" t="str">
        <f>IF($A99=Input!$A$5,$B99,"")</f>
        <v/>
      </c>
      <c r="AB99" s="323" t="str">
        <f>IF($A99=Input!$A$5,$C99,"")</f>
        <v/>
      </c>
      <c r="AC99" s="323" t="str">
        <f>IF($A99=Input!$A$5,$D99,"")</f>
        <v/>
      </c>
      <c r="AD99" s="323" t="str">
        <f>IF($A99=Input!$A$5,$E99,"")</f>
        <v/>
      </c>
      <c r="AE99" s="386" t="str">
        <f>IF($A99=Input!$A$5,$F99,"")</f>
        <v/>
      </c>
      <c r="AF99" s="323"/>
      <c r="AG99" s="323"/>
      <c r="AH99" s="323"/>
      <c r="AI99" s="323"/>
      <c r="AJ99" s="323"/>
    </row>
    <row r="100" spans="1:36" x14ac:dyDescent="0.2">
      <c r="A100" s="250" t="str">
        <f>IF(BuffsDebuffs!$M96=1,BuffsDebuffs!G$2,"")</f>
        <v/>
      </c>
      <c r="B100" s="251" t="str">
        <f>IF(BuffsDebuffs!$M96=1,BuffsDebuffs!H$2,"")</f>
        <v/>
      </c>
      <c r="C100" s="251" t="str">
        <f>IF(BuffsDebuffs!$M96=1,BuffsDebuffs!I$2,"")</f>
        <v/>
      </c>
      <c r="D100" s="251" t="str">
        <f>IF(BuffsDebuffs!$M96=1,BuffsDebuffs!J$2,"")</f>
        <v/>
      </c>
      <c r="E100" s="251" t="str">
        <f>IF(BuffsDebuffs!$M96=1,BuffsDebuffs!K$2,"")</f>
        <v/>
      </c>
      <c r="F100" s="251" t="str">
        <f>IF(BuffsDebuffs!$M96=1,BuffsDebuffs!L$2,"")</f>
        <v/>
      </c>
      <c r="G100" s="387" t="str">
        <f>IF($A100=Input!$A$3,B100,"")</f>
        <v/>
      </c>
      <c r="H100" s="323" t="str">
        <f>IF($A100=Input!$A$3,C100,"")</f>
        <v/>
      </c>
      <c r="I100" s="323" t="str">
        <f>IF($A100=Input!$A$3,D100,"")</f>
        <v/>
      </c>
      <c r="J100" s="323" t="str">
        <f>IF($A100=Input!$A$3,E100,"")</f>
        <v/>
      </c>
      <c r="K100" s="386" t="str">
        <f>IF($A100=Input!$A$3,F100,"")</f>
        <v/>
      </c>
      <c r="L100" s="387"/>
      <c r="M100" s="323"/>
      <c r="N100" s="323"/>
      <c r="O100" s="323"/>
      <c r="P100" s="323"/>
      <c r="Q100" s="387" t="str">
        <f>IF($A100=Input!$A$4,$B100,"")</f>
        <v/>
      </c>
      <c r="R100" s="323" t="str">
        <f>IF($A100=Input!$A$4,$C100,"")</f>
        <v/>
      </c>
      <c r="S100" s="323" t="str">
        <f>IF($A100=Input!$A$4,$D100,"")</f>
        <v/>
      </c>
      <c r="T100" s="323" t="str">
        <f>IF($A100=Input!$A$4,$E100,"")</f>
        <v/>
      </c>
      <c r="U100" s="386" t="str">
        <f>IF($A100=Input!$A$4,$F100,"")</f>
        <v/>
      </c>
      <c r="V100" s="323"/>
      <c r="W100" s="323"/>
      <c r="X100" s="323"/>
      <c r="Y100" s="323"/>
      <c r="Z100" s="323"/>
      <c r="AA100" s="387" t="str">
        <f>IF($A100=Input!$A$5,$B100,"")</f>
        <v/>
      </c>
      <c r="AB100" s="323" t="str">
        <f>IF($A100=Input!$A$5,$C100,"")</f>
        <v/>
      </c>
      <c r="AC100" s="323" t="str">
        <f>IF($A100=Input!$A$5,$D100,"")</f>
        <v/>
      </c>
      <c r="AD100" s="323" t="str">
        <f>IF($A100=Input!$A$5,$E100,"")</f>
        <v/>
      </c>
      <c r="AE100" s="386" t="str">
        <f>IF($A100=Input!$A$5,$F100,"")</f>
        <v/>
      </c>
      <c r="AF100" s="323"/>
      <c r="AG100" s="323"/>
      <c r="AH100" s="323"/>
      <c r="AI100" s="323"/>
      <c r="AJ100" s="323"/>
    </row>
    <row r="101" spans="1:36" x14ac:dyDescent="0.2">
      <c r="A101" s="250" t="str">
        <f>IF(BuffsDebuffs!$M97=1,BuffsDebuffs!G$2,"")</f>
        <v/>
      </c>
      <c r="B101" s="251" t="str">
        <f>IF(BuffsDebuffs!$M97=1,BuffsDebuffs!H$2,"")</f>
        <v/>
      </c>
      <c r="C101" s="251" t="str">
        <f>IF(BuffsDebuffs!$M97=1,BuffsDebuffs!I$2,"")</f>
        <v/>
      </c>
      <c r="D101" s="251" t="str">
        <f>IF(BuffsDebuffs!$M97=1,BuffsDebuffs!J$2,"")</f>
        <v/>
      </c>
      <c r="E101" s="251" t="str">
        <f>IF(BuffsDebuffs!$M97=1,BuffsDebuffs!K$2,"")</f>
        <v/>
      </c>
      <c r="F101" s="251" t="str">
        <f>IF(BuffsDebuffs!$M97=1,BuffsDebuffs!L$2,"")</f>
        <v/>
      </c>
      <c r="G101" s="387" t="str">
        <f>IF($A101=Input!$A$3,B101,"")</f>
        <v/>
      </c>
      <c r="H101" s="323" t="str">
        <f>IF($A101=Input!$A$3,C101,"")</f>
        <v/>
      </c>
      <c r="I101" s="323" t="str">
        <f>IF($A101=Input!$A$3,D101,"")</f>
        <v/>
      </c>
      <c r="J101" s="323" t="str">
        <f>IF($A101=Input!$A$3,E101,"")</f>
        <v/>
      </c>
      <c r="K101" s="386" t="str">
        <f>IF($A101=Input!$A$3,F101,"")</f>
        <v/>
      </c>
      <c r="L101" s="387"/>
      <c r="M101" s="323"/>
      <c r="N101" s="323"/>
      <c r="O101" s="323"/>
      <c r="P101" s="323"/>
      <c r="Q101" s="387" t="str">
        <f>IF($A101=Input!$A$4,$B101,"")</f>
        <v/>
      </c>
      <c r="R101" s="323" t="str">
        <f>IF($A101=Input!$A$4,$C101,"")</f>
        <v/>
      </c>
      <c r="S101" s="323" t="str">
        <f>IF($A101=Input!$A$4,$D101,"")</f>
        <v/>
      </c>
      <c r="T101" s="323" t="str">
        <f>IF($A101=Input!$A$4,$E101,"")</f>
        <v/>
      </c>
      <c r="U101" s="386" t="str">
        <f>IF($A101=Input!$A$4,$F101,"")</f>
        <v/>
      </c>
      <c r="V101" s="323"/>
      <c r="W101" s="323"/>
      <c r="X101" s="323"/>
      <c r="Y101" s="323"/>
      <c r="Z101" s="323"/>
      <c r="AA101" s="387" t="str">
        <f>IF($A101=Input!$A$5,$B101,"")</f>
        <v/>
      </c>
      <c r="AB101" s="323" t="str">
        <f>IF($A101=Input!$A$5,$C101,"")</f>
        <v/>
      </c>
      <c r="AC101" s="323" t="str">
        <f>IF($A101=Input!$A$5,$D101,"")</f>
        <v/>
      </c>
      <c r="AD101" s="323" t="str">
        <f>IF($A101=Input!$A$5,$E101,"")</f>
        <v/>
      </c>
      <c r="AE101" s="386" t="str">
        <f>IF($A101=Input!$A$5,$F101,"")</f>
        <v/>
      </c>
      <c r="AF101" s="323"/>
      <c r="AG101" s="323"/>
      <c r="AH101" s="323"/>
      <c r="AI101" s="323"/>
      <c r="AJ101" s="323"/>
    </row>
    <row r="102" spans="1:36" x14ac:dyDescent="0.2">
      <c r="A102" s="250" t="str">
        <f>IF(BuffsDebuffs!$M98=1,BuffsDebuffs!G$2,"")</f>
        <v/>
      </c>
      <c r="B102" s="251" t="str">
        <f>IF(BuffsDebuffs!$M98=1,BuffsDebuffs!H$2,"")</f>
        <v/>
      </c>
      <c r="C102" s="251" t="str">
        <f>IF(BuffsDebuffs!$M98=1,BuffsDebuffs!I$2,"")</f>
        <v/>
      </c>
      <c r="D102" s="251" t="str">
        <f>IF(BuffsDebuffs!$M98=1,BuffsDebuffs!J$2,"")</f>
        <v/>
      </c>
      <c r="E102" s="251" t="str">
        <f>IF(BuffsDebuffs!$M98=1,BuffsDebuffs!K$2,"")</f>
        <v/>
      </c>
      <c r="F102" s="251" t="str">
        <f>IF(BuffsDebuffs!$M98=1,BuffsDebuffs!L$2,"")</f>
        <v/>
      </c>
      <c r="G102" s="387" t="str">
        <f>IF($A102=Input!$A$3,B102,"")</f>
        <v/>
      </c>
      <c r="H102" s="323" t="str">
        <f>IF($A102=Input!$A$3,C102,"")</f>
        <v/>
      </c>
      <c r="I102" s="323" t="str">
        <f>IF($A102=Input!$A$3,D102,"")</f>
        <v/>
      </c>
      <c r="J102" s="323" t="str">
        <f>IF($A102=Input!$A$3,E102,"")</f>
        <v/>
      </c>
      <c r="K102" s="386" t="str">
        <f>IF($A102=Input!$A$3,F102,"")</f>
        <v/>
      </c>
      <c r="L102" s="387"/>
      <c r="M102" s="323"/>
      <c r="N102" s="323"/>
      <c r="O102" s="323"/>
      <c r="P102" s="323"/>
      <c r="Q102" s="387" t="str">
        <f>IF($A102=Input!$A$4,$B102,"")</f>
        <v/>
      </c>
      <c r="R102" s="323" t="str">
        <f>IF($A102=Input!$A$4,$C102,"")</f>
        <v/>
      </c>
      <c r="S102" s="323" t="str">
        <f>IF($A102=Input!$A$4,$D102,"")</f>
        <v/>
      </c>
      <c r="T102" s="323" t="str">
        <f>IF($A102=Input!$A$4,$E102,"")</f>
        <v/>
      </c>
      <c r="U102" s="386" t="str">
        <f>IF($A102=Input!$A$4,$F102,"")</f>
        <v/>
      </c>
      <c r="V102" s="323"/>
      <c r="W102" s="323"/>
      <c r="X102" s="323"/>
      <c r="Y102" s="323"/>
      <c r="Z102" s="323"/>
      <c r="AA102" s="387" t="str">
        <f>IF($A102=Input!$A$5,$B102,"")</f>
        <v/>
      </c>
      <c r="AB102" s="323" t="str">
        <f>IF($A102=Input!$A$5,$C102,"")</f>
        <v/>
      </c>
      <c r="AC102" s="323" t="str">
        <f>IF($A102=Input!$A$5,$D102,"")</f>
        <v/>
      </c>
      <c r="AD102" s="323" t="str">
        <f>IF($A102=Input!$A$5,$E102,"")</f>
        <v/>
      </c>
      <c r="AE102" s="386" t="str">
        <f>IF($A102=Input!$A$5,$F102,"")</f>
        <v/>
      </c>
      <c r="AF102" s="323"/>
      <c r="AG102" s="323"/>
      <c r="AH102" s="323"/>
      <c r="AI102" s="323"/>
      <c r="AJ102" s="323"/>
    </row>
    <row r="103" spans="1:36" x14ac:dyDescent="0.2">
      <c r="A103" s="250" t="str">
        <f>IF(BuffsDebuffs!$M99=1,BuffsDebuffs!G$2,"")</f>
        <v/>
      </c>
      <c r="B103" s="251" t="str">
        <f>IF(BuffsDebuffs!$M99=1,BuffsDebuffs!H$2,"")</f>
        <v/>
      </c>
      <c r="C103" s="251" t="str">
        <f>IF(BuffsDebuffs!$M99=1,BuffsDebuffs!I$2,"")</f>
        <v/>
      </c>
      <c r="D103" s="251" t="str">
        <f>IF(BuffsDebuffs!$M99=1,BuffsDebuffs!J$2,"")</f>
        <v/>
      </c>
      <c r="E103" s="251" t="str">
        <f>IF(BuffsDebuffs!$M99=1,BuffsDebuffs!K$2,"")</f>
        <v/>
      </c>
      <c r="F103" s="251" t="str">
        <f>IF(BuffsDebuffs!$M99=1,BuffsDebuffs!L$2,"")</f>
        <v/>
      </c>
      <c r="G103" s="387" t="str">
        <f>IF($A103=Input!$A$3,B103,"")</f>
        <v/>
      </c>
      <c r="H103" s="323" t="str">
        <f>IF($A103=Input!$A$3,C103,"")</f>
        <v/>
      </c>
      <c r="I103" s="323" t="str">
        <f>IF($A103=Input!$A$3,D103,"")</f>
        <v/>
      </c>
      <c r="J103" s="323" t="str">
        <f>IF($A103=Input!$A$3,E103,"")</f>
        <v/>
      </c>
      <c r="K103" s="386" t="str">
        <f>IF($A103=Input!$A$3,F103,"")</f>
        <v/>
      </c>
      <c r="L103" s="387"/>
      <c r="M103" s="323"/>
      <c r="N103" s="323"/>
      <c r="O103" s="323"/>
      <c r="P103" s="323"/>
      <c r="Q103" s="387" t="str">
        <f>IF($A103=Input!$A$4,$B103,"")</f>
        <v/>
      </c>
      <c r="R103" s="323" t="str">
        <f>IF($A103=Input!$A$4,$C103,"")</f>
        <v/>
      </c>
      <c r="S103" s="323" t="str">
        <f>IF($A103=Input!$A$4,$D103,"")</f>
        <v/>
      </c>
      <c r="T103" s="323" t="str">
        <f>IF($A103=Input!$A$4,$E103,"")</f>
        <v/>
      </c>
      <c r="U103" s="386" t="str">
        <f>IF($A103=Input!$A$4,$F103,"")</f>
        <v/>
      </c>
      <c r="V103" s="323"/>
      <c r="W103" s="323"/>
      <c r="X103" s="323"/>
      <c r="Y103" s="323"/>
      <c r="Z103" s="323"/>
      <c r="AA103" s="387" t="str">
        <f>IF($A103=Input!$A$5,$B103,"")</f>
        <v/>
      </c>
      <c r="AB103" s="323" t="str">
        <f>IF($A103=Input!$A$5,$C103,"")</f>
        <v/>
      </c>
      <c r="AC103" s="323" t="str">
        <f>IF($A103=Input!$A$5,$D103,"")</f>
        <v/>
      </c>
      <c r="AD103" s="323" t="str">
        <f>IF($A103=Input!$A$5,$E103,"")</f>
        <v/>
      </c>
      <c r="AE103" s="386" t="str">
        <f>IF($A103=Input!$A$5,$F103,"")</f>
        <v/>
      </c>
      <c r="AF103" s="323"/>
      <c r="AG103" s="323"/>
      <c r="AH103" s="323"/>
      <c r="AI103" s="323"/>
      <c r="AJ103" s="323"/>
    </row>
    <row r="104" spans="1:36" x14ac:dyDescent="0.2">
      <c r="A104" s="250" t="str">
        <f>IF(BuffsDebuffs!$M100=1,BuffsDebuffs!G$2,"")</f>
        <v/>
      </c>
      <c r="B104" s="251" t="str">
        <f>IF(BuffsDebuffs!$M100=1,BuffsDebuffs!H$2,"")</f>
        <v/>
      </c>
      <c r="C104" s="251" t="str">
        <f>IF(BuffsDebuffs!$M100=1,BuffsDebuffs!I$2,"")</f>
        <v/>
      </c>
      <c r="D104" s="251" t="str">
        <f>IF(BuffsDebuffs!$M100=1,BuffsDebuffs!J$2,"")</f>
        <v/>
      </c>
      <c r="E104" s="251" t="str">
        <f>IF(BuffsDebuffs!$M100=1,BuffsDebuffs!K$2,"")</f>
        <v/>
      </c>
      <c r="F104" s="251" t="str">
        <f>IF(BuffsDebuffs!$M100=1,BuffsDebuffs!L$2,"")</f>
        <v/>
      </c>
      <c r="G104" s="387" t="str">
        <f>IF($A104=Input!$A$3,B104,"")</f>
        <v/>
      </c>
      <c r="H104" s="323" t="str">
        <f>IF($A104=Input!$A$3,C104,"")</f>
        <v/>
      </c>
      <c r="I104" s="323" t="str">
        <f>IF($A104=Input!$A$3,D104,"")</f>
        <v/>
      </c>
      <c r="J104" s="323" t="str">
        <f>IF($A104=Input!$A$3,E104,"")</f>
        <v/>
      </c>
      <c r="K104" s="386" t="str">
        <f>IF($A104=Input!$A$3,F104,"")</f>
        <v/>
      </c>
      <c r="L104" s="387"/>
      <c r="M104" s="323"/>
      <c r="N104" s="323"/>
      <c r="O104" s="323"/>
      <c r="P104" s="323"/>
      <c r="Q104" s="387" t="str">
        <f>IF($A104=Input!$A$4,$B104,"")</f>
        <v/>
      </c>
      <c r="R104" s="323" t="str">
        <f>IF($A104=Input!$A$4,$C104,"")</f>
        <v/>
      </c>
      <c r="S104" s="323" t="str">
        <f>IF($A104=Input!$A$4,$D104,"")</f>
        <v/>
      </c>
      <c r="T104" s="323" t="str">
        <f>IF($A104=Input!$A$4,$E104,"")</f>
        <v/>
      </c>
      <c r="U104" s="386" t="str">
        <f>IF($A104=Input!$A$4,$F104,"")</f>
        <v/>
      </c>
      <c r="V104" s="323"/>
      <c r="W104" s="323"/>
      <c r="X104" s="323"/>
      <c r="Y104" s="323"/>
      <c r="Z104" s="323"/>
      <c r="AA104" s="387" t="str">
        <f>IF($A104=Input!$A$5,$B104,"")</f>
        <v/>
      </c>
      <c r="AB104" s="323" t="str">
        <f>IF($A104=Input!$A$5,$C104,"")</f>
        <v/>
      </c>
      <c r="AC104" s="323" t="str">
        <f>IF($A104=Input!$A$5,$D104,"")</f>
        <v/>
      </c>
      <c r="AD104" s="323" t="str">
        <f>IF($A104=Input!$A$5,$E104,"")</f>
        <v/>
      </c>
      <c r="AE104" s="386" t="str">
        <f>IF($A104=Input!$A$5,$F104,"")</f>
        <v/>
      </c>
      <c r="AF104" s="323"/>
      <c r="AG104" s="323"/>
      <c r="AH104" s="323"/>
      <c r="AI104" s="323"/>
      <c r="AJ104" s="323"/>
    </row>
    <row r="105" spans="1:36" x14ac:dyDescent="0.2">
      <c r="A105" s="250" t="str">
        <f>IF(BuffsDebuffs!$M101=1,BuffsDebuffs!G$2,"")</f>
        <v/>
      </c>
      <c r="B105" s="251" t="str">
        <f>IF(BuffsDebuffs!$M101=1,BuffsDebuffs!H$2,"")</f>
        <v/>
      </c>
      <c r="C105" s="251" t="str">
        <f>IF(BuffsDebuffs!$M101=1,BuffsDebuffs!I$2,"")</f>
        <v/>
      </c>
      <c r="D105" s="251" t="str">
        <f>IF(BuffsDebuffs!$M101=1,BuffsDebuffs!J$2,"")</f>
        <v/>
      </c>
      <c r="E105" s="251" t="str">
        <f>IF(BuffsDebuffs!$M101=1,BuffsDebuffs!K$2,"")</f>
        <v/>
      </c>
      <c r="F105" s="251" t="str">
        <f>IF(BuffsDebuffs!$M101=1,BuffsDebuffs!L$2,"")</f>
        <v/>
      </c>
      <c r="G105" s="387" t="str">
        <f>IF($A105=Input!$A$3,B105,"")</f>
        <v/>
      </c>
      <c r="H105" s="323" t="str">
        <f>IF($A105=Input!$A$3,C105,"")</f>
        <v/>
      </c>
      <c r="I105" s="323" t="str">
        <f>IF($A105=Input!$A$3,D105,"")</f>
        <v/>
      </c>
      <c r="J105" s="323" t="str">
        <f>IF($A105=Input!$A$3,E105,"")</f>
        <v/>
      </c>
      <c r="K105" s="386" t="str">
        <f>IF($A105=Input!$A$3,F105,"")</f>
        <v/>
      </c>
      <c r="L105" s="387"/>
      <c r="M105" s="323"/>
      <c r="N105" s="323"/>
      <c r="O105" s="323"/>
      <c r="P105" s="323"/>
      <c r="Q105" s="387" t="str">
        <f>IF($A105=Input!$A$4,$B105,"")</f>
        <v/>
      </c>
      <c r="R105" s="323" t="str">
        <f>IF($A105=Input!$A$4,$C105,"")</f>
        <v/>
      </c>
      <c r="S105" s="323" t="str">
        <f>IF($A105=Input!$A$4,$D105,"")</f>
        <v/>
      </c>
      <c r="T105" s="323" t="str">
        <f>IF($A105=Input!$A$4,$E105,"")</f>
        <v/>
      </c>
      <c r="U105" s="386" t="str">
        <f>IF($A105=Input!$A$4,$F105,"")</f>
        <v/>
      </c>
      <c r="V105" s="323"/>
      <c r="W105" s="323"/>
      <c r="X105" s="323"/>
      <c r="Y105" s="323"/>
      <c r="Z105" s="323"/>
      <c r="AA105" s="387" t="str">
        <f>IF($A105=Input!$A$5,$B105,"")</f>
        <v/>
      </c>
      <c r="AB105" s="323" t="str">
        <f>IF($A105=Input!$A$5,$C105,"")</f>
        <v/>
      </c>
      <c r="AC105" s="323" t="str">
        <f>IF($A105=Input!$A$5,$D105,"")</f>
        <v/>
      </c>
      <c r="AD105" s="323" t="str">
        <f>IF($A105=Input!$A$5,$E105,"")</f>
        <v/>
      </c>
      <c r="AE105" s="386" t="str">
        <f>IF($A105=Input!$A$5,$F105,"")</f>
        <v/>
      </c>
      <c r="AF105" s="323"/>
      <c r="AG105" s="323"/>
      <c r="AH105" s="323"/>
      <c r="AI105" s="323"/>
      <c r="AJ105" s="323"/>
    </row>
    <row r="106" spans="1:36" x14ac:dyDescent="0.2">
      <c r="A106" s="250" t="str">
        <f>IF(BuffsDebuffs!$M102=1,BuffsDebuffs!G$2,"")</f>
        <v/>
      </c>
      <c r="B106" s="251" t="str">
        <f>IF(BuffsDebuffs!$M102=1,BuffsDebuffs!H$2,"")</f>
        <v/>
      </c>
      <c r="C106" s="251" t="str">
        <f>IF(BuffsDebuffs!$M102=1,BuffsDebuffs!I$2,"")</f>
        <v/>
      </c>
      <c r="D106" s="251" t="str">
        <f>IF(BuffsDebuffs!$M102=1,BuffsDebuffs!J$2,"")</f>
        <v/>
      </c>
      <c r="E106" s="251" t="str">
        <f>IF(BuffsDebuffs!$M102=1,BuffsDebuffs!K$2,"")</f>
        <v/>
      </c>
      <c r="F106" s="251" t="str">
        <f>IF(BuffsDebuffs!$M102=1,BuffsDebuffs!L$2,"")</f>
        <v/>
      </c>
      <c r="G106" s="387" t="str">
        <f>IF($A106=Input!$A$3,B106,"")</f>
        <v/>
      </c>
      <c r="H106" s="323" t="str">
        <f>IF($A106=Input!$A$3,C106,"")</f>
        <v/>
      </c>
      <c r="I106" s="323" t="str">
        <f>IF($A106=Input!$A$3,D106,"")</f>
        <v/>
      </c>
      <c r="J106" s="323" t="str">
        <f>IF($A106=Input!$A$3,E106,"")</f>
        <v/>
      </c>
      <c r="K106" s="386" t="str">
        <f>IF($A106=Input!$A$3,F106,"")</f>
        <v/>
      </c>
      <c r="L106" s="387"/>
      <c r="M106" s="323"/>
      <c r="N106" s="323"/>
      <c r="O106" s="323"/>
      <c r="P106" s="323"/>
      <c r="Q106" s="387" t="str">
        <f>IF($A106=Input!$A$4,$B106,"")</f>
        <v/>
      </c>
      <c r="R106" s="323" t="str">
        <f>IF($A106=Input!$A$4,$C106,"")</f>
        <v/>
      </c>
      <c r="S106" s="323" t="str">
        <f>IF($A106=Input!$A$4,$D106,"")</f>
        <v/>
      </c>
      <c r="T106" s="323" t="str">
        <f>IF($A106=Input!$A$4,$E106,"")</f>
        <v/>
      </c>
      <c r="U106" s="386" t="str">
        <f>IF($A106=Input!$A$4,$F106,"")</f>
        <v/>
      </c>
      <c r="V106" s="323"/>
      <c r="W106" s="323"/>
      <c r="X106" s="323"/>
      <c r="Y106" s="323"/>
      <c r="Z106" s="323"/>
      <c r="AA106" s="387" t="str">
        <f>IF($A106=Input!$A$5,$B106,"")</f>
        <v/>
      </c>
      <c r="AB106" s="323" t="str">
        <f>IF($A106=Input!$A$5,$C106,"")</f>
        <v/>
      </c>
      <c r="AC106" s="323" t="str">
        <f>IF($A106=Input!$A$5,$D106,"")</f>
        <v/>
      </c>
      <c r="AD106" s="323" t="str">
        <f>IF($A106=Input!$A$5,$E106,"")</f>
        <v/>
      </c>
      <c r="AE106" s="386" t="str">
        <f>IF($A106=Input!$A$5,$F106,"")</f>
        <v/>
      </c>
      <c r="AF106" s="323"/>
      <c r="AG106" s="323"/>
      <c r="AH106" s="323"/>
      <c r="AI106" s="323"/>
      <c r="AJ106" s="323"/>
    </row>
    <row r="107" spans="1:36" x14ac:dyDescent="0.2">
      <c r="A107" s="250" t="str">
        <f>IF(BuffsDebuffs!$M103=1,BuffsDebuffs!G$2,"")</f>
        <v/>
      </c>
      <c r="B107" s="251" t="str">
        <f>IF(BuffsDebuffs!$M103=1,BuffsDebuffs!H$2,"")</f>
        <v/>
      </c>
      <c r="C107" s="251" t="str">
        <f>IF(BuffsDebuffs!$M103=1,BuffsDebuffs!I$2,"")</f>
        <v/>
      </c>
      <c r="D107" s="251" t="str">
        <f>IF(BuffsDebuffs!$M103=1,BuffsDebuffs!J$2,"")</f>
        <v/>
      </c>
      <c r="E107" s="251" t="str">
        <f>IF(BuffsDebuffs!$M103=1,BuffsDebuffs!K$2,"")</f>
        <v/>
      </c>
      <c r="F107" s="251" t="str">
        <f>IF(BuffsDebuffs!$M103=1,BuffsDebuffs!L$2,"")</f>
        <v/>
      </c>
      <c r="G107" s="387" t="str">
        <f>IF($A107=Input!$A$3,B107,"")</f>
        <v/>
      </c>
      <c r="H107" s="323" t="str">
        <f>IF($A107=Input!$A$3,C107,"")</f>
        <v/>
      </c>
      <c r="I107" s="323" t="str">
        <f>IF($A107=Input!$A$3,D107,"")</f>
        <v/>
      </c>
      <c r="J107" s="323" t="str">
        <f>IF($A107=Input!$A$3,E107,"")</f>
        <v/>
      </c>
      <c r="K107" s="386" t="str">
        <f>IF($A107=Input!$A$3,F107,"")</f>
        <v/>
      </c>
      <c r="L107" s="387"/>
      <c r="M107" s="323"/>
      <c r="N107" s="323"/>
      <c r="O107" s="323"/>
      <c r="P107" s="323"/>
      <c r="Q107" s="387" t="str">
        <f>IF($A107=Input!$A$4,$B107,"")</f>
        <v/>
      </c>
      <c r="R107" s="323" t="str">
        <f>IF($A107=Input!$A$4,$C107,"")</f>
        <v/>
      </c>
      <c r="S107" s="323" t="str">
        <f>IF($A107=Input!$A$4,$D107,"")</f>
        <v/>
      </c>
      <c r="T107" s="323" t="str">
        <f>IF($A107=Input!$A$4,$E107,"")</f>
        <v/>
      </c>
      <c r="U107" s="386" t="str">
        <f>IF($A107=Input!$A$4,$F107,"")</f>
        <v/>
      </c>
      <c r="V107" s="323"/>
      <c r="W107" s="323"/>
      <c r="X107" s="323"/>
      <c r="Y107" s="323"/>
      <c r="Z107" s="323"/>
      <c r="AA107" s="387" t="str">
        <f>IF($A107=Input!$A$5,$B107,"")</f>
        <v/>
      </c>
      <c r="AB107" s="323" t="str">
        <f>IF($A107=Input!$A$5,$C107,"")</f>
        <v/>
      </c>
      <c r="AC107" s="323" t="str">
        <f>IF($A107=Input!$A$5,$D107,"")</f>
        <v/>
      </c>
      <c r="AD107" s="323" t="str">
        <f>IF($A107=Input!$A$5,$E107,"")</f>
        <v/>
      </c>
      <c r="AE107" s="386" t="str">
        <f>IF($A107=Input!$A$5,$F107,"")</f>
        <v/>
      </c>
      <c r="AF107" s="323"/>
      <c r="AG107" s="323"/>
      <c r="AH107" s="323"/>
      <c r="AI107" s="323"/>
      <c r="AJ107" s="323"/>
    </row>
    <row r="108" spans="1:36" x14ac:dyDescent="0.2">
      <c r="A108" s="250" t="str">
        <f>IF(BuffsDebuffs!$M104=1,BuffsDebuffs!G$2,"")</f>
        <v/>
      </c>
      <c r="B108" s="251" t="str">
        <f>IF(BuffsDebuffs!$M104=1,BuffsDebuffs!H$2,"")</f>
        <v/>
      </c>
      <c r="C108" s="251" t="str">
        <f>IF(BuffsDebuffs!$M104=1,BuffsDebuffs!I$2,"")</f>
        <v/>
      </c>
      <c r="D108" s="251" t="str">
        <f>IF(BuffsDebuffs!$M104=1,BuffsDebuffs!J$2,"")</f>
        <v/>
      </c>
      <c r="E108" s="251" t="str">
        <f>IF(BuffsDebuffs!$M104=1,BuffsDebuffs!K$2,"")</f>
        <v/>
      </c>
      <c r="F108" s="251" t="str">
        <f>IF(BuffsDebuffs!$M104=1,BuffsDebuffs!L$2,"")</f>
        <v/>
      </c>
      <c r="G108" s="387" t="str">
        <f>IF($A108=Input!$A$3,B108,"")</f>
        <v/>
      </c>
      <c r="H108" s="323" t="str">
        <f>IF($A108=Input!$A$3,C108,"")</f>
        <v/>
      </c>
      <c r="I108" s="323" t="str">
        <f>IF($A108=Input!$A$3,D108,"")</f>
        <v/>
      </c>
      <c r="J108" s="323" t="str">
        <f>IF($A108=Input!$A$3,E108,"")</f>
        <v/>
      </c>
      <c r="K108" s="386" t="str">
        <f>IF($A108=Input!$A$3,F108,"")</f>
        <v/>
      </c>
      <c r="L108" s="387"/>
      <c r="M108" s="323"/>
      <c r="N108" s="323"/>
      <c r="O108" s="323"/>
      <c r="P108" s="323"/>
      <c r="Q108" s="387" t="str">
        <f>IF($A108=Input!$A$4,$B108,"")</f>
        <v/>
      </c>
      <c r="R108" s="323" t="str">
        <f>IF($A108=Input!$A$4,$C108,"")</f>
        <v/>
      </c>
      <c r="S108" s="323" t="str">
        <f>IF($A108=Input!$A$4,$D108,"")</f>
        <v/>
      </c>
      <c r="T108" s="323" t="str">
        <f>IF($A108=Input!$A$4,$E108,"")</f>
        <v/>
      </c>
      <c r="U108" s="386" t="str">
        <f>IF($A108=Input!$A$4,$F108,"")</f>
        <v/>
      </c>
      <c r="V108" s="323"/>
      <c r="W108" s="323"/>
      <c r="X108" s="323"/>
      <c r="Y108" s="323"/>
      <c r="Z108" s="323"/>
      <c r="AA108" s="387" t="str">
        <f>IF($A108=Input!$A$5,$B108,"")</f>
        <v/>
      </c>
      <c r="AB108" s="323" t="str">
        <f>IF($A108=Input!$A$5,$C108,"")</f>
        <v/>
      </c>
      <c r="AC108" s="323" t="str">
        <f>IF($A108=Input!$A$5,$D108,"")</f>
        <v/>
      </c>
      <c r="AD108" s="323" t="str">
        <f>IF($A108=Input!$A$5,$E108,"")</f>
        <v/>
      </c>
      <c r="AE108" s="386" t="str">
        <f>IF($A108=Input!$A$5,$F108,"")</f>
        <v/>
      </c>
      <c r="AF108" s="323"/>
      <c r="AG108" s="323"/>
      <c r="AH108" s="323"/>
      <c r="AI108" s="323"/>
      <c r="AJ108" s="323"/>
    </row>
    <row r="109" spans="1:36" x14ac:dyDescent="0.2">
      <c r="A109" s="250" t="str">
        <f>IF(BuffsDebuffs!$M105=1,BuffsDebuffs!G$2,"")</f>
        <v/>
      </c>
      <c r="B109" s="251" t="str">
        <f>IF(BuffsDebuffs!$M105=1,BuffsDebuffs!H$2,"")</f>
        <v/>
      </c>
      <c r="C109" s="251" t="str">
        <f>IF(BuffsDebuffs!$M105=1,BuffsDebuffs!I$2,"")</f>
        <v/>
      </c>
      <c r="D109" s="251" t="str">
        <f>IF(BuffsDebuffs!$M105=1,BuffsDebuffs!J$2,"")</f>
        <v/>
      </c>
      <c r="E109" s="251" t="str">
        <f>IF(BuffsDebuffs!$M105=1,BuffsDebuffs!K$2,"")</f>
        <v/>
      </c>
      <c r="F109" s="251" t="str">
        <f>IF(BuffsDebuffs!$M105=1,BuffsDebuffs!L$2,"")</f>
        <v/>
      </c>
      <c r="G109" s="387" t="str">
        <f>IF($A109=Input!$A$3,B109,"")</f>
        <v/>
      </c>
      <c r="H109" s="323" t="str">
        <f>IF($A109=Input!$A$3,C109,"")</f>
        <v/>
      </c>
      <c r="I109" s="323" t="str">
        <f>IF($A109=Input!$A$3,D109,"")</f>
        <v/>
      </c>
      <c r="J109" s="323" t="str">
        <f>IF($A109=Input!$A$3,E109,"")</f>
        <v/>
      </c>
      <c r="K109" s="386" t="str">
        <f>IF($A109=Input!$A$3,F109,"")</f>
        <v/>
      </c>
      <c r="L109" s="387"/>
      <c r="M109" s="323"/>
      <c r="N109" s="323"/>
      <c r="O109" s="323"/>
      <c r="P109" s="323"/>
      <c r="Q109" s="387" t="str">
        <f>IF($A109=Input!$A$4,$B109,"")</f>
        <v/>
      </c>
      <c r="R109" s="323" t="str">
        <f>IF($A109=Input!$A$4,$C109,"")</f>
        <v/>
      </c>
      <c r="S109" s="323" t="str">
        <f>IF($A109=Input!$A$4,$D109,"")</f>
        <v/>
      </c>
      <c r="T109" s="323" t="str">
        <f>IF($A109=Input!$A$4,$E109,"")</f>
        <v/>
      </c>
      <c r="U109" s="386" t="str">
        <f>IF($A109=Input!$A$4,$F109,"")</f>
        <v/>
      </c>
      <c r="V109" s="323"/>
      <c r="W109" s="323"/>
      <c r="X109" s="323"/>
      <c r="Y109" s="323"/>
      <c r="Z109" s="323"/>
      <c r="AA109" s="387" t="str">
        <f>IF($A109=Input!$A$5,$B109,"")</f>
        <v/>
      </c>
      <c r="AB109" s="323" t="str">
        <f>IF($A109=Input!$A$5,$C109,"")</f>
        <v/>
      </c>
      <c r="AC109" s="323" t="str">
        <f>IF($A109=Input!$A$5,$D109,"")</f>
        <v/>
      </c>
      <c r="AD109" s="323" t="str">
        <f>IF($A109=Input!$A$5,$E109,"")</f>
        <v/>
      </c>
      <c r="AE109" s="386" t="str">
        <f>IF($A109=Input!$A$5,$F109,"")</f>
        <v/>
      </c>
      <c r="AF109" s="323"/>
      <c r="AG109" s="323"/>
      <c r="AH109" s="323"/>
      <c r="AI109" s="323"/>
      <c r="AJ109" s="323"/>
    </row>
    <row r="110" spans="1:36" x14ac:dyDescent="0.2">
      <c r="A110" s="250" t="str">
        <f>IF(BuffsDebuffs!$M106=1,BuffsDebuffs!G$2,"")</f>
        <v/>
      </c>
      <c r="B110" s="251" t="str">
        <f>IF(BuffsDebuffs!$M106=1,BuffsDebuffs!H$2,"")</f>
        <v/>
      </c>
      <c r="C110" s="251" t="str">
        <f>IF(BuffsDebuffs!$M106=1,BuffsDebuffs!I$2,"")</f>
        <v/>
      </c>
      <c r="D110" s="251" t="str">
        <f>IF(BuffsDebuffs!$M106=1,BuffsDebuffs!J$2,"")</f>
        <v/>
      </c>
      <c r="E110" s="251" t="str">
        <f>IF(BuffsDebuffs!$M106=1,BuffsDebuffs!K$2,"")</f>
        <v/>
      </c>
      <c r="F110" s="251" t="str">
        <f>IF(BuffsDebuffs!$M106=1,BuffsDebuffs!L$2,"")</f>
        <v/>
      </c>
      <c r="G110" s="387" t="str">
        <f>IF($A110=Input!$A$3,B110,"")</f>
        <v/>
      </c>
      <c r="H110" s="323" t="str">
        <f>IF($A110=Input!$A$3,C110,"")</f>
        <v/>
      </c>
      <c r="I110" s="323" t="str">
        <f>IF($A110=Input!$A$3,D110,"")</f>
        <v/>
      </c>
      <c r="J110" s="323" t="str">
        <f>IF($A110=Input!$A$3,E110,"")</f>
        <v/>
      </c>
      <c r="K110" s="386" t="str">
        <f>IF($A110=Input!$A$3,F110,"")</f>
        <v/>
      </c>
      <c r="L110" s="387"/>
      <c r="M110" s="323"/>
      <c r="N110" s="323"/>
      <c r="O110" s="323"/>
      <c r="P110" s="323"/>
      <c r="Q110" s="387" t="str">
        <f>IF($A110=Input!$A$4,$B110,"")</f>
        <v/>
      </c>
      <c r="R110" s="323" t="str">
        <f>IF($A110=Input!$A$4,$C110,"")</f>
        <v/>
      </c>
      <c r="S110" s="323" t="str">
        <f>IF($A110=Input!$A$4,$D110,"")</f>
        <v/>
      </c>
      <c r="T110" s="323" t="str">
        <f>IF($A110=Input!$A$4,$E110,"")</f>
        <v/>
      </c>
      <c r="U110" s="386" t="str">
        <f>IF($A110=Input!$A$4,$F110,"")</f>
        <v/>
      </c>
      <c r="V110" s="323"/>
      <c r="W110" s="323"/>
      <c r="X110" s="323"/>
      <c r="Y110" s="323"/>
      <c r="Z110" s="323"/>
      <c r="AA110" s="387" t="str">
        <f>IF($A110=Input!$A$5,$B110,"")</f>
        <v/>
      </c>
      <c r="AB110" s="323" t="str">
        <f>IF($A110=Input!$A$5,$C110,"")</f>
        <v/>
      </c>
      <c r="AC110" s="323" t="str">
        <f>IF($A110=Input!$A$5,$D110,"")</f>
        <v/>
      </c>
      <c r="AD110" s="323" t="str">
        <f>IF($A110=Input!$A$5,$E110,"")</f>
        <v/>
      </c>
      <c r="AE110" s="386" t="str">
        <f>IF($A110=Input!$A$5,$F110,"")</f>
        <v/>
      </c>
      <c r="AF110" s="323"/>
      <c r="AG110" s="323"/>
      <c r="AH110" s="323"/>
      <c r="AI110" s="323"/>
      <c r="AJ110" s="323"/>
    </row>
    <row r="111" spans="1:36" x14ac:dyDescent="0.2">
      <c r="A111" s="250" t="str">
        <f>IF(BuffsDebuffs!$M107=1,BuffsDebuffs!G$2,"")</f>
        <v/>
      </c>
      <c r="B111" s="251" t="str">
        <f>IF(BuffsDebuffs!$M107=1,BuffsDebuffs!H$2,"")</f>
        <v/>
      </c>
      <c r="C111" s="251" t="str">
        <f>IF(BuffsDebuffs!$M107=1,BuffsDebuffs!I$2,"")</f>
        <v/>
      </c>
      <c r="D111" s="251" t="str">
        <f>IF(BuffsDebuffs!$M107=1,BuffsDebuffs!J$2,"")</f>
        <v/>
      </c>
      <c r="E111" s="251" t="str">
        <f>IF(BuffsDebuffs!$M107=1,BuffsDebuffs!K$2,"")</f>
        <v/>
      </c>
      <c r="F111" s="251" t="str">
        <f>IF(BuffsDebuffs!$M107=1,BuffsDebuffs!L$2,"")</f>
        <v/>
      </c>
      <c r="G111" s="387" t="str">
        <f>IF($A111=Input!$A$3,B111,"")</f>
        <v/>
      </c>
      <c r="H111" s="323" t="str">
        <f>IF($A111=Input!$A$3,C111,"")</f>
        <v/>
      </c>
      <c r="I111" s="323" t="str">
        <f>IF($A111=Input!$A$3,D111,"")</f>
        <v/>
      </c>
      <c r="J111" s="323" t="str">
        <f>IF($A111=Input!$A$3,E111,"")</f>
        <v/>
      </c>
      <c r="K111" s="386" t="str">
        <f>IF($A111=Input!$A$3,F111,"")</f>
        <v/>
      </c>
      <c r="L111" s="387"/>
      <c r="M111" s="323"/>
      <c r="N111" s="323"/>
      <c r="O111" s="323"/>
      <c r="P111" s="323"/>
      <c r="Q111" s="387" t="str">
        <f>IF($A111=Input!$A$4,$B111,"")</f>
        <v/>
      </c>
      <c r="R111" s="323" t="str">
        <f>IF($A111=Input!$A$4,$C111,"")</f>
        <v/>
      </c>
      <c r="S111" s="323" t="str">
        <f>IF($A111=Input!$A$4,$D111,"")</f>
        <v/>
      </c>
      <c r="T111" s="323" t="str">
        <f>IF($A111=Input!$A$4,$E111,"")</f>
        <v/>
      </c>
      <c r="U111" s="386" t="str">
        <f>IF($A111=Input!$A$4,$F111,"")</f>
        <v/>
      </c>
      <c r="V111" s="323"/>
      <c r="W111" s="323"/>
      <c r="X111" s="323"/>
      <c r="Y111" s="323"/>
      <c r="Z111" s="323"/>
      <c r="AA111" s="387" t="str">
        <f>IF($A111=Input!$A$5,$B111,"")</f>
        <v/>
      </c>
      <c r="AB111" s="323" t="str">
        <f>IF($A111=Input!$A$5,$C111,"")</f>
        <v/>
      </c>
      <c r="AC111" s="323" t="str">
        <f>IF($A111=Input!$A$5,$D111,"")</f>
        <v/>
      </c>
      <c r="AD111" s="323" t="str">
        <f>IF($A111=Input!$A$5,$E111,"")</f>
        <v/>
      </c>
      <c r="AE111" s="386" t="str">
        <f>IF($A111=Input!$A$5,$F111,"")</f>
        <v/>
      </c>
      <c r="AF111" s="323"/>
      <c r="AG111" s="323"/>
      <c r="AH111" s="323"/>
      <c r="AI111" s="323"/>
      <c r="AJ111" s="323"/>
    </row>
    <row r="112" spans="1:36" x14ac:dyDescent="0.2">
      <c r="A112" s="250" t="str">
        <f>IF(BuffsDebuffs!$M108=1,BuffsDebuffs!G$2,"")</f>
        <v/>
      </c>
      <c r="B112" s="251" t="str">
        <f>IF(BuffsDebuffs!$M108=1,BuffsDebuffs!H$2,"")</f>
        <v/>
      </c>
      <c r="C112" s="251" t="str">
        <f>IF(BuffsDebuffs!$M108=1,BuffsDebuffs!I$2,"")</f>
        <v/>
      </c>
      <c r="D112" s="251" t="str">
        <f>IF(BuffsDebuffs!$M108=1,BuffsDebuffs!J$2,"")</f>
        <v/>
      </c>
      <c r="E112" s="251" t="str">
        <f>IF(BuffsDebuffs!$M108=1,BuffsDebuffs!K$2,"")</f>
        <v/>
      </c>
      <c r="F112" s="251" t="str">
        <f>IF(BuffsDebuffs!$M108=1,BuffsDebuffs!L$2,"")</f>
        <v/>
      </c>
      <c r="G112" s="387" t="str">
        <f>IF($A112=Input!$A$3,B112,"")</f>
        <v/>
      </c>
      <c r="H112" s="323" t="str">
        <f>IF($A112=Input!$A$3,C112,"")</f>
        <v/>
      </c>
      <c r="I112" s="323" t="str">
        <f>IF($A112=Input!$A$3,D112,"")</f>
        <v/>
      </c>
      <c r="J112" s="323" t="str">
        <f>IF($A112=Input!$A$3,E112,"")</f>
        <v/>
      </c>
      <c r="K112" s="386" t="str">
        <f>IF($A112=Input!$A$3,F112,"")</f>
        <v/>
      </c>
      <c r="L112" s="387"/>
      <c r="M112" s="323"/>
      <c r="N112" s="323"/>
      <c r="O112" s="323"/>
      <c r="P112" s="323"/>
      <c r="Q112" s="387" t="str">
        <f>IF($A112=Input!$A$4,$B112,"")</f>
        <v/>
      </c>
      <c r="R112" s="323" t="str">
        <f>IF($A112=Input!$A$4,$C112,"")</f>
        <v/>
      </c>
      <c r="S112" s="323" t="str">
        <f>IF($A112=Input!$A$4,$D112,"")</f>
        <v/>
      </c>
      <c r="T112" s="323" t="str">
        <f>IF($A112=Input!$A$4,$E112,"")</f>
        <v/>
      </c>
      <c r="U112" s="386" t="str">
        <f>IF($A112=Input!$A$4,$F112,"")</f>
        <v/>
      </c>
      <c r="V112" s="323"/>
      <c r="W112" s="323"/>
      <c r="X112" s="323"/>
      <c r="Y112" s="323"/>
      <c r="Z112" s="323"/>
      <c r="AA112" s="387" t="str">
        <f>IF($A112=Input!$A$5,$B112,"")</f>
        <v/>
      </c>
      <c r="AB112" s="323" t="str">
        <f>IF($A112=Input!$A$5,$C112,"")</f>
        <v/>
      </c>
      <c r="AC112" s="323" t="str">
        <f>IF($A112=Input!$A$5,$D112,"")</f>
        <v/>
      </c>
      <c r="AD112" s="323" t="str">
        <f>IF($A112=Input!$A$5,$E112,"")</f>
        <v/>
      </c>
      <c r="AE112" s="386" t="str">
        <f>IF($A112=Input!$A$5,$F112,"")</f>
        <v/>
      </c>
      <c r="AF112" s="323"/>
      <c r="AG112" s="323"/>
      <c r="AH112" s="323"/>
      <c r="AI112" s="323"/>
      <c r="AJ112" s="323"/>
    </row>
    <row r="113" spans="1:36" x14ac:dyDescent="0.2">
      <c r="A113" s="250" t="str">
        <f>IF(BuffsDebuffs!$M109=1,BuffsDebuffs!G$2,"")</f>
        <v/>
      </c>
      <c r="B113" s="251" t="str">
        <f>IF(BuffsDebuffs!$M109=1,BuffsDebuffs!H$2,"")</f>
        <v/>
      </c>
      <c r="C113" s="251" t="str">
        <f>IF(BuffsDebuffs!$M109=1,BuffsDebuffs!I$2,"")</f>
        <v/>
      </c>
      <c r="D113" s="251" t="str">
        <f>IF(BuffsDebuffs!$M109=1,BuffsDebuffs!J$2,"")</f>
        <v/>
      </c>
      <c r="E113" s="251" t="str">
        <f>IF(BuffsDebuffs!$M109=1,BuffsDebuffs!K$2,"")</f>
        <v/>
      </c>
      <c r="F113" s="251" t="str">
        <f>IF(BuffsDebuffs!$M109=1,BuffsDebuffs!L$2,"")</f>
        <v/>
      </c>
      <c r="G113" s="387" t="str">
        <f>IF($A113=Input!$A$3,B113,"")</f>
        <v/>
      </c>
      <c r="H113" s="323" t="str">
        <f>IF($A113=Input!$A$3,C113,"")</f>
        <v/>
      </c>
      <c r="I113" s="323" t="str">
        <f>IF($A113=Input!$A$3,D113,"")</f>
        <v/>
      </c>
      <c r="J113" s="323" t="str">
        <f>IF($A113=Input!$A$3,E113,"")</f>
        <v/>
      </c>
      <c r="K113" s="386" t="str">
        <f>IF($A113=Input!$A$3,F113,"")</f>
        <v/>
      </c>
      <c r="L113" s="387"/>
      <c r="M113" s="323"/>
      <c r="N113" s="323"/>
      <c r="O113" s="323"/>
      <c r="P113" s="323"/>
      <c r="Q113" s="387" t="str">
        <f>IF($A113=Input!$A$4,$B113,"")</f>
        <v/>
      </c>
      <c r="R113" s="323" t="str">
        <f>IF($A113=Input!$A$4,$C113,"")</f>
        <v/>
      </c>
      <c r="S113" s="323" t="str">
        <f>IF($A113=Input!$A$4,$D113,"")</f>
        <v/>
      </c>
      <c r="T113" s="323" t="str">
        <f>IF($A113=Input!$A$4,$E113,"")</f>
        <v/>
      </c>
      <c r="U113" s="386" t="str">
        <f>IF($A113=Input!$A$4,$F113,"")</f>
        <v/>
      </c>
      <c r="V113" s="323"/>
      <c r="W113" s="323"/>
      <c r="X113" s="323"/>
      <c r="Y113" s="323"/>
      <c r="Z113" s="323"/>
      <c r="AA113" s="387" t="str">
        <f>IF($A113=Input!$A$5,$B113,"")</f>
        <v/>
      </c>
      <c r="AB113" s="323" t="str">
        <f>IF($A113=Input!$A$5,$C113,"")</f>
        <v/>
      </c>
      <c r="AC113" s="323" t="str">
        <f>IF($A113=Input!$A$5,$D113,"")</f>
        <v/>
      </c>
      <c r="AD113" s="323" t="str">
        <f>IF($A113=Input!$A$5,$E113,"")</f>
        <v/>
      </c>
      <c r="AE113" s="386" t="str">
        <f>IF($A113=Input!$A$5,$F113,"")</f>
        <v/>
      </c>
      <c r="AF113" s="323"/>
      <c r="AG113" s="323"/>
      <c r="AH113" s="323"/>
      <c r="AI113" s="323"/>
      <c r="AJ113" s="323"/>
    </row>
    <row r="114" spans="1:36" x14ac:dyDescent="0.2">
      <c r="A114" s="250" t="str">
        <f>IF(BuffsDebuffs!$M110=1,BuffsDebuffs!G$2,"")</f>
        <v/>
      </c>
      <c r="B114" s="251" t="str">
        <f>IF(BuffsDebuffs!$M110=1,BuffsDebuffs!H$2,"")</f>
        <v/>
      </c>
      <c r="C114" s="251" t="str">
        <f>IF(BuffsDebuffs!$M110=1,BuffsDebuffs!I$2,"")</f>
        <v/>
      </c>
      <c r="D114" s="251" t="str">
        <f>IF(BuffsDebuffs!$M110=1,BuffsDebuffs!J$2,"")</f>
        <v/>
      </c>
      <c r="E114" s="251" t="str">
        <f>IF(BuffsDebuffs!$M110=1,BuffsDebuffs!K$2,"")</f>
        <v/>
      </c>
      <c r="F114" s="251" t="str">
        <f>IF(BuffsDebuffs!$M110=1,BuffsDebuffs!L$2,"")</f>
        <v/>
      </c>
      <c r="G114" s="387" t="str">
        <f>IF($A114=Input!$A$3,B114,"")</f>
        <v/>
      </c>
      <c r="H114" s="323" t="str">
        <f>IF($A114=Input!$A$3,C114,"")</f>
        <v/>
      </c>
      <c r="I114" s="323" t="str">
        <f>IF($A114=Input!$A$3,D114,"")</f>
        <v/>
      </c>
      <c r="J114" s="323" t="str">
        <f>IF($A114=Input!$A$3,E114,"")</f>
        <v/>
      </c>
      <c r="K114" s="386" t="str">
        <f>IF($A114=Input!$A$3,F114,"")</f>
        <v/>
      </c>
      <c r="L114" s="387"/>
      <c r="M114" s="323"/>
      <c r="N114" s="323"/>
      <c r="O114" s="323"/>
      <c r="P114" s="323"/>
      <c r="Q114" s="387" t="str">
        <f>IF($A114=Input!$A$4,$B114,"")</f>
        <v/>
      </c>
      <c r="R114" s="323" t="str">
        <f>IF($A114=Input!$A$4,$C114,"")</f>
        <v/>
      </c>
      <c r="S114" s="323" t="str">
        <f>IF($A114=Input!$A$4,$D114,"")</f>
        <v/>
      </c>
      <c r="T114" s="323" t="str">
        <f>IF($A114=Input!$A$4,$E114,"")</f>
        <v/>
      </c>
      <c r="U114" s="386" t="str">
        <f>IF($A114=Input!$A$4,$F114,"")</f>
        <v/>
      </c>
      <c r="V114" s="323"/>
      <c r="W114" s="323"/>
      <c r="X114" s="323"/>
      <c r="Y114" s="323"/>
      <c r="Z114" s="323"/>
      <c r="AA114" s="387" t="str">
        <f>IF($A114=Input!$A$5,$B114,"")</f>
        <v/>
      </c>
      <c r="AB114" s="323" t="str">
        <f>IF($A114=Input!$A$5,$C114,"")</f>
        <v/>
      </c>
      <c r="AC114" s="323" t="str">
        <f>IF($A114=Input!$A$5,$D114,"")</f>
        <v/>
      </c>
      <c r="AD114" s="323" t="str">
        <f>IF($A114=Input!$A$5,$E114,"")</f>
        <v/>
      </c>
      <c r="AE114" s="386" t="str">
        <f>IF($A114=Input!$A$5,$F114,"")</f>
        <v/>
      </c>
      <c r="AF114" s="323"/>
      <c r="AG114" s="323"/>
      <c r="AH114" s="323"/>
      <c r="AI114" s="323"/>
      <c r="AJ114" s="323"/>
    </row>
    <row r="115" spans="1:36" x14ac:dyDescent="0.2">
      <c r="A115" s="250" t="str">
        <f>IF(BuffsDebuffs!$M111=1,BuffsDebuffs!G$2,"")</f>
        <v/>
      </c>
      <c r="B115" s="251" t="str">
        <f>IF(BuffsDebuffs!$M111=1,BuffsDebuffs!H$2,"")</f>
        <v/>
      </c>
      <c r="C115" s="251" t="str">
        <f>IF(BuffsDebuffs!$M111=1,BuffsDebuffs!I$2,"")</f>
        <v/>
      </c>
      <c r="D115" s="251" t="str">
        <f>IF(BuffsDebuffs!$M111=1,BuffsDebuffs!J$2,"")</f>
        <v/>
      </c>
      <c r="E115" s="251" t="str">
        <f>IF(BuffsDebuffs!$M111=1,BuffsDebuffs!K$2,"")</f>
        <v/>
      </c>
      <c r="F115" s="251" t="str">
        <f>IF(BuffsDebuffs!$M111=1,BuffsDebuffs!L$2,"")</f>
        <v/>
      </c>
      <c r="G115" s="387" t="str">
        <f>IF($A115=Input!$A$3,B115,"")</f>
        <v/>
      </c>
      <c r="H115" s="323" t="str">
        <f>IF($A115=Input!$A$3,C115,"")</f>
        <v/>
      </c>
      <c r="I115" s="323" t="str">
        <f>IF($A115=Input!$A$3,D115,"")</f>
        <v/>
      </c>
      <c r="J115" s="323" t="str">
        <f>IF($A115=Input!$A$3,E115,"")</f>
        <v/>
      </c>
      <c r="K115" s="386" t="str">
        <f>IF($A115=Input!$A$3,F115,"")</f>
        <v/>
      </c>
      <c r="L115" s="387"/>
      <c r="M115" s="323"/>
      <c r="N115" s="323"/>
      <c r="O115" s="323"/>
      <c r="P115" s="323"/>
      <c r="Q115" s="387" t="str">
        <f>IF($A115=Input!$A$4,$B115,"")</f>
        <v/>
      </c>
      <c r="R115" s="323" t="str">
        <f>IF($A115=Input!$A$4,$C115,"")</f>
        <v/>
      </c>
      <c r="S115" s="323" t="str">
        <f>IF($A115=Input!$A$4,$D115,"")</f>
        <v/>
      </c>
      <c r="T115" s="323" t="str">
        <f>IF($A115=Input!$A$4,$E115,"")</f>
        <v/>
      </c>
      <c r="U115" s="386" t="str">
        <f>IF($A115=Input!$A$4,$F115,"")</f>
        <v/>
      </c>
      <c r="V115" s="323"/>
      <c r="W115" s="323"/>
      <c r="X115" s="323"/>
      <c r="Y115" s="323"/>
      <c r="Z115" s="323"/>
      <c r="AA115" s="387" t="str">
        <f>IF($A115=Input!$A$5,$B115,"")</f>
        <v/>
      </c>
      <c r="AB115" s="323" t="str">
        <f>IF($A115=Input!$A$5,$C115,"")</f>
        <v/>
      </c>
      <c r="AC115" s="323" t="str">
        <f>IF($A115=Input!$A$5,$D115,"")</f>
        <v/>
      </c>
      <c r="AD115" s="323" t="str">
        <f>IF($A115=Input!$A$5,$E115,"")</f>
        <v/>
      </c>
      <c r="AE115" s="386" t="str">
        <f>IF($A115=Input!$A$5,$F115,"")</f>
        <v/>
      </c>
      <c r="AF115" s="323"/>
      <c r="AG115" s="323"/>
      <c r="AH115" s="323"/>
      <c r="AI115" s="323"/>
      <c r="AJ115" s="323"/>
    </row>
    <row r="116" spans="1:36" x14ac:dyDescent="0.2">
      <c r="A116" s="250" t="str">
        <f>IF(BuffsDebuffs!$M112=1,BuffsDebuffs!G$2,"")</f>
        <v/>
      </c>
      <c r="B116" s="251" t="str">
        <f>IF(BuffsDebuffs!$M112=1,BuffsDebuffs!H$2,"")</f>
        <v/>
      </c>
      <c r="C116" s="251" t="str">
        <f>IF(BuffsDebuffs!$M112=1,BuffsDebuffs!I$2,"")</f>
        <v/>
      </c>
      <c r="D116" s="251" t="str">
        <f>IF(BuffsDebuffs!$M112=1,BuffsDebuffs!J$2,"")</f>
        <v/>
      </c>
      <c r="E116" s="251" t="str">
        <f>IF(BuffsDebuffs!$M112=1,BuffsDebuffs!K$2,"")</f>
        <v/>
      </c>
      <c r="F116" s="251" t="str">
        <f>IF(BuffsDebuffs!$M112=1,BuffsDebuffs!L$2,"")</f>
        <v/>
      </c>
      <c r="G116" s="387" t="str">
        <f>IF($A116=Input!$A$3,B116,"")</f>
        <v/>
      </c>
      <c r="H116" s="323" t="str">
        <f>IF($A116=Input!$A$3,C116,"")</f>
        <v/>
      </c>
      <c r="I116" s="323" t="str">
        <f>IF($A116=Input!$A$3,D116,"")</f>
        <v/>
      </c>
      <c r="J116" s="323" t="str">
        <f>IF($A116=Input!$A$3,E116,"")</f>
        <v/>
      </c>
      <c r="K116" s="386" t="str">
        <f>IF($A116=Input!$A$3,F116,"")</f>
        <v/>
      </c>
      <c r="L116" s="387"/>
      <c r="M116" s="323"/>
      <c r="N116" s="323"/>
      <c r="O116" s="323"/>
      <c r="P116" s="323"/>
      <c r="Q116" s="387" t="str">
        <f>IF($A116=Input!$A$4,$B116,"")</f>
        <v/>
      </c>
      <c r="R116" s="323" t="str">
        <f>IF($A116=Input!$A$4,$C116,"")</f>
        <v/>
      </c>
      <c r="S116" s="323" t="str">
        <f>IF($A116=Input!$A$4,$D116,"")</f>
        <v/>
      </c>
      <c r="T116" s="323" t="str">
        <f>IF($A116=Input!$A$4,$E116,"")</f>
        <v/>
      </c>
      <c r="U116" s="386" t="str">
        <f>IF($A116=Input!$A$4,$F116,"")</f>
        <v/>
      </c>
      <c r="V116" s="323"/>
      <c r="W116" s="323"/>
      <c r="X116" s="323"/>
      <c r="Y116" s="323"/>
      <c r="Z116" s="323"/>
      <c r="AA116" s="387" t="str">
        <f>IF($A116=Input!$A$5,$B116,"")</f>
        <v/>
      </c>
      <c r="AB116" s="323" t="str">
        <f>IF($A116=Input!$A$5,$C116,"")</f>
        <v/>
      </c>
      <c r="AC116" s="323" t="str">
        <f>IF($A116=Input!$A$5,$D116,"")</f>
        <v/>
      </c>
      <c r="AD116" s="323" t="str">
        <f>IF($A116=Input!$A$5,$E116,"")</f>
        <v/>
      </c>
      <c r="AE116" s="386" t="str">
        <f>IF($A116=Input!$A$5,$F116,"")</f>
        <v/>
      </c>
      <c r="AF116" s="323"/>
      <c r="AG116" s="323"/>
      <c r="AH116" s="323"/>
      <c r="AI116" s="323"/>
      <c r="AJ116" s="323"/>
    </row>
    <row r="117" spans="1:36" x14ac:dyDescent="0.2">
      <c r="A117" s="250" t="str">
        <f>IF(BuffsDebuffs!$M113=1,BuffsDebuffs!G$2,"")</f>
        <v/>
      </c>
      <c r="B117" s="251" t="str">
        <f>IF(BuffsDebuffs!$M113=1,BuffsDebuffs!H$2,"")</f>
        <v/>
      </c>
      <c r="C117" s="251" t="str">
        <f>IF(BuffsDebuffs!$M113=1,BuffsDebuffs!I$2,"")</f>
        <v/>
      </c>
      <c r="D117" s="251" t="str">
        <f>IF(BuffsDebuffs!$M113=1,BuffsDebuffs!J$2,"")</f>
        <v/>
      </c>
      <c r="E117" s="251" t="str">
        <f>IF(BuffsDebuffs!$M113=1,BuffsDebuffs!K$2,"")</f>
        <v/>
      </c>
      <c r="F117" s="251" t="str">
        <f>IF(BuffsDebuffs!$M113=1,BuffsDebuffs!L$2,"")</f>
        <v/>
      </c>
      <c r="G117" s="387" t="str">
        <f>IF($A117=Input!$A$3,B117,"")</f>
        <v/>
      </c>
      <c r="H117" s="323" t="str">
        <f>IF($A117=Input!$A$3,C117,"")</f>
        <v/>
      </c>
      <c r="I117" s="323" t="str">
        <f>IF($A117=Input!$A$3,D117,"")</f>
        <v/>
      </c>
      <c r="J117" s="323" t="str">
        <f>IF($A117=Input!$A$3,E117,"")</f>
        <v/>
      </c>
      <c r="K117" s="386" t="str">
        <f>IF($A117=Input!$A$3,F117,"")</f>
        <v/>
      </c>
      <c r="L117" s="387"/>
      <c r="M117" s="323"/>
      <c r="N117" s="323"/>
      <c r="O117" s="323"/>
      <c r="P117" s="323"/>
      <c r="Q117" s="387" t="str">
        <f>IF($A117=Input!$A$4,$B117,"")</f>
        <v/>
      </c>
      <c r="R117" s="323" t="str">
        <f>IF($A117=Input!$A$4,$C117,"")</f>
        <v/>
      </c>
      <c r="S117" s="323" t="str">
        <f>IF($A117=Input!$A$4,$D117,"")</f>
        <v/>
      </c>
      <c r="T117" s="323" t="str">
        <f>IF($A117=Input!$A$4,$E117,"")</f>
        <v/>
      </c>
      <c r="U117" s="386" t="str">
        <f>IF($A117=Input!$A$4,$F117,"")</f>
        <v/>
      </c>
      <c r="V117" s="323"/>
      <c r="W117" s="323"/>
      <c r="X117" s="323"/>
      <c r="Y117" s="323"/>
      <c r="Z117" s="323"/>
      <c r="AA117" s="387" t="str">
        <f>IF($A117=Input!$A$5,$B117,"")</f>
        <v/>
      </c>
      <c r="AB117" s="323" t="str">
        <f>IF($A117=Input!$A$5,$C117,"")</f>
        <v/>
      </c>
      <c r="AC117" s="323" t="str">
        <f>IF($A117=Input!$A$5,$D117,"")</f>
        <v/>
      </c>
      <c r="AD117" s="323" t="str">
        <f>IF($A117=Input!$A$5,$E117,"")</f>
        <v/>
      </c>
      <c r="AE117" s="386" t="str">
        <f>IF($A117=Input!$A$5,$F117,"")</f>
        <v/>
      </c>
      <c r="AF117" s="323"/>
      <c r="AG117" s="323"/>
      <c r="AH117" s="323"/>
      <c r="AI117" s="323"/>
      <c r="AJ117" s="323"/>
    </row>
    <row r="118" spans="1:36" x14ac:dyDescent="0.2">
      <c r="A118" s="250" t="str">
        <f>IF(BuffsDebuffs!$M114=1,BuffsDebuffs!G$2,"")</f>
        <v/>
      </c>
      <c r="B118" s="251" t="str">
        <f>IF(BuffsDebuffs!$M114=1,BuffsDebuffs!H$2,"")</f>
        <v/>
      </c>
      <c r="C118" s="251" t="str">
        <f>IF(BuffsDebuffs!$M114=1,BuffsDebuffs!I$2,"")</f>
        <v/>
      </c>
      <c r="D118" s="251" t="str">
        <f>IF(BuffsDebuffs!$M114=1,BuffsDebuffs!J$2,"")</f>
        <v/>
      </c>
      <c r="E118" s="251" t="str">
        <f>IF(BuffsDebuffs!$M114=1,BuffsDebuffs!K$2,"")</f>
        <v/>
      </c>
      <c r="F118" s="251" t="str">
        <f>IF(BuffsDebuffs!$M114=1,BuffsDebuffs!L$2,"")</f>
        <v/>
      </c>
      <c r="G118" s="387" t="str">
        <f>IF($A118=Input!$A$3,B118,"")</f>
        <v/>
      </c>
      <c r="H118" s="323" t="str">
        <f>IF($A118=Input!$A$3,C118,"")</f>
        <v/>
      </c>
      <c r="I118" s="323" t="str">
        <f>IF($A118=Input!$A$3,D118,"")</f>
        <v/>
      </c>
      <c r="J118" s="323" t="str">
        <f>IF($A118=Input!$A$3,E118,"")</f>
        <v/>
      </c>
      <c r="K118" s="386" t="str">
        <f>IF($A118=Input!$A$3,F118,"")</f>
        <v/>
      </c>
      <c r="L118" s="387"/>
      <c r="M118" s="323"/>
      <c r="N118" s="323"/>
      <c r="O118" s="323"/>
      <c r="P118" s="323"/>
      <c r="Q118" s="387" t="str">
        <f>IF($A118=Input!$A$4,$B118,"")</f>
        <v/>
      </c>
      <c r="R118" s="323" t="str">
        <f>IF($A118=Input!$A$4,$C118,"")</f>
        <v/>
      </c>
      <c r="S118" s="323" t="str">
        <f>IF($A118=Input!$A$4,$D118,"")</f>
        <v/>
      </c>
      <c r="T118" s="323" t="str">
        <f>IF($A118=Input!$A$4,$E118,"")</f>
        <v/>
      </c>
      <c r="U118" s="386" t="str">
        <f>IF($A118=Input!$A$4,$F118,"")</f>
        <v/>
      </c>
      <c r="V118" s="323"/>
      <c r="W118" s="323"/>
      <c r="X118" s="323"/>
      <c r="Y118" s="323"/>
      <c r="Z118" s="323"/>
      <c r="AA118" s="387" t="str">
        <f>IF($A118=Input!$A$5,$B118,"")</f>
        <v/>
      </c>
      <c r="AB118" s="323" t="str">
        <f>IF($A118=Input!$A$5,$C118,"")</f>
        <v/>
      </c>
      <c r="AC118" s="323" t="str">
        <f>IF($A118=Input!$A$5,$D118,"")</f>
        <v/>
      </c>
      <c r="AD118" s="323" t="str">
        <f>IF($A118=Input!$A$5,$E118,"")</f>
        <v/>
      </c>
      <c r="AE118" s="386" t="str">
        <f>IF($A118=Input!$A$5,$F118,"")</f>
        <v/>
      </c>
      <c r="AF118" s="323"/>
      <c r="AG118" s="323"/>
      <c r="AH118" s="323"/>
      <c r="AI118" s="323"/>
      <c r="AJ118" s="323"/>
    </row>
    <row r="119" spans="1:36" x14ac:dyDescent="0.2">
      <c r="A119" s="250" t="str">
        <f>IF(BuffsDebuffs!$M115=1,BuffsDebuffs!G$2,"")</f>
        <v/>
      </c>
      <c r="B119" s="251" t="str">
        <f>IF(BuffsDebuffs!$M115=1,BuffsDebuffs!H$2,"")</f>
        <v/>
      </c>
      <c r="C119" s="251" t="str">
        <f>IF(BuffsDebuffs!$M115=1,BuffsDebuffs!I$2,"")</f>
        <v/>
      </c>
      <c r="D119" s="251" t="str">
        <f>IF(BuffsDebuffs!$M115=1,BuffsDebuffs!J$2,"")</f>
        <v/>
      </c>
      <c r="E119" s="251" t="str">
        <f>IF(BuffsDebuffs!$M115=1,BuffsDebuffs!K$2,"")</f>
        <v/>
      </c>
      <c r="F119" s="251" t="str">
        <f>IF(BuffsDebuffs!$M115=1,BuffsDebuffs!L$2,"")</f>
        <v/>
      </c>
      <c r="G119" s="387" t="str">
        <f>IF($A119=Input!$A$3,B119,"")</f>
        <v/>
      </c>
      <c r="H119" s="323" t="str">
        <f>IF($A119=Input!$A$3,C119,"")</f>
        <v/>
      </c>
      <c r="I119" s="323" t="str">
        <f>IF($A119=Input!$A$3,D119,"")</f>
        <v/>
      </c>
      <c r="J119" s="323" t="str">
        <f>IF($A119=Input!$A$3,E119,"")</f>
        <v/>
      </c>
      <c r="K119" s="386" t="str">
        <f>IF($A119=Input!$A$3,F119,"")</f>
        <v/>
      </c>
      <c r="L119" s="387"/>
      <c r="M119" s="323"/>
      <c r="N119" s="323"/>
      <c r="O119" s="323"/>
      <c r="P119" s="323"/>
      <c r="Q119" s="387" t="str">
        <f>IF($A119=Input!$A$4,$B119,"")</f>
        <v/>
      </c>
      <c r="R119" s="323" t="str">
        <f>IF($A119=Input!$A$4,$C119,"")</f>
        <v/>
      </c>
      <c r="S119" s="323" t="str">
        <f>IF($A119=Input!$A$4,$D119,"")</f>
        <v/>
      </c>
      <c r="T119" s="323" t="str">
        <f>IF($A119=Input!$A$4,$E119,"")</f>
        <v/>
      </c>
      <c r="U119" s="386" t="str">
        <f>IF($A119=Input!$A$4,$F119,"")</f>
        <v/>
      </c>
      <c r="V119" s="323"/>
      <c r="W119" s="323"/>
      <c r="X119" s="323"/>
      <c r="Y119" s="323"/>
      <c r="Z119" s="323"/>
      <c r="AA119" s="387" t="str">
        <f>IF($A119=Input!$A$5,$B119,"")</f>
        <v/>
      </c>
      <c r="AB119" s="323" t="str">
        <f>IF($A119=Input!$A$5,$C119,"")</f>
        <v/>
      </c>
      <c r="AC119" s="323" t="str">
        <f>IF($A119=Input!$A$5,$D119,"")</f>
        <v/>
      </c>
      <c r="AD119" s="323" t="str">
        <f>IF($A119=Input!$A$5,$E119,"")</f>
        <v/>
      </c>
      <c r="AE119" s="386" t="str">
        <f>IF($A119=Input!$A$5,$F119,"")</f>
        <v/>
      </c>
      <c r="AF119" s="323"/>
      <c r="AG119" s="323"/>
      <c r="AH119" s="323"/>
      <c r="AI119" s="323"/>
      <c r="AJ119" s="323"/>
    </row>
    <row r="120" spans="1:36" x14ac:dyDescent="0.2">
      <c r="A120" s="250" t="str">
        <f>IF(BuffsDebuffs!$M116=1,BuffsDebuffs!G$2,"")</f>
        <v/>
      </c>
      <c r="B120" s="251" t="str">
        <f>IF(BuffsDebuffs!$M116=1,BuffsDebuffs!H$2,"")</f>
        <v/>
      </c>
      <c r="C120" s="251" t="str">
        <f>IF(BuffsDebuffs!$M116=1,BuffsDebuffs!I$2,"")</f>
        <v/>
      </c>
      <c r="D120" s="251" t="str">
        <f>IF(BuffsDebuffs!$M116=1,BuffsDebuffs!J$2,"")</f>
        <v/>
      </c>
      <c r="E120" s="251" t="str">
        <f>IF(BuffsDebuffs!$M116=1,BuffsDebuffs!K$2,"")</f>
        <v/>
      </c>
      <c r="F120" s="251" t="str">
        <f>IF(BuffsDebuffs!$M116=1,BuffsDebuffs!L$2,"")</f>
        <v/>
      </c>
      <c r="G120" s="387" t="str">
        <f>IF($A120=Input!$A$3,B120,"")</f>
        <v/>
      </c>
      <c r="H120" s="323" t="str">
        <f>IF($A120=Input!$A$3,C120,"")</f>
        <v/>
      </c>
      <c r="I120" s="323" t="str">
        <f>IF($A120=Input!$A$3,D120,"")</f>
        <v/>
      </c>
      <c r="J120" s="323" t="str">
        <f>IF($A120=Input!$A$3,E120,"")</f>
        <v/>
      </c>
      <c r="K120" s="386" t="str">
        <f>IF($A120=Input!$A$3,F120,"")</f>
        <v/>
      </c>
      <c r="L120" s="387"/>
      <c r="M120" s="323"/>
      <c r="N120" s="323"/>
      <c r="O120" s="323"/>
      <c r="P120" s="323"/>
      <c r="Q120" s="387" t="str">
        <f>IF($A120=Input!$A$4,$B120,"")</f>
        <v/>
      </c>
      <c r="R120" s="323" t="str">
        <f>IF($A120=Input!$A$4,$C120,"")</f>
        <v/>
      </c>
      <c r="S120" s="323" t="str">
        <f>IF($A120=Input!$A$4,$D120,"")</f>
        <v/>
      </c>
      <c r="T120" s="323" t="str">
        <f>IF($A120=Input!$A$4,$E120,"")</f>
        <v/>
      </c>
      <c r="U120" s="386" t="str">
        <f>IF($A120=Input!$A$4,$F120,"")</f>
        <v/>
      </c>
      <c r="V120" s="323"/>
      <c r="W120" s="323"/>
      <c r="X120" s="323"/>
      <c r="Y120" s="323"/>
      <c r="Z120" s="323"/>
      <c r="AA120" s="387" t="str">
        <f>IF($A120=Input!$A$5,$B120,"")</f>
        <v/>
      </c>
      <c r="AB120" s="323" t="str">
        <f>IF($A120=Input!$A$5,$C120,"")</f>
        <v/>
      </c>
      <c r="AC120" s="323" t="str">
        <f>IF($A120=Input!$A$5,$D120,"")</f>
        <v/>
      </c>
      <c r="AD120" s="323" t="str">
        <f>IF($A120=Input!$A$5,$E120,"")</f>
        <v/>
      </c>
      <c r="AE120" s="386" t="str">
        <f>IF($A120=Input!$A$5,$F120,"")</f>
        <v/>
      </c>
      <c r="AF120" s="323"/>
      <c r="AG120" s="323"/>
      <c r="AH120" s="323"/>
      <c r="AI120" s="323"/>
      <c r="AJ120" s="323"/>
    </row>
    <row r="121" spans="1:36" x14ac:dyDescent="0.2">
      <c r="A121" s="250" t="str">
        <f>IF(BuffsDebuffs!$M117=1,BuffsDebuffs!G$2,"")</f>
        <v/>
      </c>
      <c r="B121" s="251" t="str">
        <f>IF(BuffsDebuffs!$M117=1,BuffsDebuffs!H$2,"")</f>
        <v/>
      </c>
      <c r="C121" s="251" t="str">
        <f>IF(BuffsDebuffs!$M117=1,BuffsDebuffs!I$2,"")</f>
        <v/>
      </c>
      <c r="D121" s="251" t="str">
        <f>IF(BuffsDebuffs!$M117=1,BuffsDebuffs!J$2,"")</f>
        <v/>
      </c>
      <c r="E121" s="251" t="str">
        <f>IF(BuffsDebuffs!$M117=1,BuffsDebuffs!K$2,"")</f>
        <v/>
      </c>
      <c r="F121" s="251" t="str">
        <f>IF(BuffsDebuffs!$M117=1,BuffsDebuffs!L$2,"")</f>
        <v/>
      </c>
      <c r="G121" s="387" t="str">
        <f>IF($A121=Input!$A$3,B121,"")</f>
        <v/>
      </c>
      <c r="H121" s="323" t="str">
        <f>IF($A121=Input!$A$3,C121,"")</f>
        <v/>
      </c>
      <c r="I121" s="323" t="str">
        <f>IF($A121=Input!$A$3,D121,"")</f>
        <v/>
      </c>
      <c r="J121" s="323" t="str">
        <f>IF($A121=Input!$A$3,E121,"")</f>
        <v/>
      </c>
      <c r="K121" s="386" t="str">
        <f>IF($A121=Input!$A$3,F121,"")</f>
        <v/>
      </c>
      <c r="L121" s="387"/>
      <c r="M121" s="323"/>
      <c r="N121" s="323"/>
      <c r="O121" s="323"/>
      <c r="P121" s="323"/>
      <c r="Q121" s="387" t="str">
        <f>IF($A121=Input!$A$4,$B121,"")</f>
        <v/>
      </c>
      <c r="R121" s="323" t="str">
        <f>IF($A121=Input!$A$4,$C121,"")</f>
        <v/>
      </c>
      <c r="S121" s="323" t="str">
        <f>IF($A121=Input!$A$4,$D121,"")</f>
        <v/>
      </c>
      <c r="T121" s="323" t="str">
        <f>IF($A121=Input!$A$4,$E121,"")</f>
        <v/>
      </c>
      <c r="U121" s="386" t="str">
        <f>IF($A121=Input!$A$4,$F121,"")</f>
        <v/>
      </c>
      <c r="V121" s="323"/>
      <c r="W121" s="323"/>
      <c r="X121" s="323"/>
      <c r="Y121" s="323"/>
      <c r="Z121" s="323"/>
      <c r="AA121" s="387" t="str">
        <f>IF($A121=Input!$A$5,$B121,"")</f>
        <v/>
      </c>
      <c r="AB121" s="323" t="str">
        <f>IF($A121=Input!$A$5,$C121,"")</f>
        <v/>
      </c>
      <c r="AC121" s="323" t="str">
        <f>IF($A121=Input!$A$5,$D121,"")</f>
        <v/>
      </c>
      <c r="AD121" s="323" t="str">
        <f>IF($A121=Input!$A$5,$E121,"")</f>
        <v/>
      </c>
      <c r="AE121" s="386" t="str">
        <f>IF($A121=Input!$A$5,$F121,"")</f>
        <v/>
      </c>
      <c r="AF121" s="323"/>
      <c r="AG121" s="323"/>
      <c r="AH121" s="323"/>
      <c r="AI121" s="323"/>
      <c r="AJ121" s="323"/>
    </row>
    <row r="122" spans="1:36" x14ac:dyDescent="0.2">
      <c r="A122" s="250" t="str">
        <f>IF(BuffsDebuffs!$M118=1,BuffsDebuffs!G$2,"")</f>
        <v/>
      </c>
      <c r="B122" s="251" t="str">
        <f>IF(BuffsDebuffs!$M118=1,BuffsDebuffs!H$2,"")</f>
        <v/>
      </c>
      <c r="C122" s="251" t="str">
        <f>IF(BuffsDebuffs!$M118=1,BuffsDebuffs!I$2,"")</f>
        <v/>
      </c>
      <c r="D122" s="251" t="str">
        <f>IF(BuffsDebuffs!$M118=1,BuffsDebuffs!J$2,"")</f>
        <v/>
      </c>
      <c r="E122" s="251" t="str">
        <f>IF(BuffsDebuffs!$M118=1,BuffsDebuffs!K$2,"")</f>
        <v/>
      </c>
      <c r="F122" s="251" t="str">
        <f>IF(BuffsDebuffs!$M118=1,BuffsDebuffs!L$2,"")</f>
        <v/>
      </c>
      <c r="G122" s="387" t="str">
        <f>IF($A122=Input!$A$3,B122,"")</f>
        <v/>
      </c>
      <c r="H122" s="323" t="str">
        <f>IF($A122=Input!$A$3,C122,"")</f>
        <v/>
      </c>
      <c r="I122" s="323" t="str">
        <f>IF($A122=Input!$A$3,D122,"")</f>
        <v/>
      </c>
      <c r="J122" s="323" t="str">
        <f>IF($A122=Input!$A$3,E122,"")</f>
        <v/>
      </c>
      <c r="K122" s="386" t="str">
        <f>IF($A122=Input!$A$3,F122,"")</f>
        <v/>
      </c>
      <c r="L122" s="387"/>
      <c r="M122" s="323"/>
      <c r="N122" s="323"/>
      <c r="O122" s="323"/>
      <c r="P122" s="323"/>
      <c r="Q122" s="387" t="str">
        <f>IF($A122=Input!$A$4,$B122,"")</f>
        <v/>
      </c>
      <c r="R122" s="323" t="str">
        <f>IF($A122=Input!$A$4,$C122,"")</f>
        <v/>
      </c>
      <c r="S122" s="323" t="str">
        <f>IF($A122=Input!$A$4,$D122,"")</f>
        <v/>
      </c>
      <c r="T122" s="323" t="str">
        <f>IF($A122=Input!$A$4,$E122,"")</f>
        <v/>
      </c>
      <c r="U122" s="386" t="str">
        <f>IF($A122=Input!$A$4,$F122,"")</f>
        <v/>
      </c>
      <c r="V122" s="323"/>
      <c r="W122" s="323"/>
      <c r="X122" s="323"/>
      <c r="Y122" s="323"/>
      <c r="Z122" s="323"/>
      <c r="AA122" s="387" t="str">
        <f>IF($A122=Input!$A$5,$B122,"")</f>
        <v/>
      </c>
      <c r="AB122" s="323" t="str">
        <f>IF($A122=Input!$A$5,$C122,"")</f>
        <v/>
      </c>
      <c r="AC122" s="323" t="str">
        <f>IF($A122=Input!$A$5,$D122,"")</f>
        <v/>
      </c>
      <c r="AD122" s="323" t="str">
        <f>IF($A122=Input!$A$5,$E122,"")</f>
        <v/>
      </c>
      <c r="AE122" s="386" t="str">
        <f>IF($A122=Input!$A$5,$F122,"")</f>
        <v/>
      </c>
      <c r="AF122" s="323"/>
      <c r="AG122" s="323"/>
      <c r="AH122" s="323"/>
      <c r="AI122" s="323"/>
      <c r="AJ122" s="323"/>
    </row>
    <row r="123" spans="1:36" x14ac:dyDescent="0.2">
      <c r="A123" s="250" t="str">
        <f>IF(BuffsDebuffs!$M119=1,BuffsDebuffs!G$2,"")</f>
        <v/>
      </c>
      <c r="B123" s="251" t="str">
        <f>IF(BuffsDebuffs!$M119=1,BuffsDebuffs!H$2,"")</f>
        <v/>
      </c>
      <c r="C123" s="251" t="str">
        <f>IF(BuffsDebuffs!$M119=1,BuffsDebuffs!I$2,"")</f>
        <v/>
      </c>
      <c r="D123" s="251" t="str">
        <f>IF(BuffsDebuffs!$M119=1,BuffsDebuffs!J$2,"")</f>
        <v/>
      </c>
      <c r="E123" s="251" t="str">
        <f>IF(BuffsDebuffs!$M119=1,BuffsDebuffs!K$2,"")</f>
        <v/>
      </c>
      <c r="F123" s="251" t="str">
        <f>IF(BuffsDebuffs!$M119=1,BuffsDebuffs!L$2,"")</f>
        <v/>
      </c>
      <c r="G123" s="387" t="str">
        <f>IF($A123=Input!$A$3,B123,"")</f>
        <v/>
      </c>
      <c r="H123" s="323" t="str">
        <f>IF($A123=Input!$A$3,C123,"")</f>
        <v/>
      </c>
      <c r="I123" s="323" t="str">
        <f>IF($A123=Input!$A$3,D123,"")</f>
        <v/>
      </c>
      <c r="J123" s="323" t="str">
        <f>IF($A123=Input!$A$3,E123,"")</f>
        <v/>
      </c>
      <c r="K123" s="386" t="str">
        <f>IF($A123=Input!$A$3,F123,"")</f>
        <v/>
      </c>
      <c r="L123" s="387"/>
      <c r="M123" s="323"/>
      <c r="N123" s="323"/>
      <c r="O123" s="323"/>
      <c r="P123" s="323"/>
      <c r="Q123" s="387" t="str">
        <f>IF($A123=Input!$A$4,$B123,"")</f>
        <v/>
      </c>
      <c r="R123" s="323" t="str">
        <f>IF($A123=Input!$A$4,$C123,"")</f>
        <v/>
      </c>
      <c r="S123" s="323" t="str">
        <f>IF($A123=Input!$A$4,$D123,"")</f>
        <v/>
      </c>
      <c r="T123" s="323" t="str">
        <f>IF($A123=Input!$A$4,$E123,"")</f>
        <v/>
      </c>
      <c r="U123" s="386" t="str">
        <f>IF($A123=Input!$A$4,$F123,"")</f>
        <v/>
      </c>
      <c r="V123" s="323"/>
      <c r="W123" s="323"/>
      <c r="X123" s="323"/>
      <c r="Y123" s="323"/>
      <c r="Z123" s="323"/>
      <c r="AA123" s="387" t="str">
        <f>IF($A123=Input!$A$5,$B123,"")</f>
        <v/>
      </c>
      <c r="AB123" s="323" t="str">
        <f>IF($A123=Input!$A$5,$C123,"")</f>
        <v/>
      </c>
      <c r="AC123" s="323" t="str">
        <f>IF($A123=Input!$A$5,$D123,"")</f>
        <v/>
      </c>
      <c r="AD123" s="323" t="str">
        <f>IF($A123=Input!$A$5,$E123,"")</f>
        <v/>
      </c>
      <c r="AE123" s="386" t="str">
        <f>IF($A123=Input!$A$5,$F123,"")</f>
        <v/>
      </c>
      <c r="AF123" s="323"/>
      <c r="AG123" s="323"/>
      <c r="AH123" s="323"/>
      <c r="AI123" s="323"/>
      <c r="AJ123" s="323"/>
    </row>
    <row r="124" spans="1:36" x14ac:dyDescent="0.2">
      <c r="A124" s="250" t="str">
        <f>IF(BuffsDebuffs!$M120=1,BuffsDebuffs!G$2,"")</f>
        <v/>
      </c>
      <c r="B124" s="251" t="str">
        <f>IF(BuffsDebuffs!$M120=1,BuffsDebuffs!H$2,"")</f>
        <v/>
      </c>
      <c r="C124" s="251" t="str">
        <f>IF(BuffsDebuffs!$M120=1,BuffsDebuffs!I$2,"")</f>
        <v/>
      </c>
      <c r="D124" s="251" t="str">
        <f>IF(BuffsDebuffs!$M120=1,BuffsDebuffs!J$2,"")</f>
        <v/>
      </c>
      <c r="E124" s="251" t="str">
        <f>IF(BuffsDebuffs!$M120=1,BuffsDebuffs!K$2,"")</f>
        <v/>
      </c>
      <c r="F124" s="251" t="str">
        <f>IF(BuffsDebuffs!$M120=1,BuffsDebuffs!L$2,"")</f>
        <v/>
      </c>
      <c r="G124" s="387" t="str">
        <f>IF($A124=Input!$A$3,B124,"")</f>
        <v/>
      </c>
      <c r="H124" s="323" t="str">
        <f>IF($A124=Input!$A$3,C124,"")</f>
        <v/>
      </c>
      <c r="I124" s="323" t="str">
        <f>IF($A124=Input!$A$3,D124,"")</f>
        <v/>
      </c>
      <c r="J124" s="323" t="str">
        <f>IF($A124=Input!$A$3,E124,"")</f>
        <v/>
      </c>
      <c r="K124" s="386" t="str">
        <f>IF($A124=Input!$A$3,F124,"")</f>
        <v/>
      </c>
      <c r="L124" s="387"/>
      <c r="M124" s="323"/>
      <c r="N124" s="323"/>
      <c r="O124" s="323"/>
      <c r="P124" s="323"/>
      <c r="Q124" s="387" t="str">
        <f>IF($A124=Input!$A$4,$B124,"")</f>
        <v/>
      </c>
      <c r="R124" s="323" t="str">
        <f>IF($A124=Input!$A$4,$C124,"")</f>
        <v/>
      </c>
      <c r="S124" s="323" t="str">
        <f>IF($A124=Input!$A$4,$D124,"")</f>
        <v/>
      </c>
      <c r="T124" s="323" t="str">
        <f>IF($A124=Input!$A$4,$E124,"")</f>
        <v/>
      </c>
      <c r="U124" s="386" t="str">
        <f>IF($A124=Input!$A$4,$F124,"")</f>
        <v/>
      </c>
      <c r="V124" s="323"/>
      <c r="W124" s="323"/>
      <c r="X124" s="323"/>
      <c r="Y124" s="323"/>
      <c r="Z124" s="323"/>
      <c r="AA124" s="387" t="str">
        <f>IF($A124=Input!$A$5,$B124,"")</f>
        <v/>
      </c>
      <c r="AB124" s="323" t="str">
        <f>IF($A124=Input!$A$5,$C124,"")</f>
        <v/>
      </c>
      <c r="AC124" s="323" t="str">
        <f>IF($A124=Input!$A$5,$D124,"")</f>
        <v/>
      </c>
      <c r="AD124" s="323" t="str">
        <f>IF($A124=Input!$A$5,$E124,"")</f>
        <v/>
      </c>
      <c r="AE124" s="386" t="str">
        <f>IF($A124=Input!$A$5,$F124,"")</f>
        <v/>
      </c>
      <c r="AF124" s="323"/>
      <c r="AG124" s="323"/>
      <c r="AH124" s="323"/>
      <c r="AI124" s="323"/>
      <c r="AJ124" s="323"/>
    </row>
    <row r="125" spans="1:36" x14ac:dyDescent="0.2">
      <c r="A125" s="250" t="str">
        <f>IF(BuffsDebuffs!$M121=1,BuffsDebuffs!G$2,"")</f>
        <v/>
      </c>
      <c r="B125" s="251" t="str">
        <f>IF(BuffsDebuffs!$M121=1,BuffsDebuffs!H$2,"")</f>
        <v/>
      </c>
      <c r="C125" s="251" t="str">
        <f>IF(BuffsDebuffs!$M121=1,BuffsDebuffs!I$2,"")</f>
        <v/>
      </c>
      <c r="D125" s="251" t="str">
        <f>IF(BuffsDebuffs!$M121=1,BuffsDebuffs!J$2,"")</f>
        <v/>
      </c>
      <c r="E125" s="251" t="str">
        <f>IF(BuffsDebuffs!$M121=1,BuffsDebuffs!K$2,"")</f>
        <v/>
      </c>
      <c r="F125" s="251" t="str">
        <f>IF(BuffsDebuffs!$M121=1,BuffsDebuffs!L$2,"")</f>
        <v/>
      </c>
      <c r="G125" s="387" t="str">
        <f>IF($A125=Input!$A$3,B125,"")</f>
        <v/>
      </c>
      <c r="H125" s="323" t="str">
        <f>IF($A125=Input!$A$3,C125,"")</f>
        <v/>
      </c>
      <c r="I125" s="323" t="str">
        <f>IF($A125=Input!$A$3,D125,"")</f>
        <v/>
      </c>
      <c r="J125" s="323" t="str">
        <f>IF($A125=Input!$A$3,E125,"")</f>
        <v/>
      </c>
      <c r="K125" s="386" t="str">
        <f>IF($A125=Input!$A$3,F125,"")</f>
        <v/>
      </c>
      <c r="L125" s="387"/>
      <c r="M125" s="323"/>
      <c r="N125" s="323"/>
      <c r="O125" s="323"/>
      <c r="P125" s="323"/>
      <c r="Q125" s="387" t="str">
        <f>IF($A125=Input!$A$4,$B125,"")</f>
        <v/>
      </c>
      <c r="R125" s="323" t="str">
        <f>IF($A125=Input!$A$4,$C125,"")</f>
        <v/>
      </c>
      <c r="S125" s="323" t="str">
        <f>IF($A125=Input!$A$4,$D125,"")</f>
        <v/>
      </c>
      <c r="T125" s="323" t="str">
        <f>IF($A125=Input!$A$4,$E125,"")</f>
        <v/>
      </c>
      <c r="U125" s="386" t="str">
        <f>IF($A125=Input!$A$4,$F125,"")</f>
        <v/>
      </c>
      <c r="V125" s="323"/>
      <c r="W125" s="323"/>
      <c r="X125" s="323"/>
      <c r="Y125" s="323"/>
      <c r="Z125" s="323"/>
      <c r="AA125" s="387" t="str">
        <f>IF($A125=Input!$A$5,$B125,"")</f>
        <v/>
      </c>
      <c r="AB125" s="323" t="str">
        <f>IF($A125=Input!$A$5,$C125,"")</f>
        <v/>
      </c>
      <c r="AC125" s="323" t="str">
        <f>IF($A125=Input!$A$5,$D125,"")</f>
        <v/>
      </c>
      <c r="AD125" s="323" t="str">
        <f>IF($A125=Input!$A$5,$E125,"")</f>
        <v/>
      </c>
      <c r="AE125" s="386" t="str">
        <f>IF($A125=Input!$A$5,$F125,"")</f>
        <v/>
      </c>
      <c r="AF125" s="323"/>
      <c r="AG125" s="323"/>
      <c r="AH125" s="323"/>
      <c r="AI125" s="323"/>
      <c r="AJ125" s="323"/>
    </row>
    <row r="126" spans="1:36" x14ac:dyDescent="0.2">
      <c r="A126" s="250" t="str">
        <f>IF(BuffsDebuffs!$M122=1,BuffsDebuffs!G$2,"")</f>
        <v/>
      </c>
      <c r="B126" s="251" t="str">
        <f>IF(BuffsDebuffs!$M122=1,BuffsDebuffs!H$2,"")</f>
        <v/>
      </c>
      <c r="C126" s="251" t="str">
        <f>IF(BuffsDebuffs!$M122=1,BuffsDebuffs!I$2,"")</f>
        <v/>
      </c>
      <c r="D126" s="251" t="str">
        <f>IF(BuffsDebuffs!$M122=1,BuffsDebuffs!J$2,"")</f>
        <v/>
      </c>
      <c r="E126" s="251" t="str">
        <f>IF(BuffsDebuffs!$M122=1,BuffsDebuffs!K$2,"")</f>
        <v/>
      </c>
      <c r="F126" s="251" t="str">
        <f>IF(BuffsDebuffs!$M122=1,BuffsDebuffs!L$2,"")</f>
        <v/>
      </c>
      <c r="G126" s="387" t="str">
        <f>IF($A126=Input!$A$3,B126,"")</f>
        <v/>
      </c>
      <c r="H126" s="323" t="str">
        <f>IF($A126=Input!$A$3,C126,"")</f>
        <v/>
      </c>
      <c r="I126" s="323" t="str">
        <f>IF($A126=Input!$A$3,D126,"")</f>
        <v/>
      </c>
      <c r="J126" s="323" t="str">
        <f>IF($A126=Input!$A$3,E126,"")</f>
        <v/>
      </c>
      <c r="K126" s="386" t="str">
        <f>IF($A126=Input!$A$3,F126,"")</f>
        <v/>
      </c>
      <c r="L126" s="387"/>
      <c r="M126" s="323"/>
      <c r="N126" s="323"/>
      <c r="O126" s="323"/>
      <c r="P126" s="323"/>
      <c r="Q126" s="387" t="str">
        <f>IF($A126=Input!$A$4,$B126,"")</f>
        <v/>
      </c>
      <c r="R126" s="323" t="str">
        <f>IF($A126=Input!$A$4,$C126,"")</f>
        <v/>
      </c>
      <c r="S126" s="323" t="str">
        <f>IF($A126=Input!$A$4,$D126,"")</f>
        <v/>
      </c>
      <c r="T126" s="323" t="str">
        <f>IF($A126=Input!$A$4,$E126,"")</f>
        <v/>
      </c>
      <c r="U126" s="386" t="str">
        <f>IF($A126=Input!$A$4,$F126,"")</f>
        <v/>
      </c>
      <c r="V126" s="323"/>
      <c r="W126" s="323"/>
      <c r="X126" s="323"/>
      <c r="Y126" s="323"/>
      <c r="Z126" s="323"/>
      <c r="AA126" s="387" t="str">
        <f>IF($A126=Input!$A$5,$B126,"")</f>
        <v/>
      </c>
      <c r="AB126" s="323" t="str">
        <f>IF($A126=Input!$A$5,$C126,"")</f>
        <v/>
      </c>
      <c r="AC126" s="323" t="str">
        <f>IF($A126=Input!$A$5,$D126,"")</f>
        <v/>
      </c>
      <c r="AD126" s="323" t="str">
        <f>IF($A126=Input!$A$5,$E126,"")</f>
        <v/>
      </c>
      <c r="AE126" s="386" t="str">
        <f>IF($A126=Input!$A$5,$F126,"")</f>
        <v/>
      </c>
      <c r="AF126" s="323"/>
      <c r="AG126" s="323"/>
      <c r="AH126" s="323"/>
      <c r="AI126" s="323"/>
      <c r="AJ126" s="323"/>
    </row>
    <row r="127" spans="1:36" x14ac:dyDescent="0.2">
      <c r="A127" s="250" t="str">
        <f>IF(BuffsDebuffs!$M123=1,BuffsDebuffs!G$2,"")</f>
        <v/>
      </c>
      <c r="B127" s="251" t="str">
        <f>IF(BuffsDebuffs!$M123=1,BuffsDebuffs!H$2,"")</f>
        <v/>
      </c>
      <c r="C127" s="251" t="str">
        <f>IF(BuffsDebuffs!$M123=1,BuffsDebuffs!I$2,"")</f>
        <v/>
      </c>
      <c r="D127" s="251" t="str">
        <f>IF(BuffsDebuffs!$M123=1,BuffsDebuffs!J$2,"")</f>
        <v/>
      </c>
      <c r="E127" s="251" t="str">
        <f>IF(BuffsDebuffs!$M123=1,BuffsDebuffs!K$2,"")</f>
        <v/>
      </c>
      <c r="F127" s="251" t="str">
        <f>IF(BuffsDebuffs!$M123=1,BuffsDebuffs!L$2,"")</f>
        <v/>
      </c>
      <c r="G127" s="387" t="str">
        <f>IF($A127=Input!$A$3,B127,"")</f>
        <v/>
      </c>
      <c r="H127" s="323" t="str">
        <f>IF($A127=Input!$A$3,C127,"")</f>
        <v/>
      </c>
      <c r="I127" s="323" t="str">
        <f>IF($A127=Input!$A$3,D127,"")</f>
        <v/>
      </c>
      <c r="J127" s="323" t="str">
        <f>IF($A127=Input!$A$3,E127,"")</f>
        <v/>
      </c>
      <c r="K127" s="386" t="str">
        <f>IF($A127=Input!$A$3,F127,"")</f>
        <v/>
      </c>
      <c r="L127" s="387"/>
      <c r="M127" s="323"/>
      <c r="N127" s="323"/>
      <c r="O127" s="323"/>
      <c r="P127" s="323"/>
      <c r="Q127" s="387" t="str">
        <f>IF($A127=Input!$A$4,$B127,"")</f>
        <v/>
      </c>
      <c r="R127" s="323" t="str">
        <f>IF($A127=Input!$A$4,$C127,"")</f>
        <v/>
      </c>
      <c r="S127" s="323" t="str">
        <f>IF($A127=Input!$A$4,$D127,"")</f>
        <v/>
      </c>
      <c r="T127" s="323" t="str">
        <f>IF($A127=Input!$A$4,$E127,"")</f>
        <v/>
      </c>
      <c r="U127" s="386" t="str">
        <f>IF($A127=Input!$A$4,$F127,"")</f>
        <v/>
      </c>
      <c r="V127" s="323"/>
      <c r="W127" s="323"/>
      <c r="X127" s="323"/>
      <c r="Y127" s="323"/>
      <c r="Z127" s="323"/>
      <c r="AA127" s="387" t="str">
        <f>IF($A127=Input!$A$5,$B127,"")</f>
        <v/>
      </c>
      <c r="AB127" s="323" t="str">
        <f>IF($A127=Input!$A$5,$C127,"")</f>
        <v/>
      </c>
      <c r="AC127" s="323" t="str">
        <f>IF($A127=Input!$A$5,$D127,"")</f>
        <v/>
      </c>
      <c r="AD127" s="323" t="str">
        <f>IF($A127=Input!$A$5,$E127,"")</f>
        <v/>
      </c>
      <c r="AE127" s="386" t="str">
        <f>IF($A127=Input!$A$5,$F127,"")</f>
        <v/>
      </c>
      <c r="AF127" s="323"/>
      <c r="AG127" s="323"/>
      <c r="AH127" s="323"/>
      <c r="AI127" s="323"/>
      <c r="AJ127" s="323"/>
    </row>
    <row r="128" spans="1:36" x14ac:dyDescent="0.2">
      <c r="A128" s="250" t="str">
        <f>IF(BuffsDebuffs!$M124=1,BuffsDebuffs!G$2,"")</f>
        <v/>
      </c>
      <c r="B128" s="251" t="str">
        <f>IF(BuffsDebuffs!$M124=1,BuffsDebuffs!H$2,"")</f>
        <v/>
      </c>
      <c r="C128" s="251" t="str">
        <f>IF(BuffsDebuffs!$M124=1,BuffsDebuffs!I$2,"")</f>
        <v/>
      </c>
      <c r="D128" s="251" t="str">
        <f>IF(BuffsDebuffs!$M124=1,BuffsDebuffs!J$2,"")</f>
        <v/>
      </c>
      <c r="E128" s="251" t="str">
        <f>IF(BuffsDebuffs!$M124=1,BuffsDebuffs!K$2,"")</f>
        <v/>
      </c>
      <c r="F128" s="251" t="str">
        <f>IF(BuffsDebuffs!$M124=1,BuffsDebuffs!L$2,"")</f>
        <v/>
      </c>
      <c r="G128" s="387" t="str">
        <f>IF($A128=Input!$A$3,B128,"")</f>
        <v/>
      </c>
      <c r="H128" s="323" t="str">
        <f>IF($A128=Input!$A$3,C128,"")</f>
        <v/>
      </c>
      <c r="I128" s="323" t="str">
        <f>IF($A128=Input!$A$3,D128,"")</f>
        <v/>
      </c>
      <c r="J128" s="323" t="str">
        <f>IF($A128=Input!$A$3,E128,"")</f>
        <v/>
      </c>
      <c r="K128" s="386" t="str">
        <f>IF($A128=Input!$A$3,F128,"")</f>
        <v/>
      </c>
      <c r="L128" s="387"/>
      <c r="M128" s="323"/>
      <c r="N128" s="323"/>
      <c r="O128" s="323"/>
      <c r="P128" s="323"/>
      <c r="Q128" s="387" t="str">
        <f>IF($A128=Input!$A$4,$B128,"")</f>
        <v/>
      </c>
      <c r="R128" s="323" t="str">
        <f>IF($A128=Input!$A$4,$C128,"")</f>
        <v/>
      </c>
      <c r="S128" s="323" t="str">
        <f>IF($A128=Input!$A$4,$D128,"")</f>
        <v/>
      </c>
      <c r="T128" s="323" t="str">
        <f>IF($A128=Input!$A$4,$E128,"")</f>
        <v/>
      </c>
      <c r="U128" s="386" t="str">
        <f>IF($A128=Input!$A$4,$F128,"")</f>
        <v/>
      </c>
      <c r="V128" s="323"/>
      <c r="W128" s="323"/>
      <c r="X128" s="323"/>
      <c r="Y128" s="323"/>
      <c r="Z128" s="323"/>
      <c r="AA128" s="387" t="str">
        <f>IF($A128=Input!$A$5,$B128,"")</f>
        <v/>
      </c>
      <c r="AB128" s="323" t="str">
        <f>IF($A128=Input!$A$5,$C128,"")</f>
        <v/>
      </c>
      <c r="AC128" s="323" t="str">
        <f>IF($A128=Input!$A$5,$D128,"")</f>
        <v/>
      </c>
      <c r="AD128" s="323" t="str">
        <f>IF($A128=Input!$A$5,$E128,"")</f>
        <v/>
      </c>
      <c r="AE128" s="386" t="str">
        <f>IF($A128=Input!$A$5,$F128,"")</f>
        <v/>
      </c>
      <c r="AF128" s="323"/>
      <c r="AG128" s="323"/>
      <c r="AH128" s="323"/>
      <c r="AI128" s="323"/>
      <c r="AJ128" s="323"/>
    </row>
    <row r="129" spans="1:36" x14ac:dyDescent="0.2">
      <c r="A129" s="250" t="str">
        <f>IF(BuffsDebuffs!$M125=1,BuffsDebuffs!G$2,"")</f>
        <v/>
      </c>
      <c r="B129" s="251" t="str">
        <f>IF(BuffsDebuffs!$M125=1,BuffsDebuffs!H$2,"")</f>
        <v/>
      </c>
      <c r="C129" s="251" t="str">
        <f>IF(BuffsDebuffs!$M125=1,BuffsDebuffs!I$2,"")</f>
        <v/>
      </c>
      <c r="D129" s="251" t="str">
        <f>IF(BuffsDebuffs!$M125=1,BuffsDebuffs!J$2,"")</f>
        <v/>
      </c>
      <c r="E129" s="251" t="str">
        <f>IF(BuffsDebuffs!$M125=1,BuffsDebuffs!K$2,"")</f>
        <v/>
      </c>
      <c r="F129" s="251" t="str">
        <f>IF(BuffsDebuffs!$M125=1,BuffsDebuffs!L$2,"")</f>
        <v/>
      </c>
      <c r="G129" s="387" t="str">
        <f>IF($A129=Input!$A$3,B129,"")</f>
        <v/>
      </c>
      <c r="H129" s="323" t="str">
        <f>IF($A129=Input!$A$3,C129,"")</f>
        <v/>
      </c>
      <c r="I129" s="323" t="str">
        <f>IF($A129=Input!$A$3,D129,"")</f>
        <v/>
      </c>
      <c r="J129" s="323" t="str">
        <f>IF($A129=Input!$A$3,E129,"")</f>
        <v/>
      </c>
      <c r="K129" s="386" t="str">
        <f>IF($A129=Input!$A$3,F129,"")</f>
        <v/>
      </c>
      <c r="L129" s="387"/>
      <c r="M129" s="323"/>
      <c r="N129" s="323"/>
      <c r="O129" s="323"/>
      <c r="P129" s="323"/>
      <c r="Q129" s="387" t="str">
        <f>IF($A129=Input!$A$4,$B129,"")</f>
        <v/>
      </c>
      <c r="R129" s="323" t="str">
        <f>IF($A129=Input!$A$4,$C129,"")</f>
        <v/>
      </c>
      <c r="S129" s="323" t="str">
        <f>IF($A129=Input!$A$4,$D129,"")</f>
        <v/>
      </c>
      <c r="T129" s="323" t="str">
        <f>IF($A129=Input!$A$4,$E129,"")</f>
        <v/>
      </c>
      <c r="U129" s="386" t="str">
        <f>IF($A129=Input!$A$4,$F129,"")</f>
        <v/>
      </c>
      <c r="V129" s="323"/>
      <c r="W129" s="323"/>
      <c r="X129" s="323"/>
      <c r="Y129" s="323"/>
      <c r="Z129" s="323"/>
      <c r="AA129" s="387" t="str">
        <f>IF($A129=Input!$A$5,$B129,"")</f>
        <v/>
      </c>
      <c r="AB129" s="323" t="str">
        <f>IF($A129=Input!$A$5,$C129,"")</f>
        <v/>
      </c>
      <c r="AC129" s="323" t="str">
        <f>IF($A129=Input!$A$5,$D129,"")</f>
        <v/>
      </c>
      <c r="AD129" s="323" t="str">
        <f>IF($A129=Input!$A$5,$E129,"")</f>
        <v/>
      </c>
      <c r="AE129" s="386" t="str">
        <f>IF($A129=Input!$A$5,$F129,"")</f>
        <v/>
      </c>
      <c r="AF129" s="323"/>
      <c r="AG129" s="323"/>
      <c r="AH129" s="323"/>
      <c r="AI129" s="323"/>
      <c r="AJ129" s="323"/>
    </row>
    <row r="130" spans="1:36" x14ac:dyDescent="0.2">
      <c r="A130" s="250" t="str">
        <f>IF(BuffsDebuffs!$M126=1,BuffsDebuffs!G$2,"")</f>
        <v/>
      </c>
      <c r="B130" s="251" t="str">
        <f>IF(BuffsDebuffs!$M126=1,BuffsDebuffs!H$2,"")</f>
        <v/>
      </c>
      <c r="C130" s="251" t="str">
        <f>IF(BuffsDebuffs!$M126=1,BuffsDebuffs!I$2,"")</f>
        <v/>
      </c>
      <c r="D130" s="251" t="str">
        <f>IF(BuffsDebuffs!$M126=1,BuffsDebuffs!J$2,"")</f>
        <v/>
      </c>
      <c r="E130" s="251" t="str">
        <f>IF(BuffsDebuffs!$M126=1,BuffsDebuffs!K$2,"")</f>
        <v/>
      </c>
      <c r="F130" s="251" t="str">
        <f>IF(BuffsDebuffs!$M126=1,BuffsDebuffs!L$2,"")</f>
        <v/>
      </c>
      <c r="G130" s="387" t="str">
        <f>IF($A130=Input!$A$3,B130,"")</f>
        <v/>
      </c>
      <c r="H130" s="323" t="str">
        <f>IF($A130=Input!$A$3,C130,"")</f>
        <v/>
      </c>
      <c r="I130" s="323" t="str">
        <f>IF($A130=Input!$A$3,D130,"")</f>
        <v/>
      </c>
      <c r="J130" s="323" t="str">
        <f>IF($A130=Input!$A$3,E130,"")</f>
        <v/>
      </c>
      <c r="K130" s="386" t="str">
        <f>IF($A130=Input!$A$3,F130,"")</f>
        <v/>
      </c>
      <c r="L130" s="387"/>
      <c r="M130" s="323"/>
      <c r="N130" s="323"/>
      <c r="O130" s="323"/>
      <c r="P130" s="323"/>
      <c r="Q130" s="387" t="str">
        <f>IF($A130=Input!$A$4,$B130,"")</f>
        <v/>
      </c>
      <c r="R130" s="323" t="str">
        <f>IF($A130=Input!$A$4,$C130,"")</f>
        <v/>
      </c>
      <c r="S130" s="323" t="str">
        <f>IF($A130=Input!$A$4,$D130,"")</f>
        <v/>
      </c>
      <c r="T130" s="323" t="str">
        <f>IF($A130=Input!$A$4,$E130,"")</f>
        <v/>
      </c>
      <c r="U130" s="386" t="str">
        <f>IF($A130=Input!$A$4,$F130,"")</f>
        <v/>
      </c>
      <c r="V130" s="323"/>
      <c r="W130" s="323"/>
      <c r="X130" s="323"/>
      <c r="Y130" s="323"/>
      <c r="Z130" s="323"/>
      <c r="AA130" s="387" t="str">
        <f>IF($A130=Input!$A$5,$B130,"")</f>
        <v/>
      </c>
      <c r="AB130" s="323" t="str">
        <f>IF($A130=Input!$A$5,$C130,"")</f>
        <v/>
      </c>
      <c r="AC130" s="323" t="str">
        <f>IF($A130=Input!$A$5,$D130,"")</f>
        <v/>
      </c>
      <c r="AD130" s="323" t="str">
        <f>IF($A130=Input!$A$5,$E130,"")</f>
        <v/>
      </c>
      <c r="AE130" s="386" t="str">
        <f>IF($A130=Input!$A$5,$F130,"")</f>
        <v/>
      </c>
      <c r="AF130" s="323"/>
      <c r="AG130" s="323"/>
      <c r="AH130" s="323"/>
      <c r="AI130" s="323"/>
      <c r="AJ130" s="323"/>
    </row>
    <row r="131" spans="1:36" x14ac:dyDescent="0.2">
      <c r="A131" s="250" t="str">
        <f>IF(BuffsDebuffs!$M127=1,BuffsDebuffs!G$2,"")</f>
        <v/>
      </c>
      <c r="B131" s="251" t="str">
        <f>IF(BuffsDebuffs!$M127=1,BuffsDebuffs!H$2,"")</f>
        <v/>
      </c>
      <c r="C131" s="251" t="str">
        <f>IF(BuffsDebuffs!$M127=1,BuffsDebuffs!I$2,"")</f>
        <v/>
      </c>
      <c r="D131" s="251" t="str">
        <f>IF(BuffsDebuffs!$M127=1,BuffsDebuffs!J$2,"")</f>
        <v/>
      </c>
      <c r="E131" s="251" t="str">
        <f>IF(BuffsDebuffs!$M127=1,BuffsDebuffs!K$2,"")</f>
        <v/>
      </c>
      <c r="F131" s="251" t="str">
        <f>IF(BuffsDebuffs!$M127=1,BuffsDebuffs!L$2,"")</f>
        <v/>
      </c>
      <c r="G131" s="387" t="str">
        <f>IF($A131=Input!$A$3,B131,"")</f>
        <v/>
      </c>
      <c r="H131" s="323" t="str">
        <f>IF($A131=Input!$A$3,C131,"")</f>
        <v/>
      </c>
      <c r="I131" s="323" t="str">
        <f>IF($A131=Input!$A$3,D131,"")</f>
        <v/>
      </c>
      <c r="J131" s="323" t="str">
        <f>IF($A131=Input!$A$3,E131,"")</f>
        <v/>
      </c>
      <c r="K131" s="386" t="str">
        <f>IF($A131=Input!$A$3,F131,"")</f>
        <v/>
      </c>
      <c r="L131" s="387"/>
      <c r="M131" s="323"/>
      <c r="N131" s="323"/>
      <c r="O131" s="323"/>
      <c r="P131" s="323"/>
      <c r="Q131" s="387" t="str">
        <f>IF($A131=Input!$A$4,$B131,"")</f>
        <v/>
      </c>
      <c r="R131" s="323" t="str">
        <f>IF($A131=Input!$A$4,$C131,"")</f>
        <v/>
      </c>
      <c r="S131" s="323" t="str">
        <f>IF($A131=Input!$A$4,$D131,"")</f>
        <v/>
      </c>
      <c r="T131" s="323" t="str">
        <f>IF($A131=Input!$A$4,$E131,"")</f>
        <v/>
      </c>
      <c r="U131" s="386" t="str">
        <f>IF($A131=Input!$A$4,$F131,"")</f>
        <v/>
      </c>
      <c r="V131" s="323"/>
      <c r="W131" s="323"/>
      <c r="X131" s="323"/>
      <c r="Y131" s="323"/>
      <c r="Z131" s="323"/>
      <c r="AA131" s="387" t="str">
        <f>IF($A131=Input!$A$5,$B131,"")</f>
        <v/>
      </c>
      <c r="AB131" s="323" t="str">
        <f>IF($A131=Input!$A$5,$C131,"")</f>
        <v/>
      </c>
      <c r="AC131" s="323" t="str">
        <f>IF($A131=Input!$A$5,$D131,"")</f>
        <v/>
      </c>
      <c r="AD131" s="323" t="str">
        <f>IF($A131=Input!$A$5,$E131,"")</f>
        <v/>
      </c>
      <c r="AE131" s="386" t="str">
        <f>IF($A131=Input!$A$5,$F131,"")</f>
        <v/>
      </c>
      <c r="AF131" s="323"/>
      <c r="AG131" s="323"/>
      <c r="AH131" s="323"/>
      <c r="AI131" s="323"/>
      <c r="AJ131" s="323"/>
    </row>
    <row r="132" spans="1:36" x14ac:dyDescent="0.2">
      <c r="A132" s="250" t="str">
        <f>IF(BuffsDebuffs!$M128=1,BuffsDebuffs!G$2,"")</f>
        <v/>
      </c>
      <c r="B132" s="251" t="str">
        <f>IF(BuffsDebuffs!$M128=1,BuffsDebuffs!H$2,"")</f>
        <v/>
      </c>
      <c r="C132" s="251" t="str">
        <f>IF(BuffsDebuffs!$M128=1,BuffsDebuffs!I$2,"")</f>
        <v/>
      </c>
      <c r="D132" s="251" t="str">
        <f>IF(BuffsDebuffs!$M128=1,BuffsDebuffs!J$2,"")</f>
        <v/>
      </c>
      <c r="E132" s="251" t="str">
        <f>IF(BuffsDebuffs!$M128=1,BuffsDebuffs!K$2,"")</f>
        <v/>
      </c>
      <c r="F132" s="251" t="str">
        <f>IF(BuffsDebuffs!$M128=1,BuffsDebuffs!L$2,"")</f>
        <v/>
      </c>
      <c r="G132" s="387" t="str">
        <f>IF($A132=Input!$A$3,B132,"")</f>
        <v/>
      </c>
      <c r="H132" s="323" t="str">
        <f>IF($A132=Input!$A$3,C132,"")</f>
        <v/>
      </c>
      <c r="I132" s="323" t="str">
        <f>IF($A132=Input!$A$3,D132,"")</f>
        <v/>
      </c>
      <c r="J132" s="323" t="str">
        <f>IF($A132=Input!$A$3,E132,"")</f>
        <v/>
      </c>
      <c r="K132" s="386" t="str">
        <f>IF($A132=Input!$A$3,F132,"")</f>
        <v/>
      </c>
      <c r="L132" s="387"/>
      <c r="M132" s="323"/>
      <c r="N132" s="323"/>
      <c r="O132" s="323"/>
      <c r="P132" s="323"/>
      <c r="Q132" s="387" t="str">
        <f>IF($A132=Input!$A$4,$B132,"")</f>
        <v/>
      </c>
      <c r="R132" s="323" t="str">
        <f>IF($A132=Input!$A$4,$C132,"")</f>
        <v/>
      </c>
      <c r="S132" s="323" t="str">
        <f>IF($A132=Input!$A$4,$D132,"")</f>
        <v/>
      </c>
      <c r="T132" s="323" t="str">
        <f>IF($A132=Input!$A$4,$E132,"")</f>
        <v/>
      </c>
      <c r="U132" s="386" t="str">
        <f>IF($A132=Input!$A$4,$F132,"")</f>
        <v/>
      </c>
      <c r="V132" s="323"/>
      <c r="W132" s="323"/>
      <c r="X132" s="323"/>
      <c r="Y132" s="323"/>
      <c r="Z132" s="323"/>
      <c r="AA132" s="387" t="str">
        <f>IF($A132=Input!$A$5,$B132,"")</f>
        <v/>
      </c>
      <c r="AB132" s="323" t="str">
        <f>IF($A132=Input!$A$5,$C132,"")</f>
        <v/>
      </c>
      <c r="AC132" s="323" t="str">
        <f>IF($A132=Input!$A$5,$D132,"")</f>
        <v/>
      </c>
      <c r="AD132" s="323" t="str">
        <f>IF($A132=Input!$A$5,$E132,"")</f>
        <v/>
      </c>
      <c r="AE132" s="386" t="str">
        <f>IF($A132=Input!$A$5,$F132,"")</f>
        <v/>
      </c>
      <c r="AF132" s="323"/>
      <c r="AG132" s="323"/>
      <c r="AH132" s="323"/>
      <c r="AI132" s="323"/>
      <c r="AJ132" s="323"/>
    </row>
    <row r="133" spans="1:36" x14ac:dyDescent="0.2">
      <c r="A133" s="250" t="str">
        <f>IF(BuffsDebuffs!$M129=1,BuffsDebuffs!G$2,"")</f>
        <v/>
      </c>
      <c r="B133" s="251" t="str">
        <f>IF(BuffsDebuffs!$M129=1,BuffsDebuffs!H$2,"")</f>
        <v/>
      </c>
      <c r="C133" s="251" t="str">
        <f>IF(BuffsDebuffs!$M129=1,BuffsDebuffs!I$2,"")</f>
        <v/>
      </c>
      <c r="D133" s="251" t="str">
        <f>IF(BuffsDebuffs!$M129=1,BuffsDebuffs!J$2,"")</f>
        <v/>
      </c>
      <c r="E133" s="251" t="str">
        <f>IF(BuffsDebuffs!$M129=1,BuffsDebuffs!K$2,"")</f>
        <v/>
      </c>
      <c r="F133" s="251" t="str">
        <f>IF(BuffsDebuffs!$M129=1,BuffsDebuffs!L$2,"")</f>
        <v/>
      </c>
      <c r="G133" s="387" t="str">
        <f>IF($A133=Input!$A$3,B133,"")</f>
        <v/>
      </c>
      <c r="H133" s="323" t="str">
        <f>IF($A133=Input!$A$3,C133,"")</f>
        <v/>
      </c>
      <c r="I133" s="323" t="str">
        <f>IF($A133=Input!$A$3,D133,"")</f>
        <v/>
      </c>
      <c r="J133" s="323" t="str">
        <f>IF($A133=Input!$A$3,E133,"")</f>
        <v/>
      </c>
      <c r="K133" s="386" t="str">
        <f>IF($A133=Input!$A$3,F133,"")</f>
        <v/>
      </c>
      <c r="L133" s="387"/>
      <c r="M133" s="323"/>
      <c r="N133" s="323"/>
      <c r="O133" s="323"/>
      <c r="P133" s="323"/>
      <c r="Q133" s="387" t="str">
        <f>IF($A133=Input!$A$4,$B133,"")</f>
        <v/>
      </c>
      <c r="R133" s="323" t="str">
        <f>IF($A133=Input!$A$4,$C133,"")</f>
        <v/>
      </c>
      <c r="S133" s="323" t="str">
        <f>IF($A133=Input!$A$4,$D133,"")</f>
        <v/>
      </c>
      <c r="T133" s="323" t="str">
        <f>IF($A133=Input!$A$4,$E133,"")</f>
        <v/>
      </c>
      <c r="U133" s="386" t="str">
        <f>IF($A133=Input!$A$4,$F133,"")</f>
        <v/>
      </c>
      <c r="V133" s="323"/>
      <c r="W133" s="323"/>
      <c r="X133" s="323"/>
      <c r="Y133" s="323"/>
      <c r="Z133" s="323"/>
      <c r="AA133" s="387" t="str">
        <f>IF($A133=Input!$A$5,$B133,"")</f>
        <v/>
      </c>
      <c r="AB133" s="323" t="str">
        <f>IF($A133=Input!$A$5,$C133,"")</f>
        <v/>
      </c>
      <c r="AC133" s="323" t="str">
        <f>IF($A133=Input!$A$5,$D133,"")</f>
        <v/>
      </c>
      <c r="AD133" s="323" t="str">
        <f>IF($A133=Input!$A$5,$E133,"")</f>
        <v/>
      </c>
      <c r="AE133" s="386" t="str">
        <f>IF($A133=Input!$A$5,$F133,"")</f>
        <v/>
      </c>
      <c r="AF133" s="323"/>
      <c r="AG133" s="323"/>
      <c r="AH133" s="323"/>
      <c r="AI133" s="323"/>
      <c r="AJ133" s="323"/>
    </row>
    <row r="134" spans="1:36" x14ac:dyDescent="0.2">
      <c r="A134" s="250" t="str">
        <f>IF(BuffsDebuffs!$M130=1,BuffsDebuffs!G$2,"")</f>
        <v/>
      </c>
      <c r="B134" s="251" t="str">
        <f>IF(BuffsDebuffs!$M130=1,BuffsDebuffs!H$2,"")</f>
        <v/>
      </c>
      <c r="C134" s="251" t="str">
        <f>IF(BuffsDebuffs!$M130=1,BuffsDebuffs!I$2,"")</f>
        <v/>
      </c>
      <c r="D134" s="251" t="str">
        <f>IF(BuffsDebuffs!$M130=1,BuffsDebuffs!J$2,"")</f>
        <v/>
      </c>
      <c r="E134" s="251" t="str">
        <f>IF(BuffsDebuffs!$M130=1,BuffsDebuffs!K$2,"")</f>
        <v/>
      </c>
      <c r="F134" s="251" t="str">
        <f>IF(BuffsDebuffs!$M130=1,BuffsDebuffs!L$2,"")</f>
        <v/>
      </c>
      <c r="G134" s="387" t="str">
        <f>IF($A134=Input!$A$3,B134,"")</f>
        <v/>
      </c>
      <c r="H134" s="323" t="str">
        <f>IF($A134=Input!$A$3,C134,"")</f>
        <v/>
      </c>
      <c r="I134" s="323" t="str">
        <f>IF($A134=Input!$A$3,D134,"")</f>
        <v/>
      </c>
      <c r="J134" s="323" t="str">
        <f>IF($A134=Input!$A$3,E134,"")</f>
        <v/>
      </c>
      <c r="K134" s="386" t="str">
        <f>IF($A134=Input!$A$3,F134,"")</f>
        <v/>
      </c>
      <c r="L134" s="387"/>
      <c r="M134" s="323"/>
      <c r="N134" s="323"/>
      <c r="O134" s="323"/>
      <c r="P134" s="323"/>
      <c r="Q134" s="387" t="str">
        <f>IF($A134=Input!$A$4,$B134,"")</f>
        <v/>
      </c>
      <c r="R134" s="323" t="str">
        <f>IF($A134=Input!$A$4,$C134,"")</f>
        <v/>
      </c>
      <c r="S134" s="323" t="str">
        <f>IF($A134=Input!$A$4,$D134,"")</f>
        <v/>
      </c>
      <c r="T134" s="323" t="str">
        <f>IF($A134=Input!$A$4,$E134,"")</f>
        <v/>
      </c>
      <c r="U134" s="386" t="str">
        <f>IF($A134=Input!$A$4,$F134,"")</f>
        <v/>
      </c>
      <c r="V134" s="323"/>
      <c r="W134" s="323"/>
      <c r="X134" s="323"/>
      <c r="Y134" s="323"/>
      <c r="Z134" s="323"/>
      <c r="AA134" s="387" t="str">
        <f>IF($A134=Input!$A$5,$B134,"")</f>
        <v/>
      </c>
      <c r="AB134" s="323" t="str">
        <f>IF($A134=Input!$A$5,$C134,"")</f>
        <v/>
      </c>
      <c r="AC134" s="323" t="str">
        <f>IF($A134=Input!$A$5,$D134,"")</f>
        <v/>
      </c>
      <c r="AD134" s="323" t="str">
        <f>IF($A134=Input!$A$5,$E134,"")</f>
        <v/>
      </c>
      <c r="AE134" s="386" t="str">
        <f>IF($A134=Input!$A$5,$F134,"")</f>
        <v/>
      </c>
      <c r="AF134" s="323"/>
      <c r="AG134" s="323"/>
      <c r="AH134" s="323"/>
      <c r="AI134" s="323"/>
      <c r="AJ134" s="323"/>
    </row>
    <row r="135" spans="1:36" x14ac:dyDescent="0.2">
      <c r="A135" s="250" t="str">
        <f>IF(BuffsDebuffs!$M131=1,BuffsDebuffs!G$2,"")</f>
        <v/>
      </c>
      <c r="B135" s="251" t="str">
        <f>IF(BuffsDebuffs!$M131=1,BuffsDebuffs!H$2,"")</f>
        <v/>
      </c>
      <c r="C135" s="251" t="str">
        <f>IF(BuffsDebuffs!$M131=1,BuffsDebuffs!I$2,"")</f>
        <v/>
      </c>
      <c r="D135" s="251" t="str">
        <f>IF(BuffsDebuffs!$M131=1,BuffsDebuffs!J$2,"")</f>
        <v/>
      </c>
      <c r="E135" s="251" t="str">
        <f>IF(BuffsDebuffs!$M131=1,BuffsDebuffs!K$2,"")</f>
        <v/>
      </c>
      <c r="F135" s="251" t="str">
        <f>IF(BuffsDebuffs!$M131=1,BuffsDebuffs!L$2,"")</f>
        <v/>
      </c>
      <c r="G135" s="387" t="str">
        <f>IF($A135=Input!$A$3,B135,"")</f>
        <v/>
      </c>
      <c r="H135" s="323" t="str">
        <f>IF($A135=Input!$A$3,C135,"")</f>
        <v/>
      </c>
      <c r="I135" s="323" t="str">
        <f>IF($A135=Input!$A$3,D135,"")</f>
        <v/>
      </c>
      <c r="J135" s="323" t="str">
        <f>IF($A135=Input!$A$3,E135,"")</f>
        <v/>
      </c>
      <c r="K135" s="386" t="str">
        <f>IF($A135=Input!$A$3,F135,"")</f>
        <v/>
      </c>
      <c r="L135" s="387"/>
      <c r="M135" s="323"/>
      <c r="N135" s="323"/>
      <c r="O135" s="323"/>
      <c r="P135" s="323"/>
      <c r="Q135" s="387" t="str">
        <f>IF($A135=Input!$A$4,$B135,"")</f>
        <v/>
      </c>
      <c r="R135" s="323" t="str">
        <f>IF($A135=Input!$A$4,$C135,"")</f>
        <v/>
      </c>
      <c r="S135" s="323" t="str">
        <f>IF($A135=Input!$A$4,$D135,"")</f>
        <v/>
      </c>
      <c r="T135" s="323" t="str">
        <f>IF($A135=Input!$A$4,$E135,"")</f>
        <v/>
      </c>
      <c r="U135" s="386" t="str">
        <f>IF($A135=Input!$A$4,$F135,"")</f>
        <v/>
      </c>
      <c r="V135" s="323"/>
      <c r="W135" s="323"/>
      <c r="X135" s="323"/>
      <c r="Y135" s="323"/>
      <c r="Z135" s="323"/>
      <c r="AA135" s="387" t="str">
        <f>IF($A135=Input!$A$5,$B135,"")</f>
        <v/>
      </c>
      <c r="AB135" s="323" t="str">
        <f>IF($A135=Input!$A$5,$C135,"")</f>
        <v/>
      </c>
      <c r="AC135" s="323" t="str">
        <f>IF($A135=Input!$A$5,$D135,"")</f>
        <v/>
      </c>
      <c r="AD135" s="323" t="str">
        <f>IF($A135=Input!$A$5,$E135,"")</f>
        <v/>
      </c>
      <c r="AE135" s="386" t="str">
        <f>IF($A135=Input!$A$5,$F135,"")</f>
        <v/>
      </c>
      <c r="AF135" s="323"/>
      <c r="AG135" s="323"/>
      <c r="AH135" s="323"/>
      <c r="AI135" s="323"/>
      <c r="AJ135" s="323"/>
    </row>
    <row r="136" spans="1:36" x14ac:dyDescent="0.2">
      <c r="A136" s="250" t="str">
        <f>IF(BuffsDebuffs!$M132=1,BuffsDebuffs!G$2,"")</f>
        <v/>
      </c>
      <c r="B136" s="251" t="str">
        <f>IF(BuffsDebuffs!$M132=1,BuffsDebuffs!H$2,"")</f>
        <v/>
      </c>
      <c r="C136" s="251" t="str">
        <f>IF(BuffsDebuffs!$M132=1,BuffsDebuffs!I$2,"")</f>
        <v/>
      </c>
      <c r="D136" s="251" t="str">
        <f>IF(BuffsDebuffs!$M132=1,BuffsDebuffs!J$2,"")</f>
        <v/>
      </c>
      <c r="E136" s="251" t="str">
        <f>IF(BuffsDebuffs!$M132=1,BuffsDebuffs!K$2,"")</f>
        <v/>
      </c>
      <c r="F136" s="251" t="str">
        <f>IF(BuffsDebuffs!$M132=1,BuffsDebuffs!L$2,"")</f>
        <v/>
      </c>
      <c r="G136" s="387" t="str">
        <f>IF($A136=Input!$A$3,B136,"")</f>
        <v/>
      </c>
      <c r="H136" s="323" t="str">
        <f>IF($A136=Input!$A$3,C136,"")</f>
        <v/>
      </c>
      <c r="I136" s="323" t="str">
        <f>IF($A136=Input!$A$3,D136,"")</f>
        <v/>
      </c>
      <c r="J136" s="323" t="str">
        <f>IF($A136=Input!$A$3,E136,"")</f>
        <v/>
      </c>
      <c r="K136" s="386" t="str">
        <f>IF($A136=Input!$A$3,F136,"")</f>
        <v/>
      </c>
      <c r="L136" s="387"/>
      <c r="M136" s="323"/>
      <c r="N136" s="323"/>
      <c r="O136" s="323"/>
      <c r="P136" s="323"/>
      <c r="Q136" s="387" t="str">
        <f>IF($A136=Input!$A$4,$B136,"")</f>
        <v/>
      </c>
      <c r="R136" s="323" t="str">
        <f>IF($A136=Input!$A$4,$C136,"")</f>
        <v/>
      </c>
      <c r="S136" s="323" t="str">
        <f>IF($A136=Input!$A$4,$D136,"")</f>
        <v/>
      </c>
      <c r="T136" s="323" t="str">
        <f>IF($A136=Input!$A$4,$E136,"")</f>
        <v/>
      </c>
      <c r="U136" s="386" t="str">
        <f>IF($A136=Input!$A$4,$F136,"")</f>
        <v/>
      </c>
      <c r="V136" s="323"/>
      <c r="W136" s="323"/>
      <c r="X136" s="323"/>
      <c r="Y136" s="323"/>
      <c r="Z136" s="323"/>
      <c r="AA136" s="387" t="str">
        <f>IF($A136=Input!$A$5,$B136,"")</f>
        <v/>
      </c>
      <c r="AB136" s="323" t="str">
        <f>IF($A136=Input!$A$5,$C136,"")</f>
        <v/>
      </c>
      <c r="AC136" s="323" t="str">
        <f>IF($A136=Input!$A$5,$D136,"")</f>
        <v/>
      </c>
      <c r="AD136" s="323" t="str">
        <f>IF($A136=Input!$A$5,$E136,"")</f>
        <v/>
      </c>
      <c r="AE136" s="386" t="str">
        <f>IF($A136=Input!$A$5,$F136,"")</f>
        <v/>
      </c>
      <c r="AF136" s="323"/>
      <c r="AG136" s="323"/>
      <c r="AH136" s="323"/>
      <c r="AI136" s="323"/>
      <c r="AJ136" s="323"/>
    </row>
    <row r="137" spans="1:36" x14ac:dyDescent="0.2">
      <c r="A137" s="250" t="str">
        <f>IF(BuffsDebuffs!$M133=1,BuffsDebuffs!G$2,"")</f>
        <v/>
      </c>
      <c r="B137" s="251" t="str">
        <f>IF(BuffsDebuffs!$M133=1,BuffsDebuffs!H$2,"")</f>
        <v/>
      </c>
      <c r="C137" s="251" t="str">
        <f>IF(BuffsDebuffs!$M133=1,BuffsDebuffs!I$2,"")</f>
        <v/>
      </c>
      <c r="D137" s="251" t="str">
        <f>IF(BuffsDebuffs!$M133=1,BuffsDebuffs!J$2,"")</f>
        <v/>
      </c>
      <c r="E137" s="251" t="str">
        <f>IF(BuffsDebuffs!$M133=1,BuffsDebuffs!K$2,"")</f>
        <v/>
      </c>
      <c r="F137" s="251" t="str">
        <f>IF(BuffsDebuffs!$M133=1,BuffsDebuffs!L$2,"")</f>
        <v/>
      </c>
      <c r="G137" s="387" t="str">
        <f>IF($A137=Input!$A$3,B137,"")</f>
        <v/>
      </c>
      <c r="H137" s="323" t="str">
        <f>IF($A137=Input!$A$3,C137,"")</f>
        <v/>
      </c>
      <c r="I137" s="323" t="str">
        <f>IF($A137=Input!$A$3,D137,"")</f>
        <v/>
      </c>
      <c r="J137" s="323" t="str">
        <f>IF($A137=Input!$A$3,E137,"")</f>
        <v/>
      </c>
      <c r="K137" s="386" t="str">
        <f>IF($A137=Input!$A$3,F137,"")</f>
        <v/>
      </c>
      <c r="L137" s="387"/>
      <c r="M137" s="323"/>
      <c r="N137" s="323"/>
      <c r="O137" s="323"/>
      <c r="P137" s="323"/>
      <c r="Q137" s="387" t="str">
        <f>IF($A137=Input!$A$4,$B137,"")</f>
        <v/>
      </c>
      <c r="R137" s="323" t="str">
        <f>IF($A137=Input!$A$4,$C137,"")</f>
        <v/>
      </c>
      <c r="S137" s="323" t="str">
        <f>IF($A137=Input!$A$4,$D137,"")</f>
        <v/>
      </c>
      <c r="T137" s="323" t="str">
        <f>IF($A137=Input!$A$4,$E137,"")</f>
        <v/>
      </c>
      <c r="U137" s="386" t="str">
        <f>IF($A137=Input!$A$4,$F137,"")</f>
        <v/>
      </c>
      <c r="V137" s="323"/>
      <c r="W137" s="323"/>
      <c r="X137" s="323"/>
      <c r="Y137" s="323"/>
      <c r="Z137" s="323"/>
      <c r="AA137" s="387" t="str">
        <f>IF($A137=Input!$A$5,$B137,"")</f>
        <v/>
      </c>
      <c r="AB137" s="323" t="str">
        <f>IF($A137=Input!$A$5,$C137,"")</f>
        <v/>
      </c>
      <c r="AC137" s="323" t="str">
        <f>IF($A137=Input!$A$5,$D137,"")</f>
        <v/>
      </c>
      <c r="AD137" s="323" t="str">
        <f>IF($A137=Input!$A$5,$E137,"")</f>
        <v/>
      </c>
      <c r="AE137" s="386" t="str">
        <f>IF($A137=Input!$A$5,$F137,"")</f>
        <v/>
      </c>
      <c r="AF137" s="323"/>
      <c r="AG137" s="323"/>
      <c r="AH137" s="323"/>
      <c r="AI137" s="323"/>
      <c r="AJ137" s="323"/>
    </row>
    <row r="138" spans="1:36" x14ac:dyDescent="0.2">
      <c r="A138" s="250" t="str">
        <f>IF(BuffsDebuffs!$M134=1,BuffsDebuffs!G$2,"")</f>
        <v/>
      </c>
      <c r="B138" s="251" t="str">
        <f>IF(BuffsDebuffs!$M134=1,BuffsDebuffs!H$2,"")</f>
        <v/>
      </c>
      <c r="C138" s="251" t="str">
        <f>IF(BuffsDebuffs!$M134=1,BuffsDebuffs!I$2,"")</f>
        <v/>
      </c>
      <c r="D138" s="251" t="str">
        <f>IF(BuffsDebuffs!$M134=1,BuffsDebuffs!J$2,"")</f>
        <v/>
      </c>
      <c r="E138" s="251" t="str">
        <f>IF(BuffsDebuffs!$M134=1,BuffsDebuffs!K$2,"")</f>
        <v/>
      </c>
      <c r="F138" s="251" t="str">
        <f>IF(BuffsDebuffs!$M134=1,BuffsDebuffs!L$2,"")</f>
        <v/>
      </c>
      <c r="G138" s="387" t="str">
        <f>IF($A138=Input!$A$3,B138,"")</f>
        <v/>
      </c>
      <c r="H138" s="323" t="str">
        <f>IF($A138=Input!$A$3,C138,"")</f>
        <v/>
      </c>
      <c r="I138" s="323" t="str">
        <f>IF($A138=Input!$A$3,D138,"")</f>
        <v/>
      </c>
      <c r="J138" s="323" t="str">
        <f>IF($A138=Input!$A$3,E138,"")</f>
        <v/>
      </c>
      <c r="K138" s="386" t="str">
        <f>IF($A138=Input!$A$3,F138,"")</f>
        <v/>
      </c>
      <c r="L138" s="387"/>
      <c r="M138" s="323"/>
      <c r="N138" s="323"/>
      <c r="O138" s="323"/>
      <c r="P138" s="323"/>
      <c r="Q138" s="387" t="str">
        <f>IF($A138=Input!$A$4,$B138,"")</f>
        <v/>
      </c>
      <c r="R138" s="323" t="str">
        <f>IF($A138=Input!$A$4,$C138,"")</f>
        <v/>
      </c>
      <c r="S138" s="323" t="str">
        <f>IF($A138=Input!$A$4,$D138,"")</f>
        <v/>
      </c>
      <c r="T138" s="323" t="str">
        <f>IF($A138=Input!$A$4,$E138,"")</f>
        <v/>
      </c>
      <c r="U138" s="386" t="str">
        <f>IF($A138=Input!$A$4,$F138,"")</f>
        <v/>
      </c>
      <c r="V138" s="323"/>
      <c r="W138" s="323"/>
      <c r="X138" s="323"/>
      <c r="Y138" s="323"/>
      <c r="Z138" s="323"/>
      <c r="AA138" s="387" t="str">
        <f>IF($A138=Input!$A$5,$B138,"")</f>
        <v/>
      </c>
      <c r="AB138" s="323" t="str">
        <f>IF($A138=Input!$A$5,$C138,"")</f>
        <v/>
      </c>
      <c r="AC138" s="323" t="str">
        <f>IF($A138=Input!$A$5,$D138,"")</f>
        <v/>
      </c>
      <c r="AD138" s="323" t="str">
        <f>IF($A138=Input!$A$5,$E138,"")</f>
        <v/>
      </c>
      <c r="AE138" s="386" t="str">
        <f>IF($A138=Input!$A$5,$F138,"")</f>
        <v/>
      </c>
      <c r="AF138" s="323"/>
      <c r="AG138" s="323"/>
      <c r="AH138" s="323"/>
      <c r="AI138" s="323"/>
      <c r="AJ138" s="323"/>
    </row>
    <row r="139" spans="1:36" x14ac:dyDescent="0.2">
      <c r="A139" s="250" t="str">
        <f>IF(BuffsDebuffs!$M135=1,BuffsDebuffs!G$2,"")</f>
        <v/>
      </c>
      <c r="B139" s="251" t="str">
        <f>IF(BuffsDebuffs!$M135=1,BuffsDebuffs!H$2,"")</f>
        <v/>
      </c>
      <c r="C139" s="251" t="str">
        <f>IF(BuffsDebuffs!$M135=1,BuffsDebuffs!I$2,"")</f>
        <v/>
      </c>
      <c r="D139" s="251" t="str">
        <f>IF(BuffsDebuffs!$M135=1,BuffsDebuffs!J$2,"")</f>
        <v/>
      </c>
      <c r="E139" s="251" t="str">
        <f>IF(BuffsDebuffs!$M135=1,BuffsDebuffs!K$2,"")</f>
        <v/>
      </c>
      <c r="F139" s="251" t="str">
        <f>IF(BuffsDebuffs!$M135=1,BuffsDebuffs!L$2,"")</f>
        <v/>
      </c>
      <c r="G139" s="387" t="str">
        <f>IF($A139=Input!$A$3,B139,"")</f>
        <v/>
      </c>
      <c r="H139" s="323" t="str">
        <f>IF($A139=Input!$A$3,C139,"")</f>
        <v/>
      </c>
      <c r="I139" s="323" t="str">
        <f>IF($A139=Input!$A$3,D139,"")</f>
        <v/>
      </c>
      <c r="J139" s="323" t="str">
        <f>IF($A139=Input!$A$3,E139,"")</f>
        <v/>
      </c>
      <c r="K139" s="386" t="str">
        <f>IF($A139=Input!$A$3,F139,"")</f>
        <v/>
      </c>
      <c r="L139" s="387"/>
      <c r="M139" s="323"/>
      <c r="N139" s="323"/>
      <c r="O139" s="323"/>
      <c r="P139" s="323"/>
      <c r="Q139" s="387" t="str">
        <f>IF($A139=Input!$A$4,$B139,"")</f>
        <v/>
      </c>
      <c r="R139" s="323" t="str">
        <f>IF($A139=Input!$A$4,$C139,"")</f>
        <v/>
      </c>
      <c r="S139" s="323" t="str">
        <f>IF($A139=Input!$A$4,$D139,"")</f>
        <v/>
      </c>
      <c r="T139" s="323" t="str">
        <f>IF($A139=Input!$A$4,$E139,"")</f>
        <v/>
      </c>
      <c r="U139" s="386" t="str">
        <f>IF($A139=Input!$A$4,$F139,"")</f>
        <v/>
      </c>
      <c r="V139" s="323"/>
      <c r="W139" s="323"/>
      <c r="X139" s="323"/>
      <c r="Y139" s="323"/>
      <c r="Z139" s="323"/>
      <c r="AA139" s="387" t="str">
        <f>IF($A139=Input!$A$5,$B139,"")</f>
        <v/>
      </c>
      <c r="AB139" s="323" t="str">
        <f>IF($A139=Input!$A$5,$C139,"")</f>
        <v/>
      </c>
      <c r="AC139" s="323" t="str">
        <f>IF($A139=Input!$A$5,$D139,"")</f>
        <v/>
      </c>
      <c r="AD139" s="323" t="str">
        <f>IF($A139=Input!$A$5,$E139,"")</f>
        <v/>
      </c>
      <c r="AE139" s="386" t="str">
        <f>IF($A139=Input!$A$5,$F139,"")</f>
        <v/>
      </c>
      <c r="AF139" s="323"/>
      <c r="AG139" s="323"/>
      <c r="AH139" s="323"/>
      <c r="AI139" s="323"/>
      <c r="AJ139" s="323"/>
    </row>
    <row r="140" spans="1:36" x14ac:dyDescent="0.2">
      <c r="A140" s="250" t="str">
        <f>IF(BuffsDebuffs!$M136=1,BuffsDebuffs!G$2,"")</f>
        <v/>
      </c>
      <c r="B140" s="251" t="str">
        <f>IF(BuffsDebuffs!$M136=1,BuffsDebuffs!H$2,"")</f>
        <v/>
      </c>
      <c r="C140" s="251" t="str">
        <f>IF(BuffsDebuffs!$M136=1,BuffsDebuffs!I$2,"")</f>
        <v/>
      </c>
      <c r="D140" s="251" t="str">
        <f>IF(BuffsDebuffs!$M136=1,BuffsDebuffs!J$2,"")</f>
        <v/>
      </c>
      <c r="E140" s="251" t="str">
        <f>IF(BuffsDebuffs!$M136=1,BuffsDebuffs!K$2,"")</f>
        <v/>
      </c>
      <c r="F140" s="251" t="str">
        <f>IF(BuffsDebuffs!$M136=1,BuffsDebuffs!L$2,"")</f>
        <v/>
      </c>
      <c r="G140" s="387" t="str">
        <f>IF($A140=Input!$A$3,B140,"")</f>
        <v/>
      </c>
      <c r="H140" s="323" t="str">
        <f>IF($A140=Input!$A$3,C140,"")</f>
        <v/>
      </c>
      <c r="I140" s="323" t="str">
        <f>IF($A140=Input!$A$3,D140,"")</f>
        <v/>
      </c>
      <c r="J140" s="323" t="str">
        <f>IF($A140=Input!$A$3,E140,"")</f>
        <v/>
      </c>
      <c r="K140" s="386" t="str">
        <f>IF($A140=Input!$A$3,F140,"")</f>
        <v/>
      </c>
      <c r="L140" s="387"/>
      <c r="M140" s="323"/>
      <c r="N140" s="323"/>
      <c r="O140" s="323"/>
      <c r="P140" s="323"/>
      <c r="Q140" s="387" t="str">
        <f>IF($A140=Input!$A$4,$B140,"")</f>
        <v/>
      </c>
      <c r="R140" s="323" t="str">
        <f>IF($A140=Input!$A$4,$C140,"")</f>
        <v/>
      </c>
      <c r="S140" s="323" t="str">
        <f>IF($A140=Input!$A$4,$D140,"")</f>
        <v/>
      </c>
      <c r="T140" s="323" t="str">
        <f>IF($A140=Input!$A$4,$E140,"")</f>
        <v/>
      </c>
      <c r="U140" s="386" t="str">
        <f>IF($A140=Input!$A$4,$F140,"")</f>
        <v/>
      </c>
      <c r="V140" s="323"/>
      <c r="W140" s="323"/>
      <c r="X140" s="323"/>
      <c r="Y140" s="323"/>
      <c r="Z140" s="323"/>
      <c r="AA140" s="387" t="str">
        <f>IF($A140=Input!$A$5,$B140,"")</f>
        <v/>
      </c>
      <c r="AB140" s="323" t="str">
        <f>IF($A140=Input!$A$5,$C140,"")</f>
        <v/>
      </c>
      <c r="AC140" s="323" t="str">
        <f>IF($A140=Input!$A$5,$D140,"")</f>
        <v/>
      </c>
      <c r="AD140" s="323" t="str">
        <f>IF($A140=Input!$A$5,$E140,"")</f>
        <v/>
      </c>
      <c r="AE140" s="386" t="str">
        <f>IF($A140=Input!$A$5,$F140,"")</f>
        <v/>
      </c>
      <c r="AF140" s="323"/>
      <c r="AG140" s="323"/>
      <c r="AH140" s="323"/>
      <c r="AI140" s="323"/>
      <c r="AJ140" s="323"/>
    </row>
    <row r="141" spans="1:36" x14ac:dyDescent="0.2">
      <c r="A141" s="250" t="str">
        <f>IF(BuffsDebuffs!$M137=1,BuffsDebuffs!G$2,"")</f>
        <v/>
      </c>
      <c r="B141" s="251" t="str">
        <f>IF(BuffsDebuffs!$M137=1,BuffsDebuffs!H$2,"")</f>
        <v/>
      </c>
      <c r="C141" s="251" t="str">
        <f>IF(BuffsDebuffs!$M137=1,BuffsDebuffs!I$2,"")</f>
        <v/>
      </c>
      <c r="D141" s="251" t="str">
        <f>IF(BuffsDebuffs!$M137=1,BuffsDebuffs!J$2,"")</f>
        <v/>
      </c>
      <c r="E141" s="251" t="str">
        <f>IF(BuffsDebuffs!$M137=1,BuffsDebuffs!K$2,"")</f>
        <v/>
      </c>
      <c r="F141" s="251" t="str">
        <f>IF(BuffsDebuffs!$M137=1,BuffsDebuffs!L$2,"")</f>
        <v/>
      </c>
      <c r="G141" s="387" t="str">
        <f>IF($A141=Input!$A$3,B141,"")</f>
        <v/>
      </c>
      <c r="H141" s="323" t="str">
        <f>IF($A141=Input!$A$3,C141,"")</f>
        <v/>
      </c>
      <c r="I141" s="323" t="str">
        <f>IF($A141=Input!$A$3,D141,"")</f>
        <v/>
      </c>
      <c r="J141" s="323" t="str">
        <f>IF($A141=Input!$A$3,E141,"")</f>
        <v/>
      </c>
      <c r="K141" s="386" t="str">
        <f>IF($A141=Input!$A$3,F141,"")</f>
        <v/>
      </c>
      <c r="L141" s="387"/>
      <c r="M141" s="323"/>
      <c r="N141" s="323"/>
      <c r="O141" s="323"/>
      <c r="P141" s="323"/>
      <c r="Q141" s="387" t="str">
        <f>IF($A141=Input!$A$4,$B141,"")</f>
        <v/>
      </c>
      <c r="R141" s="323" t="str">
        <f>IF($A141=Input!$A$4,$C141,"")</f>
        <v/>
      </c>
      <c r="S141" s="323" t="str">
        <f>IF($A141=Input!$A$4,$D141,"")</f>
        <v/>
      </c>
      <c r="T141" s="323" t="str">
        <f>IF($A141=Input!$A$4,$E141,"")</f>
        <v/>
      </c>
      <c r="U141" s="386" t="str">
        <f>IF($A141=Input!$A$4,$F141,"")</f>
        <v/>
      </c>
      <c r="V141" s="323"/>
      <c r="W141" s="323"/>
      <c r="X141" s="323"/>
      <c r="Y141" s="323"/>
      <c r="Z141" s="323"/>
      <c r="AA141" s="387" t="str">
        <f>IF($A141=Input!$A$5,$B141,"")</f>
        <v/>
      </c>
      <c r="AB141" s="323" t="str">
        <f>IF($A141=Input!$A$5,$C141,"")</f>
        <v/>
      </c>
      <c r="AC141" s="323" t="str">
        <f>IF($A141=Input!$A$5,$D141,"")</f>
        <v/>
      </c>
      <c r="AD141" s="323" t="str">
        <f>IF($A141=Input!$A$5,$E141,"")</f>
        <v/>
      </c>
      <c r="AE141" s="386" t="str">
        <f>IF($A141=Input!$A$5,$F141,"")</f>
        <v/>
      </c>
      <c r="AF141" s="323"/>
      <c r="AG141" s="323"/>
      <c r="AH141" s="323"/>
      <c r="AI141" s="323"/>
      <c r="AJ141" s="323"/>
    </row>
    <row r="142" spans="1:36" x14ac:dyDescent="0.2">
      <c r="A142" s="250" t="str">
        <f>IF(BuffsDebuffs!$M138=1,BuffsDebuffs!G$2,"")</f>
        <v/>
      </c>
      <c r="B142" s="251" t="str">
        <f>IF(BuffsDebuffs!$M138=1,BuffsDebuffs!H$2,"")</f>
        <v/>
      </c>
      <c r="C142" s="251" t="str">
        <f>IF(BuffsDebuffs!$M138=1,BuffsDebuffs!I$2,"")</f>
        <v/>
      </c>
      <c r="D142" s="251" t="str">
        <f>IF(BuffsDebuffs!$M138=1,BuffsDebuffs!J$2,"")</f>
        <v/>
      </c>
      <c r="E142" s="251" t="str">
        <f>IF(BuffsDebuffs!$M138=1,BuffsDebuffs!K$2,"")</f>
        <v/>
      </c>
      <c r="F142" s="251" t="str">
        <f>IF(BuffsDebuffs!$M138=1,BuffsDebuffs!L$2,"")</f>
        <v/>
      </c>
      <c r="G142" s="387" t="str">
        <f>IF($A142=Input!$A$3,B142,"")</f>
        <v/>
      </c>
      <c r="H142" s="323" t="str">
        <f>IF($A142=Input!$A$3,C142,"")</f>
        <v/>
      </c>
      <c r="I142" s="323" t="str">
        <f>IF($A142=Input!$A$3,D142,"")</f>
        <v/>
      </c>
      <c r="J142" s="323" t="str">
        <f>IF($A142=Input!$A$3,E142,"")</f>
        <v/>
      </c>
      <c r="K142" s="386" t="str">
        <f>IF($A142=Input!$A$3,F142,"")</f>
        <v/>
      </c>
      <c r="L142" s="387"/>
      <c r="M142" s="323"/>
      <c r="N142" s="323"/>
      <c r="O142" s="323"/>
      <c r="P142" s="323"/>
      <c r="Q142" s="387" t="str">
        <f>IF($A142=Input!$A$4,$B142,"")</f>
        <v/>
      </c>
      <c r="R142" s="323" t="str">
        <f>IF($A142=Input!$A$4,$C142,"")</f>
        <v/>
      </c>
      <c r="S142" s="323" t="str">
        <f>IF($A142=Input!$A$4,$D142,"")</f>
        <v/>
      </c>
      <c r="T142" s="323" t="str">
        <f>IF($A142=Input!$A$4,$E142,"")</f>
        <v/>
      </c>
      <c r="U142" s="386" t="str">
        <f>IF($A142=Input!$A$4,$F142,"")</f>
        <v/>
      </c>
      <c r="V142" s="323"/>
      <c r="W142" s="323"/>
      <c r="X142" s="323"/>
      <c r="Y142" s="323"/>
      <c r="Z142" s="323"/>
      <c r="AA142" s="387" t="str">
        <f>IF($A142=Input!$A$5,$B142,"")</f>
        <v/>
      </c>
      <c r="AB142" s="323" t="str">
        <f>IF($A142=Input!$A$5,$C142,"")</f>
        <v/>
      </c>
      <c r="AC142" s="323" t="str">
        <f>IF($A142=Input!$A$5,$D142,"")</f>
        <v/>
      </c>
      <c r="AD142" s="323" t="str">
        <f>IF($A142=Input!$A$5,$E142,"")</f>
        <v/>
      </c>
      <c r="AE142" s="386" t="str">
        <f>IF($A142=Input!$A$5,$F142,"")</f>
        <v/>
      </c>
      <c r="AF142" s="323"/>
      <c r="AG142" s="323"/>
      <c r="AH142" s="323"/>
      <c r="AI142" s="323"/>
      <c r="AJ142" s="323"/>
    </row>
    <row r="143" spans="1:36" x14ac:dyDescent="0.2">
      <c r="A143" s="250" t="str">
        <f>IF(BuffsDebuffs!$M139=1,BuffsDebuffs!G$2,"")</f>
        <v/>
      </c>
      <c r="B143" s="251" t="str">
        <f>IF(BuffsDebuffs!$M139=1,BuffsDebuffs!H$2,"")</f>
        <v/>
      </c>
      <c r="C143" s="251" t="str">
        <f>IF(BuffsDebuffs!$M139=1,BuffsDebuffs!I$2,"")</f>
        <v/>
      </c>
      <c r="D143" s="251" t="str">
        <f>IF(BuffsDebuffs!$M139=1,BuffsDebuffs!J$2,"")</f>
        <v/>
      </c>
      <c r="E143" s="251" t="str">
        <f>IF(BuffsDebuffs!$M139=1,BuffsDebuffs!K$2,"")</f>
        <v/>
      </c>
      <c r="F143" s="251" t="str">
        <f>IF(BuffsDebuffs!$M139=1,BuffsDebuffs!L$2,"")</f>
        <v/>
      </c>
      <c r="G143" s="387" t="str">
        <f>IF($A143=Input!$A$3,B143,"")</f>
        <v/>
      </c>
      <c r="H143" s="323" t="str">
        <f>IF($A143=Input!$A$3,C143,"")</f>
        <v/>
      </c>
      <c r="I143" s="323" t="str">
        <f>IF($A143=Input!$A$3,D143,"")</f>
        <v/>
      </c>
      <c r="J143" s="323" t="str">
        <f>IF($A143=Input!$A$3,E143,"")</f>
        <v/>
      </c>
      <c r="K143" s="386" t="str">
        <f>IF($A143=Input!$A$3,F143,"")</f>
        <v/>
      </c>
      <c r="L143" s="387"/>
      <c r="M143" s="323"/>
      <c r="N143" s="323"/>
      <c r="O143" s="323"/>
      <c r="P143" s="323"/>
      <c r="Q143" s="387" t="str">
        <f>IF($A143=Input!$A$4,$B143,"")</f>
        <v/>
      </c>
      <c r="R143" s="323" t="str">
        <f>IF($A143=Input!$A$4,$C143,"")</f>
        <v/>
      </c>
      <c r="S143" s="323" t="str">
        <f>IF($A143=Input!$A$4,$D143,"")</f>
        <v/>
      </c>
      <c r="T143" s="323" t="str">
        <f>IF($A143=Input!$A$4,$E143,"")</f>
        <v/>
      </c>
      <c r="U143" s="386" t="str">
        <f>IF($A143=Input!$A$4,$F143,"")</f>
        <v/>
      </c>
      <c r="V143" s="323"/>
      <c r="W143" s="323"/>
      <c r="X143" s="323"/>
      <c r="Y143" s="323"/>
      <c r="Z143" s="323"/>
      <c r="AA143" s="387" t="str">
        <f>IF($A143=Input!$A$5,$B143,"")</f>
        <v/>
      </c>
      <c r="AB143" s="323" t="str">
        <f>IF($A143=Input!$A$5,$C143,"")</f>
        <v/>
      </c>
      <c r="AC143" s="323" t="str">
        <f>IF($A143=Input!$A$5,$D143,"")</f>
        <v/>
      </c>
      <c r="AD143" s="323" t="str">
        <f>IF($A143=Input!$A$5,$E143,"")</f>
        <v/>
      </c>
      <c r="AE143" s="386" t="str">
        <f>IF($A143=Input!$A$5,$F143,"")</f>
        <v/>
      </c>
      <c r="AF143" s="323"/>
      <c r="AG143" s="323"/>
      <c r="AH143" s="323"/>
      <c r="AI143" s="323"/>
      <c r="AJ143" s="323"/>
    </row>
    <row r="144" spans="1:36" x14ac:dyDescent="0.2">
      <c r="A144" s="250" t="str">
        <f>IF(BuffsDebuffs!$M140=1,BuffsDebuffs!G$2,"")</f>
        <v/>
      </c>
      <c r="B144" s="251" t="str">
        <f>IF(BuffsDebuffs!$M140=1,BuffsDebuffs!H$2,"")</f>
        <v/>
      </c>
      <c r="C144" s="251" t="str">
        <f>IF(BuffsDebuffs!$M140=1,BuffsDebuffs!I$2,"")</f>
        <v/>
      </c>
      <c r="D144" s="251" t="str">
        <f>IF(BuffsDebuffs!$M140=1,BuffsDebuffs!J$2,"")</f>
        <v/>
      </c>
      <c r="E144" s="251" t="str">
        <f>IF(BuffsDebuffs!$M140=1,BuffsDebuffs!K$2,"")</f>
        <v/>
      </c>
      <c r="F144" s="251" t="str">
        <f>IF(BuffsDebuffs!$M140=1,BuffsDebuffs!L$2,"")</f>
        <v/>
      </c>
      <c r="G144" s="387" t="str">
        <f>IF($A144=Input!$A$3,B144,"")</f>
        <v/>
      </c>
      <c r="H144" s="323" t="str">
        <f>IF($A144=Input!$A$3,C144,"")</f>
        <v/>
      </c>
      <c r="I144" s="323" t="str">
        <f>IF($A144=Input!$A$3,D144,"")</f>
        <v/>
      </c>
      <c r="J144" s="323" t="str">
        <f>IF($A144=Input!$A$3,E144,"")</f>
        <v/>
      </c>
      <c r="K144" s="386" t="str">
        <f>IF($A144=Input!$A$3,F144,"")</f>
        <v/>
      </c>
      <c r="L144" s="387"/>
      <c r="M144" s="323"/>
      <c r="N144" s="323"/>
      <c r="O144" s="323"/>
      <c r="P144" s="323"/>
      <c r="Q144" s="387" t="str">
        <f>IF($A144=Input!$A$4,$B144,"")</f>
        <v/>
      </c>
      <c r="R144" s="323" t="str">
        <f>IF($A144=Input!$A$4,$C144,"")</f>
        <v/>
      </c>
      <c r="S144" s="323" t="str">
        <f>IF($A144=Input!$A$4,$D144,"")</f>
        <v/>
      </c>
      <c r="T144" s="323" t="str">
        <f>IF($A144=Input!$A$4,$E144,"")</f>
        <v/>
      </c>
      <c r="U144" s="386" t="str">
        <f>IF($A144=Input!$A$4,$F144,"")</f>
        <v/>
      </c>
      <c r="V144" s="323"/>
      <c r="W144" s="323"/>
      <c r="X144" s="323"/>
      <c r="Y144" s="323"/>
      <c r="Z144" s="323"/>
      <c r="AA144" s="387" t="str">
        <f>IF($A144=Input!$A$5,$B144,"")</f>
        <v/>
      </c>
      <c r="AB144" s="323" t="str">
        <f>IF($A144=Input!$A$5,$C144,"")</f>
        <v/>
      </c>
      <c r="AC144" s="323" t="str">
        <f>IF($A144=Input!$A$5,$D144,"")</f>
        <v/>
      </c>
      <c r="AD144" s="323" t="str">
        <f>IF($A144=Input!$A$5,$E144,"")</f>
        <v/>
      </c>
      <c r="AE144" s="386" t="str">
        <f>IF($A144=Input!$A$5,$F144,"")</f>
        <v/>
      </c>
      <c r="AF144" s="323"/>
      <c r="AG144" s="323"/>
      <c r="AH144" s="323"/>
      <c r="AI144" s="323"/>
      <c r="AJ144" s="323"/>
    </row>
    <row r="145" spans="1:36" x14ac:dyDescent="0.2">
      <c r="A145" s="250" t="str">
        <f>IF(BuffsDebuffs!$M141=1,BuffsDebuffs!G$2,"")</f>
        <v/>
      </c>
      <c r="B145" s="251" t="str">
        <f>IF(BuffsDebuffs!$M141=1,BuffsDebuffs!H$2,"")</f>
        <v/>
      </c>
      <c r="C145" s="251" t="str">
        <f>IF(BuffsDebuffs!$M141=1,BuffsDebuffs!I$2,"")</f>
        <v/>
      </c>
      <c r="D145" s="251" t="str">
        <f>IF(BuffsDebuffs!$M141=1,BuffsDebuffs!J$2,"")</f>
        <v/>
      </c>
      <c r="E145" s="251" t="str">
        <f>IF(BuffsDebuffs!$M141=1,BuffsDebuffs!K$2,"")</f>
        <v/>
      </c>
      <c r="F145" s="251" t="str">
        <f>IF(BuffsDebuffs!$M141=1,BuffsDebuffs!L$2,"")</f>
        <v/>
      </c>
      <c r="G145" s="387" t="str">
        <f>IF($A145=Input!$A$3,B145,"")</f>
        <v/>
      </c>
      <c r="H145" s="323" t="str">
        <f>IF($A145=Input!$A$3,C145,"")</f>
        <v/>
      </c>
      <c r="I145" s="323" t="str">
        <f>IF($A145=Input!$A$3,D145,"")</f>
        <v/>
      </c>
      <c r="J145" s="323" t="str">
        <f>IF($A145=Input!$A$3,E145,"")</f>
        <v/>
      </c>
      <c r="K145" s="386" t="str">
        <f>IF($A145=Input!$A$3,F145,"")</f>
        <v/>
      </c>
      <c r="L145" s="387"/>
      <c r="M145" s="323"/>
      <c r="N145" s="323"/>
      <c r="O145" s="323"/>
      <c r="P145" s="323"/>
      <c r="Q145" s="387" t="str">
        <f>IF($A145=Input!$A$4,$B145,"")</f>
        <v/>
      </c>
      <c r="R145" s="323" t="str">
        <f>IF($A145=Input!$A$4,$C145,"")</f>
        <v/>
      </c>
      <c r="S145" s="323" t="str">
        <f>IF($A145=Input!$A$4,$D145,"")</f>
        <v/>
      </c>
      <c r="T145" s="323" t="str">
        <f>IF($A145=Input!$A$4,$E145,"")</f>
        <v/>
      </c>
      <c r="U145" s="386" t="str">
        <f>IF($A145=Input!$A$4,$F145,"")</f>
        <v/>
      </c>
      <c r="V145" s="323"/>
      <c r="W145" s="323"/>
      <c r="X145" s="323"/>
      <c r="Y145" s="323"/>
      <c r="Z145" s="323"/>
      <c r="AA145" s="387" t="str">
        <f>IF($A145=Input!$A$5,$B145,"")</f>
        <v/>
      </c>
      <c r="AB145" s="323" t="str">
        <f>IF($A145=Input!$A$5,$C145,"")</f>
        <v/>
      </c>
      <c r="AC145" s="323" t="str">
        <f>IF($A145=Input!$A$5,$D145,"")</f>
        <v/>
      </c>
      <c r="AD145" s="323" t="str">
        <f>IF($A145=Input!$A$5,$E145,"")</f>
        <v/>
      </c>
      <c r="AE145" s="386" t="str">
        <f>IF($A145=Input!$A$5,$F145,"")</f>
        <v/>
      </c>
      <c r="AF145" s="323"/>
      <c r="AG145" s="323"/>
      <c r="AH145" s="323"/>
      <c r="AI145" s="323"/>
      <c r="AJ145" s="323"/>
    </row>
    <row r="146" spans="1:36" x14ac:dyDescent="0.2">
      <c r="A146" s="250" t="str">
        <f>IF(BuffsDebuffs!$M142=1,BuffsDebuffs!G$2,"")</f>
        <v/>
      </c>
      <c r="B146" s="251" t="str">
        <f>IF(BuffsDebuffs!$M142=1,BuffsDebuffs!H$2,"")</f>
        <v/>
      </c>
      <c r="C146" s="251" t="str">
        <f>IF(BuffsDebuffs!$M142=1,BuffsDebuffs!I$2,"")</f>
        <v/>
      </c>
      <c r="D146" s="251" t="str">
        <f>IF(BuffsDebuffs!$M142=1,BuffsDebuffs!J$2,"")</f>
        <v/>
      </c>
      <c r="E146" s="251" t="str">
        <f>IF(BuffsDebuffs!$M142=1,BuffsDebuffs!K$2,"")</f>
        <v/>
      </c>
      <c r="F146" s="251" t="str">
        <f>IF(BuffsDebuffs!$M142=1,BuffsDebuffs!L$2,"")</f>
        <v/>
      </c>
      <c r="G146" s="387" t="str">
        <f>IF($A146=Input!$A$3,B146,"")</f>
        <v/>
      </c>
      <c r="H146" s="323" t="str">
        <f>IF($A146=Input!$A$3,C146,"")</f>
        <v/>
      </c>
      <c r="I146" s="323" t="str">
        <f>IF($A146=Input!$A$3,D146,"")</f>
        <v/>
      </c>
      <c r="J146" s="323" t="str">
        <f>IF($A146=Input!$A$3,E146,"")</f>
        <v/>
      </c>
      <c r="K146" s="386" t="str">
        <f>IF($A146=Input!$A$3,F146,"")</f>
        <v/>
      </c>
      <c r="L146" s="387"/>
      <c r="M146" s="323"/>
      <c r="N146" s="323"/>
      <c r="O146" s="323"/>
      <c r="P146" s="323"/>
      <c r="Q146" s="387" t="str">
        <f>IF($A146=Input!$A$4,$B146,"")</f>
        <v/>
      </c>
      <c r="R146" s="323" t="str">
        <f>IF($A146=Input!$A$4,$C146,"")</f>
        <v/>
      </c>
      <c r="S146" s="323" t="str">
        <f>IF($A146=Input!$A$4,$D146,"")</f>
        <v/>
      </c>
      <c r="T146" s="323" t="str">
        <f>IF($A146=Input!$A$4,$E146,"")</f>
        <v/>
      </c>
      <c r="U146" s="386" t="str">
        <f>IF($A146=Input!$A$4,$F146,"")</f>
        <v/>
      </c>
      <c r="V146" s="323"/>
      <c r="W146" s="323"/>
      <c r="X146" s="323"/>
      <c r="Y146" s="323"/>
      <c r="Z146" s="323"/>
      <c r="AA146" s="387" t="str">
        <f>IF($A146=Input!$A$5,$B146,"")</f>
        <v/>
      </c>
      <c r="AB146" s="323" t="str">
        <f>IF($A146=Input!$A$5,$C146,"")</f>
        <v/>
      </c>
      <c r="AC146" s="323" t="str">
        <f>IF($A146=Input!$A$5,$D146,"")</f>
        <v/>
      </c>
      <c r="AD146" s="323" t="str">
        <f>IF($A146=Input!$A$5,$E146,"")</f>
        <v/>
      </c>
      <c r="AE146" s="386" t="str">
        <f>IF($A146=Input!$A$5,$F146,"")</f>
        <v/>
      </c>
      <c r="AF146" s="323"/>
      <c r="AG146" s="323"/>
      <c r="AH146" s="323"/>
      <c r="AI146" s="323"/>
      <c r="AJ146" s="323"/>
    </row>
    <row r="147" spans="1:36" x14ac:dyDescent="0.2">
      <c r="A147" s="250" t="str">
        <f>IF(BuffsDebuffs!$M143=1,BuffsDebuffs!G$2,"")</f>
        <v/>
      </c>
      <c r="B147" s="251" t="str">
        <f>IF(BuffsDebuffs!$M143=1,BuffsDebuffs!H$2,"")</f>
        <v/>
      </c>
      <c r="C147" s="251" t="str">
        <f>IF(BuffsDebuffs!$M143=1,BuffsDebuffs!I$2,"")</f>
        <v/>
      </c>
      <c r="D147" s="251" t="str">
        <f>IF(BuffsDebuffs!$M143=1,BuffsDebuffs!J$2,"")</f>
        <v/>
      </c>
      <c r="E147" s="251" t="str">
        <f>IF(BuffsDebuffs!$M143=1,BuffsDebuffs!K$2,"")</f>
        <v/>
      </c>
      <c r="F147" s="251" t="str">
        <f>IF(BuffsDebuffs!$M143=1,BuffsDebuffs!L$2,"")</f>
        <v/>
      </c>
      <c r="G147" s="387" t="str">
        <f>IF($A147=Input!$A$3,B147,"")</f>
        <v/>
      </c>
      <c r="H147" s="323" t="str">
        <f>IF($A147=Input!$A$3,C147,"")</f>
        <v/>
      </c>
      <c r="I147" s="323" t="str">
        <f>IF($A147=Input!$A$3,D147,"")</f>
        <v/>
      </c>
      <c r="J147" s="323" t="str">
        <f>IF($A147=Input!$A$3,E147,"")</f>
        <v/>
      </c>
      <c r="K147" s="386" t="str">
        <f>IF($A147=Input!$A$3,F147,"")</f>
        <v/>
      </c>
      <c r="L147" s="387"/>
      <c r="M147" s="323"/>
      <c r="N147" s="323"/>
      <c r="O147" s="323"/>
      <c r="P147" s="323"/>
      <c r="Q147" s="387" t="str">
        <f>IF($A147=Input!$A$4,$B147,"")</f>
        <v/>
      </c>
      <c r="R147" s="323" t="str">
        <f>IF($A147=Input!$A$4,$C147,"")</f>
        <v/>
      </c>
      <c r="S147" s="323" t="str">
        <f>IF($A147=Input!$A$4,$D147,"")</f>
        <v/>
      </c>
      <c r="T147" s="323" t="str">
        <f>IF($A147=Input!$A$4,$E147,"")</f>
        <v/>
      </c>
      <c r="U147" s="386" t="str">
        <f>IF($A147=Input!$A$4,$F147,"")</f>
        <v/>
      </c>
      <c r="V147" s="323"/>
      <c r="W147" s="323"/>
      <c r="X147" s="323"/>
      <c r="Y147" s="323"/>
      <c r="Z147" s="323"/>
      <c r="AA147" s="387" t="str">
        <f>IF($A147=Input!$A$5,$B147,"")</f>
        <v/>
      </c>
      <c r="AB147" s="323" t="str">
        <f>IF($A147=Input!$A$5,$C147,"")</f>
        <v/>
      </c>
      <c r="AC147" s="323" t="str">
        <f>IF($A147=Input!$A$5,$D147,"")</f>
        <v/>
      </c>
      <c r="AD147" s="323" t="str">
        <f>IF($A147=Input!$A$5,$E147,"")</f>
        <v/>
      </c>
      <c r="AE147" s="386" t="str">
        <f>IF($A147=Input!$A$5,$F147,"")</f>
        <v/>
      </c>
      <c r="AF147" s="323"/>
      <c r="AG147" s="323"/>
      <c r="AH147" s="323"/>
      <c r="AI147" s="323"/>
      <c r="AJ147" s="323"/>
    </row>
    <row r="148" spans="1:36" x14ac:dyDescent="0.2">
      <c r="A148" s="250" t="str">
        <f>IF(BuffsDebuffs!$M144=1,BuffsDebuffs!G$2,"")</f>
        <v/>
      </c>
      <c r="B148" s="251" t="str">
        <f>IF(BuffsDebuffs!$M144=1,BuffsDebuffs!H$2,"")</f>
        <v/>
      </c>
      <c r="C148" s="251" t="str">
        <f>IF(BuffsDebuffs!$M144=1,BuffsDebuffs!I$2,"")</f>
        <v/>
      </c>
      <c r="D148" s="251" t="str">
        <f>IF(BuffsDebuffs!$M144=1,BuffsDebuffs!J$2,"")</f>
        <v/>
      </c>
      <c r="E148" s="251" t="str">
        <f>IF(BuffsDebuffs!$M144=1,BuffsDebuffs!K$2,"")</f>
        <v/>
      </c>
      <c r="F148" s="251" t="str">
        <f>IF(BuffsDebuffs!$M144=1,BuffsDebuffs!L$2,"")</f>
        <v/>
      </c>
      <c r="G148" s="387" t="str">
        <f>IF($A148=Input!$A$3,B148,"")</f>
        <v/>
      </c>
      <c r="H148" s="323" t="str">
        <f>IF($A148=Input!$A$3,C148,"")</f>
        <v/>
      </c>
      <c r="I148" s="323" t="str">
        <f>IF($A148=Input!$A$3,D148,"")</f>
        <v/>
      </c>
      <c r="J148" s="323" t="str">
        <f>IF($A148=Input!$A$3,E148,"")</f>
        <v/>
      </c>
      <c r="K148" s="386" t="str">
        <f>IF($A148=Input!$A$3,F148,"")</f>
        <v/>
      </c>
      <c r="L148" s="387"/>
      <c r="M148" s="323"/>
      <c r="N148" s="323"/>
      <c r="O148" s="323"/>
      <c r="P148" s="323"/>
      <c r="Q148" s="387" t="str">
        <f>IF($A148=Input!$A$4,$B148,"")</f>
        <v/>
      </c>
      <c r="R148" s="323" t="str">
        <f>IF($A148=Input!$A$4,$C148,"")</f>
        <v/>
      </c>
      <c r="S148" s="323" t="str">
        <f>IF($A148=Input!$A$4,$D148,"")</f>
        <v/>
      </c>
      <c r="T148" s="323" t="str">
        <f>IF($A148=Input!$A$4,$E148,"")</f>
        <v/>
      </c>
      <c r="U148" s="386" t="str">
        <f>IF($A148=Input!$A$4,$F148,"")</f>
        <v/>
      </c>
      <c r="V148" s="323"/>
      <c r="W148" s="323"/>
      <c r="X148" s="323"/>
      <c r="Y148" s="323"/>
      <c r="Z148" s="323"/>
      <c r="AA148" s="387" t="str">
        <f>IF($A148=Input!$A$5,$B148,"")</f>
        <v/>
      </c>
      <c r="AB148" s="323" t="str">
        <f>IF($A148=Input!$A$5,$C148,"")</f>
        <v/>
      </c>
      <c r="AC148" s="323" t="str">
        <f>IF($A148=Input!$A$5,$D148,"")</f>
        <v/>
      </c>
      <c r="AD148" s="323" t="str">
        <f>IF($A148=Input!$A$5,$E148,"")</f>
        <v/>
      </c>
      <c r="AE148" s="386" t="str">
        <f>IF($A148=Input!$A$5,$F148,"")</f>
        <v/>
      </c>
      <c r="AF148" s="323"/>
      <c r="AG148" s="323"/>
      <c r="AH148" s="323"/>
      <c r="AI148" s="323"/>
      <c r="AJ148" s="323"/>
    </row>
    <row r="149" spans="1:36" x14ac:dyDescent="0.2">
      <c r="A149" s="250" t="str">
        <f>IF(BuffsDebuffs!$M145=1,BuffsDebuffs!G$2,"")</f>
        <v/>
      </c>
      <c r="B149" s="251" t="str">
        <f>IF(BuffsDebuffs!$M145=1,BuffsDebuffs!H$2,"")</f>
        <v/>
      </c>
      <c r="C149" s="251" t="str">
        <f>IF(BuffsDebuffs!$M145=1,BuffsDebuffs!I$2,"")</f>
        <v/>
      </c>
      <c r="D149" s="251" t="str">
        <f>IF(BuffsDebuffs!$M145=1,BuffsDebuffs!J$2,"")</f>
        <v/>
      </c>
      <c r="E149" s="251" t="str">
        <f>IF(BuffsDebuffs!$M145=1,BuffsDebuffs!K$2,"")</f>
        <v/>
      </c>
      <c r="F149" s="251" t="str">
        <f>IF(BuffsDebuffs!$M145=1,BuffsDebuffs!L$2,"")</f>
        <v/>
      </c>
      <c r="G149" s="387" t="str">
        <f>IF($A149=Input!$A$3,B149,"")</f>
        <v/>
      </c>
      <c r="H149" s="323" t="str">
        <f>IF($A149=Input!$A$3,C149,"")</f>
        <v/>
      </c>
      <c r="I149" s="323" t="str">
        <f>IF($A149=Input!$A$3,D149,"")</f>
        <v/>
      </c>
      <c r="J149" s="323" t="str">
        <f>IF($A149=Input!$A$3,E149,"")</f>
        <v/>
      </c>
      <c r="K149" s="386" t="str">
        <f>IF($A149=Input!$A$3,F149,"")</f>
        <v/>
      </c>
      <c r="L149" s="387"/>
      <c r="M149" s="323"/>
      <c r="N149" s="323"/>
      <c r="O149" s="323"/>
      <c r="P149" s="323"/>
      <c r="Q149" s="387" t="str">
        <f>IF($A149=Input!$A$4,$B149,"")</f>
        <v/>
      </c>
      <c r="R149" s="323" t="str">
        <f>IF($A149=Input!$A$4,$C149,"")</f>
        <v/>
      </c>
      <c r="S149" s="323" t="str">
        <f>IF($A149=Input!$A$4,$D149,"")</f>
        <v/>
      </c>
      <c r="T149" s="323" t="str">
        <f>IF($A149=Input!$A$4,$E149,"")</f>
        <v/>
      </c>
      <c r="U149" s="386" t="str">
        <f>IF($A149=Input!$A$4,$F149,"")</f>
        <v/>
      </c>
      <c r="V149" s="323"/>
      <c r="W149" s="323"/>
      <c r="X149" s="323"/>
      <c r="Y149" s="323"/>
      <c r="Z149" s="323"/>
      <c r="AA149" s="387" t="str">
        <f>IF($A149=Input!$A$5,$B149,"")</f>
        <v/>
      </c>
      <c r="AB149" s="323" t="str">
        <f>IF($A149=Input!$A$5,$C149,"")</f>
        <v/>
      </c>
      <c r="AC149" s="323" t="str">
        <f>IF($A149=Input!$A$5,$D149,"")</f>
        <v/>
      </c>
      <c r="AD149" s="323" t="str">
        <f>IF($A149=Input!$A$5,$E149,"")</f>
        <v/>
      </c>
      <c r="AE149" s="386" t="str">
        <f>IF($A149=Input!$A$5,$F149,"")</f>
        <v/>
      </c>
      <c r="AF149" s="323"/>
      <c r="AG149" s="323"/>
      <c r="AH149" s="323"/>
      <c r="AI149" s="323"/>
      <c r="AJ149" s="323"/>
    </row>
    <row r="150" spans="1:36" x14ac:dyDescent="0.2">
      <c r="A150" s="250" t="str">
        <f>IF(BuffsDebuffs!$M146=1,BuffsDebuffs!G$2,"")</f>
        <v/>
      </c>
      <c r="B150" s="251" t="str">
        <f>IF(BuffsDebuffs!$M146=1,BuffsDebuffs!H$2,"")</f>
        <v/>
      </c>
      <c r="C150" s="251" t="str">
        <f>IF(BuffsDebuffs!$M146=1,BuffsDebuffs!I$2,"")</f>
        <v/>
      </c>
      <c r="D150" s="251" t="str">
        <f>IF(BuffsDebuffs!$M146=1,BuffsDebuffs!J$2,"")</f>
        <v/>
      </c>
      <c r="E150" s="251" t="str">
        <f>IF(BuffsDebuffs!$M146=1,BuffsDebuffs!K$2,"")</f>
        <v/>
      </c>
      <c r="F150" s="251" t="str">
        <f>IF(BuffsDebuffs!$M146=1,BuffsDebuffs!L$2,"")</f>
        <v/>
      </c>
      <c r="G150" s="387" t="str">
        <f>IF($A150=Input!$A$3,B150,"")</f>
        <v/>
      </c>
      <c r="H150" s="323" t="str">
        <f>IF($A150=Input!$A$3,C150,"")</f>
        <v/>
      </c>
      <c r="I150" s="323" t="str">
        <f>IF($A150=Input!$A$3,D150,"")</f>
        <v/>
      </c>
      <c r="J150" s="323" t="str">
        <f>IF($A150=Input!$A$3,E150,"")</f>
        <v/>
      </c>
      <c r="K150" s="386" t="str">
        <f>IF($A150=Input!$A$3,F150,"")</f>
        <v/>
      </c>
      <c r="L150" s="387"/>
      <c r="M150" s="323"/>
      <c r="N150" s="323"/>
      <c r="O150" s="323"/>
      <c r="P150" s="323"/>
      <c r="Q150" s="387" t="str">
        <f>IF($A150=Input!$A$4,$B150,"")</f>
        <v/>
      </c>
      <c r="R150" s="323" t="str">
        <f>IF($A150=Input!$A$4,$C150,"")</f>
        <v/>
      </c>
      <c r="S150" s="323" t="str">
        <f>IF($A150=Input!$A$4,$D150,"")</f>
        <v/>
      </c>
      <c r="T150" s="323" t="str">
        <f>IF($A150=Input!$A$4,$E150,"")</f>
        <v/>
      </c>
      <c r="U150" s="386" t="str">
        <f>IF($A150=Input!$A$4,$F150,"")</f>
        <v/>
      </c>
      <c r="V150" s="323"/>
      <c r="W150" s="323"/>
      <c r="X150" s="323"/>
      <c r="Y150" s="323"/>
      <c r="Z150" s="323"/>
      <c r="AA150" s="387" t="str">
        <f>IF($A150=Input!$A$5,$B150,"")</f>
        <v/>
      </c>
      <c r="AB150" s="323" t="str">
        <f>IF($A150=Input!$A$5,$C150,"")</f>
        <v/>
      </c>
      <c r="AC150" s="323" t="str">
        <f>IF($A150=Input!$A$5,$D150,"")</f>
        <v/>
      </c>
      <c r="AD150" s="323" t="str">
        <f>IF($A150=Input!$A$5,$E150,"")</f>
        <v/>
      </c>
      <c r="AE150" s="386" t="str">
        <f>IF($A150=Input!$A$5,$F150,"")</f>
        <v/>
      </c>
      <c r="AF150" s="323"/>
      <c r="AG150" s="323"/>
      <c r="AH150" s="323"/>
      <c r="AI150" s="323"/>
      <c r="AJ150" s="323"/>
    </row>
    <row r="151" spans="1:36" x14ac:dyDescent="0.2">
      <c r="A151" s="250" t="str">
        <f>IF(BuffsDebuffs!$M147=1,BuffsDebuffs!G$2,"")</f>
        <v/>
      </c>
      <c r="B151" s="251" t="str">
        <f>IF(BuffsDebuffs!$M147=1,BuffsDebuffs!H$2,"")</f>
        <v/>
      </c>
      <c r="C151" s="251" t="str">
        <f>IF(BuffsDebuffs!$M147=1,BuffsDebuffs!I$2,"")</f>
        <v/>
      </c>
      <c r="D151" s="251" t="str">
        <f>IF(BuffsDebuffs!$M147=1,BuffsDebuffs!J$2,"")</f>
        <v/>
      </c>
      <c r="E151" s="251" t="str">
        <f>IF(BuffsDebuffs!$M147=1,BuffsDebuffs!K$2,"")</f>
        <v/>
      </c>
      <c r="F151" s="251" t="str">
        <f>IF(BuffsDebuffs!$M147=1,BuffsDebuffs!L$2,"")</f>
        <v/>
      </c>
      <c r="G151" s="387" t="str">
        <f>IF($A151=Input!$A$3,B151,"")</f>
        <v/>
      </c>
      <c r="H151" s="323" t="str">
        <f>IF($A151=Input!$A$3,C151,"")</f>
        <v/>
      </c>
      <c r="I151" s="323" t="str">
        <f>IF($A151=Input!$A$3,D151,"")</f>
        <v/>
      </c>
      <c r="J151" s="323" t="str">
        <f>IF($A151=Input!$A$3,E151,"")</f>
        <v/>
      </c>
      <c r="K151" s="386" t="str">
        <f>IF($A151=Input!$A$3,F151,"")</f>
        <v/>
      </c>
      <c r="L151" s="387"/>
      <c r="M151" s="323"/>
      <c r="N151" s="323"/>
      <c r="O151" s="323"/>
      <c r="P151" s="323"/>
      <c r="Q151" s="387" t="str">
        <f>IF($A151=Input!$A$4,$B151,"")</f>
        <v/>
      </c>
      <c r="R151" s="323" t="str">
        <f>IF($A151=Input!$A$4,$C151,"")</f>
        <v/>
      </c>
      <c r="S151" s="323" t="str">
        <f>IF($A151=Input!$A$4,$D151,"")</f>
        <v/>
      </c>
      <c r="T151" s="323" t="str">
        <f>IF($A151=Input!$A$4,$E151,"")</f>
        <v/>
      </c>
      <c r="U151" s="386" t="str">
        <f>IF($A151=Input!$A$4,$F151,"")</f>
        <v/>
      </c>
      <c r="V151" s="323"/>
      <c r="W151" s="323"/>
      <c r="X151" s="323"/>
      <c r="Y151" s="323"/>
      <c r="Z151" s="323"/>
      <c r="AA151" s="387" t="str">
        <f>IF($A151=Input!$A$5,$B151,"")</f>
        <v/>
      </c>
      <c r="AB151" s="323" t="str">
        <f>IF($A151=Input!$A$5,$C151,"")</f>
        <v/>
      </c>
      <c r="AC151" s="323" t="str">
        <f>IF($A151=Input!$A$5,$D151,"")</f>
        <v/>
      </c>
      <c r="AD151" s="323" t="str">
        <f>IF($A151=Input!$A$5,$E151,"")</f>
        <v/>
      </c>
      <c r="AE151" s="386" t="str">
        <f>IF($A151=Input!$A$5,$F151,"")</f>
        <v/>
      </c>
      <c r="AF151" s="323"/>
      <c r="AG151" s="323"/>
      <c r="AH151" s="323"/>
      <c r="AI151" s="323"/>
      <c r="AJ151" s="323"/>
    </row>
    <row r="152" spans="1:36" x14ac:dyDescent="0.2">
      <c r="A152" s="250" t="str">
        <f>IF(BuffsDebuffs!$M148=1,BuffsDebuffs!G$2,"")</f>
        <v/>
      </c>
      <c r="B152" s="251" t="str">
        <f>IF(BuffsDebuffs!$M148=1,BuffsDebuffs!H$2,"")</f>
        <v/>
      </c>
      <c r="C152" s="251" t="str">
        <f>IF(BuffsDebuffs!$M148=1,BuffsDebuffs!I$2,"")</f>
        <v/>
      </c>
      <c r="D152" s="251" t="str">
        <f>IF(BuffsDebuffs!$M148=1,BuffsDebuffs!J$2,"")</f>
        <v/>
      </c>
      <c r="E152" s="251" t="str">
        <f>IF(BuffsDebuffs!$M148=1,BuffsDebuffs!K$2,"")</f>
        <v/>
      </c>
      <c r="F152" s="251" t="str">
        <f>IF(BuffsDebuffs!$M148=1,BuffsDebuffs!L$2,"")</f>
        <v/>
      </c>
      <c r="G152" s="387" t="str">
        <f>IF($A152=Input!$A$3,B152,"")</f>
        <v/>
      </c>
      <c r="H152" s="323" t="str">
        <f>IF($A152=Input!$A$3,C152,"")</f>
        <v/>
      </c>
      <c r="I152" s="323" t="str">
        <f>IF($A152=Input!$A$3,D152,"")</f>
        <v/>
      </c>
      <c r="J152" s="323" t="str">
        <f>IF($A152=Input!$A$3,E152,"")</f>
        <v/>
      </c>
      <c r="K152" s="386" t="str">
        <f>IF($A152=Input!$A$3,F152,"")</f>
        <v/>
      </c>
      <c r="L152" s="387"/>
      <c r="M152" s="323"/>
      <c r="N152" s="323"/>
      <c r="O152" s="323"/>
      <c r="P152" s="323"/>
      <c r="Q152" s="387" t="str">
        <f>IF($A152=Input!$A$4,$B152,"")</f>
        <v/>
      </c>
      <c r="R152" s="323" t="str">
        <f>IF($A152=Input!$A$4,$C152,"")</f>
        <v/>
      </c>
      <c r="S152" s="323" t="str">
        <f>IF($A152=Input!$A$4,$D152,"")</f>
        <v/>
      </c>
      <c r="T152" s="323" t="str">
        <f>IF($A152=Input!$A$4,$E152,"")</f>
        <v/>
      </c>
      <c r="U152" s="386" t="str">
        <f>IF($A152=Input!$A$4,$F152,"")</f>
        <v/>
      </c>
      <c r="V152" s="323"/>
      <c r="W152" s="323"/>
      <c r="X152" s="323"/>
      <c r="Y152" s="323"/>
      <c r="Z152" s="323"/>
      <c r="AA152" s="387" t="str">
        <f>IF($A152=Input!$A$5,$B152,"")</f>
        <v/>
      </c>
      <c r="AB152" s="323" t="str">
        <f>IF($A152=Input!$A$5,$C152,"")</f>
        <v/>
      </c>
      <c r="AC152" s="323" t="str">
        <f>IF($A152=Input!$A$5,$D152,"")</f>
        <v/>
      </c>
      <c r="AD152" s="323" t="str">
        <f>IF($A152=Input!$A$5,$E152,"")</f>
        <v/>
      </c>
      <c r="AE152" s="386" t="str">
        <f>IF($A152=Input!$A$5,$F152,"")</f>
        <v/>
      </c>
      <c r="AF152" s="323"/>
      <c r="AG152" s="323"/>
      <c r="AH152" s="323"/>
      <c r="AI152" s="323"/>
      <c r="AJ152" s="323"/>
    </row>
    <row r="153" spans="1:36" x14ac:dyDescent="0.2">
      <c r="A153" s="250" t="str">
        <f>IF(BuffsDebuffs!$M149=1,BuffsDebuffs!G$2,"")</f>
        <v/>
      </c>
      <c r="B153" s="251" t="str">
        <f>IF(BuffsDebuffs!$M149=1,BuffsDebuffs!H$2,"")</f>
        <v/>
      </c>
      <c r="C153" s="251" t="str">
        <f>IF(BuffsDebuffs!$M149=1,BuffsDebuffs!I$2,"")</f>
        <v/>
      </c>
      <c r="D153" s="251" t="str">
        <f>IF(BuffsDebuffs!$M149=1,BuffsDebuffs!J$2,"")</f>
        <v/>
      </c>
      <c r="E153" s="251" t="str">
        <f>IF(BuffsDebuffs!$M149=1,BuffsDebuffs!K$2,"")</f>
        <v/>
      </c>
      <c r="F153" s="251" t="str">
        <f>IF(BuffsDebuffs!$M149=1,BuffsDebuffs!L$2,"")</f>
        <v/>
      </c>
      <c r="G153" s="387" t="str">
        <f>IF($A153=Input!$A$3,B153,"")</f>
        <v/>
      </c>
      <c r="H153" s="323" t="str">
        <f>IF($A153=Input!$A$3,C153,"")</f>
        <v/>
      </c>
      <c r="I153" s="323" t="str">
        <f>IF($A153=Input!$A$3,D153,"")</f>
        <v/>
      </c>
      <c r="J153" s="323" t="str">
        <f>IF($A153=Input!$A$3,E153,"")</f>
        <v/>
      </c>
      <c r="K153" s="386" t="str">
        <f>IF($A153=Input!$A$3,F153,"")</f>
        <v/>
      </c>
      <c r="L153" s="387"/>
      <c r="M153" s="323"/>
      <c r="N153" s="323"/>
      <c r="O153" s="323"/>
      <c r="P153" s="323"/>
      <c r="Q153" s="387" t="str">
        <f>IF($A153=Input!$A$4,$B153,"")</f>
        <v/>
      </c>
      <c r="R153" s="323" t="str">
        <f>IF($A153=Input!$A$4,$C153,"")</f>
        <v/>
      </c>
      <c r="S153" s="323" t="str">
        <f>IF($A153=Input!$A$4,$D153,"")</f>
        <v/>
      </c>
      <c r="T153" s="323" t="str">
        <f>IF($A153=Input!$A$4,$E153,"")</f>
        <v/>
      </c>
      <c r="U153" s="386" t="str">
        <f>IF($A153=Input!$A$4,$F153,"")</f>
        <v/>
      </c>
      <c r="V153" s="323"/>
      <c r="W153" s="323"/>
      <c r="X153" s="323"/>
      <c r="Y153" s="323"/>
      <c r="Z153" s="323"/>
      <c r="AA153" s="387" t="str">
        <f>IF($A153=Input!$A$5,$B153,"")</f>
        <v/>
      </c>
      <c r="AB153" s="323" t="str">
        <f>IF($A153=Input!$A$5,$C153,"")</f>
        <v/>
      </c>
      <c r="AC153" s="323" t="str">
        <f>IF($A153=Input!$A$5,$D153,"")</f>
        <v/>
      </c>
      <c r="AD153" s="323" t="str">
        <f>IF($A153=Input!$A$5,$E153,"")</f>
        <v/>
      </c>
      <c r="AE153" s="386" t="str">
        <f>IF($A153=Input!$A$5,$F153,"")</f>
        <v/>
      </c>
      <c r="AF153" s="323"/>
      <c r="AG153" s="323"/>
      <c r="AH153" s="323"/>
      <c r="AI153" s="323"/>
      <c r="AJ153" s="323"/>
    </row>
    <row r="154" spans="1:36" x14ac:dyDescent="0.2">
      <c r="A154" s="250" t="str">
        <f>IF(BuffsDebuffs!$M150=1,BuffsDebuffs!G$2,"")</f>
        <v/>
      </c>
      <c r="B154" s="251" t="str">
        <f>IF(BuffsDebuffs!$M150=1,BuffsDebuffs!H$2,"")</f>
        <v/>
      </c>
      <c r="C154" s="251" t="str">
        <f>IF(BuffsDebuffs!$M150=1,BuffsDebuffs!I$2,"")</f>
        <v/>
      </c>
      <c r="D154" s="251" t="str">
        <f>IF(BuffsDebuffs!$M150=1,BuffsDebuffs!J$2,"")</f>
        <v/>
      </c>
      <c r="E154" s="251" t="str">
        <f>IF(BuffsDebuffs!$M150=1,BuffsDebuffs!K$2,"")</f>
        <v/>
      </c>
      <c r="F154" s="251" t="str">
        <f>IF(BuffsDebuffs!$M150=1,BuffsDebuffs!L$2,"")</f>
        <v/>
      </c>
      <c r="G154" s="387" t="str">
        <f>IF($A154=Input!$A$3,B154,"")</f>
        <v/>
      </c>
      <c r="H154" s="323" t="str">
        <f>IF($A154=Input!$A$3,C154,"")</f>
        <v/>
      </c>
      <c r="I154" s="323" t="str">
        <f>IF($A154=Input!$A$3,D154,"")</f>
        <v/>
      </c>
      <c r="J154" s="323" t="str">
        <f>IF($A154=Input!$A$3,E154,"")</f>
        <v/>
      </c>
      <c r="K154" s="386" t="str">
        <f>IF($A154=Input!$A$3,F154,"")</f>
        <v/>
      </c>
      <c r="L154" s="387"/>
      <c r="M154" s="323"/>
      <c r="N154" s="323"/>
      <c r="O154" s="323"/>
      <c r="P154" s="323"/>
      <c r="Q154" s="387" t="str">
        <f>IF($A154=Input!$A$4,$B154,"")</f>
        <v/>
      </c>
      <c r="R154" s="323" t="str">
        <f>IF($A154=Input!$A$4,$C154,"")</f>
        <v/>
      </c>
      <c r="S154" s="323" t="str">
        <f>IF($A154=Input!$A$4,$D154,"")</f>
        <v/>
      </c>
      <c r="T154" s="323" t="str">
        <f>IF($A154=Input!$A$4,$E154,"")</f>
        <v/>
      </c>
      <c r="U154" s="386" t="str">
        <f>IF($A154=Input!$A$4,$F154,"")</f>
        <v/>
      </c>
      <c r="V154" s="323"/>
      <c r="W154" s="323"/>
      <c r="X154" s="323"/>
      <c r="Y154" s="323"/>
      <c r="Z154" s="323"/>
      <c r="AA154" s="387" t="str">
        <f>IF($A154=Input!$A$5,$B154,"")</f>
        <v/>
      </c>
      <c r="AB154" s="323" t="str">
        <f>IF($A154=Input!$A$5,$C154,"")</f>
        <v/>
      </c>
      <c r="AC154" s="323" t="str">
        <f>IF($A154=Input!$A$5,$D154,"")</f>
        <v/>
      </c>
      <c r="AD154" s="323" t="str">
        <f>IF($A154=Input!$A$5,$E154,"")</f>
        <v/>
      </c>
      <c r="AE154" s="386" t="str">
        <f>IF($A154=Input!$A$5,$F154,"")</f>
        <v/>
      </c>
      <c r="AF154" s="323"/>
      <c r="AG154" s="323"/>
      <c r="AH154" s="323"/>
      <c r="AI154" s="323"/>
      <c r="AJ154" s="323"/>
    </row>
    <row r="155" spans="1:36" x14ac:dyDescent="0.2">
      <c r="A155" s="250" t="str">
        <f>IF(BuffsDebuffs!$M151=1,BuffsDebuffs!G$2,"")</f>
        <v/>
      </c>
      <c r="B155" s="251" t="str">
        <f>IF(BuffsDebuffs!$M151=1,BuffsDebuffs!H$2,"")</f>
        <v/>
      </c>
      <c r="C155" s="251" t="str">
        <f>IF(BuffsDebuffs!$M151=1,BuffsDebuffs!I$2,"")</f>
        <v/>
      </c>
      <c r="D155" s="251" t="str">
        <f>IF(BuffsDebuffs!$M151=1,BuffsDebuffs!J$2,"")</f>
        <v/>
      </c>
      <c r="E155" s="251" t="str">
        <f>IF(BuffsDebuffs!$M151=1,BuffsDebuffs!K$2,"")</f>
        <v/>
      </c>
      <c r="F155" s="251" t="str">
        <f>IF(BuffsDebuffs!$M151=1,BuffsDebuffs!L$2,"")</f>
        <v/>
      </c>
      <c r="G155" s="387" t="str">
        <f>IF($A155=Input!$A$3,B155,"")</f>
        <v/>
      </c>
      <c r="H155" s="323" t="str">
        <f>IF($A155=Input!$A$3,C155,"")</f>
        <v/>
      </c>
      <c r="I155" s="323" t="str">
        <f>IF($A155=Input!$A$3,D155,"")</f>
        <v/>
      </c>
      <c r="J155" s="323" t="str">
        <f>IF($A155=Input!$A$3,E155,"")</f>
        <v/>
      </c>
      <c r="K155" s="386" t="str">
        <f>IF($A155=Input!$A$3,F155,"")</f>
        <v/>
      </c>
      <c r="L155" s="387"/>
      <c r="M155" s="323"/>
      <c r="N155" s="323"/>
      <c r="O155" s="323"/>
      <c r="P155" s="323"/>
      <c r="Q155" s="387" t="str">
        <f>IF($A155=Input!$A$4,$B155,"")</f>
        <v/>
      </c>
      <c r="R155" s="323" t="str">
        <f>IF($A155=Input!$A$4,$C155,"")</f>
        <v/>
      </c>
      <c r="S155" s="323" t="str">
        <f>IF($A155=Input!$A$4,$D155,"")</f>
        <v/>
      </c>
      <c r="T155" s="323" t="str">
        <f>IF($A155=Input!$A$4,$E155,"")</f>
        <v/>
      </c>
      <c r="U155" s="386" t="str">
        <f>IF($A155=Input!$A$4,$F155,"")</f>
        <v/>
      </c>
      <c r="V155" s="323"/>
      <c r="W155" s="323"/>
      <c r="X155" s="323"/>
      <c r="Y155" s="323"/>
      <c r="Z155" s="323"/>
      <c r="AA155" s="387" t="str">
        <f>IF($A155=Input!$A$5,$B155,"")</f>
        <v/>
      </c>
      <c r="AB155" s="323" t="str">
        <f>IF($A155=Input!$A$5,$C155,"")</f>
        <v/>
      </c>
      <c r="AC155" s="323" t="str">
        <f>IF($A155=Input!$A$5,$D155,"")</f>
        <v/>
      </c>
      <c r="AD155" s="323" t="str">
        <f>IF($A155=Input!$A$5,$E155,"")</f>
        <v/>
      </c>
      <c r="AE155" s="386" t="str">
        <f>IF($A155=Input!$A$5,$F155,"")</f>
        <v/>
      </c>
      <c r="AF155" s="323"/>
      <c r="AG155" s="323"/>
      <c r="AH155" s="323"/>
      <c r="AI155" s="323"/>
      <c r="AJ155" s="323"/>
    </row>
    <row r="156" spans="1:36" x14ac:dyDescent="0.2">
      <c r="A156" s="250" t="str">
        <f>IF(BuffsDebuffs!$M152=1,BuffsDebuffs!G$2,"")</f>
        <v/>
      </c>
      <c r="B156" s="251" t="str">
        <f>IF(BuffsDebuffs!$M152=1,BuffsDebuffs!H$2,"")</f>
        <v/>
      </c>
      <c r="C156" s="251" t="str">
        <f>IF(BuffsDebuffs!$M152=1,BuffsDebuffs!I$2,"")</f>
        <v/>
      </c>
      <c r="D156" s="251" t="str">
        <f>IF(BuffsDebuffs!$M152=1,BuffsDebuffs!J$2,"")</f>
        <v/>
      </c>
      <c r="E156" s="251" t="str">
        <f>IF(BuffsDebuffs!$M152=1,BuffsDebuffs!K$2,"")</f>
        <v/>
      </c>
      <c r="F156" s="251" t="str">
        <f>IF(BuffsDebuffs!$M152=1,BuffsDebuffs!L$2,"")</f>
        <v/>
      </c>
      <c r="G156" s="387" t="str">
        <f>IF($A156=Input!$A$3,B156,"")</f>
        <v/>
      </c>
      <c r="H156" s="323" t="str">
        <f>IF($A156=Input!$A$3,C156,"")</f>
        <v/>
      </c>
      <c r="I156" s="323" t="str">
        <f>IF($A156=Input!$A$3,D156,"")</f>
        <v/>
      </c>
      <c r="J156" s="323" t="str">
        <f>IF($A156=Input!$A$3,E156,"")</f>
        <v/>
      </c>
      <c r="K156" s="386" t="str">
        <f>IF($A156=Input!$A$3,F156,"")</f>
        <v/>
      </c>
      <c r="L156" s="387"/>
      <c r="M156" s="323"/>
      <c r="N156" s="323"/>
      <c r="O156" s="323"/>
      <c r="P156" s="323"/>
      <c r="Q156" s="387" t="str">
        <f>IF($A156=Input!$A$4,$B156,"")</f>
        <v/>
      </c>
      <c r="R156" s="323" t="str">
        <f>IF($A156=Input!$A$4,$C156,"")</f>
        <v/>
      </c>
      <c r="S156" s="323" t="str">
        <f>IF($A156=Input!$A$4,$D156,"")</f>
        <v/>
      </c>
      <c r="T156" s="323" t="str">
        <f>IF($A156=Input!$A$4,$E156,"")</f>
        <v/>
      </c>
      <c r="U156" s="386" t="str">
        <f>IF($A156=Input!$A$4,$F156,"")</f>
        <v/>
      </c>
      <c r="V156" s="323"/>
      <c r="W156" s="323"/>
      <c r="X156" s="323"/>
      <c r="Y156" s="323"/>
      <c r="Z156" s="323"/>
      <c r="AA156" s="387" t="str">
        <f>IF($A156=Input!$A$5,$B156,"")</f>
        <v/>
      </c>
      <c r="AB156" s="323" t="str">
        <f>IF($A156=Input!$A$5,$C156,"")</f>
        <v/>
      </c>
      <c r="AC156" s="323" t="str">
        <f>IF($A156=Input!$A$5,$D156,"")</f>
        <v/>
      </c>
      <c r="AD156" s="323" t="str">
        <f>IF($A156=Input!$A$5,$E156,"")</f>
        <v/>
      </c>
      <c r="AE156" s="386" t="str">
        <f>IF($A156=Input!$A$5,$F156,"")</f>
        <v/>
      </c>
      <c r="AF156" s="323"/>
      <c r="AG156" s="323"/>
      <c r="AH156" s="323"/>
      <c r="AI156" s="323"/>
      <c r="AJ156" s="323"/>
    </row>
    <row r="157" spans="1:36" x14ac:dyDescent="0.2">
      <c r="A157" s="250" t="str">
        <f>IF(BuffsDebuffs!$M153=1,BuffsDebuffs!G$2,"")</f>
        <v/>
      </c>
      <c r="B157" s="251" t="str">
        <f>IF(BuffsDebuffs!$M153=1,BuffsDebuffs!H$2,"")</f>
        <v/>
      </c>
      <c r="C157" s="251" t="str">
        <f>IF(BuffsDebuffs!$M153=1,BuffsDebuffs!I$2,"")</f>
        <v/>
      </c>
      <c r="D157" s="251" t="str">
        <f>IF(BuffsDebuffs!$M153=1,BuffsDebuffs!J$2,"")</f>
        <v/>
      </c>
      <c r="E157" s="251" t="str">
        <f>IF(BuffsDebuffs!$M153=1,BuffsDebuffs!K$2,"")</f>
        <v/>
      </c>
      <c r="F157" s="251" t="str">
        <f>IF(BuffsDebuffs!$M153=1,BuffsDebuffs!L$2,"")</f>
        <v/>
      </c>
      <c r="G157" s="387" t="str">
        <f>IF($A157=Input!$A$3,B157,"")</f>
        <v/>
      </c>
      <c r="H157" s="323" t="str">
        <f>IF($A157=Input!$A$3,C157,"")</f>
        <v/>
      </c>
      <c r="I157" s="323" t="str">
        <f>IF($A157=Input!$A$3,D157,"")</f>
        <v/>
      </c>
      <c r="J157" s="323" t="str">
        <f>IF($A157=Input!$A$3,E157,"")</f>
        <v/>
      </c>
      <c r="K157" s="386" t="str">
        <f>IF($A157=Input!$A$3,F157,"")</f>
        <v/>
      </c>
      <c r="L157" s="387"/>
      <c r="M157" s="323"/>
      <c r="N157" s="323"/>
      <c r="O157" s="323"/>
      <c r="P157" s="323"/>
      <c r="Q157" s="387" t="str">
        <f>IF($A157=Input!$A$4,$B157,"")</f>
        <v/>
      </c>
      <c r="R157" s="323" t="str">
        <f>IF($A157=Input!$A$4,$C157,"")</f>
        <v/>
      </c>
      <c r="S157" s="323" t="str">
        <f>IF($A157=Input!$A$4,$D157,"")</f>
        <v/>
      </c>
      <c r="T157" s="323" t="str">
        <f>IF($A157=Input!$A$4,$E157,"")</f>
        <v/>
      </c>
      <c r="U157" s="386" t="str">
        <f>IF($A157=Input!$A$4,$F157,"")</f>
        <v/>
      </c>
      <c r="V157" s="323"/>
      <c r="W157" s="323"/>
      <c r="X157" s="323"/>
      <c r="Y157" s="323"/>
      <c r="Z157" s="323"/>
      <c r="AA157" s="387" t="str">
        <f>IF($A157=Input!$A$5,$B157,"")</f>
        <v/>
      </c>
      <c r="AB157" s="323" t="str">
        <f>IF($A157=Input!$A$5,$C157,"")</f>
        <v/>
      </c>
      <c r="AC157" s="323" t="str">
        <f>IF($A157=Input!$A$5,$D157,"")</f>
        <v/>
      </c>
      <c r="AD157" s="323" t="str">
        <f>IF($A157=Input!$A$5,$E157,"")</f>
        <v/>
      </c>
      <c r="AE157" s="386" t="str">
        <f>IF($A157=Input!$A$5,$F157,"")</f>
        <v/>
      </c>
      <c r="AF157" s="323"/>
      <c r="AG157" s="323"/>
      <c r="AH157" s="323"/>
      <c r="AI157" s="323"/>
      <c r="AJ157" s="323"/>
    </row>
    <row r="158" spans="1:36" x14ac:dyDescent="0.2">
      <c r="A158" s="250" t="str">
        <f>IF(BuffsDebuffs!$M154=1,BuffsDebuffs!G$2,"")</f>
        <v/>
      </c>
      <c r="B158" s="251" t="str">
        <f>IF(BuffsDebuffs!$M154=1,BuffsDebuffs!H$2,"")</f>
        <v/>
      </c>
      <c r="C158" s="251" t="str">
        <f>IF(BuffsDebuffs!$M154=1,BuffsDebuffs!I$2,"")</f>
        <v/>
      </c>
      <c r="D158" s="251" t="str">
        <f>IF(BuffsDebuffs!$M154=1,BuffsDebuffs!J$2,"")</f>
        <v/>
      </c>
      <c r="E158" s="251" t="str">
        <f>IF(BuffsDebuffs!$M154=1,BuffsDebuffs!K$2,"")</f>
        <v/>
      </c>
      <c r="F158" s="251" t="str">
        <f>IF(BuffsDebuffs!$M154=1,BuffsDebuffs!L$2,"")</f>
        <v/>
      </c>
      <c r="G158" s="387" t="str">
        <f>IF($A158=Input!$A$3,B158,"")</f>
        <v/>
      </c>
      <c r="H158" s="323" t="str">
        <f>IF($A158=Input!$A$3,C158,"")</f>
        <v/>
      </c>
      <c r="I158" s="323" t="str">
        <f>IF($A158=Input!$A$3,D158,"")</f>
        <v/>
      </c>
      <c r="J158" s="323" t="str">
        <f>IF($A158=Input!$A$3,E158,"")</f>
        <v/>
      </c>
      <c r="K158" s="386" t="str">
        <f>IF($A158=Input!$A$3,F158,"")</f>
        <v/>
      </c>
      <c r="L158" s="387"/>
      <c r="M158" s="323"/>
      <c r="N158" s="323"/>
      <c r="O158" s="323"/>
      <c r="P158" s="323"/>
      <c r="Q158" s="387" t="str">
        <f>IF($A158=Input!$A$4,$B158,"")</f>
        <v/>
      </c>
      <c r="R158" s="323" t="str">
        <f>IF($A158=Input!$A$4,$C158,"")</f>
        <v/>
      </c>
      <c r="S158" s="323" t="str">
        <f>IF($A158=Input!$A$4,$D158,"")</f>
        <v/>
      </c>
      <c r="T158" s="323" t="str">
        <f>IF($A158=Input!$A$4,$E158,"")</f>
        <v/>
      </c>
      <c r="U158" s="386" t="str">
        <f>IF($A158=Input!$A$4,$F158,"")</f>
        <v/>
      </c>
      <c r="V158" s="323"/>
      <c r="W158" s="323"/>
      <c r="X158" s="323"/>
      <c r="Y158" s="323"/>
      <c r="Z158" s="323"/>
      <c r="AA158" s="387" t="str">
        <f>IF($A158=Input!$A$5,$B158,"")</f>
        <v/>
      </c>
      <c r="AB158" s="323" t="str">
        <f>IF($A158=Input!$A$5,$C158,"")</f>
        <v/>
      </c>
      <c r="AC158" s="323" t="str">
        <f>IF($A158=Input!$A$5,$D158,"")</f>
        <v/>
      </c>
      <c r="AD158" s="323" t="str">
        <f>IF($A158=Input!$A$5,$E158,"")</f>
        <v/>
      </c>
      <c r="AE158" s="386" t="str">
        <f>IF($A158=Input!$A$5,$F158,"")</f>
        <v/>
      </c>
      <c r="AF158" s="323"/>
      <c r="AG158" s="323"/>
      <c r="AH158" s="323"/>
      <c r="AI158" s="323"/>
      <c r="AJ158" s="323"/>
    </row>
    <row r="159" spans="1:36" x14ac:dyDescent="0.2">
      <c r="A159" s="250" t="str">
        <f>IF(BuffsDebuffs!$M155=1,BuffsDebuffs!G$2,"")</f>
        <v/>
      </c>
      <c r="B159" s="251" t="str">
        <f>IF(BuffsDebuffs!$M155=1,BuffsDebuffs!H$2,"")</f>
        <v/>
      </c>
      <c r="C159" s="251" t="str">
        <f>IF(BuffsDebuffs!$M155=1,BuffsDebuffs!I$2,"")</f>
        <v/>
      </c>
      <c r="D159" s="251" t="str">
        <f>IF(BuffsDebuffs!$M155=1,BuffsDebuffs!J$2,"")</f>
        <v/>
      </c>
      <c r="E159" s="251" t="str">
        <f>IF(BuffsDebuffs!$M155=1,BuffsDebuffs!K$2,"")</f>
        <v/>
      </c>
      <c r="F159" s="251" t="str">
        <f>IF(BuffsDebuffs!$M155=1,BuffsDebuffs!L$2,"")</f>
        <v/>
      </c>
      <c r="G159" s="387" t="str">
        <f>IF($A159=Input!$A$3,B159,"")</f>
        <v/>
      </c>
      <c r="H159" s="323" t="str">
        <f>IF($A159=Input!$A$3,C159,"")</f>
        <v/>
      </c>
      <c r="I159" s="323" t="str">
        <f>IF($A159=Input!$A$3,D159,"")</f>
        <v/>
      </c>
      <c r="J159" s="323" t="str">
        <f>IF($A159=Input!$A$3,E159,"")</f>
        <v/>
      </c>
      <c r="K159" s="386" t="str">
        <f>IF($A159=Input!$A$3,F159,"")</f>
        <v/>
      </c>
      <c r="L159" s="387"/>
      <c r="M159" s="323"/>
      <c r="N159" s="323"/>
      <c r="O159" s="323"/>
      <c r="P159" s="323"/>
      <c r="Q159" s="387" t="str">
        <f>IF($A159=Input!$A$4,$B159,"")</f>
        <v/>
      </c>
      <c r="R159" s="323" t="str">
        <f>IF($A159=Input!$A$4,$C159,"")</f>
        <v/>
      </c>
      <c r="S159" s="323" t="str">
        <f>IF($A159=Input!$A$4,$D159,"")</f>
        <v/>
      </c>
      <c r="T159" s="323" t="str">
        <f>IF($A159=Input!$A$4,$E159,"")</f>
        <v/>
      </c>
      <c r="U159" s="386" t="str">
        <f>IF($A159=Input!$A$4,$F159,"")</f>
        <v/>
      </c>
      <c r="V159" s="323"/>
      <c r="W159" s="323"/>
      <c r="X159" s="323"/>
      <c r="Y159" s="323"/>
      <c r="Z159" s="323"/>
      <c r="AA159" s="387" t="str">
        <f>IF($A159=Input!$A$5,$B159,"")</f>
        <v/>
      </c>
      <c r="AB159" s="323" t="str">
        <f>IF($A159=Input!$A$5,$C159,"")</f>
        <v/>
      </c>
      <c r="AC159" s="323" t="str">
        <f>IF($A159=Input!$A$5,$D159,"")</f>
        <v/>
      </c>
      <c r="AD159" s="323" t="str">
        <f>IF($A159=Input!$A$5,$E159,"")</f>
        <v/>
      </c>
      <c r="AE159" s="386" t="str">
        <f>IF($A159=Input!$A$5,$F159,"")</f>
        <v/>
      </c>
      <c r="AF159" s="323"/>
      <c r="AG159" s="323"/>
      <c r="AH159" s="323"/>
      <c r="AI159" s="323"/>
      <c r="AJ159" s="323"/>
    </row>
    <row r="160" spans="1:36" x14ac:dyDescent="0.2">
      <c r="A160" s="250" t="str">
        <f>IF(BuffsDebuffs!$M156=1,BuffsDebuffs!G$2,"")</f>
        <v/>
      </c>
      <c r="B160" s="251" t="str">
        <f>IF(BuffsDebuffs!$M156=1,BuffsDebuffs!H$2,"")</f>
        <v/>
      </c>
      <c r="C160" s="251" t="str">
        <f>IF(BuffsDebuffs!$M156=1,BuffsDebuffs!I$2,"")</f>
        <v/>
      </c>
      <c r="D160" s="251" t="str">
        <f>IF(BuffsDebuffs!$M156=1,BuffsDebuffs!J$2,"")</f>
        <v/>
      </c>
      <c r="E160" s="251" t="str">
        <f>IF(BuffsDebuffs!$M156=1,BuffsDebuffs!K$2,"")</f>
        <v/>
      </c>
      <c r="F160" s="251" t="str">
        <f>IF(BuffsDebuffs!$M156=1,BuffsDebuffs!L$2,"")</f>
        <v/>
      </c>
      <c r="G160" s="387" t="str">
        <f>IF($A160=Input!$A$3,B160,"")</f>
        <v/>
      </c>
      <c r="H160" s="323" t="str">
        <f>IF($A160=Input!$A$3,C160,"")</f>
        <v/>
      </c>
      <c r="I160" s="323" t="str">
        <f>IF($A160=Input!$A$3,D160,"")</f>
        <v/>
      </c>
      <c r="J160" s="323" t="str">
        <f>IF($A160=Input!$A$3,E160,"")</f>
        <v/>
      </c>
      <c r="K160" s="386" t="str">
        <f>IF($A160=Input!$A$3,F160,"")</f>
        <v/>
      </c>
      <c r="L160" s="387"/>
      <c r="M160" s="323"/>
      <c r="N160" s="323"/>
      <c r="O160" s="323"/>
      <c r="P160" s="323"/>
      <c r="Q160" s="387" t="str">
        <f>IF($A160=Input!$A$4,$B160,"")</f>
        <v/>
      </c>
      <c r="R160" s="323" t="str">
        <f>IF($A160=Input!$A$4,$C160,"")</f>
        <v/>
      </c>
      <c r="S160" s="323" t="str">
        <f>IF($A160=Input!$A$4,$D160,"")</f>
        <v/>
      </c>
      <c r="T160" s="323" t="str">
        <f>IF($A160=Input!$A$4,$E160,"")</f>
        <v/>
      </c>
      <c r="U160" s="386" t="str">
        <f>IF($A160=Input!$A$4,$F160,"")</f>
        <v/>
      </c>
      <c r="V160" s="323"/>
      <c r="W160" s="323"/>
      <c r="X160" s="323"/>
      <c r="Y160" s="323"/>
      <c r="Z160" s="323"/>
      <c r="AA160" s="387" t="str">
        <f>IF($A160=Input!$A$5,$B160,"")</f>
        <v/>
      </c>
      <c r="AB160" s="323" t="str">
        <f>IF($A160=Input!$A$5,$C160,"")</f>
        <v/>
      </c>
      <c r="AC160" s="323" t="str">
        <f>IF($A160=Input!$A$5,$D160,"")</f>
        <v/>
      </c>
      <c r="AD160" s="323" t="str">
        <f>IF($A160=Input!$A$5,$E160,"")</f>
        <v/>
      </c>
      <c r="AE160" s="386" t="str">
        <f>IF($A160=Input!$A$5,$F160,"")</f>
        <v/>
      </c>
      <c r="AF160" s="323"/>
      <c r="AG160" s="323"/>
      <c r="AH160" s="323"/>
      <c r="AI160" s="323"/>
      <c r="AJ160" s="323"/>
    </row>
    <row r="161" spans="1:36" x14ac:dyDescent="0.2">
      <c r="A161" s="250" t="str">
        <f>IF(BuffsDebuffs!$M157=1,BuffsDebuffs!G$2,"")</f>
        <v/>
      </c>
      <c r="B161" s="251" t="str">
        <f>IF(BuffsDebuffs!$M157=1,BuffsDebuffs!H$2,"")</f>
        <v/>
      </c>
      <c r="C161" s="251" t="str">
        <f>IF(BuffsDebuffs!$M157=1,BuffsDebuffs!I$2,"")</f>
        <v/>
      </c>
      <c r="D161" s="251" t="str">
        <f>IF(BuffsDebuffs!$M157=1,BuffsDebuffs!J$2,"")</f>
        <v/>
      </c>
      <c r="E161" s="251" t="str">
        <f>IF(BuffsDebuffs!$M157=1,BuffsDebuffs!K$2,"")</f>
        <v/>
      </c>
      <c r="F161" s="251" t="str">
        <f>IF(BuffsDebuffs!$M157=1,BuffsDebuffs!L$2,"")</f>
        <v/>
      </c>
      <c r="G161" s="387" t="str">
        <f>IF($A161=Input!$A$3,B161,"")</f>
        <v/>
      </c>
      <c r="H161" s="323" t="str">
        <f>IF($A161=Input!$A$3,C161,"")</f>
        <v/>
      </c>
      <c r="I161" s="323" t="str">
        <f>IF($A161=Input!$A$3,D161,"")</f>
        <v/>
      </c>
      <c r="J161" s="323" t="str">
        <f>IF($A161=Input!$A$3,E161,"")</f>
        <v/>
      </c>
      <c r="K161" s="386" t="str">
        <f>IF($A161=Input!$A$3,F161,"")</f>
        <v/>
      </c>
      <c r="L161" s="387"/>
      <c r="M161" s="323"/>
      <c r="N161" s="323"/>
      <c r="O161" s="323"/>
      <c r="P161" s="323"/>
      <c r="Q161" s="387" t="str">
        <f>IF($A161=Input!$A$4,$B161,"")</f>
        <v/>
      </c>
      <c r="R161" s="323" t="str">
        <f>IF($A161=Input!$A$4,$C161,"")</f>
        <v/>
      </c>
      <c r="S161" s="323" t="str">
        <f>IF($A161=Input!$A$4,$D161,"")</f>
        <v/>
      </c>
      <c r="T161" s="323" t="str">
        <f>IF($A161=Input!$A$4,$E161,"")</f>
        <v/>
      </c>
      <c r="U161" s="386" t="str">
        <f>IF($A161=Input!$A$4,$F161,"")</f>
        <v/>
      </c>
      <c r="V161" s="323"/>
      <c r="W161" s="323"/>
      <c r="X161" s="323"/>
      <c r="Y161" s="323"/>
      <c r="Z161" s="323"/>
      <c r="AA161" s="387" t="str">
        <f>IF($A161=Input!$A$5,$B161,"")</f>
        <v/>
      </c>
      <c r="AB161" s="323" t="str">
        <f>IF($A161=Input!$A$5,$C161,"")</f>
        <v/>
      </c>
      <c r="AC161" s="323" t="str">
        <f>IF($A161=Input!$A$5,$D161,"")</f>
        <v/>
      </c>
      <c r="AD161" s="323" t="str">
        <f>IF($A161=Input!$A$5,$E161,"")</f>
        <v/>
      </c>
      <c r="AE161" s="386" t="str">
        <f>IF($A161=Input!$A$5,$F161,"")</f>
        <v/>
      </c>
      <c r="AF161" s="323"/>
      <c r="AG161" s="323"/>
      <c r="AH161" s="323"/>
      <c r="AI161" s="323"/>
      <c r="AJ161" s="323"/>
    </row>
    <row r="162" spans="1:36" x14ac:dyDescent="0.2">
      <c r="A162" s="250" t="str">
        <f>IF(BuffsDebuffs!$M158=1,BuffsDebuffs!G$2,"")</f>
        <v/>
      </c>
      <c r="B162" s="251" t="str">
        <f>IF(BuffsDebuffs!$M158=1,BuffsDebuffs!H$2,"")</f>
        <v/>
      </c>
      <c r="C162" s="251" t="str">
        <f>IF(BuffsDebuffs!$M158=1,BuffsDebuffs!I$2,"")</f>
        <v/>
      </c>
      <c r="D162" s="251" t="str">
        <f>IF(BuffsDebuffs!$M158=1,BuffsDebuffs!J$2,"")</f>
        <v/>
      </c>
      <c r="E162" s="251" t="str">
        <f>IF(BuffsDebuffs!$M158=1,BuffsDebuffs!K$2,"")</f>
        <v/>
      </c>
      <c r="F162" s="251" t="str">
        <f>IF(BuffsDebuffs!$M158=1,BuffsDebuffs!L$2,"")</f>
        <v/>
      </c>
      <c r="G162" s="387" t="str">
        <f>IF($A162=Input!$A$3,B162,"")</f>
        <v/>
      </c>
      <c r="H162" s="323" t="str">
        <f>IF($A162=Input!$A$3,C162,"")</f>
        <v/>
      </c>
      <c r="I162" s="323" t="str">
        <f>IF($A162=Input!$A$3,D162,"")</f>
        <v/>
      </c>
      <c r="J162" s="323" t="str">
        <f>IF($A162=Input!$A$3,E162,"")</f>
        <v/>
      </c>
      <c r="K162" s="386" t="str">
        <f>IF($A162=Input!$A$3,F162,"")</f>
        <v/>
      </c>
      <c r="L162" s="387"/>
      <c r="M162" s="323"/>
      <c r="N162" s="323"/>
      <c r="O162" s="323"/>
      <c r="P162" s="323"/>
      <c r="Q162" s="387" t="str">
        <f>IF($A162=Input!$A$4,$B162,"")</f>
        <v/>
      </c>
      <c r="R162" s="323" t="str">
        <f>IF($A162=Input!$A$4,$C162,"")</f>
        <v/>
      </c>
      <c r="S162" s="323" t="str">
        <f>IF($A162=Input!$A$4,$D162,"")</f>
        <v/>
      </c>
      <c r="T162" s="323" t="str">
        <f>IF($A162=Input!$A$4,$E162,"")</f>
        <v/>
      </c>
      <c r="U162" s="386" t="str">
        <f>IF($A162=Input!$A$4,$F162,"")</f>
        <v/>
      </c>
      <c r="V162" s="323"/>
      <c r="W162" s="323"/>
      <c r="X162" s="323"/>
      <c r="Y162" s="323"/>
      <c r="Z162" s="323"/>
      <c r="AA162" s="387" t="str">
        <f>IF($A162=Input!$A$5,$B162,"")</f>
        <v/>
      </c>
      <c r="AB162" s="323" t="str">
        <f>IF($A162=Input!$A$5,$C162,"")</f>
        <v/>
      </c>
      <c r="AC162" s="323" t="str">
        <f>IF($A162=Input!$A$5,$D162,"")</f>
        <v/>
      </c>
      <c r="AD162" s="323" t="str">
        <f>IF($A162=Input!$A$5,$E162,"")</f>
        <v/>
      </c>
      <c r="AE162" s="386" t="str">
        <f>IF($A162=Input!$A$5,$F162,"")</f>
        <v/>
      </c>
      <c r="AF162" s="323"/>
      <c r="AG162" s="323"/>
      <c r="AH162" s="323"/>
      <c r="AI162" s="323"/>
      <c r="AJ162" s="323"/>
    </row>
    <row r="163" spans="1:36" x14ac:dyDescent="0.2">
      <c r="A163" s="250" t="str">
        <f>IF(BuffsDebuffs!$M159=1,BuffsDebuffs!G$2,"")</f>
        <v/>
      </c>
      <c r="B163" s="251" t="str">
        <f>IF(BuffsDebuffs!$M159=1,BuffsDebuffs!H$2,"")</f>
        <v/>
      </c>
      <c r="C163" s="251" t="str">
        <f>IF(BuffsDebuffs!$M159=1,BuffsDebuffs!I$2,"")</f>
        <v/>
      </c>
      <c r="D163" s="251" t="str">
        <f>IF(BuffsDebuffs!$M159=1,BuffsDebuffs!J$2,"")</f>
        <v/>
      </c>
      <c r="E163" s="251" t="str">
        <f>IF(BuffsDebuffs!$M159=1,BuffsDebuffs!K$2,"")</f>
        <v/>
      </c>
      <c r="F163" s="251" t="str">
        <f>IF(BuffsDebuffs!$M159=1,BuffsDebuffs!L$2,"")</f>
        <v/>
      </c>
      <c r="G163" s="387" t="str">
        <f>IF($A163=Input!$A$3,B163,"")</f>
        <v/>
      </c>
      <c r="H163" s="323" t="str">
        <f>IF($A163=Input!$A$3,C163,"")</f>
        <v/>
      </c>
      <c r="I163" s="323" t="str">
        <f>IF($A163=Input!$A$3,D163,"")</f>
        <v/>
      </c>
      <c r="J163" s="323" t="str">
        <f>IF($A163=Input!$A$3,E163,"")</f>
        <v/>
      </c>
      <c r="K163" s="386" t="str">
        <f>IF($A163=Input!$A$3,F163,"")</f>
        <v/>
      </c>
      <c r="L163" s="387"/>
      <c r="M163" s="323"/>
      <c r="N163" s="323"/>
      <c r="O163" s="323"/>
      <c r="P163" s="323"/>
      <c r="Q163" s="387" t="str">
        <f>IF($A163=Input!$A$4,$B163,"")</f>
        <v/>
      </c>
      <c r="R163" s="323" t="str">
        <f>IF($A163=Input!$A$4,$C163,"")</f>
        <v/>
      </c>
      <c r="S163" s="323" t="str">
        <f>IF($A163=Input!$A$4,$D163,"")</f>
        <v/>
      </c>
      <c r="T163" s="323" t="str">
        <f>IF($A163=Input!$A$4,$E163,"")</f>
        <v/>
      </c>
      <c r="U163" s="386" t="str">
        <f>IF($A163=Input!$A$4,$F163,"")</f>
        <v/>
      </c>
      <c r="V163" s="323"/>
      <c r="W163" s="323"/>
      <c r="X163" s="323"/>
      <c r="Y163" s="323"/>
      <c r="Z163" s="323"/>
      <c r="AA163" s="387" t="str">
        <f>IF($A163=Input!$A$5,$B163,"")</f>
        <v/>
      </c>
      <c r="AB163" s="323" t="str">
        <f>IF($A163=Input!$A$5,$C163,"")</f>
        <v/>
      </c>
      <c r="AC163" s="323" t="str">
        <f>IF($A163=Input!$A$5,$D163,"")</f>
        <v/>
      </c>
      <c r="AD163" s="323" t="str">
        <f>IF($A163=Input!$A$5,$E163,"")</f>
        <v/>
      </c>
      <c r="AE163" s="386" t="str">
        <f>IF($A163=Input!$A$5,$F163,"")</f>
        <v/>
      </c>
      <c r="AF163" s="323"/>
      <c r="AG163" s="323"/>
      <c r="AH163" s="323"/>
      <c r="AI163" s="323"/>
      <c r="AJ163" s="323"/>
    </row>
    <row r="164" spans="1:36" x14ac:dyDescent="0.2">
      <c r="A164" s="250" t="str">
        <f>IF(BuffsDebuffs!$M160=1,BuffsDebuffs!G$2,"")</f>
        <v/>
      </c>
      <c r="B164" s="251" t="str">
        <f>IF(BuffsDebuffs!$M160=1,BuffsDebuffs!H$2,"")</f>
        <v/>
      </c>
      <c r="C164" s="251" t="str">
        <f>IF(BuffsDebuffs!$M160=1,BuffsDebuffs!I$2,"")</f>
        <v/>
      </c>
      <c r="D164" s="251" t="str">
        <f>IF(BuffsDebuffs!$M160=1,BuffsDebuffs!J$2,"")</f>
        <v/>
      </c>
      <c r="E164" s="251" t="str">
        <f>IF(BuffsDebuffs!$M160=1,BuffsDebuffs!K$2,"")</f>
        <v/>
      </c>
      <c r="F164" s="251" t="str">
        <f>IF(BuffsDebuffs!$M160=1,BuffsDebuffs!L$2,"")</f>
        <v/>
      </c>
      <c r="G164" s="387" t="str">
        <f>IF($A164=Input!$A$3,B164,"")</f>
        <v/>
      </c>
      <c r="H164" s="323" t="str">
        <f>IF($A164=Input!$A$3,C164,"")</f>
        <v/>
      </c>
      <c r="I164" s="323" t="str">
        <f>IF($A164=Input!$A$3,D164,"")</f>
        <v/>
      </c>
      <c r="J164" s="323" t="str">
        <f>IF($A164=Input!$A$3,E164,"")</f>
        <v/>
      </c>
      <c r="K164" s="386" t="str">
        <f>IF($A164=Input!$A$3,F164,"")</f>
        <v/>
      </c>
      <c r="L164" s="387"/>
      <c r="M164" s="323"/>
      <c r="N164" s="323"/>
      <c r="O164" s="323"/>
      <c r="P164" s="323"/>
      <c r="Q164" s="387" t="str">
        <f>IF($A164=Input!$A$4,$B164,"")</f>
        <v/>
      </c>
      <c r="R164" s="323" t="str">
        <f>IF($A164=Input!$A$4,$C164,"")</f>
        <v/>
      </c>
      <c r="S164" s="323" t="str">
        <f>IF($A164=Input!$A$4,$D164,"")</f>
        <v/>
      </c>
      <c r="T164" s="323" t="str">
        <f>IF($A164=Input!$A$4,$E164,"")</f>
        <v/>
      </c>
      <c r="U164" s="386" t="str">
        <f>IF($A164=Input!$A$4,$F164,"")</f>
        <v/>
      </c>
      <c r="V164" s="323"/>
      <c r="W164" s="323"/>
      <c r="X164" s="323"/>
      <c r="Y164" s="323"/>
      <c r="Z164" s="323"/>
      <c r="AA164" s="387" t="str">
        <f>IF($A164=Input!$A$5,$B164,"")</f>
        <v/>
      </c>
      <c r="AB164" s="323" t="str">
        <f>IF($A164=Input!$A$5,$C164,"")</f>
        <v/>
      </c>
      <c r="AC164" s="323" t="str">
        <f>IF($A164=Input!$A$5,$D164,"")</f>
        <v/>
      </c>
      <c r="AD164" s="323" t="str">
        <f>IF($A164=Input!$A$5,$E164,"")</f>
        <v/>
      </c>
      <c r="AE164" s="386" t="str">
        <f>IF($A164=Input!$A$5,$F164,"")</f>
        <v/>
      </c>
      <c r="AF164" s="323"/>
      <c r="AG164" s="323"/>
      <c r="AH164" s="323"/>
      <c r="AI164" s="323"/>
      <c r="AJ164" s="323"/>
    </row>
    <row r="165" spans="1:36" x14ac:dyDescent="0.2">
      <c r="A165" s="250" t="str">
        <f>IF(BuffsDebuffs!$M161=1,BuffsDebuffs!G$2,"")</f>
        <v/>
      </c>
      <c r="B165" s="251" t="str">
        <f>IF(BuffsDebuffs!$M161=1,BuffsDebuffs!H$2,"")</f>
        <v/>
      </c>
      <c r="C165" s="251" t="str">
        <f>IF(BuffsDebuffs!$M161=1,BuffsDebuffs!I$2,"")</f>
        <v/>
      </c>
      <c r="D165" s="251" t="str">
        <f>IF(BuffsDebuffs!$M161=1,BuffsDebuffs!J$2,"")</f>
        <v/>
      </c>
      <c r="E165" s="251" t="str">
        <f>IF(BuffsDebuffs!$M161=1,BuffsDebuffs!K$2,"")</f>
        <v/>
      </c>
      <c r="F165" s="251" t="str">
        <f>IF(BuffsDebuffs!$M161=1,BuffsDebuffs!L$2,"")</f>
        <v/>
      </c>
      <c r="G165" s="387" t="str">
        <f>IF($A165=Input!$A$3,B165,"")</f>
        <v/>
      </c>
      <c r="H165" s="323" t="str">
        <f>IF($A165=Input!$A$3,C165,"")</f>
        <v/>
      </c>
      <c r="I165" s="323" t="str">
        <f>IF($A165=Input!$A$3,D165,"")</f>
        <v/>
      </c>
      <c r="J165" s="323" t="str">
        <f>IF($A165=Input!$A$3,E165,"")</f>
        <v/>
      </c>
      <c r="K165" s="386" t="str">
        <f>IF($A165=Input!$A$3,F165,"")</f>
        <v/>
      </c>
      <c r="L165" s="387"/>
      <c r="M165" s="323"/>
      <c r="N165" s="323"/>
      <c r="O165" s="323"/>
      <c r="P165" s="323"/>
      <c r="Q165" s="387" t="str">
        <f>IF($A165=Input!$A$4,$B165,"")</f>
        <v/>
      </c>
      <c r="R165" s="323" t="str">
        <f>IF($A165=Input!$A$4,$C165,"")</f>
        <v/>
      </c>
      <c r="S165" s="323" t="str">
        <f>IF($A165=Input!$A$4,$D165,"")</f>
        <v/>
      </c>
      <c r="T165" s="323" t="str">
        <f>IF($A165=Input!$A$4,$E165,"")</f>
        <v/>
      </c>
      <c r="U165" s="386" t="str">
        <f>IF($A165=Input!$A$4,$F165,"")</f>
        <v/>
      </c>
      <c r="V165" s="323"/>
      <c r="W165" s="323"/>
      <c r="X165" s="323"/>
      <c r="Y165" s="323"/>
      <c r="Z165" s="323"/>
      <c r="AA165" s="387" t="str">
        <f>IF($A165=Input!$A$5,$B165,"")</f>
        <v/>
      </c>
      <c r="AB165" s="323" t="str">
        <f>IF($A165=Input!$A$5,$C165,"")</f>
        <v/>
      </c>
      <c r="AC165" s="323" t="str">
        <f>IF($A165=Input!$A$5,$D165,"")</f>
        <v/>
      </c>
      <c r="AD165" s="323" t="str">
        <f>IF($A165=Input!$A$5,$E165,"")</f>
        <v/>
      </c>
      <c r="AE165" s="386" t="str">
        <f>IF($A165=Input!$A$5,$F165,"")</f>
        <v/>
      </c>
      <c r="AF165" s="323"/>
      <c r="AG165" s="323"/>
      <c r="AH165" s="323"/>
      <c r="AI165" s="323"/>
      <c r="AJ165" s="323"/>
    </row>
    <row r="166" spans="1:36" x14ac:dyDescent="0.2">
      <c r="A166" s="250" t="str">
        <f>IF(BuffsDebuffs!$M162=1,BuffsDebuffs!G$2,"")</f>
        <v/>
      </c>
      <c r="B166" s="251" t="str">
        <f>IF(BuffsDebuffs!$M162=1,BuffsDebuffs!H$2,"")</f>
        <v/>
      </c>
      <c r="C166" s="251" t="str">
        <f>IF(BuffsDebuffs!$M162=1,BuffsDebuffs!I$2,"")</f>
        <v/>
      </c>
      <c r="D166" s="251" t="str">
        <f>IF(BuffsDebuffs!$M162=1,BuffsDebuffs!J$2,"")</f>
        <v/>
      </c>
      <c r="E166" s="251" t="str">
        <f>IF(BuffsDebuffs!$M162=1,BuffsDebuffs!K$2,"")</f>
        <v/>
      </c>
      <c r="F166" s="251" t="str">
        <f>IF(BuffsDebuffs!$M162=1,BuffsDebuffs!L$2,"")</f>
        <v/>
      </c>
      <c r="G166" s="387" t="str">
        <f>IF($A166=Input!$A$3,B166,"")</f>
        <v/>
      </c>
      <c r="H166" s="323" t="str">
        <f>IF($A166=Input!$A$3,C166,"")</f>
        <v/>
      </c>
      <c r="I166" s="323" t="str">
        <f>IF($A166=Input!$A$3,D166,"")</f>
        <v/>
      </c>
      <c r="J166" s="323" t="str">
        <f>IF($A166=Input!$A$3,E166,"")</f>
        <v/>
      </c>
      <c r="K166" s="386" t="str">
        <f>IF($A166=Input!$A$3,F166,"")</f>
        <v/>
      </c>
      <c r="L166" s="387"/>
      <c r="M166" s="323"/>
      <c r="N166" s="323"/>
      <c r="O166" s="323"/>
      <c r="P166" s="323"/>
      <c r="Q166" s="387" t="str">
        <f>IF($A166=Input!$A$4,$B166,"")</f>
        <v/>
      </c>
      <c r="R166" s="323" t="str">
        <f>IF($A166=Input!$A$4,$C166,"")</f>
        <v/>
      </c>
      <c r="S166" s="323" t="str">
        <f>IF($A166=Input!$A$4,$D166,"")</f>
        <v/>
      </c>
      <c r="T166" s="323" t="str">
        <f>IF($A166=Input!$A$4,$E166,"")</f>
        <v/>
      </c>
      <c r="U166" s="386" t="str">
        <f>IF($A166=Input!$A$4,$F166,"")</f>
        <v/>
      </c>
      <c r="V166" s="323"/>
      <c r="W166" s="323"/>
      <c r="X166" s="323"/>
      <c r="Y166" s="323"/>
      <c r="Z166" s="323"/>
      <c r="AA166" s="387" t="str">
        <f>IF($A166=Input!$A$5,$B166,"")</f>
        <v/>
      </c>
      <c r="AB166" s="323" t="str">
        <f>IF($A166=Input!$A$5,$C166,"")</f>
        <v/>
      </c>
      <c r="AC166" s="323" t="str">
        <f>IF($A166=Input!$A$5,$D166,"")</f>
        <v/>
      </c>
      <c r="AD166" s="323" t="str">
        <f>IF($A166=Input!$A$5,$E166,"")</f>
        <v/>
      </c>
      <c r="AE166" s="386" t="str">
        <f>IF($A166=Input!$A$5,$F166,"")</f>
        <v/>
      </c>
      <c r="AF166" s="323"/>
      <c r="AG166" s="323"/>
      <c r="AH166" s="323"/>
      <c r="AI166" s="323"/>
      <c r="AJ166" s="323"/>
    </row>
    <row r="167" spans="1:36" x14ac:dyDescent="0.2">
      <c r="A167" s="250" t="str">
        <f>IF(BuffsDebuffs!$M163=1,BuffsDebuffs!G$2,"")</f>
        <v/>
      </c>
      <c r="B167" s="251" t="str">
        <f>IF(BuffsDebuffs!$M163=1,BuffsDebuffs!H$2,"")</f>
        <v/>
      </c>
      <c r="C167" s="251" t="str">
        <f>IF(BuffsDebuffs!$M163=1,BuffsDebuffs!I$2,"")</f>
        <v/>
      </c>
      <c r="D167" s="251" t="str">
        <f>IF(BuffsDebuffs!$M163=1,BuffsDebuffs!J$2,"")</f>
        <v/>
      </c>
      <c r="E167" s="251" t="str">
        <f>IF(BuffsDebuffs!$M163=1,BuffsDebuffs!K$2,"")</f>
        <v/>
      </c>
      <c r="F167" s="251" t="str">
        <f>IF(BuffsDebuffs!$M163=1,BuffsDebuffs!L$2,"")</f>
        <v/>
      </c>
      <c r="G167" s="387" t="str">
        <f>IF($A167=Input!$A$3,B167,"")</f>
        <v/>
      </c>
      <c r="H167" s="323" t="str">
        <f>IF($A167=Input!$A$3,C167,"")</f>
        <v/>
      </c>
      <c r="I167" s="323" t="str">
        <f>IF($A167=Input!$A$3,D167,"")</f>
        <v/>
      </c>
      <c r="J167" s="323" t="str">
        <f>IF($A167=Input!$A$3,E167,"")</f>
        <v/>
      </c>
      <c r="K167" s="386" t="str">
        <f>IF($A167=Input!$A$3,F167,"")</f>
        <v/>
      </c>
      <c r="L167" s="387"/>
      <c r="M167" s="323"/>
      <c r="N167" s="323"/>
      <c r="O167" s="323"/>
      <c r="P167" s="323"/>
      <c r="Q167" s="387" t="str">
        <f>IF($A167=Input!$A$4,$B167,"")</f>
        <v/>
      </c>
      <c r="R167" s="323" t="str">
        <f>IF($A167=Input!$A$4,$C167,"")</f>
        <v/>
      </c>
      <c r="S167" s="323" t="str">
        <f>IF($A167=Input!$A$4,$D167,"")</f>
        <v/>
      </c>
      <c r="T167" s="323" t="str">
        <f>IF($A167=Input!$A$4,$E167,"")</f>
        <v/>
      </c>
      <c r="U167" s="386" t="str">
        <f>IF($A167=Input!$A$4,$F167,"")</f>
        <v/>
      </c>
      <c r="V167" s="323"/>
      <c r="W167" s="323"/>
      <c r="X167" s="323"/>
      <c r="Y167" s="323"/>
      <c r="Z167" s="323"/>
      <c r="AA167" s="387" t="str">
        <f>IF($A167=Input!$A$5,$B167,"")</f>
        <v/>
      </c>
      <c r="AB167" s="323" t="str">
        <f>IF($A167=Input!$A$5,$C167,"")</f>
        <v/>
      </c>
      <c r="AC167" s="323" t="str">
        <f>IF($A167=Input!$A$5,$D167,"")</f>
        <v/>
      </c>
      <c r="AD167" s="323" t="str">
        <f>IF($A167=Input!$A$5,$E167,"")</f>
        <v/>
      </c>
      <c r="AE167" s="386" t="str">
        <f>IF($A167=Input!$A$5,$F167,"")</f>
        <v/>
      </c>
      <c r="AF167" s="323"/>
      <c r="AG167" s="323"/>
      <c r="AH167" s="323"/>
      <c r="AI167" s="323"/>
      <c r="AJ167" s="323"/>
    </row>
    <row r="168" spans="1:36" x14ac:dyDescent="0.2">
      <c r="A168" s="250" t="str">
        <f>IF(BuffsDebuffs!$M164=1,BuffsDebuffs!G$2,"")</f>
        <v/>
      </c>
      <c r="B168" s="251" t="str">
        <f>IF(BuffsDebuffs!$M164=1,BuffsDebuffs!H$2,"")</f>
        <v/>
      </c>
      <c r="C168" s="251" t="str">
        <f>IF(BuffsDebuffs!$M164=1,BuffsDebuffs!I$2,"")</f>
        <v/>
      </c>
      <c r="D168" s="251" t="str">
        <f>IF(BuffsDebuffs!$M164=1,BuffsDebuffs!J$2,"")</f>
        <v/>
      </c>
      <c r="E168" s="251" t="str">
        <f>IF(BuffsDebuffs!$M164=1,BuffsDebuffs!K$2,"")</f>
        <v/>
      </c>
      <c r="F168" s="251" t="str">
        <f>IF(BuffsDebuffs!$M164=1,BuffsDebuffs!L$2,"")</f>
        <v/>
      </c>
      <c r="G168" s="387" t="str">
        <f>IF($A168=Input!$A$3,B168,"")</f>
        <v/>
      </c>
      <c r="H168" s="323" t="str">
        <f>IF($A168=Input!$A$3,C168,"")</f>
        <v/>
      </c>
      <c r="I168" s="323" t="str">
        <f>IF($A168=Input!$A$3,D168,"")</f>
        <v/>
      </c>
      <c r="J168" s="323" t="str">
        <f>IF($A168=Input!$A$3,E168,"")</f>
        <v/>
      </c>
      <c r="K168" s="386" t="str">
        <f>IF($A168=Input!$A$3,F168,"")</f>
        <v/>
      </c>
      <c r="L168" s="387"/>
      <c r="M168" s="323"/>
      <c r="N168" s="323"/>
      <c r="O168" s="323"/>
      <c r="P168" s="323"/>
      <c r="Q168" s="387" t="str">
        <f>IF($A168=Input!$A$4,$B168,"")</f>
        <v/>
      </c>
      <c r="R168" s="323" t="str">
        <f>IF($A168=Input!$A$4,$C168,"")</f>
        <v/>
      </c>
      <c r="S168" s="323" t="str">
        <f>IF($A168=Input!$A$4,$D168,"")</f>
        <v/>
      </c>
      <c r="T168" s="323" t="str">
        <f>IF($A168=Input!$A$4,$E168,"")</f>
        <v/>
      </c>
      <c r="U168" s="386" t="str">
        <f>IF($A168=Input!$A$4,$F168,"")</f>
        <v/>
      </c>
      <c r="V168" s="323"/>
      <c r="W168" s="323"/>
      <c r="X168" s="323"/>
      <c r="Y168" s="323"/>
      <c r="Z168" s="323"/>
      <c r="AA168" s="387" t="str">
        <f>IF($A168=Input!$A$5,$B168,"")</f>
        <v/>
      </c>
      <c r="AB168" s="323" t="str">
        <f>IF($A168=Input!$A$5,$C168,"")</f>
        <v/>
      </c>
      <c r="AC168" s="323" t="str">
        <f>IF($A168=Input!$A$5,$D168,"")</f>
        <v/>
      </c>
      <c r="AD168" s="323" t="str">
        <f>IF($A168=Input!$A$5,$E168,"")</f>
        <v/>
      </c>
      <c r="AE168" s="386" t="str">
        <f>IF($A168=Input!$A$5,$F168,"")</f>
        <v/>
      </c>
      <c r="AF168" s="323"/>
      <c r="AG168" s="323"/>
      <c r="AH168" s="323"/>
      <c r="AI168" s="323"/>
      <c r="AJ168" s="323"/>
    </row>
    <row r="169" spans="1:36" x14ac:dyDescent="0.2">
      <c r="A169" s="250" t="str">
        <f>IF(BuffsDebuffs!$M165=1,BuffsDebuffs!G$2,"")</f>
        <v/>
      </c>
      <c r="B169" s="251" t="str">
        <f>IF(BuffsDebuffs!$M165=1,BuffsDebuffs!H$2,"")</f>
        <v/>
      </c>
      <c r="C169" s="251" t="str">
        <f>IF(BuffsDebuffs!$M165=1,BuffsDebuffs!I$2,"")</f>
        <v/>
      </c>
      <c r="D169" s="251" t="str">
        <f>IF(BuffsDebuffs!$M165=1,BuffsDebuffs!J$2,"")</f>
        <v/>
      </c>
      <c r="E169" s="251" t="str">
        <f>IF(BuffsDebuffs!$M165=1,BuffsDebuffs!K$2,"")</f>
        <v/>
      </c>
      <c r="F169" s="251" t="str">
        <f>IF(BuffsDebuffs!$M165=1,BuffsDebuffs!L$2,"")</f>
        <v/>
      </c>
      <c r="G169" s="387" t="str">
        <f>IF($A169=Input!$A$3,B169,"")</f>
        <v/>
      </c>
      <c r="H169" s="323" t="str">
        <f>IF($A169=Input!$A$3,C169,"")</f>
        <v/>
      </c>
      <c r="I169" s="323" t="str">
        <f>IF($A169=Input!$A$3,D169,"")</f>
        <v/>
      </c>
      <c r="J169" s="323" t="str">
        <f>IF($A169=Input!$A$3,E169,"")</f>
        <v/>
      </c>
      <c r="K169" s="386" t="str">
        <f>IF($A169=Input!$A$3,F169,"")</f>
        <v/>
      </c>
      <c r="L169" s="387"/>
      <c r="M169" s="323"/>
      <c r="N169" s="323"/>
      <c r="O169" s="323"/>
      <c r="P169" s="323"/>
      <c r="Q169" s="387" t="str">
        <f>IF($A169=Input!$A$4,$B169,"")</f>
        <v/>
      </c>
      <c r="R169" s="323" t="str">
        <f>IF($A169=Input!$A$4,$C169,"")</f>
        <v/>
      </c>
      <c r="S169" s="323" t="str">
        <f>IF($A169=Input!$A$4,$D169,"")</f>
        <v/>
      </c>
      <c r="T169" s="323" t="str">
        <f>IF($A169=Input!$A$4,$E169,"")</f>
        <v/>
      </c>
      <c r="U169" s="386" t="str">
        <f>IF($A169=Input!$A$4,$F169,"")</f>
        <v/>
      </c>
      <c r="V169" s="323"/>
      <c r="W169" s="323"/>
      <c r="X169" s="323"/>
      <c r="Y169" s="323"/>
      <c r="Z169" s="323"/>
      <c r="AA169" s="387" t="str">
        <f>IF($A169=Input!$A$5,$B169,"")</f>
        <v/>
      </c>
      <c r="AB169" s="323" t="str">
        <f>IF($A169=Input!$A$5,$C169,"")</f>
        <v/>
      </c>
      <c r="AC169" s="323" t="str">
        <f>IF($A169=Input!$A$5,$D169,"")</f>
        <v/>
      </c>
      <c r="AD169" s="323" t="str">
        <f>IF($A169=Input!$A$5,$E169,"")</f>
        <v/>
      </c>
      <c r="AE169" s="386" t="str">
        <f>IF($A169=Input!$A$5,$F169,"")</f>
        <v/>
      </c>
      <c r="AF169" s="323"/>
      <c r="AG169" s="323"/>
      <c r="AH169" s="323"/>
      <c r="AI169" s="323"/>
      <c r="AJ169" s="323"/>
    </row>
    <row r="170" spans="1:36" x14ac:dyDescent="0.2">
      <c r="A170" s="250" t="str">
        <f>IF(BuffsDebuffs!$M166=1,BuffsDebuffs!G$2,"")</f>
        <v/>
      </c>
      <c r="B170" s="251" t="str">
        <f>IF(BuffsDebuffs!$M166=1,BuffsDebuffs!H$2,"")</f>
        <v/>
      </c>
      <c r="C170" s="251" t="str">
        <f>IF(BuffsDebuffs!$M166=1,BuffsDebuffs!I$2,"")</f>
        <v/>
      </c>
      <c r="D170" s="251" t="str">
        <f>IF(BuffsDebuffs!$M166=1,BuffsDebuffs!J$2,"")</f>
        <v/>
      </c>
      <c r="E170" s="251" t="str">
        <f>IF(BuffsDebuffs!$M166=1,BuffsDebuffs!K$2,"")</f>
        <v/>
      </c>
      <c r="F170" s="251" t="str">
        <f>IF(BuffsDebuffs!$M166=1,BuffsDebuffs!L$2,"")</f>
        <v/>
      </c>
      <c r="G170" s="387" t="str">
        <f>IF($A170=Input!$A$3,B170,"")</f>
        <v/>
      </c>
      <c r="H170" s="323" t="str">
        <f>IF($A170=Input!$A$3,C170,"")</f>
        <v/>
      </c>
      <c r="I170" s="323" t="str">
        <f>IF($A170=Input!$A$3,D170,"")</f>
        <v/>
      </c>
      <c r="J170" s="323" t="str">
        <f>IF($A170=Input!$A$3,E170,"")</f>
        <v/>
      </c>
      <c r="K170" s="386" t="str">
        <f>IF($A170=Input!$A$3,F170,"")</f>
        <v/>
      </c>
      <c r="L170" s="387"/>
      <c r="M170" s="323"/>
      <c r="N170" s="323"/>
      <c r="O170" s="323"/>
      <c r="P170" s="323"/>
      <c r="Q170" s="387" t="str">
        <f>IF($A170=Input!$A$4,$B170,"")</f>
        <v/>
      </c>
      <c r="R170" s="323" t="str">
        <f>IF($A170=Input!$A$4,$C170,"")</f>
        <v/>
      </c>
      <c r="S170" s="323" t="str">
        <f>IF($A170=Input!$A$4,$D170,"")</f>
        <v/>
      </c>
      <c r="T170" s="323" t="str">
        <f>IF($A170=Input!$A$4,$E170,"")</f>
        <v/>
      </c>
      <c r="U170" s="386" t="str">
        <f>IF($A170=Input!$A$4,$F170,"")</f>
        <v/>
      </c>
      <c r="V170" s="323"/>
      <c r="W170" s="323"/>
      <c r="X170" s="323"/>
      <c r="Y170" s="323"/>
      <c r="Z170" s="323"/>
      <c r="AA170" s="387" t="str">
        <f>IF($A170=Input!$A$5,$B170,"")</f>
        <v/>
      </c>
      <c r="AB170" s="323" t="str">
        <f>IF($A170=Input!$A$5,$C170,"")</f>
        <v/>
      </c>
      <c r="AC170" s="323" t="str">
        <f>IF($A170=Input!$A$5,$D170,"")</f>
        <v/>
      </c>
      <c r="AD170" s="323" t="str">
        <f>IF($A170=Input!$A$5,$E170,"")</f>
        <v/>
      </c>
      <c r="AE170" s="386" t="str">
        <f>IF($A170=Input!$A$5,$F170,"")</f>
        <v/>
      </c>
      <c r="AF170" s="323"/>
      <c r="AG170" s="323"/>
      <c r="AH170" s="323"/>
      <c r="AI170" s="323"/>
      <c r="AJ170" s="323"/>
    </row>
    <row r="171" spans="1:36" x14ac:dyDescent="0.2">
      <c r="A171" s="250" t="str">
        <f>IF(BuffsDebuffs!$M167=1,BuffsDebuffs!G$2,"")</f>
        <v/>
      </c>
      <c r="B171" s="251" t="str">
        <f>IF(BuffsDebuffs!$M167=1,BuffsDebuffs!H$2,"")</f>
        <v/>
      </c>
      <c r="C171" s="251" t="str">
        <f>IF(BuffsDebuffs!$M167=1,BuffsDebuffs!I$2,"")</f>
        <v/>
      </c>
      <c r="D171" s="251" t="str">
        <f>IF(BuffsDebuffs!$M167=1,BuffsDebuffs!J$2,"")</f>
        <v/>
      </c>
      <c r="E171" s="251" t="str">
        <f>IF(BuffsDebuffs!$M167=1,BuffsDebuffs!K$2,"")</f>
        <v/>
      </c>
      <c r="F171" s="251" t="str">
        <f>IF(BuffsDebuffs!$M167=1,BuffsDebuffs!L$2,"")</f>
        <v/>
      </c>
      <c r="G171" s="387" t="str">
        <f>IF($A171=Input!$A$3,B171,"")</f>
        <v/>
      </c>
      <c r="H171" s="323" t="str">
        <f>IF($A171=Input!$A$3,C171,"")</f>
        <v/>
      </c>
      <c r="I171" s="323" t="str">
        <f>IF($A171=Input!$A$3,D171,"")</f>
        <v/>
      </c>
      <c r="J171" s="323" t="str">
        <f>IF($A171=Input!$A$3,E171,"")</f>
        <v/>
      </c>
      <c r="K171" s="386" t="str">
        <f>IF($A171=Input!$A$3,F171,"")</f>
        <v/>
      </c>
      <c r="L171" s="387"/>
      <c r="M171" s="323"/>
      <c r="N171" s="323"/>
      <c r="O171" s="323"/>
      <c r="P171" s="323"/>
      <c r="Q171" s="387" t="str">
        <f>IF($A171=Input!$A$4,$B171,"")</f>
        <v/>
      </c>
      <c r="R171" s="323" t="str">
        <f>IF($A171=Input!$A$4,$C171,"")</f>
        <v/>
      </c>
      <c r="S171" s="323" t="str">
        <f>IF($A171=Input!$A$4,$D171,"")</f>
        <v/>
      </c>
      <c r="T171" s="323" t="str">
        <f>IF($A171=Input!$A$4,$E171,"")</f>
        <v/>
      </c>
      <c r="U171" s="386" t="str">
        <f>IF($A171=Input!$A$4,$F171,"")</f>
        <v/>
      </c>
      <c r="V171" s="323"/>
      <c r="W171" s="323"/>
      <c r="X171" s="323"/>
      <c r="Y171" s="323"/>
      <c r="Z171" s="323"/>
      <c r="AA171" s="387" t="str">
        <f>IF($A171=Input!$A$5,$B171,"")</f>
        <v/>
      </c>
      <c r="AB171" s="323" t="str">
        <f>IF($A171=Input!$A$5,$C171,"")</f>
        <v/>
      </c>
      <c r="AC171" s="323" t="str">
        <f>IF($A171=Input!$A$5,$D171,"")</f>
        <v/>
      </c>
      <c r="AD171" s="323" t="str">
        <f>IF($A171=Input!$A$5,$E171,"")</f>
        <v/>
      </c>
      <c r="AE171" s="386" t="str">
        <f>IF($A171=Input!$A$5,$F171,"")</f>
        <v/>
      </c>
      <c r="AF171" s="323"/>
      <c r="AG171" s="323"/>
      <c r="AH171" s="323"/>
      <c r="AI171" s="323"/>
      <c r="AJ171" s="323"/>
    </row>
    <row r="172" spans="1:36" x14ac:dyDescent="0.2">
      <c r="A172" s="250" t="str">
        <f>IF(BuffsDebuffs!$M168=1,BuffsDebuffs!G$2,"")</f>
        <v/>
      </c>
      <c r="B172" s="251" t="str">
        <f>IF(BuffsDebuffs!$M168=1,BuffsDebuffs!H$2,"")</f>
        <v/>
      </c>
      <c r="C172" s="251" t="str">
        <f>IF(BuffsDebuffs!$M168=1,BuffsDebuffs!I$2,"")</f>
        <v/>
      </c>
      <c r="D172" s="251" t="str">
        <f>IF(BuffsDebuffs!$M168=1,BuffsDebuffs!J$2,"")</f>
        <v/>
      </c>
      <c r="E172" s="251" t="str">
        <f>IF(BuffsDebuffs!$M168=1,BuffsDebuffs!K$2,"")</f>
        <v/>
      </c>
      <c r="F172" s="251" t="str">
        <f>IF(BuffsDebuffs!$M168=1,BuffsDebuffs!L$2,"")</f>
        <v/>
      </c>
      <c r="G172" s="387" t="str">
        <f>IF($A172=Input!$A$3,B172,"")</f>
        <v/>
      </c>
      <c r="H172" s="323" t="str">
        <f>IF($A172=Input!$A$3,C172,"")</f>
        <v/>
      </c>
      <c r="I172" s="323" t="str">
        <f>IF($A172=Input!$A$3,D172,"")</f>
        <v/>
      </c>
      <c r="J172" s="323" t="str">
        <f>IF($A172=Input!$A$3,E172,"")</f>
        <v/>
      </c>
      <c r="K172" s="386" t="str">
        <f>IF($A172=Input!$A$3,F172,"")</f>
        <v/>
      </c>
      <c r="L172" s="387"/>
      <c r="M172" s="323"/>
      <c r="N172" s="323"/>
      <c r="O172" s="323"/>
      <c r="P172" s="323"/>
      <c r="Q172" s="387" t="str">
        <f>IF($A172=Input!$A$4,$B172,"")</f>
        <v/>
      </c>
      <c r="R172" s="323" t="str">
        <f>IF($A172=Input!$A$4,$C172,"")</f>
        <v/>
      </c>
      <c r="S172" s="323" t="str">
        <f>IF($A172=Input!$A$4,$D172,"")</f>
        <v/>
      </c>
      <c r="T172" s="323" t="str">
        <f>IF($A172=Input!$A$4,$E172,"")</f>
        <v/>
      </c>
      <c r="U172" s="386" t="str">
        <f>IF($A172=Input!$A$4,$F172,"")</f>
        <v/>
      </c>
      <c r="V172" s="323"/>
      <c r="W172" s="323"/>
      <c r="X172" s="323"/>
      <c r="Y172" s="323"/>
      <c r="Z172" s="323"/>
      <c r="AA172" s="387" t="str">
        <f>IF($A172=Input!$A$5,$B172,"")</f>
        <v/>
      </c>
      <c r="AB172" s="323" t="str">
        <f>IF($A172=Input!$A$5,$C172,"")</f>
        <v/>
      </c>
      <c r="AC172" s="323" t="str">
        <f>IF($A172=Input!$A$5,$D172,"")</f>
        <v/>
      </c>
      <c r="AD172" s="323" t="str">
        <f>IF($A172=Input!$A$5,$E172,"")</f>
        <v/>
      </c>
      <c r="AE172" s="386" t="str">
        <f>IF($A172=Input!$A$5,$F172,"")</f>
        <v/>
      </c>
      <c r="AF172" s="323"/>
      <c r="AG172" s="323"/>
      <c r="AH172" s="323"/>
      <c r="AI172" s="323"/>
      <c r="AJ172" s="323"/>
    </row>
    <row r="173" spans="1:36" x14ac:dyDescent="0.2">
      <c r="A173" s="250" t="str">
        <f>IF(BuffsDebuffs!$M169=1,BuffsDebuffs!G$2,"")</f>
        <v/>
      </c>
      <c r="B173" s="251" t="str">
        <f>IF(BuffsDebuffs!$M169=1,BuffsDebuffs!H$2,"")</f>
        <v/>
      </c>
      <c r="C173" s="251" t="str">
        <f>IF(BuffsDebuffs!$M169=1,BuffsDebuffs!I$2,"")</f>
        <v/>
      </c>
      <c r="D173" s="251" t="str">
        <f>IF(BuffsDebuffs!$M169=1,BuffsDebuffs!J$2,"")</f>
        <v/>
      </c>
      <c r="E173" s="251" t="str">
        <f>IF(BuffsDebuffs!$M169=1,BuffsDebuffs!K$2,"")</f>
        <v/>
      </c>
      <c r="F173" s="251" t="str">
        <f>IF(BuffsDebuffs!$M169=1,BuffsDebuffs!L$2,"")</f>
        <v/>
      </c>
      <c r="G173" s="387" t="str">
        <f>IF($A173=Input!$A$3,B173,"")</f>
        <v/>
      </c>
      <c r="H173" s="323" t="str">
        <f>IF($A173=Input!$A$3,C173,"")</f>
        <v/>
      </c>
      <c r="I173" s="323" t="str">
        <f>IF($A173=Input!$A$3,D173,"")</f>
        <v/>
      </c>
      <c r="J173" s="323" t="str">
        <f>IF($A173=Input!$A$3,E173,"")</f>
        <v/>
      </c>
      <c r="K173" s="386" t="str">
        <f>IF($A173=Input!$A$3,F173,"")</f>
        <v/>
      </c>
      <c r="L173" s="387"/>
      <c r="M173" s="323"/>
      <c r="N173" s="323"/>
      <c r="O173" s="323"/>
      <c r="P173" s="323"/>
      <c r="Q173" s="387" t="str">
        <f>IF($A173=Input!$A$4,$B173,"")</f>
        <v/>
      </c>
      <c r="R173" s="323" t="str">
        <f>IF($A173=Input!$A$4,$C173,"")</f>
        <v/>
      </c>
      <c r="S173" s="323" t="str">
        <f>IF($A173=Input!$A$4,$D173,"")</f>
        <v/>
      </c>
      <c r="T173" s="323" t="str">
        <f>IF($A173=Input!$A$4,$E173,"")</f>
        <v/>
      </c>
      <c r="U173" s="386" t="str">
        <f>IF($A173=Input!$A$4,$F173,"")</f>
        <v/>
      </c>
      <c r="V173" s="323"/>
      <c r="W173" s="323"/>
      <c r="X173" s="323"/>
      <c r="Y173" s="323"/>
      <c r="Z173" s="323"/>
      <c r="AA173" s="387" t="str">
        <f>IF($A173=Input!$A$5,$B173,"")</f>
        <v/>
      </c>
      <c r="AB173" s="323" t="str">
        <f>IF($A173=Input!$A$5,$C173,"")</f>
        <v/>
      </c>
      <c r="AC173" s="323" t="str">
        <f>IF($A173=Input!$A$5,$D173,"")</f>
        <v/>
      </c>
      <c r="AD173" s="323" t="str">
        <f>IF($A173=Input!$A$5,$E173,"")</f>
        <v/>
      </c>
      <c r="AE173" s="386" t="str">
        <f>IF($A173=Input!$A$5,$F173,"")</f>
        <v/>
      </c>
      <c r="AF173" s="323"/>
      <c r="AG173" s="323"/>
      <c r="AH173" s="323"/>
      <c r="AI173" s="323"/>
      <c r="AJ173" s="323"/>
    </row>
    <row r="174" spans="1:36" x14ac:dyDescent="0.2">
      <c r="A174" s="250" t="str">
        <f>IF(BuffsDebuffs!$M170=1,BuffsDebuffs!G$2,"")</f>
        <v/>
      </c>
      <c r="B174" s="251" t="str">
        <f>IF(BuffsDebuffs!$M170=1,BuffsDebuffs!H$2,"")</f>
        <v/>
      </c>
      <c r="C174" s="251" t="str">
        <f>IF(BuffsDebuffs!$M170=1,BuffsDebuffs!I$2,"")</f>
        <v/>
      </c>
      <c r="D174" s="251" t="str">
        <f>IF(BuffsDebuffs!$M170=1,BuffsDebuffs!J$2,"")</f>
        <v/>
      </c>
      <c r="E174" s="251" t="str">
        <f>IF(BuffsDebuffs!$M170=1,BuffsDebuffs!K$2,"")</f>
        <v/>
      </c>
      <c r="F174" s="251" t="str">
        <f>IF(BuffsDebuffs!$M170=1,BuffsDebuffs!L$2,"")</f>
        <v/>
      </c>
      <c r="G174" s="387" t="str">
        <f>IF($A174=Input!$A$3,B174,"")</f>
        <v/>
      </c>
      <c r="H174" s="323" t="str">
        <f>IF($A174=Input!$A$3,C174,"")</f>
        <v/>
      </c>
      <c r="I174" s="323" t="str">
        <f>IF($A174=Input!$A$3,D174,"")</f>
        <v/>
      </c>
      <c r="J174" s="323" t="str">
        <f>IF($A174=Input!$A$3,E174,"")</f>
        <v/>
      </c>
      <c r="K174" s="386" t="str">
        <f>IF($A174=Input!$A$3,F174,"")</f>
        <v/>
      </c>
      <c r="L174" s="387"/>
      <c r="M174" s="323"/>
      <c r="N174" s="323"/>
      <c r="O174" s="323"/>
      <c r="P174" s="323"/>
      <c r="Q174" s="387" t="str">
        <f>IF($A174=Input!$A$4,$B174,"")</f>
        <v/>
      </c>
      <c r="R174" s="323" t="str">
        <f>IF($A174=Input!$A$4,$C174,"")</f>
        <v/>
      </c>
      <c r="S174" s="323" t="str">
        <f>IF($A174=Input!$A$4,$D174,"")</f>
        <v/>
      </c>
      <c r="T174" s="323" t="str">
        <f>IF($A174=Input!$A$4,$E174,"")</f>
        <v/>
      </c>
      <c r="U174" s="386" t="str">
        <f>IF($A174=Input!$A$4,$F174,"")</f>
        <v/>
      </c>
      <c r="V174" s="323"/>
      <c r="W174" s="323"/>
      <c r="X174" s="323"/>
      <c r="Y174" s="323"/>
      <c r="Z174" s="323"/>
      <c r="AA174" s="387" t="str">
        <f>IF($A174=Input!$A$5,$B174,"")</f>
        <v/>
      </c>
      <c r="AB174" s="323" t="str">
        <f>IF($A174=Input!$A$5,$C174,"")</f>
        <v/>
      </c>
      <c r="AC174" s="323" t="str">
        <f>IF($A174=Input!$A$5,$D174,"")</f>
        <v/>
      </c>
      <c r="AD174" s="323" t="str">
        <f>IF($A174=Input!$A$5,$E174,"")</f>
        <v/>
      </c>
      <c r="AE174" s="386" t="str">
        <f>IF($A174=Input!$A$5,$F174,"")</f>
        <v/>
      </c>
      <c r="AF174" s="323"/>
      <c r="AG174" s="323"/>
      <c r="AH174" s="323"/>
      <c r="AI174" s="323"/>
      <c r="AJ174" s="323"/>
    </row>
    <row r="175" spans="1:36" x14ac:dyDescent="0.2">
      <c r="A175" s="250" t="str">
        <f>IF(BuffsDebuffs!$M171=1,BuffsDebuffs!G$2,"")</f>
        <v/>
      </c>
      <c r="B175" s="251" t="str">
        <f>IF(BuffsDebuffs!$M171=1,BuffsDebuffs!H$2,"")</f>
        <v/>
      </c>
      <c r="C175" s="251" t="str">
        <f>IF(BuffsDebuffs!$M171=1,BuffsDebuffs!I$2,"")</f>
        <v/>
      </c>
      <c r="D175" s="251" t="str">
        <f>IF(BuffsDebuffs!$M171=1,BuffsDebuffs!J$2,"")</f>
        <v/>
      </c>
      <c r="E175" s="251" t="str">
        <f>IF(BuffsDebuffs!$M171=1,BuffsDebuffs!K$2,"")</f>
        <v/>
      </c>
      <c r="F175" s="251" t="str">
        <f>IF(BuffsDebuffs!$M171=1,BuffsDebuffs!L$2,"")</f>
        <v/>
      </c>
      <c r="G175" s="387" t="str">
        <f>IF($A175=Input!$A$3,B175,"")</f>
        <v/>
      </c>
      <c r="H175" s="323" t="str">
        <f>IF($A175=Input!$A$3,C175,"")</f>
        <v/>
      </c>
      <c r="I175" s="323" t="str">
        <f>IF($A175=Input!$A$3,D175,"")</f>
        <v/>
      </c>
      <c r="J175" s="323" t="str">
        <f>IF($A175=Input!$A$3,E175,"")</f>
        <v/>
      </c>
      <c r="K175" s="386" t="str">
        <f>IF($A175=Input!$A$3,F175,"")</f>
        <v/>
      </c>
      <c r="L175" s="387"/>
      <c r="M175" s="323"/>
      <c r="N175" s="323"/>
      <c r="O175" s="323"/>
      <c r="P175" s="323"/>
      <c r="Q175" s="387" t="str">
        <f>IF($A175=Input!$A$4,$B175,"")</f>
        <v/>
      </c>
      <c r="R175" s="323" t="str">
        <f>IF($A175=Input!$A$4,$C175,"")</f>
        <v/>
      </c>
      <c r="S175" s="323" t="str">
        <f>IF($A175=Input!$A$4,$D175,"")</f>
        <v/>
      </c>
      <c r="T175" s="323" t="str">
        <f>IF($A175=Input!$A$4,$E175,"")</f>
        <v/>
      </c>
      <c r="U175" s="386" t="str">
        <f>IF($A175=Input!$A$4,$F175,"")</f>
        <v/>
      </c>
      <c r="V175" s="323"/>
      <c r="W175" s="323"/>
      <c r="X175" s="323"/>
      <c r="Y175" s="323"/>
      <c r="Z175" s="323"/>
      <c r="AA175" s="387" t="str">
        <f>IF($A175=Input!$A$5,$B175,"")</f>
        <v/>
      </c>
      <c r="AB175" s="323" t="str">
        <f>IF($A175=Input!$A$5,$C175,"")</f>
        <v/>
      </c>
      <c r="AC175" s="323" t="str">
        <f>IF($A175=Input!$A$5,$D175,"")</f>
        <v/>
      </c>
      <c r="AD175" s="323" t="str">
        <f>IF($A175=Input!$A$5,$E175,"")</f>
        <v/>
      </c>
      <c r="AE175" s="386" t="str">
        <f>IF($A175=Input!$A$5,$F175,"")</f>
        <v/>
      </c>
      <c r="AF175" s="323"/>
      <c r="AG175" s="323"/>
      <c r="AH175" s="323"/>
      <c r="AI175" s="323"/>
      <c r="AJ175" s="323"/>
    </row>
    <row r="176" spans="1:36" x14ac:dyDescent="0.2">
      <c r="A176" s="250" t="str">
        <f>IF(BuffsDebuffs!$M172=1,BuffsDebuffs!G$2,"")</f>
        <v/>
      </c>
      <c r="B176" s="251" t="str">
        <f>IF(BuffsDebuffs!$M172=1,BuffsDebuffs!H$2,"")</f>
        <v/>
      </c>
      <c r="C176" s="251" t="str">
        <f>IF(BuffsDebuffs!$M172=1,BuffsDebuffs!I$2,"")</f>
        <v/>
      </c>
      <c r="D176" s="251" t="str">
        <f>IF(BuffsDebuffs!$M172=1,BuffsDebuffs!J$2,"")</f>
        <v/>
      </c>
      <c r="E176" s="251" t="str">
        <f>IF(BuffsDebuffs!$M172=1,BuffsDebuffs!K$2,"")</f>
        <v/>
      </c>
      <c r="F176" s="251" t="str">
        <f>IF(BuffsDebuffs!$M172=1,BuffsDebuffs!L$2,"")</f>
        <v/>
      </c>
      <c r="G176" s="387" t="str">
        <f>IF($A176=Input!$A$3,B176,"")</f>
        <v/>
      </c>
      <c r="H176" s="323" t="str">
        <f>IF($A176=Input!$A$3,C176,"")</f>
        <v/>
      </c>
      <c r="I176" s="323" t="str">
        <f>IF($A176=Input!$A$3,D176,"")</f>
        <v/>
      </c>
      <c r="J176" s="323" t="str">
        <f>IF($A176=Input!$A$3,E176,"")</f>
        <v/>
      </c>
      <c r="K176" s="386" t="str">
        <f>IF($A176=Input!$A$3,F176,"")</f>
        <v/>
      </c>
      <c r="L176" s="387"/>
      <c r="M176" s="323"/>
      <c r="N176" s="323"/>
      <c r="O176" s="323"/>
      <c r="P176" s="323"/>
      <c r="Q176" s="387" t="str">
        <f>IF($A176=Input!$A$4,$B176,"")</f>
        <v/>
      </c>
      <c r="R176" s="323" t="str">
        <f>IF($A176=Input!$A$4,$C176,"")</f>
        <v/>
      </c>
      <c r="S176" s="323" t="str">
        <f>IF($A176=Input!$A$4,$D176,"")</f>
        <v/>
      </c>
      <c r="T176" s="323" t="str">
        <f>IF($A176=Input!$A$4,$E176,"")</f>
        <v/>
      </c>
      <c r="U176" s="386" t="str">
        <f>IF($A176=Input!$A$4,$F176,"")</f>
        <v/>
      </c>
      <c r="V176" s="323"/>
      <c r="W176" s="323"/>
      <c r="X176" s="323"/>
      <c r="Y176" s="323"/>
      <c r="Z176" s="323"/>
      <c r="AA176" s="387" t="str">
        <f>IF($A176=Input!$A$5,$B176,"")</f>
        <v/>
      </c>
      <c r="AB176" s="323" t="str">
        <f>IF($A176=Input!$A$5,$C176,"")</f>
        <v/>
      </c>
      <c r="AC176" s="323" t="str">
        <f>IF($A176=Input!$A$5,$D176,"")</f>
        <v/>
      </c>
      <c r="AD176" s="323" t="str">
        <f>IF($A176=Input!$A$5,$E176,"")</f>
        <v/>
      </c>
      <c r="AE176" s="386" t="str">
        <f>IF($A176=Input!$A$5,$F176,"")</f>
        <v/>
      </c>
      <c r="AF176" s="323"/>
      <c r="AG176" s="323"/>
      <c r="AH176" s="323"/>
      <c r="AI176" s="323"/>
      <c r="AJ176" s="323"/>
    </row>
    <row r="177" spans="1:36" x14ac:dyDescent="0.2">
      <c r="A177" s="250" t="str">
        <f>IF(BuffsDebuffs!$M173=1,BuffsDebuffs!G$2,"")</f>
        <v/>
      </c>
      <c r="B177" s="251" t="str">
        <f>IF(BuffsDebuffs!$M173=1,BuffsDebuffs!H$2,"")</f>
        <v/>
      </c>
      <c r="C177" s="251" t="str">
        <f>IF(BuffsDebuffs!$M173=1,BuffsDebuffs!I$2,"")</f>
        <v/>
      </c>
      <c r="D177" s="251" t="str">
        <f>IF(BuffsDebuffs!$M173=1,BuffsDebuffs!J$2,"")</f>
        <v/>
      </c>
      <c r="E177" s="251" t="str">
        <f>IF(BuffsDebuffs!$M173=1,BuffsDebuffs!K$2,"")</f>
        <v/>
      </c>
      <c r="F177" s="251" t="str">
        <f>IF(BuffsDebuffs!$M173=1,BuffsDebuffs!L$2,"")</f>
        <v/>
      </c>
      <c r="G177" s="387" t="str">
        <f>IF($A177=Input!$A$3,B177,"")</f>
        <v/>
      </c>
      <c r="H177" s="323" t="str">
        <f>IF($A177=Input!$A$3,C177,"")</f>
        <v/>
      </c>
      <c r="I177" s="323" t="str">
        <f>IF($A177=Input!$A$3,D177,"")</f>
        <v/>
      </c>
      <c r="J177" s="323" t="str">
        <f>IF($A177=Input!$A$3,E177,"")</f>
        <v/>
      </c>
      <c r="K177" s="386" t="str">
        <f>IF($A177=Input!$A$3,F177,"")</f>
        <v/>
      </c>
      <c r="L177" s="387"/>
      <c r="M177" s="323"/>
      <c r="N177" s="323"/>
      <c r="O177" s="323"/>
      <c r="P177" s="323"/>
      <c r="Q177" s="387" t="str">
        <f>IF($A177=Input!$A$4,$B177,"")</f>
        <v/>
      </c>
      <c r="R177" s="323" t="str">
        <f>IF($A177=Input!$A$4,$C177,"")</f>
        <v/>
      </c>
      <c r="S177" s="323" t="str">
        <f>IF($A177=Input!$A$4,$D177,"")</f>
        <v/>
      </c>
      <c r="T177" s="323" t="str">
        <f>IF($A177=Input!$A$4,$E177,"")</f>
        <v/>
      </c>
      <c r="U177" s="386" t="str">
        <f>IF($A177=Input!$A$4,$F177,"")</f>
        <v/>
      </c>
      <c r="V177" s="323"/>
      <c r="W177" s="323"/>
      <c r="X177" s="323"/>
      <c r="Y177" s="323"/>
      <c r="Z177" s="323"/>
      <c r="AA177" s="387" t="str">
        <f>IF($A177=Input!$A$5,$B177,"")</f>
        <v/>
      </c>
      <c r="AB177" s="323" t="str">
        <f>IF($A177=Input!$A$5,$C177,"")</f>
        <v/>
      </c>
      <c r="AC177" s="323" t="str">
        <f>IF($A177=Input!$A$5,$D177,"")</f>
        <v/>
      </c>
      <c r="AD177" s="323" t="str">
        <f>IF($A177=Input!$A$5,$E177,"")</f>
        <v/>
      </c>
      <c r="AE177" s="386" t="str">
        <f>IF($A177=Input!$A$5,$F177,"")</f>
        <v/>
      </c>
      <c r="AF177" s="323"/>
      <c r="AG177" s="323"/>
      <c r="AH177" s="323"/>
      <c r="AI177" s="323"/>
      <c r="AJ177" s="323"/>
    </row>
    <row r="178" spans="1:36" x14ac:dyDescent="0.2">
      <c r="A178" s="250" t="str">
        <f>IF(BuffsDebuffs!$M174=1,BuffsDebuffs!G$2,"")</f>
        <v/>
      </c>
      <c r="B178" s="251" t="str">
        <f>IF(BuffsDebuffs!$M174=1,BuffsDebuffs!H$2,"")</f>
        <v/>
      </c>
      <c r="C178" s="251" t="str">
        <f>IF(BuffsDebuffs!$M174=1,BuffsDebuffs!I$2,"")</f>
        <v/>
      </c>
      <c r="D178" s="251" t="str">
        <f>IF(BuffsDebuffs!$M174=1,BuffsDebuffs!J$2,"")</f>
        <v/>
      </c>
      <c r="E178" s="251" t="str">
        <f>IF(BuffsDebuffs!$M174=1,BuffsDebuffs!K$2,"")</f>
        <v/>
      </c>
      <c r="F178" s="251" t="str">
        <f>IF(BuffsDebuffs!$M174=1,BuffsDebuffs!L$2,"")</f>
        <v/>
      </c>
      <c r="G178" s="387" t="str">
        <f>IF($A178=Input!$A$3,B178,"")</f>
        <v/>
      </c>
      <c r="H178" s="323" t="str">
        <f>IF($A178=Input!$A$3,C178,"")</f>
        <v/>
      </c>
      <c r="I178" s="323" t="str">
        <f>IF($A178=Input!$A$3,D178,"")</f>
        <v/>
      </c>
      <c r="J178" s="323" t="str">
        <f>IF($A178=Input!$A$3,E178,"")</f>
        <v/>
      </c>
      <c r="K178" s="386" t="str">
        <f>IF($A178=Input!$A$3,F178,"")</f>
        <v/>
      </c>
      <c r="L178" s="387"/>
      <c r="M178" s="323"/>
      <c r="N178" s="323"/>
      <c r="O178" s="323"/>
      <c r="P178" s="323"/>
      <c r="Q178" s="387" t="str">
        <f>IF($A178=Input!$A$4,$B178,"")</f>
        <v/>
      </c>
      <c r="R178" s="323" t="str">
        <f>IF($A178=Input!$A$4,$C178,"")</f>
        <v/>
      </c>
      <c r="S178" s="323" t="str">
        <f>IF($A178=Input!$A$4,$D178,"")</f>
        <v/>
      </c>
      <c r="T178" s="323" t="str">
        <f>IF($A178=Input!$A$4,$E178,"")</f>
        <v/>
      </c>
      <c r="U178" s="386" t="str">
        <f>IF($A178=Input!$A$4,$F178,"")</f>
        <v/>
      </c>
      <c r="V178" s="323"/>
      <c r="W178" s="323"/>
      <c r="X178" s="323"/>
      <c r="Y178" s="323"/>
      <c r="Z178" s="323"/>
      <c r="AA178" s="387" t="str">
        <f>IF($A178=Input!$A$5,$B178,"")</f>
        <v/>
      </c>
      <c r="AB178" s="323" t="str">
        <f>IF($A178=Input!$A$5,$C178,"")</f>
        <v/>
      </c>
      <c r="AC178" s="323" t="str">
        <f>IF($A178=Input!$A$5,$D178,"")</f>
        <v/>
      </c>
      <c r="AD178" s="323" t="str">
        <f>IF($A178=Input!$A$5,$E178,"")</f>
        <v/>
      </c>
      <c r="AE178" s="386" t="str">
        <f>IF($A178=Input!$A$5,$F178,"")</f>
        <v/>
      </c>
      <c r="AF178" s="323"/>
      <c r="AG178" s="323"/>
      <c r="AH178" s="323"/>
      <c r="AI178" s="323"/>
      <c r="AJ178" s="323"/>
    </row>
    <row r="179" spans="1:36" x14ac:dyDescent="0.2">
      <c r="A179" s="250" t="str">
        <f>IF(BuffsDebuffs!$M175=1,BuffsDebuffs!G$2,"")</f>
        <v/>
      </c>
      <c r="B179" s="251" t="str">
        <f>IF(BuffsDebuffs!$M175=1,BuffsDebuffs!H$2,"")</f>
        <v/>
      </c>
      <c r="C179" s="251" t="str">
        <f>IF(BuffsDebuffs!$M175=1,BuffsDebuffs!I$2,"")</f>
        <v/>
      </c>
      <c r="D179" s="251" t="str">
        <f>IF(BuffsDebuffs!$M175=1,BuffsDebuffs!J$2,"")</f>
        <v/>
      </c>
      <c r="E179" s="251" t="str">
        <f>IF(BuffsDebuffs!$M175=1,BuffsDebuffs!K$2,"")</f>
        <v/>
      </c>
      <c r="F179" s="251" t="str">
        <f>IF(BuffsDebuffs!$M175=1,BuffsDebuffs!L$2,"")</f>
        <v/>
      </c>
      <c r="G179" s="387" t="str">
        <f>IF($A179=Input!$A$3,B179,"")</f>
        <v/>
      </c>
      <c r="H179" s="323" t="str">
        <f>IF($A179=Input!$A$3,C179,"")</f>
        <v/>
      </c>
      <c r="I179" s="323" t="str">
        <f>IF($A179=Input!$A$3,D179,"")</f>
        <v/>
      </c>
      <c r="J179" s="323" t="str">
        <f>IF($A179=Input!$A$3,E179,"")</f>
        <v/>
      </c>
      <c r="K179" s="386" t="str">
        <f>IF($A179=Input!$A$3,F179,"")</f>
        <v/>
      </c>
      <c r="L179" s="387"/>
      <c r="M179" s="323"/>
      <c r="N179" s="323"/>
      <c r="O179" s="323"/>
      <c r="P179" s="323"/>
      <c r="Q179" s="387" t="str">
        <f>IF($A179=Input!$A$4,$B179,"")</f>
        <v/>
      </c>
      <c r="R179" s="323" t="str">
        <f>IF($A179=Input!$A$4,$C179,"")</f>
        <v/>
      </c>
      <c r="S179" s="323" t="str">
        <f>IF($A179=Input!$A$4,$D179,"")</f>
        <v/>
      </c>
      <c r="T179" s="323" t="str">
        <f>IF($A179=Input!$A$4,$E179,"")</f>
        <v/>
      </c>
      <c r="U179" s="386" t="str">
        <f>IF($A179=Input!$A$4,$F179,"")</f>
        <v/>
      </c>
      <c r="V179" s="323"/>
      <c r="W179" s="323"/>
      <c r="X179" s="323"/>
      <c r="Y179" s="323"/>
      <c r="Z179" s="323"/>
      <c r="AA179" s="387" t="str">
        <f>IF($A179=Input!$A$5,$B179,"")</f>
        <v/>
      </c>
      <c r="AB179" s="323" t="str">
        <f>IF($A179=Input!$A$5,$C179,"")</f>
        <v/>
      </c>
      <c r="AC179" s="323" t="str">
        <f>IF($A179=Input!$A$5,$D179,"")</f>
        <v/>
      </c>
      <c r="AD179" s="323" t="str">
        <f>IF($A179=Input!$A$5,$E179,"")</f>
        <v/>
      </c>
      <c r="AE179" s="386" t="str">
        <f>IF($A179=Input!$A$5,$F179,"")</f>
        <v/>
      </c>
      <c r="AF179" s="323"/>
      <c r="AG179" s="323"/>
      <c r="AH179" s="323"/>
      <c r="AI179" s="323"/>
      <c r="AJ179" s="323"/>
    </row>
    <row r="180" spans="1:36" x14ac:dyDescent="0.2">
      <c r="A180" s="250" t="str">
        <f>IF(BuffsDebuffs!$M176=1,BuffsDebuffs!G$2,"")</f>
        <v/>
      </c>
      <c r="B180" s="251" t="str">
        <f>IF(BuffsDebuffs!$M176=1,BuffsDebuffs!H$2,"")</f>
        <v/>
      </c>
      <c r="C180" s="251" t="str">
        <f>IF(BuffsDebuffs!$M176=1,BuffsDebuffs!I$2,"")</f>
        <v/>
      </c>
      <c r="D180" s="251" t="str">
        <f>IF(BuffsDebuffs!$M176=1,BuffsDebuffs!J$2,"")</f>
        <v/>
      </c>
      <c r="E180" s="251" t="str">
        <f>IF(BuffsDebuffs!$M176=1,BuffsDebuffs!K$2,"")</f>
        <v/>
      </c>
      <c r="F180" s="251" t="str">
        <f>IF(BuffsDebuffs!$M176=1,BuffsDebuffs!L$2,"")</f>
        <v/>
      </c>
      <c r="G180" s="387" t="str">
        <f>IF($A180=Input!$A$3,B180,"")</f>
        <v/>
      </c>
      <c r="H180" s="323" t="str">
        <f>IF($A180=Input!$A$3,C180,"")</f>
        <v/>
      </c>
      <c r="I180" s="323" t="str">
        <f>IF($A180=Input!$A$3,D180,"")</f>
        <v/>
      </c>
      <c r="J180" s="323" t="str">
        <f>IF($A180=Input!$A$3,E180,"")</f>
        <v/>
      </c>
      <c r="K180" s="386" t="str">
        <f>IF($A180=Input!$A$3,F180,"")</f>
        <v/>
      </c>
      <c r="L180" s="387"/>
      <c r="M180" s="323"/>
      <c r="N180" s="323"/>
      <c r="O180" s="323"/>
      <c r="P180" s="323"/>
      <c r="Q180" s="387" t="str">
        <f>IF($A180=Input!$A$4,$B180,"")</f>
        <v/>
      </c>
      <c r="R180" s="323" t="str">
        <f>IF($A180=Input!$A$4,$C180,"")</f>
        <v/>
      </c>
      <c r="S180" s="323" t="str">
        <f>IF($A180=Input!$A$4,$D180,"")</f>
        <v/>
      </c>
      <c r="T180" s="323" t="str">
        <f>IF($A180=Input!$A$4,$E180,"")</f>
        <v/>
      </c>
      <c r="U180" s="386" t="str">
        <f>IF($A180=Input!$A$4,$F180,"")</f>
        <v/>
      </c>
      <c r="V180" s="323"/>
      <c r="W180" s="323"/>
      <c r="X180" s="323"/>
      <c r="Y180" s="323"/>
      <c r="Z180" s="323"/>
      <c r="AA180" s="387" t="str">
        <f>IF($A180=Input!$A$5,$B180,"")</f>
        <v/>
      </c>
      <c r="AB180" s="323" t="str">
        <f>IF($A180=Input!$A$5,$C180,"")</f>
        <v/>
      </c>
      <c r="AC180" s="323" t="str">
        <f>IF($A180=Input!$A$5,$D180,"")</f>
        <v/>
      </c>
      <c r="AD180" s="323" t="str">
        <f>IF($A180=Input!$A$5,$E180,"")</f>
        <v/>
      </c>
      <c r="AE180" s="386" t="str">
        <f>IF($A180=Input!$A$5,$F180,"")</f>
        <v/>
      </c>
      <c r="AF180" s="323"/>
      <c r="AG180" s="323"/>
      <c r="AH180" s="323"/>
      <c r="AI180" s="323"/>
      <c r="AJ180" s="323"/>
    </row>
    <row r="181" spans="1:36" x14ac:dyDescent="0.2">
      <c r="A181" s="250" t="str">
        <f>IF(BuffsDebuffs!$M177=1,BuffsDebuffs!G$2,"")</f>
        <v/>
      </c>
      <c r="B181" s="251" t="str">
        <f>IF(BuffsDebuffs!$M177=1,BuffsDebuffs!H$2,"")</f>
        <v/>
      </c>
      <c r="C181" s="251" t="str">
        <f>IF(BuffsDebuffs!$M177=1,BuffsDebuffs!I$2,"")</f>
        <v/>
      </c>
      <c r="D181" s="251" t="str">
        <f>IF(BuffsDebuffs!$M177=1,BuffsDebuffs!J$2,"")</f>
        <v/>
      </c>
      <c r="E181" s="251" t="str">
        <f>IF(BuffsDebuffs!$M177=1,BuffsDebuffs!K$2,"")</f>
        <v/>
      </c>
      <c r="F181" s="251" t="str">
        <f>IF(BuffsDebuffs!$M177=1,BuffsDebuffs!L$2,"")</f>
        <v/>
      </c>
      <c r="G181" s="387" t="str">
        <f>IF($A181=Input!$A$3,B181,"")</f>
        <v/>
      </c>
      <c r="H181" s="323" t="str">
        <f>IF($A181=Input!$A$3,C181,"")</f>
        <v/>
      </c>
      <c r="I181" s="323" t="str">
        <f>IF($A181=Input!$A$3,D181,"")</f>
        <v/>
      </c>
      <c r="J181" s="323" t="str">
        <f>IF($A181=Input!$A$3,E181,"")</f>
        <v/>
      </c>
      <c r="K181" s="386" t="str">
        <f>IF($A181=Input!$A$3,F181,"")</f>
        <v/>
      </c>
      <c r="L181" s="387"/>
      <c r="M181" s="323"/>
      <c r="N181" s="323"/>
      <c r="O181" s="323"/>
      <c r="P181" s="323"/>
      <c r="Q181" s="387" t="str">
        <f>IF($A181=Input!$A$4,$B181,"")</f>
        <v/>
      </c>
      <c r="R181" s="323" t="str">
        <f>IF($A181=Input!$A$4,$C181,"")</f>
        <v/>
      </c>
      <c r="S181" s="323" t="str">
        <f>IF($A181=Input!$A$4,$D181,"")</f>
        <v/>
      </c>
      <c r="T181" s="323" t="str">
        <f>IF($A181=Input!$A$4,$E181,"")</f>
        <v/>
      </c>
      <c r="U181" s="386" t="str">
        <f>IF($A181=Input!$A$4,$F181,"")</f>
        <v/>
      </c>
      <c r="V181" s="323"/>
      <c r="W181" s="323"/>
      <c r="X181" s="323"/>
      <c r="Y181" s="323"/>
      <c r="Z181" s="323"/>
      <c r="AA181" s="387" t="str">
        <f>IF($A181=Input!$A$5,$B181,"")</f>
        <v/>
      </c>
      <c r="AB181" s="323" t="str">
        <f>IF($A181=Input!$A$5,$C181,"")</f>
        <v/>
      </c>
      <c r="AC181" s="323" t="str">
        <f>IF($A181=Input!$A$5,$D181,"")</f>
        <v/>
      </c>
      <c r="AD181" s="323" t="str">
        <f>IF($A181=Input!$A$5,$E181,"")</f>
        <v/>
      </c>
      <c r="AE181" s="386" t="str">
        <f>IF($A181=Input!$A$5,$F181,"")</f>
        <v/>
      </c>
      <c r="AF181" s="323"/>
      <c r="AG181" s="323"/>
      <c r="AH181" s="323"/>
      <c r="AI181" s="323"/>
      <c r="AJ181" s="323"/>
    </row>
    <row r="182" spans="1:36" x14ac:dyDescent="0.2">
      <c r="A182" s="250" t="str">
        <f>IF(BuffsDebuffs!$M178=1,BuffsDebuffs!G$2,"")</f>
        <v/>
      </c>
      <c r="B182" s="251" t="str">
        <f>IF(BuffsDebuffs!$M178=1,BuffsDebuffs!H$2,"")</f>
        <v/>
      </c>
      <c r="C182" s="251" t="str">
        <f>IF(BuffsDebuffs!$M178=1,BuffsDebuffs!I$2,"")</f>
        <v/>
      </c>
      <c r="D182" s="251" t="str">
        <f>IF(BuffsDebuffs!$M178=1,BuffsDebuffs!J$2,"")</f>
        <v/>
      </c>
      <c r="E182" s="251" t="str">
        <f>IF(BuffsDebuffs!$M178=1,BuffsDebuffs!K$2,"")</f>
        <v/>
      </c>
      <c r="F182" s="251" t="str">
        <f>IF(BuffsDebuffs!$M178=1,BuffsDebuffs!L$2,"")</f>
        <v/>
      </c>
      <c r="G182" s="387" t="str">
        <f>IF($A182=Input!$A$3,B182,"")</f>
        <v/>
      </c>
      <c r="H182" s="323" t="str">
        <f>IF($A182=Input!$A$3,C182,"")</f>
        <v/>
      </c>
      <c r="I182" s="323" t="str">
        <f>IF($A182=Input!$A$3,D182,"")</f>
        <v/>
      </c>
      <c r="J182" s="323" t="str">
        <f>IF($A182=Input!$A$3,E182,"")</f>
        <v/>
      </c>
      <c r="K182" s="386" t="str">
        <f>IF($A182=Input!$A$3,F182,"")</f>
        <v/>
      </c>
      <c r="L182" s="387"/>
      <c r="M182" s="323"/>
      <c r="N182" s="323"/>
      <c r="O182" s="323"/>
      <c r="P182" s="323"/>
      <c r="Q182" s="387" t="str">
        <f>IF($A182=Input!$A$4,$B182,"")</f>
        <v/>
      </c>
      <c r="R182" s="323" t="str">
        <f>IF($A182=Input!$A$4,$C182,"")</f>
        <v/>
      </c>
      <c r="S182" s="323" t="str">
        <f>IF($A182=Input!$A$4,$D182,"")</f>
        <v/>
      </c>
      <c r="T182" s="323" t="str">
        <f>IF($A182=Input!$A$4,$E182,"")</f>
        <v/>
      </c>
      <c r="U182" s="386" t="str">
        <f>IF($A182=Input!$A$4,$F182,"")</f>
        <v/>
      </c>
      <c r="V182" s="323"/>
      <c r="W182" s="323"/>
      <c r="X182" s="323"/>
      <c r="Y182" s="323"/>
      <c r="Z182" s="323"/>
      <c r="AA182" s="387" t="str">
        <f>IF($A182=Input!$A$5,$B182,"")</f>
        <v/>
      </c>
      <c r="AB182" s="323" t="str">
        <f>IF($A182=Input!$A$5,$C182,"")</f>
        <v/>
      </c>
      <c r="AC182" s="323" t="str">
        <f>IF($A182=Input!$A$5,$D182,"")</f>
        <v/>
      </c>
      <c r="AD182" s="323" t="str">
        <f>IF($A182=Input!$A$5,$E182,"")</f>
        <v/>
      </c>
      <c r="AE182" s="386" t="str">
        <f>IF($A182=Input!$A$5,$F182,"")</f>
        <v/>
      </c>
      <c r="AF182" s="323"/>
      <c r="AG182" s="323"/>
      <c r="AH182" s="323"/>
      <c r="AI182" s="323"/>
      <c r="AJ182" s="323"/>
    </row>
    <row r="183" spans="1:36" x14ac:dyDescent="0.2">
      <c r="A183" s="250" t="str">
        <f>IF(BuffsDebuffs!$M179=1,BuffsDebuffs!G$2,"")</f>
        <v/>
      </c>
      <c r="B183" s="251" t="str">
        <f>IF(BuffsDebuffs!$M179=1,BuffsDebuffs!H$2,"")</f>
        <v/>
      </c>
      <c r="C183" s="251" t="str">
        <f>IF(BuffsDebuffs!$M179=1,BuffsDebuffs!I$2,"")</f>
        <v/>
      </c>
      <c r="D183" s="251" t="str">
        <f>IF(BuffsDebuffs!$M179=1,BuffsDebuffs!J$2,"")</f>
        <v/>
      </c>
      <c r="E183" s="251" t="str">
        <f>IF(BuffsDebuffs!$M179=1,BuffsDebuffs!K$2,"")</f>
        <v/>
      </c>
      <c r="F183" s="251" t="str">
        <f>IF(BuffsDebuffs!$M179=1,BuffsDebuffs!L$2,"")</f>
        <v/>
      </c>
      <c r="G183" s="387" t="str">
        <f>IF($A183=Input!$A$3,B183,"")</f>
        <v/>
      </c>
      <c r="H183" s="323" t="str">
        <f>IF($A183=Input!$A$3,C183,"")</f>
        <v/>
      </c>
      <c r="I183" s="323" t="str">
        <f>IF($A183=Input!$A$3,D183,"")</f>
        <v/>
      </c>
      <c r="J183" s="323" t="str">
        <f>IF($A183=Input!$A$3,E183,"")</f>
        <v/>
      </c>
      <c r="K183" s="386" t="str">
        <f>IF($A183=Input!$A$3,F183,"")</f>
        <v/>
      </c>
      <c r="L183" s="387"/>
      <c r="M183" s="323"/>
      <c r="N183" s="323"/>
      <c r="O183" s="323"/>
      <c r="P183" s="323"/>
      <c r="Q183" s="387" t="str">
        <f>IF($A183=Input!$A$4,$B183,"")</f>
        <v/>
      </c>
      <c r="R183" s="323" t="str">
        <f>IF($A183=Input!$A$4,$C183,"")</f>
        <v/>
      </c>
      <c r="S183" s="323" t="str">
        <f>IF($A183=Input!$A$4,$D183,"")</f>
        <v/>
      </c>
      <c r="T183" s="323" t="str">
        <f>IF($A183=Input!$A$4,$E183,"")</f>
        <v/>
      </c>
      <c r="U183" s="386" t="str">
        <f>IF($A183=Input!$A$4,$F183,"")</f>
        <v/>
      </c>
      <c r="V183" s="323"/>
      <c r="W183" s="323"/>
      <c r="X183" s="323"/>
      <c r="Y183" s="323"/>
      <c r="Z183" s="323"/>
      <c r="AA183" s="387" t="str">
        <f>IF($A183=Input!$A$5,$B183,"")</f>
        <v/>
      </c>
      <c r="AB183" s="323" t="str">
        <f>IF($A183=Input!$A$5,$C183,"")</f>
        <v/>
      </c>
      <c r="AC183" s="323" t="str">
        <f>IF($A183=Input!$A$5,$D183,"")</f>
        <v/>
      </c>
      <c r="AD183" s="323" t="str">
        <f>IF($A183=Input!$A$5,$E183,"")</f>
        <v/>
      </c>
      <c r="AE183" s="386" t="str">
        <f>IF($A183=Input!$A$5,$F183,"")</f>
        <v/>
      </c>
      <c r="AF183" s="323"/>
      <c r="AG183" s="323"/>
      <c r="AH183" s="323"/>
      <c r="AI183" s="323"/>
      <c r="AJ183" s="323"/>
    </row>
    <row r="184" spans="1:36" x14ac:dyDescent="0.2">
      <c r="A184" s="250" t="str">
        <f>IF(BuffsDebuffs!$M180=1,BuffsDebuffs!G$2,"")</f>
        <v/>
      </c>
      <c r="B184" s="251" t="str">
        <f>IF(BuffsDebuffs!$M180=1,BuffsDebuffs!H$2,"")</f>
        <v/>
      </c>
      <c r="C184" s="251" t="str">
        <f>IF(BuffsDebuffs!$M180=1,BuffsDebuffs!I$2,"")</f>
        <v/>
      </c>
      <c r="D184" s="251" t="str">
        <f>IF(BuffsDebuffs!$M180=1,BuffsDebuffs!J$2,"")</f>
        <v/>
      </c>
      <c r="E184" s="251" t="str">
        <f>IF(BuffsDebuffs!$M180=1,BuffsDebuffs!K$2,"")</f>
        <v/>
      </c>
      <c r="F184" s="251" t="str">
        <f>IF(BuffsDebuffs!$M180=1,BuffsDebuffs!L$2,"")</f>
        <v/>
      </c>
      <c r="G184" s="387" t="str">
        <f>IF($A184=Input!$A$3,B184,"")</f>
        <v/>
      </c>
      <c r="H184" s="323" t="str">
        <f>IF($A184=Input!$A$3,C184,"")</f>
        <v/>
      </c>
      <c r="I184" s="323" t="str">
        <f>IF($A184=Input!$A$3,D184,"")</f>
        <v/>
      </c>
      <c r="J184" s="323" t="str">
        <f>IF($A184=Input!$A$3,E184,"")</f>
        <v/>
      </c>
      <c r="K184" s="386" t="str">
        <f>IF($A184=Input!$A$3,F184,"")</f>
        <v/>
      </c>
      <c r="L184" s="387"/>
      <c r="M184" s="323"/>
      <c r="N184" s="323"/>
      <c r="O184" s="323"/>
      <c r="P184" s="323"/>
      <c r="Q184" s="387" t="str">
        <f>IF($A184=Input!$A$4,$B184,"")</f>
        <v/>
      </c>
      <c r="R184" s="323" t="str">
        <f>IF($A184=Input!$A$4,$C184,"")</f>
        <v/>
      </c>
      <c r="S184" s="323" t="str">
        <f>IF($A184=Input!$A$4,$D184,"")</f>
        <v/>
      </c>
      <c r="T184" s="323" t="str">
        <f>IF($A184=Input!$A$4,$E184,"")</f>
        <v/>
      </c>
      <c r="U184" s="386" t="str">
        <f>IF($A184=Input!$A$4,$F184,"")</f>
        <v/>
      </c>
      <c r="V184" s="323"/>
      <c r="W184" s="323"/>
      <c r="X184" s="323"/>
      <c r="Y184" s="323"/>
      <c r="Z184" s="323"/>
      <c r="AA184" s="387" t="str">
        <f>IF($A184=Input!$A$5,$B184,"")</f>
        <v/>
      </c>
      <c r="AB184" s="323" t="str">
        <f>IF($A184=Input!$A$5,$C184,"")</f>
        <v/>
      </c>
      <c r="AC184" s="323" t="str">
        <f>IF($A184=Input!$A$5,$D184,"")</f>
        <v/>
      </c>
      <c r="AD184" s="323" t="str">
        <f>IF($A184=Input!$A$5,$E184,"")</f>
        <v/>
      </c>
      <c r="AE184" s="386" t="str">
        <f>IF($A184=Input!$A$5,$F184,"")</f>
        <v/>
      </c>
      <c r="AF184" s="323"/>
      <c r="AG184" s="323"/>
      <c r="AH184" s="323"/>
      <c r="AI184" s="323"/>
      <c r="AJ184" s="323"/>
    </row>
    <row r="185" spans="1:36" x14ac:dyDescent="0.2">
      <c r="A185" s="250" t="str">
        <f>IF(BuffsDebuffs!$M181=1,BuffsDebuffs!G$2,"")</f>
        <v/>
      </c>
      <c r="B185" s="251" t="str">
        <f>IF(BuffsDebuffs!$M181=1,BuffsDebuffs!H$2,"")</f>
        <v/>
      </c>
      <c r="C185" s="251" t="str">
        <f>IF(BuffsDebuffs!$M181=1,BuffsDebuffs!I$2,"")</f>
        <v/>
      </c>
      <c r="D185" s="251" t="str">
        <f>IF(BuffsDebuffs!$M181=1,BuffsDebuffs!J$2,"")</f>
        <v/>
      </c>
      <c r="E185" s="251" t="str">
        <f>IF(BuffsDebuffs!$M181=1,BuffsDebuffs!K$2,"")</f>
        <v/>
      </c>
      <c r="F185" s="251" t="str">
        <f>IF(BuffsDebuffs!$M181=1,BuffsDebuffs!L$2,"")</f>
        <v/>
      </c>
      <c r="G185" s="387" t="str">
        <f>IF($A185=Input!$A$3,B185,"")</f>
        <v/>
      </c>
      <c r="H185" s="323" t="str">
        <f>IF($A185=Input!$A$3,C185,"")</f>
        <v/>
      </c>
      <c r="I185" s="323" t="str">
        <f>IF($A185=Input!$A$3,D185,"")</f>
        <v/>
      </c>
      <c r="J185" s="323" t="str">
        <f>IF($A185=Input!$A$3,E185,"")</f>
        <v/>
      </c>
      <c r="K185" s="386" t="str">
        <f>IF($A185=Input!$A$3,F185,"")</f>
        <v/>
      </c>
      <c r="L185" s="387"/>
      <c r="M185" s="323"/>
      <c r="N185" s="323"/>
      <c r="O185" s="323"/>
      <c r="P185" s="323"/>
      <c r="Q185" s="387" t="str">
        <f>IF($A185=Input!$A$4,$B185,"")</f>
        <v/>
      </c>
      <c r="R185" s="323" t="str">
        <f>IF($A185=Input!$A$4,$C185,"")</f>
        <v/>
      </c>
      <c r="S185" s="323" t="str">
        <f>IF($A185=Input!$A$4,$D185,"")</f>
        <v/>
      </c>
      <c r="T185" s="323" t="str">
        <f>IF($A185=Input!$A$4,$E185,"")</f>
        <v/>
      </c>
      <c r="U185" s="386" t="str">
        <f>IF($A185=Input!$A$4,$F185,"")</f>
        <v/>
      </c>
      <c r="V185" s="323"/>
      <c r="W185" s="323"/>
      <c r="X185" s="323"/>
      <c r="Y185" s="323"/>
      <c r="Z185" s="323"/>
      <c r="AA185" s="387" t="str">
        <f>IF($A185=Input!$A$5,$B185,"")</f>
        <v/>
      </c>
      <c r="AB185" s="323" t="str">
        <f>IF($A185=Input!$A$5,$C185,"")</f>
        <v/>
      </c>
      <c r="AC185" s="323" t="str">
        <f>IF($A185=Input!$A$5,$D185,"")</f>
        <v/>
      </c>
      <c r="AD185" s="323" t="str">
        <f>IF($A185=Input!$A$5,$E185,"")</f>
        <v/>
      </c>
      <c r="AE185" s="386" t="str">
        <f>IF($A185=Input!$A$5,$F185,"")</f>
        <v/>
      </c>
      <c r="AF185" s="323"/>
      <c r="AG185" s="323"/>
      <c r="AH185" s="323"/>
      <c r="AI185" s="323"/>
      <c r="AJ185" s="323"/>
    </row>
    <row r="186" spans="1:36" x14ac:dyDescent="0.2">
      <c r="A186" s="250" t="str">
        <f>IF(BuffsDebuffs!$M182=1,BuffsDebuffs!G$2,"")</f>
        <v/>
      </c>
      <c r="B186" s="251" t="str">
        <f>IF(BuffsDebuffs!$M182=1,BuffsDebuffs!H$2,"")</f>
        <v/>
      </c>
      <c r="C186" s="251" t="str">
        <f>IF(BuffsDebuffs!$M182=1,BuffsDebuffs!I$2,"")</f>
        <v/>
      </c>
      <c r="D186" s="251" t="str">
        <f>IF(BuffsDebuffs!$M182=1,BuffsDebuffs!J$2,"")</f>
        <v/>
      </c>
      <c r="E186" s="251" t="str">
        <f>IF(BuffsDebuffs!$M182=1,BuffsDebuffs!K$2,"")</f>
        <v/>
      </c>
      <c r="F186" s="251" t="str">
        <f>IF(BuffsDebuffs!$M182=1,BuffsDebuffs!L$2,"")</f>
        <v/>
      </c>
      <c r="G186" s="387" t="str">
        <f>IF($A186=Input!$A$3,B186,"")</f>
        <v/>
      </c>
      <c r="H186" s="323" t="str">
        <f>IF($A186=Input!$A$3,C186,"")</f>
        <v/>
      </c>
      <c r="I186" s="323" t="str">
        <f>IF($A186=Input!$A$3,D186,"")</f>
        <v/>
      </c>
      <c r="J186" s="323" t="str">
        <f>IF($A186=Input!$A$3,E186,"")</f>
        <v/>
      </c>
      <c r="K186" s="386" t="str">
        <f>IF($A186=Input!$A$3,F186,"")</f>
        <v/>
      </c>
      <c r="L186" s="387"/>
      <c r="M186" s="323"/>
      <c r="N186" s="323"/>
      <c r="O186" s="323"/>
      <c r="P186" s="323"/>
      <c r="Q186" s="387" t="str">
        <f>IF($A186=Input!$A$4,$B186,"")</f>
        <v/>
      </c>
      <c r="R186" s="323" t="str">
        <f>IF($A186=Input!$A$4,$C186,"")</f>
        <v/>
      </c>
      <c r="S186" s="323" t="str">
        <f>IF($A186=Input!$A$4,$D186,"")</f>
        <v/>
      </c>
      <c r="T186" s="323" t="str">
        <f>IF($A186=Input!$A$4,$E186,"")</f>
        <v/>
      </c>
      <c r="U186" s="386" t="str">
        <f>IF($A186=Input!$A$4,$F186,"")</f>
        <v/>
      </c>
      <c r="V186" s="323"/>
      <c r="W186" s="323"/>
      <c r="X186" s="323"/>
      <c r="Y186" s="323"/>
      <c r="Z186" s="323"/>
      <c r="AA186" s="387" t="str">
        <f>IF($A186=Input!$A$5,$B186,"")</f>
        <v/>
      </c>
      <c r="AB186" s="323" t="str">
        <f>IF($A186=Input!$A$5,$C186,"")</f>
        <v/>
      </c>
      <c r="AC186" s="323" t="str">
        <f>IF($A186=Input!$A$5,$D186,"")</f>
        <v/>
      </c>
      <c r="AD186" s="323" t="str">
        <f>IF($A186=Input!$A$5,$E186,"")</f>
        <v/>
      </c>
      <c r="AE186" s="386" t="str">
        <f>IF($A186=Input!$A$5,$F186,"")</f>
        <v/>
      </c>
      <c r="AF186" s="323"/>
      <c r="AG186" s="323"/>
      <c r="AH186" s="323"/>
      <c r="AI186" s="323"/>
      <c r="AJ186" s="323"/>
    </row>
    <row r="187" spans="1:36" x14ac:dyDescent="0.2">
      <c r="A187" s="250" t="str">
        <f>IF(BuffsDebuffs!$M183=1,BuffsDebuffs!G$2,"")</f>
        <v/>
      </c>
      <c r="B187" s="251" t="str">
        <f>IF(BuffsDebuffs!$M183=1,BuffsDebuffs!H$2,"")</f>
        <v/>
      </c>
      <c r="C187" s="251" t="str">
        <f>IF(BuffsDebuffs!$M183=1,BuffsDebuffs!I$2,"")</f>
        <v/>
      </c>
      <c r="D187" s="251" t="str">
        <f>IF(BuffsDebuffs!$M183=1,BuffsDebuffs!J$2,"")</f>
        <v/>
      </c>
      <c r="E187" s="251" t="str">
        <f>IF(BuffsDebuffs!$M183=1,BuffsDebuffs!K$2,"")</f>
        <v/>
      </c>
      <c r="F187" s="251" t="str">
        <f>IF(BuffsDebuffs!$M183=1,BuffsDebuffs!L$2,"")</f>
        <v/>
      </c>
      <c r="G187" s="387" t="str">
        <f>IF($A187=Input!$A$3,B187,"")</f>
        <v/>
      </c>
      <c r="H187" s="323" t="str">
        <f>IF($A187=Input!$A$3,C187,"")</f>
        <v/>
      </c>
      <c r="I187" s="323" t="str">
        <f>IF($A187=Input!$A$3,D187,"")</f>
        <v/>
      </c>
      <c r="J187" s="323" t="str">
        <f>IF($A187=Input!$A$3,E187,"")</f>
        <v/>
      </c>
      <c r="K187" s="386" t="str">
        <f>IF($A187=Input!$A$3,F187,"")</f>
        <v/>
      </c>
      <c r="L187" s="387"/>
      <c r="M187" s="323"/>
      <c r="N187" s="323"/>
      <c r="O187" s="323"/>
      <c r="P187" s="323"/>
      <c r="Q187" s="387" t="str">
        <f>IF($A187=Input!$A$4,$B187,"")</f>
        <v/>
      </c>
      <c r="R187" s="323" t="str">
        <f>IF($A187=Input!$A$4,$C187,"")</f>
        <v/>
      </c>
      <c r="S187" s="323" t="str">
        <f>IF($A187=Input!$A$4,$D187,"")</f>
        <v/>
      </c>
      <c r="T187" s="323" t="str">
        <f>IF($A187=Input!$A$4,$E187,"")</f>
        <v/>
      </c>
      <c r="U187" s="386" t="str">
        <f>IF($A187=Input!$A$4,$F187,"")</f>
        <v/>
      </c>
      <c r="V187" s="323"/>
      <c r="W187" s="323"/>
      <c r="X187" s="323"/>
      <c r="Y187" s="323"/>
      <c r="Z187" s="323"/>
      <c r="AA187" s="387" t="str">
        <f>IF($A187=Input!$A$5,$B187,"")</f>
        <v/>
      </c>
      <c r="AB187" s="323" t="str">
        <f>IF($A187=Input!$A$5,$C187,"")</f>
        <v/>
      </c>
      <c r="AC187" s="323" t="str">
        <f>IF($A187=Input!$A$5,$D187,"")</f>
        <v/>
      </c>
      <c r="AD187" s="323" t="str">
        <f>IF($A187=Input!$A$5,$E187,"")</f>
        <v/>
      </c>
      <c r="AE187" s="386" t="str">
        <f>IF($A187=Input!$A$5,$F187,"")</f>
        <v/>
      </c>
      <c r="AF187" s="323"/>
      <c r="AG187" s="323"/>
      <c r="AH187" s="323"/>
      <c r="AI187" s="323"/>
      <c r="AJ187" s="323"/>
    </row>
    <row r="188" spans="1:36" x14ac:dyDescent="0.2">
      <c r="A188" s="250" t="str">
        <f>IF(BuffsDebuffs!$M184=1,BuffsDebuffs!G$2,"")</f>
        <v/>
      </c>
      <c r="B188" s="251" t="str">
        <f>IF(BuffsDebuffs!$M184=1,BuffsDebuffs!H$2,"")</f>
        <v/>
      </c>
      <c r="C188" s="251" t="str">
        <f>IF(BuffsDebuffs!$M184=1,BuffsDebuffs!I$2,"")</f>
        <v/>
      </c>
      <c r="D188" s="251" t="str">
        <f>IF(BuffsDebuffs!$M184=1,BuffsDebuffs!J$2,"")</f>
        <v/>
      </c>
      <c r="E188" s="251" t="str">
        <f>IF(BuffsDebuffs!$M184=1,BuffsDebuffs!K$2,"")</f>
        <v/>
      </c>
      <c r="F188" s="251" t="str">
        <f>IF(BuffsDebuffs!$M184=1,BuffsDebuffs!L$2,"")</f>
        <v/>
      </c>
      <c r="G188" s="387" t="str">
        <f>IF($A188=Input!$A$3,B188,"")</f>
        <v/>
      </c>
      <c r="H188" s="323" t="str">
        <f>IF($A188=Input!$A$3,C188,"")</f>
        <v/>
      </c>
      <c r="I188" s="323" t="str">
        <f>IF($A188=Input!$A$3,D188,"")</f>
        <v/>
      </c>
      <c r="J188" s="323" t="str">
        <f>IF($A188=Input!$A$3,E188,"")</f>
        <v/>
      </c>
      <c r="K188" s="386" t="str">
        <f>IF($A188=Input!$A$3,F188,"")</f>
        <v/>
      </c>
      <c r="L188" s="387"/>
      <c r="M188" s="323"/>
      <c r="N188" s="323"/>
      <c r="O188" s="323"/>
      <c r="P188" s="323"/>
      <c r="Q188" s="387" t="str">
        <f>IF($A188=Input!$A$4,$B188,"")</f>
        <v/>
      </c>
      <c r="R188" s="323" t="str">
        <f>IF($A188=Input!$A$4,$C188,"")</f>
        <v/>
      </c>
      <c r="S188" s="323" t="str">
        <f>IF($A188=Input!$A$4,$D188,"")</f>
        <v/>
      </c>
      <c r="T188" s="323" t="str">
        <f>IF($A188=Input!$A$4,$E188,"")</f>
        <v/>
      </c>
      <c r="U188" s="386" t="str">
        <f>IF($A188=Input!$A$4,$F188,"")</f>
        <v/>
      </c>
      <c r="V188" s="323"/>
      <c r="W188" s="323"/>
      <c r="X188" s="323"/>
      <c r="Y188" s="323"/>
      <c r="Z188" s="323"/>
      <c r="AA188" s="387" t="str">
        <f>IF($A188=Input!$A$5,$B188,"")</f>
        <v/>
      </c>
      <c r="AB188" s="323" t="str">
        <f>IF($A188=Input!$A$5,$C188,"")</f>
        <v/>
      </c>
      <c r="AC188" s="323" t="str">
        <f>IF($A188=Input!$A$5,$D188,"")</f>
        <v/>
      </c>
      <c r="AD188" s="323" t="str">
        <f>IF($A188=Input!$A$5,$E188,"")</f>
        <v/>
      </c>
      <c r="AE188" s="386" t="str">
        <f>IF($A188=Input!$A$5,$F188,"")</f>
        <v/>
      </c>
      <c r="AF188" s="323"/>
      <c r="AG188" s="323"/>
      <c r="AH188" s="323"/>
      <c r="AI188" s="323"/>
      <c r="AJ188" s="323"/>
    </row>
    <row r="189" spans="1:36" x14ac:dyDescent="0.2">
      <c r="A189" s="250" t="str">
        <f>IF(BuffsDebuffs!$M185=1,BuffsDebuffs!G$2,"")</f>
        <v/>
      </c>
      <c r="B189" s="251" t="str">
        <f>IF(BuffsDebuffs!$M185=1,BuffsDebuffs!H$2,"")</f>
        <v/>
      </c>
      <c r="C189" s="251" t="str">
        <f>IF(BuffsDebuffs!$M185=1,BuffsDebuffs!I$2,"")</f>
        <v/>
      </c>
      <c r="D189" s="251" t="str">
        <f>IF(BuffsDebuffs!$M185=1,BuffsDebuffs!J$2,"")</f>
        <v/>
      </c>
      <c r="E189" s="251" t="str">
        <f>IF(BuffsDebuffs!$M185=1,BuffsDebuffs!K$2,"")</f>
        <v/>
      </c>
      <c r="F189" s="251" t="str">
        <f>IF(BuffsDebuffs!$M185=1,BuffsDebuffs!L$2,"")</f>
        <v/>
      </c>
      <c r="G189" s="387" t="str">
        <f>IF($A189=Input!$A$3,B189,"")</f>
        <v/>
      </c>
      <c r="H189" s="323" t="str">
        <f>IF($A189=Input!$A$3,C189,"")</f>
        <v/>
      </c>
      <c r="I189" s="323" t="str">
        <f>IF($A189=Input!$A$3,D189,"")</f>
        <v/>
      </c>
      <c r="J189" s="323" t="str">
        <f>IF($A189=Input!$A$3,E189,"")</f>
        <v/>
      </c>
      <c r="K189" s="386" t="str">
        <f>IF($A189=Input!$A$3,F189,"")</f>
        <v/>
      </c>
      <c r="L189" s="387"/>
      <c r="M189" s="323"/>
      <c r="N189" s="323"/>
      <c r="O189" s="323"/>
      <c r="P189" s="323"/>
      <c r="Q189" s="387" t="str">
        <f>IF($A189=Input!$A$4,$B189,"")</f>
        <v/>
      </c>
      <c r="R189" s="323" t="str">
        <f>IF($A189=Input!$A$4,$C189,"")</f>
        <v/>
      </c>
      <c r="S189" s="323" t="str">
        <f>IF($A189=Input!$A$4,$D189,"")</f>
        <v/>
      </c>
      <c r="T189" s="323" t="str">
        <f>IF($A189=Input!$A$4,$E189,"")</f>
        <v/>
      </c>
      <c r="U189" s="386" t="str">
        <f>IF($A189=Input!$A$4,$F189,"")</f>
        <v/>
      </c>
      <c r="V189" s="323"/>
      <c r="W189" s="323"/>
      <c r="X189" s="323"/>
      <c r="Y189" s="323"/>
      <c r="Z189" s="323"/>
      <c r="AA189" s="387" t="str">
        <f>IF($A189=Input!$A$5,$B189,"")</f>
        <v/>
      </c>
      <c r="AB189" s="323" t="str">
        <f>IF($A189=Input!$A$5,$C189,"")</f>
        <v/>
      </c>
      <c r="AC189" s="323" t="str">
        <f>IF($A189=Input!$A$5,$D189,"")</f>
        <v/>
      </c>
      <c r="AD189" s="323" t="str">
        <f>IF($A189=Input!$A$5,$E189,"")</f>
        <v/>
      </c>
      <c r="AE189" s="386" t="str">
        <f>IF($A189=Input!$A$5,$F189,"")</f>
        <v/>
      </c>
      <c r="AF189" s="323"/>
      <c r="AG189" s="323"/>
      <c r="AH189" s="323"/>
      <c r="AI189" s="323"/>
      <c r="AJ189" s="323"/>
    </row>
    <row r="190" spans="1:36" x14ac:dyDescent="0.2">
      <c r="A190" s="250" t="str">
        <f>IF(BuffsDebuffs!$M186=1,BuffsDebuffs!G$2,"")</f>
        <v/>
      </c>
      <c r="B190" s="251" t="str">
        <f>IF(BuffsDebuffs!$M186=1,BuffsDebuffs!H$2,"")</f>
        <v/>
      </c>
      <c r="C190" s="251" t="str">
        <f>IF(BuffsDebuffs!$M186=1,BuffsDebuffs!I$2,"")</f>
        <v/>
      </c>
      <c r="D190" s="251" t="str">
        <f>IF(BuffsDebuffs!$M186=1,BuffsDebuffs!J$2,"")</f>
        <v/>
      </c>
      <c r="E190" s="251" t="str">
        <f>IF(BuffsDebuffs!$M186=1,BuffsDebuffs!K$2,"")</f>
        <v/>
      </c>
      <c r="F190" s="251" t="str">
        <f>IF(BuffsDebuffs!$M186=1,BuffsDebuffs!L$2,"")</f>
        <v/>
      </c>
      <c r="G190" s="387" t="str">
        <f>IF($A190=Input!$A$3,B190,"")</f>
        <v/>
      </c>
      <c r="H190" s="323" t="str">
        <f>IF($A190=Input!$A$3,C190,"")</f>
        <v/>
      </c>
      <c r="I190" s="323" t="str">
        <f>IF($A190=Input!$A$3,D190,"")</f>
        <v/>
      </c>
      <c r="J190" s="323" t="str">
        <f>IF($A190=Input!$A$3,E190,"")</f>
        <v/>
      </c>
      <c r="K190" s="386" t="str">
        <f>IF($A190=Input!$A$3,F190,"")</f>
        <v/>
      </c>
      <c r="L190" s="387"/>
      <c r="M190" s="323"/>
      <c r="N190" s="323"/>
      <c r="O190" s="323"/>
      <c r="P190" s="323"/>
      <c r="Q190" s="387" t="str">
        <f>IF($A190=Input!$A$4,$B190,"")</f>
        <v/>
      </c>
      <c r="R190" s="323" t="str">
        <f>IF($A190=Input!$A$4,$C190,"")</f>
        <v/>
      </c>
      <c r="S190" s="323" t="str">
        <f>IF($A190=Input!$A$4,$D190,"")</f>
        <v/>
      </c>
      <c r="T190" s="323" t="str">
        <f>IF($A190=Input!$A$4,$E190,"")</f>
        <v/>
      </c>
      <c r="U190" s="386" t="str">
        <f>IF($A190=Input!$A$4,$F190,"")</f>
        <v/>
      </c>
      <c r="V190" s="323"/>
      <c r="W190" s="323"/>
      <c r="X190" s="323"/>
      <c r="Y190" s="323"/>
      <c r="Z190" s="323"/>
      <c r="AA190" s="387" t="str">
        <f>IF($A190=Input!$A$5,$B190,"")</f>
        <v/>
      </c>
      <c r="AB190" s="323" t="str">
        <f>IF($A190=Input!$A$5,$C190,"")</f>
        <v/>
      </c>
      <c r="AC190" s="323" t="str">
        <f>IF($A190=Input!$A$5,$D190,"")</f>
        <v/>
      </c>
      <c r="AD190" s="323" t="str">
        <f>IF($A190=Input!$A$5,$E190,"")</f>
        <v/>
      </c>
      <c r="AE190" s="386" t="str">
        <f>IF($A190=Input!$A$5,$F190,"")</f>
        <v/>
      </c>
      <c r="AF190" s="323"/>
      <c r="AG190" s="323"/>
      <c r="AH190" s="323"/>
      <c r="AI190" s="323"/>
      <c r="AJ190" s="323"/>
    </row>
    <row r="191" spans="1:36" x14ac:dyDescent="0.2">
      <c r="A191" s="250" t="str">
        <f>IF(BuffsDebuffs!$M187=1,BuffsDebuffs!G$2,"")</f>
        <v/>
      </c>
      <c r="B191" s="251" t="str">
        <f>IF(BuffsDebuffs!$M187=1,BuffsDebuffs!H$2,"")</f>
        <v/>
      </c>
      <c r="C191" s="251" t="str">
        <f>IF(BuffsDebuffs!$M187=1,BuffsDebuffs!I$2,"")</f>
        <v/>
      </c>
      <c r="D191" s="251" t="str">
        <f>IF(BuffsDebuffs!$M187=1,BuffsDebuffs!J$2,"")</f>
        <v/>
      </c>
      <c r="E191" s="251" t="str">
        <f>IF(BuffsDebuffs!$M187=1,BuffsDebuffs!K$2,"")</f>
        <v/>
      </c>
      <c r="F191" s="251" t="str">
        <f>IF(BuffsDebuffs!$M187=1,BuffsDebuffs!L$2,"")</f>
        <v/>
      </c>
      <c r="G191" s="387" t="str">
        <f>IF($A191=Input!$A$3,B191,"")</f>
        <v/>
      </c>
      <c r="H191" s="323" t="str">
        <f>IF($A191=Input!$A$3,C191,"")</f>
        <v/>
      </c>
      <c r="I191" s="323" t="str">
        <f>IF($A191=Input!$A$3,D191,"")</f>
        <v/>
      </c>
      <c r="J191" s="323" t="str">
        <f>IF($A191=Input!$A$3,E191,"")</f>
        <v/>
      </c>
      <c r="K191" s="386" t="str">
        <f>IF($A191=Input!$A$3,F191,"")</f>
        <v/>
      </c>
      <c r="L191" s="387"/>
      <c r="M191" s="323"/>
      <c r="N191" s="323"/>
      <c r="O191" s="323"/>
      <c r="P191" s="323"/>
      <c r="Q191" s="387" t="str">
        <f>IF($A191=Input!$A$4,$B191,"")</f>
        <v/>
      </c>
      <c r="R191" s="323" t="str">
        <f>IF($A191=Input!$A$4,$C191,"")</f>
        <v/>
      </c>
      <c r="S191" s="323" t="str">
        <f>IF($A191=Input!$A$4,$D191,"")</f>
        <v/>
      </c>
      <c r="T191" s="323" t="str">
        <f>IF($A191=Input!$A$4,$E191,"")</f>
        <v/>
      </c>
      <c r="U191" s="386" t="str">
        <f>IF($A191=Input!$A$4,$F191,"")</f>
        <v/>
      </c>
      <c r="V191" s="323"/>
      <c r="W191" s="323"/>
      <c r="X191" s="323"/>
      <c r="Y191" s="323"/>
      <c r="Z191" s="323"/>
      <c r="AA191" s="387" t="str">
        <f>IF($A191=Input!$A$5,$B191,"")</f>
        <v/>
      </c>
      <c r="AB191" s="323" t="str">
        <f>IF($A191=Input!$A$5,$C191,"")</f>
        <v/>
      </c>
      <c r="AC191" s="323" t="str">
        <f>IF($A191=Input!$A$5,$D191,"")</f>
        <v/>
      </c>
      <c r="AD191" s="323" t="str">
        <f>IF($A191=Input!$A$5,$E191,"")</f>
        <v/>
      </c>
      <c r="AE191" s="386" t="str">
        <f>IF($A191=Input!$A$5,$F191,"")</f>
        <v/>
      </c>
      <c r="AF191" s="323"/>
      <c r="AG191" s="323"/>
      <c r="AH191" s="323"/>
      <c r="AI191" s="323"/>
      <c r="AJ191" s="323"/>
    </row>
    <row r="192" spans="1:36" x14ac:dyDescent="0.2">
      <c r="A192" s="250" t="str">
        <f>IF(BuffsDebuffs!$M188=1,BuffsDebuffs!G$2,"")</f>
        <v/>
      </c>
      <c r="B192" s="251" t="str">
        <f>IF(BuffsDebuffs!$M188=1,BuffsDebuffs!H$2,"")</f>
        <v/>
      </c>
      <c r="C192" s="251" t="str">
        <f>IF(BuffsDebuffs!$M188=1,BuffsDebuffs!I$2,"")</f>
        <v/>
      </c>
      <c r="D192" s="251" t="str">
        <f>IF(BuffsDebuffs!$M188=1,BuffsDebuffs!J$2,"")</f>
        <v/>
      </c>
      <c r="E192" s="251" t="str">
        <f>IF(BuffsDebuffs!$M188=1,BuffsDebuffs!K$2,"")</f>
        <v/>
      </c>
      <c r="F192" s="251" t="str">
        <f>IF(BuffsDebuffs!$M188=1,BuffsDebuffs!L$2,"")</f>
        <v/>
      </c>
      <c r="G192" s="387" t="str">
        <f>IF($A192=Input!$A$3,B192,"")</f>
        <v/>
      </c>
      <c r="H192" s="323" t="str">
        <f>IF($A192=Input!$A$3,C192,"")</f>
        <v/>
      </c>
      <c r="I192" s="323" t="str">
        <f>IF($A192=Input!$A$3,D192,"")</f>
        <v/>
      </c>
      <c r="J192" s="323" t="str">
        <f>IF($A192=Input!$A$3,E192,"")</f>
        <v/>
      </c>
      <c r="K192" s="386" t="str">
        <f>IF($A192=Input!$A$3,F192,"")</f>
        <v/>
      </c>
      <c r="L192" s="387"/>
      <c r="M192" s="323"/>
      <c r="N192" s="323"/>
      <c r="O192" s="323"/>
      <c r="P192" s="323"/>
      <c r="Q192" s="387" t="str">
        <f>IF($A192=Input!$A$4,$B192,"")</f>
        <v/>
      </c>
      <c r="R192" s="323" t="str">
        <f>IF($A192=Input!$A$4,$C192,"")</f>
        <v/>
      </c>
      <c r="S192" s="323" t="str">
        <f>IF($A192=Input!$A$4,$D192,"")</f>
        <v/>
      </c>
      <c r="T192" s="323" t="str">
        <f>IF($A192=Input!$A$4,$E192,"")</f>
        <v/>
      </c>
      <c r="U192" s="386" t="str">
        <f>IF($A192=Input!$A$4,$F192,"")</f>
        <v/>
      </c>
      <c r="V192" s="323"/>
      <c r="W192" s="323"/>
      <c r="X192" s="323"/>
      <c r="Y192" s="323"/>
      <c r="Z192" s="323"/>
      <c r="AA192" s="387" t="str">
        <f>IF($A192=Input!$A$5,$B192,"")</f>
        <v/>
      </c>
      <c r="AB192" s="323" t="str">
        <f>IF($A192=Input!$A$5,$C192,"")</f>
        <v/>
      </c>
      <c r="AC192" s="323" t="str">
        <f>IF($A192=Input!$A$5,$D192,"")</f>
        <v/>
      </c>
      <c r="AD192" s="323" t="str">
        <f>IF($A192=Input!$A$5,$E192,"")</f>
        <v/>
      </c>
      <c r="AE192" s="386" t="str">
        <f>IF($A192=Input!$A$5,$F192,"")</f>
        <v/>
      </c>
      <c r="AF192" s="323"/>
      <c r="AG192" s="323"/>
      <c r="AH192" s="323"/>
      <c r="AI192" s="323"/>
      <c r="AJ192" s="323"/>
    </row>
    <row r="193" spans="1:36" x14ac:dyDescent="0.2">
      <c r="A193" s="250" t="str">
        <f>IF(BuffsDebuffs!$M189=1,BuffsDebuffs!G$2,"")</f>
        <v/>
      </c>
      <c r="B193" s="251" t="str">
        <f>IF(BuffsDebuffs!$M189=1,BuffsDebuffs!H$2,"")</f>
        <v/>
      </c>
      <c r="C193" s="251" t="str">
        <f>IF(BuffsDebuffs!$M189=1,BuffsDebuffs!I$2,"")</f>
        <v/>
      </c>
      <c r="D193" s="251" t="str">
        <f>IF(BuffsDebuffs!$M189=1,BuffsDebuffs!J$2,"")</f>
        <v/>
      </c>
      <c r="E193" s="251" t="str">
        <f>IF(BuffsDebuffs!$M189=1,BuffsDebuffs!K$2,"")</f>
        <v/>
      </c>
      <c r="F193" s="251" t="str">
        <f>IF(BuffsDebuffs!$M189=1,BuffsDebuffs!L$2,"")</f>
        <v/>
      </c>
      <c r="G193" s="387" t="str">
        <f>IF($A193=Input!$A$3,B193,"")</f>
        <v/>
      </c>
      <c r="H193" s="323" t="str">
        <f>IF($A193=Input!$A$3,C193,"")</f>
        <v/>
      </c>
      <c r="I193" s="323" t="str">
        <f>IF($A193=Input!$A$3,D193,"")</f>
        <v/>
      </c>
      <c r="J193" s="323" t="str">
        <f>IF($A193=Input!$A$3,E193,"")</f>
        <v/>
      </c>
      <c r="K193" s="386" t="str">
        <f>IF($A193=Input!$A$3,F193,"")</f>
        <v/>
      </c>
      <c r="L193" s="387"/>
      <c r="M193" s="323"/>
      <c r="N193" s="323"/>
      <c r="O193" s="323"/>
      <c r="P193" s="323"/>
      <c r="Q193" s="387" t="str">
        <f>IF($A193=Input!$A$4,$B193,"")</f>
        <v/>
      </c>
      <c r="R193" s="323" t="str">
        <f>IF($A193=Input!$A$4,$C193,"")</f>
        <v/>
      </c>
      <c r="S193" s="323" t="str">
        <f>IF($A193=Input!$A$4,$D193,"")</f>
        <v/>
      </c>
      <c r="T193" s="323" t="str">
        <f>IF($A193=Input!$A$4,$E193,"")</f>
        <v/>
      </c>
      <c r="U193" s="386" t="str">
        <f>IF($A193=Input!$A$4,$F193,"")</f>
        <v/>
      </c>
      <c r="V193" s="323"/>
      <c r="W193" s="323"/>
      <c r="X193" s="323"/>
      <c r="Y193" s="323"/>
      <c r="Z193" s="323"/>
      <c r="AA193" s="387" t="str">
        <f>IF($A193=Input!$A$5,$B193,"")</f>
        <v/>
      </c>
      <c r="AB193" s="323" t="str">
        <f>IF($A193=Input!$A$5,$C193,"")</f>
        <v/>
      </c>
      <c r="AC193" s="323" t="str">
        <f>IF($A193=Input!$A$5,$D193,"")</f>
        <v/>
      </c>
      <c r="AD193" s="323" t="str">
        <f>IF($A193=Input!$A$5,$E193,"")</f>
        <v/>
      </c>
      <c r="AE193" s="386" t="str">
        <f>IF($A193=Input!$A$5,$F193,"")</f>
        <v/>
      </c>
      <c r="AF193" s="323"/>
      <c r="AG193" s="323"/>
      <c r="AH193" s="323"/>
      <c r="AI193" s="323"/>
      <c r="AJ193" s="323"/>
    </row>
    <row r="194" spans="1:36" x14ac:dyDescent="0.2">
      <c r="A194" s="250" t="str">
        <f>IF(BuffsDebuffs!$M190=1,BuffsDebuffs!G$2,"")</f>
        <v/>
      </c>
      <c r="B194" s="251" t="str">
        <f>IF(BuffsDebuffs!$M190=1,BuffsDebuffs!H$2,"")</f>
        <v/>
      </c>
      <c r="C194" s="251" t="str">
        <f>IF(BuffsDebuffs!$M190=1,BuffsDebuffs!I$2,"")</f>
        <v/>
      </c>
      <c r="D194" s="251" t="str">
        <f>IF(BuffsDebuffs!$M190=1,BuffsDebuffs!J$2,"")</f>
        <v/>
      </c>
      <c r="E194" s="251" t="str">
        <f>IF(BuffsDebuffs!$M190=1,BuffsDebuffs!K$2,"")</f>
        <v/>
      </c>
      <c r="F194" s="251" t="str">
        <f>IF(BuffsDebuffs!$M190=1,BuffsDebuffs!L$2,"")</f>
        <v/>
      </c>
      <c r="G194" s="387" t="str">
        <f>IF($A194=Input!$A$3,B194,"")</f>
        <v/>
      </c>
      <c r="H194" s="323" t="str">
        <f>IF($A194=Input!$A$3,C194,"")</f>
        <v/>
      </c>
      <c r="I194" s="323" t="str">
        <f>IF($A194=Input!$A$3,D194,"")</f>
        <v/>
      </c>
      <c r="J194" s="323" t="str">
        <f>IF($A194=Input!$A$3,E194,"")</f>
        <v/>
      </c>
      <c r="K194" s="386" t="str">
        <f>IF($A194=Input!$A$3,F194,"")</f>
        <v/>
      </c>
      <c r="L194" s="387"/>
      <c r="M194" s="323"/>
      <c r="N194" s="323"/>
      <c r="O194" s="323"/>
      <c r="P194" s="323"/>
      <c r="Q194" s="387" t="str">
        <f>IF($A194=Input!$A$4,$B194,"")</f>
        <v/>
      </c>
      <c r="R194" s="323" t="str">
        <f>IF($A194=Input!$A$4,$C194,"")</f>
        <v/>
      </c>
      <c r="S194" s="323" t="str">
        <f>IF($A194=Input!$A$4,$D194,"")</f>
        <v/>
      </c>
      <c r="T194" s="323" t="str">
        <f>IF($A194=Input!$A$4,$E194,"")</f>
        <v/>
      </c>
      <c r="U194" s="386" t="str">
        <f>IF($A194=Input!$A$4,$F194,"")</f>
        <v/>
      </c>
      <c r="V194" s="323"/>
      <c r="W194" s="323"/>
      <c r="X194" s="323"/>
      <c r="Y194" s="323"/>
      <c r="Z194" s="323"/>
      <c r="AA194" s="387" t="str">
        <f>IF($A194=Input!$A$5,$B194,"")</f>
        <v/>
      </c>
      <c r="AB194" s="323" t="str">
        <f>IF($A194=Input!$A$5,$C194,"")</f>
        <v/>
      </c>
      <c r="AC194" s="323" t="str">
        <f>IF($A194=Input!$A$5,$D194,"")</f>
        <v/>
      </c>
      <c r="AD194" s="323" t="str">
        <f>IF($A194=Input!$A$5,$E194,"")</f>
        <v/>
      </c>
      <c r="AE194" s="386" t="str">
        <f>IF($A194=Input!$A$5,$F194,"")</f>
        <v/>
      </c>
      <c r="AF194" s="323"/>
      <c r="AG194" s="323"/>
      <c r="AH194" s="323"/>
      <c r="AI194" s="323"/>
      <c r="AJ194" s="323"/>
    </row>
    <row r="195" spans="1:36" x14ac:dyDescent="0.2">
      <c r="A195" s="250" t="str">
        <f>IF(BuffsDebuffs!$M191=1,BuffsDebuffs!G$2,"")</f>
        <v/>
      </c>
      <c r="B195" s="251" t="str">
        <f>IF(BuffsDebuffs!$M191=1,BuffsDebuffs!H$2,"")</f>
        <v/>
      </c>
      <c r="C195" s="251" t="str">
        <f>IF(BuffsDebuffs!$M191=1,BuffsDebuffs!I$2,"")</f>
        <v/>
      </c>
      <c r="D195" s="251" t="str">
        <f>IF(BuffsDebuffs!$M191=1,BuffsDebuffs!J$2,"")</f>
        <v/>
      </c>
      <c r="E195" s="251" t="str">
        <f>IF(BuffsDebuffs!$M191=1,BuffsDebuffs!K$2,"")</f>
        <v/>
      </c>
      <c r="F195" s="251" t="str">
        <f>IF(BuffsDebuffs!$M191=1,BuffsDebuffs!L$2,"")</f>
        <v/>
      </c>
      <c r="G195" s="387" t="str">
        <f>IF($A195=Input!$A$3,B195,"")</f>
        <v/>
      </c>
      <c r="H195" s="323" t="str">
        <f>IF($A195=Input!$A$3,C195,"")</f>
        <v/>
      </c>
      <c r="I195" s="323" t="str">
        <f>IF($A195=Input!$A$3,D195,"")</f>
        <v/>
      </c>
      <c r="J195" s="323" t="str">
        <f>IF($A195=Input!$A$3,E195,"")</f>
        <v/>
      </c>
      <c r="K195" s="386" t="str">
        <f>IF($A195=Input!$A$3,F195,"")</f>
        <v/>
      </c>
      <c r="L195" s="387"/>
      <c r="M195" s="323"/>
      <c r="N195" s="323"/>
      <c r="O195" s="323"/>
      <c r="P195" s="323"/>
      <c r="Q195" s="387" t="str">
        <f>IF($A195=Input!$A$4,$B195,"")</f>
        <v/>
      </c>
      <c r="R195" s="323" t="str">
        <f>IF($A195=Input!$A$4,$C195,"")</f>
        <v/>
      </c>
      <c r="S195" s="323" t="str">
        <f>IF($A195=Input!$A$4,$D195,"")</f>
        <v/>
      </c>
      <c r="T195" s="323" t="str">
        <f>IF($A195=Input!$A$4,$E195,"")</f>
        <v/>
      </c>
      <c r="U195" s="386" t="str">
        <f>IF($A195=Input!$A$4,$F195,"")</f>
        <v/>
      </c>
      <c r="V195" s="323"/>
      <c r="W195" s="323"/>
      <c r="X195" s="323"/>
      <c r="Y195" s="323"/>
      <c r="Z195" s="323"/>
      <c r="AA195" s="387" t="str">
        <f>IF($A195=Input!$A$5,$B195,"")</f>
        <v/>
      </c>
      <c r="AB195" s="323" t="str">
        <f>IF($A195=Input!$A$5,$C195,"")</f>
        <v/>
      </c>
      <c r="AC195" s="323" t="str">
        <f>IF($A195=Input!$A$5,$D195,"")</f>
        <v/>
      </c>
      <c r="AD195" s="323" t="str">
        <f>IF($A195=Input!$A$5,$E195,"")</f>
        <v/>
      </c>
      <c r="AE195" s="386" t="str">
        <f>IF($A195=Input!$A$5,$F195,"")</f>
        <v/>
      </c>
      <c r="AF195" s="323"/>
      <c r="AG195" s="323"/>
      <c r="AH195" s="323"/>
      <c r="AI195" s="323"/>
      <c r="AJ195" s="323"/>
    </row>
    <row r="196" spans="1:36" x14ac:dyDescent="0.2">
      <c r="A196" s="250" t="str">
        <f>IF(BuffsDebuffs!$M192=1,BuffsDebuffs!G$2,"")</f>
        <v/>
      </c>
      <c r="B196" s="251" t="str">
        <f>IF(BuffsDebuffs!$M192=1,BuffsDebuffs!H$2,"")</f>
        <v/>
      </c>
      <c r="C196" s="251" t="str">
        <f>IF(BuffsDebuffs!$M192=1,BuffsDebuffs!I$2,"")</f>
        <v/>
      </c>
      <c r="D196" s="251" t="str">
        <f>IF(BuffsDebuffs!$M192=1,BuffsDebuffs!J$2,"")</f>
        <v/>
      </c>
      <c r="E196" s="251" t="str">
        <f>IF(BuffsDebuffs!$M192=1,BuffsDebuffs!K$2,"")</f>
        <v/>
      </c>
      <c r="F196" s="251" t="str">
        <f>IF(BuffsDebuffs!$M192=1,BuffsDebuffs!L$2,"")</f>
        <v/>
      </c>
      <c r="G196" s="387" t="str">
        <f>IF($A196=Input!$A$3,B196,"")</f>
        <v/>
      </c>
      <c r="H196" s="323" t="str">
        <f>IF($A196=Input!$A$3,C196,"")</f>
        <v/>
      </c>
      <c r="I196" s="323" t="str">
        <f>IF($A196=Input!$A$3,D196,"")</f>
        <v/>
      </c>
      <c r="J196" s="323" t="str">
        <f>IF($A196=Input!$A$3,E196,"")</f>
        <v/>
      </c>
      <c r="K196" s="386" t="str">
        <f>IF($A196=Input!$A$3,F196,"")</f>
        <v/>
      </c>
      <c r="L196" s="387"/>
      <c r="M196" s="323"/>
      <c r="N196" s="323"/>
      <c r="O196" s="323"/>
      <c r="P196" s="323"/>
      <c r="Q196" s="387" t="str">
        <f>IF($A196=Input!$A$4,$B196,"")</f>
        <v/>
      </c>
      <c r="R196" s="323" t="str">
        <f>IF($A196=Input!$A$4,$C196,"")</f>
        <v/>
      </c>
      <c r="S196" s="323" t="str">
        <f>IF($A196=Input!$A$4,$D196,"")</f>
        <v/>
      </c>
      <c r="T196" s="323" t="str">
        <f>IF($A196=Input!$A$4,$E196,"")</f>
        <v/>
      </c>
      <c r="U196" s="386" t="str">
        <f>IF($A196=Input!$A$4,$F196,"")</f>
        <v/>
      </c>
      <c r="V196" s="323"/>
      <c r="W196" s="323"/>
      <c r="X196" s="323"/>
      <c r="Y196" s="323"/>
      <c r="Z196" s="323"/>
      <c r="AA196" s="387" t="str">
        <f>IF($A196=Input!$A$5,$B196,"")</f>
        <v/>
      </c>
      <c r="AB196" s="323" t="str">
        <f>IF($A196=Input!$A$5,$C196,"")</f>
        <v/>
      </c>
      <c r="AC196" s="323" t="str">
        <f>IF($A196=Input!$A$5,$D196,"")</f>
        <v/>
      </c>
      <c r="AD196" s="323" t="str">
        <f>IF($A196=Input!$A$5,$E196,"")</f>
        <v/>
      </c>
      <c r="AE196" s="386" t="str">
        <f>IF($A196=Input!$A$5,$F196,"")</f>
        <v/>
      </c>
      <c r="AF196" s="323"/>
      <c r="AG196" s="323"/>
      <c r="AH196" s="323"/>
      <c r="AI196" s="323"/>
      <c r="AJ196" s="323"/>
    </row>
    <row r="197" spans="1:36" x14ac:dyDescent="0.2">
      <c r="A197" s="250" t="str">
        <f>IF(BuffsDebuffs!$M193=1,BuffsDebuffs!G$2,"")</f>
        <v/>
      </c>
      <c r="B197" s="251" t="str">
        <f>IF(BuffsDebuffs!$M193=1,BuffsDebuffs!H$2,"")</f>
        <v/>
      </c>
      <c r="C197" s="251" t="str">
        <f>IF(BuffsDebuffs!$M193=1,BuffsDebuffs!I$2,"")</f>
        <v/>
      </c>
      <c r="D197" s="251" t="str">
        <f>IF(BuffsDebuffs!$M193=1,BuffsDebuffs!J$2,"")</f>
        <v/>
      </c>
      <c r="E197" s="251" t="str">
        <f>IF(BuffsDebuffs!$M193=1,BuffsDebuffs!K$2,"")</f>
        <v/>
      </c>
      <c r="F197" s="251" t="str">
        <f>IF(BuffsDebuffs!$M193=1,BuffsDebuffs!L$2,"")</f>
        <v/>
      </c>
      <c r="G197" s="387" t="str">
        <f>IF($A197=Input!$A$3,B197,"")</f>
        <v/>
      </c>
      <c r="H197" s="323" t="str">
        <f>IF($A197=Input!$A$3,C197,"")</f>
        <v/>
      </c>
      <c r="I197" s="323" t="str">
        <f>IF($A197=Input!$A$3,D197,"")</f>
        <v/>
      </c>
      <c r="J197" s="323" t="str">
        <f>IF($A197=Input!$A$3,E197,"")</f>
        <v/>
      </c>
      <c r="K197" s="386" t="str">
        <f>IF($A197=Input!$A$3,F197,"")</f>
        <v/>
      </c>
      <c r="L197" s="387"/>
      <c r="M197" s="323"/>
      <c r="N197" s="323"/>
      <c r="O197" s="323"/>
      <c r="P197" s="323"/>
      <c r="Q197" s="387" t="str">
        <f>IF($A197=Input!$A$4,$B197,"")</f>
        <v/>
      </c>
      <c r="R197" s="323" t="str">
        <f>IF($A197=Input!$A$4,$C197,"")</f>
        <v/>
      </c>
      <c r="S197" s="323" t="str">
        <f>IF($A197=Input!$A$4,$D197,"")</f>
        <v/>
      </c>
      <c r="T197" s="323" t="str">
        <f>IF($A197=Input!$A$4,$E197,"")</f>
        <v/>
      </c>
      <c r="U197" s="386" t="str">
        <f>IF($A197=Input!$A$4,$F197,"")</f>
        <v/>
      </c>
      <c r="V197" s="323"/>
      <c r="W197" s="323"/>
      <c r="X197" s="323"/>
      <c r="Y197" s="323"/>
      <c r="Z197" s="323"/>
      <c r="AA197" s="387" t="str">
        <f>IF($A197=Input!$A$5,$B197,"")</f>
        <v/>
      </c>
      <c r="AB197" s="323" t="str">
        <f>IF($A197=Input!$A$5,$C197,"")</f>
        <v/>
      </c>
      <c r="AC197" s="323" t="str">
        <f>IF($A197=Input!$A$5,$D197,"")</f>
        <v/>
      </c>
      <c r="AD197" s="323" t="str">
        <f>IF($A197=Input!$A$5,$E197,"")</f>
        <v/>
      </c>
      <c r="AE197" s="386" t="str">
        <f>IF($A197=Input!$A$5,$F197,"")</f>
        <v/>
      </c>
      <c r="AF197" s="323"/>
      <c r="AG197" s="323"/>
      <c r="AH197" s="323"/>
      <c r="AI197" s="323"/>
      <c r="AJ197" s="323"/>
    </row>
    <row r="198" spans="1:36" x14ac:dyDescent="0.2">
      <c r="A198" s="250" t="str">
        <f>IF(BuffsDebuffs!$M194=1,BuffsDebuffs!G$2,"")</f>
        <v/>
      </c>
      <c r="B198" s="251" t="str">
        <f>IF(BuffsDebuffs!$M194=1,BuffsDebuffs!H$2,"")</f>
        <v/>
      </c>
      <c r="C198" s="251" t="str">
        <f>IF(BuffsDebuffs!$M194=1,BuffsDebuffs!I$2,"")</f>
        <v/>
      </c>
      <c r="D198" s="251" t="str">
        <f>IF(BuffsDebuffs!$M194=1,BuffsDebuffs!J$2,"")</f>
        <v/>
      </c>
      <c r="E198" s="251" t="str">
        <f>IF(BuffsDebuffs!$M194=1,BuffsDebuffs!K$2,"")</f>
        <v/>
      </c>
      <c r="F198" s="251" t="str">
        <f>IF(BuffsDebuffs!$M194=1,BuffsDebuffs!L$2,"")</f>
        <v/>
      </c>
      <c r="G198" s="387" t="str">
        <f>IF($A198=Input!$A$3,B198,"")</f>
        <v/>
      </c>
      <c r="H198" s="323" t="str">
        <f>IF($A198=Input!$A$3,C198,"")</f>
        <v/>
      </c>
      <c r="I198" s="323" t="str">
        <f>IF($A198=Input!$A$3,D198,"")</f>
        <v/>
      </c>
      <c r="J198" s="323" t="str">
        <f>IF($A198=Input!$A$3,E198,"")</f>
        <v/>
      </c>
      <c r="K198" s="386" t="str">
        <f>IF($A198=Input!$A$3,F198,"")</f>
        <v/>
      </c>
      <c r="L198" s="387"/>
      <c r="M198" s="323"/>
      <c r="N198" s="323"/>
      <c r="O198" s="323"/>
      <c r="P198" s="323"/>
      <c r="Q198" s="387" t="str">
        <f>IF($A198=Input!$A$4,$B198,"")</f>
        <v/>
      </c>
      <c r="R198" s="323" t="str">
        <f>IF($A198=Input!$A$4,$C198,"")</f>
        <v/>
      </c>
      <c r="S198" s="323" t="str">
        <f>IF($A198=Input!$A$4,$D198,"")</f>
        <v/>
      </c>
      <c r="T198" s="323" t="str">
        <f>IF($A198=Input!$A$4,$E198,"")</f>
        <v/>
      </c>
      <c r="U198" s="386" t="str">
        <f>IF($A198=Input!$A$4,$F198,"")</f>
        <v/>
      </c>
      <c r="V198" s="323"/>
      <c r="W198" s="323"/>
      <c r="X198" s="323"/>
      <c r="Y198" s="323"/>
      <c r="Z198" s="323"/>
      <c r="AA198" s="387" t="str">
        <f>IF($A198=Input!$A$5,$B198,"")</f>
        <v/>
      </c>
      <c r="AB198" s="323" t="str">
        <f>IF($A198=Input!$A$5,$C198,"")</f>
        <v/>
      </c>
      <c r="AC198" s="323" t="str">
        <f>IF($A198=Input!$A$5,$D198,"")</f>
        <v/>
      </c>
      <c r="AD198" s="323" t="str">
        <f>IF($A198=Input!$A$5,$E198,"")</f>
        <v/>
      </c>
      <c r="AE198" s="386" t="str">
        <f>IF($A198=Input!$A$5,$F198,"")</f>
        <v/>
      </c>
      <c r="AF198" s="323"/>
      <c r="AG198" s="323"/>
      <c r="AH198" s="323"/>
      <c r="AI198" s="323"/>
      <c r="AJ198" s="323"/>
    </row>
    <row r="199" spans="1:36" x14ac:dyDescent="0.2">
      <c r="A199" s="250" t="str">
        <f>IF(BuffsDebuffs!$M195=1,BuffsDebuffs!G$2,"")</f>
        <v/>
      </c>
      <c r="B199" s="251" t="str">
        <f>IF(BuffsDebuffs!$M195=1,BuffsDebuffs!H$2,"")</f>
        <v/>
      </c>
      <c r="C199" s="251" t="str">
        <f>IF(BuffsDebuffs!$M195=1,BuffsDebuffs!I$2,"")</f>
        <v/>
      </c>
      <c r="D199" s="251" t="str">
        <f>IF(BuffsDebuffs!$M195=1,BuffsDebuffs!J$2,"")</f>
        <v/>
      </c>
      <c r="E199" s="251" t="str">
        <f>IF(BuffsDebuffs!$M195=1,BuffsDebuffs!K$2,"")</f>
        <v/>
      </c>
      <c r="F199" s="251" t="str">
        <f>IF(BuffsDebuffs!$M195=1,BuffsDebuffs!L$2,"")</f>
        <v/>
      </c>
      <c r="G199" s="387" t="str">
        <f>IF($A199=Input!$A$3,B199,"")</f>
        <v/>
      </c>
      <c r="H199" s="323" t="str">
        <f>IF($A199=Input!$A$3,C199,"")</f>
        <v/>
      </c>
      <c r="I199" s="323" t="str">
        <f>IF($A199=Input!$A$3,D199,"")</f>
        <v/>
      </c>
      <c r="J199" s="323" t="str">
        <f>IF($A199=Input!$A$3,E199,"")</f>
        <v/>
      </c>
      <c r="K199" s="386" t="str">
        <f>IF($A199=Input!$A$3,F199,"")</f>
        <v/>
      </c>
      <c r="L199" s="387"/>
      <c r="M199" s="323"/>
      <c r="N199" s="323"/>
      <c r="O199" s="323"/>
      <c r="P199" s="323"/>
      <c r="Q199" s="387" t="str">
        <f>IF($A199=Input!$A$4,$B199,"")</f>
        <v/>
      </c>
      <c r="R199" s="323" t="str">
        <f>IF($A199=Input!$A$4,$C199,"")</f>
        <v/>
      </c>
      <c r="S199" s="323" t="str">
        <f>IF($A199=Input!$A$4,$D199,"")</f>
        <v/>
      </c>
      <c r="T199" s="323" t="str">
        <f>IF($A199=Input!$A$4,$E199,"")</f>
        <v/>
      </c>
      <c r="U199" s="386" t="str">
        <f>IF($A199=Input!$A$4,$F199,"")</f>
        <v/>
      </c>
      <c r="V199" s="323"/>
      <c r="W199" s="323"/>
      <c r="X199" s="323"/>
      <c r="Y199" s="323"/>
      <c r="Z199" s="323"/>
      <c r="AA199" s="387" t="str">
        <f>IF($A199=Input!$A$5,$B199,"")</f>
        <v/>
      </c>
      <c r="AB199" s="323" t="str">
        <f>IF($A199=Input!$A$5,$C199,"")</f>
        <v/>
      </c>
      <c r="AC199" s="323" t="str">
        <f>IF($A199=Input!$A$5,$D199,"")</f>
        <v/>
      </c>
      <c r="AD199" s="323" t="str">
        <f>IF($A199=Input!$A$5,$E199,"")</f>
        <v/>
      </c>
      <c r="AE199" s="386" t="str">
        <f>IF($A199=Input!$A$5,$F199,"")</f>
        <v/>
      </c>
      <c r="AF199" s="323"/>
      <c r="AG199" s="323"/>
      <c r="AH199" s="323"/>
      <c r="AI199" s="323"/>
      <c r="AJ199" s="323"/>
    </row>
    <row r="200" spans="1:36" x14ac:dyDescent="0.2">
      <c r="A200" s="250" t="str">
        <f>IF(BuffsDebuffs!$M196=1,BuffsDebuffs!G$2,"")</f>
        <v/>
      </c>
      <c r="B200" s="251" t="str">
        <f>IF(BuffsDebuffs!$M196=1,BuffsDebuffs!H$2,"")</f>
        <v/>
      </c>
      <c r="C200" s="251" t="str">
        <f>IF(BuffsDebuffs!$M196=1,BuffsDebuffs!I$2,"")</f>
        <v/>
      </c>
      <c r="D200" s="251" t="str">
        <f>IF(BuffsDebuffs!$M196=1,BuffsDebuffs!J$2,"")</f>
        <v/>
      </c>
      <c r="E200" s="251" t="str">
        <f>IF(BuffsDebuffs!$M196=1,BuffsDebuffs!K$2,"")</f>
        <v/>
      </c>
      <c r="F200" s="251" t="str">
        <f>IF(BuffsDebuffs!$M196=1,BuffsDebuffs!L$2,"")</f>
        <v/>
      </c>
      <c r="G200" s="387" t="str">
        <f>IF($A200=Input!$A$3,B200,"")</f>
        <v/>
      </c>
      <c r="H200" s="323" t="str">
        <f>IF($A200=Input!$A$3,C200,"")</f>
        <v/>
      </c>
      <c r="I200" s="323" t="str">
        <f>IF($A200=Input!$A$3,D200,"")</f>
        <v/>
      </c>
      <c r="J200" s="323" t="str">
        <f>IF($A200=Input!$A$3,E200,"")</f>
        <v/>
      </c>
      <c r="K200" s="386" t="str">
        <f>IF($A200=Input!$A$3,F200,"")</f>
        <v/>
      </c>
      <c r="L200" s="387"/>
      <c r="M200" s="323"/>
      <c r="N200" s="323"/>
      <c r="O200" s="323"/>
      <c r="P200" s="323"/>
      <c r="Q200" s="387" t="str">
        <f>IF($A200=Input!$A$4,$B200,"")</f>
        <v/>
      </c>
      <c r="R200" s="323" t="str">
        <f>IF($A200=Input!$A$4,$C200,"")</f>
        <v/>
      </c>
      <c r="S200" s="323" t="str">
        <f>IF($A200=Input!$A$4,$D200,"")</f>
        <v/>
      </c>
      <c r="T200" s="323" t="str">
        <f>IF($A200=Input!$A$4,$E200,"")</f>
        <v/>
      </c>
      <c r="U200" s="386" t="str">
        <f>IF($A200=Input!$A$4,$F200,"")</f>
        <v/>
      </c>
      <c r="V200" s="323"/>
      <c r="W200" s="323"/>
      <c r="X200" s="323"/>
      <c r="Y200" s="323"/>
      <c r="Z200" s="323"/>
      <c r="AA200" s="387" t="str">
        <f>IF($A200=Input!$A$5,$B200,"")</f>
        <v/>
      </c>
      <c r="AB200" s="323" t="str">
        <f>IF($A200=Input!$A$5,$C200,"")</f>
        <v/>
      </c>
      <c r="AC200" s="323" t="str">
        <f>IF($A200=Input!$A$5,$D200,"")</f>
        <v/>
      </c>
      <c r="AD200" s="323" t="str">
        <f>IF($A200=Input!$A$5,$E200,"")</f>
        <v/>
      </c>
      <c r="AE200" s="386" t="str">
        <f>IF($A200=Input!$A$5,$F200,"")</f>
        <v/>
      </c>
      <c r="AF200" s="323"/>
      <c r="AG200" s="323"/>
      <c r="AH200" s="323"/>
      <c r="AI200" s="323"/>
      <c r="AJ200" s="323"/>
    </row>
    <row r="201" spans="1:36" x14ac:dyDescent="0.2">
      <c r="A201" s="250" t="str">
        <f>IF(BuffsDebuffs!$M197=1,BuffsDebuffs!G$2,"")</f>
        <v/>
      </c>
      <c r="B201" s="251" t="str">
        <f>IF(BuffsDebuffs!$M197=1,BuffsDebuffs!H$2,"")</f>
        <v/>
      </c>
      <c r="C201" s="251" t="str">
        <f>IF(BuffsDebuffs!$M197=1,BuffsDebuffs!I$2,"")</f>
        <v/>
      </c>
      <c r="D201" s="251" t="str">
        <f>IF(BuffsDebuffs!$M197=1,BuffsDebuffs!J$2,"")</f>
        <v/>
      </c>
      <c r="E201" s="251" t="str">
        <f>IF(BuffsDebuffs!$M197=1,BuffsDebuffs!K$2,"")</f>
        <v/>
      </c>
      <c r="F201" s="251" t="str">
        <f>IF(BuffsDebuffs!$M197=1,BuffsDebuffs!L$2,"")</f>
        <v/>
      </c>
      <c r="G201" s="387" t="str">
        <f>IF($A201=Input!$A$3,B201,"")</f>
        <v/>
      </c>
      <c r="H201" s="323" t="str">
        <f>IF($A201=Input!$A$3,C201,"")</f>
        <v/>
      </c>
      <c r="I201" s="323" t="str">
        <f>IF($A201=Input!$A$3,D201,"")</f>
        <v/>
      </c>
      <c r="J201" s="323" t="str">
        <f>IF($A201=Input!$A$3,E201,"")</f>
        <v/>
      </c>
      <c r="K201" s="386" t="str">
        <f>IF($A201=Input!$A$3,F201,"")</f>
        <v/>
      </c>
      <c r="L201" s="387"/>
      <c r="M201" s="323"/>
      <c r="N201" s="323"/>
      <c r="O201" s="323"/>
      <c r="P201" s="323"/>
      <c r="Q201" s="387" t="str">
        <f>IF($A201=Input!$A$4,$B201,"")</f>
        <v/>
      </c>
      <c r="R201" s="323" t="str">
        <f>IF($A201=Input!$A$4,$C201,"")</f>
        <v/>
      </c>
      <c r="S201" s="323" t="str">
        <f>IF($A201=Input!$A$4,$D201,"")</f>
        <v/>
      </c>
      <c r="T201" s="323" t="str">
        <f>IF($A201=Input!$A$4,$E201,"")</f>
        <v/>
      </c>
      <c r="U201" s="386" t="str">
        <f>IF($A201=Input!$A$4,$F201,"")</f>
        <v/>
      </c>
      <c r="V201" s="323"/>
      <c r="W201" s="323"/>
      <c r="X201" s="323"/>
      <c r="Y201" s="323"/>
      <c r="Z201" s="323"/>
      <c r="AA201" s="387" t="str">
        <f>IF($A201=Input!$A$5,$B201,"")</f>
        <v/>
      </c>
      <c r="AB201" s="323" t="str">
        <f>IF($A201=Input!$A$5,$C201,"")</f>
        <v/>
      </c>
      <c r="AC201" s="323" t="str">
        <f>IF($A201=Input!$A$5,$D201,"")</f>
        <v/>
      </c>
      <c r="AD201" s="323" t="str">
        <f>IF($A201=Input!$A$5,$E201,"")</f>
        <v/>
      </c>
      <c r="AE201" s="386" t="str">
        <f>IF($A201=Input!$A$5,$F201,"")</f>
        <v/>
      </c>
      <c r="AF201" s="323"/>
      <c r="AG201" s="323"/>
      <c r="AH201" s="323"/>
      <c r="AI201" s="323"/>
      <c r="AJ201" s="323"/>
    </row>
    <row r="202" spans="1:36" x14ac:dyDescent="0.2">
      <c r="A202" s="250" t="str">
        <f>IF(BuffsDebuffs!$M198=1,BuffsDebuffs!G$2,"")</f>
        <v/>
      </c>
      <c r="B202" s="251" t="str">
        <f>IF(BuffsDebuffs!$M198=1,BuffsDebuffs!H$2,"")</f>
        <v/>
      </c>
      <c r="C202" s="251" t="str">
        <f>IF(BuffsDebuffs!$M198=1,BuffsDebuffs!I$2,"")</f>
        <v/>
      </c>
      <c r="D202" s="251" t="str">
        <f>IF(BuffsDebuffs!$M198=1,BuffsDebuffs!J$2,"")</f>
        <v/>
      </c>
      <c r="E202" s="251" t="str">
        <f>IF(BuffsDebuffs!$M198=1,BuffsDebuffs!K$2,"")</f>
        <v/>
      </c>
      <c r="F202" s="251" t="str">
        <f>IF(BuffsDebuffs!$M198=1,BuffsDebuffs!L$2,"")</f>
        <v/>
      </c>
      <c r="G202" s="387" t="str">
        <f>IF($A202=Input!$A$3,B202,"")</f>
        <v/>
      </c>
      <c r="H202" s="323" t="str">
        <f>IF($A202=Input!$A$3,C202,"")</f>
        <v/>
      </c>
      <c r="I202" s="323" t="str">
        <f>IF($A202=Input!$A$3,D202,"")</f>
        <v/>
      </c>
      <c r="J202" s="323" t="str">
        <f>IF($A202=Input!$A$3,E202,"")</f>
        <v/>
      </c>
      <c r="K202" s="386" t="str">
        <f>IF($A202=Input!$A$3,F202,"")</f>
        <v/>
      </c>
      <c r="L202" s="387"/>
      <c r="M202" s="323"/>
      <c r="N202" s="323"/>
      <c r="O202" s="323"/>
      <c r="P202" s="323"/>
      <c r="Q202" s="387" t="str">
        <f>IF($A202=Input!$A$4,$B202,"")</f>
        <v/>
      </c>
      <c r="R202" s="323" t="str">
        <f>IF($A202=Input!$A$4,$C202,"")</f>
        <v/>
      </c>
      <c r="S202" s="323" t="str">
        <f>IF($A202=Input!$A$4,$D202,"")</f>
        <v/>
      </c>
      <c r="T202" s="323" t="str">
        <f>IF($A202=Input!$A$4,$E202,"")</f>
        <v/>
      </c>
      <c r="U202" s="386" t="str">
        <f>IF($A202=Input!$A$4,$F202,"")</f>
        <v/>
      </c>
      <c r="V202" s="323"/>
      <c r="W202" s="323"/>
      <c r="X202" s="323"/>
      <c r="Y202" s="323"/>
      <c r="Z202" s="323"/>
      <c r="AA202" s="387" t="str">
        <f>IF($A202=Input!$A$5,$B202,"")</f>
        <v/>
      </c>
      <c r="AB202" s="323" t="str">
        <f>IF($A202=Input!$A$5,$C202,"")</f>
        <v/>
      </c>
      <c r="AC202" s="323" t="str">
        <f>IF($A202=Input!$A$5,$D202,"")</f>
        <v/>
      </c>
      <c r="AD202" s="323" t="str">
        <f>IF($A202=Input!$A$5,$E202,"")</f>
        <v/>
      </c>
      <c r="AE202" s="386" t="str">
        <f>IF($A202=Input!$A$5,$F202,"")</f>
        <v/>
      </c>
      <c r="AF202" s="323"/>
      <c r="AG202" s="323"/>
      <c r="AH202" s="323"/>
      <c r="AI202" s="323"/>
      <c r="AJ202" s="323"/>
    </row>
    <row r="203" spans="1:36" x14ac:dyDescent="0.2">
      <c r="A203" s="250" t="str">
        <f>IF(BuffsDebuffs!$M199=1,BuffsDebuffs!G$2,"")</f>
        <v/>
      </c>
      <c r="B203" s="251" t="str">
        <f>IF(BuffsDebuffs!$M199=1,BuffsDebuffs!H$2,"")</f>
        <v/>
      </c>
      <c r="C203" s="251" t="str">
        <f>IF(BuffsDebuffs!$M199=1,BuffsDebuffs!I$2,"")</f>
        <v/>
      </c>
      <c r="D203" s="251" t="str">
        <f>IF(BuffsDebuffs!$M199=1,BuffsDebuffs!J$2,"")</f>
        <v/>
      </c>
      <c r="E203" s="251" t="str">
        <f>IF(BuffsDebuffs!$M199=1,BuffsDebuffs!K$2,"")</f>
        <v/>
      </c>
      <c r="F203" s="251" t="str">
        <f>IF(BuffsDebuffs!$M199=1,BuffsDebuffs!L$2,"")</f>
        <v/>
      </c>
      <c r="G203" s="387" t="str">
        <f>IF($A203=Input!$A$3,B203,"")</f>
        <v/>
      </c>
      <c r="H203" s="323" t="str">
        <f>IF($A203=Input!$A$3,C203,"")</f>
        <v/>
      </c>
      <c r="I203" s="323" t="str">
        <f>IF($A203=Input!$A$3,D203,"")</f>
        <v/>
      </c>
      <c r="J203" s="323" t="str">
        <f>IF($A203=Input!$A$3,E203,"")</f>
        <v/>
      </c>
      <c r="K203" s="386" t="str">
        <f>IF($A203=Input!$A$3,F203,"")</f>
        <v/>
      </c>
      <c r="L203" s="387"/>
      <c r="M203" s="323"/>
      <c r="N203" s="323"/>
      <c r="O203" s="323"/>
      <c r="P203" s="323"/>
      <c r="Q203" s="387" t="str">
        <f>IF($A203=Input!$A$4,$B203,"")</f>
        <v/>
      </c>
      <c r="R203" s="323" t="str">
        <f>IF($A203=Input!$A$4,$C203,"")</f>
        <v/>
      </c>
      <c r="S203" s="323" t="str">
        <f>IF($A203=Input!$A$4,$D203,"")</f>
        <v/>
      </c>
      <c r="T203" s="323" t="str">
        <f>IF($A203=Input!$A$4,$E203,"")</f>
        <v/>
      </c>
      <c r="U203" s="386" t="str">
        <f>IF($A203=Input!$A$4,$F203,"")</f>
        <v/>
      </c>
      <c r="V203" s="323"/>
      <c r="W203" s="323"/>
      <c r="X203" s="323"/>
      <c r="Y203" s="323"/>
      <c r="Z203" s="323"/>
      <c r="AA203" s="387" t="str">
        <f>IF($A203=Input!$A$5,$B203,"")</f>
        <v/>
      </c>
      <c r="AB203" s="323" t="str">
        <f>IF($A203=Input!$A$5,$C203,"")</f>
        <v/>
      </c>
      <c r="AC203" s="323" t="str">
        <f>IF($A203=Input!$A$5,$D203,"")</f>
        <v/>
      </c>
      <c r="AD203" s="323" t="str">
        <f>IF($A203=Input!$A$5,$E203,"")</f>
        <v/>
      </c>
      <c r="AE203" s="386" t="str">
        <f>IF($A203=Input!$A$5,$F203,"")</f>
        <v/>
      </c>
      <c r="AF203" s="323"/>
      <c r="AG203" s="323"/>
      <c r="AH203" s="323"/>
      <c r="AI203" s="323"/>
      <c r="AJ203" s="323"/>
    </row>
    <row r="204" spans="1:36" x14ac:dyDescent="0.2">
      <c r="A204" s="250" t="str">
        <f>IF(BuffsDebuffs!$M200=1,BuffsDebuffs!G$2,"")</f>
        <v/>
      </c>
      <c r="B204" s="251" t="str">
        <f>IF(BuffsDebuffs!$M200=1,BuffsDebuffs!H$2,"")</f>
        <v/>
      </c>
      <c r="C204" s="251" t="str">
        <f>IF(BuffsDebuffs!$M200=1,BuffsDebuffs!I$2,"")</f>
        <v/>
      </c>
      <c r="D204" s="251" t="str">
        <f>IF(BuffsDebuffs!$M200=1,BuffsDebuffs!J$2,"")</f>
        <v/>
      </c>
      <c r="E204" s="251" t="str">
        <f>IF(BuffsDebuffs!$M200=1,BuffsDebuffs!K$2,"")</f>
        <v/>
      </c>
      <c r="F204" s="251" t="str">
        <f>IF(BuffsDebuffs!$M200=1,BuffsDebuffs!L$2,"")</f>
        <v/>
      </c>
      <c r="G204" s="387" t="str">
        <f>IF($A204=Input!$A$3,B204,"")</f>
        <v/>
      </c>
      <c r="H204" s="323" t="str">
        <f>IF($A204=Input!$A$3,C204,"")</f>
        <v/>
      </c>
      <c r="I204" s="323" t="str">
        <f>IF($A204=Input!$A$3,D204,"")</f>
        <v/>
      </c>
      <c r="J204" s="323" t="str">
        <f>IF($A204=Input!$A$3,E204,"")</f>
        <v/>
      </c>
      <c r="K204" s="386" t="str">
        <f>IF($A204=Input!$A$3,F204,"")</f>
        <v/>
      </c>
      <c r="L204" s="387"/>
      <c r="M204" s="323"/>
      <c r="N204" s="323"/>
      <c r="O204" s="323"/>
      <c r="P204" s="323"/>
      <c r="Q204" s="387" t="str">
        <f>IF($A204=Input!$A$4,$B204,"")</f>
        <v/>
      </c>
      <c r="R204" s="323" t="str">
        <f>IF($A204=Input!$A$4,$C204,"")</f>
        <v/>
      </c>
      <c r="S204" s="323" t="str">
        <f>IF($A204=Input!$A$4,$D204,"")</f>
        <v/>
      </c>
      <c r="T204" s="323" t="str">
        <f>IF($A204=Input!$A$4,$E204,"")</f>
        <v/>
      </c>
      <c r="U204" s="386" t="str">
        <f>IF($A204=Input!$A$4,$F204,"")</f>
        <v/>
      </c>
      <c r="V204" s="323"/>
      <c r="W204" s="323"/>
      <c r="X204" s="323"/>
      <c r="Y204" s="323"/>
      <c r="Z204" s="323"/>
      <c r="AA204" s="387" t="str">
        <f>IF($A204=Input!$A$5,$B204,"")</f>
        <v/>
      </c>
      <c r="AB204" s="323" t="str">
        <f>IF($A204=Input!$A$5,$C204,"")</f>
        <v/>
      </c>
      <c r="AC204" s="323" t="str">
        <f>IF($A204=Input!$A$5,$D204,"")</f>
        <v/>
      </c>
      <c r="AD204" s="323" t="str">
        <f>IF($A204=Input!$A$5,$E204,"")</f>
        <v/>
      </c>
      <c r="AE204" s="386" t="str">
        <f>IF($A204=Input!$A$5,$F204,"")</f>
        <v/>
      </c>
      <c r="AF204" s="323"/>
      <c r="AG204" s="323"/>
      <c r="AH204" s="323"/>
      <c r="AI204" s="323"/>
      <c r="AJ204" s="323"/>
    </row>
    <row r="205" spans="1:36" x14ac:dyDescent="0.2">
      <c r="A205" s="250" t="str">
        <f>IF(BuffsDebuffs!$M201=1,BuffsDebuffs!G$2,"")</f>
        <v/>
      </c>
      <c r="B205" s="251" t="str">
        <f>IF(BuffsDebuffs!$M201=1,BuffsDebuffs!H$2,"")</f>
        <v/>
      </c>
      <c r="C205" s="251" t="str">
        <f>IF(BuffsDebuffs!$M201=1,BuffsDebuffs!I$2,"")</f>
        <v/>
      </c>
      <c r="D205" s="251" t="str">
        <f>IF(BuffsDebuffs!$M201=1,BuffsDebuffs!J$2,"")</f>
        <v/>
      </c>
      <c r="E205" s="251" t="str">
        <f>IF(BuffsDebuffs!$M201=1,BuffsDebuffs!K$2,"")</f>
        <v/>
      </c>
      <c r="F205" s="251" t="str">
        <f>IF(BuffsDebuffs!$M201=1,BuffsDebuffs!L$2,"")</f>
        <v/>
      </c>
      <c r="G205" s="387" t="str">
        <f>IF($A205=Input!$A$3,B205,"")</f>
        <v/>
      </c>
      <c r="H205" s="323" t="str">
        <f>IF($A205=Input!$A$3,C205,"")</f>
        <v/>
      </c>
      <c r="I205" s="323" t="str">
        <f>IF($A205=Input!$A$3,D205,"")</f>
        <v/>
      </c>
      <c r="J205" s="323" t="str">
        <f>IF($A205=Input!$A$3,E205,"")</f>
        <v/>
      </c>
      <c r="K205" s="386" t="str">
        <f>IF($A205=Input!$A$3,F205,"")</f>
        <v/>
      </c>
      <c r="L205" s="387"/>
      <c r="M205" s="323"/>
      <c r="N205" s="323"/>
      <c r="O205" s="323"/>
      <c r="P205" s="323"/>
      <c r="Q205" s="387" t="str">
        <f>IF($A205=Input!$A$4,$B205,"")</f>
        <v/>
      </c>
      <c r="R205" s="323" t="str">
        <f>IF($A205=Input!$A$4,$C205,"")</f>
        <v/>
      </c>
      <c r="S205" s="323" t="str">
        <f>IF($A205=Input!$A$4,$D205,"")</f>
        <v/>
      </c>
      <c r="T205" s="323" t="str">
        <f>IF($A205=Input!$A$4,$E205,"")</f>
        <v/>
      </c>
      <c r="U205" s="386" t="str">
        <f>IF($A205=Input!$A$4,$F205,"")</f>
        <v/>
      </c>
      <c r="V205" s="323"/>
      <c r="W205" s="323"/>
      <c r="X205" s="323"/>
      <c r="Y205" s="323"/>
      <c r="Z205" s="323"/>
      <c r="AA205" s="387" t="str">
        <f>IF($A205=Input!$A$5,$B205,"")</f>
        <v/>
      </c>
      <c r="AB205" s="323" t="str">
        <f>IF($A205=Input!$A$5,$C205,"")</f>
        <v/>
      </c>
      <c r="AC205" s="323" t="str">
        <f>IF($A205=Input!$A$5,$D205,"")</f>
        <v/>
      </c>
      <c r="AD205" s="323" t="str">
        <f>IF($A205=Input!$A$5,$E205,"")</f>
        <v/>
      </c>
      <c r="AE205" s="386" t="str">
        <f>IF($A205=Input!$A$5,$F205,"")</f>
        <v/>
      </c>
      <c r="AF205" s="323"/>
      <c r="AG205" s="323"/>
      <c r="AH205" s="323"/>
      <c r="AI205" s="323"/>
      <c r="AJ205" s="323"/>
    </row>
    <row r="206" spans="1:36" x14ac:dyDescent="0.2">
      <c r="A206" s="250" t="str">
        <f>IF(BuffsDebuffs!$M202=1,BuffsDebuffs!G$2,"")</f>
        <v/>
      </c>
      <c r="B206" s="251" t="str">
        <f>IF(BuffsDebuffs!$M202=1,BuffsDebuffs!H$2,"")</f>
        <v/>
      </c>
      <c r="C206" s="251" t="str">
        <f>IF(BuffsDebuffs!$M202=1,BuffsDebuffs!I$2,"")</f>
        <v/>
      </c>
      <c r="D206" s="251" t="str">
        <f>IF(BuffsDebuffs!$M202=1,BuffsDebuffs!J$2,"")</f>
        <v/>
      </c>
      <c r="E206" s="251" t="str">
        <f>IF(BuffsDebuffs!$M202=1,BuffsDebuffs!K$2,"")</f>
        <v/>
      </c>
      <c r="F206" s="251" t="str">
        <f>IF(BuffsDebuffs!$M202=1,BuffsDebuffs!L$2,"")</f>
        <v/>
      </c>
      <c r="G206" s="387" t="str">
        <f>IF($A206=Input!$A$3,B206,"")</f>
        <v/>
      </c>
      <c r="H206" s="323" t="str">
        <f>IF($A206=Input!$A$3,C206,"")</f>
        <v/>
      </c>
      <c r="I206" s="323" t="str">
        <f>IF($A206=Input!$A$3,D206,"")</f>
        <v/>
      </c>
      <c r="J206" s="323" t="str">
        <f>IF($A206=Input!$A$3,E206,"")</f>
        <v/>
      </c>
      <c r="K206" s="386" t="str">
        <f>IF($A206=Input!$A$3,F206,"")</f>
        <v/>
      </c>
      <c r="L206" s="387"/>
      <c r="M206" s="323"/>
      <c r="N206" s="323"/>
      <c r="O206" s="323"/>
      <c r="P206" s="323"/>
      <c r="Q206" s="387" t="str">
        <f>IF($A206=Input!$A$4,$B206,"")</f>
        <v/>
      </c>
      <c r="R206" s="323" t="str">
        <f>IF($A206=Input!$A$4,$C206,"")</f>
        <v/>
      </c>
      <c r="S206" s="323" t="str">
        <f>IF($A206=Input!$A$4,$D206,"")</f>
        <v/>
      </c>
      <c r="T206" s="323" t="str">
        <f>IF($A206=Input!$A$4,$E206,"")</f>
        <v/>
      </c>
      <c r="U206" s="386" t="str">
        <f>IF($A206=Input!$A$4,$F206,"")</f>
        <v/>
      </c>
      <c r="V206" s="323"/>
      <c r="W206" s="323"/>
      <c r="X206" s="323"/>
      <c r="Y206" s="323"/>
      <c r="Z206" s="323"/>
      <c r="AA206" s="387" t="str">
        <f>IF($A206=Input!$A$5,$B206,"")</f>
        <v/>
      </c>
      <c r="AB206" s="323" t="str">
        <f>IF($A206=Input!$A$5,$C206,"")</f>
        <v/>
      </c>
      <c r="AC206" s="323" t="str">
        <f>IF($A206=Input!$A$5,$D206,"")</f>
        <v/>
      </c>
      <c r="AD206" s="323" t="str">
        <f>IF($A206=Input!$A$5,$E206,"")</f>
        <v/>
      </c>
      <c r="AE206" s="386" t="str">
        <f>IF($A206=Input!$A$5,$F206,"")</f>
        <v/>
      </c>
      <c r="AF206" s="323"/>
      <c r="AG206" s="323"/>
      <c r="AH206" s="323"/>
      <c r="AI206" s="323"/>
      <c r="AJ206" s="323"/>
    </row>
    <row r="207" spans="1:36" x14ac:dyDescent="0.2">
      <c r="A207" s="250" t="str">
        <f>IF(BuffsDebuffs!$M203=1,BuffsDebuffs!G$2,"")</f>
        <v/>
      </c>
      <c r="B207" s="251" t="str">
        <f>IF(BuffsDebuffs!$M203=1,BuffsDebuffs!H$2,"")</f>
        <v/>
      </c>
      <c r="C207" s="251" t="str">
        <f>IF(BuffsDebuffs!$M203=1,BuffsDebuffs!I$2,"")</f>
        <v/>
      </c>
      <c r="D207" s="251" t="str">
        <f>IF(BuffsDebuffs!$M203=1,BuffsDebuffs!J$2,"")</f>
        <v/>
      </c>
      <c r="E207" s="251" t="str">
        <f>IF(BuffsDebuffs!$M203=1,BuffsDebuffs!K$2,"")</f>
        <v/>
      </c>
      <c r="F207" s="251" t="str">
        <f>IF(BuffsDebuffs!$M203=1,BuffsDebuffs!L$2,"")</f>
        <v/>
      </c>
      <c r="G207" s="387" t="str">
        <f>IF($A207=Input!$A$3,B207,"")</f>
        <v/>
      </c>
      <c r="H207" s="323" t="str">
        <f>IF($A207=Input!$A$3,C207,"")</f>
        <v/>
      </c>
      <c r="I207" s="323" t="str">
        <f>IF($A207=Input!$A$3,D207,"")</f>
        <v/>
      </c>
      <c r="J207" s="323" t="str">
        <f>IF($A207=Input!$A$3,E207,"")</f>
        <v/>
      </c>
      <c r="K207" s="386" t="str">
        <f>IF($A207=Input!$A$3,F207,"")</f>
        <v/>
      </c>
      <c r="L207" s="387"/>
      <c r="M207" s="323"/>
      <c r="N207" s="323"/>
      <c r="O207" s="323"/>
      <c r="P207" s="323"/>
      <c r="Q207" s="387" t="str">
        <f>IF($A207=Input!$A$4,$B207,"")</f>
        <v/>
      </c>
      <c r="R207" s="323" t="str">
        <f>IF($A207=Input!$A$4,$C207,"")</f>
        <v/>
      </c>
      <c r="S207" s="323" t="str">
        <f>IF($A207=Input!$A$4,$D207,"")</f>
        <v/>
      </c>
      <c r="T207" s="323" t="str">
        <f>IF($A207=Input!$A$4,$E207,"")</f>
        <v/>
      </c>
      <c r="U207" s="386" t="str">
        <f>IF($A207=Input!$A$4,$F207,"")</f>
        <v/>
      </c>
      <c r="V207" s="323"/>
      <c r="W207" s="323"/>
      <c r="X207" s="323"/>
      <c r="Y207" s="323"/>
      <c r="Z207" s="323"/>
      <c r="AA207" s="387" t="str">
        <f>IF($A207=Input!$A$5,$B207,"")</f>
        <v/>
      </c>
      <c r="AB207" s="323" t="str">
        <f>IF($A207=Input!$A$5,$C207,"")</f>
        <v/>
      </c>
      <c r="AC207" s="323" t="str">
        <f>IF($A207=Input!$A$5,$D207,"")</f>
        <v/>
      </c>
      <c r="AD207" s="323" t="str">
        <f>IF($A207=Input!$A$5,$E207,"")</f>
        <v/>
      </c>
      <c r="AE207" s="386" t="str">
        <f>IF($A207=Input!$A$5,$F207,"")</f>
        <v/>
      </c>
      <c r="AF207" s="323"/>
      <c r="AG207" s="323"/>
      <c r="AH207" s="323"/>
      <c r="AI207" s="323"/>
      <c r="AJ207" s="323"/>
    </row>
    <row r="208" spans="1:36" x14ac:dyDescent="0.2">
      <c r="A208" s="250" t="str">
        <f>IF(BuffsDebuffs!$M204=1,BuffsDebuffs!G$2,"")</f>
        <v/>
      </c>
      <c r="B208" s="251" t="str">
        <f>IF(BuffsDebuffs!$M204=1,BuffsDebuffs!H$2,"")</f>
        <v/>
      </c>
      <c r="C208" s="251" t="str">
        <f>IF(BuffsDebuffs!$M204=1,BuffsDebuffs!I$2,"")</f>
        <v/>
      </c>
      <c r="D208" s="251" t="str">
        <f>IF(BuffsDebuffs!$M204=1,BuffsDebuffs!J$2,"")</f>
        <v/>
      </c>
      <c r="E208" s="251" t="str">
        <f>IF(BuffsDebuffs!$M204=1,BuffsDebuffs!K$2,"")</f>
        <v/>
      </c>
      <c r="F208" s="251" t="str">
        <f>IF(BuffsDebuffs!$M204=1,BuffsDebuffs!L$2,"")</f>
        <v/>
      </c>
      <c r="G208" s="387" t="str">
        <f>IF($A208=Input!$A$3,B208,"")</f>
        <v/>
      </c>
      <c r="H208" s="323" t="str">
        <f>IF($A208=Input!$A$3,C208,"")</f>
        <v/>
      </c>
      <c r="I208" s="323" t="str">
        <f>IF($A208=Input!$A$3,D208,"")</f>
        <v/>
      </c>
      <c r="J208" s="323" t="str">
        <f>IF($A208=Input!$A$3,E208,"")</f>
        <v/>
      </c>
      <c r="K208" s="386" t="str">
        <f>IF($A208=Input!$A$3,F208,"")</f>
        <v/>
      </c>
      <c r="L208" s="387"/>
      <c r="M208" s="323"/>
      <c r="N208" s="323"/>
      <c r="O208" s="323"/>
      <c r="P208" s="323"/>
      <c r="Q208" s="387" t="str">
        <f>IF($A208=Input!$A$4,$B208,"")</f>
        <v/>
      </c>
      <c r="R208" s="323" t="str">
        <f>IF($A208=Input!$A$4,$C208,"")</f>
        <v/>
      </c>
      <c r="S208" s="323" t="str">
        <f>IF($A208=Input!$A$4,$D208,"")</f>
        <v/>
      </c>
      <c r="T208" s="323" t="str">
        <f>IF($A208=Input!$A$4,$E208,"")</f>
        <v/>
      </c>
      <c r="U208" s="386" t="str">
        <f>IF($A208=Input!$A$4,$F208,"")</f>
        <v/>
      </c>
      <c r="V208" s="323"/>
      <c r="W208" s="323"/>
      <c r="X208" s="323"/>
      <c r="Y208" s="323"/>
      <c r="Z208" s="323"/>
      <c r="AA208" s="387" t="str">
        <f>IF($A208=Input!$A$5,$B208,"")</f>
        <v/>
      </c>
      <c r="AB208" s="323" t="str">
        <f>IF($A208=Input!$A$5,$C208,"")</f>
        <v/>
      </c>
      <c r="AC208" s="323" t="str">
        <f>IF($A208=Input!$A$5,$D208,"")</f>
        <v/>
      </c>
      <c r="AD208" s="323" t="str">
        <f>IF($A208=Input!$A$5,$E208,"")</f>
        <v/>
      </c>
      <c r="AE208" s="386" t="str">
        <f>IF($A208=Input!$A$5,$F208,"")</f>
        <v/>
      </c>
      <c r="AF208" s="323"/>
      <c r="AG208" s="323"/>
      <c r="AH208" s="323"/>
      <c r="AI208" s="323"/>
      <c r="AJ208" s="323"/>
    </row>
    <row r="209" spans="1:36" x14ac:dyDescent="0.2">
      <c r="A209" s="250" t="str">
        <f>IF(BuffsDebuffs!$M205=1,BuffsDebuffs!G$2,"")</f>
        <v/>
      </c>
      <c r="B209" s="251" t="str">
        <f>IF(BuffsDebuffs!$M205=1,BuffsDebuffs!H$2,"")</f>
        <v/>
      </c>
      <c r="C209" s="251" t="str">
        <f>IF(BuffsDebuffs!$M205=1,BuffsDebuffs!I$2,"")</f>
        <v/>
      </c>
      <c r="D209" s="251" t="str">
        <f>IF(BuffsDebuffs!$M205=1,BuffsDebuffs!J$2,"")</f>
        <v/>
      </c>
      <c r="E209" s="251" t="str">
        <f>IF(BuffsDebuffs!$M205=1,BuffsDebuffs!K$2,"")</f>
        <v/>
      </c>
      <c r="F209" s="251" t="str">
        <f>IF(BuffsDebuffs!$M205=1,BuffsDebuffs!L$2,"")</f>
        <v/>
      </c>
      <c r="G209" s="387" t="str">
        <f>IF($A209=Input!$A$3,B209,"")</f>
        <v/>
      </c>
      <c r="H209" s="323" t="str">
        <f>IF($A209=Input!$A$3,C209,"")</f>
        <v/>
      </c>
      <c r="I209" s="323" t="str">
        <f>IF($A209=Input!$A$3,D209,"")</f>
        <v/>
      </c>
      <c r="J209" s="323" t="str">
        <f>IF($A209=Input!$A$3,E209,"")</f>
        <v/>
      </c>
      <c r="K209" s="386" t="str">
        <f>IF($A209=Input!$A$3,F209,"")</f>
        <v/>
      </c>
      <c r="L209" s="387"/>
      <c r="M209" s="323"/>
      <c r="N209" s="323"/>
      <c r="O209" s="323"/>
      <c r="P209" s="323"/>
      <c r="Q209" s="387" t="str">
        <f>IF($A209=Input!$A$4,$B209,"")</f>
        <v/>
      </c>
      <c r="R209" s="323" t="str">
        <f>IF($A209=Input!$A$4,$C209,"")</f>
        <v/>
      </c>
      <c r="S209" s="323" t="str">
        <f>IF($A209=Input!$A$4,$D209,"")</f>
        <v/>
      </c>
      <c r="T209" s="323" t="str">
        <f>IF($A209=Input!$A$4,$E209,"")</f>
        <v/>
      </c>
      <c r="U209" s="386" t="str">
        <f>IF($A209=Input!$A$4,$F209,"")</f>
        <v/>
      </c>
      <c r="V209" s="323"/>
      <c r="W209" s="323"/>
      <c r="X209" s="323"/>
      <c r="Y209" s="323"/>
      <c r="Z209" s="323"/>
      <c r="AA209" s="387" t="str">
        <f>IF($A209=Input!$A$5,$B209,"")</f>
        <v/>
      </c>
      <c r="AB209" s="323" t="str">
        <f>IF($A209=Input!$A$5,$C209,"")</f>
        <v/>
      </c>
      <c r="AC209" s="323" t="str">
        <f>IF($A209=Input!$A$5,$D209,"")</f>
        <v/>
      </c>
      <c r="AD209" s="323" t="str">
        <f>IF($A209=Input!$A$5,$E209,"")</f>
        <v/>
      </c>
      <c r="AE209" s="386" t="str">
        <f>IF($A209=Input!$A$5,$F209,"")</f>
        <v/>
      </c>
      <c r="AF209" s="323"/>
      <c r="AG209" s="323"/>
      <c r="AH209" s="323"/>
      <c r="AI209" s="323"/>
      <c r="AJ209" s="323"/>
    </row>
    <row r="210" spans="1:36" x14ac:dyDescent="0.2">
      <c r="A210" s="250" t="str">
        <f>IF(BuffsDebuffs!$M206=1,BuffsDebuffs!G$2,"")</f>
        <v/>
      </c>
      <c r="B210" s="251" t="str">
        <f>IF(BuffsDebuffs!$M206=1,BuffsDebuffs!H$2,"")</f>
        <v/>
      </c>
      <c r="C210" s="251" t="str">
        <f>IF(BuffsDebuffs!$M206=1,BuffsDebuffs!I$2,"")</f>
        <v/>
      </c>
      <c r="D210" s="251" t="str">
        <f>IF(BuffsDebuffs!$M206=1,BuffsDebuffs!J$2,"")</f>
        <v/>
      </c>
      <c r="E210" s="251" t="str">
        <f>IF(BuffsDebuffs!$M206=1,BuffsDebuffs!K$2,"")</f>
        <v/>
      </c>
      <c r="F210" s="251" t="str">
        <f>IF(BuffsDebuffs!$M206=1,BuffsDebuffs!L$2,"")</f>
        <v/>
      </c>
      <c r="G210" s="387" t="str">
        <f>IF($A210=Input!$A$3,B210,"")</f>
        <v/>
      </c>
      <c r="H210" s="323" t="str">
        <f>IF($A210=Input!$A$3,C210,"")</f>
        <v/>
      </c>
      <c r="I210" s="323" t="str">
        <f>IF($A210=Input!$A$3,D210,"")</f>
        <v/>
      </c>
      <c r="J210" s="323" t="str">
        <f>IF($A210=Input!$A$3,E210,"")</f>
        <v/>
      </c>
      <c r="K210" s="386" t="str">
        <f>IF($A210=Input!$A$3,F210,"")</f>
        <v/>
      </c>
      <c r="L210" s="387"/>
      <c r="M210" s="323"/>
      <c r="N210" s="323"/>
      <c r="O210" s="323"/>
      <c r="P210" s="323"/>
      <c r="Q210" s="387" t="str">
        <f>IF($A210=Input!$A$4,$B210,"")</f>
        <v/>
      </c>
      <c r="R210" s="323" t="str">
        <f>IF($A210=Input!$A$4,$C210,"")</f>
        <v/>
      </c>
      <c r="S210" s="323" t="str">
        <f>IF($A210=Input!$A$4,$D210,"")</f>
        <v/>
      </c>
      <c r="T210" s="323" t="str">
        <f>IF($A210=Input!$A$4,$E210,"")</f>
        <v/>
      </c>
      <c r="U210" s="386" t="str">
        <f>IF($A210=Input!$A$4,$F210,"")</f>
        <v/>
      </c>
      <c r="V210" s="323"/>
      <c r="W210" s="323"/>
      <c r="X210" s="323"/>
      <c r="Y210" s="323"/>
      <c r="Z210" s="323"/>
      <c r="AA210" s="387" t="str">
        <f>IF($A210=Input!$A$5,$B210,"")</f>
        <v/>
      </c>
      <c r="AB210" s="323" t="str">
        <f>IF($A210=Input!$A$5,$C210,"")</f>
        <v/>
      </c>
      <c r="AC210" s="323" t="str">
        <f>IF($A210=Input!$A$5,$D210,"")</f>
        <v/>
      </c>
      <c r="AD210" s="323" t="str">
        <f>IF($A210=Input!$A$5,$E210,"")</f>
        <v/>
      </c>
      <c r="AE210" s="386" t="str">
        <f>IF($A210=Input!$A$5,$F210,"")</f>
        <v/>
      </c>
      <c r="AF210" s="323"/>
      <c r="AG210" s="323"/>
      <c r="AH210" s="323"/>
      <c r="AI210" s="323"/>
      <c r="AJ210" s="323"/>
    </row>
    <row r="211" spans="1:36" x14ac:dyDescent="0.2">
      <c r="A211" s="250" t="str">
        <f>IF(BuffsDebuffs!$M207=1,BuffsDebuffs!G$2,"")</f>
        <v/>
      </c>
      <c r="B211" s="251" t="str">
        <f>IF(BuffsDebuffs!$M207=1,BuffsDebuffs!H$2,"")</f>
        <v/>
      </c>
      <c r="C211" s="251" t="str">
        <f>IF(BuffsDebuffs!$M207=1,BuffsDebuffs!I$2,"")</f>
        <v/>
      </c>
      <c r="D211" s="251" t="str">
        <f>IF(BuffsDebuffs!$M207=1,BuffsDebuffs!J$2,"")</f>
        <v/>
      </c>
      <c r="E211" s="251" t="str">
        <f>IF(BuffsDebuffs!$M207=1,BuffsDebuffs!K$2,"")</f>
        <v/>
      </c>
      <c r="F211" s="251" t="str">
        <f>IF(BuffsDebuffs!$M207=1,BuffsDebuffs!L$2,"")</f>
        <v/>
      </c>
      <c r="G211" s="387" t="str">
        <f>IF($A211=Input!$A$3,B211,"")</f>
        <v/>
      </c>
      <c r="H211" s="323" t="str">
        <f>IF($A211=Input!$A$3,C211,"")</f>
        <v/>
      </c>
      <c r="I211" s="323" t="str">
        <f>IF($A211=Input!$A$3,D211,"")</f>
        <v/>
      </c>
      <c r="J211" s="323" t="str">
        <f>IF($A211=Input!$A$3,E211,"")</f>
        <v/>
      </c>
      <c r="K211" s="386" t="str">
        <f>IF($A211=Input!$A$3,F211,"")</f>
        <v/>
      </c>
      <c r="L211" s="387"/>
      <c r="M211" s="323"/>
      <c r="N211" s="323"/>
      <c r="O211" s="323"/>
      <c r="P211" s="323"/>
      <c r="Q211" s="387" t="str">
        <f>IF($A211=Input!$A$4,$B211,"")</f>
        <v/>
      </c>
      <c r="R211" s="323" t="str">
        <f>IF($A211=Input!$A$4,$C211,"")</f>
        <v/>
      </c>
      <c r="S211" s="323" t="str">
        <f>IF($A211=Input!$A$4,$D211,"")</f>
        <v/>
      </c>
      <c r="T211" s="323" t="str">
        <f>IF($A211=Input!$A$4,$E211,"")</f>
        <v/>
      </c>
      <c r="U211" s="386" t="str">
        <f>IF($A211=Input!$A$4,$F211,"")</f>
        <v/>
      </c>
      <c r="V211" s="323"/>
      <c r="W211" s="323"/>
      <c r="X211" s="323"/>
      <c r="Y211" s="323"/>
      <c r="Z211" s="323"/>
      <c r="AA211" s="387" t="str">
        <f>IF($A211=Input!$A$5,$B211,"")</f>
        <v/>
      </c>
      <c r="AB211" s="323" t="str">
        <f>IF($A211=Input!$A$5,$C211,"")</f>
        <v/>
      </c>
      <c r="AC211" s="323" t="str">
        <f>IF($A211=Input!$A$5,$D211,"")</f>
        <v/>
      </c>
      <c r="AD211" s="323" t="str">
        <f>IF($A211=Input!$A$5,$E211,"")</f>
        <v/>
      </c>
      <c r="AE211" s="386" t="str">
        <f>IF($A211=Input!$A$5,$F211,"")</f>
        <v/>
      </c>
      <c r="AF211" s="323"/>
      <c r="AG211" s="323"/>
      <c r="AH211" s="323"/>
      <c r="AI211" s="323"/>
      <c r="AJ211" s="323"/>
    </row>
    <row r="212" spans="1:36" x14ac:dyDescent="0.2">
      <c r="A212" s="250" t="str">
        <f>IF(BuffsDebuffs!$M208=1,BuffsDebuffs!G$2,"")</f>
        <v/>
      </c>
      <c r="B212" s="251" t="str">
        <f>IF(BuffsDebuffs!$M208=1,BuffsDebuffs!H$2,"")</f>
        <v/>
      </c>
      <c r="C212" s="251" t="str">
        <f>IF(BuffsDebuffs!$M208=1,BuffsDebuffs!I$2,"")</f>
        <v/>
      </c>
      <c r="D212" s="251" t="str">
        <f>IF(BuffsDebuffs!$M208=1,BuffsDebuffs!J$2,"")</f>
        <v/>
      </c>
      <c r="E212" s="251" t="str">
        <f>IF(BuffsDebuffs!$M208=1,BuffsDebuffs!K$2,"")</f>
        <v/>
      </c>
      <c r="F212" s="251" t="str">
        <f>IF(BuffsDebuffs!$M208=1,BuffsDebuffs!L$2,"")</f>
        <v/>
      </c>
      <c r="G212" s="387" t="str">
        <f>IF($A212=Input!$A$3,B212,"")</f>
        <v/>
      </c>
      <c r="H212" s="323" t="str">
        <f>IF($A212=Input!$A$3,C212,"")</f>
        <v/>
      </c>
      <c r="I212" s="323" t="str">
        <f>IF($A212=Input!$A$3,D212,"")</f>
        <v/>
      </c>
      <c r="J212" s="323" t="str">
        <f>IF($A212=Input!$A$3,E212,"")</f>
        <v/>
      </c>
      <c r="K212" s="386" t="str">
        <f>IF($A212=Input!$A$3,F212,"")</f>
        <v/>
      </c>
      <c r="L212" s="387"/>
      <c r="M212" s="323"/>
      <c r="N212" s="323"/>
      <c r="O212" s="323"/>
      <c r="P212" s="323"/>
      <c r="Q212" s="387" t="str">
        <f>IF($A212=Input!$A$4,$B212,"")</f>
        <v/>
      </c>
      <c r="R212" s="323" t="str">
        <f>IF($A212=Input!$A$4,$C212,"")</f>
        <v/>
      </c>
      <c r="S212" s="323" t="str">
        <f>IF($A212=Input!$A$4,$D212,"")</f>
        <v/>
      </c>
      <c r="T212" s="323" t="str">
        <f>IF($A212=Input!$A$4,$E212,"")</f>
        <v/>
      </c>
      <c r="U212" s="386" t="str">
        <f>IF($A212=Input!$A$4,$F212,"")</f>
        <v/>
      </c>
      <c r="V212" s="323"/>
      <c r="W212" s="323"/>
      <c r="X212" s="323"/>
      <c r="Y212" s="323"/>
      <c r="Z212" s="323"/>
      <c r="AA212" s="387" t="str">
        <f>IF($A212=Input!$A$5,$B212,"")</f>
        <v/>
      </c>
      <c r="AB212" s="323" t="str">
        <f>IF($A212=Input!$A$5,$C212,"")</f>
        <v/>
      </c>
      <c r="AC212" s="323" t="str">
        <f>IF($A212=Input!$A$5,$D212,"")</f>
        <v/>
      </c>
      <c r="AD212" s="323" t="str">
        <f>IF($A212=Input!$A$5,$E212,"")</f>
        <v/>
      </c>
      <c r="AE212" s="386" t="str">
        <f>IF($A212=Input!$A$5,$F212,"")</f>
        <v/>
      </c>
      <c r="AF212" s="323"/>
      <c r="AG212" s="323"/>
      <c r="AH212" s="323"/>
      <c r="AI212" s="323"/>
      <c r="AJ212" s="323"/>
    </row>
    <row r="213" spans="1:36" x14ac:dyDescent="0.2">
      <c r="A213" s="250" t="str">
        <f>IF(BuffsDebuffs!$M209=1,BuffsDebuffs!G$2,"")</f>
        <v/>
      </c>
      <c r="B213" s="251" t="str">
        <f>IF(BuffsDebuffs!$M209=1,BuffsDebuffs!H$2,"")</f>
        <v/>
      </c>
      <c r="C213" s="251" t="str">
        <f>IF(BuffsDebuffs!$M209=1,BuffsDebuffs!I$2,"")</f>
        <v/>
      </c>
      <c r="D213" s="251" t="str">
        <f>IF(BuffsDebuffs!$M209=1,BuffsDebuffs!J$2,"")</f>
        <v/>
      </c>
      <c r="E213" s="251" t="str">
        <f>IF(BuffsDebuffs!$M209=1,BuffsDebuffs!K$2,"")</f>
        <v/>
      </c>
      <c r="F213" s="251" t="str">
        <f>IF(BuffsDebuffs!$M209=1,BuffsDebuffs!L$2,"")</f>
        <v/>
      </c>
      <c r="G213" s="387" t="str">
        <f>IF($A213=Input!$A$3,B213,"")</f>
        <v/>
      </c>
      <c r="H213" s="323" t="str">
        <f>IF($A213=Input!$A$3,C213,"")</f>
        <v/>
      </c>
      <c r="I213" s="323" t="str">
        <f>IF($A213=Input!$A$3,D213,"")</f>
        <v/>
      </c>
      <c r="J213" s="323" t="str">
        <f>IF($A213=Input!$A$3,E213,"")</f>
        <v/>
      </c>
      <c r="K213" s="386" t="str">
        <f>IF($A213=Input!$A$3,F213,"")</f>
        <v/>
      </c>
      <c r="L213" s="387"/>
      <c r="M213" s="323"/>
      <c r="N213" s="323"/>
      <c r="O213" s="323"/>
      <c r="P213" s="323"/>
      <c r="Q213" s="387" t="str">
        <f>IF($A213=Input!$A$4,$B213,"")</f>
        <v/>
      </c>
      <c r="R213" s="323" t="str">
        <f>IF($A213=Input!$A$4,$C213,"")</f>
        <v/>
      </c>
      <c r="S213" s="323" t="str">
        <f>IF($A213=Input!$A$4,$D213,"")</f>
        <v/>
      </c>
      <c r="T213" s="323" t="str">
        <f>IF($A213=Input!$A$4,$E213,"")</f>
        <v/>
      </c>
      <c r="U213" s="386" t="str">
        <f>IF($A213=Input!$A$4,$F213,"")</f>
        <v/>
      </c>
      <c r="V213" s="323"/>
      <c r="W213" s="323"/>
      <c r="X213" s="323"/>
      <c r="Y213" s="323"/>
      <c r="Z213" s="323"/>
      <c r="AA213" s="387" t="str">
        <f>IF($A213=Input!$A$5,$B213,"")</f>
        <v/>
      </c>
      <c r="AB213" s="323" t="str">
        <f>IF($A213=Input!$A$5,$C213,"")</f>
        <v/>
      </c>
      <c r="AC213" s="323" t="str">
        <f>IF($A213=Input!$A$5,$D213,"")</f>
        <v/>
      </c>
      <c r="AD213" s="323" t="str">
        <f>IF($A213=Input!$A$5,$E213,"")</f>
        <v/>
      </c>
      <c r="AE213" s="386" t="str">
        <f>IF($A213=Input!$A$5,$F213,"")</f>
        <v/>
      </c>
      <c r="AF213" s="323"/>
      <c r="AG213" s="323"/>
      <c r="AH213" s="323"/>
      <c r="AI213" s="323"/>
      <c r="AJ213" s="323"/>
    </row>
    <row r="214" spans="1:36" x14ac:dyDescent="0.2">
      <c r="A214" s="250" t="str">
        <f>IF(BuffsDebuffs!$M210=1,BuffsDebuffs!G$2,"")</f>
        <v/>
      </c>
      <c r="B214" s="251" t="str">
        <f>IF(BuffsDebuffs!$M210=1,BuffsDebuffs!H$2,"")</f>
        <v/>
      </c>
      <c r="C214" s="251" t="str">
        <f>IF(BuffsDebuffs!$M210=1,BuffsDebuffs!I$2,"")</f>
        <v/>
      </c>
      <c r="D214" s="251" t="str">
        <f>IF(BuffsDebuffs!$M210=1,BuffsDebuffs!J$2,"")</f>
        <v/>
      </c>
      <c r="E214" s="251" t="str">
        <f>IF(BuffsDebuffs!$M210=1,BuffsDebuffs!K$2,"")</f>
        <v/>
      </c>
      <c r="F214" s="251" t="str">
        <f>IF(BuffsDebuffs!$M210=1,BuffsDebuffs!L$2,"")</f>
        <v/>
      </c>
      <c r="G214" s="387" t="str">
        <f>IF($A214=Input!$A$3,B214,"")</f>
        <v/>
      </c>
      <c r="H214" s="323" t="str">
        <f>IF($A214=Input!$A$3,C214,"")</f>
        <v/>
      </c>
      <c r="I214" s="323" t="str">
        <f>IF($A214=Input!$A$3,D214,"")</f>
        <v/>
      </c>
      <c r="J214" s="323" t="str">
        <f>IF($A214=Input!$A$3,E214,"")</f>
        <v/>
      </c>
      <c r="K214" s="386" t="str">
        <f>IF($A214=Input!$A$3,F214,"")</f>
        <v/>
      </c>
      <c r="L214" s="387"/>
      <c r="M214" s="323"/>
      <c r="N214" s="323"/>
      <c r="O214" s="323"/>
      <c r="P214" s="323"/>
      <c r="Q214" s="387" t="str">
        <f>IF($A214=Input!$A$4,$B214,"")</f>
        <v/>
      </c>
      <c r="R214" s="323" t="str">
        <f>IF($A214=Input!$A$4,$C214,"")</f>
        <v/>
      </c>
      <c r="S214" s="323" t="str">
        <f>IF($A214=Input!$A$4,$D214,"")</f>
        <v/>
      </c>
      <c r="T214" s="323" t="str">
        <f>IF($A214=Input!$A$4,$E214,"")</f>
        <v/>
      </c>
      <c r="U214" s="386" t="str">
        <f>IF($A214=Input!$A$4,$F214,"")</f>
        <v/>
      </c>
      <c r="V214" s="323"/>
      <c r="W214" s="323"/>
      <c r="X214" s="323"/>
      <c r="Y214" s="323"/>
      <c r="Z214" s="323"/>
      <c r="AA214" s="387" t="str">
        <f>IF($A214=Input!$A$5,$B214,"")</f>
        <v/>
      </c>
      <c r="AB214" s="323" t="str">
        <f>IF($A214=Input!$A$5,$C214,"")</f>
        <v/>
      </c>
      <c r="AC214" s="323" t="str">
        <f>IF($A214=Input!$A$5,$D214,"")</f>
        <v/>
      </c>
      <c r="AD214" s="323" t="str">
        <f>IF($A214=Input!$A$5,$E214,"")</f>
        <v/>
      </c>
      <c r="AE214" s="386" t="str">
        <f>IF($A214=Input!$A$5,$F214,"")</f>
        <v/>
      </c>
      <c r="AF214" s="323"/>
      <c r="AG214" s="323"/>
      <c r="AH214" s="323"/>
      <c r="AI214" s="323"/>
      <c r="AJ214" s="323"/>
    </row>
    <row r="215" spans="1:36" x14ac:dyDescent="0.2">
      <c r="A215" s="250" t="str">
        <f>IF(BuffsDebuffs!$M211=1,BuffsDebuffs!G$2,"")</f>
        <v/>
      </c>
      <c r="B215" s="251" t="str">
        <f>IF(BuffsDebuffs!$M211=1,BuffsDebuffs!H$2,"")</f>
        <v/>
      </c>
      <c r="C215" s="251" t="str">
        <f>IF(BuffsDebuffs!$M211=1,BuffsDebuffs!I$2,"")</f>
        <v/>
      </c>
      <c r="D215" s="251" t="str">
        <f>IF(BuffsDebuffs!$M211=1,BuffsDebuffs!J$2,"")</f>
        <v/>
      </c>
      <c r="E215" s="251" t="str">
        <f>IF(BuffsDebuffs!$M211=1,BuffsDebuffs!K$2,"")</f>
        <v/>
      </c>
      <c r="F215" s="251" t="str">
        <f>IF(BuffsDebuffs!$M211=1,BuffsDebuffs!L$2,"")</f>
        <v/>
      </c>
      <c r="G215" s="387" t="str">
        <f>IF($A215=Input!$A$3,B215,"")</f>
        <v/>
      </c>
      <c r="H215" s="323" t="str">
        <f>IF($A215=Input!$A$3,C215,"")</f>
        <v/>
      </c>
      <c r="I215" s="323" t="str">
        <f>IF($A215=Input!$A$3,D215,"")</f>
        <v/>
      </c>
      <c r="J215" s="323" t="str">
        <f>IF($A215=Input!$A$3,E215,"")</f>
        <v/>
      </c>
      <c r="K215" s="386" t="str">
        <f>IF($A215=Input!$A$3,F215,"")</f>
        <v/>
      </c>
      <c r="L215" s="387"/>
      <c r="M215" s="323"/>
      <c r="N215" s="323"/>
      <c r="O215" s="323"/>
      <c r="P215" s="323"/>
      <c r="Q215" s="387" t="str">
        <f>IF($A215=Input!$A$4,$B215,"")</f>
        <v/>
      </c>
      <c r="R215" s="323" t="str">
        <f>IF($A215=Input!$A$4,$C215,"")</f>
        <v/>
      </c>
      <c r="S215" s="323" t="str">
        <f>IF($A215=Input!$A$4,$D215,"")</f>
        <v/>
      </c>
      <c r="T215" s="323" t="str">
        <f>IF($A215=Input!$A$4,$E215,"")</f>
        <v/>
      </c>
      <c r="U215" s="386" t="str">
        <f>IF($A215=Input!$A$4,$F215,"")</f>
        <v/>
      </c>
      <c r="V215" s="323"/>
      <c r="W215" s="323"/>
      <c r="X215" s="323"/>
      <c r="Y215" s="323"/>
      <c r="Z215" s="323"/>
      <c r="AA215" s="387" t="str">
        <f>IF($A215=Input!$A$5,$B215,"")</f>
        <v/>
      </c>
      <c r="AB215" s="323" t="str">
        <f>IF($A215=Input!$A$5,$C215,"")</f>
        <v/>
      </c>
      <c r="AC215" s="323" t="str">
        <f>IF($A215=Input!$A$5,$D215,"")</f>
        <v/>
      </c>
      <c r="AD215" s="323" t="str">
        <f>IF($A215=Input!$A$5,$E215,"")</f>
        <v/>
      </c>
      <c r="AE215" s="386" t="str">
        <f>IF($A215=Input!$A$5,$F215,"")</f>
        <v/>
      </c>
      <c r="AF215" s="323"/>
      <c r="AG215" s="323"/>
      <c r="AH215" s="323"/>
      <c r="AI215" s="323"/>
      <c r="AJ215" s="323"/>
    </row>
    <row r="216" spans="1:36" x14ac:dyDescent="0.2">
      <c r="A216" s="250" t="str">
        <f>IF(BuffsDebuffs!$M212=1,BuffsDebuffs!G$2,"")</f>
        <v/>
      </c>
      <c r="B216" s="251" t="str">
        <f>IF(BuffsDebuffs!$M212=1,BuffsDebuffs!H$2,"")</f>
        <v/>
      </c>
      <c r="C216" s="251" t="str">
        <f>IF(BuffsDebuffs!$M212=1,BuffsDebuffs!I$2,"")</f>
        <v/>
      </c>
      <c r="D216" s="251" t="str">
        <f>IF(BuffsDebuffs!$M212=1,BuffsDebuffs!J$2,"")</f>
        <v/>
      </c>
      <c r="E216" s="251" t="str">
        <f>IF(BuffsDebuffs!$M212=1,BuffsDebuffs!K$2,"")</f>
        <v/>
      </c>
      <c r="F216" s="251" t="str">
        <f>IF(BuffsDebuffs!$M212=1,BuffsDebuffs!L$2,"")</f>
        <v/>
      </c>
      <c r="G216" s="387" t="str">
        <f>IF($A216=Input!$A$3,B216,"")</f>
        <v/>
      </c>
      <c r="H216" s="323" t="str">
        <f>IF($A216=Input!$A$3,C216,"")</f>
        <v/>
      </c>
      <c r="I216" s="323" t="str">
        <f>IF($A216=Input!$A$3,D216,"")</f>
        <v/>
      </c>
      <c r="J216" s="323" t="str">
        <f>IF($A216=Input!$A$3,E216,"")</f>
        <v/>
      </c>
      <c r="K216" s="386" t="str">
        <f>IF($A216=Input!$A$3,F216,"")</f>
        <v/>
      </c>
      <c r="L216" s="387"/>
      <c r="M216" s="323"/>
      <c r="N216" s="323"/>
      <c r="O216" s="323"/>
      <c r="P216" s="323"/>
      <c r="Q216" s="387" t="str">
        <f>IF($A216=Input!$A$4,$B216,"")</f>
        <v/>
      </c>
      <c r="R216" s="323" t="str">
        <f>IF($A216=Input!$A$4,$C216,"")</f>
        <v/>
      </c>
      <c r="S216" s="323" t="str">
        <f>IF($A216=Input!$A$4,$D216,"")</f>
        <v/>
      </c>
      <c r="T216" s="323" t="str">
        <f>IF($A216=Input!$A$4,$E216,"")</f>
        <v/>
      </c>
      <c r="U216" s="386" t="str">
        <f>IF($A216=Input!$A$4,$F216,"")</f>
        <v/>
      </c>
      <c r="V216" s="323"/>
      <c r="W216" s="323"/>
      <c r="X216" s="323"/>
      <c r="Y216" s="323"/>
      <c r="Z216" s="323"/>
      <c r="AA216" s="387" t="str">
        <f>IF($A216=Input!$A$5,$B216,"")</f>
        <v/>
      </c>
      <c r="AB216" s="323" t="str">
        <f>IF($A216=Input!$A$5,$C216,"")</f>
        <v/>
      </c>
      <c r="AC216" s="323" t="str">
        <f>IF($A216=Input!$A$5,$D216,"")</f>
        <v/>
      </c>
      <c r="AD216" s="323" t="str">
        <f>IF($A216=Input!$A$5,$E216,"")</f>
        <v/>
      </c>
      <c r="AE216" s="386" t="str">
        <f>IF($A216=Input!$A$5,$F216,"")</f>
        <v/>
      </c>
      <c r="AF216" s="323"/>
      <c r="AG216" s="323"/>
      <c r="AH216" s="323"/>
      <c r="AI216" s="323"/>
      <c r="AJ216" s="323"/>
    </row>
    <row r="217" spans="1:36" x14ac:dyDescent="0.2">
      <c r="A217" s="250" t="str">
        <f>IF(BuffsDebuffs!$M213=1,BuffsDebuffs!G$2,"")</f>
        <v/>
      </c>
      <c r="B217" s="251" t="str">
        <f>IF(BuffsDebuffs!$M213=1,BuffsDebuffs!H$2,"")</f>
        <v/>
      </c>
      <c r="C217" s="251" t="str">
        <f>IF(BuffsDebuffs!$M213=1,BuffsDebuffs!I$2,"")</f>
        <v/>
      </c>
      <c r="D217" s="251" t="str">
        <f>IF(BuffsDebuffs!$M213=1,BuffsDebuffs!J$2,"")</f>
        <v/>
      </c>
      <c r="E217" s="251" t="str">
        <f>IF(BuffsDebuffs!$M213=1,BuffsDebuffs!K$2,"")</f>
        <v/>
      </c>
      <c r="F217" s="251" t="str">
        <f>IF(BuffsDebuffs!$M213=1,BuffsDebuffs!L$2,"")</f>
        <v/>
      </c>
      <c r="G217" s="387" t="str">
        <f>IF($A217=Input!$A$3,B217,"")</f>
        <v/>
      </c>
      <c r="H217" s="323" t="str">
        <f>IF($A217=Input!$A$3,C217,"")</f>
        <v/>
      </c>
      <c r="I217" s="323" t="str">
        <f>IF($A217=Input!$A$3,D217,"")</f>
        <v/>
      </c>
      <c r="J217" s="323" t="str">
        <f>IF($A217=Input!$A$3,E217,"")</f>
        <v/>
      </c>
      <c r="K217" s="386" t="str">
        <f>IF($A217=Input!$A$3,F217,"")</f>
        <v/>
      </c>
      <c r="L217" s="387"/>
      <c r="M217" s="323"/>
      <c r="N217" s="323"/>
      <c r="O217" s="323"/>
      <c r="P217" s="323"/>
      <c r="Q217" s="387" t="str">
        <f>IF($A217=Input!$A$4,$B217,"")</f>
        <v/>
      </c>
      <c r="R217" s="323" t="str">
        <f>IF($A217=Input!$A$4,$C217,"")</f>
        <v/>
      </c>
      <c r="S217" s="323" t="str">
        <f>IF($A217=Input!$A$4,$D217,"")</f>
        <v/>
      </c>
      <c r="T217" s="323" t="str">
        <f>IF($A217=Input!$A$4,$E217,"")</f>
        <v/>
      </c>
      <c r="U217" s="386" t="str">
        <f>IF($A217=Input!$A$4,$F217,"")</f>
        <v/>
      </c>
      <c r="V217" s="323"/>
      <c r="W217" s="323"/>
      <c r="X217" s="323"/>
      <c r="Y217" s="323"/>
      <c r="Z217" s="323"/>
      <c r="AA217" s="387" t="str">
        <f>IF($A217=Input!$A$5,$B217,"")</f>
        <v/>
      </c>
      <c r="AB217" s="323" t="str">
        <f>IF($A217=Input!$A$5,$C217,"")</f>
        <v/>
      </c>
      <c r="AC217" s="323" t="str">
        <f>IF($A217=Input!$A$5,$D217,"")</f>
        <v/>
      </c>
      <c r="AD217" s="323" t="str">
        <f>IF($A217=Input!$A$5,$E217,"")</f>
        <v/>
      </c>
      <c r="AE217" s="386" t="str">
        <f>IF($A217=Input!$A$5,$F217,"")</f>
        <v/>
      </c>
      <c r="AF217" s="323"/>
      <c r="AG217" s="323"/>
      <c r="AH217" s="323"/>
      <c r="AI217" s="323"/>
      <c r="AJ217" s="323"/>
    </row>
    <row r="218" spans="1:36" x14ac:dyDescent="0.2">
      <c r="A218" s="250" t="str">
        <f>IF(BuffsDebuffs!$M214=1,BuffsDebuffs!G$2,"")</f>
        <v/>
      </c>
      <c r="B218" s="251" t="str">
        <f>IF(BuffsDebuffs!$M214=1,BuffsDebuffs!H$2,"")</f>
        <v/>
      </c>
      <c r="C218" s="251" t="str">
        <f>IF(BuffsDebuffs!$M214=1,BuffsDebuffs!I$2,"")</f>
        <v/>
      </c>
      <c r="D218" s="251" t="str">
        <f>IF(BuffsDebuffs!$M214=1,BuffsDebuffs!J$2,"")</f>
        <v/>
      </c>
      <c r="E218" s="251" t="str">
        <f>IF(BuffsDebuffs!$M214=1,BuffsDebuffs!K$2,"")</f>
        <v/>
      </c>
      <c r="F218" s="251" t="str">
        <f>IF(BuffsDebuffs!$M214=1,BuffsDebuffs!L$2,"")</f>
        <v/>
      </c>
      <c r="G218" s="387" t="str">
        <f>IF($A218=Input!$A$3,B218,"")</f>
        <v/>
      </c>
      <c r="H218" s="323" t="str">
        <f>IF($A218=Input!$A$3,C218,"")</f>
        <v/>
      </c>
      <c r="I218" s="323" t="str">
        <f>IF($A218=Input!$A$3,D218,"")</f>
        <v/>
      </c>
      <c r="J218" s="323" t="str">
        <f>IF($A218=Input!$A$3,E218,"")</f>
        <v/>
      </c>
      <c r="K218" s="386" t="str">
        <f>IF($A218=Input!$A$3,F218,"")</f>
        <v/>
      </c>
      <c r="L218" s="387"/>
      <c r="M218" s="323"/>
      <c r="N218" s="323"/>
      <c r="O218" s="323"/>
      <c r="P218" s="323"/>
      <c r="Q218" s="387" t="str">
        <f>IF($A218=Input!$A$4,$B218,"")</f>
        <v/>
      </c>
      <c r="R218" s="323" t="str">
        <f>IF($A218=Input!$A$4,$C218,"")</f>
        <v/>
      </c>
      <c r="S218" s="323" t="str">
        <f>IF($A218=Input!$A$4,$D218,"")</f>
        <v/>
      </c>
      <c r="T218" s="323" t="str">
        <f>IF($A218=Input!$A$4,$E218,"")</f>
        <v/>
      </c>
      <c r="U218" s="386" t="str">
        <f>IF($A218=Input!$A$4,$F218,"")</f>
        <v/>
      </c>
      <c r="V218" s="323"/>
      <c r="W218" s="323"/>
      <c r="X218" s="323"/>
      <c r="Y218" s="323"/>
      <c r="Z218" s="323"/>
      <c r="AA218" s="387" t="str">
        <f>IF($A218=Input!$A$5,$B218,"")</f>
        <v/>
      </c>
      <c r="AB218" s="323" t="str">
        <f>IF($A218=Input!$A$5,$C218,"")</f>
        <v/>
      </c>
      <c r="AC218" s="323" t="str">
        <f>IF($A218=Input!$A$5,$D218,"")</f>
        <v/>
      </c>
      <c r="AD218" s="323" t="str">
        <f>IF($A218=Input!$A$5,$E218,"")</f>
        <v/>
      </c>
      <c r="AE218" s="386" t="str">
        <f>IF($A218=Input!$A$5,$F218,"")</f>
        <v/>
      </c>
      <c r="AF218" s="323"/>
      <c r="AG218" s="323"/>
      <c r="AH218" s="323"/>
      <c r="AI218" s="323"/>
      <c r="AJ218" s="323"/>
    </row>
    <row r="219" spans="1:36" x14ac:dyDescent="0.2">
      <c r="A219" s="250" t="str">
        <f>IF(BuffsDebuffs!$M215=1,BuffsDebuffs!G$2,"")</f>
        <v/>
      </c>
      <c r="B219" s="251" t="str">
        <f>IF(BuffsDebuffs!$M215=1,BuffsDebuffs!H$2,"")</f>
        <v/>
      </c>
      <c r="C219" s="251" t="str">
        <f>IF(BuffsDebuffs!$M215=1,BuffsDebuffs!I$2,"")</f>
        <v/>
      </c>
      <c r="D219" s="251" t="str">
        <f>IF(BuffsDebuffs!$M215=1,BuffsDebuffs!J$2,"")</f>
        <v/>
      </c>
      <c r="E219" s="251" t="str">
        <f>IF(BuffsDebuffs!$M215=1,BuffsDebuffs!K$2,"")</f>
        <v/>
      </c>
      <c r="F219" s="251" t="str">
        <f>IF(BuffsDebuffs!$M215=1,BuffsDebuffs!L$2,"")</f>
        <v/>
      </c>
      <c r="G219" s="387" t="str">
        <f>IF($A219=Input!$A$3,B219,"")</f>
        <v/>
      </c>
      <c r="H219" s="323" t="str">
        <f>IF($A219=Input!$A$3,C219,"")</f>
        <v/>
      </c>
      <c r="I219" s="323" t="str">
        <f>IF($A219=Input!$A$3,D219,"")</f>
        <v/>
      </c>
      <c r="J219" s="323" t="str">
        <f>IF($A219=Input!$A$3,E219,"")</f>
        <v/>
      </c>
      <c r="K219" s="386" t="str">
        <f>IF($A219=Input!$A$3,F219,"")</f>
        <v/>
      </c>
      <c r="L219" s="387"/>
      <c r="M219" s="323"/>
      <c r="N219" s="323"/>
      <c r="O219" s="323"/>
      <c r="P219" s="323"/>
      <c r="Q219" s="387" t="str">
        <f>IF($A219=Input!$A$4,$B219,"")</f>
        <v/>
      </c>
      <c r="R219" s="323" t="str">
        <f>IF($A219=Input!$A$4,$C219,"")</f>
        <v/>
      </c>
      <c r="S219" s="323" t="str">
        <f>IF($A219=Input!$A$4,$D219,"")</f>
        <v/>
      </c>
      <c r="T219" s="323" t="str">
        <f>IF($A219=Input!$A$4,$E219,"")</f>
        <v/>
      </c>
      <c r="U219" s="386" t="str">
        <f>IF($A219=Input!$A$4,$F219,"")</f>
        <v/>
      </c>
      <c r="V219" s="323"/>
      <c r="W219" s="323"/>
      <c r="X219" s="323"/>
      <c r="Y219" s="323"/>
      <c r="Z219" s="323"/>
      <c r="AA219" s="387" t="str">
        <f>IF($A219=Input!$A$5,$B219,"")</f>
        <v/>
      </c>
      <c r="AB219" s="323" t="str">
        <f>IF($A219=Input!$A$5,$C219,"")</f>
        <v/>
      </c>
      <c r="AC219" s="323" t="str">
        <f>IF($A219=Input!$A$5,$D219,"")</f>
        <v/>
      </c>
      <c r="AD219" s="323" t="str">
        <f>IF($A219=Input!$A$5,$E219,"")</f>
        <v/>
      </c>
      <c r="AE219" s="386" t="str">
        <f>IF($A219=Input!$A$5,$F219,"")</f>
        <v/>
      </c>
      <c r="AF219" s="323"/>
      <c r="AG219" s="323"/>
      <c r="AH219" s="323"/>
      <c r="AI219" s="323"/>
      <c r="AJ219" s="323"/>
    </row>
    <row r="220" spans="1:36" x14ac:dyDescent="0.2">
      <c r="A220" s="250" t="str">
        <f>IF(BuffsDebuffs!$M216=1,BuffsDebuffs!G$2,"")</f>
        <v/>
      </c>
      <c r="B220" s="251" t="str">
        <f>IF(BuffsDebuffs!$M216=1,BuffsDebuffs!H$2,"")</f>
        <v/>
      </c>
      <c r="C220" s="251" t="str">
        <f>IF(BuffsDebuffs!$M216=1,BuffsDebuffs!I$2,"")</f>
        <v/>
      </c>
      <c r="D220" s="251" t="str">
        <f>IF(BuffsDebuffs!$M216=1,BuffsDebuffs!J$2,"")</f>
        <v/>
      </c>
      <c r="E220" s="251" t="str">
        <f>IF(BuffsDebuffs!$M216=1,BuffsDebuffs!K$2,"")</f>
        <v/>
      </c>
      <c r="F220" s="251" t="str">
        <f>IF(BuffsDebuffs!$M216=1,BuffsDebuffs!L$2,"")</f>
        <v/>
      </c>
      <c r="G220" s="387" t="str">
        <f>IF($A220=Input!$A$3,B220,"")</f>
        <v/>
      </c>
      <c r="H220" s="323" t="str">
        <f>IF($A220=Input!$A$3,C220,"")</f>
        <v/>
      </c>
      <c r="I220" s="323" t="str">
        <f>IF($A220=Input!$A$3,D220,"")</f>
        <v/>
      </c>
      <c r="J220" s="323" t="str">
        <f>IF($A220=Input!$A$3,E220,"")</f>
        <v/>
      </c>
      <c r="K220" s="386" t="str">
        <f>IF($A220=Input!$A$3,F220,"")</f>
        <v/>
      </c>
      <c r="L220" s="387"/>
      <c r="M220" s="323"/>
      <c r="N220" s="323"/>
      <c r="O220" s="323"/>
      <c r="P220" s="323"/>
      <c r="Q220" s="387" t="str">
        <f>IF($A220=Input!$A$4,$B220,"")</f>
        <v/>
      </c>
      <c r="R220" s="323" t="str">
        <f>IF($A220=Input!$A$4,$C220,"")</f>
        <v/>
      </c>
      <c r="S220" s="323" t="str">
        <f>IF($A220=Input!$A$4,$D220,"")</f>
        <v/>
      </c>
      <c r="T220" s="323" t="str">
        <f>IF($A220=Input!$A$4,$E220,"")</f>
        <v/>
      </c>
      <c r="U220" s="386" t="str">
        <f>IF($A220=Input!$A$4,$F220,"")</f>
        <v/>
      </c>
      <c r="V220" s="323"/>
      <c r="W220" s="323"/>
      <c r="X220" s="323"/>
      <c r="Y220" s="323"/>
      <c r="Z220" s="323"/>
      <c r="AA220" s="387" t="str">
        <f>IF($A220=Input!$A$5,$B220,"")</f>
        <v/>
      </c>
      <c r="AB220" s="323" t="str">
        <f>IF($A220=Input!$A$5,$C220,"")</f>
        <v/>
      </c>
      <c r="AC220" s="323" t="str">
        <f>IF($A220=Input!$A$5,$D220,"")</f>
        <v/>
      </c>
      <c r="AD220" s="323" t="str">
        <f>IF($A220=Input!$A$5,$E220,"")</f>
        <v/>
      </c>
      <c r="AE220" s="386" t="str">
        <f>IF($A220=Input!$A$5,$F220,"")</f>
        <v/>
      </c>
      <c r="AF220" s="323"/>
      <c r="AG220" s="323"/>
      <c r="AH220" s="323"/>
      <c r="AI220" s="323"/>
      <c r="AJ220" s="323"/>
    </row>
    <row r="221" spans="1:36" x14ac:dyDescent="0.2">
      <c r="A221" s="250" t="str">
        <f>IF(BuffsDebuffs!$M217=1,BuffsDebuffs!G$2,"")</f>
        <v/>
      </c>
      <c r="B221" s="251" t="str">
        <f>IF(BuffsDebuffs!$M217=1,BuffsDebuffs!H$2,"")</f>
        <v/>
      </c>
      <c r="C221" s="251" t="str">
        <f>IF(BuffsDebuffs!$M217=1,BuffsDebuffs!I$2,"")</f>
        <v/>
      </c>
      <c r="D221" s="251" t="str">
        <f>IF(BuffsDebuffs!$M217=1,BuffsDebuffs!J$2,"")</f>
        <v/>
      </c>
      <c r="E221" s="251" t="str">
        <f>IF(BuffsDebuffs!$M217=1,BuffsDebuffs!K$2,"")</f>
        <v/>
      </c>
      <c r="F221" s="251" t="str">
        <f>IF(BuffsDebuffs!$M217=1,BuffsDebuffs!L$2,"")</f>
        <v/>
      </c>
      <c r="G221" s="387" t="str">
        <f>IF($A221=Input!$A$3,B221,"")</f>
        <v/>
      </c>
      <c r="H221" s="323" t="str">
        <f>IF($A221=Input!$A$3,C221,"")</f>
        <v/>
      </c>
      <c r="I221" s="323" t="str">
        <f>IF($A221=Input!$A$3,D221,"")</f>
        <v/>
      </c>
      <c r="J221" s="323" t="str">
        <f>IF($A221=Input!$A$3,E221,"")</f>
        <v/>
      </c>
      <c r="K221" s="386" t="str">
        <f>IF($A221=Input!$A$3,F221,"")</f>
        <v/>
      </c>
      <c r="L221" s="387"/>
      <c r="M221" s="323"/>
      <c r="N221" s="323"/>
      <c r="O221" s="323"/>
      <c r="P221" s="323"/>
      <c r="Q221" s="387" t="str">
        <f>IF($A221=Input!$A$4,$B221,"")</f>
        <v/>
      </c>
      <c r="R221" s="323" t="str">
        <f>IF($A221=Input!$A$4,$C221,"")</f>
        <v/>
      </c>
      <c r="S221" s="323" t="str">
        <f>IF($A221=Input!$A$4,$D221,"")</f>
        <v/>
      </c>
      <c r="T221" s="323" t="str">
        <f>IF($A221=Input!$A$4,$E221,"")</f>
        <v/>
      </c>
      <c r="U221" s="386" t="str">
        <f>IF($A221=Input!$A$4,$F221,"")</f>
        <v/>
      </c>
      <c r="V221" s="323"/>
      <c r="W221" s="323"/>
      <c r="X221" s="323"/>
      <c r="Y221" s="323"/>
      <c r="Z221" s="323"/>
      <c r="AA221" s="387" t="str">
        <f>IF($A221=Input!$A$5,$B221,"")</f>
        <v/>
      </c>
      <c r="AB221" s="323" t="str">
        <f>IF($A221=Input!$A$5,$C221,"")</f>
        <v/>
      </c>
      <c r="AC221" s="323" t="str">
        <f>IF($A221=Input!$A$5,$D221,"")</f>
        <v/>
      </c>
      <c r="AD221" s="323" t="str">
        <f>IF($A221=Input!$A$5,$E221,"")</f>
        <v/>
      </c>
      <c r="AE221" s="386" t="str">
        <f>IF($A221=Input!$A$5,$F221,"")</f>
        <v/>
      </c>
      <c r="AF221" s="323"/>
      <c r="AG221" s="323"/>
      <c r="AH221" s="323"/>
      <c r="AI221" s="323"/>
      <c r="AJ221" s="323"/>
    </row>
    <row r="222" spans="1:36" x14ac:dyDescent="0.2">
      <c r="A222" s="250" t="str">
        <f>IF(BuffsDebuffs!$M218=1,BuffsDebuffs!G$2,"")</f>
        <v/>
      </c>
      <c r="B222" s="251" t="str">
        <f>IF(BuffsDebuffs!$M218=1,BuffsDebuffs!H$2,"")</f>
        <v/>
      </c>
      <c r="C222" s="251" t="str">
        <f>IF(BuffsDebuffs!$M218=1,BuffsDebuffs!I$2,"")</f>
        <v/>
      </c>
      <c r="D222" s="251" t="str">
        <f>IF(BuffsDebuffs!$M218=1,BuffsDebuffs!J$2,"")</f>
        <v/>
      </c>
      <c r="E222" s="251" t="str">
        <f>IF(BuffsDebuffs!$M218=1,BuffsDebuffs!K$2,"")</f>
        <v/>
      </c>
      <c r="F222" s="251" t="str">
        <f>IF(BuffsDebuffs!$M218=1,BuffsDebuffs!L$2,"")</f>
        <v/>
      </c>
      <c r="G222" s="387" t="str">
        <f>IF($A222=Input!$A$3,B222,"")</f>
        <v/>
      </c>
      <c r="H222" s="323" t="str">
        <f>IF($A222=Input!$A$3,C222,"")</f>
        <v/>
      </c>
      <c r="I222" s="323" t="str">
        <f>IF($A222=Input!$A$3,D222,"")</f>
        <v/>
      </c>
      <c r="J222" s="323" t="str">
        <f>IF($A222=Input!$A$3,E222,"")</f>
        <v/>
      </c>
      <c r="K222" s="386" t="str">
        <f>IF($A222=Input!$A$3,F222,"")</f>
        <v/>
      </c>
      <c r="L222" s="387"/>
      <c r="M222" s="323"/>
      <c r="N222" s="323"/>
      <c r="O222" s="323"/>
      <c r="P222" s="323"/>
      <c r="Q222" s="387" t="str">
        <f>IF($A222=Input!$A$4,$B222,"")</f>
        <v/>
      </c>
      <c r="R222" s="323" t="str">
        <f>IF($A222=Input!$A$4,$C222,"")</f>
        <v/>
      </c>
      <c r="S222" s="323" t="str">
        <f>IF($A222=Input!$A$4,$D222,"")</f>
        <v/>
      </c>
      <c r="T222" s="323" t="str">
        <f>IF($A222=Input!$A$4,$E222,"")</f>
        <v/>
      </c>
      <c r="U222" s="386" t="str">
        <f>IF($A222=Input!$A$4,$F222,"")</f>
        <v/>
      </c>
      <c r="V222" s="323"/>
      <c r="W222" s="323"/>
      <c r="X222" s="323"/>
      <c r="Y222" s="323"/>
      <c r="Z222" s="323"/>
      <c r="AA222" s="387" t="str">
        <f>IF($A222=Input!$A$5,$B222,"")</f>
        <v/>
      </c>
      <c r="AB222" s="323" t="str">
        <f>IF($A222=Input!$A$5,$C222,"")</f>
        <v/>
      </c>
      <c r="AC222" s="323" t="str">
        <f>IF($A222=Input!$A$5,$D222,"")</f>
        <v/>
      </c>
      <c r="AD222" s="323" t="str">
        <f>IF($A222=Input!$A$5,$E222,"")</f>
        <v/>
      </c>
      <c r="AE222" s="386" t="str">
        <f>IF($A222=Input!$A$5,$F222,"")</f>
        <v/>
      </c>
      <c r="AF222" s="323"/>
      <c r="AG222" s="323"/>
      <c r="AH222" s="323"/>
      <c r="AI222" s="323"/>
      <c r="AJ222" s="323"/>
    </row>
    <row r="223" spans="1:36" x14ac:dyDescent="0.2">
      <c r="A223" s="250" t="str">
        <f>IF(BuffsDebuffs!$M219=1,BuffsDebuffs!G$2,"")</f>
        <v/>
      </c>
      <c r="B223" s="251" t="str">
        <f>IF(BuffsDebuffs!$M219=1,BuffsDebuffs!H$2,"")</f>
        <v/>
      </c>
      <c r="C223" s="251" t="str">
        <f>IF(BuffsDebuffs!$M219=1,BuffsDebuffs!I$2,"")</f>
        <v/>
      </c>
      <c r="D223" s="251" t="str">
        <f>IF(BuffsDebuffs!$M219=1,BuffsDebuffs!J$2,"")</f>
        <v/>
      </c>
      <c r="E223" s="251" t="str">
        <f>IF(BuffsDebuffs!$M219=1,BuffsDebuffs!K$2,"")</f>
        <v/>
      </c>
      <c r="F223" s="251" t="str">
        <f>IF(BuffsDebuffs!$M219=1,BuffsDebuffs!L$2,"")</f>
        <v/>
      </c>
      <c r="G223" s="387" t="str">
        <f>IF($A223=Input!$A$3,B223,"")</f>
        <v/>
      </c>
      <c r="H223" s="323" t="str">
        <f>IF($A223=Input!$A$3,C223,"")</f>
        <v/>
      </c>
      <c r="I223" s="323" t="str">
        <f>IF($A223=Input!$A$3,D223,"")</f>
        <v/>
      </c>
      <c r="J223" s="323" t="str">
        <f>IF($A223=Input!$A$3,E223,"")</f>
        <v/>
      </c>
      <c r="K223" s="386" t="str">
        <f>IF($A223=Input!$A$3,F223,"")</f>
        <v/>
      </c>
      <c r="L223" s="387"/>
      <c r="M223" s="323"/>
      <c r="N223" s="323"/>
      <c r="O223" s="323"/>
      <c r="P223" s="323"/>
      <c r="Q223" s="387" t="str">
        <f>IF($A223=Input!$A$4,$B223,"")</f>
        <v/>
      </c>
      <c r="R223" s="323" t="str">
        <f>IF($A223=Input!$A$4,$C223,"")</f>
        <v/>
      </c>
      <c r="S223" s="323" t="str">
        <f>IF($A223=Input!$A$4,$D223,"")</f>
        <v/>
      </c>
      <c r="T223" s="323" t="str">
        <f>IF($A223=Input!$A$4,$E223,"")</f>
        <v/>
      </c>
      <c r="U223" s="386" t="str">
        <f>IF($A223=Input!$A$4,$F223,"")</f>
        <v/>
      </c>
      <c r="V223" s="323"/>
      <c r="W223" s="323"/>
      <c r="X223" s="323"/>
      <c r="Y223" s="323"/>
      <c r="Z223" s="323"/>
      <c r="AA223" s="387" t="str">
        <f>IF($A223=Input!$A$5,$B223,"")</f>
        <v/>
      </c>
      <c r="AB223" s="323" t="str">
        <f>IF($A223=Input!$A$5,$C223,"")</f>
        <v/>
      </c>
      <c r="AC223" s="323" t="str">
        <f>IF($A223=Input!$A$5,$D223,"")</f>
        <v/>
      </c>
      <c r="AD223" s="323" t="str">
        <f>IF($A223=Input!$A$5,$E223,"")</f>
        <v/>
      </c>
      <c r="AE223" s="386" t="str">
        <f>IF($A223=Input!$A$5,$F223,"")</f>
        <v/>
      </c>
      <c r="AF223" s="323"/>
      <c r="AG223" s="323"/>
      <c r="AH223" s="323"/>
      <c r="AI223" s="323"/>
      <c r="AJ223" s="323"/>
    </row>
    <row r="224" spans="1:36" x14ac:dyDescent="0.2">
      <c r="A224" s="250" t="str">
        <f>IF(BuffsDebuffs!$M220=1,BuffsDebuffs!G$2,"")</f>
        <v/>
      </c>
      <c r="B224" s="251" t="str">
        <f>IF(BuffsDebuffs!$M220=1,BuffsDebuffs!H$2,"")</f>
        <v/>
      </c>
      <c r="C224" s="251" t="str">
        <f>IF(BuffsDebuffs!$M220=1,BuffsDebuffs!I$2,"")</f>
        <v/>
      </c>
      <c r="D224" s="251" t="str">
        <f>IF(BuffsDebuffs!$M220=1,BuffsDebuffs!J$2,"")</f>
        <v/>
      </c>
      <c r="E224" s="251" t="str">
        <f>IF(BuffsDebuffs!$M220=1,BuffsDebuffs!K$2,"")</f>
        <v/>
      </c>
      <c r="F224" s="251" t="str">
        <f>IF(BuffsDebuffs!$M220=1,BuffsDebuffs!L$2,"")</f>
        <v/>
      </c>
      <c r="G224" s="387" t="str">
        <f>IF($A224=Input!$A$3,B224,"")</f>
        <v/>
      </c>
      <c r="H224" s="323" t="str">
        <f>IF($A224=Input!$A$3,C224,"")</f>
        <v/>
      </c>
      <c r="I224" s="323" t="str">
        <f>IF($A224=Input!$A$3,D224,"")</f>
        <v/>
      </c>
      <c r="J224" s="323" t="str">
        <f>IF($A224=Input!$A$3,E224,"")</f>
        <v/>
      </c>
      <c r="K224" s="386" t="str">
        <f>IF($A224=Input!$A$3,F224,"")</f>
        <v/>
      </c>
      <c r="L224" s="387"/>
      <c r="M224" s="323"/>
      <c r="N224" s="323"/>
      <c r="O224" s="323"/>
      <c r="P224" s="323"/>
      <c r="Q224" s="387" t="str">
        <f>IF($A224=Input!$A$4,$B224,"")</f>
        <v/>
      </c>
      <c r="R224" s="323" t="str">
        <f>IF($A224=Input!$A$4,$C224,"")</f>
        <v/>
      </c>
      <c r="S224" s="323" t="str">
        <f>IF($A224=Input!$A$4,$D224,"")</f>
        <v/>
      </c>
      <c r="T224" s="323" t="str">
        <f>IF($A224=Input!$A$4,$E224,"")</f>
        <v/>
      </c>
      <c r="U224" s="386" t="str">
        <f>IF($A224=Input!$A$4,$F224,"")</f>
        <v/>
      </c>
      <c r="V224" s="323"/>
      <c r="W224" s="323"/>
      <c r="X224" s="323"/>
      <c r="Y224" s="323"/>
      <c r="Z224" s="323"/>
      <c r="AA224" s="387" t="str">
        <f>IF($A224=Input!$A$5,$B224,"")</f>
        <v/>
      </c>
      <c r="AB224" s="323" t="str">
        <f>IF($A224=Input!$A$5,$C224,"")</f>
        <v/>
      </c>
      <c r="AC224" s="323" t="str">
        <f>IF($A224=Input!$A$5,$D224,"")</f>
        <v/>
      </c>
      <c r="AD224" s="323" t="str">
        <f>IF($A224=Input!$A$5,$E224,"")</f>
        <v/>
      </c>
      <c r="AE224" s="386" t="str">
        <f>IF($A224=Input!$A$5,$F224,"")</f>
        <v/>
      </c>
      <c r="AF224" s="323"/>
      <c r="AG224" s="323"/>
      <c r="AH224" s="323"/>
      <c r="AI224" s="323"/>
      <c r="AJ224" s="323"/>
    </row>
    <row r="225" spans="1:36" x14ac:dyDescent="0.2">
      <c r="A225" s="250" t="str">
        <f>IF(BuffsDebuffs!$M221=1,BuffsDebuffs!G$2,"")</f>
        <v/>
      </c>
      <c r="B225" s="251" t="str">
        <f>IF(BuffsDebuffs!$M221=1,BuffsDebuffs!H$2,"")</f>
        <v/>
      </c>
      <c r="C225" s="251" t="str">
        <f>IF(BuffsDebuffs!$M221=1,BuffsDebuffs!I$2,"")</f>
        <v/>
      </c>
      <c r="D225" s="251" t="str">
        <f>IF(BuffsDebuffs!$M221=1,BuffsDebuffs!J$2,"")</f>
        <v/>
      </c>
      <c r="E225" s="251" t="str">
        <f>IF(BuffsDebuffs!$M221=1,BuffsDebuffs!K$2,"")</f>
        <v/>
      </c>
      <c r="F225" s="251" t="str">
        <f>IF(BuffsDebuffs!$M221=1,BuffsDebuffs!L$2,"")</f>
        <v/>
      </c>
      <c r="G225" s="387" t="str">
        <f>IF($A225=Input!$A$3,B225,"")</f>
        <v/>
      </c>
      <c r="H225" s="323" t="str">
        <f>IF($A225=Input!$A$3,C225,"")</f>
        <v/>
      </c>
      <c r="I225" s="323" t="str">
        <f>IF($A225=Input!$A$3,D225,"")</f>
        <v/>
      </c>
      <c r="J225" s="323" t="str">
        <f>IF($A225=Input!$A$3,E225,"")</f>
        <v/>
      </c>
      <c r="K225" s="386" t="str">
        <f>IF($A225=Input!$A$3,F225,"")</f>
        <v/>
      </c>
      <c r="L225" s="387"/>
      <c r="M225" s="323"/>
      <c r="N225" s="323"/>
      <c r="O225" s="323"/>
      <c r="P225" s="323"/>
      <c r="Q225" s="387" t="str">
        <f>IF($A225=Input!$A$4,$B225,"")</f>
        <v/>
      </c>
      <c r="R225" s="323" t="str">
        <f>IF($A225=Input!$A$4,$C225,"")</f>
        <v/>
      </c>
      <c r="S225" s="323" t="str">
        <f>IF($A225=Input!$A$4,$D225,"")</f>
        <v/>
      </c>
      <c r="T225" s="323" t="str">
        <f>IF($A225=Input!$A$4,$E225,"")</f>
        <v/>
      </c>
      <c r="U225" s="386" t="str">
        <f>IF($A225=Input!$A$4,$F225,"")</f>
        <v/>
      </c>
      <c r="V225" s="323"/>
      <c r="W225" s="323"/>
      <c r="X225" s="323"/>
      <c r="Y225" s="323"/>
      <c r="Z225" s="323"/>
      <c r="AA225" s="387" t="str">
        <f>IF($A225=Input!$A$5,$B225,"")</f>
        <v/>
      </c>
      <c r="AB225" s="323" t="str">
        <f>IF($A225=Input!$A$5,$C225,"")</f>
        <v/>
      </c>
      <c r="AC225" s="323" t="str">
        <f>IF($A225=Input!$A$5,$D225,"")</f>
        <v/>
      </c>
      <c r="AD225" s="323" t="str">
        <f>IF($A225=Input!$A$5,$E225,"")</f>
        <v/>
      </c>
      <c r="AE225" s="386" t="str">
        <f>IF($A225=Input!$A$5,$F225,"")</f>
        <v/>
      </c>
      <c r="AF225" s="323"/>
      <c r="AG225" s="323"/>
      <c r="AH225" s="323"/>
      <c r="AI225" s="323"/>
      <c r="AJ225" s="323"/>
    </row>
    <row r="226" spans="1:36" x14ac:dyDescent="0.2">
      <c r="A226" s="250" t="str">
        <f>IF(BuffsDebuffs!$M222=1,BuffsDebuffs!G$2,"")</f>
        <v/>
      </c>
      <c r="B226" s="251" t="str">
        <f>IF(BuffsDebuffs!$M222=1,BuffsDebuffs!H$2,"")</f>
        <v/>
      </c>
      <c r="C226" s="251" t="str">
        <f>IF(BuffsDebuffs!$M222=1,BuffsDebuffs!I$2,"")</f>
        <v/>
      </c>
      <c r="D226" s="251" t="str">
        <f>IF(BuffsDebuffs!$M222=1,BuffsDebuffs!J$2,"")</f>
        <v/>
      </c>
      <c r="E226" s="251" t="str">
        <f>IF(BuffsDebuffs!$M222=1,BuffsDebuffs!K$2,"")</f>
        <v/>
      </c>
      <c r="F226" s="251" t="str">
        <f>IF(BuffsDebuffs!$M222=1,BuffsDebuffs!L$2,"")</f>
        <v/>
      </c>
      <c r="G226" s="387" t="str">
        <f>IF($A226=Input!$A$3,B226,"")</f>
        <v/>
      </c>
      <c r="H226" s="323" t="str">
        <f>IF($A226=Input!$A$3,C226,"")</f>
        <v/>
      </c>
      <c r="I226" s="323" t="str">
        <f>IF($A226=Input!$A$3,D226,"")</f>
        <v/>
      </c>
      <c r="J226" s="323" t="str">
        <f>IF($A226=Input!$A$3,E226,"")</f>
        <v/>
      </c>
      <c r="K226" s="386" t="str">
        <f>IF($A226=Input!$A$3,F226,"")</f>
        <v/>
      </c>
      <c r="L226" s="387"/>
      <c r="M226" s="323"/>
      <c r="N226" s="323"/>
      <c r="O226" s="323"/>
      <c r="P226" s="323"/>
      <c r="Q226" s="387" t="str">
        <f>IF($A226=Input!$A$4,$B226,"")</f>
        <v/>
      </c>
      <c r="R226" s="323" t="str">
        <f>IF($A226=Input!$A$4,$C226,"")</f>
        <v/>
      </c>
      <c r="S226" s="323" t="str">
        <f>IF($A226=Input!$A$4,$D226,"")</f>
        <v/>
      </c>
      <c r="T226" s="323" t="str">
        <f>IF($A226=Input!$A$4,$E226,"")</f>
        <v/>
      </c>
      <c r="U226" s="386" t="str">
        <f>IF($A226=Input!$A$4,$F226,"")</f>
        <v/>
      </c>
      <c r="V226" s="323"/>
      <c r="W226" s="323"/>
      <c r="X226" s="323"/>
      <c r="Y226" s="323"/>
      <c r="Z226" s="323"/>
      <c r="AA226" s="387" t="str">
        <f>IF($A226=Input!$A$5,$B226,"")</f>
        <v/>
      </c>
      <c r="AB226" s="323" t="str">
        <f>IF($A226=Input!$A$5,$C226,"")</f>
        <v/>
      </c>
      <c r="AC226" s="323" t="str">
        <f>IF($A226=Input!$A$5,$D226,"")</f>
        <v/>
      </c>
      <c r="AD226" s="323" t="str">
        <f>IF($A226=Input!$A$5,$E226,"")</f>
        <v/>
      </c>
      <c r="AE226" s="386" t="str">
        <f>IF($A226=Input!$A$5,$F226,"")</f>
        <v/>
      </c>
      <c r="AF226" s="323"/>
      <c r="AG226" s="323"/>
      <c r="AH226" s="323"/>
      <c r="AI226" s="323"/>
      <c r="AJ226" s="323"/>
    </row>
    <row r="227" spans="1:36" x14ac:dyDescent="0.2">
      <c r="A227" s="250" t="str">
        <f>IF(BuffsDebuffs!$M223=1,BuffsDebuffs!G$2,"")</f>
        <v/>
      </c>
      <c r="B227" s="251" t="str">
        <f>IF(BuffsDebuffs!$M223=1,BuffsDebuffs!H$2,"")</f>
        <v/>
      </c>
      <c r="C227" s="251" t="str">
        <f>IF(BuffsDebuffs!$M223=1,BuffsDebuffs!I$2,"")</f>
        <v/>
      </c>
      <c r="D227" s="251" t="str">
        <f>IF(BuffsDebuffs!$M223=1,BuffsDebuffs!J$2,"")</f>
        <v/>
      </c>
      <c r="E227" s="251" t="str">
        <f>IF(BuffsDebuffs!$M223=1,BuffsDebuffs!K$2,"")</f>
        <v/>
      </c>
      <c r="F227" s="251" t="str">
        <f>IF(BuffsDebuffs!$M223=1,BuffsDebuffs!L$2,"")</f>
        <v/>
      </c>
      <c r="G227" s="387" t="str">
        <f>IF($A227=Input!$A$3,B227,"")</f>
        <v/>
      </c>
      <c r="H227" s="323" t="str">
        <f>IF($A227=Input!$A$3,C227,"")</f>
        <v/>
      </c>
      <c r="I227" s="323" t="str">
        <f>IF($A227=Input!$A$3,D227,"")</f>
        <v/>
      </c>
      <c r="J227" s="323" t="str">
        <f>IF($A227=Input!$A$3,E227,"")</f>
        <v/>
      </c>
      <c r="K227" s="386" t="str">
        <f>IF($A227=Input!$A$3,F227,"")</f>
        <v/>
      </c>
      <c r="L227" s="387"/>
      <c r="M227" s="323"/>
      <c r="N227" s="323"/>
      <c r="O227" s="323"/>
      <c r="P227" s="323"/>
      <c r="Q227" s="387" t="str">
        <f>IF($A227=Input!$A$4,$B227,"")</f>
        <v/>
      </c>
      <c r="R227" s="323" t="str">
        <f>IF($A227=Input!$A$4,$C227,"")</f>
        <v/>
      </c>
      <c r="S227" s="323" t="str">
        <f>IF($A227=Input!$A$4,$D227,"")</f>
        <v/>
      </c>
      <c r="T227" s="323" t="str">
        <f>IF($A227=Input!$A$4,$E227,"")</f>
        <v/>
      </c>
      <c r="U227" s="386" t="str">
        <f>IF($A227=Input!$A$4,$F227,"")</f>
        <v/>
      </c>
      <c r="V227" s="323"/>
      <c r="W227" s="323"/>
      <c r="X227" s="323"/>
      <c r="Y227" s="323"/>
      <c r="Z227" s="323"/>
      <c r="AA227" s="387" t="str">
        <f>IF($A227=Input!$A$5,$B227,"")</f>
        <v/>
      </c>
      <c r="AB227" s="323" t="str">
        <f>IF($A227=Input!$A$5,$C227,"")</f>
        <v/>
      </c>
      <c r="AC227" s="323" t="str">
        <f>IF($A227=Input!$A$5,$D227,"")</f>
        <v/>
      </c>
      <c r="AD227" s="323" t="str">
        <f>IF($A227=Input!$A$5,$E227,"")</f>
        <v/>
      </c>
      <c r="AE227" s="386" t="str">
        <f>IF($A227=Input!$A$5,$F227,"")</f>
        <v/>
      </c>
      <c r="AF227" s="323"/>
      <c r="AG227" s="323"/>
      <c r="AH227" s="323"/>
      <c r="AI227" s="323"/>
      <c r="AJ227" s="323"/>
    </row>
    <row r="228" spans="1:36" x14ac:dyDescent="0.2">
      <c r="A228" s="250" t="str">
        <f>IF(BuffsDebuffs!$M224=1,BuffsDebuffs!G$2,"")</f>
        <v/>
      </c>
      <c r="B228" s="251" t="str">
        <f>IF(BuffsDebuffs!$M224=1,BuffsDebuffs!H$2,"")</f>
        <v/>
      </c>
      <c r="C228" s="251" t="str">
        <f>IF(BuffsDebuffs!$M224=1,BuffsDebuffs!I$2,"")</f>
        <v/>
      </c>
      <c r="D228" s="251" t="str">
        <f>IF(BuffsDebuffs!$M224=1,BuffsDebuffs!J$2,"")</f>
        <v/>
      </c>
      <c r="E228" s="251" t="str">
        <f>IF(BuffsDebuffs!$M224=1,BuffsDebuffs!K$2,"")</f>
        <v/>
      </c>
      <c r="F228" s="251" t="str">
        <f>IF(BuffsDebuffs!$M224=1,BuffsDebuffs!L$2,"")</f>
        <v/>
      </c>
      <c r="G228" s="387" t="str">
        <f>IF($A228=Input!$A$3,B228,"")</f>
        <v/>
      </c>
      <c r="H228" s="323" t="str">
        <f>IF($A228=Input!$A$3,C228,"")</f>
        <v/>
      </c>
      <c r="I228" s="323" t="str">
        <f>IF($A228=Input!$A$3,D228,"")</f>
        <v/>
      </c>
      <c r="J228" s="323" t="str">
        <f>IF($A228=Input!$A$3,E228,"")</f>
        <v/>
      </c>
      <c r="K228" s="386" t="str">
        <f>IF($A228=Input!$A$3,F228,"")</f>
        <v/>
      </c>
      <c r="L228" s="387"/>
      <c r="M228" s="323"/>
      <c r="N228" s="323"/>
      <c r="O228" s="323"/>
      <c r="P228" s="323"/>
      <c r="Q228" s="387" t="str">
        <f>IF($A228=Input!$A$4,$B228,"")</f>
        <v/>
      </c>
      <c r="R228" s="323" t="str">
        <f>IF($A228=Input!$A$4,$C228,"")</f>
        <v/>
      </c>
      <c r="S228" s="323" t="str">
        <f>IF($A228=Input!$A$4,$D228,"")</f>
        <v/>
      </c>
      <c r="T228" s="323" t="str">
        <f>IF($A228=Input!$A$4,$E228,"")</f>
        <v/>
      </c>
      <c r="U228" s="386" t="str">
        <f>IF($A228=Input!$A$4,$F228,"")</f>
        <v/>
      </c>
      <c r="V228" s="323"/>
      <c r="W228" s="323"/>
      <c r="X228" s="323"/>
      <c r="Y228" s="323"/>
      <c r="Z228" s="323"/>
      <c r="AA228" s="387" t="str">
        <f>IF($A228=Input!$A$5,$B228,"")</f>
        <v/>
      </c>
      <c r="AB228" s="323" t="str">
        <f>IF($A228=Input!$A$5,$C228,"")</f>
        <v/>
      </c>
      <c r="AC228" s="323" t="str">
        <f>IF($A228=Input!$A$5,$D228,"")</f>
        <v/>
      </c>
      <c r="AD228" s="323" t="str">
        <f>IF($A228=Input!$A$5,$E228,"")</f>
        <v/>
      </c>
      <c r="AE228" s="386" t="str">
        <f>IF($A228=Input!$A$5,$F228,"")</f>
        <v/>
      </c>
      <c r="AF228" s="323"/>
      <c r="AG228" s="323"/>
      <c r="AH228" s="323"/>
      <c r="AI228" s="323"/>
      <c r="AJ228" s="323"/>
    </row>
    <row r="229" spans="1:36" x14ac:dyDescent="0.2">
      <c r="A229" s="250" t="str">
        <f>IF(BuffsDebuffs!$M225=1,BuffsDebuffs!G$2,"")</f>
        <v/>
      </c>
      <c r="B229" s="251" t="str">
        <f>IF(BuffsDebuffs!$M225=1,BuffsDebuffs!H$2,"")</f>
        <v/>
      </c>
      <c r="C229" s="251" t="str">
        <f>IF(BuffsDebuffs!$M225=1,BuffsDebuffs!I$2,"")</f>
        <v/>
      </c>
      <c r="D229" s="251" t="str">
        <f>IF(BuffsDebuffs!$M225=1,BuffsDebuffs!J$2,"")</f>
        <v/>
      </c>
      <c r="E229" s="251" t="str">
        <f>IF(BuffsDebuffs!$M225=1,BuffsDebuffs!K$2,"")</f>
        <v/>
      </c>
      <c r="F229" s="251" t="str">
        <f>IF(BuffsDebuffs!$M225=1,BuffsDebuffs!L$2,"")</f>
        <v/>
      </c>
      <c r="G229" s="387" t="str">
        <f>IF($A229=Input!$A$3,B229,"")</f>
        <v/>
      </c>
      <c r="H229" s="323" t="str">
        <f>IF($A229=Input!$A$3,C229,"")</f>
        <v/>
      </c>
      <c r="I229" s="323" t="str">
        <f>IF($A229=Input!$A$3,D229,"")</f>
        <v/>
      </c>
      <c r="J229" s="323" t="str">
        <f>IF($A229=Input!$A$3,E229,"")</f>
        <v/>
      </c>
      <c r="K229" s="386" t="str">
        <f>IF($A229=Input!$A$3,F229,"")</f>
        <v/>
      </c>
      <c r="L229" s="387"/>
      <c r="M229" s="323"/>
      <c r="N229" s="323"/>
      <c r="O229" s="323"/>
      <c r="P229" s="323"/>
      <c r="Q229" s="387" t="str">
        <f>IF($A229=Input!$A$4,$B229,"")</f>
        <v/>
      </c>
      <c r="R229" s="323" t="str">
        <f>IF($A229=Input!$A$4,$C229,"")</f>
        <v/>
      </c>
      <c r="S229" s="323" t="str">
        <f>IF($A229=Input!$A$4,$D229,"")</f>
        <v/>
      </c>
      <c r="T229" s="323" t="str">
        <f>IF($A229=Input!$A$4,$E229,"")</f>
        <v/>
      </c>
      <c r="U229" s="386" t="str">
        <f>IF($A229=Input!$A$4,$F229,"")</f>
        <v/>
      </c>
      <c r="V229" s="323"/>
      <c r="W229" s="323"/>
      <c r="X229" s="323"/>
      <c r="Y229" s="323"/>
      <c r="Z229" s="323"/>
      <c r="AA229" s="387" t="str">
        <f>IF($A229=Input!$A$5,$B229,"")</f>
        <v/>
      </c>
      <c r="AB229" s="323" t="str">
        <f>IF($A229=Input!$A$5,$C229,"")</f>
        <v/>
      </c>
      <c r="AC229" s="323" t="str">
        <f>IF($A229=Input!$A$5,$D229,"")</f>
        <v/>
      </c>
      <c r="AD229" s="323" t="str">
        <f>IF($A229=Input!$A$5,$E229,"")</f>
        <v/>
      </c>
      <c r="AE229" s="386" t="str">
        <f>IF($A229=Input!$A$5,$F229,"")</f>
        <v/>
      </c>
      <c r="AF229" s="323"/>
      <c r="AG229" s="323"/>
      <c r="AH229" s="323"/>
      <c r="AI229" s="323"/>
      <c r="AJ229" s="323"/>
    </row>
    <row r="230" spans="1:36" x14ac:dyDescent="0.2">
      <c r="A230" s="250" t="str">
        <f>IF(BuffsDebuffs!$M226=1,BuffsDebuffs!G$2,"")</f>
        <v/>
      </c>
      <c r="B230" s="251" t="str">
        <f>IF(BuffsDebuffs!$M226=1,BuffsDebuffs!H$2,"")</f>
        <v/>
      </c>
      <c r="C230" s="251" t="str">
        <f>IF(BuffsDebuffs!$M226=1,BuffsDebuffs!I$2,"")</f>
        <v/>
      </c>
      <c r="D230" s="251" t="str">
        <f>IF(BuffsDebuffs!$M226=1,BuffsDebuffs!J$2,"")</f>
        <v/>
      </c>
      <c r="E230" s="251" t="str">
        <f>IF(BuffsDebuffs!$M226=1,BuffsDebuffs!K$2,"")</f>
        <v/>
      </c>
      <c r="F230" s="251" t="str">
        <f>IF(BuffsDebuffs!$M226=1,BuffsDebuffs!L$2,"")</f>
        <v/>
      </c>
      <c r="G230" s="387" t="str">
        <f>IF($A230=Input!$A$3,B230,"")</f>
        <v/>
      </c>
      <c r="H230" s="323" t="str">
        <f>IF($A230=Input!$A$3,C230,"")</f>
        <v/>
      </c>
      <c r="I230" s="323" t="str">
        <f>IF($A230=Input!$A$3,D230,"")</f>
        <v/>
      </c>
      <c r="J230" s="323" t="str">
        <f>IF($A230=Input!$A$3,E230,"")</f>
        <v/>
      </c>
      <c r="K230" s="386" t="str">
        <f>IF($A230=Input!$A$3,F230,"")</f>
        <v/>
      </c>
      <c r="L230" s="387"/>
      <c r="M230" s="323"/>
      <c r="N230" s="323"/>
      <c r="O230" s="323"/>
      <c r="P230" s="323"/>
      <c r="Q230" s="387" t="str">
        <f>IF($A230=Input!$A$4,$B230,"")</f>
        <v/>
      </c>
      <c r="R230" s="323" t="str">
        <f>IF($A230=Input!$A$4,$C230,"")</f>
        <v/>
      </c>
      <c r="S230" s="323" t="str">
        <f>IF($A230=Input!$A$4,$D230,"")</f>
        <v/>
      </c>
      <c r="T230" s="323" t="str">
        <f>IF($A230=Input!$A$4,$E230,"")</f>
        <v/>
      </c>
      <c r="U230" s="386" t="str">
        <f>IF($A230=Input!$A$4,$F230,"")</f>
        <v/>
      </c>
      <c r="V230" s="323"/>
      <c r="W230" s="323"/>
      <c r="X230" s="323"/>
      <c r="Y230" s="323"/>
      <c r="Z230" s="323"/>
      <c r="AA230" s="387" t="str">
        <f>IF($A230=Input!$A$5,$B230,"")</f>
        <v/>
      </c>
      <c r="AB230" s="323" t="str">
        <f>IF($A230=Input!$A$5,$C230,"")</f>
        <v/>
      </c>
      <c r="AC230" s="323" t="str">
        <f>IF($A230=Input!$A$5,$D230,"")</f>
        <v/>
      </c>
      <c r="AD230" s="323" t="str">
        <f>IF($A230=Input!$A$5,$E230,"")</f>
        <v/>
      </c>
      <c r="AE230" s="386" t="str">
        <f>IF($A230=Input!$A$5,$F230,"")</f>
        <v/>
      </c>
      <c r="AF230" s="323"/>
      <c r="AG230" s="323"/>
      <c r="AH230" s="323"/>
      <c r="AI230" s="323"/>
      <c r="AJ230" s="323"/>
    </row>
    <row r="231" spans="1:36" x14ac:dyDescent="0.2">
      <c r="A231" s="250" t="str">
        <f>IF(BuffsDebuffs!$M227=1,BuffsDebuffs!G$2,"")</f>
        <v/>
      </c>
      <c r="B231" s="251" t="str">
        <f>IF(BuffsDebuffs!$M227=1,BuffsDebuffs!H$2,"")</f>
        <v/>
      </c>
      <c r="C231" s="251" t="str">
        <f>IF(BuffsDebuffs!$M227=1,BuffsDebuffs!I$2,"")</f>
        <v/>
      </c>
      <c r="D231" s="251" t="str">
        <f>IF(BuffsDebuffs!$M227=1,BuffsDebuffs!J$2,"")</f>
        <v/>
      </c>
      <c r="E231" s="251" t="str">
        <f>IF(BuffsDebuffs!$M227=1,BuffsDebuffs!K$2,"")</f>
        <v/>
      </c>
      <c r="F231" s="251" t="str">
        <f>IF(BuffsDebuffs!$M227=1,BuffsDebuffs!L$2,"")</f>
        <v/>
      </c>
      <c r="G231" s="387" t="str">
        <f>IF($A231=Input!$A$3,B231,"")</f>
        <v/>
      </c>
      <c r="H231" s="323" t="str">
        <f>IF($A231=Input!$A$3,C231,"")</f>
        <v/>
      </c>
      <c r="I231" s="323" t="str">
        <f>IF($A231=Input!$A$3,D231,"")</f>
        <v/>
      </c>
      <c r="J231" s="323" t="str">
        <f>IF($A231=Input!$A$3,E231,"")</f>
        <v/>
      </c>
      <c r="K231" s="386" t="str">
        <f>IF($A231=Input!$A$3,F231,"")</f>
        <v/>
      </c>
      <c r="L231" s="387"/>
      <c r="M231" s="323"/>
      <c r="N231" s="323"/>
      <c r="O231" s="323"/>
      <c r="P231" s="323"/>
      <c r="Q231" s="387" t="str">
        <f>IF($A231=Input!$A$4,$B231,"")</f>
        <v/>
      </c>
      <c r="R231" s="323" t="str">
        <f>IF($A231=Input!$A$4,$C231,"")</f>
        <v/>
      </c>
      <c r="S231" s="323" t="str">
        <f>IF($A231=Input!$A$4,$D231,"")</f>
        <v/>
      </c>
      <c r="T231" s="323" t="str">
        <f>IF($A231=Input!$A$4,$E231,"")</f>
        <v/>
      </c>
      <c r="U231" s="386" t="str">
        <f>IF($A231=Input!$A$4,$F231,"")</f>
        <v/>
      </c>
      <c r="V231" s="323"/>
      <c r="W231" s="323"/>
      <c r="X231" s="323"/>
      <c r="Y231" s="323"/>
      <c r="Z231" s="323"/>
      <c r="AA231" s="387" t="str">
        <f>IF($A231=Input!$A$5,$B231,"")</f>
        <v/>
      </c>
      <c r="AB231" s="323" t="str">
        <f>IF($A231=Input!$A$5,$C231,"")</f>
        <v/>
      </c>
      <c r="AC231" s="323" t="str">
        <f>IF($A231=Input!$A$5,$D231,"")</f>
        <v/>
      </c>
      <c r="AD231" s="323" t="str">
        <f>IF($A231=Input!$A$5,$E231,"")</f>
        <v/>
      </c>
      <c r="AE231" s="386" t="str">
        <f>IF($A231=Input!$A$5,$F231,"")</f>
        <v/>
      </c>
      <c r="AF231" s="323"/>
      <c r="AG231" s="323"/>
      <c r="AH231" s="323"/>
      <c r="AI231" s="323"/>
      <c r="AJ231" s="323"/>
    </row>
    <row r="232" spans="1:36" x14ac:dyDescent="0.2">
      <c r="A232" s="250" t="str">
        <f>IF(BuffsDebuffs!$M228=1,BuffsDebuffs!G$2,"")</f>
        <v/>
      </c>
      <c r="B232" s="251" t="str">
        <f>IF(BuffsDebuffs!$M228=1,BuffsDebuffs!H$2,"")</f>
        <v/>
      </c>
      <c r="C232" s="251" t="str">
        <f>IF(BuffsDebuffs!$M228=1,BuffsDebuffs!I$2,"")</f>
        <v/>
      </c>
      <c r="D232" s="251" t="str">
        <f>IF(BuffsDebuffs!$M228=1,BuffsDebuffs!J$2,"")</f>
        <v/>
      </c>
      <c r="E232" s="251" t="str">
        <f>IF(BuffsDebuffs!$M228=1,BuffsDebuffs!K$2,"")</f>
        <v/>
      </c>
      <c r="F232" s="251" t="str">
        <f>IF(BuffsDebuffs!$M228=1,BuffsDebuffs!L$2,"")</f>
        <v/>
      </c>
      <c r="G232" s="387" t="str">
        <f>IF($A232=Input!$A$3,B232,"")</f>
        <v/>
      </c>
      <c r="H232" s="323" t="str">
        <f>IF($A232=Input!$A$3,C232,"")</f>
        <v/>
      </c>
      <c r="I232" s="323" t="str">
        <f>IF($A232=Input!$A$3,D232,"")</f>
        <v/>
      </c>
      <c r="J232" s="323" t="str">
        <f>IF($A232=Input!$A$3,E232,"")</f>
        <v/>
      </c>
      <c r="K232" s="386" t="str">
        <f>IF($A232=Input!$A$3,F232,"")</f>
        <v/>
      </c>
      <c r="L232" s="387"/>
      <c r="M232" s="323"/>
      <c r="N232" s="323"/>
      <c r="O232" s="323"/>
      <c r="P232" s="323"/>
      <c r="Q232" s="387" t="str">
        <f>IF($A232=Input!$A$4,$B232,"")</f>
        <v/>
      </c>
      <c r="R232" s="323" t="str">
        <f>IF($A232=Input!$A$4,$C232,"")</f>
        <v/>
      </c>
      <c r="S232" s="323" t="str">
        <f>IF($A232=Input!$A$4,$D232,"")</f>
        <v/>
      </c>
      <c r="T232" s="323" t="str">
        <f>IF($A232=Input!$A$4,$E232,"")</f>
        <v/>
      </c>
      <c r="U232" s="386" t="str">
        <f>IF($A232=Input!$A$4,$F232,"")</f>
        <v/>
      </c>
      <c r="V232" s="323"/>
      <c r="W232" s="323"/>
      <c r="X232" s="323"/>
      <c r="Y232" s="323"/>
      <c r="Z232" s="323"/>
      <c r="AA232" s="387" t="str">
        <f>IF($A232=Input!$A$5,$B232,"")</f>
        <v/>
      </c>
      <c r="AB232" s="323" t="str">
        <f>IF($A232=Input!$A$5,$C232,"")</f>
        <v/>
      </c>
      <c r="AC232" s="323" t="str">
        <f>IF($A232=Input!$A$5,$D232,"")</f>
        <v/>
      </c>
      <c r="AD232" s="323" t="str">
        <f>IF($A232=Input!$A$5,$E232,"")</f>
        <v/>
      </c>
      <c r="AE232" s="386" t="str">
        <f>IF($A232=Input!$A$5,$F232,"")</f>
        <v/>
      </c>
      <c r="AF232" s="323"/>
      <c r="AG232" s="323"/>
      <c r="AH232" s="323"/>
      <c r="AI232" s="323"/>
      <c r="AJ232" s="323"/>
    </row>
    <row r="233" spans="1:36" x14ac:dyDescent="0.2">
      <c r="A233" s="250" t="str">
        <f>IF(BuffsDebuffs!$M229=1,BuffsDebuffs!G$2,"")</f>
        <v/>
      </c>
      <c r="B233" s="251" t="str">
        <f>IF(BuffsDebuffs!$M229=1,BuffsDebuffs!H$2,"")</f>
        <v/>
      </c>
      <c r="C233" s="251" t="str">
        <f>IF(BuffsDebuffs!$M229=1,BuffsDebuffs!I$2,"")</f>
        <v/>
      </c>
      <c r="D233" s="251" t="str">
        <f>IF(BuffsDebuffs!$M229=1,BuffsDebuffs!J$2,"")</f>
        <v/>
      </c>
      <c r="E233" s="251" t="str">
        <f>IF(BuffsDebuffs!$M229=1,BuffsDebuffs!K$2,"")</f>
        <v/>
      </c>
      <c r="F233" s="251" t="str">
        <f>IF(BuffsDebuffs!$M229=1,BuffsDebuffs!L$2,"")</f>
        <v/>
      </c>
      <c r="G233" s="387" t="str">
        <f>IF($A233=Input!$A$3,B233,"")</f>
        <v/>
      </c>
      <c r="H233" s="323" t="str">
        <f>IF($A233=Input!$A$3,C233,"")</f>
        <v/>
      </c>
      <c r="I233" s="323" t="str">
        <f>IF($A233=Input!$A$3,D233,"")</f>
        <v/>
      </c>
      <c r="J233" s="323" t="str">
        <f>IF($A233=Input!$A$3,E233,"")</f>
        <v/>
      </c>
      <c r="K233" s="386" t="str">
        <f>IF($A233=Input!$A$3,F233,"")</f>
        <v/>
      </c>
      <c r="L233" s="387"/>
      <c r="M233" s="323"/>
      <c r="N233" s="323"/>
      <c r="O233" s="323"/>
      <c r="P233" s="323"/>
      <c r="Q233" s="387" t="str">
        <f>IF($A233=Input!$A$4,$B233,"")</f>
        <v/>
      </c>
      <c r="R233" s="323" t="str">
        <f>IF($A233=Input!$A$4,$C233,"")</f>
        <v/>
      </c>
      <c r="S233" s="323" t="str">
        <f>IF($A233=Input!$A$4,$D233,"")</f>
        <v/>
      </c>
      <c r="T233" s="323" t="str">
        <f>IF($A233=Input!$A$4,$E233,"")</f>
        <v/>
      </c>
      <c r="U233" s="386" t="str">
        <f>IF($A233=Input!$A$4,$F233,"")</f>
        <v/>
      </c>
      <c r="V233" s="323"/>
      <c r="W233" s="323"/>
      <c r="X233" s="323"/>
      <c r="Y233" s="323"/>
      <c r="Z233" s="323"/>
      <c r="AA233" s="387" t="str">
        <f>IF($A233=Input!$A$5,$B233,"")</f>
        <v/>
      </c>
      <c r="AB233" s="323" t="str">
        <f>IF($A233=Input!$A$5,$C233,"")</f>
        <v/>
      </c>
      <c r="AC233" s="323" t="str">
        <f>IF($A233=Input!$A$5,$D233,"")</f>
        <v/>
      </c>
      <c r="AD233" s="323" t="str">
        <f>IF($A233=Input!$A$5,$E233,"")</f>
        <v/>
      </c>
      <c r="AE233" s="386" t="str">
        <f>IF($A233=Input!$A$5,$F233,"")</f>
        <v/>
      </c>
      <c r="AF233" s="323"/>
      <c r="AG233" s="323"/>
      <c r="AH233" s="323"/>
      <c r="AI233" s="323"/>
      <c r="AJ233" s="323"/>
    </row>
    <row r="234" spans="1:36" x14ac:dyDescent="0.2">
      <c r="A234" s="250" t="str">
        <f>IF(BuffsDebuffs!$M230=1,BuffsDebuffs!G$2,"")</f>
        <v/>
      </c>
      <c r="B234" s="251" t="str">
        <f>IF(BuffsDebuffs!$M230=1,BuffsDebuffs!H$2,"")</f>
        <v/>
      </c>
      <c r="C234" s="251" t="str">
        <f>IF(BuffsDebuffs!$M230=1,BuffsDebuffs!I$2,"")</f>
        <v/>
      </c>
      <c r="D234" s="251" t="str">
        <f>IF(BuffsDebuffs!$M230=1,BuffsDebuffs!J$2,"")</f>
        <v/>
      </c>
      <c r="E234" s="251" t="str">
        <f>IF(BuffsDebuffs!$M230=1,BuffsDebuffs!K$2,"")</f>
        <v/>
      </c>
      <c r="F234" s="251" t="str">
        <f>IF(BuffsDebuffs!$M230=1,BuffsDebuffs!L$2,"")</f>
        <v/>
      </c>
      <c r="G234" s="387" t="str">
        <f>IF($A234=Input!$A$3,B234,"")</f>
        <v/>
      </c>
      <c r="H234" s="323" t="str">
        <f>IF($A234=Input!$A$3,C234,"")</f>
        <v/>
      </c>
      <c r="I234" s="323" t="str">
        <f>IF($A234=Input!$A$3,D234,"")</f>
        <v/>
      </c>
      <c r="J234" s="323" t="str">
        <f>IF($A234=Input!$A$3,E234,"")</f>
        <v/>
      </c>
      <c r="K234" s="386" t="str">
        <f>IF($A234=Input!$A$3,F234,"")</f>
        <v/>
      </c>
      <c r="L234" s="387"/>
      <c r="M234" s="323"/>
      <c r="N234" s="323"/>
      <c r="O234" s="323"/>
      <c r="P234" s="323"/>
      <c r="Q234" s="387" t="str">
        <f>IF($A234=Input!$A$4,$B234,"")</f>
        <v/>
      </c>
      <c r="R234" s="323" t="str">
        <f>IF($A234=Input!$A$4,$C234,"")</f>
        <v/>
      </c>
      <c r="S234" s="323" t="str">
        <f>IF($A234=Input!$A$4,$D234,"")</f>
        <v/>
      </c>
      <c r="T234" s="323" t="str">
        <f>IF($A234=Input!$A$4,$E234,"")</f>
        <v/>
      </c>
      <c r="U234" s="386" t="str">
        <f>IF($A234=Input!$A$4,$F234,"")</f>
        <v/>
      </c>
      <c r="V234" s="323"/>
      <c r="W234" s="323"/>
      <c r="X234" s="323"/>
      <c r="Y234" s="323"/>
      <c r="Z234" s="323"/>
      <c r="AA234" s="387" t="str">
        <f>IF($A234=Input!$A$5,$B234,"")</f>
        <v/>
      </c>
      <c r="AB234" s="323" t="str">
        <f>IF($A234=Input!$A$5,$C234,"")</f>
        <v/>
      </c>
      <c r="AC234" s="323" t="str">
        <f>IF($A234=Input!$A$5,$D234,"")</f>
        <v/>
      </c>
      <c r="AD234" s="323" t="str">
        <f>IF($A234=Input!$A$5,$E234,"")</f>
        <v/>
      </c>
      <c r="AE234" s="386" t="str">
        <f>IF($A234=Input!$A$5,$F234,"")</f>
        <v/>
      </c>
      <c r="AF234" s="323"/>
      <c r="AG234" s="323"/>
      <c r="AH234" s="323"/>
      <c r="AI234" s="323"/>
      <c r="AJ234" s="323"/>
    </row>
    <row r="235" spans="1:36" x14ac:dyDescent="0.2">
      <c r="A235" s="250" t="str">
        <f>IF(BuffsDebuffs!$M231=1,BuffsDebuffs!G$2,"")</f>
        <v/>
      </c>
      <c r="B235" s="251" t="str">
        <f>IF(BuffsDebuffs!$M231=1,BuffsDebuffs!H$2,"")</f>
        <v/>
      </c>
      <c r="C235" s="251" t="str">
        <f>IF(BuffsDebuffs!$M231=1,BuffsDebuffs!I$2,"")</f>
        <v/>
      </c>
      <c r="D235" s="251" t="str">
        <f>IF(BuffsDebuffs!$M231=1,BuffsDebuffs!J$2,"")</f>
        <v/>
      </c>
      <c r="E235" s="251" t="str">
        <f>IF(BuffsDebuffs!$M231=1,BuffsDebuffs!K$2,"")</f>
        <v/>
      </c>
      <c r="F235" s="251" t="str">
        <f>IF(BuffsDebuffs!$M231=1,BuffsDebuffs!L$2,"")</f>
        <v/>
      </c>
      <c r="G235" s="387" t="str">
        <f>IF($A235=Input!$A$3,B235,"")</f>
        <v/>
      </c>
      <c r="H235" s="323" t="str">
        <f>IF($A235=Input!$A$3,C235,"")</f>
        <v/>
      </c>
      <c r="I235" s="323" t="str">
        <f>IF($A235=Input!$A$3,D235,"")</f>
        <v/>
      </c>
      <c r="J235" s="323" t="str">
        <f>IF($A235=Input!$A$3,E235,"")</f>
        <v/>
      </c>
      <c r="K235" s="386" t="str">
        <f>IF($A235=Input!$A$3,F235,"")</f>
        <v/>
      </c>
      <c r="L235" s="387"/>
      <c r="M235" s="323"/>
      <c r="N235" s="323"/>
      <c r="O235" s="323"/>
      <c r="P235" s="323"/>
      <c r="Q235" s="387" t="str">
        <f>IF($A235=Input!$A$4,$B235,"")</f>
        <v/>
      </c>
      <c r="R235" s="323" t="str">
        <f>IF($A235=Input!$A$4,$C235,"")</f>
        <v/>
      </c>
      <c r="S235" s="323" t="str">
        <f>IF($A235=Input!$A$4,$D235,"")</f>
        <v/>
      </c>
      <c r="T235" s="323" t="str">
        <f>IF($A235=Input!$A$4,$E235,"")</f>
        <v/>
      </c>
      <c r="U235" s="386" t="str">
        <f>IF($A235=Input!$A$4,$F235,"")</f>
        <v/>
      </c>
      <c r="V235" s="323"/>
      <c r="W235" s="323"/>
      <c r="X235" s="323"/>
      <c r="Y235" s="323"/>
      <c r="Z235" s="323"/>
      <c r="AA235" s="387" t="str">
        <f>IF($A235=Input!$A$5,$B235,"")</f>
        <v/>
      </c>
      <c r="AB235" s="323" t="str">
        <f>IF($A235=Input!$A$5,$C235,"")</f>
        <v/>
      </c>
      <c r="AC235" s="323" t="str">
        <f>IF($A235=Input!$A$5,$D235,"")</f>
        <v/>
      </c>
      <c r="AD235" s="323" t="str">
        <f>IF($A235=Input!$A$5,$E235,"")</f>
        <v/>
      </c>
      <c r="AE235" s="386" t="str">
        <f>IF($A235=Input!$A$5,$F235,"")</f>
        <v/>
      </c>
      <c r="AF235" s="323"/>
      <c r="AG235" s="323"/>
      <c r="AH235" s="323"/>
      <c r="AI235" s="323"/>
      <c r="AJ235" s="323"/>
    </row>
    <row r="236" spans="1:36" x14ac:dyDescent="0.2">
      <c r="A236" s="250" t="str">
        <f>IF(BuffsDebuffs!$M232=1,BuffsDebuffs!G$2,"")</f>
        <v/>
      </c>
      <c r="B236" s="251" t="str">
        <f>IF(BuffsDebuffs!$M232=1,BuffsDebuffs!H$2,"")</f>
        <v/>
      </c>
      <c r="C236" s="251" t="str">
        <f>IF(BuffsDebuffs!$M232=1,BuffsDebuffs!I$2,"")</f>
        <v/>
      </c>
      <c r="D236" s="251" t="str">
        <f>IF(BuffsDebuffs!$M232=1,BuffsDebuffs!J$2,"")</f>
        <v/>
      </c>
      <c r="E236" s="251" t="str">
        <f>IF(BuffsDebuffs!$M232=1,BuffsDebuffs!K$2,"")</f>
        <v/>
      </c>
      <c r="F236" s="251" t="str">
        <f>IF(BuffsDebuffs!$M232=1,BuffsDebuffs!L$2,"")</f>
        <v/>
      </c>
      <c r="G236" s="387" t="str">
        <f>IF($A236=Input!$A$3,B236,"")</f>
        <v/>
      </c>
      <c r="H236" s="323" t="str">
        <f>IF($A236=Input!$A$3,C236,"")</f>
        <v/>
      </c>
      <c r="I236" s="323" t="str">
        <f>IF($A236=Input!$A$3,D236,"")</f>
        <v/>
      </c>
      <c r="J236" s="323" t="str">
        <f>IF($A236=Input!$A$3,E236,"")</f>
        <v/>
      </c>
      <c r="K236" s="386" t="str">
        <f>IF($A236=Input!$A$3,F236,"")</f>
        <v/>
      </c>
      <c r="L236" s="387"/>
      <c r="M236" s="323"/>
      <c r="N236" s="323"/>
      <c r="O236" s="323"/>
      <c r="P236" s="323"/>
      <c r="Q236" s="387" t="str">
        <f>IF($A236=Input!$A$4,$B236,"")</f>
        <v/>
      </c>
      <c r="R236" s="323" t="str">
        <f>IF($A236=Input!$A$4,$C236,"")</f>
        <v/>
      </c>
      <c r="S236" s="323" t="str">
        <f>IF($A236=Input!$A$4,$D236,"")</f>
        <v/>
      </c>
      <c r="T236" s="323" t="str">
        <f>IF($A236=Input!$A$4,$E236,"")</f>
        <v/>
      </c>
      <c r="U236" s="386" t="str">
        <f>IF($A236=Input!$A$4,$F236,"")</f>
        <v/>
      </c>
      <c r="V236" s="323"/>
      <c r="W236" s="323"/>
      <c r="X236" s="323"/>
      <c r="Y236" s="323"/>
      <c r="Z236" s="323"/>
      <c r="AA236" s="387" t="str">
        <f>IF($A236=Input!$A$5,$B236,"")</f>
        <v/>
      </c>
      <c r="AB236" s="323" t="str">
        <f>IF($A236=Input!$A$5,$C236,"")</f>
        <v/>
      </c>
      <c r="AC236" s="323" t="str">
        <f>IF($A236=Input!$A$5,$D236,"")</f>
        <v/>
      </c>
      <c r="AD236" s="323" t="str">
        <f>IF($A236=Input!$A$5,$E236,"")</f>
        <v/>
      </c>
      <c r="AE236" s="386" t="str">
        <f>IF($A236=Input!$A$5,$F236,"")</f>
        <v/>
      </c>
      <c r="AF236" s="323"/>
      <c r="AG236" s="323"/>
      <c r="AH236" s="323"/>
      <c r="AI236" s="323"/>
      <c r="AJ236" s="323"/>
    </row>
    <row r="237" spans="1:36" x14ac:dyDescent="0.2">
      <c r="A237" s="250" t="str">
        <f>IF(BuffsDebuffs!$M233=1,BuffsDebuffs!G$2,"")</f>
        <v/>
      </c>
      <c r="B237" s="251" t="str">
        <f>IF(BuffsDebuffs!$M233=1,BuffsDebuffs!H$2,"")</f>
        <v/>
      </c>
      <c r="C237" s="251" t="str">
        <f>IF(BuffsDebuffs!$M233=1,BuffsDebuffs!I$2,"")</f>
        <v/>
      </c>
      <c r="D237" s="251" t="str">
        <f>IF(BuffsDebuffs!$M233=1,BuffsDebuffs!J$2,"")</f>
        <v/>
      </c>
      <c r="E237" s="251" t="str">
        <f>IF(BuffsDebuffs!$M233=1,BuffsDebuffs!K$2,"")</f>
        <v/>
      </c>
      <c r="F237" s="251" t="str">
        <f>IF(BuffsDebuffs!$M233=1,BuffsDebuffs!L$2,"")</f>
        <v/>
      </c>
      <c r="G237" s="387" t="str">
        <f>IF($A237=Input!$A$3,B237,"")</f>
        <v/>
      </c>
      <c r="H237" s="323" t="str">
        <f>IF($A237=Input!$A$3,C237,"")</f>
        <v/>
      </c>
      <c r="I237" s="323" t="str">
        <f>IF($A237=Input!$A$3,D237,"")</f>
        <v/>
      </c>
      <c r="J237" s="323" t="str">
        <f>IF($A237=Input!$A$3,E237,"")</f>
        <v/>
      </c>
      <c r="K237" s="386" t="str">
        <f>IF($A237=Input!$A$3,F237,"")</f>
        <v/>
      </c>
      <c r="L237" s="387"/>
      <c r="M237" s="323"/>
      <c r="N237" s="323"/>
      <c r="O237" s="323"/>
      <c r="P237" s="323"/>
      <c r="Q237" s="387" t="str">
        <f>IF($A237=Input!$A$4,$B237,"")</f>
        <v/>
      </c>
      <c r="R237" s="323" t="str">
        <f>IF($A237=Input!$A$4,$C237,"")</f>
        <v/>
      </c>
      <c r="S237" s="323" t="str">
        <f>IF($A237=Input!$A$4,$D237,"")</f>
        <v/>
      </c>
      <c r="T237" s="323" t="str">
        <f>IF($A237=Input!$A$4,$E237,"")</f>
        <v/>
      </c>
      <c r="U237" s="386" t="str">
        <f>IF($A237=Input!$A$4,$F237,"")</f>
        <v/>
      </c>
      <c r="V237" s="323"/>
      <c r="W237" s="323"/>
      <c r="X237" s="323"/>
      <c r="Y237" s="323"/>
      <c r="Z237" s="323"/>
      <c r="AA237" s="387" t="str">
        <f>IF($A237=Input!$A$5,$B237,"")</f>
        <v/>
      </c>
      <c r="AB237" s="323" t="str">
        <f>IF($A237=Input!$A$5,$C237,"")</f>
        <v/>
      </c>
      <c r="AC237" s="323" t="str">
        <f>IF($A237=Input!$A$5,$D237,"")</f>
        <v/>
      </c>
      <c r="AD237" s="323" t="str">
        <f>IF($A237=Input!$A$5,$E237,"")</f>
        <v/>
      </c>
      <c r="AE237" s="386" t="str">
        <f>IF($A237=Input!$A$5,$F237,"")</f>
        <v/>
      </c>
      <c r="AF237" s="323"/>
      <c r="AG237" s="323"/>
      <c r="AH237" s="323"/>
      <c r="AI237" s="323"/>
      <c r="AJ237" s="323"/>
    </row>
    <row r="238" spans="1:36" x14ac:dyDescent="0.2">
      <c r="A238" s="250" t="str">
        <f>IF(BuffsDebuffs!$M234=1,BuffsDebuffs!G$2,"")</f>
        <v/>
      </c>
      <c r="B238" s="251" t="str">
        <f>IF(BuffsDebuffs!$M234=1,BuffsDebuffs!H$2,"")</f>
        <v/>
      </c>
      <c r="C238" s="251" t="str">
        <f>IF(BuffsDebuffs!$M234=1,BuffsDebuffs!I$2,"")</f>
        <v/>
      </c>
      <c r="D238" s="251" t="str">
        <f>IF(BuffsDebuffs!$M234=1,BuffsDebuffs!J$2,"")</f>
        <v/>
      </c>
      <c r="E238" s="251" t="str">
        <f>IF(BuffsDebuffs!$M234=1,BuffsDebuffs!K$2,"")</f>
        <v/>
      </c>
      <c r="F238" s="251" t="str">
        <f>IF(BuffsDebuffs!$M234=1,BuffsDebuffs!L$2,"")</f>
        <v/>
      </c>
      <c r="G238" s="387" t="str">
        <f>IF($A238=Input!$A$3,B238,"")</f>
        <v/>
      </c>
      <c r="H238" s="323" t="str">
        <f>IF($A238=Input!$A$3,C238,"")</f>
        <v/>
      </c>
      <c r="I238" s="323" t="str">
        <f>IF($A238=Input!$A$3,D238,"")</f>
        <v/>
      </c>
      <c r="J238" s="323" t="str">
        <f>IF($A238=Input!$A$3,E238,"")</f>
        <v/>
      </c>
      <c r="K238" s="386" t="str">
        <f>IF($A238=Input!$A$3,F238,"")</f>
        <v/>
      </c>
      <c r="L238" s="387"/>
      <c r="M238" s="323"/>
      <c r="N238" s="323"/>
      <c r="O238" s="323"/>
      <c r="P238" s="323"/>
      <c r="Q238" s="387" t="str">
        <f>IF($A238=Input!$A$4,$B238,"")</f>
        <v/>
      </c>
      <c r="R238" s="323" t="str">
        <f>IF($A238=Input!$A$4,$C238,"")</f>
        <v/>
      </c>
      <c r="S238" s="323" t="str">
        <f>IF($A238=Input!$A$4,$D238,"")</f>
        <v/>
      </c>
      <c r="T238" s="323" t="str">
        <f>IF($A238=Input!$A$4,$E238,"")</f>
        <v/>
      </c>
      <c r="U238" s="386" t="str">
        <f>IF($A238=Input!$A$4,$F238,"")</f>
        <v/>
      </c>
      <c r="V238" s="323"/>
      <c r="W238" s="323"/>
      <c r="X238" s="323"/>
      <c r="Y238" s="323"/>
      <c r="Z238" s="323"/>
      <c r="AA238" s="387" t="str">
        <f>IF($A238=Input!$A$5,$B238,"")</f>
        <v/>
      </c>
      <c r="AB238" s="323" t="str">
        <f>IF($A238=Input!$A$5,$C238,"")</f>
        <v/>
      </c>
      <c r="AC238" s="323" t="str">
        <f>IF($A238=Input!$A$5,$D238,"")</f>
        <v/>
      </c>
      <c r="AD238" s="323" t="str">
        <f>IF($A238=Input!$A$5,$E238,"")</f>
        <v/>
      </c>
      <c r="AE238" s="386" t="str">
        <f>IF($A238=Input!$A$5,$F238,"")</f>
        <v/>
      </c>
      <c r="AF238" s="323"/>
      <c r="AG238" s="323"/>
      <c r="AH238" s="323"/>
      <c r="AI238" s="323"/>
      <c r="AJ238" s="323"/>
    </row>
    <row r="239" spans="1:36" x14ac:dyDescent="0.2">
      <c r="A239" s="250" t="str">
        <f>IF(BuffsDebuffs!$M235=1,BuffsDebuffs!G$2,"")</f>
        <v/>
      </c>
      <c r="B239" s="251" t="str">
        <f>IF(BuffsDebuffs!$M235=1,BuffsDebuffs!H$2,"")</f>
        <v/>
      </c>
      <c r="C239" s="251" t="str">
        <f>IF(BuffsDebuffs!$M235=1,BuffsDebuffs!I$2,"")</f>
        <v/>
      </c>
      <c r="D239" s="251" t="str">
        <f>IF(BuffsDebuffs!$M235=1,BuffsDebuffs!J$2,"")</f>
        <v/>
      </c>
      <c r="E239" s="251" t="str">
        <f>IF(BuffsDebuffs!$M235=1,BuffsDebuffs!K$2,"")</f>
        <v/>
      </c>
      <c r="F239" s="251" t="str">
        <f>IF(BuffsDebuffs!$M235=1,BuffsDebuffs!L$2,"")</f>
        <v/>
      </c>
      <c r="G239" s="387" t="str">
        <f>IF($A239=Input!$A$3,B239,"")</f>
        <v/>
      </c>
      <c r="H239" s="323" t="str">
        <f>IF($A239=Input!$A$3,C239,"")</f>
        <v/>
      </c>
      <c r="I239" s="323" t="str">
        <f>IF($A239=Input!$A$3,D239,"")</f>
        <v/>
      </c>
      <c r="J239" s="323" t="str">
        <f>IF($A239=Input!$A$3,E239,"")</f>
        <v/>
      </c>
      <c r="K239" s="386" t="str">
        <f>IF($A239=Input!$A$3,F239,"")</f>
        <v/>
      </c>
      <c r="L239" s="387"/>
      <c r="M239" s="323"/>
      <c r="N239" s="323"/>
      <c r="O239" s="323"/>
      <c r="P239" s="323"/>
      <c r="Q239" s="387" t="str">
        <f>IF($A239=Input!$A$4,$B239,"")</f>
        <v/>
      </c>
      <c r="R239" s="323" t="str">
        <f>IF($A239=Input!$A$4,$C239,"")</f>
        <v/>
      </c>
      <c r="S239" s="323" t="str">
        <f>IF($A239=Input!$A$4,$D239,"")</f>
        <v/>
      </c>
      <c r="T239" s="323" t="str">
        <f>IF($A239=Input!$A$4,$E239,"")</f>
        <v/>
      </c>
      <c r="U239" s="386" t="str">
        <f>IF($A239=Input!$A$4,$F239,"")</f>
        <v/>
      </c>
      <c r="V239" s="323"/>
      <c r="W239" s="323"/>
      <c r="X239" s="323"/>
      <c r="Y239" s="323"/>
      <c r="Z239" s="323"/>
      <c r="AA239" s="387" t="str">
        <f>IF($A239=Input!$A$5,$B239,"")</f>
        <v/>
      </c>
      <c r="AB239" s="323" t="str">
        <f>IF($A239=Input!$A$5,$C239,"")</f>
        <v/>
      </c>
      <c r="AC239" s="323" t="str">
        <f>IF($A239=Input!$A$5,$D239,"")</f>
        <v/>
      </c>
      <c r="AD239" s="323" t="str">
        <f>IF($A239=Input!$A$5,$E239,"")</f>
        <v/>
      </c>
      <c r="AE239" s="386" t="str">
        <f>IF($A239=Input!$A$5,$F239,"")</f>
        <v/>
      </c>
      <c r="AF239" s="323"/>
      <c r="AG239" s="323"/>
      <c r="AH239" s="323"/>
      <c r="AI239" s="323"/>
      <c r="AJ239" s="323"/>
    </row>
    <row r="240" spans="1:36" x14ac:dyDescent="0.2">
      <c r="A240" s="250" t="str">
        <f>IF(BuffsDebuffs!$M236=1,BuffsDebuffs!G$2,"")</f>
        <v/>
      </c>
      <c r="B240" s="251" t="str">
        <f>IF(BuffsDebuffs!$M236=1,BuffsDebuffs!H$2,"")</f>
        <v/>
      </c>
      <c r="C240" s="251" t="str">
        <f>IF(BuffsDebuffs!$M236=1,BuffsDebuffs!I$2,"")</f>
        <v/>
      </c>
      <c r="D240" s="251" t="str">
        <f>IF(BuffsDebuffs!$M236=1,BuffsDebuffs!J$2,"")</f>
        <v/>
      </c>
      <c r="E240" s="251" t="str">
        <f>IF(BuffsDebuffs!$M236=1,BuffsDebuffs!K$2,"")</f>
        <v/>
      </c>
      <c r="F240" s="251" t="str">
        <f>IF(BuffsDebuffs!$M236=1,BuffsDebuffs!L$2,"")</f>
        <v/>
      </c>
      <c r="G240" s="387" t="str">
        <f>IF($A240=Input!$A$3,B240,"")</f>
        <v/>
      </c>
      <c r="H240" s="323" t="str">
        <f>IF($A240=Input!$A$3,C240,"")</f>
        <v/>
      </c>
      <c r="I240" s="323" t="str">
        <f>IF($A240=Input!$A$3,D240,"")</f>
        <v/>
      </c>
      <c r="J240" s="323" t="str">
        <f>IF($A240=Input!$A$3,E240,"")</f>
        <v/>
      </c>
      <c r="K240" s="386" t="str">
        <f>IF($A240=Input!$A$3,F240,"")</f>
        <v/>
      </c>
      <c r="L240" s="387"/>
      <c r="M240" s="323"/>
      <c r="N240" s="323"/>
      <c r="O240" s="323"/>
      <c r="P240" s="323"/>
      <c r="Q240" s="387" t="str">
        <f>IF($A240=Input!$A$4,$B240,"")</f>
        <v/>
      </c>
      <c r="R240" s="323" t="str">
        <f>IF($A240=Input!$A$4,$C240,"")</f>
        <v/>
      </c>
      <c r="S240" s="323" t="str">
        <f>IF($A240=Input!$A$4,$D240,"")</f>
        <v/>
      </c>
      <c r="T240" s="323" t="str">
        <f>IF($A240=Input!$A$4,$E240,"")</f>
        <v/>
      </c>
      <c r="U240" s="386" t="str">
        <f>IF($A240=Input!$A$4,$F240,"")</f>
        <v/>
      </c>
      <c r="V240" s="323"/>
      <c r="W240" s="323"/>
      <c r="X240" s="323"/>
      <c r="Y240" s="323"/>
      <c r="Z240" s="323"/>
      <c r="AA240" s="387" t="str">
        <f>IF($A240=Input!$A$5,$B240,"")</f>
        <v/>
      </c>
      <c r="AB240" s="323" t="str">
        <f>IF($A240=Input!$A$5,$C240,"")</f>
        <v/>
      </c>
      <c r="AC240" s="323" t="str">
        <f>IF($A240=Input!$A$5,$D240,"")</f>
        <v/>
      </c>
      <c r="AD240" s="323" t="str">
        <f>IF($A240=Input!$A$5,$E240,"")</f>
        <v/>
      </c>
      <c r="AE240" s="386" t="str">
        <f>IF($A240=Input!$A$5,$F240,"")</f>
        <v/>
      </c>
      <c r="AF240" s="323"/>
      <c r="AG240" s="323"/>
      <c r="AH240" s="323"/>
      <c r="AI240" s="323"/>
      <c r="AJ240" s="323"/>
    </row>
    <row r="241" spans="1:36" x14ac:dyDescent="0.2">
      <c r="A241" s="250" t="str">
        <f>IF(BuffsDebuffs!$M237=1,BuffsDebuffs!G$2,"")</f>
        <v/>
      </c>
      <c r="B241" s="251" t="str">
        <f>IF(BuffsDebuffs!$M237=1,BuffsDebuffs!H$2,"")</f>
        <v/>
      </c>
      <c r="C241" s="251" t="str">
        <f>IF(BuffsDebuffs!$M237=1,BuffsDebuffs!I$2,"")</f>
        <v/>
      </c>
      <c r="D241" s="251" t="str">
        <f>IF(BuffsDebuffs!$M237=1,BuffsDebuffs!J$2,"")</f>
        <v/>
      </c>
      <c r="E241" s="251" t="str">
        <f>IF(BuffsDebuffs!$M237=1,BuffsDebuffs!K$2,"")</f>
        <v/>
      </c>
      <c r="F241" s="251" t="str">
        <f>IF(BuffsDebuffs!$M237=1,BuffsDebuffs!L$2,"")</f>
        <v/>
      </c>
      <c r="G241" s="387" t="str">
        <f>IF($A241=Input!$A$3,B241,"")</f>
        <v/>
      </c>
      <c r="H241" s="323" t="str">
        <f>IF($A241=Input!$A$3,C241,"")</f>
        <v/>
      </c>
      <c r="I241" s="323" t="str">
        <f>IF($A241=Input!$A$3,D241,"")</f>
        <v/>
      </c>
      <c r="J241" s="323" t="str">
        <f>IF($A241=Input!$A$3,E241,"")</f>
        <v/>
      </c>
      <c r="K241" s="386" t="str">
        <f>IF($A241=Input!$A$3,F241,"")</f>
        <v/>
      </c>
      <c r="L241" s="387"/>
      <c r="M241" s="323"/>
      <c r="N241" s="323"/>
      <c r="O241" s="323"/>
      <c r="P241" s="323"/>
      <c r="Q241" s="387" t="str">
        <f>IF($A241=Input!$A$4,$B241,"")</f>
        <v/>
      </c>
      <c r="R241" s="323" t="str">
        <f>IF($A241=Input!$A$4,$C241,"")</f>
        <v/>
      </c>
      <c r="S241" s="323" t="str">
        <f>IF($A241=Input!$A$4,$D241,"")</f>
        <v/>
      </c>
      <c r="T241" s="323" t="str">
        <f>IF($A241=Input!$A$4,$E241,"")</f>
        <v/>
      </c>
      <c r="U241" s="386" t="str">
        <f>IF($A241=Input!$A$4,$F241,"")</f>
        <v/>
      </c>
      <c r="V241" s="323"/>
      <c r="W241" s="323"/>
      <c r="X241" s="323"/>
      <c r="Y241" s="323"/>
      <c r="Z241" s="323"/>
      <c r="AA241" s="387" t="str">
        <f>IF($A241=Input!$A$5,$B241,"")</f>
        <v/>
      </c>
      <c r="AB241" s="323" t="str">
        <f>IF($A241=Input!$A$5,$C241,"")</f>
        <v/>
      </c>
      <c r="AC241" s="323" t="str">
        <f>IF($A241=Input!$A$5,$D241,"")</f>
        <v/>
      </c>
      <c r="AD241" s="323" t="str">
        <f>IF($A241=Input!$A$5,$E241,"")</f>
        <v/>
      </c>
      <c r="AE241" s="386" t="str">
        <f>IF($A241=Input!$A$5,$F241,"")</f>
        <v/>
      </c>
      <c r="AF241" s="323"/>
      <c r="AG241" s="323"/>
      <c r="AH241" s="323"/>
      <c r="AI241" s="323"/>
      <c r="AJ241" s="323"/>
    </row>
    <row r="242" spans="1:36" x14ac:dyDescent="0.2">
      <c r="A242" s="250" t="str">
        <f>IF(BuffsDebuffs!$M238=1,BuffsDebuffs!G$2,"")</f>
        <v/>
      </c>
      <c r="B242" s="251" t="str">
        <f>IF(BuffsDebuffs!$M238=1,BuffsDebuffs!H$2,"")</f>
        <v/>
      </c>
      <c r="C242" s="251" t="str">
        <f>IF(BuffsDebuffs!$M238=1,BuffsDebuffs!I$2,"")</f>
        <v/>
      </c>
      <c r="D242" s="251" t="str">
        <f>IF(BuffsDebuffs!$M238=1,BuffsDebuffs!J$2,"")</f>
        <v/>
      </c>
      <c r="E242" s="251" t="str">
        <f>IF(BuffsDebuffs!$M238=1,BuffsDebuffs!K$2,"")</f>
        <v/>
      </c>
      <c r="F242" s="251" t="str">
        <f>IF(BuffsDebuffs!$M238=1,BuffsDebuffs!L$2,"")</f>
        <v/>
      </c>
      <c r="G242" s="387" t="str">
        <f>IF($A242=Input!$A$3,B242,"")</f>
        <v/>
      </c>
      <c r="H242" s="323" t="str">
        <f>IF($A242=Input!$A$3,C242,"")</f>
        <v/>
      </c>
      <c r="I242" s="323" t="str">
        <f>IF($A242=Input!$A$3,D242,"")</f>
        <v/>
      </c>
      <c r="J242" s="323" t="str">
        <f>IF($A242=Input!$A$3,E242,"")</f>
        <v/>
      </c>
      <c r="K242" s="386" t="str">
        <f>IF($A242=Input!$A$3,F242,"")</f>
        <v/>
      </c>
      <c r="L242" s="387"/>
      <c r="M242" s="323"/>
      <c r="N242" s="323"/>
      <c r="O242" s="323"/>
      <c r="P242" s="323"/>
      <c r="Q242" s="387" t="str">
        <f>IF($A242=Input!$A$4,$B242,"")</f>
        <v/>
      </c>
      <c r="R242" s="323" t="str">
        <f>IF($A242=Input!$A$4,$C242,"")</f>
        <v/>
      </c>
      <c r="S242" s="323" t="str">
        <f>IF($A242=Input!$A$4,$D242,"")</f>
        <v/>
      </c>
      <c r="T242" s="323" t="str">
        <f>IF($A242=Input!$A$4,$E242,"")</f>
        <v/>
      </c>
      <c r="U242" s="386" t="str">
        <f>IF($A242=Input!$A$4,$F242,"")</f>
        <v/>
      </c>
      <c r="V242" s="323"/>
      <c r="W242" s="323"/>
      <c r="X242" s="323"/>
      <c r="Y242" s="323"/>
      <c r="Z242" s="323"/>
      <c r="AA242" s="387" t="str">
        <f>IF($A242=Input!$A$5,$B242,"")</f>
        <v/>
      </c>
      <c r="AB242" s="323" t="str">
        <f>IF($A242=Input!$A$5,$C242,"")</f>
        <v/>
      </c>
      <c r="AC242" s="323" t="str">
        <f>IF($A242=Input!$A$5,$D242,"")</f>
        <v/>
      </c>
      <c r="AD242" s="323" t="str">
        <f>IF($A242=Input!$A$5,$E242,"")</f>
        <v/>
      </c>
      <c r="AE242" s="386" t="str">
        <f>IF($A242=Input!$A$5,$F242,"")</f>
        <v/>
      </c>
      <c r="AF242" s="323"/>
      <c r="AG242" s="323"/>
      <c r="AH242" s="323"/>
      <c r="AI242" s="323"/>
      <c r="AJ242" s="323"/>
    </row>
    <row r="243" spans="1:36" x14ac:dyDescent="0.2">
      <c r="A243" s="250" t="str">
        <f>IF(BuffsDebuffs!$M239=1,BuffsDebuffs!G$2,"")</f>
        <v/>
      </c>
      <c r="B243" s="251" t="str">
        <f>IF(BuffsDebuffs!$M239=1,BuffsDebuffs!H$2,"")</f>
        <v/>
      </c>
      <c r="C243" s="251" t="str">
        <f>IF(BuffsDebuffs!$M239=1,BuffsDebuffs!I$2,"")</f>
        <v/>
      </c>
      <c r="D243" s="251" t="str">
        <f>IF(BuffsDebuffs!$M239=1,BuffsDebuffs!J$2,"")</f>
        <v/>
      </c>
      <c r="E243" s="251" t="str">
        <f>IF(BuffsDebuffs!$M239=1,BuffsDebuffs!K$2,"")</f>
        <v/>
      </c>
      <c r="F243" s="251" t="str">
        <f>IF(BuffsDebuffs!$M239=1,BuffsDebuffs!L$2,"")</f>
        <v/>
      </c>
      <c r="G243" s="387" t="str">
        <f>IF($A243=Input!$A$3,B243,"")</f>
        <v/>
      </c>
      <c r="H243" s="323" t="str">
        <f>IF($A243=Input!$A$3,C243,"")</f>
        <v/>
      </c>
      <c r="I243" s="323" t="str">
        <f>IF($A243=Input!$A$3,D243,"")</f>
        <v/>
      </c>
      <c r="J243" s="323" t="str">
        <f>IF($A243=Input!$A$3,E243,"")</f>
        <v/>
      </c>
      <c r="K243" s="386" t="str">
        <f>IF($A243=Input!$A$3,F243,"")</f>
        <v/>
      </c>
      <c r="L243" s="387"/>
      <c r="M243" s="323"/>
      <c r="N243" s="323"/>
      <c r="O243" s="323"/>
      <c r="P243" s="323"/>
      <c r="Q243" s="387" t="str">
        <f>IF($A243=Input!$A$4,$B243,"")</f>
        <v/>
      </c>
      <c r="R243" s="323" t="str">
        <f>IF($A243=Input!$A$4,$C243,"")</f>
        <v/>
      </c>
      <c r="S243" s="323" t="str">
        <f>IF($A243=Input!$A$4,$D243,"")</f>
        <v/>
      </c>
      <c r="T243" s="323" t="str">
        <f>IF($A243=Input!$A$4,$E243,"")</f>
        <v/>
      </c>
      <c r="U243" s="386" t="str">
        <f>IF($A243=Input!$A$4,$F243,"")</f>
        <v/>
      </c>
      <c r="V243" s="323"/>
      <c r="W243" s="323"/>
      <c r="X243" s="323"/>
      <c r="Y243" s="323"/>
      <c r="Z243" s="323"/>
      <c r="AA243" s="387" t="str">
        <f>IF($A243=Input!$A$5,$B243,"")</f>
        <v/>
      </c>
      <c r="AB243" s="323" t="str">
        <f>IF($A243=Input!$A$5,$C243,"")</f>
        <v/>
      </c>
      <c r="AC243" s="323" t="str">
        <f>IF($A243=Input!$A$5,$D243,"")</f>
        <v/>
      </c>
      <c r="AD243" s="323" t="str">
        <f>IF($A243=Input!$A$5,$E243,"")</f>
        <v/>
      </c>
      <c r="AE243" s="386" t="str">
        <f>IF($A243=Input!$A$5,$F243,"")</f>
        <v/>
      </c>
      <c r="AF243" s="323"/>
      <c r="AG243" s="323"/>
      <c r="AH243" s="323"/>
      <c r="AI243" s="323"/>
      <c r="AJ243" s="323"/>
    </row>
    <row r="244" spans="1:36" x14ac:dyDescent="0.2">
      <c r="A244" s="250" t="str">
        <f>IF(BuffsDebuffs!$M240=1,BuffsDebuffs!G$2,"")</f>
        <v/>
      </c>
      <c r="B244" s="251" t="str">
        <f>IF(BuffsDebuffs!$M240=1,BuffsDebuffs!H$2,"")</f>
        <v/>
      </c>
      <c r="C244" s="251" t="str">
        <f>IF(BuffsDebuffs!$M240=1,BuffsDebuffs!I$2,"")</f>
        <v/>
      </c>
      <c r="D244" s="251" t="str">
        <f>IF(BuffsDebuffs!$M240=1,BuffsDebuffs!J$2,"")</f>
        <v/>
      </c>
      <c r="E244" s="251" t="str">
        <f>IF(BuffsDebuffs!$M240=1,BuffsDebuffs!K$2,"")</f>
        <v/>
      </c>
      <c r="F244" s="251" t="str">
        <f>IF(BuffsDebuffs!$M240=1,BuffsDebuffs!L$2,"")</f>
        <v/>
      </c>
      <c r="G244" s="387" t="str">
        <f>IF($A244=Input!$A$3,B244,"")</f>
        <v/>
      </c>
      <c r="H244" s="323" t="str">
        <f>IF($A244=Input!$A$3,C244,"")</f>
        <v/>
      </c>
      <c r="I244" s="323" t="str">
        <f>IF($A244=Input!$A$3,D244,"")</f>
        <v/>
      </c>
      <c r="J244" s="323" t="str">
        <f>IF($A244=Input!$A$3,E244,"")</f>
        <v/>
      </c>
      <c r="K244" s="386" t="str">
        <f>IF($A244=Input!$A$3,F244,"")</f>
        <v/>
      </c>
      <c r="L244" s="387"/>
      <c r="M244" s="323"/>
      <c r="N244" s="323"/>
      <c r="O244" s="323"/>
      <c r="P244" s="323"/>
      <c r="Q244" s="387" t="str">
        <f>IF($A244=Input!$A$4,$B244,"")</f>
        <v/>
      </c>
      <c r="R244" s="323" t="str">
        <f>IF($A244=Input!$A$4,$C244,"")</f>
        <v/>
      </c>
      <c r="S244" s="323" t="str">
        <f>IF($A244=Input!$A$4,$D244,"")</f>
        <v/>
      </c>
      <c r="T244" s="323" t="str">
        <f>IF($A244=Input!$A$4,$E244,"")</f>
        <v/>
      </c>
      <c r="U244" s="386" t="str">
        <f>IF($A244=Input!$A$4,$F244,"")</f>
        <v/>
      </c>
      <c r="V244" s="323"/>
      <c r="W244" s="323"/>
      <c r="X244" s="323"/>
      <c r="Y244" s="323"/>
      <c r="Z244" s="323"/>
      <c r="AA244" s="387" t="str">
        <f>IF($A244=Input!$A$5,$B244,"")</f>
        <v/>
      </c>
      <c r="AB244" s="323" t="str">
        <f>IF($A244=Input!$A$5,$C244,"")</f>
        <v/>
      </c>
      <c r="AC244" s="323" t="str">
        <f>IF($A244=Input!$A$5,$D244,"")</f>
        <v/>
      </c>
      <c r="AD244" s="323" t="str">
        <f>IF($A244=Input!$A$5,$E244,"")</f>
        <v/>
      </c>
      <c r="AE244" s="386" t="str">
        <f>IF($A244=Input!$A$5,$F244,"")</f>
        <v/>
      </c>
      <c r="AF244" s="323"/>
      <c r="AG244" s="323"/>
      <c r="AH244" s="323"/>
      <c r="AI244" s="323"/>
      <c r="AJ244" s="323"/>
    </row>
    <row r="245" spans="1:36" x14ac:dyDescent="0.2">
      <c r="A245" s="250" t="str">
        <f>IF(BuffsDebuffs!$M241=1,BuffsDebuffs!G$2,"")</f>
        <v/>
      </c>
      <c r="B245" s="251" t="str">
        <f>IF(BuffsDebuffs!$M241=1,BuffsDebuffs!H$2,"")</f>
        <v/>
      </c>
      <c r="C245" s="251" t="str">
        <f>IF(BuffsDebuffs!$M241=1,BuffsDebuffs!I$2,"")</f>
        <v/>
      </c>
      <c r="D245" s="251" t="str">
        <f>IF(BuffsDebuffs!$M241=1,BuffsDebuffs!J$2,"")</f>
        <v/>
      </c>
      <c r="E245" s="251" t="str">
        <f>IF(BuffsDebuffs!$M241=1,BuffsDebuffs!K$2,"")</f>
        <v/>
      </c>
      <c r="F245" s="251" t="str">
        <f>IF(BuffsDebuffs!$M241=1,BuffsDebuffs!L$2,"")</f>
        <v/>
      </c>
      <c r="G245" s="387" t="str">
        <f>IF($A245=Input!$A$3,B245,"")</f>
        <v/>
      </c>
      <c r="H245" s="323" t="str">
        <f>IF($A245=Input!$A$3,C245,"")</f>
        <v/>
      </c>
      <c r="I245" s="323" t="str">
        <f>IF($A245=Input!$A$3,D245,"")</f>
        <v/>
      </c>
      <c r="J245" s="323" t="str">
        <f>IF($A245=Input!$A$3,E245,"")</f>
        <v/>
      </c>
      <c r="K245" s="386" t="str">
        <f>IF($A245=Input!$A$3,F245,"")</f>
        <v/>
      </c>
      <c r="L245" s="387"/>
      <c r="M245" s="323"/>
      <c r="N245" s="323"/>
      <c r="O245" s="323"/>
      <c r="P245" s="323"/>
      <c r="Q245" s="387" t="str">
        <f>IF($A245=Input!$A$4,$B245,"")</f>
        <v/>
      </c>
      <c r="R245" s="323" t="str">
        <f>IF($A245=Input!$A$4,$C245,"")</f>
        <v/>
      </c>
      <c r="S245" s="323" t="str">
        <f>IF($A245=Input!$A$4,$D245,"")</f>
        <v/>
      </c>
      <c r="T245" s="323" t="str">
        <f>IF($A245=Input!$A$4,$E245,"")</f>
        <v/>
      </c>
      <c r="U245" s="386" t="str">
        <f>IF($A245=Input!$A$4,$F245,"")</f>
        <v/>
      </c>
      <c r="V245" s="323"/>
      <c r="W245" s="323"/>
      <c r="X245" s="323"/>
      <c r="Y245" s="323"/>
      <c r="Z245" s="323"/>
      <c r="AA245" s="387" t="str">
        <f>IF($A245=Input!$A$5,$B245,"")</f>
        <v/>
      </c>
      <c r="AB245" s="323" t="str">
        <f>IF($A245=Input!$A$5,$C245,"")</f>
        <v/>
      </c>
      <c r="AC245" s="323" t="str">
        <f>IF($A245=Input!$A$5,$D245,"")</f>
        <v/>
      </c>
      <c r="AD245" s="323" t="str">
        <f>IF($A245=Input!$A$5,$E245,"")</f>
        <v/>
      </c>
      <c r="AE245" s="386" t="str">
        <f>IF($A245=Input!$A$5,$F245,"")</f>
        <v/>
      </c>
      <c r="AF245" s="323"/>
      <c r="AG245" s="323"/>
      <c r="AH245" s="323"/>
      <c r="AI245" s="323"/>
      <c r="AJ245" s="323"/>
    </row>
    <row r="246" spans="1:36" x14ac:dyDescent="0.2">
      <c r="A246" s="250" t="str">
        <f>IF(BuffsDebuffs!$M242=1,BuffsDebuffs!G$2,"")</f>
        <v/>
      </c>
      <c r="B246" s="251" t="str">
        <f>IF(BuffsDebuffs!$M242=1,BuffsDebuffs!H$2,"")</f>
        <v/>
      </c>
      <c r="C246" s="251" t="str">
        <f>IF(BuffsDebuffs!$M242=1,BuffsDebuffs!I$2,"")</f>
        <v/>
      </c>
      <c r="D246" s="251" t="str">
        <f>IF(BuffsDebuffs!$M242=1,BuffsDebuffs!J$2,"")</f>
        <v/>
      </c>
      <c r="E246" s="251" t="str">
        <f>IF(BuffsDebuffs!$M242=1,BuffsDebuffs!K$2,"")</f>
        <v/>
      </c>
      <c r="F246" s="251" t="str">
        <f>IF(BuffsDebuffs!$M242=1,BuffsDebuffs!L$2,"")</f>
        <v/>
      </c>
      <c r="G246" s="387" t="str">
        <f>IF($A246=Input!$A$3,B246,"")</f>
        <v/>
      </c>
      <c r="H246" s="323" t="str">
        <f>IF($A246=Input!$A$3,C246,"")</f>
        <v/>
      </c>
      <c r="I246" s="323" t="str">
        <f>IF($A246=Input!$A$3,D246,"")</f>
        <v/>
      </c>
      <c r="J246" s="323" t="str">
        <f>IF($A246=Input!$A$3,E246,"")</f>
        <v/>
      </c>
      <c r="K246" s="386" t="str">
        <f>IF($A246=Input!$A$3,F246,"")</f>
        <v/>
      </c>
      <c r="L246" s="387"/>
      <c r="M246" s="323"/>
      <c r="N246" s="323"/>
      <c r="O246" s="323"/>
      <c r="P246" s="323"/>
      <c r="Q246" s="387" t="str">
        <f>IF($A246=Input!$A$4,$B246,"")</f>
        <v/>
      </c>
      <c r="R246" s="323" t="str">
        <f>IF($A246=Input!$A$4,$C246,"")</f>
        <v/>
      </c>
      <c r="S246" s="323" t="str">
        <f>IF($A246=Input!$A$4,$D246,"")</f>
        <v/>
      </c>
      <c r="T246" s="323" t="str">
        <f>IF($A246=Input!$A$4,$E246,"")</f>
        <v/>
      </c>
      <c r="U246" s="386" t="str">
        <f>IF($A246=Input!$A$4,$F246,"")</f>
        <v/>
      </c>
      <c r="V246" s="323"/>
      <c r="W246" s="323"/>
      <c r="X246" s="323"/>
      <c r="Y246" s="323"/>
      <c r="Z246" s="323"/>
      <c r="AA246" s="387" t="str">
        <f>IF($A246=Input!$A$5,$B246,"")</f>
        <v/>
      </c>
      <c r="AB246" s="323" t="str">
        <f>IF($A246=Input!$A$5,$C246,"")</f>
        <v/>
      </c>
      <c r="AC246" s="323" t="str">
        <f>IF($A246=Input!$A$5,$D246,"")</f>
        <v/>
      </c>
      <c r="AD246" s="323" t="str">
        <f>IF($A246=Input!$A$5,$E246,"")</f>
        <v/>
      </c>
      <c r="AE246" s="386" t="str">
        <f>IF($A246=Input!$A$5,$F246,"")</f>
        <v/>
      </c>
      <c r="AF246" s="323"/>
      <c r="AG246" s="323"/>
      <c r="AH246" s="323"/>
      <c r="AI246" s="323"/>
      <c r="AJ246" s="323"/>
    </row>
    <row r="247" spans="1:36" x14ac:dyDescent="0.2">
      <c r="A247" s="250" t="str">
        <f>IF(BuffsDebuffs!$M243=1,BuffsDebuffs!G$2,"")</f>
        <v/>
      </c>
      <c r="B247" s="251" t="str">
        <f>IF(BuffsDebuffs!$M243=1,BuffsDebuffs!H$2,"")</f>
        <v/>
      </c>
      <c r="C247" s="251" t="str">
        <f>IF(BuffsDebuffs!$M243=1,BuffsDebuffs!I$2,"")</f>
        <v/>
      </c>
      <c r="D247" s="251" t="str">
        <f>IF(BuffsDebuffs!$M243=1,BuffsDebuffs!J$2,"")</f>
        <v/>
      </c>
      <c r="E247" s="251" t="str">
        <f>IF(BuffsDebuffs!$M243=1,BuffsDebuffs!K$2,"")</f>
        <v/>
      </c>
      <c r="F247" s="251" t="str">
        <f>IF(BuffsDebuffs!$M243=1,BuffsDebuffs!L$2,"")</f>
        <v/>
      </c>
      <c r="G247" s="387" t="str">
        <f>IF($A247=Input!$A$3,B247,"")</f>
        <v/>
      </c>
      <c r="H247" s="323" t="str">
        <f>IF($A247=Input!$A$3,C247,"")</f>
        <v/>
      </c>
      <c r="I247" s="323" t="str">
        <f>IF($A247=Input!$A$3,D247,"")</f>
        <v/>
      </c>
      <c r="J247" s="323" t="str">
        <f>IF($A247=Input!$A$3,E247,"")</f>
        <v/>
      </c>
      <c r="K247" s="386" t="str">
        <f>IF($A247=Input!$A$3,F247,"")</f>
        <v/>
      </c>
      <c r="L247" s="387"/>
      <c r="M247" s="323"/>
      <c r="N247" s="323"/>
      <c r="O247" s="323"/>
      <c r="P247" s="323"/>
      <c r="Q247" s="387" t="str">
        <f>IF($A247=Input!$A$4,$B247,"")</f>
        <v/>
      </c>
      <c r="R247" s="323" t="str">
        <f>IF($A247=Input!$A$4,$C247,"")</f>
        <v/>
      </c>
      <c r="S247" s="323" t="str">
        <f>IF($A247=Input!$A$4,$D247,"")</f>
        <v/>
      </c>
      <c r="T247" s="323" t="str">
        <f>IF($A247=Input!$A$4,$E247,"")</f>
        <v/>
      </c>
      <c r="U247" s="386" t="str">
        <f>IF($A247=Input!$A$4,$F247,"")</f>
        <v/>
      </c>
      <c r="V247" s="323"/>
      <c r="W247" s="323"/>
      <c r="X247" s="323"/>
      <c r="Y247" s="323"/>
      <c r="Z247" s="323"/>
      <c r="AA247" s="387" t="str">
        <f>IF($A247=Input!$A$5,$B247,"")</f>
        <v/>
      </c>
      <c r="AB247" s="323" t="str">
        <f>IF($A247=Input!$A$5,$C247,"")</f>
        <v/>
      </c>
      <c r="AC247" s="323" t="str">
        <f>IF($A247=Input!$A$5,$D247,"")</f>
        <v/>
      </c>
      <c r="AD247" s="323" t="str">
        <f>IF($A247=Input!$A$5,$E247,"")</f>
        <v/>
      </c>
      <c r="AE247" s="386" t="str">
        <f>IF($A247=Input!$A$5,$F247,"")</f>
        <v/>
      </c>
      <c r="AF247" s="323"/>
      <c r="AG247" s="323"/>
      <c r="AH247" s="323"/>
      <c r="AI247" s="323"/>
      <c r="AJ247" s="323"/>
    </row>
    <row r="248" spans="1:36" x14ac:dyDescent="0.2">
      <c r="A248" s="250" t="str">
        <f>IF(BuffsDebuffs!$M244=1,BuffsDebuffs!G$2,"")</f>
        <v/>
      </c>
      <c r="B248" s="251" t="str">
        <f>IF(BuffsDebuffs!$M244=1,BuffsDebuffs!H$2,"")</f>
        <v/>
      </c>
      <c r="C248" s="251" t="str">
        <f>IF(BuffsDebuffs!$M244=1,BuffsDebuffs!I$2,"")</f>
        <v/>
      </c>
      <c r="D248" s="251" t="str">
        <f>IF(BuffsDebuffs!$M244=1,BuffsDebuffs!J$2,"")</f>
        <v/>
      </c>
      <c r="E248" s="251" t="str">
        <f>IF(BuffsDebuffs!$M244=1,BuffsDebuffs!K$2,"")</f>
        <v/>
      </c>
      <c r="F248" s="251" t="str">
        <f>IF(BuffsDebuffs!$M244=1,BuffsDebuffs!L$2,"")</f>
        <v/>
      </c>
      <c r="G248" s="387" t="str">
        <f>IF($A248=Input!$A$3,B248,"")</f>
        <v/>
      </c>
      <c r="H248" s="323" t="str">
        <f>IF($A248=Input!$A$3,C248,"")</f>
        <v/>
      </c>
      <c r="I248" s="323" t="str">
        <f>IF($A248=Input!$A$3,D248,"")</f>
        <v/>
      </c>
      <c r="J248" s="323" t="str">
        <f>IF($A248=Input!$A$3,E248,"")</f>
        <v/>
      </c>
      <c r="K248" s="386" t="str">
        <f>IF($A248=Input!$A$3,F248,"")</f>
        <v/>
      </c>
      <c r="L248" s="387"/>
      <c r="M248" s="323"/>
      <c r="N248" s="323"/>
      <c r="O248" s="323"/>
      <c r="P248" s="323"/>
      <c r="Q248" s="387" t="str">
        <f>IF($A248=Input!$A$4,$B248,"")</f>
        <v/>
      </c>
      <c r="R248" s="323" t="str">
        <f>IF($A248=Input!$A$4,$C248,"")</f>
        <v/>
      </c>
      <c r="S248" s="323" t="str">
        <f>IF($A248=Input!$A$4,$D248,"")</f>
        <v/>
      </c>
      <c r="T248" s="323" t="str">
        <f>IF($A248=Input!$A$4,$E248,"")</f>
        <v/>
      </c>
      <c r="U248" s="386" t="str">
        <f>IF($A248=Input!$A$4,$F248,"")</f>
        <v/>
      </c>
      <c r="V248" s="323"/>
      <c r="W248" s="323"/>
      <c r="X248" s="323"/>
      <c r="Y248" s="323"/>
      <c r="Z248" s="323"/>
      <c r="AA248" s="387" t="str">
        <f>IF($A248=Input!$A$5,$B248,"")</f>
        <v/>
      </c>
      <c r="AB248" s="323" t="str">
        <f>IF($A248=Input!$A$5,$C248,"")</f>
        <v/>
      </c>
      <c r="AC248" s="323" t="str">
        <f>IF($A248=Input!$A$5,$D248,"")</f>
        <v/>
      </c>
      <c r="AD248" s="323" t="str">
        <f>IF($A248=Input!$A$5,$E248,"")</f>
        <v/>
      </c>
      <c r="AE248" s="386" t="str">
        <f>IF($A248=Input!$A$5,$F248,"")</f>
        <v/>
      </c>
      <c r="AF248" s="323"/>
      <c r="AG248" s="323"/>
      <c r="AH248" s="323"/>
      <c r="AI248" s="323"/>
      <c r="AJ248" s="323"/>
    </row>
    <row r="249" spans="1:36" x14ac:dyDescent="0.2">
      <c r="A249" s="250" t="str">
        <f>IF(BuffsDebuffs!$M245=1,BuffsDebuffs!G$2,"")</f>
        <v/>
      </c>
      <c r="B249" s="251" t="str">
        <f>IF(BuffsDebuffs!$M245=1,BuffsDebuffs!H$2,"")</f>
        <v/>
      </c>
      <c r="C249" s="251" t="str">
        <f>IF(BuffsDebuffs!$M245=1,BuffsDebuffs!I$2,"")</f>
        <v/>
      </c>
      <c r="D249" s="251" t="str">
        <f>IF(BuffsDebuffs!$M245=1,BuffsDebuffs!J$2,"")</f>
        <v/>
      </c>
      <c r="E249" s="251" t="str">
        <f>IF(BuffsDebuffs!$M245=1,BuffsDebuffs!K$2,"")</f>
        <v/>
      </c>
      <c r="F249" s="251" t="str">
        <f>IF(BuffsDebuffs!$M245=1,BuffsDebuffs!L$2,"")</f>
        <v/>
      </c>
      <c r="G249" s="387" t="str">
        <f>IF($A249=Input!$A$3,B249,"")</f>
        <v/>
      </c>
      <c r="H249" s="323" t="str">
        <f>IF($A249=Input!$A$3,C249,"")</f>
        <v/>
      </c>
      <c r="I249" s="323" t="str">
        <f>IF($A249=Input!$A$3,D249,"")</f>
        <v/>
      </c>
      <c r="J249" s="323" t="str">
        <f>IF($A249=Input!$A$3,E249,"")</f>
        <v/>
      </c>
      <c r="K249" s="386" t="str">
        <f>IF($A249=Input!$A$3,F249,"")</f>
        <v/>
      </c>
      <c r="L249" s="387"/>
      <c r="M249" s="323"/>
      <c r="N249" s="323"/>
      <c r="O249" s="323"/>
      <c r="P249" s="323"/>
      <c r="Q249" s="387" t="str">
        <f>IF($A249=Input!$A$4,$B249,"")</f>
        <v/>
      </c>
      <c r="R249" s="323" t="str">
        <f>IF($A249=Input!$A$4,$C249,"")</f>
        <v/>
      </c>
      <c r="S249" s="323" t="str">
        <f>IF($A249=Input!$A$4,$D249,"")</f>
        <v/>
      </c>
      <c r="T249" s="323" t="str">
        <f>IF($A249=Input!$A$4,$E249,"")</f>
        <v/>
      </c>
      <c r="U249" s="386" t="str">
        <f>IF($A249=Input!$A$4,$F249,"")</f>
        <v/>
      </c>
      <c r="V249" s="323"/>
      <c r="W249" s="323"/>
      <c r="X249" s="323"/>
      <c r="Y249" s="323"/>
      <c r="Z249" s="323"/>
      <c r="AA249" s="387" t="str">
        <f>IF($A249=Input!$A$5,$B249,"")</f>
        <v/>
      </c>
      <c r="AB249" s="323" t="str">
        <f>IF($A249=Input!$A$5,$C249,"")</f>
        <v/>
      </c>
      <c r="AC249" s="323" t="str">
        <f>IF($A249=Input!$A$5,$D249,"")</f>
        <v/>
      </c>
      <c r="AD249" s="323" t="str">
        <f>IF($A249=Input!$A$5,$E249,"")</f>
        <v/>
      </c>
      <c r="AE249" s="386" t="str">
        <f>IF($A249=Input!$A$5,$F249,"")</f>
        <v/>
      </c>
      <c r="AF249" s="323"/>
      <c r="AG249" s="323"/>
      <c r="AH249" s="323"/>
      <c r="AI249" s="323"/>
      <c r="AJ249" s="323"/>
    </row>
    <row r="250" spans="1:36" x14ac:dyDescent="0.2">
      <c r="A250" s="250" t="str">
        <f>IF(BuffsDebuffs!$M246=1,BuffsDebuffs!G$2,"")</f>
        <v/>
      </c>
      <c r="B250" s="251" t="str">
        <f>IF(BuffsDebuffs!$M246=1,BuffsDebuffs!H$2,"")</f>
        <v/>
      </c>
      <c r="C250" s="251" t="str">
        <f>IF(BuffsDebuffs!$M246=1,BuffsDebuffs!I$2,"")</f>
        <v/>
      </c>
      <c r="D250" s="251" t="str">
        <f>IF(BuffsDebuffs!$M246=1,BuffsDebuffs!J$2,"")</f>
        <v/>
      </c>
      <c r="E250" s="251" t="str">
        <f>IF(BuffsDebuffs!$M246=1,BuffsDebuffs!K$2,"")</f>
        <v/>
      </c>
      <c r="F250" s="251" t="str">
        <f>IF(BuffsDebuffs!$M246=1,BuffsDebuffs!L$2,"")</f>
        <v/>
      </c>
      <c r="G250" s="387" t="str">
        <f>IF($A250=Input!$A$3,B250,"")</f>
        <v/>
      </c>
      <c r="H250" s="323" t="str">
        <f>IF($A250=Input!$A$3,C250,"")</f>
        <v/>
      </c>
      <c r="I250" s="323" t="str">
        <f>IF($A250=Input!$A$3,D250,"")</f>
        <v/>
      </c>
      <c r="J250" s="323" t="str">
        <f>IF($A250=Input!$A$3,E250,"")</f>
        <v/>
      </c>
      <c r="K250" s="386" t="str">
        <f>IF($A250=Input!$A$3,F250,"")</f>
        <v/>
      </c>
      <c r="L250" s="387"/>
      <c r="M250" s="323"/>
      <c r="N250" s="323"/>
      <c r="O250" s="323"/>
      <c r="P250" s="323"/>
      <c r="Q250" s="387" t="str">
        <f>IF($A250=Input!$A$4,$B250,"")</f>
        <v/>
      </c>
      <c r="R250" s="323" t="str">
        <f>IF($A250=Input!$A$4,$C250,"")</f>
        <v/>
      </c>
      <c r="S250" s="323" t="str">
        <f>IF($A250=Input!$A$4,$D250,"")</f>
        <v/>
      </c>
      <c r="T250" s="323" t="str">
        <f>IF($A250=Input!$A$4,$E250,"")</f>
        <v/>
      </c>
      <c r="U250" s="386" t="str">
        <f>IF($A250=Input!$A$4,$F250,"")</f>
        <v/>
      </c>
      <c r="V250" s="323"/>
      <c r="W250" s="323"/>
      <c r="X250" s="323"/>
      <c r="Y250" s="323"/>
      <c r="Z250" s="323"/>
      <c r="AA250" s="387" t="str">
        <f>IF($A250=Input!$A$5,$B250,"")</f>
        <v/>
      </c>
      <c r="AB250" s="323" t="str">
        <f>IF($A250=Input!$A$5,$C250,"")</f>
        <v/>
      </c>
      <c r="AC250" s="323" t="str">
        <f>IF($A250=Input!$A$5,$D250,"")</f>
        <v/>
      </c>
      <c r="AD250" s="323" t="str">
        <f>IF($A250=Input!$A$5,$E250,"")</f>
        <v/>
      </c>
      <c r="AE250" s="386" t="str">
        <f>IF($A250=Input!$A$5,$F250,"")</f>
        <v/>
      </c>
      <c r="AF250" s="323"/>
      <c r="AG250" s="323"/>
      <c r="AH250" s="323"/>
      <c r="AI250" s="323"/>
      <c r="AJ250" s="323"/>
    </row>
    <row r="251" spans="1:36" x14ac:dyDescent="0.2">
      <c r="A251" s="250" t="str">
        <f>IF(BuffsDebuffs!$M247=1,BuffsDebuffs!G$2,"")</f>
        <v/>
      </c>
      <c r="B251" s="251" t="str">
        <f>IF(BuffsDebuffs!$M247=1,BuffsDebuffs!H$2,"")</f>
        <v/>
      </c>
      <c r="C251" s="251" t="str">
        <f>IF(BuffsDebuffs!$M247=1,BuffsDebuffs!I$2,"")</f>
        <v/>
      </c>
      <c r="D251" s="251" t="str">
        <f>IF(BuffsDebuffs!$M247=1,BuffsDebuffs!J$2,"")</f>
        <v/>
      </c>
      <c r="E251" s="251" t="str">
        <f>IF(BuffsDebuffs!$M247=1,BuffsDebuffs!K$2,"")</f>
        <v/>
      </c>
      <c r="F251" s="251" t="str">
        <f>IF(BuffsDebuffs!$M247=1,BuffsDebuffs!L$2,"")</f>
        <v/>
      </c>
      <c r="G251" s="387" t="str">
        <f>IF($A251=Input!$A$3,B251,"")</f>
        <v/>
      </c>
      <c r="H251" s="323" t="str">
        <f>IF($A251=Input!$A$3,C251,"")</f>
        <v/>
      </c>
      <c r="I251" s="323" t="str">
        <f>IF($A251=Input!$A$3,D251,"")</f>
        <v/>
      </c>
      <c r="J251" s="323" t="str">
        <f>IF($A251=Input!$A$3,E251,"")</f>
        <v/>
      </c>
      <c r="K251" s="386" t="str">
        <f>IF($A251=Input!$A$3,F251,"")</f>
        <v/>
      </c>
      <c r="L251" s="387"/>
      <c r="M251" s="323"/>
      <c r="N251" s="323"/>
      <c r="O251" s="323"/>
      <c r="P251" s="323"/>
      <c r="Q251" s="387" t="str">
        <f>IF($A251=Input!$A$4,$B251,"")</f>
        <v/>
      </c>
      <c r="R251" s="323" t="str">
        <f>IF($A251=Input!$A$4,$C251,"")</f>
        <v/>
      </c>
      <c r="S251" s="323" t="str">
        <f>IF($A251=Input!$A$4,$D251,"")</f>
        <v/>
      </c>
      <c r="T251" s="323" t="str">
        <f>IF($A251=Input!$A$4,$E251,"")</f>
        <v/>
      </c>
      <c r="U251" s="386" t="str">
        <f>IF($A251=Input!$A$4,$F251,"")</f>
        <v/>
      </c>
      <c r="V251" s="323"/>
      <c r="W251" s="323"/>
      <c r="X251" s="323"/>
      <c r="Y251" s="323"/>
      <c r="Z251" s="323"/>
      <c r="AA251" s="387" t="str">
        <f>IF($A251=Input!$A$5,$B251,"")</f>
        <v/>
      </c>
      <c r="AB251" s="323" t="str">
        <f>IF($A251=Input!$A$5,$C251,"")</f>
        <v/>
      </c>
      <c r="AC251" s="323" t="str">
        <f>IF($A251=Input!$A$5,$D251,"")</f>
        <v/>
      </c>
      <c r="AD251" s="323" t="str">
        <f>IF($A251=Input!$A$5,$E251,"")</f>
        <v/>
      </c>
      <c r="AE251" s="386" t="str">
        <f>IF($A251=Input!$A$5,$F251,"")</f>
        <v/>
      </c>
      <c r="AF251" s="323"/>
      <c r="AG251" s="323"/>
      <c r="AH251" s="323"/>
      <c r="AI251" s="323"/>
      <c r="AJ251" s="323"/>
    </row>
    <row r="252" spans="1:36" x14ac:dyDescent="0.2">
      <c r="A252" s="250" t="str">
        <f>IF(BuffsDebuffs!$M248=1,BuffsDebuffs!G$2,"")</f>
        <v/>
      </c>
      <c r="B252" s="251" t="str">
        <f>IF(BuffsDebuffs!$M248=1,BuffsDebuffs!H$2,"")</f>
        <v/>
      </c>
      <c r="C252" s="251" t="str">
        <f>IF(BuffsDebuffs!$M248=1,BuffsDebuffs!I$2,"")</f>
        <v/>
      </c>
      <c r="D252" s="251" t="str">
        <f>IF(BuffsDebuffs!$M248=1,BuffsDebuffs!J$2,"")</f>
        <v/>
      </c>
      <c r="E252" s="251" t="str">
        <f>IF(BuffsDebuffs!$M248=1,BuffsDebuffs!K$2,"")</f>
        <v/>
      </c>
      <c r="F252" s="251" t="str">
        <f>IF(BuffsDebuffs!$M248=1,BuffsDebuffs!L$2,"")</f>
        <v/>
      </c>
      <c r="G252" s="387" t="str">
        <f>IF($A252=Input!$A$3,B252,"")</f>
        <v/>
      </c>
      <c r="H252" s="323" t="str">
        <f>IF($A252=Input!$A$3,C252,"")</f>
        <v/>
      </c>
      <c r="I252" s="323" t="str">
        <f>IF($A252=Input!$A$3,D252,"")</f>
        <v/>
      </c>
      <c r="J252" s="323" t="str">
        <f>IF($A252=Input!$A$3,E252,"")</f>
        <v/>
      </c>
      <c r="K252" s="386" t="str">
        <f>IF($A252=Input!$A$3,F252,"")</f>
        <v/>
      </c>
      <c r="L252" s="387"/>
      <c r="M252" s="323"/>
      <c r="N252" s="323"/>
      <c r="O252" s="323"/>
      <c r="P252" s="323"/>
      <c r="Q252" s="387" t="str">
        <f>IF($A252=Input!$A$4,$B252,"")</f>
        <v/>
      </c>
      <c r="R252" s="323" t="str">
        <f>IF($A252=Input!$A$4,$C252,"")</f>
        <v/>
      </c>
      <c r="S252" s="323" t="str">
        <f>IF($A252=Input!$A$4,$D252,"")</f>
        <v/>
      </c>
      <c r="T252" s="323" t="str">
        <f>IF($A252=Input!$A$4,$E252,"")</f>
        <v/>
      </c>
      <c r="U252" s="386" t="str">
        <f>IF($A252=Input!$A$4,$F252,"")</f>
        <v/>
      </c>
      <c r="V252" s="323"/>
      <c r="W252" s="323"/>
      <c r="X252" s="323"/>
      <c r="Y252" s="323"/>
      <c r="Z252" s="323"/>
      <c r="AA252" s="387" t="str">
        <f>IF($A252=Input!$A$5,$B252,"")</f>
        <v/>
      </c>
      <c r="AB252" s="323" t="str">
        <f>IF($A252=Input!$A$5,$C252,"")</f>
        <v/>
      </c>
      <c r="AC252" s="323" t="str">
        <f>IF($A252=Input!$A$5,$D252,"")</f>
        <v/>
      </c>
      <c r="AD252" s="323" t="str">
        <f>IF($A252=Input!$A$5,$E252,"")</f>
        <v/>
      </c>
      <c r="AE252" s="386" t="str">
        <f>IF($A252=Input!$A$5,$F252,"")</f>
        <v/>
      </c>
      <c r="AF252" s="323"/>
      <c r="AG252" s="323"/>
      <c r="AH252" s="323"/>
      <c r="AI252" s="323"/>
      <c r="AJ252" s="323"/>
    </row>
    <row r="253" spans="1:36" x14ac:dyDescent="0.2">
      <c r="A253" s="250" t="str">
        <f>IF(BuffsDebuffs!$M249=1,BuffsDebuffs!G$2,"")</f>
        <v/>
      </c>
      <c r="B253" s="251" t="str">
        <f>IF(BuffsDebuffs!$M249=1,BuffsDebuffs!H$2,"")</f>
        <v/>
      </c>
      <c r="C253" s="251" t="str">
        <f>IF(BuffsDebuffs!$M249=1,BuffsDebuffs!I$2,"")</f>
        <v/>
      </c>
      <c r="D253" s="251" t="str">
        <f>IF(BuffsDebuffs!$M249=1,BuffsDebuffs!J$2,"")</f>
        <v/>
      </c>
      <c r="E253" s="251" t="str">
        <f>IF(BuffsDebuffs!$M249=1,BuffsDebuffs!K$2,"")</f>
        <v/>
      </c>
      <c r="F253" s="251" t="str">
        <f>IF(BuffsDebuffs!$M249=1,BuffsDebuffs!L$2,"")</f>
        <v/>
      </c>
      <c r="G253" s="387" t="str">
        <f>IF($A253=Input!$A$3,B253,"")</f>
        <v/>
      </c>
      <c r="H253" s="323" t="str">
        <f>IF($A253=Input!$A$3,C253,"")</f>
        <v/>
      </c>
      <c r="I253" s="323" t="str">
        <f>IF($A253=Input!$A$3,D253,"")</f>
        <v/>
      </c>
      <c r="J253" s="323" t="str">
        <f>IF($A253=Input!$A$3,E253,"")</f>
        <v/>
      </c>
      <c r="K253" s="386" t="str">
        <f>IF($A253=Input!$A$3,F253,"")</f>
        <v/>
      </c>
      <c r="L253" s="387"/>
      <c r="M253" s="323"/>
      <c r="N253" s="323"/>
      <c r="O253" s="323"/>
      <c r="P253" s="323"/>
      <c r="Q253" s="387" t="str">
        <f>IF($A253=Input!$A$4,$B253,"")</f>
        <v/>
      </c>
      <c r="R253" s="323" t="str">
        <f>IF($A253=Input!$A$4,$C253,"")</f>
        <v/>
      </c>
      <c r="S253" s="323" t="str">
        <f>IF($A253=Input!$A$4,$D253,"")</f>
        <v/>
      </c>
      <c r="T253" s="323" t="str">
        <f>IF($A253=Input!$A$4,$E253,"")</f>
        <v/>
      </c>
      <c r="U253" s="386" t="str">
        <f>IF($A253=Input!$A$4,$F253,"")</f>
        <v/>
      </c>
      <c r="V253" s="323"/>
      <c r="W253" s="323"/>
      <c r="X253" s="323"/>
      <c r="Y253" s="323"/>
      <c r="Z253" s="323"/>
      <c r="AA253" s="387" t="str">
        <f>IF($A253=Input!$A$5,$B253,"")</f>
        <v/>
      </c>
      <c r="AB253" s="323" t="str">
        <f>IF($A253=Input!$A$5,$C253,"")</f>
        <v/>
      </c>
      <c r="AC253" s="323" t="str">
        <f>IF($A253=Input!$A$5,$D253,"")</f>
        <v/>
      </c>
      <c r="AD253" s="323" t="str">
        <f>IF($A253=Input!$A$5,$E253,"")</f>
        <v/>
      </c>
      <c r="AE253" s="386" t="str">
        <f>IF($A253=Input!$A$5,$F253,"")</f>
        <v/>
      </c>
      <c r="AF253" s="323"/>
      <c r="AG253" s="323"/>
      <c r="AH253" s="323"/>
      <c r="AI253" s="323"/>
      <c r="AJ253" s="323"/>
    </row>
    <row r="254" spans="1:36" x14ac:dyDescent="0.2">
      <c r="A254" s="250" t="str">
        <f>IF(BuffsDebuffs!$M250=1,BuffsDebuffs!G$2,"")</f>
        <v/>
      </c>
      <c r="B254" s="251" t="str">
        <f>IF(BuffsDebuffs!$M250=1,BuffsDebuffs!H$2,"")</f>
        <v/>
      </c>
      <c r="C254" s="251" t="str">
        <f>IF(BuffsDebuffs!$M250=1,BuffsDebuffs!I$2,"")</f>
        <v/>
      </c>
      <c r="D254" s="251" t="str">
        <f>IF(BuffsDebuffs!$M250=1,BuffsDebuffs!J$2,"")</f>
        <v/>
      </c>
      <c r="E254" s="251" t="str">
        <f>IF(BuffsDebuffs!$M250=1,BuffsDebuffs!K$2,"")</f>
        <v/>
      </c>
      <c r="F254" s="251" t="str">
        <f>IF(BuffsDebuffs!$M250=1,BuffsDebuffs!L$2,"")</f>
        <v/>
      </c>
      <c r="G254" s="387" t="str">
        <f>IF($A254=Input!$A$3,B254,"")</f>
        <v/>
      </c>
      <c r="H254" s="323" t="str">
        <f>IF($A254=Input!$A$3,C254,"")</f>
        <v/>
      </c>
      <c r="I254" s="323" t="str">
        <f>IF($A254=Input!$A$3,D254,"")</f>
        <v/>
      </c>
      <c r="J254" s="323" t="str">
        <f>IF($A254=Input!$A$3,E254,"")</f>
        <v/>
      </c>
      <c r="K254" s="386" t="str">
        <f>IF($A254=Input!$A$3,F254,"")</f>
        <v/>
      </c>
      <c r="L254" s="387"/>
      <c r="M254" s="323"/>
      <c r="N254" s="323"/>
      <c r="O254" s="323"/>
      <c r="P254" s="323"/>
      <c r="Q254" s="387" t="str">
        <f>IF($A254=Input!$A$4,$B254,"")</f>
        <v/>
      </c>
      <c r="R254" s="323" t="str">
        <f>IF($A254=Input!$A$4,$C254,"")</f>
        <v/>
      </c>
      <c r="S254" s="323" t="str">
        <f>IF($A254=Input!$A$4,$D254,"")</f>
        <v/>
      </c>
      <c r="T254" s="323" t="str">
        <f>IF($A254=Input!$A$4,$E254,"")</f>
        <v/>
      </c>
      <c r="U254" s="386" t="str">
        <f>IF($A254=Input!$A$4,$F254,"")</f>
        <v/>
      </c>
      <c r="V254" s="323"/>
      <c r="W254" s="323"/>
      <c r="X254" s="323"/>
      <c r="Y254" s="323"/>
      <c r="Z254" s="323"/>
      <c r="AA254" s="387" t="str">
        <f>IF($A254=Input!$A$5,$B254,"")</f>
        <v/>
      </c>
      <c r="AB254" s="323" t="str">
        <f>IF($A254=Input!$A$5,$C254,"")</f>
        <v/>
      </c>
      <c r="AC254" s="323" t="str">
        <f>IF($A254=Input!$A$5,$D254,"")</f>
        <v/>
      </c>
      <c r="AD254" s="323" t="str">
        <f>IF($A254=Input!$A$5,$E254,"")</f>
        <v/>
      </c>
      <c r="AE254" s="386" t="str">
        <f>IF($A254=Input!$A$5,$F254,"")</f>
        <v/>
      </c>
      <c r="AF254" s="323"/>
      <c r="AG254" s="323"/>
      <c r="AH254" s="323"/>
      <c r="AI254" s="323"/>
      <c r="AJ254" s="323"/>
    </row>
    <row r="255" spans="1:36" x14ac:dyDescent="0.2">
      <c r="A255" s="250" t="str">
        <f>IF(BuffsDebuffs!$M251=1,BuffsDebuffs!G$2,"")</f>
        <v/>
      </c>
      <c r="B255" s="251" t="str">
        <f>IF(BuffsDebuffs!$M251=1,BuffsDebuffs!H$2,"")</f>
        <v/>
      </c>
      <c r="C255" s="251" t="str">
        <f>IF(BuffsDebuffs!$M251=1,BuffsDebuffs!I$2,"")</f>
        <v/>
      </c>
      <c r="D255" s="251" t="str">
        <f>IF(BuffsDebuffs!$M251=1,BuffsDebuffs!J$2,"")</f>
        <v/>
      </c>
      <c r="E255" s="251" t="str">
        <f>IF(BuffsDebuffs!$M251=1,BuffsDebuffs!K$2,"")</f>
        <v/>
      </c>
      <c r="F255" s="251" t="str">
        <f>IF(BuffsDebuffs!$M251=1,BuffsDebuffs!L$2,"")</f>
        <v/>
      </c>
      <c r="G255" s="387" t="str">
        <f>IF($A255=Input!$A$3,B255,"")</f>
        <v/>
      </c>
      <c r="H255" s="323" t="str">
        <f>IF($A255=Input!$A$3,C255,"")</f>
        <v/>
      </c>
      <c r="I255" s="323" t="str">
        <f>IF($A255=Input!$A$3,D255,"")</f>
        <v/>
      </c>
      <c r="J255" s="323" t="str">
        <f>IF($A255=Input!$A$3,E255,"")</f>
        <v/>
      </c>
      <c r="K255" s="386" t="str">
        <f>IF($A255=Input!$A$3,F255,"")</f>
        <v/>
      </c>
      <c r="L255" s="387"/>
      <c r="M255" s="323"/>
      <c r="N255" s="323"/>
      <c r="O255" s="323"/>
      <c r="P255" s="323"/>
      <c r="Q255" s="387" t="str">
        <f>IF($A255=Input!$A$4,$B255,"")</f>
        <v/>
      </c>
      <c r="R255" s="323" t="str">
        <f>IF($A255=Input!$A$4,$C255,"")</f>
        <v/>
      </c>
      <c r="S255" s="323" t="str">
        <f>IF($A255=Input!$A$4,$D255,"")</f>
        <v/>
      </c>
      <c r="T255" s="323" t="str">
        <f>IF($A255=Input!$A$4,$E255,"")</f>
        <v/>
      </c>
      <c r="U255" s="386" t="str">
        <f>IF($A255=Input!$A$4,$F255,"")</f>
        <v/>
      </c>
      <c r="V255" s="323"/>
      <c r="W255" s="323"/>
      <c r="X255" s="323"/>
      <c r="Y255" s="323"/>
      <c r="Z255" s="323"/>
      <c r="AA255" s="387" t="str">
        <f>IF($A255=Input!$A$5,$B255,"")</f>
        <v/>
      </c>
      <c r="AB255" s="323" t="str">
        <f>IF($A255=Input!$A$5,$C255,"")</f>
        <v/>
      </c>
      <c r="AC255" s="323" t="str">
        <f>IF($A255=Input!$A$5,$D255,"")</f>
        <v/>
      </c>
      <c r="AD255" s="323" t="str">
        <f>IF($A255=Input!$A$5,$E255,"")</f>
        <v/>
      </c>
      <c r="AE255" s="386" t="str">
        <f>IF($A255=Input!$A$5,$F255,"")</f>
        <v/>
      </c>
      <c r="AF255" s="323"/>
      <c r="AG255" s="323"/>
      <c r="AH255" s="323"/>
      <c r="AI255" s="323"/>
      <c r="AJ255" s="323"/>
    </row>
    <row r="256" spans="1:36" x14ac:dyDescent="0.2">
      <c r="A256" s="250" t="str">
        <f>IF(BuffsDebuffs!$M252=1,BuffsDebuffs!G$2,"")</f>
        <v/>
      </c>
      <c r="B256" s="251" t="str">
        <f>IF(BuffsDebuffs!$M252=1,BuffsDebuffs!H$2,"")</f>
        <v/>
      </c>
      <c r="C256" s="251" t="str">
        <f>IF(BuffsDebuffs!$M252=1,BuffsDebuffs!I$2,"")</f>
        <v/>
      </c>
      <c r="D256" s="251" t="str">
        <f>IF(BuffsDebuffs!$M252=1,BuffsDebuffs!J$2,"")</f>
        <v/>
      </c>
      <c r="E256" s="251" t="str">
        <f>IF(BuffsDebuffs!$M252=1,BuffsDebuffs!K$2,"")</f>
        <v/>
      </c>
      <c r="F256" s="251" t="str">
        <f>IF(BuffsDebuffs!$M252=1,BuffsDebuffs!L$2,"")</f>
        <v/>
      </c>
      <c r="G256" s="387" t="str">
        <f>IF($A256=Input!$A$3,B256,"")</f>
        <v/>
      </c>
      <c r="H256" s="323" t="str">
        <f>IF($A256=Input!$A$3,C256,"")</f>
        <v/>
      </c>
      <c r="I256" s="323" t="str">
        <f>IF($A256=Input!$A$3,D256,"")</f>
        <v/>
      </c>
      <c r="J256" s="323" t="str">
        <f>IF($A256=Input!$A$3,E256,"")</f>
        <v/>
      </c>
      <c r="K256" s="386" t="str">
        <f>IF($A256=Input!$A$3,F256,"")</f>
        <v/>
      </c>
      <c r="L256" s="387"/>
      <c r="M256" s="323"/>
      <c r="N256" s="323"/>
      <c r="O256" s="323"/>
      <c r="P256" s="323"/>
      <c r="Q256" s="387" t="str">
        <f>IF($A256=Input!$A$4,$B256,"")</f>
        <v/>
      </c>
      <c r="R256" s="323" t="str">
        <f>IF($A256=Input!$A$4,$C256,"")</f>
        <v/>
      </c>
      <c r="S256" s="323" t="str">
        <f>IF($A256=Input!$A$4,$D256,"")</f>
        <v/>
      </c>
      <c r="T256" s="323" t="str">
        <f>IF($A256=Input!$A$4,$E256,"")</f>
        <v/>
      </c>
      <c r="U256" s="386" t="str">
        <f>IF($A256=Input!$A$4,$F256,"")</f>
        <v/>
      </c>
      <c r="V256" s="323"/>
      <c r="W256" s="323"/>
      <c r="X256" s="323"/>
      <c r="Y256" s="323"/>
      <c r="Z256" s="323"/>
      <c r="AA256" s="387" t="str">
        <f>IF($A256=Input!$A$5,$B256,"")</f>
        <v/>
      </c>
      <c r="AB256" s="323" t="str">
        <f>IF($A256=Input!$A$5,$C256,"")</f>
        <v/>
      </c>
      <c r="AC256" s="323" t="str">
        <f>IF($A256=Input!$A$5,$D256,"")</f>
        <v/>
      </c>
      <c r="AD256" s="323" t="str">
        <f>IF($A256=Input!$A$5,$E256,"")</f>
        <v/>
      </c>
      <c r="AE256" s="386" t="str">
        <f>IF($A256=Input!$A$5,$F256,"")</f>
        <v/>
      </c>
      <c r="AF256" s="323"/>
      <c r="AG256" s="323"/>
      <c r="AH256" s="323"/>
      <c r="AI256" s="323"/>
      <c r="AJ256" s="323"/>
    </row>
    <row r="257" spans="1:36" x14ac:dyDescent="0.2">
      <c r="A257" s="250" t="str">
        <f>IF(BuffsDebuffs!$M253=1,BuffsDebuffs!G$2,"")</f>
        <v/>
      </c>
      <c r="B257" s="251" t="str">
        <f>IF(BuffsDebuffs!$M253=1,BuffsDebuffs!H$2,"")</f>
        <v/>
      </c>
      <c r="C257" s="251" t="str">
        <f>IF(BuffsDebuffs!$M253=1,BuffsDebuffs!I$2,"")</f>
        <v/>
      </c>
      <c r="D257" s="251" t="str">
        <f>IF(BuffsDebuffs!$M253=1,BuffsDebuffs!J$2,"")</f>
        <v/>
      </c>
      <c r="E257" s="251" t="str">
        <f>IF(BuffsDebuffs!$M253=1,BuffsDebuffs!K$2,"")</f>
        <v/>
      </c>
      <c r="F257" s="251" t="str">
        <f>IF(BuffsDebuffs!$M253=1,BuffsDebuffs!L$2,"")</f>
        <v/>
      </c>
      <c r="G257" s="387" t="str">
        <f>IF($A257=Input!$A$3,B257,"")</f>
        <v/>
      </c>
      <c r="H257" s="323" t="str">
        <f>IF($A257=Input!$A$3,C257,"")</f>
        <v/>
      </c>
      <c r="I257" s="323" t="str">
        <f>IF($A257=Input!$A$3,D257,"")</f>
        <v/>
      </c>
      <c r="J257" s="323" t="str">
        <f>IF($A257=Input!$A$3,E257,"")</f>
        <v/>
      </c>
      <c r="K257" s="386" t="str">
        <f>IF($A257=Input!$A$3,F257,"")</f>
        <v/>
      </c>
      <c r="L257" s="387"/>
      <c r="M257" s="323"/>
      <c r="N257" s="323"/>
      <c r="O257" s="323"/>
      <c r="P257" s="323"/>
      <c r="Q257" s="387" t="str">
        <f>IF($A257=Input!$A$4,$B257,"")</f>
        <v/>
      </c>
      <c r="R257" s="323" t="str">
        <f>IF($A257=Input!$A$4,$C257,"")</f>
        <v/>
      </c>
      <c r="S257" s="323" t="str">
        <f>IF($A257=Input!$A$4,$D257,"")</f>
        <v/>
      </c>
      <c r="T257" s="323" t="str">
        <f>IF($A257=Input!$A$4,$E257,"")</f>
        <v/>
      </c>
      <c r="U257" s="386" t="str">
        <f>IF($A257=Input!$A$4,$F257,"")</f>
        <v/>
      </c>
      <c r="V257" s="323"/>
      <c r="W257" s="323"/>
      <c r="X257" s="323"/>
      <c r="Y257" s="323"/>
      <c r="Z257" s="323"/>
      <c r="AA257" s="387" t="str">
        <f>IF($A257=Input!$A$5,$B257,"")</f>
        <v/>
      </c>
      <c r="AB257" s="323" t="str">
        <f>IF($A257=Input!$A$5,$C257,"")</f>
        <v/>
      </c>
      <c r="AC257" s="323" t="str">
        <f>IF($A257=Input!$A$5,$D257,"")</f>
        <v/>
      </c>
      <c r="AD257" s="323" t="str">
        <f>IF($A257=Input!$A$5,$E257,"")</f>
        <v/>
      </c>
      <c r="AE257" s="386" t="str">
        <f>IF($A257=Input!$A$5,$F257,"")</f>
        <v/>
      </c>
      <c r="AF257" s="323"/>
      <c r="AG257" s="323"/>
      <c r="AH257" s="323"/>
      <c r="AI257" s="323"/>
      <c r="AJ257" s="323"/>
    </row>
    <row r="258" spans="1:36" x14ac:dyDescent="0.2">
      <c r="A258" s="250" t="str">
        <f>IF(BuffsDebuffs!$M254=1,BuffsDebuffs!G$2,"")</f>
        <v/>
      </c>
      <c r="B258" s="251" t="str">
        <f>IF(BuffsDebuffs!$M254=1,BuffsDebuffs!H$2,"")</f>
        <v/>
      </c>
      <c r="C258" s="251" t="str">
        <f>IF(BuffsDebuffs!$M254=1,BuffsDebuffs!I$2,"")</f>
        <v/>
      </c>
      <c r="D258" s="251" t="str">
        <f>IF(BuffsDebuffs!$M254=1,BuffsDebuffs!J$2,"")</f>
        <v/>
      </c>
      <c r="E258" s="251" t="str">
        <f>IF(BuffsDebuffs!$M254=1,BuffsDebuffs!K$2,"")</f>
        <v/>
      </c>
      <c r="F258" s="251" t="str">
        <f>IF(BuffsDebuffs!$M254=1,BuffsDebuffs!L$2,"")</f>
        <v/>
      </c>
      <c r="G258" s="387" t="str">
        <f>IF($A258=Input!$A$3,B258,"")</f>
        <v/>
      </c>
      <c r="H258" s="323" t="str">
        <f>IF($A258=Input!$A$3,C258,"")</f>
        <v/>
      </c>
      <c r="I258" s="323" t="str">
        <f>IF($A258=Input!$A$3,D258,"")</f>
        <v/>
      </c>
      <c r="J258" s="323" t="str">
        <f>IF($A258=Input!$A$3,E258,"")</f>
        <v/>
      </c>
      <c r="K258" s="386" t="str">
        <f>IF($A258=Input!$A$3,F258,"")</f>
        <v/>
      </c>
      <c r="L258" s="387"/>
      <c r="M258" s="323"/>
      <c r="N258" s="323"/>
      <c r="O258" s="323"/>
      <c r="P258" s="323"/>
      <c r="Q258" s="387" t="str">
        <f>IF($A258=Input!$A$4,$B258,"")</f>
        <v/>
      </c>
      <c r="R258" s="323" t="str">
        <f>IF($A258=Input!$A$4,$C258,"")</f>
        <v/>
      </c>
      <c r="S258" s="323" t="str">
        <f>IF($A258=Input!$A$4,$D258,"")</f>
        <v/>
      </c>
      <c r="T258" s="323" t="str">
        <f>IF($A258=Input!$A$4,$E258,"")</f>
        <v/>
      </c>
      <c r="U258" s="386" t="str">
        <f>IF($A258=Input!$A$4,$F258,"")</f>
        <v/>
      </c>
      <c r="V258" s="323"/>
      <c r="W258" s="323"/>
      <c r="X258" s="323"/>
      <c r="Y258" s="323"/>
      <c r="Z258" s="323"/>
      <c r="AA258" s="387" t="str">
        <f>IF($A258=Input!$A$5,$B258,"")</f>
        <v/>
      </c>
      <c r="AB258" s="323" t="str">
        <f>IF($A258=Input!$A$5,$C258,"")</f>
        <v/>
      </c>
      <c r="AC258" s="323" t="str">
        <f>IF($A258=Input!$A$5,$D258,"")</f>
        <v/>
      </c>
      <c r="AD258" s="323" t="str">
        <f>IF($A258=Input!$A$5,$E258,"")</f>
        <v/>
      </c>
      <c r="AE258" s="386" t="str">
        <f>IF($A258=Input!$A$5,$F258,"")</f>
        <v/>
      </c>
      <c r="AF258" s="323"/>
      <c r="AG258" s="323"/>
      <c r="AH258" s="323"/>
      <c r="AI258" s="323"/>
      <c r="AJ258" s="323"/>
    </row>
    <row r="259" spans="1:36" x14ac:dyDescent="0.2">
      <c r="A259" s="250" t="str">
        <f>IF(BuffsDebuffs!$M255=1,BuffsDebuffs!G$2,"")</f>
        <v/>
      </c>
      <c r="B259" s="251" t="str">
        <f>IF(BuffsDebuffs!$M255=1,BuffsDebuffs!H$2,"")</f>
        <v/>
      </c>
      <c r="C259" s="251" t="str">
        <f>IF(BuffsDebuffs!$M255=1,BuffsDebuffs!I$2,"")</f>
        <v/>
      </c>
      <c r="D259" s="251" t="str">
        <f>IF(BuffsDebuffs!$M255=1,BuffsDebuffs!J$2,"")</f>
        <v/>
      </c>
      <c r="E259" s="251" t="str">
        <f>IF(BuffsDebuffs!$M255=1,BuffsDebuffs!K$2,"")</f>
        <v/>
      </c>
      <c r="F259" s="251" t="str">
        <f>IF(BuffsDebuffs!$M255=1,BuffsDebuffs!L$2,"")</f>
        <v/>
      </c>
      <c r="G259" s="387" t="str">
        <f>IF($A259=Input!$A$3,B259,"")</f>
        <v/>
      </c>
      <c r="H259" s="323" t="str">
        <f>IF($A259=Input!$A$3,C259,"")</f>
        <v/>
      </c>
      <c r="I259" s="323" t="str">
        <f>IF($A259=Input!$A$3,D259,"")</f>
        <v/>
      </c>
      <c r="J259" s="323" t="str">
        <f>IF($A259=Input!$A$3,E259,"")</f>
        <v/>
      </c>
      <c r="K259" s="386" t="str">
        <f>IF($A259=Input!$A$3,F259,"")</f>
        <v/>
      </c>
      <c r="L259" s="387"/>
      <c r="M259" s="323"/>
      <c r="N259" s="323"/>
      <c r="O259" s="323"/>
      <c r="P259" s="323"/>
      <c r="Q259" s="387" t="str">
        <f>IF($A259=Input!$A$4,$B259,"")</f>
        <v/>
      </c>
      <c r="R259" s="323" t="str">
        <f>IF($A259=Input!$A$4,$C259,"")</f>
        <v/>
      </c>
      <c r="S259" s="323" t="str">
        <f>IF($A259=Input!$A$4,$D259,"")</f>
        <v/>
      </c>
      <c r="T259" s="323" t="str">
        <f>IF($A259=Input!$A$4,$E259,"")</f>
        <v/>
      </c>
      <c r="U259" s="386" t="str">
        <f>IF($A259=Input!$A$4,$F259,"")</f>
        <v/>
      </c>
      <c r="V259" s="323"/>
      <c r="W259" s="323"/>
      <c r="X259" s="323"/>
      <c r="Y259" s="323"/>
      <c r="Z259" s="323"/>
      <c r="AA259" s="387" t="str">
        <f>IF($A259=Input!$A$5,$B259,"")</f>
        <v/>
      </c>
      <c r="AB259" s="323" t="str">
        <f>IF($A259=Input!$A$5,$C259,"")</f>
        <v/>
      </c>
      <c r="AC259" s="323" t="str">
        <f>IF($A259=Input!$A$5,$D259,"")</f>
        <v/>
      </c>
      <c r="AD259" s="323" t="str">
        <f>IF($A259=Input!$A$5,$E259,"")</f>
        <v/>
      </c>
      <c r="AE259" s="386" t="str">
        <f>IF($A259=Input!$A$5,$F259,"")</f>
        <v/>
      </c>
      <c r="AF259" s="323"/>
      <c r="AG259" s="323"/>
      <c r="AH259" s="323"/>
      <c r="AI259" s="323"/>
      <c r="AJ259" s="323"/>
    </row>
    <row r="260" spans="1:36" x14ac:dyDescent="0.2">
      <c r="A260" s="250" t="str">
        <f>IF(BuffsDebuffs!$M256=1,BuffsDebuffs!G$2,"")</f>
        <v/>
      </c>
      <c r="B260" s="251" t="str">
        <f>IF(BuffsDebuffs!$M256=1,BuffsDebuffs!H$2,"")</f>
        <v/>
      </c>
      <c r="C260" s="251" t="str">
        <f>IF(BuffsDebuffs!$M256=1,BuffsDebuffs!I$2,"")</f>
        <v/>
      </c>
      <c r="D260" s="251" t="str">
        <f>IF(BuffsDebuffs!$M256=1,BuffsDebuffs!J$2,"")</f>
        <v/>
      </c>
      <c r="E260" s="251" t="str">
        <f>IF(BuffsDebuffs!$M256=1,BuffsDebuffs!K$2,"")</f>
        <v/>
      </c>
      <c r="F260" s="251" t="str">
        <f>IF(BuffsDebuffs!$M256=1,BuffsDebuffs!L$2,"")</f>
        <v/>
      </c>
      <c r="G260" s="387" t="str">
        <f>IF($A260=Input!$A$3,B260,"")</f>
        <v/>
      </c>
      <c r="H260" s="323" t="str">
        <f>IF($A260=Input!$A$3,C260,"")</f>
        <v/>
      </c>
      <c r="I260" s="323" t="str">
        <f>IF($A260=Input!$A$3,D260,"")</f>
        <v/>
      </c>
      <c r="J260" s="323" t="str">
        <f>IF($A260=Input!$A$3,E260,"")</f>
        <v/>
      </c>
      <c r="K260" s="386" t="str">
        <f>IF($A260=Input!$A$3,F260,"")</f>
        <v/>
      </c>
      <c r="L260" s="387"/>
      <c r="M260" s="323"/>
      <c r="N260" s="323"/>
      <c r="O260" s="323"/>
      <c r="P260" s="323"/>
      <c r="Q260" s="387" t="str">
        <f>IF($A260=Input!$A$4,$B260,"")</f>
        <v/>
      </c>
      <c r="R260" s="323" t="str">
        <f>IF($A260=Input!$A$4,$C260,"")</f>
        <v/>
      </c>
      <c r="S260" s="323" t="str">
        <f>IF($A260=Input!$A$4,$D260,"")</f>
        <v/>
      </c>
      <c r="T260" s="323" t="str">
        <f>IF($A260=Input!$A$4,$E260,"")</f>
        <v/>
      </c>
      <c r="U260" s="386" t="str">
        <f>IF($A260=Input!$A$4,$F260,"")</f>
        <v/>
      </c>
      <c r="V260" s="323"/>
      <c r="W260" s="323"/>
      <c r="X260" s="323"/>
      <c r="Y260" s="323"/>
      <c r="Z260" s="323"/>
      <c r="AA260" s="387" t="str">
        <f>IF($A260=Input!$A$5,$B260,"")</f>
        <v/>
      </c>
      <c r="AB260" s="323" t="str">
        <f>IF($A260=Input!$A$5,$C260,"")</f>
        <v/>
      </c>
      <c r="AC260" s="323" t="str">
        <f>IF($A260=Input!$A$5,$D260,"")</f>
        <v/>
      </c>
      <c r="AD260" s="323" t="str">
        <f>IF($A260=Input!$A$5,$E260,"")</f>
        <v/>
      </c>
      <c r="AE260" s="386" t="str">
        <f>IF($A260=Input!$A$5,$F260,"")</f>
        <v/>
      </c>
      <c r="AF260" s="323"/>
      <c r="AG260" s="323"/>
      <c r="AH260" s="323"/>
      <c r="AI260" s="323"/>
      <c r="AJ260" s="323"/>
    </row>
    <row r="261" spans="1:36" x14ac:dyDescent="0.2">
      <c r="A261" s="250" t="str">
        <f>IF(BuffsDebuffs!$M257=1,BuffsDebuffs!G$2,"")</f>
        <v/>
      </c>
      <c r="B261" s="251" t="str">
        <f>IF(BuffsDebuffs!$M257=1,BuffsDebuffs!H$2,"")</f>
        <v/>
      </c>
      <c r="C261" s="251" t="str">
        <f>IF(BuffsDebuffs!$M257=1,BuffsDebuffs!I$2,"")</f>
        <v/>
      </c>
      <c r="D261" s="251" t="str">
        <f>IF(BuffsDebuffs!$M257=1,BuffsDebuffs!J$2,"")</f>
        <v/>
      </c>
      <c r="E261" s="251" t="str">
        <f>IF(BuffsDebuffs!$M257=1,BuffsDebuffs!K$2,"")</f>
        <v/>
      </c>
      <c r="F261" s="251" t="str">
        <f>IF(BuffsDebuffs!$M257=1,BuffsDebuffs!L$2,"")</f>
        <v/>
      </c>
      <c r="G261" s="387" t="str">
        <f>IF($A261=Input!$A$3,B261,"")</f>
        <v/>
      </c>
      <c r="H261" s="323" t="str">
        <f>IF($A261=Input!$A$3,C261,"")</f>
        <v/>
      </c>
      <c r="I261" s="323" t="str">
        <f>IF($A261=Input!$A$3,D261,"")</f>
        <v/>
      </c>
      <c r="J261" s="323" t="str">
        <f>IF($A261=Input!$A$3,E261,"")</f>
        <v/>
      </c>
      <c r="K261" s="386" t="str">
        <f>IF($A261=Input!$A$3,F261,"")</f>
        <v/>
      </c>
      <c r="L261" s="387"/>
      <c r="M261" s="323"/>
      <c r="N261" s="323"/>
      <c r="O261" s="323"/>
      <c r="P261" s="323"/>
      <c r="Q261" s="387" t="str">
        <f>IF($A261=Input!$A$4,$B261,"")</f>
        <v/>
      </c>
      <c r="R261" s="323" t="str">
        <f>IF($A261=Input!$A$4,$C261,"")</f>
        <v/>
      </c>
      <c r="S261" s="323" t="str">
        <f>IF($A261=Input!$A$4,$D261,"")</f>
        <v/>
      </c>
      <c r="T261" s="323" t="str">
        <f>IF($A261=Input!$A$4,$E261,"")</f>
        <v/>
      </c>
      <c r="U261" s="386" t="str">
        <f>IF($A261=Input!$A$4,$F261,"")</f>
        <v/>
      </c>
      <c r="V261" s="323"/>
      <c r="W261" s="323"/>
      <c r="X261" s="323"/>
      <c r="Y261" s="323"/>
      <c r="Z261" s="323"/>
      <c r="AA261" s="387" t="str">
        <f>IF($A261=Input!$A$5,$B261,"")</f>
        <v/>
      </c>
      <c r="AB261" s="323" t="str">
        <f>IF($A261=Input!$A$5,$C261,"")</f>
        <v/>
      </c>
      <c r="AC261" s="323" t="str">
        <f>IF($A261=Input!$A$5,$D261,"")</f>
        <v/>
      </c>
      <c r="AD261" s="323" t="str">
        <f>IF($A261=Input!$A$5,$E261,"")</f>
        <v/>
      </c>
      <c r="AE261" s="386" t="str">
        <f>IF($A261=Input!$A$5,$F261,"")</f>
        <v/>
      </c>
      <c r="AF261" s="323"/>
      <c r="AG261" s="323"/>
      <c r="AH261" s="323"/>
      <c r="AI261" s="323"/>
      <c r="AJ261" s="323"/>
    </row>
    <row r="262" spans="1:36" x14ac:dyDescent="0.2">
      <c r="A262" s="250" t="str">
        <f>IF(BuffsDebuffs!$M258=1,BuffsDebuffs!G$2,"")</f>
        <v/>
      </c>
      <c r="B262" s="251" t="str">
        <f>IF(BuffsDebuffs!$M258=1,BuffsDebuffs!H$2,"")</f>
        <v/>
      </c>
      <c r="C262" s="251" t="str">
        <f>IF(BuffsDebuffs!$M258=1,BuffsDebuffs!I$2,"")</f>
        <v/>
      </c>
      <c r="D262" s="251" t="str">
        <f>IF(BuffsDebuffs!$M258=1,BuffsDebuffs!J$2,"")</f>
        <v/>
      </c>
      <c r="E262" s="251" t="str">
        <f>IF(BuffsDebuffs!$M258=1,BuffsDebuffs!K$2,"")</f>
        <v/>
      </c>
      <c r="F262" s="251" t="str">
        <f>IF(BuffsDebuffs!$M258=1,BuffsDebuffs!L$2,"")</f>
        <v/>
      </c>
      <c r="G262" s="387" t="str">
        <f>IF($A262=Input!$A$3,B262,"")</f>
        <v/>
      </c>
      <c r="H262" s="323" t="str">
        <f>IF($A262=Input!$A$3,C262,"")</f>
        <v/>
      </c>
      <c r="I262" s="323" t="str">
        <f>IF($A262=Input!$A$3,D262,"")</f>
        <v/>
      </c>
      <c r="J262" s="323" t="str">
        <f>IF($A262=Input!$A$3,E262,"")</f>
        <v/>
      </c>
      <c r="K262" s="386" t="str">
        <f>IF($A262=Input!$A$3,F262,"")</f>
        <v/>
      </c>
      <c r="L262" s="387"/>
      <c r="M262" s="323"/>
      <c r="N262" s="323"/>
      <c r="O262" s="323"/>
      <c r="P262" s="323"/>
      <c r="Q262" s="387" t="str">
        <f>IF($A262=Input!$A$4,$B262,"")</f>
        <v/>
      </c>
      <c r="R262" s="323" t="str">
        <f>IF($A262=Input!$A$4,$C262,"")</f>
        <v/>
      </c>
      <c r="S262" s="323" t="str">
        <f>IF($A262=Input!$A$4,$D262,"")</f>
        <v/>
      </c>
      <c r="T262" s="323" t="str">
        <f>IF($A262=Input!$A$4,$E262,"")</f>
        <v/>
      </c>
      <c r="U262" s="386" t="str">
        <f>IF($A262=Input!$A$4,$F262,"")</f>
        <v/>
      </c>
      <c r="V262" s="323"/>
      <c r="W262" s="323"/>
      <c r="X262" s="323"/>
      <c r="Y262" s="323"/>
      <c r="Z262" s="323"/>
      <c r="AA262" s="387" t="str">
        <f>IF($A262=Input!$A$5,$B262,"")</f>
        <v/>
      </c>
      <c r="AB262" s="323" t="str">
        <f>IF($A262=Input!$A$5,$C262,"")</f>
        <v/>
      </c>
      <c r="AC262" s="323" t="str">
        <f>IF($A262=Input!$A$5,$D262,"")</f>
        <v/>
      </c>
      <c r="AD262" s="323" t="str">
        <f>IF($A262=Input!$A$5,$E262,"")</f>
        <v/>
      </c>
      <c r="AE262" s="386" t="str">
        <f>IF($A262=Input!$A$5,$F262,"")</f>
        <v/>
      </c>
      <c r="AF262" s="323"/>
      <c r="AG262" s="323"/>
      <c r="AH262" s="323"/>
      <c r="AI262" s="323"/>
      <c r="AJ262" s="323"/>
    </row>
    <row r="263" spans="1:36" x14ac:dyDescent="0.2">
      <c r="A263" s="250" t="str">
        <f>IF(BuffsDebuffs!$M259=1,BuffsDebuffs!G$2,"")</f>
        <v/>
      </c>
      <c r="B263" s="251" t="str">
        <f>IF(BuffsDebuffs!$M259=1,BuffsDebuffs!H$2,"")</f>
        <v/>
      </c>
      <c r="C263" s="251" t="str">
        <f>IF(BuffsDebuffs!$M259=1,BuffsDebuffs!I$2,"")</f>
        <v/>
      </c>
      <c r="D263" s="251" t="str">
        <f>IF(BuffsDebuffs!$M259=1,BuffsDebuffs!J$2,"")</f>
        <v/>
      </c>
      <c r="E263" s="251" t="str">
        <f>IF(BuffsDebuffs!$M259=1,BuffsDebuffs!K$2,"")</f>
        <v/>
      </c>
      <c r="F263" s="251" t="str">
        <f>IF(BuffsDebuffs!$M259=1,BuffsDebuffs!L$2,"")</f>
        <v/>
      </c>
      <c r="G263" s="387" t="str">
        <f>IF($A263=Input!$A$3,B263,"")</f>
        <v/>
      </c>
      <c r="H263" s="323" t="str">
        <f>IF($A263=Input!$A$3,C263,"")</f>
        <v/>
      </c>
      <c r="I263" s="323" t="str">
        <f>IF($A263=Input!$A$3,D263,"")</f>
        <v/>
      </c>
      <c r="J263" s="323" t="str">
        <f>IF($A263=Input!$A$3,E263,"")</f>
        <v/>
      </c>
      <c r="K263" s="386" t="str">
        <f>IF($A263=Input!$A$3,F263,"")</f>
        <v/>
      </c>
      <c r="L263" s="387"/>
      <c r="M263" s="323"/>
      <c r="N263" s="323"/>
      <c r="O263" s="323"/>
      <c r="P263" s="323"/>
      <c r="Q263" s="387" t="str">
        <f>IF($A263=Input!$A$4,$B263,"")</f>
        <v/>
      </c>
      <c r="R263" s="323" t="str">
        <f>IF($A263=Input!$A$4,$C263,"")</f>
        <v/>
      </c>
      <c r="S263" s="323" t="str">
        <f>IF($A263=Input!$A$4,$D263,"")</f>
        <v/>
      </c>
      <c r="T263" s="323" t="str">
        <f>IF($A263=Input!$A$4,$E263,"")</f>
        <v/>
      </c>
      <c r="U263" s="386" t="str">
        <f>IF($A263=Input!$A$4,$F263,"")</f>
        <v/>
      </c>
      <c r="V263" s="323"/>
      <c r="W263" s="323"/>
      <c r="X263" s="323"/>
      <c r="Y263" s="323"/>
      <c r="Z263" s="323"/>
      <c r="AA263" s="387" t="str">
        <f>IF($A263=Input!$A$5,$B263,"")</f>
        <v/>
      </c>
      <c r="AB263" s="323" t="str">
        <f>IF($A263=Input!$A$5,$C263,"")</f>
        <v/>
      </c>
      <c r="AC263" s="323" t="str">
        <f>IF($A263=Input!$A$5,$D263,"")</f>
        <v/>
      </c>
      <c r="AD263" s="323" t="str">
        <f>IF($A263=Input!$A$5,$E263,"")</f>
        <v/>
      </c>
      <c r="AE263" s="386" t="str">
        <f>IF($A263=Input!$A$5,$F263,"")</f>
        <v/>
      </c>
      <c r="AF263" s="323"/>
      <c r="AG263" s="323"/>
      <c r="AH263" s="323"/>
      <c r="AI263" s="323"/>
      <c r="AJ263" s="323"/>
    </row>
    <row r="264" spans="1:36" x14ac:dyDescent="0.2">
      <c r="A264" s="250" t="str">
        <f>IF(BuffsDebuffs!$M260=1,BuffsDebuffs!G$2,"")</f>
        <v/>
      </c>
      <c r="B264" s="251" t="str">
        <f>IF(BuffsDebuffs!$M260=1,BuffsDebuffs!H$2,"")</f>
        <v/>
      </c>
      <c r="C264" s="251" t="str">
        <f>IF(BuffsDebuffs!$M260=1,BuffsDebuffs!I$2,"")</f>
        <v/>
      </c>
      <c r="D264" s="251" t="str">
        <f>IF(BuffsDebuffs!$M260=1,BuffsDebuffs!J$2,"")</f>
        <v/>
      </c>
      <c r="E264" s="251" t="str">
        <f>IF(BuffsDebuffs!$M260=1,BuffsDebuffs!K$2,"")</f>
        <v/>
      </c>
      <c r="F264" s="251" t="str">
        <f>IF(BuffsDebuffs!$M260=1,BuffsDebuffs!L$2,"")</f>
        <v/>
      </c>
      <c r="G264" s="387" t="str">
        <f>IF($A264=Input!$A$3,B264,"")</f>
        <v/>
      </c>
      <c r="H264" s="323" t="str">
        <f>IF($A264=Input!$A$3,C264,"")</f>
        <v/>
      </c>
      <c r="I264" s="323" t="str">
        <f>IF($A264=Input!$A$3,D264,"")</f>
        <v/>
      </c>
      <c r="J264" s="323" t="str">
        <f>IF($A264=Input!$A$3,E264,"")</f>
        <v/>
      </c>
      <c r="K264" s="386" t="str">
        <f>IF($A264=Input!$A$3,F264,"")</f>
        <v/>
      </c>
      <c r="L264" s="387"/>
      <c r="M264" s="323"/>
      <c r="N264" s="323"/>
      <c r="O264" s="323"/>
      <c r="P264" s="323"/>
      <c r="Q264" s="387" t="str">
        <f>IF($A264=Input!$A$4,$B264,"")</f>
        <v/>
      </c>
      <c r="R264" s="323" t="str">
        <f>IF($A264=Input!$A$4,$C264,"")</f>
        <v/>
      </c>
      <c r="S264" s="323" t="str">
        <f>IF($A264=Input!$A$4,$D264,"")</f>
        <v/>
      </c>
      <c r="T264" s="323" t="str">
        <f>IF($A264=Input!$A$4,$E264,"")</f>
        <v/>
      </c>
      <c r="U264" s="386" t="str">
        <f>IF($A264=Input!$A$4,$F264,"")</f>
        <v/>
      </c>
      <c r="V264" s="323"/>
      <c r="W264" s="323"/>
      <c r="X264" s="323"/>
      <c r="Y264" s="323"/>
      <c r="Z264" s="323"/>
      <c r="AA264" s="387" t="str">
        <f>IF($A264=Input!$A$5,$B264,"")</f>
        <v/>
      </c>
      <c r="AB264" s="323" t="str">
        <f>IF($A264=Input!$A$5,$C264,"")</f>
        <v/>
      </c>
      <c r="AC264" s="323" t="str">
        <f>IF($A264=Input!$A$5,$D264,"")</f>
        <v/>
      </c>
      <c r="AD264" s="323" t="str">
        <f>IF($A264=Input!$A$5,$E264,"")</f>
        <v/>
      </c>
      <c r="AE264" s="386" t="str">
        <f>IF($A264=Input!$A$5,$F264,"")</f>
        <v/>
      </c>
      <c r="AF264" s="323"/>
      <c r="AG264" s="323"/>
      <c r="AH264" s="323"/>
      <c r="AI264" s="323"/>
      <c r="AJ264" s="323"/>
    </row>
    <row r="265" spans="1:36" x14ac:dyDescent="0.2">
      <c r="A265" s="250" t="str">
        <f>IF(BuffsDebuffs!$M261=1,BuffsDebuffs!G$2,"")</f>
        <v/>
      </c>
      <c r="B265" s="251" t="str">
        <f>IF(BuffsDebuffs!$M261=1,BuffsDebuffs!H$2,"")</f>
        <v/>
      </c>
      <c r="C265" s="251" t="str">
        <f>IF(BuffsDebuffs!$M261=1,BuffsDebuffs!I$2,"")</f>
        <v/>
      </c>
      <c r="D265" s="251" t="str">
        <f>IF(BuffsDebuffs!$M261=1,BuffsDebuffs!J$2,"")</f>
        <v/>
      </c>
      <c r="E265" s="251" t="str">
        <f>IF(BuffsDebuffs!$M261=1,BuffsDebuffs!K$2,"")</f>
        <v/>
      </c>
      <c r="F265" s="251" t="str">
        <f>IF(BuffsDebuffs!$M261=1,BuffsDebuffs!L$2,"")</f>
        <v/>
      </c>
      <c r="G265" s="387" t="str">
        <f>IF($A265=Input!$A$3,B265,"")</f>
        <v/>
      </c>
      <c r="H265" s="323" t="str">
        <f>IF($A265=Input!$A$3,C265,"")</f>
        <v/>
      </c>
      <c r="I265" s="323" t="str">
        <f>IF($A265=Input!$A$3,D265,"")</f>
        <v/>
      </c>
      <c r="J265" s="323" t="str">
        <f>IF($A265=Input!$A$3,E265,"")</f>
        <v/>
      </c>
      <c r="K265" s="386" t="str">
        <f>IF($A265=Input!$A$3,F265,"")</f>
        <v/>
      </c>
      <c r="L265" s="387"/>
      <c r="M265" s="323"/>
      <c r="N265" s="323"/>
      <c r="O265" s="323"/>
      <c r="P265" s="323"/>
      <c r="Q265" s="387" t="str">
        <f>IF($A265=Input!$A$4,$B265,"")</f>
        <v/>
      </c>
      <c r="R265" s="323" t="str">
        <f>IF($A265=Input!$A$4,$C265,"")</f>
        <v/>
      </c>
      <c r="S265" s="323" t="str">
        <f>IF($A265=Input!$A$4,$D265,"")</f>
        <v/>
      </c>
      <c r="T265" s="323" t="str">
        <f>IF($A265=Input!$A$4,$E265,"")</f>
        <v/>
      </c>
      <c r="U265" s="386" t="str">
        <f>IF($A265=Input!$A$4,$F265,"")</f>
        <v/>
      </c>
      <c r="V265" s="323"/>
      <c r="W265" s="323"/>
      <c r="X265" s="323"/>
      <c r="Y265" s="323"/>
      <c r="Z265" s="323"/>
      <c r="AA265" s="387" t="str">
        <f>IF($A265=Input!$A$5,$B265,"")</f>
        <v/>
      </c>
      <c r="AB265" s="323" t="str">
        <f>IF($A265=Input!$A$5,$C265,"")</f>
        <v/>
      </c>
      <c r="AC265" s="323" t="str">
        <f>IF($A265=Input!$A$5,$D265,"")</f>
        <v/>
      </c>
      <c r="AD265" s="323" t="str">
        <f>IF($A265=Input!$A$5,$E265,"")</f>
        <v/>
      </c>
      <c r="AE265" s="386" t="str">
        <f>IF($A265=Input!$A$5,$F265,"")</f>
        <v/>
      </c>
      <c r="AF265" s="323"/>
      <c r="AG265" s="323"/>
      <c r="AH265" s="323"/>
      <c r="AI265" s="323"/>
      <c r="AJ265" s="323"/>
    </row>
    <row r="266" spans="1:36" x14ac:dyDescent="0.2">
      <c r="A266" s="250" t="str">
        <f>IF(BuffsDebuffs!$M262=1,BuffsDebuffs!G$2,"")</f>
        <v/>
      </c>
      <c r="B266" s="251" t="str">
        <f>IF(BuffsDebuffs!$M262=1,BuffsDebuffs!H$2,"")</f>
        <v/>
      </c>
      <c r="C266" s="251" t="str">
        <f>IF(BuffsDebuffs!$M262=1,BuffsDebuffs!I$2,"")</f>
        <v/>
      </c>
      <c r="D266" s="251" t="str">
        <f>IF(BuffsDebuffs!$M262=1,BuffsDebuffs!J$2,"")</f>
        <v/>
      </c>
      <c r="E266" s="251" t="str">
        <f>IF(BuffsDebuffs!$M262=1,BuffsDebuffs!K$2,"")</f>
        <v/>
      </c>
      <c r="F266" s="251" t="str">
        <f>IF(BuffsDebuffs!$M262=1,BuffsDebuffs!L$2,"")</f>
        <v/>
      </c>
      <c r="G266" s="387" t="str">
        <f>IF($A266=Input!$A$3,B266,"")</f>
        <v/>
      </c>
      <c r="H266" s="323" t="str">
        <f>IF($A266=Input!$A$3,C266,"")</f>
        <v/>
      </c>
      <c r="I266" s="323" t="str">
        <f>IF($A266=Input!$A$3,D266,"")</f>
        <v/>
      </c>
      <c r="J266" s="323" t="str">
        <f>IF($A266=Input!$A$3,E266,"")</f>
        <v/>
      </c>
      <c r="K266" s="386" t="str">
        <f>IF($A266=Input!$A$3,F266,"")</f>
        <v/>
      </c>
      <c r="L266" s="387"/>
      <c r="M266" s="323"/>
      <c r="N266" s="323"/>
      <c r="O266" s="323"/>
      <c r="P266" s="323"/>
      <c r="Q266" s="387" t="str">
        <f>IF($A266=Input!$A$4,$B266,"")</f>
        <v/>
      </c>
      <c r="R266" s="323" t="str">
        <f>IF($A266=Input!$A$4,$C266,"")</f>
        <v/>
      </c>
      <c r="S266" s="323" t="str">
        <f>IF($A266=Input!$A$4,$D266,"")</f>
        <v/>
      </c>
      <c r="T266" s="323" t="str">
        <f>IF($A266=Input!$A$4,$E266,"")</f>
        <v/>
      </c>
      <c r="U266" s="386" t="str">
        <f>IF($A266=Input!$A$4,$F266,"")</f>
        <v/>
      </c>
      <c r="V266" s="323"/>
      <c r="W266" s="323"/>
      <c r="X266" s="323"/>
      <c r="Y266" s="323"/>
      <c r="Z266" s="323"/>
      <c r="AA266" s="387" t="str">
        <f>IF($A266=Input!$A$5,$B266,"")</f>
        <v/>
      </c>
      <c r="AB266" s="323" t="str">
        <f>IF($A266=Input!$A$5,$C266,"")</f>
        <v/>
      </c>
      <c r="AC266" s="323" t="str">
        <f>IF($A266=Input!$A$5,$D266,"")</f>
        <v/>
      </c>
      <c r="AD266" s="323" t="str">
        <f>IF($A266=Input!$A$5,$E266,"")</f>
        <v/>
      </c>
      <c r="AE266" s="386" t="str">
        <f>IF($A266=Input!$A$5,$F266,"")</f>
        <v/>
      </c>
      <c r="AF266" s="323"/>
      <c r="AG266" s="323"/>
      <c r="AH266" s="323"/>
      <c r="AI266" s="323"/>
      <c r="AJ266" s="323"/>
    </row>
    <row r="267" spans="1:36" x14ac:dyDescent="0.2">
      <c r="A267" s="250" t="str">
        <f>IF(BuffsDebuffs!$M263=1,BuffsDebuffs!G$2,"")</f>
        <v/>
      </c>
      <c r="B267" s="251" t="str">
        <f>IF(BuffsDebuffs!$M263=1,BuffsDebuffs!H$2,"")</f>
        <v/>
      </c>
      <c r="C267" s="251" t="str">
        <f>IF(BuffsDebuffs!$M263=1,BuffsDebuffs!I$2,"")</f>
        <v/>
      </c>
      <c r="D267" s="251" t="str">
        <f>IF(BuffsDebuffs!$M263=1,BuffsDebuffs!J$2,"")</f>
        <v/>
      </c>
      <c r="E267" s="251" t="str">
        <f>IF(BuffsDebuffs!$M263=1,BuffsDebuffs!K$2,"")</f>
        <v/>
      </c>
      <c r="F267" s="251" t="str">
        <f>IF(BuffsDebuffs!$M263=1,BuffsDebuffs!L$2,"")</f>
        <v/>
      </c>
      <c r="G267" s="387" t="str">
        <f>IF($A267=Input!$A$3,B267,"")</f>
        <v/>
      </c>
      <c r="H267" s="323" t="str">
        <f>IF($A267=Input!$A$3,C267,"")</f>
        <v/>
      </c>
      <c r="I267" s="323" t="str">
        <f>IF($A267=Input!$A$3,D267,"")</f>
        <v/>
      </c>
      <c r="J267" s="323" t="str">
        <f>IF($A267=Input!$A$3,E267,"")</f>
        <v/>
      </c>
      <c r="K267" s="386" t="str">
        <f>IF($A267=Input!$A$3,F267,"")</f>
        <v/>
      </c>
      <c r="L267" s="387"/>
      <c r="M267" s="323"/>
      <c r="N267" s="323"/>
      <c r="O267" s="323"/>
      <c r="P267" s="323"/>
      <c r="Q267" s="387" t="str">
        <f>IF($A267=Input!$A$4,$B267,"")</f>
        <v/>
      </c>
      <c r="R267" s="323" t="str">
        <f>IF($A267=Input!$A$4,$C267,"")</f>
        <v/>
      </c>
      <c r="S267" s="323" t="str">
        <f>IF($A267=Input!$A$4,$D267,"")</f>
        <v/>
      </c>
      <c r="T267" s="323" t="str">
        <f>IF($A267=Input!$A$4,$E267,"")</f>
        <v/>
      </c>
      <c r="U267" s="386" t="str">
        <f>IF($A267=Input!$A$4,$F267,"")</f>
        <v/>
      </c>
      <c r="V267" s="323"/>
      <c r="W267" s="323"/>
      <c r="X267" s="323"/>
      <c r="Y267" s="323"/>
      <c r="Z267" s="323"/>
      <c r="AA267" s="387" t="str">
        <f>IF($A267=Input!$A$5,$B267,"")</f>
        <v/>
      </c>
      <c r="AB267" s="323" t="str">
        <f>IF($A267=Input!$A$5,$C267,"")</f>
        <v/>
      </c>
      <c r="AC267" s="323" t="str">
        <f>IF($A267=Input!$A$5,$D267,"")</f>
        <v/>
      </c>
      <c r="AD267" s="323" t="str">
        <f>IF($A267=Input!$A$5,$E267,"")</f>
        <v/>
      </c>
      <c r="AE267" s="386" t="str">
        <f>IF($A267=Input!$A$5,$F267,"")</f>
        <v/>
      </c>
      <c r="AF267" s="323"/>
      <c r="AG267" s="323"/>
      <c r="AH267" s="323"/>
      <c r="AI267" s="323"/>
      <c r="AJ267" s="323"/>
    </row>
    <row r="268" spans="1:36" x14ac:dyDescent="0.2">
      <c r="A268" s="250" t="str">
        <f>IF(BuffsDebuffs!$M264=1,BuffsDebuffs!G$2,"")</f>
        <v/>
      </c>
      <c r="B268" s="251" t="str">
        <f>IF(BuffsDebuffs!$M264=1,BuffsDebuffs!H$2,"")</f>
        <v/>
      </c>
      <c r="C268" s="251" t="str">
        <f>IF(BuffsDebuffs!$M264=1,BuffsDebuffs!I$2,"")</f>
        <v/>
      </c>
      <c r="D268" s="251" t="str">
        <f>IF(BuffsDebuffs!$M264=1,BuffsDebuffs!J$2,"")</f>
        <v/>
      </c>
      <c r="E268" s="251" t="str">
        <f>IF(BuffsDebuffs!$M264=1,BuffsDebuffs!K$2,"")</f>
        <v/>
      </c>
      <c r="F268" s="251" t="str">
        <f>IF(BuffsDebuffs!$M264=1,BuffsDebuffs!L$2,"")</f>
        <v/>
      </c>
      <c r="G268" s="387" t="str">
        <f>IF($A268=Input!$A$3,B268,"")</f>
        <v/>
      </c>
      <c r="H268" s="323" t="str">
        <f>IF($A268=Input!$A$3,C268,"")</f>
        <v/>
      </c>
      <c r="I268" s="323" t="str">
        <f>IF($A268=Input!$A$3,D268,"")</f>
        <v/>
      </c>
      <c r="J268" s="323" t="str">
        <f>IF($A268=Input!$A$3,E268,"")</f>
        <v/>
      </c>
      <c r="K268" s="386" t="str">
        <f>IF($A268=Input!$A$3,F268,"")</f>
        <v/>
      </c>
      <c r="L268" s="387"/>
      <c r="M268" s="323"/>
      <c r="N268" s="323"/>
      <c r="O268" s="323"/>
      <c r="P268" s="323"/>
      <c r="Q268" s="387" t="str">
        <f>IF($A268=Input!$A$4,$B268,"")</f>
        <v/>
      </c>
      <c r="R268" s="323" t="str">
        <f>IF($A268=Input!$A$4,$C268,"")</f>
        <v/>
      </c>
      <c r="S268" s="323" t="str">
        <f>IF($A268=Input!$A$4,$D268,"")</f>
        <v/>
      </c>
      <c r="T268" s="323" t="str">
        <f>IF($A268=Input!$A$4,$E268,"")</f>
        <v/>
      </c>
      <c r="U268" s="386" t="str">
        <f>IF($A268=Input!$A$4,$F268,"")</f>
        <v/>
      </c>
      <c r="V268" s="323"/>
      <c r="W268" s="323"/>
      <c r="X268" s="323"/>
      <c r="Y268" s="323"/>
      <c r="Z268" s="323"/>
      <c r="AA268" s="387" t="str">
        <f>IF($A268=Input!$A$5,$B268,"")</f>
        <v/>
      </c>
      <c r="AB268" s="323" t="str">
        <f>IF($A268=Input!$A$5,$C268,"")</f>
        <v/>
      </c>
      <c r="AC268" s="323" t="str">
        <f>IF($A268=Input!$A$5,$D268,"")</f>
        <v/>
      </c>
      <c r="AD268" s="323" t="str">
        <f>IF($A268=Input!$A$5,$E268,"")</f>
        <v/>
      </c>
      <c r="AE268" s="386" t="str">
        <f>IF($A268=Input!$A$5,$F268,"")</f>
        <v/>
      </c>
      <c r="AF268" s="323"/>
      <c r="AG268" s="323"/>
      <c r="AH268" s="323"/>
      <c r="AI268" s="323"/>
      <c r="AJ268" s="323"/>
    </row>
    <row r="269" spans="1:36" x14ac:dyDescent="0.2">
      <c r="A269" s="250" t="str">
        <f>IF(BuffsDebuffs!$M265=1,BuffsDebuffs!G$2,"")</f>
        <v/>
      </c>
      <c r="B269" s="251" t="str">
        <f>IF(BuffsDebuffs!$M265=1,BuffsDebuffs!H$2,"")</f>
        <v/>
      </c>
      <c r="C269" s="251" t="str">
        <f>IF(BuffsDebuffs!$M265=1,BuffsDebuffs!I$2,"")</f>
        <v/>
      </c>
      <c r="D269" s="251" t="str">
        <f>IF(BuffsDebuffs!$M265=1,BuffsDebuffs!J$2,"")</f>
        <v/>
      </c>
      <c r="E269" s="251" t="str">
        <f>IF(BuffsDebuffs!$M265=1,BuffsDebuffs!K$2,"")</f>
        <v/>
      </c>
      <c r="F269" s="251" t="str">
        <f>IF(BuffsDebuffs!$M265=1,BuffsDebuffs!L$2,"")</f>
        <v/>
      </c>
      <c r="G269" s="387" t="str">
        <f>IF($A269=Input!$A$3,B269,"")</f>
        <v/>
      </c>
      <c r="H269" s="323" t="str">
        <f>IF($A269=Input!$A$3,C269,"")</f>
        <v/>
      </c>
      <c r="I269" s="323" t="str">
        <f>IF($A269=Input!$A$3,D269,"")</f>
        <v/>
      </c>
      <c r="J269" s="323" t="str">
        <f>IF($A269=Input!$A$3,E269,"")</f>
        <v/>
      </c>
      <c r="K269" s="386" t="str">
        <f>IF($A269=Input!$A$3,F269,"")</f>
        <v/>
      </c>
      <c r="L269" s="387"/>
      <c r="M269" s="323"/>
      <c r="N269" s="323"/>
      <c r="O269" s="323"/>
      <c r="P269" s="323"/>
      <c r="Q269" s="387" t="str">
        <f>IF($A269=Input!$A$4,$B269,"")</f>
        <v/>
      </c>
      <c r="R269" s="323" t="str">
        <f>IF($A269=Input!$A$4,$C269,"")</f>
        <v/>
      </c>
      <c r="S269" s="323" t="str">
        <f>IF($A269=Input!$A$4,$D269,"")</f>
        <v/>
      </c>
      <c r="T269" s="323" t="str">
        <f>IF($A269=Input!$A$4,$E269,"")</f>
        <v/>
      </c>
      <c r="U269" s="386" t="str">
        <f>IF($A269=Input!$A$4,$F269,"")</f>
        <v/>
      </c>
      <c r="V269" s="323"/>
      <c r="W269" s="323"/>
      <c r="X269" s="323"/>
      <c r="Y269" s="323"/>
      <c r="Z269" s="323"/>
      <c r="AA269" s="387" t="str">
        <f>IF($A269=Input!$A$5,$B269,"")</f>
        <v/>
      </c>
      <c r="AB269" s="323" t="str">
        <f>IF($A269=Input!$A$5,$C269,"")</f>
        <v/>
      </c>
      <c r="AC269" s="323" t="str">
        <f>IF($A269=Input!$A$5,$D269,"")</f>
        <v/>
      </c>
      <c r="AD269" s="323" t="str">
        <f>IF($A269=Input!$A$5,$E269,"")</f>
        <v/>
      </c>
      <c r="AE269" s="386" t="str">
        <f>IF($A269=Input!$A$5,$F269,"")</f>
        <v/>
      </c>
      <c r="AF269" s="323"/>
      <c r="AG269" s="323"/>
      <c r="AH269" s="323"/>
      <c r="AI269" s="323"/>
      <c r="AJ269" s="323"/>
    </row>
    <row r="270" spans="1:36" x14ac:dyDescent="0.2">
      <c r="A270" s="250" t="str">
        <f>IF(BuffsDebuffs!$M266=1,BuffsDebuffs!G$2,"")</f>
        <v/>
      </c>
      <c r="B270" s="251" t="str">
        <f>IF(BuffsDebuffs!$M266=1,BuffsDebuffs!H$2,"")</f>
        <v/>
      </c>
      <c r="C270" s="251" t="str">
        <f>IF(BuffsDebuffs!$M266=1,BuffsDebuffs!I$2,"")</f>
        <v/>
      </c>
      <c r="D270" s="251" t="str">
        <f>IF(BuffsDebuffs!$M266=1,BuffsDebuffs!J$2,"")</f>
        <v/>
      </c>
      <c r="E270" s="251" t="str">
        <f>IF(BuffsDebuffs!$M266=1,BuffsDebuffs!K$2,"")</f>
        <v/>
      </c>
      <c r="F270" s="251" t="str">
        <f>IF(BuffsDebuffs!$M266=1,BuffsDebuffs!L$2,"")</f>
        <v/>
      </c>
      <c r="G270" s="387" t="str">
        <f>IF($A270=Input!$A$3,B270,"")</f>
        <v/>
      </c>
      <c r="H270" s="323" t="str">
        <f>IF($A270=Input!$A$3,C270,"")</f>
        <v/>
      </c>
      <c r="I270" s="323" t="str">
        <f>IF($A270=Input!$A$3,D270,"")</f>
        <v/>
      </c>
      <c r="J270" s="323" t="str">
        <f>IF($A270=Input!$A$3,E270,"")</f>
        <v/>
      </c>
      <c r="K270" s="386" t="str">
        <f>IF($A270=Input!$A$3,F270,"")</f>
        <v/>
      </c>
      <c r="L270" s="387"/>
      <c r="M270" s="323"/>
      <c r="N270" s="323"/>
      <c r="O270" s="323"/>
      <c r="P270" s="323"/>
      <c r="Q270" s="387" t="str">
        <f>IF($A270=Input!$A$4,$B270,"")</f>
        <v/>
      </c>
      <c r="R270" s="323" t="str">
        <f>IF($A270=Input!$A$4,$C270,"")</f>
        <v/>
      </c>
      <c r="S270" s="323" t="str">
        <f>IF($A270=Input!$A$4,$D270,"")</f>
        <v/>
      </c>
      <c r="T270" s="323" t="str">
        <f>IF($A270=Input!$A$4,$E270,"")</f>
        <v/>
      </c>
      <c r="U270" s="386" t="str">
        <f>IF($A270=Input!$A$4,$F270,"")</f>
        <v/>
      </c>
      <c r="V270" s="323"/>
      <c r="W270" s="323"/>
      <c r="X270" s="323"/>
      <c r="Y270" s="323"/>
      <c r="Z270" s="323"/>
      <c r="AA270" s="387" t="str">
        <f>IF($A270=Input!$A$5,$B270,"")</f>
        <v/>
      </c>
      <c r="AB270" s="323" t="str">
        <f>IF($A270=Input!$A$5,$C270,"")</f>
        <v/>
      </c>
      <c r="AC270" s="323" t="str">
        <f>IF($A270=Input!$A$5,$D270,"")</f>
        <v/>
      </c>
      <c r="AD270" s="323" t="str">
        <f>IF($A270=Input!$A$5,$E270,"")</f>
        <v/>
      </c>
      <c r="AE270" s="386" t="str">
        <f>IF($A270=Input!$A$5,$F270,"")</f>
        <v/>
      </c>
      <c r="AF270" s="323"/>
      <c r="AG270" s="323"/>
      <c r="AH270" s="323"/>
      <c r="AI270" s="323"/>
      <c r="AJ270" s="323"/>
    </row>
    <row r="271" spans="1:36" x14ac:dyDescent="0.2">
      <c r="A271" s="250" t="str">
        <f>IF(BuffsDebuffs!$M267=1,BuffsDebuffs!G$2,"")</f>
        <v/>
      </c>
      <c r="B271" s="251" t="str">
        <f>IF(BuffsDebuffs!$M267=1,BuffsDebuffs!H$2,"")</f>
        <v/>
      </c>
      <c r="C271" s="251" t="str">
        <f>IF(BuffsDebuffs!$M267=1,BuffsDebuffs!I$2,"")</f>
        <v/>
      </c>
      <c r="D271" s="251" t="str">
        <f>IF(BuffsDebuffs!$M267=1,BuffsDebuffs!J$2,"")</f>
        <v/>
      </c>
      <c r="E271" s="251" t="str">
        <f>IF(BuffsDebuffs!$M267=1,BuffsDebuffs!K$2,"")</f>
        <v/>
      </c>
      <c r="F271" s="251" t="str">
        <f>IF(BuffsDebuffs!$M267=1,BuffsDebuffs!L$2,"")</f>
        <v/>
      </c>
      <c r="G271" s="387" t="str">
        <f>IF($A271=Input!$A$3,B271,"")</f>
        <v/>
      </c>
      <c r="H271" s="323" t="str">
        <f>IF($A271=Input!$A$3,C271,"")</f>
        <v/>
      </c>
      <c r="I271" s="323" t="str">
        <f>IF($A271=Input!$A$3,D271,"")</f>
        <v/>
      </c>
      <c r="J271" s="323" t="str">
        <f>IF($A271=Input!$A$3,E271,"")</f>
        <v/>
      </c>
      <c r="K271" s="386" t="str">
        <f>IF($A271=Input!$A$3,F271,"")</f>
        <v/>
      </c>
      <c r="L271" s="387"/>
      <c r="M271" s="323"/>
      <c r="N271" s="323"/>
      <c r="O271" s="323"/>
      <c r="P271" s="323"/>
      <c r="Q271" s="387" t="str">
        <f>IF($A271=Input!$A$4,$B271,"")</f>
        <v/>
      </c>
      <c r="R271" s="323" t="str">
        <f>IF($A271=Input!$A$4,$C271,"")</f>
        <v/>
      </c>
      <c r="S271" s="323" t="str">
        <f>IF($A271=Input!$A$4,$D271,"")</f>
        <v/>
      </c>
      <c r="T271" s="323" t="str">
        <f>IF($A271=Input!$A$4,$E271,"")</f>
        <v/>
      </c>
      <c r="U271" s="386" t="str">
        <f>IF($A271=Input!$A$4,$F271,"")</f>
        <v/>
      </c>
      <c r="V271" s="323"/>
      <c r="W271" s="323"/>
      <c r="X271" s="323"/>
      <c r="Y271" s="323"/>
      <c r="Z271" s="323"/>
      <c r="AA271" s="387" t="str">
        <f>IF($A271=Input!$A$5,$B271,"")</f>
        <v/>
      </c>
      <c r="AB271" s="323" t="str">
        <f>IF($A271=Input!$A$5,$C271,"")</f>
        <v/>
      </c>
      <c r="AC271" s="323" t="str">
        <f>IF($A271=Input!$A$5,$D271,"")</f>
        <v/>
      </c>
      <c r="AD271" s="323" t="str">
        <f>IF($A271=Input!$A$5,$E271,"")</f>
        <v/>
      </c>
      <c r="AE271" s="386" t="str">
        <f>IF($A271=Input!$A$5,$F271,"")</f>
        <v/>
      </c>
      <c r="AF271" s="323"/>
      <c r="AG271" s="323"/>
      <c r="AH271" s="323"/>
      <c r="AI271" s="323"/>
      <c r="AJ271" s="323"/>
    </row>
    <row r="272" spans="1:36" x14ac:dyDescent="0.2">
      <c r="A272" s="250" t="str">
        <f>IF(BuffsDebuffs!$M268=1,BuffsDebuffs!G$2,"")</f>
        <v/>
      </c>
      <c r="B272" s="251" t="str">
        <f>IF(BuffsDebuffs!$M268=1,BuffsDebuffs!H$2,"")</f>
        <v/>
      </c>
      <c r="C272" s="251" t="str">
        <f>IF(BuffsDebuffs!$M268=1,BuffsDebuffs!I$2,"")</f>
        <v/>
      </c>
      <c r="D272" s="251" t="str">
        <f>IF(BuffsDebuffs!$M268=1,BuffsDebuffs!J$2,"")</f>
        <v/>
      </c>
      <c r="E272" s="251" t="str">
        <f>IF(BuffsDebuffs!$M268=1,BuffsDebuffs!K$2,"")</f>
        <v/>
      </c>
      <c r="F272" s="251" t="str">
        <f>IF(BuffsDebuffs!$M268=1,BuffsDebuffs!L$2,"")</f>
        <v/>
      </c>
      <c r="G272" s="387" t="str">
        <f>IF($A272=Input!$A$3,B272,"")</f>
        <v/>
      </c>
      <c r="H272" s="323" t="str">
        <f>IF($A272=Input!$A$3,C272,"")</f>
        <v/>
      </c>
      <c r="I272" s="323" t="str">
        <f>IF($A272=Input!$A$3,D272,"")</f>
        <v/>
      </c>
      <c r="J272" s="323" t="str">
        <f>IF($A272=Input!$A$3,E272,"")</f>
        <v/>
      </c>
      <c r="K272" s="386" t="str">
        <f>IF($A272=Input!$A$3,F272,"")</f>
        <v/>
      </c>
      <c r="L272" s="387"/>
      <c r="M272" s="323"/>
      <c r="N272" s="323"/>
      <c r="O272" s="323"/>
      <c r="P272" s="323"/>
      <c r="Q272" s="387" t="str">
        <f>IF($A272=Input!$A$4,$B272,"")</f>
        <v/>
      </c>
      <c r="R272" s="323" t="str">
        <f>IF($A272=Input!$A$4,$C272,"")</f>
        <v/>
      </c>
      <c r="S272" s="323" t="str">
        <f>IF($A272=Input!$A$4,$D272,"")</f>
        <v/>
      </c>
      <c r="T272" s="323" t="str">
        <f>IF($A272=Input!$A$4,$E272,"")</f>
        <v/>
      </c>
      <c r="U272" s="386" t="str">
        <f>IF($A272=Input!$A$4,$F272,"")</f>
        <v/>
      </c>
      <c r="V272" s="323"/>
      <c r="W272" s="323"/>
      <c r="X272" s="323"/>
      <c r="Y272" s="323"/>
      <c r="Z272" s="323"/>
      <c r="AA272" s="387" t="str">
        <f>IF($A272=Input!$A$5,$B272,"")</f>
        <v/>
      </c>
      <c r="AB272" s="323" t="str">
        <f>IF($A272=Input!$A$5,$C272,"")</f>
        <v/>
      </c>
      <c r="AC272" s="323" t="str">
        <f>IF($A272=Input!$A$5,$D272,"")</f>
        <v/>
      </c>
      <c r="AD272" s="323" t="str">
        <f>IF($A272=Input!$A$5,$E272,"")</f>
        <v/>
      </c>
      <c r="AE272" s="386" t="str">
        <f>IF($A272=Input!$A$5,$F272,"")</f>
        <v/>
      </c>
      <c r="AF272" s="323"/>
      <c r="AG272" s="323"/>
      <c r="AH272" s="323"/>
      <c r="AI272" s="323"/>
      <c r="AJ272" s="323"/>
    </row>
    <row r="273" spans="1:36" x14ac:dyDescent="0.2">
      <c r="A273" s="250" t="str">
        <f>IF(BuffsDebuffs!$M269=1,BuffsDebuffs!G$2,"")</f>
        <v/>
      </c>
      <c r="B273" s="251" t="str">
        <f>IF(BuffsDebuffs!$M269=1,BuffsDebuffs!H$2,"")</f>
        <v/>
      </c>
      <c r="C273" s="251" t="str">
        <f>IF(BuffsDebuffs!$M269=1,BuffsDebuffs!I$2,"")</f>
        <v/>
      </c>
      <c r="D273" s="251" t="str">
        <f>IF(BuffsDebuffs!$M269=1,BuffsDebuffs!J$2,"")</f>
        <v/>
      </c>
      <c r="E273" s="251" t="str">
        <f>IF(BuffsDebuffs!$M269=1,BuffsDebuffs!K$2,"")</f>
        <v/>
      </c>
      <c r="F273" s="251" t="str">
        <f>IF(BuffsDebuffs!$M269=1,BuffsDebuffs!L$2,"")</f>
        <v/>
      </c>
      <c r="G273" s="387" t="str">
        <f>IF($A273=Input!$A$3,B273,"")</f>
        <v/>
      </c>
      <c r="H273" s="323" t="str">
        <f>IF($A273=Input!$A$3,C273,"")</f>
        <v/>
      </c>
      <c r="I273" s="323" t="str">
        <f>IF($A273=Input!$A$3,D273,"")</f>
        <v/>
      </c>
      <c r="J273" s="323" t="str">
        <f>IF($A273=Input!$A$3,E273,"")</f>
        <v/>
      </c>
      <c r="K273" s="386" t="str">
        <f>IF($A273=Input!$A$3,F273,"")</f>
        <v/>
      </c>
      <c r="L273" s="387"/>
      <c r="M273" s="323"/>
      <c r="N273" s="323"/>
      <c r="O273" s="323"/>
      <c r="P273" s="323"/>
      <c r="Q273" s="387" t="str">
        <f>IF($A273=Input!$A$4,$B273,"")</f>
        <v/>
      </c>
      <c r="R273" s="323" t="str">
        <f>IF($A273=Input!$A$4,$C273,"")</f>
        <v/>
      </c>
      <c r="S273" s="323" t="str">
        <f>IF($A273=Input!$A$4,$D273,"")</f>
        <v/>
      </c>
      <c r="T273" s="323" t="str">
        <f>IF($A273=Input!$A$4,$E273,"")</f>
        <v/>
      </c>
      <c r="U273" s="386" t="str">
        <f>IF($A273=Input!$A$4,$F273,"")</f>
        <v/>
      </c>
      <c r="V273" s="323"/>
      <c r="W273" s="323"/>
      <c r="X273" s="323"/>
      <c r="Y273" s="323"/>
      <c r="Z273" s="323"/>
      <c r="AA273" s="387" t="str">
        <f>IF($A273=Input!$A$5,$B273,"")</f>
        <v/>
      </c>
      <c r="AB273" s="323" t="str">
        <f>IF($A273=Input!$A$5,$C273,"")</f>
        <v/>
      </c>
      <c r="AC273" s="323" t="str">
        <f>IF($A273=Input!$A$5,$D273,"")</f>
        <v/>
      </c>
      <c r="AD273" s="323" t="str">
        <f>IF($A273=Input!$A$5,$E273,"")</f>
        <v/>
      </c>
      <c r="AE273" s="386" t="str">
        <f>IF($A273=Input!$A$5,$F273,"")</f>
        <v/>
      </c>
      <c r="AF273" s="323"/>
      <c r="AG273" s="323"/>
      <c r="AH273" s="323"/>
      <c r="AI273" s="323"/>
      <c r="AJ273" s="323"/>
    </row>
    <row r="274" spans="1:36" x14ac:dyDescent="0.2">
      <c r="A274" s="250" t="str">
        <f>IF(BuffsDebuffs!$M270=1,BuffsDebuffs!G$2,"")</f>
        <v/>
      </c>
      <c r="B274" s="251" t="str">
        <f>IF(BuffsDebuffs!$M270=1,BuffsDebuffs!H$2,"")</f>
        <v/>
      </c>
      <c r="C274" s="251" t="str">
        <f>IF(BuffsDebuffs!$M270=1,BuffsDebuffs!I$2,"")</f>
        <v/>
      </c>
      <c r="D274" s="251" t="str">
        <f>IF(BuffsDebuffs!$M270=1,BuffsDebuffs!J$2,"")</f>
        <v/>
      </c>
      <c r="E274" s="251" t="str">
        <f>IF(BuffsDebuffs!$M270=1,BuffsDebuffs!K$2,"")</f>
        <v/>
      </c>
      <c r="F274" s="251" t="str">
        <f>IF(BuffsDebuffs!$M270=1,BuffsDebuffs!L$2,"")</f>
        <v/>
      </c>
      <c r="G274" s="387" t="str">
        <f>IF($A274=Input!$A$3,B274,"")</f>
        <v/>
      </c>
      <c r="H274" s="323" t="str">
        <f>IF($A274=Input!$A$3,C274,"")</f>
        <v/>
      </c>
      <c r="I274" s="323" t="str">
        <f>IF($A274=Input!$A$3,D274,"")</f>
        <v/>
      </c>
      <c r="J274" s="323" t="str">
        <f>IF($A274=Input!$A$3,E274,"")</f>
        <v/>
      </c>
      <c r="K274" s="386" t="str">
        <f>IF($A274=Input!$A$3,F274,"")</f>
        <v/>
      </c>
      <c r="L274" s="387"/>
      <c r="M274" s="323"/>
      <c r="N274" s="323"/>
      <c r="O274" s="323"/>
      <c r="P274" s="323"/>
      <c r="Q274" s="387" t="str">
        <f>IF($A274=Input!$A$4,$B274,"")</f>
        <v/>
      </c>
      <c r="R274" s="323" t="str">
        <f>IF($A274=Input!$A$4,$C274,"")</f>
        <v/>
      </c>
      <c r="S274" s="323" t="str">
        <f>IF($A274=Input!$A$4,$D274,"")</f>
        <v/>
      </c>
      <c r="T274" s="323" t="str">
        <f>IF($A274=Input!$A$4,$E274,"")</f>
        <v/>
      </c>
      <c r="U274" s="386" t="str">
        <f>IF($A274=Input!$A$4,$F274,"")</f>
        <v/>
      </c>
      <c r="V274" s="323"/>
      <c r="W274" s="323"/>
      <c r="X274" s="323"/>
      <c r="Y274" s="323"/>
      <c r="Z274" s="323"/>
      <c r="AA274" s="387" t="str">
        <f>IF($A274=Input!$A$5,$B274,"")</f>
        <v/>
      </c>
      <c r="AB274" s="323" t="str">
        <f>IF($A274=Input!$A$5,$C274,"")</f>
        <v/>
      </c>
      <c r="AC274" s="323" t="str">
        <f>IF($A274=Input!$A$5,$D274,"")</f>
        <v/>
      </c>
      <c r="AD274" s="323" t="str">
        <f>IF($A274=Input!$A$5,$E274,"")</f>
        <v/>
      </c>
      <c r="AE274" s="386" t="str">
        <f>IF($A274=Input!$A$5,$F274,"")</f>
        <v/>
      </c>
      <c r="AF274" s="323"/>
      <c r="AG274" s="323"/>
      <c r="AH274" s="323"/>
      <c r="AI274" s="323"/>
      <c r="AJ274" s="323"/>
    </row>
    <row r="275" spans="1:36" x14ac:dyDescent="0.2">
      <c r="A275" s="250" t="str">
        <f>IF(BuffsDebuffs!$M271=1,BuffsDebuffs!G$2,"")</f>
        <v/>
      </c>
      <c r="B275" s="251" t="str">
        <f>IF(BuffsDebuffs!$M271=1,BuffsDebuffs!H$2,"")</f>
        <v/>
      </c>
      <c r="C275" s="251" t="str">
        <f>IF(BuffsDebuffs!$M271=1,BuffsDebuffs!I$2,"")</f>
        <v/>
      </c>
      <c r="D275" s="251" t="str">
        <f>IF(BuffsDebuffs!$M271=1,BuffsDebuffs!J$2,"")</f>
        <v/>
      </c>
      <c r="E275" s="251" t="str">
        <f>IF(BuffsDebuffs!$M271=1,BuffsDebuffs!K$2,"")</f>
        <v/>
      </c>
      <c r="F275" s="251" t="str">
        <f>IF(BuffsDebuffs!$M271=1,BuffsDebuffs!L$2,"")</f>
        <v/>
      </c>
      <c r="G275" s="387" t="str">
        <f>IF($A275=Input!$A$3,B275,"")</f>
        <v/>
      </c>
      <c r="H275" s="323" t="str">
        <f>IF($A275=Input!$A$3,C275,"")</f>
        <v/>
      </c>
      <c r="I275" s="323" t="str">
        <f>IF($A275=Input!$A$3,D275,"")</f>
        <v/>
      </c>
      <c r="J275" s="323" t="str">
        <f>IF($A275=Input!$A$3,E275,"")</f>
        <v/>
      </c>
      <c r="K275" s="386" t="str">
        <f>IF($A275=Input!$A$3,F275,"")</f>
        <v/>
      </c>
      <c r="L275" s="387"/>
      <c r="M275" s="323"/>
      <c r="N275" s="323"/>
      <c r="O275" s="323"/>
      <c r="P275" s="323"/>
      <c r="Q275" s="387" t="str">
        <f>IF($A275=Input!$A$4,$B275,"")</f>
        <v/>
      </c>
      <c r="R275" s="323" t="str">
        <f>IF($A275=Input!$A$4,$C275,"")</f>
        <v/>
      </c>
      <c r="S275" s="323" t="str">
        <f>IF($A275=Input!$A$4,$D275,"")</f>
        <v/>
      </c>
      <c r="T275" s="323" t="str">
        <f>IF($A275=Input!$A$4,$E275,"")</f>
        <v/>
      </c>
      <c r="U275" s="386" t="str">
        <f>IF($A275=Input!$A$4,$F275,"")</f>
        <v/>
      </c>
      <c r="V275" s="323"/>
      <c r="W275" s="323"/>
      <c r="X275" s="323"/>
      <c r="Y275" s="323"/>
      <c r="Z275" s="323"/>
      <c r="AA275" s="387" t="str">
        <f>IF($A275=Input!$A$5,$B275,"")</f>
        <v/>
      </c>
      <c r="AB275" s="323" t="str">
        <f>IF($A275=Input!$A$5,$C275,"")</f>
        <v/>
      </c>
      <c r="AC275" s="323" t="str">
        <f>IF($A275=Input!$A$5,$D275,"")</f>
        <v/>
      </c>
      <c r="AD275" s="323" t="str">
        <f>IF($A275=Input!$A$5,$E275,"")</f>
        <v/>
      </c>
      <c r="AE275" s="386" t="str">
        <f>IF($A275=Input!$A$5,$F275,"")</f>
        <v/>
      </c>
      <c r="AF275" s="323"/>
      <c r="AG275" s="323"/>
      <c r="AH275" s="323"/>
      <c r="AI275" s="323"/>
      <c r="AJ275" s="323"/>
    </row>
    <row r="276" spans="1:36" x14ac:dyDescent="0.2">
      <c r="A276" s="250" t="str">
        <f>IF(BuffsDebuffs!$M272=1,BuffsDebuffs!G$2,"")</f>
        <v/>
      </c>
      <c r="B276" s="251" t="str">
        <f>IF(BuffsDebuffs!$M272=1,BuffsDebuffs!H$2,"")</f>
        <v/>
      </c>
      <c r="C276" s="251" t="str">
        <f>IF(BuffsDebuffs!$M272=1,BuffsDebuffs!I$2,"")</f>
        <v/>
      </c>
      <c r="D276" s="251" t="str">
        <f>IF(BuffsDebuffs!$M272=1,BuffsDebuffs!J$2,"")</f>
        <v/>
      </c>
      <c r="E276" s="251" t="str">
        <f>IF(BuffsDebuffs!$M272=1,BuffsDebuffs!K$2,"")</f>
        <v/>
      </c>
      <c r="F276" s="251" t="str">
        <f>IF(BuffsDebuffs!$M272=1,BuffsDebuffs!L$2,"")</f>
        <v/>
      </c>
      <c r="G276" s="387" t="str">
        <f>IF($A276=Input!$A$3,B276,"")</f>
        <v/>
      </c>
      <c r="H276" s="323" t="str">
        <f>IF($A276=Input!$A$3,C276,"")</f>
        <v/>
      </c>
      <c r="I276" s="323" t="str">
        <f>IF($A276=Input!$A$3,D276,"")</f>
        <v/>
      </c>
      <c r="J276" s="323" t="str">
        <f>IF($A276=Input!$A$3,E276,"")</f>
        <v/>
      </c>
      <c r="K276" s="386" t="str">
        <f>IF($A276=Input!$A$3,F276,"")</f>
        <v/>
      </c>
      <c r="L276" s="387"/>
      <c r="M276" s="323"/>
      <c r="N276" s="323"/>
      <c r="O276" s="323"/>
      <c r="P276" s="323"/>
      <c r="Q276" s="387" t="str">
        <f>IF($A276=Input!$A$4,$B276,"")</f>
        <v/>
      </c>
      <c r="R276" s="323" t="str">
        <f>IF($A276=Input!$A$4,$C276,"")</f>
        <v/>
      </c>
      <c r="S276" s="323" t="str">
        <f>IF($A276=Input!$A$4,$D276,"")</f>
        <v/>
      </c>
      <c r="T276" s="323" t="str">
        <f>IF($A276=Input!$A$4,$E276,"")</f>
        <v/>
      </c>
      <c r="U276" s="386" t="str">
        <f>IF($A276=Input!$A$4,$F276,"")</f>
        <v/>
      </c>
      <c r="V276" s="323"/>
      <c r="W276" s="323"/>
      <c r="X276" s="323"/>
      <c r="Y276" s="323"/>
      <c r="Z276" s="323"/>
      <c r="AA276" s="387" t="str">
        <f>IF($A276=Input!$A$5,$B276,"")</f>
        <v/>
      </c>
      <c r="AB276" s="323" t="str">
        <f>IF($A276=Input!$A$5,$C276,"")</f>
        <v/>
      </c>
      <c r="AC276" s="323" t="str">
        <f>IF($A276=Input!$A$5,$D276,"")</f>
        <v/>
      </c>
      <c r="AD276" s="323" t="str">
        <f>IF($A276=Input!$A$5,$E276,"")</f>
        <v/>
      </c>
      <c r="AE276" s="386" t="str">
        <f>IF($A276=Input!$A$5,$F276,"")</f>
        <v/>
      </c>
      <c r="AF276" s="323"/>
      <c r="AG276" s="323"/>
      <c r="AH276" s="323"/>
      <c r="AI276" s="323"/>
      <c r="AJ276" s="323"/>
    </row>
    <row r="277" spans="1:36" x14ac:dyDescent="0.2">
      <c r="A277" s="250" t="str">
        <f>IF(BuffsDebuffs!$M273=1,BuffsDebuffs!G$2,"")</f>
        <v/>
      </c>
      <c r="B277" s="251" t="str">
        <f>IF(BuffsDebuffs!$M273=1,BuffsDebuffs!H$2,"")</f>
        <v/>
      </c>
      <c r="C277" s="251" t="str">
        <f>IF(BuffsDebuffs!$M273=1,BuffsDebuffs!I$2,"")</f>
        <v/>
      </c>
      <c r="D277" s="251" t="str">
        <f>IF(BuffsDebuffs!$M273=1,BuffsDebuffs!J$2,"")</f>
        <v/>
      </c>
      <c r="E277" s="251" t="str">
        <f>IF(BuffsDebuffs!$M273=1,BuffsDebuffs!K$2,"")</f>
        <v/>
      </c>
      <c r="F277" s="251" t="str">
        <f>IF(BuffsDebuffs!$M273=1,BuffsDebuffs!L$2,"")</f>
        <v/>
      </c>
      <c r="G277" s="387" t="str">
        <f>IF($A277=Input!$A$3,B277,"")</f>
        <v/>
      </c>
      <c r="H277" s="323" t="str">
        <f>IF($A277=Input!$A$3,C277,"")</f>
        <v/>
      </c>
      <c r="I277" s="323" t="str">
        <f>IF($A277=Input!$A$3,D277,"")</f>
        <v/>
      </c>
      <c r="J277" s="323" t="str">
        <f>IF($A277=Input!$A$3,E277,"")</f>
        <v/>
      </c>
      <c r="K277" s="386" t="str">
        <f>IF($A277=Input!$A$3,F277,"")</f>
        <v/>
      </c>
      <c r="L277" s="387"/>
      <c r="M277" s="323"/>
      <c r="N277" s="323"/>
      <c r="O277" s="323"/>
      <c r="P277" s="323"/>
      <c r="Q277" s="387" t="str">
        <f>IF($A277=Input!$A$4,$B277,"")</f>
        <v/>
      </c>
      <c r="R277" s="323" t="str">
        <f>IF($A277=Input!$A$4,$C277,"")</f>
        <v/>
      </c>
      <c r="S277" s="323" t="str">
        <f>IF($A277=Input!$A$4,$D277,"")</f>
        <v/>
      </c>
      <c r="T277" s="323" t="str">
        <f>IF($A277=Input!$A$4,$E277,"")</f>
        <v/>
      </c>
      <c r="U277" s="386" t="str">
        <f>IF($A277=Input!$A$4,$F277,"")</f>
        <v/>
      </c>
      <c r="V277" s="323"/>
      <c r="W277" s="323"/>
      <c r="X277" s="323"/>
      <c r="Y277" s="323"/>
      <c r="Z277" s="323"/>
      <c r="AA277" s="387" t="str">
        <f>IF($A277=Input!$A$5,$B277,"")</f>
        <v/>
      </c>
      <c r="AB277" s="323" t="str">
        <f>IF($A277=Input!$A$5,$C277,"")</f>
        <v/>
      </c>
      <c r="AC277" s="323" t="str">
        <f>IF($A277=Input!$A$5,$D277,"")</f>
        <v/>
      </c>
      <c r="AD277" s="323" t="str">
        <f>IF($A277=Input!$A$5,$E277,"")</f>
        <v/>
      </c>
      <c r="AE277" s="386" t="str">
        <f>IF($A277=Input!$A$5,$F277,"")</f>
        <v/>
      </c>
      <c r="AF277" s="323"/>
      <c r="AG277" s="323"/>
      <c r="AH277" s="323"/>
      <c r="AI277" s="323"/>
      <c r="AJ277" s="323"/>
    </row>
    <row r="278" spans="1:36" x14ac:dyDescent="0.2">
      <c r="A278" s="250" t="str">
        <f>IF(BuffsDebuffs!$M274=1,BuffsDebuffs!G$2,"")</f>
        <v/>
      </c>
      <c r="B278" s="251" t="str">
        <f>IF(BuffsDebuffs!$M274=1,BuffsDebuffs!H$2,"")</f>
        <v/>
      </c>
      <c r="C278" s="251" t="str">
        <f>IF(BuffsDebuffs!$M274=1,BuffsDebuffs!I$2,"")</f>
        <v/>
      </c>
      <c r="D278" s="251" t="str">
        <f>IF(BuffsDebuffs!$M274=1,BuffsDebuffs!J$2,"")</f>
        <v/>
      </c>
      <c r="E278" s="251" t="str">
        <f>IF(BuffsDebuffs!$M274=1,BuffsDebuffs!K$2,"")</f>
        <v/>
      </c>
      <c r="F278" s="251" t="str">
        <f>IF(BuffsDebuffs!$M274=1,BuffsDebuffs!L$2,"")</f>
        <v/>
      </c>
      <c r="G278" s="387" t="str">
        <f>IF($A278=Input!$A$3,B278,"")</f>
        <v/>
      </c>
      <c r="H278" s="323" t="str">
        <f>IF($A278=Input!$A$3,C278,"")</f>
        <v/>
      </c>
      <c r="I278" s="323" t="str">
        <f>IF($A278=Input!$A$3,D278,"")</f>
        <v/>
      </c>
      <c r="J278" s="323" t="str">
        <f>IF($A278=Input!$A$3,E278,"")</f>
        <v/>
      </c>
      <c r="K278" s="386" t="str">
        <f>IF($A278=Input!$A$3,F278,"")</f>
        <v/>
      </c>
      <c r="L278" s="387"/>
      <c r="M278" s="323"/>
      <c r="N278" s="323"/>
      <c r="O278" s="323"/>
      <c r="P278" s="323"/>
      <c r="Q278" s="387" t="str">
        <f>IF($A278=Input!$A$4,$B278,"")</f>
        <v/>
      </c>
      <c r="R278" s="323" t="str">
        <f>IF($A278=Input!$A$4,$C278,"")</f>
        <v/>
      </c>
      <c r="S278" s="323" t="str">
        <f>IF($A278=Input!$A$4,$D278,"")</f>
        <v/>
      </c>
      <c r="T278" s="323" t="str">
        <f>IF($A278=Input!$A$4,$E278,"")</f>
        <v/>
      </c>
      <c r="U278" s="386" t="str">
        <f>IF($A278=Input!$A$4,$F278,"")</f>
        <v/>
      </c>
      <c r="V278" s="323"/>
      <c r="W278" s="323"/>
      <c r="X278" s="323"/>
      <c r="Y278" s="323"/>
      <c r="Z278" s="323"/>
      <c r="AA278" s="387" t="str">
        <f>IF($A278=Input!$A$5,$B278,"")</f>
        <v/>
      </c>
      <c r="AB278" s="323" t="str">
        <f>IF($A278=Input!$A$5,$C278,"")</f>
        <v/>
      </c>
      <c r="AC278" s="323" t="str">
        <f>IF($A278=Input!$A$5,$D278,"")</f>
        <v/>
      </c>
      <c r="AD278" s="323" t="str">
        <f>IF($A278=Input!$A$5,$E278,"")</f>
        <v/>
      </c>
      <c r="AE278" s="386" t="str">
        <f>IF($A278=Input!$A$5,$F278,"")</f>
        <v/>
      </c>
      <c r="AF278" s="323"/>
      <c r="AG278" s="323"/>
      <c r="AH278" s="323"/>
      <c r="AI278" s="323"/>
      <c r="AJ278" s="323"/>
    </row>
    <row r="279" spans="1:36" x14ac:dyDescent="0.2">
      <c r="A279" s="250" t="str">
        <f>IF(BuffsDebuffs!$M275=1,BuffsDebuffs!G$2,"")</f>
        <v/>
      </c>
      <c r="B279" s="251" t="str">
        <f>IF(BuffsDebuffs!$M275=1,BuffsDebuffs!H$2,"")</f>
        <v/>
      </c>
      <c r="C279" s="251" t="str">
        <f>IF(BuffsDebuffs!$M275=1,BuffsDebuffs!I$2,"")</f>
        <v/>
      </c>
      <c r="D279" s="251" t="str">
        <f>IF(BuffsDebuffs!$M275=1,BuffsDebuffs!J$2,"")</f>
        <v/>
      </c>
      <c r="E279" s="251" t="str">
        <f>IF(BuffsDebuffs!$M275=1,BuffsDebuffs!K$2,"")</f>
        <v/>
      </c>
      <c r="F279" s="251" t="str">
        <f>IF(BuffsDebuffs!$M275=1,BuffsDebuffs!L$2,"")</f>
        <v/>
      </c>
      <c r="G279" s="387" t="str">
        <f>IF($A279=Input!$A$3,B279,"")</f>
        <v/>
      </c>
      <c r="H279" s="323" t="str">
        <f>IF($A279=Input!$A$3,C279,"")</f>
        <v/>
      </c>
      <c r="I279" s="323" t="str">
        <f>IF($A279=Input!$A$3,D279,"")</f>
        <v/>
      </c>
      <c r="J279" s="323" t="str">
        <f>IF($A279=Input!$A$3,E279,"")</f>
        <v/>
      </c>
      <c r="K279" s="386" t="str">
        <f>IF($A279=Input!$A$3,F279,"")</f>
        <v/>
      </c>
      <c r="L279" s="387"/>
      <c r="M279" s="323"/>
      <c r="N279" s="323"/>
      <c r="O279" s="323"/>
      <c r="P279" s="323"/>
      <c r="Q279" s="387" t="str">
        <f>IF($A279=Input!$A$4,$B279,"")</f>
        <v/>
      </c>
      <c r="R279" s="323" t="str">
        <f>IF($A279=Input!$A$4,$C279,"")</f>
        <v/>
      </c>
      <c r="S279" s="323" t="str">
        <f>IF($A279=Input!$A$4,$D279,"")</f>
        <v/>
      </c>
      <c r="T279" s="323" t="str">
        <f>IF($A279=Input!$A$4,$E279,"")</f>
        <v/>
      </c>
      <c r="U279" s="386" t="str">
        <f>IF($A279=Input!$A$4,$F279,"")</f>
        <v/>
      </c>
      <c r="V279" s="323"/>
      <c r="W279" s="323"/>
      <c r="X279" s="323"/>
      <c r="Y279" s="323"/>
      <c r="Z279" s="323"/>
      <c r="AA279" s="387" t="str">
        <f>IF($A279=Input!$A$5,$B279,"")</f>
        <v/>
      </c>
      <c r="AB279" s="323" t="str">
        <f>IF($A279=Input!$A$5,$C279,"")</f>
        <v/>
      </c>
      <c r="AC279" s="323" t="str">
        <f>IF($A279=Input!$A$5,$D279,"")</f>
        <v/>
      </c>
      <c r="AD279" s="323" t="str">
        <f>IF($A279=Input!$A$5,$E279,"")</f>
        <v/>
      </c>
      <c r="AE279" s="386" t="str">
        <f>IF($A279=Input!$A$5,$F279,"")</f>
        <v/>
      </c>
      <c r="AF279" s="323"/>
      <c r="AG279" s="323"/>
      <c r="AH279" s="323"/>
      <c r="AI279" s="323"/>
      <c r="AJ279" s="323"/>
    </row>
    <row r="280" spans="1:36" x14ac:dyDescent="0.2">
      <c r="A280" s="250" t="str">
        <f>IF(BuffsDebuffs!$M276=1,BuffsDebuffs!G$2,"")</f>
        <v/>
      </c>
      <c r="B280" s="251" t="str">
        <f>IF(BuffsDebuffs!$M276=1,BuffsDebuffs!H$2,"")</f>
        <v/>
      </c>
      <c r="C280" s="251" t="str">
        <f>IF(BuffsDebuffs!$M276=1,BuffsDebuffs!I$2,"")</f>
        <v/>
      </c>
      <c r="D280" s="251" t="str">
        <f>IF(BuffsDebuffs!$M276=1,BuffsDebuffs!J$2,"")</f>
        <v/>
      </c>
      <c r="E280" s="251" t="str">
        <f>IF(BuffsDebuffs!$M276=1,BuffsDebuffs!K$2,"")</f>
        <v/>
      </c>
      <c r="F280" s="251" t="str">
        <f>IF(BuffsDebuffs!$M276=1,BuffsDebuffs!L$2,"")</f>
        <v/>
      </c>
      <c r="G280" s="387" t="str">
        <f>IF($A280=Input!$A$3,B280,"")</f>
        <v/>
      </c>
      <c r="H280" s="323" t="str">
        <f>IF($A280=Input!$A$3,C280,"")</f>
        <v/>
      </c>
      <c r="I280" s="323" t="str">
        <f>IF($A280=Input!$A$3,D280,"")</f>
        <v/>
      </c>
      <c r="J280" s="323" t="str">
        <f>IF($A280=Input!$A$3,E280,"")</f>
        <v/>
      </c>
      <c r="K280" s="386" t="str">
        <f>IF($A280=Input!$A$3,F280,"")</f>
        <v/>
      </c>
      <c r="L280" s="387"/>
      <c r="M280" s="323"/>
      <c r="N280" s="323"/>
      <c r="O280" s="323"/>
      <c r="P280" s="323"/>
      <c r="Q280" s="387" t="str">
        <f>IF($A280=Input!$A$4,$B280,"")</f>
        <v/>
      </c>
      <c r="R280" s="323" t="str">
        <f>IF($A280=Input!$A$4,$C280,"")</f>
        <v/>
      </c>
      <c r="S280" s="323" t="str">
        <f>IF($A280=Input!$A$4,$D280,"")</f>
        <v/>
      </c>
      <c r="T280" s="323" t="str">
        <f>IF($A280=Input!$A$4,$E280,"")</f>
        <v/>
      </c>
      <c r="U280" s="386" t="str">
        <f>IF($A280=Input!$A$4,$F280,"")</f>
        <v/>
      </c>
      <c r="V280" s="323"/>
      <c r="W280" s="323"/>
      <c r="X280" s="323"/>
      <c r="Y280" s="323"/>
      <c r="Z280" s="323"/>
      <c r="AA280" s="387" t="str">
        <f>IF($A280=Input!$A$5,$B280,"")</f>
        <v/>
      </c>
      <c r="AB280" s="323" t="str">
        <f>IF($A280=Input!$A$5,$C280,"")</f>
        <v/>
      </c>
      <c r="AC280" s="323" t="str">
        <f>IF($A280=Input!$A$5,$D280,"")</f>
        <v/>
      </c>
      <c r="AD280" s="323" t="str">
        <f>IF($A280=Input!$A$5,$E280,"")</f>
        <v/>
      </c>
      <c r="AE280" s="386" t="str">
        <f>IF($A280=Input!$A$5,$F280,"")</f>
        <v/>
      </c>
      <c r="AF280" s="323"/>
      <c r="AG280" s="323"/>
      <c r="AH280" s="323"/>
      <c r="AI280" s="323"/>
      <c r="AJ280" s="323"/>
    </row>
    <row r="281" spans="1:36" x14ac:dyDescent="0.2">
      <c r="A281" s="250" t="str">
        <f>IF(BuffsDebuffs!$M277=1,BuffsDebuffs!G$2,"")</f>
        <v/>
      </c>
      <c r="B281" s="251" t="str">
        <f>IF(BuffsDebuffs!$M277=1,BuffsDebuffs!H$2,"")</f>
        <v/>
      </c>
      <c r="C281" s="251" t="str">
        <f>IF(BuffsDebuffs!$M277=1,BuffsDebuffs!I$2,"")</f>
        <v/>
      </c>
      <c r="D281" s="251" t="str">
        <f>IF(BuffsDebuffs!$M277=1,BuffsDebuffs!J$2,"")</f>
        <v/>
      </c>
      <c r="E281" s="251" t="str">
        <f>IF(BuffsDebuffs!$M277=1,BuffsDebuffs!K$2,"")</f>
        <v/>
      </c>
      <c r="F281" s="251" t="str">
        <f>IF(BuffsDebuffs!$M277=1,BuffsDebuffs!L$2,"")</f>
        <v/>
      </c>
      <c r="G281" s="387" t="str">
        <f>IF($A281=Input!$A$3,B281,"")</f>
        <v/>
      </c>
      <c r="H281" s="323" t="str">
        <f>IF($A281=Input!$A$3,C281,"")</f>
        <v/>
      </c>
      <c r="I281" s="323" t="str">
        <f>IF($A281=Input!$A$3,D281,"")</f>
        <v/>
      </c>
      <c r="J281" s="323" t="str">
        <f>IF($A281=Input!$A$3,E281,"")</f>
        <v/>
      </c>
      <c r="K281" s="386" t="str">
        <f>IF($A281=Input!$A$3,F281,"")</f>
        <v/>
      </c>
      <c r="L281" s="387"/>
      <c r="M281" s="323"/>
      <c r="N281" s="323"/>
      <c r="O281" s="323"/>
      <c r="P281" s="323"/>
      <c r="Q281" s="387" t="str">
        <f>IF($A281=Input!$A$4,$B281,"")</f>
        <v/>
      </c>
      <c r="R281" s="323" t="str">
        <f>IF($A281=Input!$A$4,$C281,"")</f>
        <v/>
      </c>
      <c r="S281" s="323" t="str">
        <f>IF($A281=Input!$A$4,$D281,"")</f>
        <v/>
      </c>
      <c r="T281" s="323" t="str">
        <f>IF($A281=Input!$A$4,$E281,"")</f>
        <v/>
      </c>
      <c r="U281" s="386" t="str">
        <f>IF($A281=Input!$A$4,$F281,"")</f>
        <v/>
      </c>
      <c r="V281" s="323"/>
      <c r="W281" s="323"/>
      <c r="X281" s="323"/>
      <c r="Y281" s="323"/>
      <c r="Z281" s="323"/>
      <c r="AA281" s="387" t="str">
        <f>IF($A281=Input!$A$5,$B281,"")</f>
        <v/>
      </c>
      <c r="AB281" s="323" t="str">
        <f>IF($A281=Input!$A$5,$C281,"")</f>
        <v/>
      </c>
      <c r="AC281" s="323" t="str">
        <f>IF($A281=Input!$A$5,$D281,"")</f>
        <v/>
      </c>
      <c r="AD281" s="323" t="str">
        <f>IF($A281=Input!$A$5,$E281,"")</f>
        <v/>
      </c>
      <c r="AE281" s="386" t="str">
        <f>IF($A281=Input!$A$5,$F281,"")</f>
        <v/>
      </c>
      <c r="AF281" s="323"/>
      <c r="AG281" s="323"/>
      <c r="AH281" s="323"/>
      <c r="AI281" s="323"/>
      <c r="AJ281" s="323"/>
    </row>
    <row r="282" spans="1:36" x14ac:dyDescent="0.2">
      <c r="A282" s="250" t="str">
        <f>IF(BuffsDebuffs!$M278=1,BuffsDebuffs!G$2,"")</f>
        <v/>
      </c>
      <c r="B282" s="251" t="str">
        <f>IF(BuffsDebuffs!$M278=1,BuffsDebuffs!H$2,"")</f>
        <v/>
      </c>
      <c r="C282" s="251" t="str">
        <f>IF(BuffsDebuffs!$M278=1,BuffsDebuffs!I$2,"")</f>
        <v/>
      </c>
      <c r="D282" s="251" t="str">
        <f>IF(BuffsDebuffs!$M278=1,BuffsDebuffs!J$2,"")</f>
        <v/>
      </c>
      <c r="E282" s="251" t="str">
        <f>IF(BuffsDebuffs!$M278=1,BuffsDebuffs!K$2,"")</f>
        <v/>
      </c>
      <c r="F282" s="251" t="str">
        <f>IF(BuffsDebuffs!$M278=1,BuffsDebuffs!L$2,"")</f>
        <v/>
      </c>
      <c r="G282" s="387" t="str">
        <f>IF($A282=Input!$A$3,B282,"")</f>
        <v/>
      </c>
      <c r="H282" s="323" t="str">
        <f>IF($A282=Input!$A$3,C282,"")</f>
        <v/>
      </c>
      <c r="I282" s="323" t="str">
        <f>IF($A282=Input!$A$3,D282,"")</f>
        <v/>
      </c>
      <c r="J282" s="323" t="str">
        <f>IF($A282=Input!$A$3,E282,"")</f>
        <v/>
      </c>
      <c r="K282" s="386" t="str">
        <f>IF($A282=Input!$A$3,F282,"")</f>
        <v/>
      </c>
      <c r="L282" s="387"/>
      <c r="M282" s="323"/>
      <c r="N282" s="323"/>
      <c r="O282" s="323"/>
      <c r="P282" s="323"/>
      <c r="Q282" s="387" t="str">
        <f>IF($A282=Input!$A$4,$B282,"")</f>
        <v/>
      </c>
      <c r="R282" s="323" t="str">
        <f>IF($A282=Input!$A$4,$C282,"")</f>
        <v/>
      </c>
      <c r="S282" s="323" t="str">
        <f>IF($A282=Input!$A$4,$D282,"")</f>
        <v/>
      </c>
      <c r="T282" s="323" t="str">
        <f>IF($A282=Input!$A$4,$E282,"")</f>
        <v/>
      </c>
      <c r="U282" s="386" t="str">
        <f>IF($A282=Input!$A$4,$F282,"")</f>
        <v/>
      </c>
      <c r="V282" s="323"/>
      <c r="W282" s="323"/>
      <c r="X282" s="323"/>
      <c r="Y282" s="323"/>
      <c r="Z282" s="323"/>
      <c r="AA282" s="387" t="str">
        <f>IF($A282=Input!$A$5,$B282,"")</f>
        <v/>
      </c>
      <c r="AB282" s="323" t="str">
        <f>IF($A282=Input!$A$5,$C282,"")</f>
        <v/>
      </c>
      <c r="AC282" s="323" t="str">
        <f>IF($A282=Input!$A$5,$D282,"")</f>
        <v/>
      </c>
      <c r="AD282" s="323" t="str">
        <f>IF($A282=Input!$A$5,$E282,"")</f>
        <v/>
      </c>
      <c r="AE282" s="386" t="str">
        <f>IF($A282=Input!$A$5,$F282,"")</f>
        <v/>
      </c>
      <c r="AF282" s="323"/>
      <c r="AG282" s="323"/>
      <c r="AH282" s="323"/>
      <c r="AI282" s="323"/>
      <c r="AJ282" s="323"/>
    </row>
    <row r="283" spans="1:36" x14ac:dyDescent="0.2">
      <c r="A283" s="250" t="str">
        <f>IF(BuffsDebuffs!$M279=1,BuffsDebuffs!G$2,"")</f>
        <v/>
      </c>
      <c r="B283" s="251" t="str">
        <f>IF(BuffsDebuffs!$M279=1,BuffsDebuffs!H$2,"")</f>
        <v/>
      </c>
      <c r="C283" s="251" t="str">
        <f>IF(BuffsDebuffs!$M279=1,BuffsDebuffs!I$2,"")</f>
        <v/>
      </c>
      <c r="D283" s="251" t="str">
        <f>IF(BuffsDebuffs!$M279=1,BuffsDebuffs!J$2,"")</f>
        <v/>
      </c>
      <c r="E283" s="251" t="str">
        <f>IF(BuffsDebuffs!$M279=1,BuffsDebuffs!K$2,"")</f>
        <v/>
      </c>
      <c r="F283" s="251" t="str">
        <f>IF(BuffsDebuffs!$M279=1,BuffsDebuffs!L$2,"")</f>
        <v/>
      </c>
      <c r="G283" s="387" t="str">
        <f>IF($A283=Input!$A$3,B283,"")</f>
        <v/>
      </c>
      <c r="H283" s="323" t="str">
        <f>IF($A283=Input!$A$3,C283,"")</f>
        <v/>
      </c>
      <c r="I283" s="323" t="str">
        <f>IF($A283=Input!$A$3,D283,"")</f>
        <v/>
      </c>
      <c r="J283" s="323" t="str">
        <f>IF($A283=Input!$A$3,E283,"")</f>
        <v/>
      </c>
      <c r="K283" s="386" t="str">
        <f>IF($A283=Input!$A$3,F283,"")</f>
        <v/>
      </c>
      <c r="L283" s="387"/>
      <c r="M283" s="323"/>
      <c r="N283" s="323"/>
      <c r="O283" s="323"/>
      <c r="P283" s="323"/>
      <c r="Q283" s="387" t="str">
        <f>IF($A283=Input!$A$4,$B283,"")</f>
        <v/>
      </c>
      <c r="R283" s="323" t="str">
        <f>IF($A283=Input!$A$4,$C283,"")</f>
        <v/>
      </c>
      <c r="S283" s="323" t="str">
        <f>IF($A283=Input!$A$4,$D283,"")</f>
        <v/>
      </c>
      <c r="T283" s="323" t="str">
        <f>IF($A283=Input!$A$4,$E283,"")</f>
        <v/>
      </c>
      <c r="U283" s="386" t="str">
        <f>IF($A283=Input!$A$4,$F283,"")</f>
        <v/>
      </c>
      <c r="V283" s="323"/>
      <c r="W283" s="323"/>
      <c r="X283" s="323"/>
      <c r="Y283" s="323"/>
      <c r="Z283" s="323"/>
      <c r="AA283" s="387" t="str">
        <f>IF($A283=Input!$A$5,$B283,"")</f>
        <v/>
      </c>
      <c r="AB283" s="323" t="str">
        <f>IF($A283=Input!$A$5,$C283,"")</f>
        <v/>
      </c>
      <c r="AC283" s="323" t="str">
        <f>IF($A283=Input!$A$5,$D283,"")</f>
        <v/>
      </c>
      <c r="AD283" s="323" t="str">
        <f>IF($A283=Input!$A$5,$E283,"")</f>
        <v/>
      </c>
      <c r="AE283" s="386" t="str">
        <f>IF($A283=Input!$A$5,$F283,"")</f>
        <v/>
      </c>
      <c r="AF283" s="323"/>
      <c r="AG283" s="323"/>
      <c r="AH283" s="323"/>
      <c r="AI283" s="323"/>
      <c r="AJ283" s="323"/>
    </row>
    <row r="284" spans="1:36" x14ac:dyDescent="0.2">
      <c r="A284" s="250" t="str">
        <f>IF(BuffsDebuffs!$M280=1,BuffsDebuffs!G$2,"")</f>
        <v/>
      </c>
      <c r="B284" s="251" t="str">
        <f>IF(BuffsDebuffs!$M280=1,BuffsDebuffs!H$2,"")</f>
        <v/>
      </c>
      <c r="C284" s="251" t="str">
        <f>IF(BuffsDebuffs!$M280=1,BuffsDebuffs!I$2,"")</f>
        <v/>
      </c>
      <c r="D284" s="251" t="str">
        <f>IF(BuffsDebuffs!$M280=1,BuffsDebuffs!J$2,"")</f>
        <v/>
      </c>
      <c r="E284" s="251" t="str">
        <f>IF(BuffsDebuffs!$M280=1,BuffsDebuffs!K$2,"")</f>
        <v/>
      </c>
      <c r="F284" s="251" t="str">
        <f>IF(BuffsDebuffs!$M280=1,BuffsDebuffs!L$2,"")</f>
        <v/>
      </c>
      <c r="G284" s="387" t="str">
        <f>IF($A284=Input!$A$3,B284,"")</f>
        <v/>
      </c>
      <c r="H284" s="323" t="str">
        <f>IF($A284=Input!$A$3,C284,"")</f>
        <v/>
      </c>
      <c r="I284" s="323" t="str">
        <f>IF($A284=Input!$A$3,D284,"")</f>
        <v/>
      </c>
      <c r="J284" s="323" t="str">
        <f>IF($A284=Input!$A$3,E284,"")</f>
        <v/>
      </c>
      <c r="K284" s="386" t="str">
        <f>IF($A284=Input!$A$3,F284,"")</f>
        <v/>
      </c>
      <c r="L284" s="387"/>
      <c r="M284" s="323"/>
      <c r="N284" s="323"/>
      <c r="O284" s="323"/>
      <c r="P284" s="323"/>
      <c r="Q284" s="387" t="str">
        <f>IF($A284=Input!$A$4,$B284,"")</f>
        <v/>
      </c>
      <c r="R284" s="323" t="str">
        <f>IF($A284=Input!$A$4,$C284,"")</f>
        <v/>
      </c>
      <c r="S284" s="323" t="str">
        <f>IF($A284=Input!$A$4,$D284,"")</f>
        <v/>
      </c>
      <c r="T284" s="323" t="str">
        <f>IF($A284=Input!$A$4,$E284,"")</f>
        <v/>
      </c>
      <c r="U284" s="386" t="str">
        <f>IF($A284=Input!$A$4,$F284,"")</f>
        <v/>
      </c>
      <c r="V284" s="323"/>
      <c r="W284" s="323"/>
      <c r="X284" s="323"/>
      <c r="Y284" s="323"/>
      <c r="Z284" s="323"/>
      <c r="AA284" s="387" t="str">
        <f>IF($A284=Input!$A$5,$B284,"")</f>
        <v/>
      </c>
      <c r="AB284" s="323" t="str">
        <f>IF($A284=Input!$A$5,$C284,"")</f>
        <v/>
      </c>
      <c r="AC284" s="323" t="str">
        <f>IF($A284=Input!$A$5,$D284,"")</f>
        <v/>
      </c>
      <c r="AD284" s="323" t="str">
        <f>IF($A284=Input!$A$5,$E284,"")</f>
        <v/>
      </c>
      <c r="AE284" s="386" t="str">
        <f>IF($A284=Input!$A$5,$F284,"")</f>
        <v/>
      </c>
      <c r="AF284" s="323"/>
      <c r="AG284" s="323"/>
      <c r="AH284" s="323"/>
      <c r="AI284" s="323"/>
      <c r="AJ284" s="323"/>
    </row>
    <row r="285" spans="1:36" x14ac:dyDescent="0.2">
      <c r="A285" s="250" t="str">
        <f>IF(BuffsDebuffs!$M281=1,BuffsDebuffs!G$2,"")</f>
        <v/>
      </c>
      <c r="B285" s="251" t="str">
        <f>IF(BuffsDebuffs!$M281=1,BuffsDebuffs!H$2,"")</f>
        <v/>
      </c>
      <c r="C285" s="251" t="str">
        <f>IF(BuffsDebuffs!$M281=1,BuffsDebuffs!I$2,"")</f>
        <v/>
      </c>
      <c r="D285" s="251" t="str">
        <f>IF(BuffsDebuffs!$M281=1,BuffsDebuffs!J$2,"")</f>
        <v/>
      </c>
      <c r="E285" s="251" t="str">
        <f>IF(BuffsDebuffs!$M281=1,BuffsDebuffs!K$2,"")</f>
        <v/>
      </c>
      <c r="F285" s="251" t="str">
        <f>IF(BuffsDebuffs!$M281=1,BuffsDebuffs!L$2,"")</f>
        <v/>
      </c>
      <c r="G285" s="387" t="str">
        <f>IF($A285=Input!$A$3,B285,"")</f>
        <v/>
      </c>
      <c r="H285" s="323" t="str">
        <f>IF($A285=Input!$A$3,C285,"")</f>
        <v/>
      </c>
      <c r="I285" s="323" t="str">
        <f>IF($A285=Input!$A$3,D285,"")</f>
        <v/>
      </c>
      <c r="J285" s="323" t="str">
        <f>IF($A285=Input!$A$3,E285,"")</f>
        <v/>
      </c>
      <c r="K285" s="386" t="str">
        <f>IF($A285=Input!$A$3,F285,"")</f>
        <v/>
      </c>
      <c r="L285" s="387"/>
      <c r="M285" s="323"/>
      <c r="N285" s="323"/>
      <c r="O285" s="323"/>
      <c r="P285" s="323"/>
      <c r="Q285" s="387" t="str">
        <f>IF($A285=Input!$A$4,$B285,"")</f>
        <v/>
      </c>
      <c r="R285" s="323" t="str">
        <f>IF($A285=Input!$A$4,$C285,"")</f>
        <v/>
      </c>
      <c r="S285" s="323" t="str">
        <f>IF($A285=Input!$A$4,$D285,"")</f>
        <v/>
      </c>
      <c r="T285" s="323" t="str">
        <f>IF($A285=Input!$A$4,$E285,"")</f>
        <v/>
      </c>
      <c r="U285" s="386" t="str">
        <f>IF($A285=Input!$A$4,$F285,"")</f>
        <v/>
      </c>
      <c r="V285" s="323"/>
      <c r="W285" s="323"/>
      <c r="X285" s="323"/>
      <c r="Y285" s="323"/>
      <c r="Z285" s="323"/>
      <c r="AA285" s="387" t="str">
        <f>IF($A285=Input!$A$5,$B285,"")</f>
        <v/>
      </c>
      <c r="AB285" s="323" t="str">
        <f>IF($A285=Input!$A$5,$C285,"")</f>
        <v/>
      </c>
      <c r="AC285" s="323" t="str">
        <f>IF($A285=Input!$A$5,$D285,"")</f>
        <v/>
      </c>
      <c r="AD285" s="323" t="str">
        <f>IF($A285=Input!$A$5,$E285,"")</f>
        <v/>
      </c>
      <c r="AE285" s="386" t="str">
        <f>IF($A285=Input!$A$5,$F285,"")</f>
        <v/>
      </c>
      <c r="AF285" s="323"/>
      <c r="AG285" s="323"/>
      <c r="AH285" s="323"/>
      <c r="AI285" s="323"/>
      <c r="AJ285" s="323"/>
    </row>
    <row r="286" spans="1:36" x14ac:dyDescent="0.2">
      <c r="A286" s="250" t="str">
        <f>IF(BuffsDebuffs!$M282=1,BuffsDebuffs!G$2,"")</f>
        <v/>
      </c>
      <c r="B286" s="251" t="str">
        <f>IF(BuffsDebuffs!$M282=1,BuffsDebuffs!H$2,"")</f>
        <v/>
      </c>
      <c r="C286" s="251" t="str">
        <f>IF(BuffsDebuffs!$M282=1,BuffsDebuffs!I$2,"")</f>
        <v/>
      </c>
      <c r="D286" s="251" t="str">
        <f>IF(BuffsDebuffs!$M282=1,BuffsDebuffs!J$2,"")</f>
        <v/>
      </c>
      <c r="E286" s="251" t="str">
        <f>IF(BuffsDebuffs!$M282=1,BuffsDebuffs!K$2,"")</f>
        <v/>
      </c>
      <c r="F286" s="251" t="str">
        <f>IF(BuffsDebuffs!$M282=1,BuffsDebuffs!L$2,"")</f>
        <v/>
      </c>
      <c r="G286" s="387" t="str">
        <f>IF($A286=Input!$A$3,B286,"")</f>
        <v/>
      </c>
      <c r="H286" s="323" t="str">
        <f>IF($A286=Input!$A$3,C286,"")</f>
        <v/>
      </c>
      <c r="I286" s="323" t="str">
        <f>IF($A286=Input!$A$3,D286,"")</f>
        <v/>
      </c>
      <c r="J286" s="323" t="str">
        <f>IF($A286=Input!$A$3,E286,"")</f>
        <v/>
      </c>
      <c r="K286" s="386" t="str">
        <f>IF($A286=Input!$A$3,F286,"")</f>
        <v/>
      </c>
      <c r="L286" s="387"/>
      <c r="M286" s="323"/>
      <c r="N286" s="323"/>
      <c r="O286" s="323"/>
      <c r="P286" s="323"/>
      <c r="Q286" s="387" t="str">
        <f>IF($A286=Input!$A$4,$B286,"")</f>
        <v/>
      </c>
      <c r="R286" s="323" t="str">
        <f>IF($A286=Input!$A$4,$C286,"")</f>
        <v/>
      </c>
      <c r="S286" s="323" t="str">
        <f>IF($A286=Input!$A$4,$D286,"")</f>
        <v/>
      </c>
      <c r="T286" s="323" t="str">
        <f>IF($A286=Input!$A$4,$E286,"")</f>
        <v/>
      </c>
      <c r="U286" s="386" t="str">
        <f>IF($A286=Input!$A$4,$F286,"")</f>
        <v/>
      </c>
      <c r="V286" s="323"/>
      <c r="W286" s="323"/>
      <c r="X286" s="323"/>
      <c r="Y286" s="323"/>
      <c r="Z286" s="323"/>
      <c r="AA286" s="387" t="str">
        <f>IF($A286=Input!$A$5,$B286,"")</f>
        <v/>
      </c>
      <c r="AB286" s="323" t="str">
        <f>IF($A286=Input!$A$5,$C286,"")</f>
        <v/>
      </c>
      <c r="AC286" s="323" t="str">
        <f>IF($A286=Input!$A$5,$D286,"")</f>
        <v/>
      </c>
      <c r="AD286" s="323" t="str">
        <f>IF($A286=Input!$A$5,$E286,"")</f>
        <v/>
      </c>
      <c r="AE286" s="386" t="str">
        <f>IF($A286=Input!$A$5,$F286,"")</f>
        <v/>
      </c>
      <c r="AF286" s="323"/>
      <c r="AG286" s="323"/>
      <c r="AH286" s="323"/>
      <c r="AI286" s="323"/>
      <c r="AJ286" s="323"/>
    </row>
    <row r="287" spans="1:36" x14ac:dyDescent="0.2">
      <c r="A287" s="250" t="str">
        <f>IF(BuffsDebuffs!$M283=1,BuffsDebuffs!G$2,"")</f>
        <v/>
      </c>
      <c r="B287" s="251" t="str">
        <f>IF(BuffsDebuffs!$M283=1,BuffsDebuffs!H$2,"")</f>
        <v/>
      </c>
      <c r="C287" s="251" t="str">
        <f>IF(BuffsDebuffs!$M283=1,BuffsDebuffs!I$2,"")</f>
        <v/>
      </c>
      <c r="D287" s="251" t="str">
        <f>IF(BuffsDebuffs!$M283=1,BuffsDebuffs!J$2,"")</f>
        <v/>
      </c>
      <c r="E287" s="251" t="str">
        <f>IF(BuffsDebuffs!$M283=1,BuffsDebuffs!K$2,"")</f>
        <v/>
      </c>
      <c r="F287" s="251" t="str">
        <f>IF(BuffsDebuffs!$M283=1,BuffsDebuffs!L$2,"")</f>
        <v/>
      </c>
      <c r="G287" s="387" t="str">
        <f>IF($A287=Input!$A$3,B287,"")</f>
        <v/>
      </c>
      <c r="H287" s="323" t="str">
        <f>IF($A287=Input!$A$3,C287,"")</f>
        <v/>
      </c>
      <c r="I287" s="323" t="str">
        <f>IF($A287=Input!$A$3,D287,"")</f>
        <v/>
      </c>
      <c r="J287" s="323" t="str">
        <f>IF($A287=Input!$A$3,E287,"")</f>
        <v/>
      </c>
      <c r="K287" s="386" t="str">
        <f>IF($A287=Input!$A$3,F287,"")</f>
        <v/>
      </c>
      <c r="L287" s="387"/>
      <c r="M287" s="323"/>
      <c r="N287" s="323"/>
      <c r="O287" s="323"/>
      <c r="P287" s="323"/>
      <c r="Q287" s="387" t="str">
        <f>IF($A287=Input!$A$4,$B287,"")</f>
        <v/>
      </c>
      <c r="R287" s="323" t="str">
        <f>IF($A287=Input!$A$4,$C287,"")</f>
        <v/>
      </c>
      <c r="S287" s="323" t="str">
        <f>IF($A287=Input!$A$4,$D287,"")</f>
        <v/>
      </c>
      <c r="T287" s="323" t="str">
        <f>IF($A287=Input!$A$4,$E287,"")</f>
        <v/>
      </c>
      <c r="U287" s="386" t="str">
        <f>IF($A287=Input!$A$4,$F287,"")</f>
        <v/>
      </c>
      <c r="V287" s="323"/>
      <c r="W287" s="323"/>
      <c r="X287" s="323"/>
      <c r="Y287" s="323"/>
      <c r="Z287" s="323"/>
      <c r="AA287" s="387" t="str">
        <f>IF($A287=Input!$A$5,$B287,"")</f>
        <v/>
      </c>
      <c r="AB287" s="323" t="str">
        <f>IF($A287=Input!$A$5,$C287,"")</f>
        <v/>
      </c>
      <c r="AC287" s="323" t="str">
        <f>IF($A287=Input!$A$5,$D287,"")</f>
        <v/>
      </c>
      <c r="AD287" s="323" t="str">
        <f>IF($A287=Input!$A$5,$E287,"")</f>
        <v/>
      </c>
      <c r="AE287" s="386" t="str">
        <f>IF($A287=Input!$A$5,$F287,"")</f>
        <v/>
      </c>
      <c r="AF287" s="323"/>
      <c r="AG287" s="323"/>
      <c r="AH287" s="323"/>
      <c r="AI287" s="323"/>
      <c r="AJ287" s="323"/>
    </row>
    <row r="288" spans="1:36" x14ac:dyDescent="0.2">
      <c r="A288" s="250" t="str">
        <f>IF(BuffsDebuffs!$M284=1,BuffsDebuffs!G$2,"")</f>
        <v/>
      </c>
      <c r="B288" s="251" t="str">
        <f>IF(BuffsDebuffs!$M284=1,BuffsDebuffs!H$2,"")</f>
        <v/>
      </c>
      <c r="C288" s="251" t="str">
        <f>IF(BuffsDebuffs!$M284=1,BuffsDebuffs!I$2,"")</f>
        <v/>
      </c>
      <c r="D288" s="251" t="str">
        <f>IF(BuffsDebuffs!$M284=1,BuffsDebuffs!J$2,"")</f>
        <v/>
      </c>
      <c r="E288" s="251" t="str">
        <f>IF(BuffsDebuffs!$M284=1,BuffsDebuffs!K$2,"")</f>
        <v/>
      </c>
      <c r="F288" s="251" t="str">
        <f>IF(BuffsDebuffs!$M284=1,BuffsDebuffs!L$2,"")</f>
        <v/>
      </c>
      <c r="G288" s="387" t="str">
        <f>IF($A288=Input!$A$3,B288,"")</f>
        <v/>
      </c>
      <c r="H288" s="323" t="str">
        <f>IF($A288=Input!$A$3,C288,"")</f>
        <v/>
      </c>
      <c r="I288" s="323" t="str">
        <f>IF($A288=Input!$A$3,D288,"")</f>
        <v/>
      </c>
      <c r="J288" s="323" t="str">
        <f>IF($A288=Input!$A$3,E288,"")</f>
        <v/>
      </c>
      <c r="K288" s="386" t="str">
        <f>IF($A288=Input!$A$3,F288,"")</f>
        <v/>
      </c>
      <c r="L288" s="387"/>
      <c r="M288" s="323"/>
      <c r="N288" s="323"/>
      <c r="O288" s="323"/>
      <c r="P288" s="323"/>
      <c r="Q288" s="387" t="str">
        <f>IF($A288=Input!$A$4,$B288,"")</f>
        <v/>
      </c>
      <c r="R288" s="323" t="str">
        <f>IF($A288=Input!$A$4,$C288,"")</f>
        <v/>
      </c>
      <c r="S288" s="323" t="str">
        <f>IF($A288=Input!$A$4,$D288,"")</f>
        <v/>
      </c>
      <c r="T288" s="323" t="str">
        <f>IF($A288=Input!$A$4,$E288,"")</f>
        <v/>
      </c>
      <c r="U288" s="386" t="str">
        <f>IF($A288=Input!$A$4,$F288,"")</f>
        <v/>
      </c>
      <c r="V288" s="323"/>
      <c r="W288" s="323"/>
      <c r="X288" s="323"/>
      <c r="Y288" s="323"/>
      <c r="Z288" s="323"/>
      <c r="AA288" s="387" t="str">
        <f>IF($A288=Input!$A$5,$B288,"")</f>
        <v/>
      </c>
      <c r="AB288" s="323" t="str">
        <f>IF($A288=Input!$A$5,$C288,"")</f>
        <v/>
      </c>
      <c r="AC288" s="323" t="str">
        <f>IF($A288=Input!$A$5,$D288,"")</f>
        <v/>
      </c>
      <c r="AD288" s="323" t="str">
        <f>IF($A288=Input!$A$5,$E288,"")</f>
        <v/>
      </c>
      <c r="AE288" s="386" t="str">
        <f>IF($A288=Input!$A$5,$F288,"")</f>
        <v/>
      </c>
      <c r="AF288" s="323"/>
      <c r="AG288" s="323"/>
      <c r="AH288" s="323"/>
      <c r="AI288" s="323"/>
      <c r="AJ288" s="323"/>
    </row>
    <row r="289" spans="1:36" x14ac:dyDescent="0.2">
      <c r="A289" s="250" t="str">
        <f>IF(BuffsDebuffs!$M285=1,BuffsDebuffs!G$2,"")</f>
        <v/>
      </c>
      <c r="B289" s="251" t="str">
        <f>IF(BuffsDebuffs!$M285=1,BuffsDebuffs!H$2,"")</f>
        <v/>
      </c>
      <c r="C289" s="251" t="str">
        <f>IF(BuffsDebuffs!$M285=1,BuffsDebuffs!I$2,"")</f>
        <v/>
      </c>
      <c r="D289" s="251" t="str">
        <f>IF(BuffsDebuffs!$M285=1,BuffsDebuffs!J$2,"")</f>
        <v/>
      </c>
      <c r="E289" s="251" t="str">
        <f>IF(BuffsDebuffs!$M285=1,BuffsDebuffs!K$2,"")</f>
        <v/>
      </c>
      <c r="F289" s="251" t="str">
        <f>IF(BuffsDebuffs!$M285=1,BuffsDebuffs!L$2,"")</f>
        <v/>
      </c>
      <c r="G289" s="387" t="str">
        <f>IF($A289=Input!$A$3,B289,"")</f>
        <v/>
      </c>
      <c r="H289" s="323" t="str">
        <f>IF($A289=Input!$A$3,C289,"")</f>
        <v/>
      </c>
      <c r="I289" s="323" t="str">
        <f>IF($A289=Input!$A$3,D289,"")</f>
        <v/>
      </c>
      <c r="J289" s="323" t="str">
        <f>IF($A289=Input!$A$3,E289,"")</f>
        <v/>
      </c>
      <c r="K289" s="386" t="str">
        <f>IF($A289=Input!$A$3,F289,"")</f>
        <v/>
      </c>
      <c r="L289" s="387"/>
      <c r="M289" s="323"/>
      <c r="N289" s="323"/>
      <c r="O289" s="323"/>
      <c r="P289" s="323"/>
      <c r="Q289" s="387" t="str">
        <f>IF($A289=Input!$A$4,$B289,"")</f>
        <v/>
      </c>
      <c r="R289" s="323" t="str">
        <f>IF($A289=Input!$A$4,$C289,"")</f>
        <v/>
      </c>
      <c r="S289" s="323" t="str">
        <f>IF($A289=Input!$A$4,$D289,"")</f>
        <v/>
      </c>
      <c r="T289" s="323" t="str">
        <f>IF($A289=Input!$A$4,$E289,"")</f>
        <v/>
      </c>
      <c r="U289" s="386" t="str">
        <f>IF($A289=Input!$A$4,$F289,"")</f>
        <v/>
      </c>
      <c r="V289" s="323"/>
      <c r="W289" s="323"/>
      <c r="X289" s="323"/>
      <c r="Y289" s="323"/>
      <c r="Z289" s="323"/>
      <c r="AA289" s="387" t="str">
        <f>IF($A289=Input!$A$5,$B289,"")</f>
        <v/>
      </c>
      <c r="AB289" s="323" t="str">
        <f>IF($A289=Input!$A$5,$C289,"")</f>
        <v/>
      </c>
      <c r="AC289" s="323" t="str">
        <f>IF($A289=Input!$A$5,$D289,"")</f>
        <v/>
      </c>
      <c r="AD289" s="323" t="str">
        <f>IF($A289=Input!$A$5,$E289,"")</f>
        <v/>
      </c>
      <c r="AE289" s="386" t="str">
        <f>IF($A289=Input!$A$5,$F289,"")</f>
        <v/>
      </c>
      <c r="AF289" s="323"/>
      <c r="AG289" s="323"/>
      <c r="AH289" s="323"/>
      <c r="AI289" s="323"/>
      <c r="AJ289" s="323"/>
    </row>
    <row r="290" spans="1:36" x14ac:dyDescent="0.2">
      <c r="A290" s="250" t="str">
        <f>IF(BuffsDebuffs!$M286=1,BuffsDebuffs!G$2,"")</f>
        <v/>
      </c>
      <c r="B290" s="251" t="str">
        <f>IF(BuffsDebuffs!$M286=1,BuffsDebuffs!H$2,"")</f>
        <v/>
      </c>
      <c r="C290" s="251" t="str">
        <f>IF(BuffsDebuffs!$M286=1,BuffsDebuffs!I$2,"")</f>
        <v/>
      </c>
      <c r="D290" s="251" t="str">
        <f>IF(BuffsDebuffs!$M286=1,BuffsDebuffs!J$2,"")</f>
        <v/>
      </c>
      <c r="E290" s="251" t="str">
        <f>IF(BuffsDebuffs!$M286=1,BuffsDebuffs!K$2,"")</f>
        <v/>
      </c>
      <c r="F290" s="251" t="str">
        <f>IF(BuffsDebuffs!$M286=1,BuffsDebuffs!L$2,"")</f>
        <v/>
      </c>
      <c r="G290" s="387" t="str">
        <f>IF($A290=Input!$A$3,B290,"")</f>
        <v/>
      </c>
      <c r="H290" s="323" t="str">
        <f>IF($A290=Input!$A$3,C290,"")</f>
        <v/>
      </c>
      <c r="I290" s="323" t="str">
        <f>IF($A290=Input!$A$3,D290,"")</f>
        <v/>
      </c>
      <c r="J290" s="323" t="str">
        <f>IF($A290=Input!$A$3,E290,"")</f>
        <v/>
      </c>
      <c r="K290" s="386" t="str">
        <f>IF($A290=Input!$A$3,F290,"")</f>
        <v/>
      </c>
      <c r="L290" s="387"/>
      <c r="M290" s="323"/>
      <c r="N290" s="323"/>
      <c r="O290" s="323"/>
      <c r="P290" s="323"/>
      <c r="Q290" s="387" t="str">
        <f>IF($A290=Input!$A$4,$B290,"")</f>
        <v/>
      </c>
      <c r="R290" s="323" t="str">
        <f>IF($A290=Input!$A$4,$C290,"")</f>
        <v/>
      </c>
      <c r="S290" s="323" t="str">
        <f>IF($A290=Input!$A$4,$D290,"")</f>
        <v/>
      </c>
      <c r="T290" s="323" t="str">
        <f>IF($A290=Input!$A$4,$E290,"")</f>
        <v/>
      </c>
      <c r="U290" s="386" t="str">
        <f>IF($A290=Input!$A$4,$F290,"")</f>
        <v/>
      </c>
      <c r="V290" s="323"/>
      <c r="W290" s="323"/>
      <c r="X290" s="323"/>
      <c r="Y290" s="323"/>
      <c r="Z290" s="323"/>
      <c r="AA290" s="387" t="str">
        <f>IF($A290=Input!$A$5,$B290,"")</f>
        <v/>
      </c>
      <c r="AB290" s="323" t="str">
        <f>IF($A290=Input!$A$5,$C290,"")</f>
        <v/>
      </c>
      <c r="AC290" s="323" t="str">
        <f>IF($A290=Input!$A$5,$D290,"")</f>
        <v/>
      </c>
      <c r="AD290" s="323" t="str">
        <f>IF($A290=Input!$A$5,$E290,"")</f>
        <v/>
      </c>
      <c r="AE290" s="386" t="str">
        <f>IF($A290=Input!$A$5,$F290,"")</f>
        <v/>
      </c>
      <c r="AF290" s="323"/>
      <c r="AG290" s="323"/>
      <c r="AH290" s="323"/>
      <c r="AI290" s="323"/>
      <c r="AJ290" s="323"/>
    </row>
    <row r="291" spans="1:36" x14ac:dyDescent="0.2">
      <c r="A291" s="250" t="str">
        <f>IF(BuffsDebuffs!$M287=1,BuffsDebuffs!G$2,"")</f>
        <v/>
      </c>
      <c r="B291" s="251" t="str">
        <f>IF(BuffsDebuffs!$M287=1,BuffsDebuffs!H$2,"")</f>
        <v/>
      </c>
      <c r="C291" s="251" t="str">
        <f>IF(BuffsDebuffs!$M287=1,BuffsDebuffs!I$2,"")</f>
        <v/>
      </c>
      <c r="D291" s="251" t="str">
        <f>IF(BuffsDebuffs!$M287=1,BuffsDebuffs!J$2,"")</f>
        <v/>
      </c>
      <c r="E291" s="251" t="str">
        <f>IF(BuffsDebuffs!$M287=1,BuffsDebuffs!K$2,"")</f>
        <v/>
      </c>
      <c r="F291" s="251" t="str">
        <f>IF(BuffsDebuffs!$M287=1,BuffsDebuffs!L$2,"")</f>
        <v/>
      </c>
      <c r="G291" s="387" t="str">
        <f>IF($A291=Input!$A$3,B291,"")</f>
        <v/>
      </c>
      <c r="H291" s="323" t="str">
        <f>IF($A291=Input!$A$3,C291,"")</f>
        <v/>
      </c>
      <c r="I291" s="323" t="str">
        <f>IF($A291=Input!$A$3,D291,"")</f>
        <v/>
      </c>
      <c r="J291" s="323" t="str">
        <f>IF($A291=Input!$A$3,E291,"")</f>
        <v/>
      </c>
      <c r="K291" s="386" t="str">
        <f>IF($A291=Input!$A$3,F291,"")</f>
        <v/>
      </c>
      <c r="L291" s="387"/>
      <c r="M291" s="323"/>
      <c r="N291" s="323"/>
      <c r="O291" s="323"/>
      <c r="P291" s="323"/>
      <c r="Q291" s="387" t="str">
        <f>IF($A291=Input!$A$4,$B291,"")</f>
        <v/>
      </c>
      <c r="R291" s="323" t="str">
        <f>IF($A291=Input!$A$4,$C291,"")</f>
        <v/>
      </c>
      <c r="S291" s="323" t="str">
        <f>IF($A291=Input!$A$4,$D291,"")</f>
        <v/>
      </c>
      <c r="T291" s="323" t="str">
        <f>IF($A291=Input!$A$4,$E291,"")</f>
        <v/>
      </c>
      <c r="U291" s="386" t="str">
        <f>IF($A291=Input!$A$4,$F291,"")</f>
        <v/>
      </c>
      <c r="V291" s="323"/>
      <c r="W291" s="323"/>
      <c r="X291" s="323"/>
      <c r="Y291" s="323"/>
      <c r="Z291" s="323"/>
      <c r="AA291" s="387" t="str">
        <f>IF($A291=Input!$A$5,$B291,"")</f>
        <v/>
      </c>
      <c r="AB291" s="323" t="str">
        <f>IF($A291=Input!$A$5,$C291,"")</f>
        <v/>
      </c>
      <c r="AC291" s="323" t="str">
        <f>IF($A291=Input!$A$5,$D291,"")</f>
        <v/>
      </c>
      <c r="AD291" s="323" t="str">
        <f>IF($A291=Input!$A$5,$E291,"")</f>
        <v/>
      </c>
      <c r="AE291" s="386" t="str">
        <f>IF($A291=Input!$A$5,$F291,"")</f>
        <v/>
      </c>
      <c r="AF291" s="323"/>
      <c r="AG291" s="323"/>
      <c r="AH291" s="323"/>
      <c r="AI291" s="323"/>
      <c r="AJ291" s="323"/>
    </row>
    <row r="292" spans="1:36" x14ac:dyDescent="0.2">
      <c r="A292" s="250" t="str">
        <f>IF(BuffsDebuffs!$M288=1,BuffsDebuffs!G$2,"")</f>
        <v/>
      </c>
      <c r="B292" s="251" t="str">
        <f>IF(BuffsDebuffs!$M288=1,BuffsDebuffs!H$2,"")</f>
        <v/>
      </c>
      <c r="C292" s="251" t="str">
        <f>IF(BuffsDebuffs!$M288=1,BuffsDebuffs!I$2,"")</f>
        <v/>
      </c>
      <c r="D292" s="251" t="str">
        <f>IF(BuffsDebuffs!$M288=1,BuffsDebuffs!J$2,"")</f>
        <v/>
      </c>
      <c r="E292" s="251" t="str">
        <f>IF(BuffsDebuffs!$M288=1,BuffsDebuffs!K$2,"")</f>
        <v/>
      </c>
      <c r="F292" s="251" t="str">
        <f>IF(BuffsDebuffs!$M288=1,BuffsDebuffs!L$2,"")</f>
        <v/>
      </c>
      <c r="G292" s="387" t="str">
        <f>IF($A292=Input!$A$3,B292,"")</f>
        <v/>
      </c>
      <c r="H292" s="323" t="str">
        <f>IF($A292=Input!$A$3,C292,"")</f>
        <v/>
      </c>
      <c r="I292" s="323" t="str">
        <f>IF($A292=Input!$A$3,D292,"")</f>
        <v/>
      </c>
      <c r="J292" s="323" t="str">
        <f>IF($A292=Input!$A$3,E292,"")</f>
        <v/>
      </c>
      <c r="K292" s="386" t="str">
        <f>IF($A292=Input!$A$3,F292,"")</f>
        <v/>
      </c>
      <c r="L292" s="387"/>
      <c r="M292" s="323"/>
      <c r="N292" s="323"/>
      <c r="O292" s="323"/>
      <c r="P292" s="323"/>
      <c r="Q292" s="387" t="str">
        <f>IF($A292=Input!$A$4,$B292,"")</f>
        <v/>
      </c>
      <c r="R292" s="323" t="str">
        <f>IF($A292=Input!$A$4,$C292,"")</f>
        <v/>
      </c>
      <c r="S292" s="323" t="str">
        <f>IF($A292=Input!$A$4,$D292,"")</f>
        <v/>
      </c>
      <c r="T292" s="323" t="str">
        <f>IF($A292=Input!$A$4,$E292,"")</f>
        <v/>
      </c>
      <c r="U292" s="386" t="str">
        <f>IF($A292=Input!$A$4,$F292,"")</f>
        <v/>
      </c>
      <c r="V292" s="323"/>
      <c r="W292" s="323"/>
      <c r="X292" s="323"/>
      <c r="Y292" s="323"/>
      <c r="Z292" s="323"/>
      <c r="AA292" s="387" t="str">
        <f>IF($A292=Input!$A$5,$B292,"")</f>
        <v/>
      </c>
      <c r="AB292" s="323" t="str">
        <f>IF($A292=Input!$A$5,$C292,"")</f>
        <v/>
      </c>
      <c r="AC292" s="323" t="str">
        <f>IF($A292=Input!$A$5,$D292,"")</f>
        <v/>
      </c>
      <c r="AD292" s="323" t="str">
        <f>IF($A292=Input!$A$5,$E292,"")</f>
        <v/>
      </c>
      <c r="AE292" s="386" t="str">
        <f>IF($A292=Input!$A$5,$F292,"")</f>
        <v/>
      </c>
      <c r="AF292" s="323"/>
      <c r="AG292" s="323"/>
      <c r="AH292" s="323"/>
      <c r="AI292" s="323"/>
      <c r="AJ292" s="323"/>
    </row>
    <row r="293" spans="1:36" x14ac:dyDescent="0.2">
      <c r="A293" s="250" t="str">
        <f>IF(BuffsDebuffs!$M289=1,BuffsDebuffs!G$2,"")</f>
        <v/>
      </c>
      <c r="B293" s="251" t="str">
        <f>IF(BuffsDebuffs!$M289=1,BuffsDebuffs!H$2,"")</f>
        <v/>
      </c>
      <c r="C293" s="251" t="str">
        <f>IF(BuffsDebuffs!$M289=1,BuffsDebuffs!I$2,"")</f>
        <v/>
      </c>
      <c r="D293" s="251" t="str">
        <f>IF(BuffsDebuffs!$M289=1,BuffsDebuffs!J$2,"")</f>
        <v/>
      </c>
      <c r="E293" s="251" t="str">
        <f>IF(BuffsDebuffs!$M289=1,BuffsDebuffs!K$2,"")</f>
        <v/>
      </c>
      <c r="F293" s="251" t="str">
        <f>IF(BuffsDebuffs!$M289=1,BuffsDebuffs!L$2,"")</f>
        <v/>
      </c>
      <c r="G293" s="387" t="str">
        <f>IF($A293=Input!$A$3,B293,"")</f>
        <v/>
      </c>
      <c r="H293" s="323" t="str">
        <f>IF($A293=Input!$A$3,C293,"")</f>
        <v/>
      </c>
      <c r="I293" s="323" t="str">
        <f>IF($A293=Input!$A$3,D293,"")</f>
        <v/>
      </c>
      <c r="J293" s="323" t="str">
        <f>IF($A293=Input!$A$3,E293,"")</f>
        <v/>
      </c>
      <c r="K293" s="386" t="str">
        <f>IF($A293=Input!$A$3,F293,"")</f>
        <v/>
      </c>
      <c r="L293" s="387"/>
      <c r="M293" s="323"/>
      <c r="N293" s="323"/>
      <c r="O293" s="323"/>
      <c r="P293" s="323"/>
      <c r="Q293" s="387" t="str">
        <f>IF($A293=Input!$A$4,$B293,"")</f>
        <v/>
      </c>
      <c r="R293" s="323" t="str">
        <f>IF($A293=Input!$A$4,$C293,"")</f>
        <v/>
      </c>
      <c r="S293" s="323" t="str">
        <f>IF($A293=Input!$A$4,$D293,"")</f>
        <v/>
      </c>
      <c r="T293" s="323" t="str">
        <f>IF($A293=Input!$A$4,$E293,"")</f>
        <v/>
      </c>
      <c r="U293" s="386" t="str">
        <f>IF($A293=Input!$A$4,$F293,"")</f>
        <v/>
      </c>
      <c r="V293" s="323"/>
      <c r="W293" s="323"/>
      <c r="X293" s="323"/>
      <c r="Y293" s="323"/>
      <c r="Z293" s="323"/>
      <c r="AA293" s="387" t="str">
        <f>IF($A293=Input!$A$5,$B293,"")</f>
        <v/>
      </c>
      <c r="AB293" s="323" t="str">
        <f>IF($A293=Input!$A$5,$C293,"")</f>
        <v/>
      </c>
      <c r="AC293" s="323" t="str">
        <f>IF($A293=Input!$A$5,$D293,"")</f>
        <v/>
      </c>
      <c r="AD293" s="323" t="str">
        <f>IF($A293=Input!$A$5,$E293,"")</f>
        <v/>
      </c>
      <c r="AE293" s="386" t="str">
        <f>IF($A293=Input!$A$5,$F293,"")</f>
        <v/>
      </c>
      <c r="AF293" s="323"/>
      <c r="AG293" s="323"/>
      <c r="AH293" s="323"/>
      <c r="AI293" s="323"/>
      <c r="AJ293" s="323"/>
    </row>
    <row r="294" spans="1:36" x14ac:dyDescent="0.2">
      <c r="A294" s="250" t="str">
        <f>IF(BuffsDebuffs!$M290=1,BuffsDebuffs!G$2,"")</f>
        <v/>
      </c>
      <c r="B294" s="251" t="str">
        <f>IF(BuffsDebuffs!$M290=1,BuffsDebuffs!H$2,"")</f>
        <v/>
      </c>
      <c r="C294" s="251" t="str">
        <f>IF(BuffsDebuffs!$M290=1,BuffsDebuffs!I$2,"")</f>
        <v/>
      </c>
      <c r="D294" s="251" t="str">
        <f>IF(BuffsDebuffs!$M290=1,BuffsDebuffs!J$2,"")</f>
        <v/>
      </c>
      <c r="E294" s="251" t="str">
        <f>IF(BuffsDebuffs!$M290=1,BuffsDebuffs!K$2,"")</f>
        <v/>
      </c>
      <c r="F294" s="251" t="str">
        <f>IF(BuffsDebuffs!$M290=1,BuffsDebuffs!L$2,"")</f>
        <v/>
      </c>
      <c r="G294" s="387" t="str">
        <f>IF($A294=Input!$A$3,B294,"")</f>
        <v/>
      </c>
      <c r="H294" s="323" t="str">
        <f>IF($A294=Input!$A$3,C294,"")</f>
        <v/>
      </c>
      <c r="I294" s="323" t="str">
        <f>IF($A294=Input!$A$3,D294,"")</f>
        <v/>
      </c>
      <c r="J294" s="323" t="str">
        <f>IF($A294=Input!$A$3,E294,"")</f>
        <v/>
      </c>
      <c r="K294" s="386" t="str">
        <f>IF($A294=Input!$A$3,F294,"")</f>
        <v/>
      </c>
      <c r="L294" s="387"/>
      <c r="M294" s="323"/>
      <c r="N294" s="323"/>
      <c r="O294" s="323"/>
      <c r="P294" s="323"/>
      <c r="Q294" s="387" t="str">
        <f>IF($A294=Input!$A$4,$B294,"")</f>
        <v/>
      </c>
      <c r="R294" s="323" t="str">
        <f>IF($A294=Input!$A$4,$C294,"")</f>
        <v/>
      </c>
      <c r="S294" s="323" t="str">
        <f>IF($A294=Input!$A$4,$D294,"")</f>
        <v/>
      </c>
      <c r="T294" s="323" t="str">
        <f>IF($A294=Input!$A$4,$E294,"")</f>
        <v/>
      </c>
      <c r="U294" s="386" t="str">
        <f>IF($A294=Input!$A$4,$F294,"")</f>
        <v/>
      </c>
      <c r="V294" s="323"/>
      <c r="W294" s="323"/>
      <c r="X294" s="323"/>
      <c r="Y294" s="323"/>
      <c r="Z294" s="323"/>
      <c r="AA294" s="387" t="str">
        <f>IF($A294=Input!$A$5,$B294,"")</f>
        <v/>
      </c>
      <c r="AB294" s="323" t="str">
        <f>IF($A294=Input!$A$5,$C294,"")</f>
        <v/>
      </c>
      <c r="AC294" s="323" t="str">
        <f>IF($A294=Input!$A$5,$D294,"")</f>
        <v/>
      </c>
      <c r="AD294" s="323" t="str">
        <f>IF($A294=Input!$A$5,$E294,"")</f>
        <v/>
      </c>
      <c r="AE294" s="386" t="str">
        <f>IF($A294=Input!$A$5,$F294,"")</f>
        <v/>
      </c>
      <c r="AF294" s="323"/>
      <c r="AG294" s="323"/>
      <c r="AH294" s="323"/>
      <c r="AI294" s="323"/>
      <c r="AJ294" s="323"/>
    </row>
    <row r="295" spans="1:36" x14ac:dyDescent="0.2">
      <c r="A295" s="250" t="str">
        <f>IF(BuffsDebuffs!$M291=1,BuffsDebuffs!G$2,"")</f>
        <v/>
      </c>
      <c r="B295" s="251" t="str">
        <f>IF(BuffsDebuffs!$M291=1,BuffsDebuffs!H$2,"")</f>
        <v/>
      </c>
      <c r="C295" s="251" t="str">
        <f>IF(BuffsDebuffs!$M291=1,BuffsDebuffs!I$2,"")</f>
        <v/>
      </c>
      <c r="D295" s="251" t="str">
        <f>IF(BuffsDebuffs!$M291=1,BuffsDebuffs!J$2,"")</f>
        <v/>
      </c>
      <c r="E295" s="251" t="str">
        <f>IF(BuffsDebuffs!$M291=1,BuffsDebuffs!K$2,"")</f>
        <v/>
      </c>
      <c r="F295" s="251" t="str">
        <f>IF(BuffsDebuffs!$M291=1,BuffsDebuffs!L$2,"")</f>
        <v/>
      </c>
      <c r="G295" s="387" t="str">
        <f>IF($A295=Input!$A$3,B295,"")</f>
        <v/>
      </c>
      <c r="H295" s="323" t="str">
        <f>IF($A295=Input!$A$3,C295,"")</f>
        <v/>
      </c>
      <c r="I295" s="323" t="str">
        <f>IF($A295=Input!$A$3,D295,"")</f>
        <v/>
      </c>
      <c r="J295" s="323" t="str">
        <f>IF($A295=Input!$A$3,E295,"")</f>
        <v/>
      </c>
      <c r="K295" s="386" t="str">
        <f>IF($A295=Input!$A$3,F295,"")</f>
        <v/>
      </c>
      <c r="L295" s="387"/>
      <c r="M295" s="323"/>
      <c r="N295" s="323"/>
      <c r="O295" s="323"/>
      <c r="P295" s="323"/>
      <c r="Q295" s="387" t="str">
        <f>IF($A295=Input!$A$4,$B295,"")</f>
        <v/>
      </c>
      <c r="R295" s="323" t="str">
        <f>IF($A295=Input!$A$4,$C295,"")</f>
        <v/>
      </c>
      <c r="S295" s="323" t="str">
        <f>IF($A295=Input!$A$4,$D295,"")</f>
        <v/>
      </c>
      <c r="T295" s="323" t="str">
        <f>IF($A295=Input!$A$4,$E295,"")</f>
        <v/>
      </c>
      <c r="U295" s="386" t="str">
        <f>IF($A295=Input!$A$4,$F295,"")</f>
        <v/>
      </c>
      <c r="V295" s="323"/>
      <c r="W295" s="323"/>
      <c r="X295" s="323"/>
      <c r="Y295" s="323"/>
      <c r="Z295" s="323"/>
      <c r="AA295" s="387" t="str">
        <f>IF($A295=Input!$A$5,$B295,"")</f>
        <v/>
      </c>
      <c r="AB295" s="323" t="str">
        <f>IF($A295=Input!$A$5,$C295,"")</f>
        <v/>
      </c>
      <c r="AC295" s="323" t="str">
        <f>IF($A295=Input!$A$5,$D295,"")</f>
        <v/>
      </c>
      <c r="AD295" s="323" t="str">
        <f>IF($A295=Input!$A$5,$E295,"")</f>
        <v/>
      </c>
      <c r="AE295" s="386" t="str">
        <f>IF($A295=Input!$A$5,$F295,"")</f>
        <v/>
      </c>
      <c r="AF295" s="323"/>
      <c r="AG295" s="323"/>
      <c r="AH295" s="323"/>
      <c r="AI295" s="323"/>
      <c r="AJ295" s="323"/>
    </row>
    <row r="296" spans="1:36" x14ac:dyDescent="0.2">
      <c r="A296" s="250" t="str">
        <f>IF(BuffsDebuffs!$M292=1,BuffsDebuffs!G$2,"")</f>
        <v/>
      </c>
      <c r="B296" s="251" t="str">
        <f>IF(BuffsDebuffs!$M292=1,BuffsDebuffs!H$2,"")</f>
        <v/>
      </c>
      <c r="C296" s="251" t="str">
        <f>IF(BuffsDebuffs!$M292=1,BuffsDebuffs!I$2,"")</f>
        <v/>
      </c>
      <c r="D296" s="251" t="str">
        <f>IF(BuffsDebuffs!$M292=1,BuffsDebuffs!J$2,"")</f>
        <v/>
      </c>
      <c r="E296" s="251" t="str">
        <f>IF(BuffsDebuffs!$M292=1,BuffsDebuffs!K$2,"")</f>
        <v/>
      </c>
      <c r="F296" s="251" t="str">
        <f>IF(BuffsDebuffs!$M292=1,BuffsDebuffs!L$2,"")</f>
        <v/>
      </c>
      <c r="G296" s="387" t="str">
        <f>IF($A296=Input!$A$3,B296,"")</f>
        <v/>
      </c>
      <c r="H296" s="323" t="str">
        <f>IF($A296=Input!$A$3,C296,"")</f>
        <v/>
      </c>
      <c r="I296" s="323" t="str">
        <f>IF($A296=Input!$A$3,D296,"")</f>
        <v/>
      </c>
      <c r="J296" s="323" t="str">
        <f>IF($A296=Input!$A$3,E296,"")</f>
        <v/>
      </c>
      <c r="K296" s="386" t="str">
        <f>IF($A296=Input!$A$3,F296,"")</f>
        <v/>
      </c>
      <c r="L296" s="387"/>
      <c r="M296" s="323"/>
      <c r="N296" s="323"/>
      <c r="O296" s="323"/>
      <c r="P296" s="323"/>
      <c r="Q296" s="387" t="str">
        <f>IF($A296=Input!$A$4,$B296,"")</f>
        <v/>
      </c>
      <c r="R296" s="323" t="str">
        <f>IF($A296=Input!$A$4,$C296,"")</f>
        <v/>
      </c>
      <c r="S296" s="323" t="str">
        <f>IF($A296=Input!$A$4,$D296,"")</f>
        <v/>
      </c>
      <c r="T296" s="323" t="str">
        <f>IF($A296=Input!$A$4,$E296,"")</f>
        <v/>
      </c>
      <c r="U296" s="386" t="str">
        <f>IF($A296=Input!$A$4,$F296,"")</f>
        <v/>
      </c>
      <c r="V296" s="323"/>
      <c r="W296" s="323"/>
      <c r="X296" s="323"/>
      <c r="Y296" s="323"/>
      <c r="Z296" s="323"/>
      <c r="AA296" s="387" t="str">
        <f>IF($A296=Input!$A$5,$B296,"")</f>
        <v/>
      </c>
      <c r="AB296" s="323" t="str">
        <f>IF($A296=Input!$A$5,$C296,"")</f>
        <v/>
      </c>
      <c r="AC296" s="323" t="str">
        <f>IF($A296=Input!$A$5,$D296,"")</f>
        <v/>
      </c>
      <c r="AD296" s="323" t="str">
        <f>IF($A296=Input!$A$5,$E296,"")</f>
        <v/>
      </c>
      <c r="AE296" s="386" t="str">
        <f>IF($A296=Input!$A$5,$F296,"")</f>
        <v/>
      </c>
      <c r="AF296" s="323"/>
      <c r="AG296" s="323"/>
      <c r="AH296" s="323"/>
      <c r="AI296" s="323"/>
      <c r="AJ296" s="323"/>
    </row>
    <row r="297" spans="1:36" x14ac:dyDescent="0.2">
      <c r="A297" s="250" t="str">
        <f>IF(BuffsDebuffs!$M293=1,BuffsDebuffs!G$2,"")</f>
        <v/>
      </c>
      <c r="B297" s="251" t="str">
        <f>IF(BuffsDebuffs!$M293=1,BuffsDebuffs!H$2,"")</f>
        <v/>
      </c>
      <c r="C297" s="251" t="str">
        <f>IF(BuffsDebuffs!$M293=1,BuffsDebuffs!I$2,"")</f>
        <v/>
      </c>
      <c r="D297" s="251" t="str">
        <f>IF(BuffsDebuffs!$M293=1,BuffsDebuffs!J$2,"")</f>
        <v/>
      </c>
      <c r="E297" s="251" t="str">
        <f>IF(BuffsDebuffs!$M293=1,BuffsDebuffs!K$2,"")</f>
        <v/>
      </c>
      <c r="F297" s="251" t="str">
        <f>IF(BuffsDebuffs!$M293=1,BuffsDebuffs!L$2,"")</f>
        <v/>
      </c>
      <c r="G297" s="387" t="str">
        <f>IF($A297=Input!$A$3,B297,"")</f>
        <v/>
      </c>
      <c r="H297" s="323" t="str">
        <f>IF($A297=Input!$A$3,C297,"")</f>
        <v/>
      </c>
      <c r="I297" s="323" t="str">
        <f>IF($A297=Input!$A$3,D297,"")</f>
        <v/>
      </c>
      <c r="J297" s="323" t="str">
        <f>IF($A297=Input!$A$3,E297,"")</f>
        <v/>
      </c>
      <c r="K297" s="386" t="str">
        <f>IF($A297=Input!$A$3,F297,"")</f>
        <v/>
      </c>
      <c r="L297" s="387"/>
      <c r="M297" s="323"/>
      <c r="N297" s="323"/>
      <c r="O297" s="323"/>
      <c r="P297" s="323"/>
      <c r="Q297" s="387" t="str">
        <f>IF($A297=Input!$A$4,$B297,"")</f>
        <v/>
      </c>
      <c r="R297" s="323" t="str">
        <f>IF($A297=Input!$A$4,$C297,"")</f>
        <v/>
      </c>
      <c r="S297" s="323" t="str">
        <f>IF($A297=Input!$A$4,$D297,"")</f>
        <v/>
      </c>
      <c r="T297" s="323" t="str">
        <f>IF($A297=Input!$A$4,$E297,"")</f>
        <v/>
      </c>
      <c r="U297" s="386" t="str">
        <f>IF($A297=Input!$A$4,$F297,"")</f>
        <v/>
      </c>
      <c r="V297" s="323"/>
      <c r="W297" s="323"/>
      <c r="X297" s="323"/>
      <c r="Y297" s="323"/>
      <c r="Z297" s="323"/>
      <c r="AA297" s="387" t="str">
        <f>IF($A297=Input!$A$5,$B297,"")</f>
        <v/>
      </c>
      <c r="AB297" s="323" t="str">
        <f>IF($A297=Input!$A$5,$C297,"")</f>
        <v/>
      </c>
      <c r="AC297" s="323" t="str">
        <f>IF($A297=Input!$A$5,$D297,"")</f>
        <v/>
      </c>
      <c r="AD297" s="323" t="str">
        <f>IF($A297=Input!$A$5,$E297,"")</f>
        <v/>
      </c>
      <c r="AE297" s="386" t="str">
        <f>IF($A297=Input!$A$5,$F297,"")</f>
        <v/>
      </c>
      <c r="AF297" s="323"/>
      <c r="AG297" s="323"/>
      <c r="AH297" s="323"/>
      <c r="AI297" s="323"/>
      <c r="AJ297" s="323"/>
    </row>
    <row r="298" spans="1:36" x14ac:dyDescent="0.2">
      <c r="A298" s="250" t="str">
        <f>IF(BuffsDebuffs!$M294=1,BuffsDebuffs!G$2,"")</f>
        <v/>
      </c>
      <c r="B298" s="251" t="str">
        <f>IF(BuffsDebuffs!$M294=1,BuffsDebuffs!H$2,"")</f>
        <v/>
      </c>
      <c r="C298" s="251" t="str">
        <f>IF(BuffsDebuffs!$M294=1,BuffsDebuffs!I$2,"")</f>
        <v/>
      </c>
      <c r="D298" s="251" t="str">
        <f>IF(BuffsDebuffs!$M294=1,BuffsDebuffs!J$2,"")</f>
        <v/>
      </c>
      <c r="E298" s="251" t="str">
        <f>IF(BuffsDebuffs!$M294=1,BuffsDebuffs!K$2,"")</f>
        <v/>
      </c>
      <c r="F298" s="251" t="str">
        <f>IF(BuffsDebuffs!$M294=1,BuffsDebuffs!L$2,"")</f>
        <v/>
      </c>
      <c r="G298" s="387" t="str">
        <f>IF($A298=Input!$A$3,B298,"")</f>
        <v/>
      </c>
      <c r="H298" s="323" t="str">
        <f>IF($A298=Input!$A$3,C298,"")</f>
        <v/>
      </c>
      <c r="I298" s="323" t="str">
        <f>IF($A298=Input!$A$3,D298,"")</f>
        <v/>
      </c>
      <c r="J298" s="323" t="str">
        <f>IF($A298=Input!$A$3,E298,"")</f>
        <v/>
      </c>
      <c r="K298" s="386" t="str">
        <f>IF($A298=Input!$A$3,F298,"")</f>
        <v/>
      </c>
      <c r="L298" s="387"/>
      <c r="M298" s="323"/>
      <c r="N298" s="323"/>
      <c r="O298" s="323"/>
      <c r="P298" s="323"/>
      <c r="Q298" s="387" t="str">
        <f>IF($A298=Input!$A$4,$B298,"")</f>
        <v/>
      </c>
      <c r="R298" s="323" t="str">
        <f>IF($A298=Input!$A$4,$C298,"")</f>
        <v/>
      </c>
      <c r="S298" s="323" t="str">
        <f>IF($A298=Input!$A$4,$D298,"")</f>
        <v/>
      </c>
      <c r="T298" s="323" t="str">
        <f>IF($A298=Input!$A$4,$E298,"")</f>
        <v/>
      </c>
      <c r="U298" s="386" t="str">
        <f>IF($A298=Input!$A$4,$F298,"")</f>
        <v/>
      </c>
      <c r="V298" s="323"/>
      <c r="W298" s="323"/>
      <c r="X298" s="323"/>
      <c r="Y298" s="323"/>
      <c r="Z298" s="323"/>
      <c r="AA298" s="387" t="str">
        <f>IF($A298=Input!$A$5,$B298,"")</f>
        <v/>
      </c>
      <c r="AB298" s="323" t="str">
        <f>IF($A298=Input!$A$5,$C298,"")</f>
        <v/>
      </c>
      <c r="AC298" s="323" t="str">
        <f>IF($A298=Input!$A$5,$D298,"")</f>
        <v/>
      </c>
      <c r="AD298" s="323" t="str">
        <f>IF($A298=Input!$A$5,$E298,"")</f>
        <v/>
      </c>
      <c r="AE298" s="386" t="str">
        <f>IF($A298=Input!$A$5,$F298,"")</f>
        <v/>
      </c>
      <c r="AF298" s="323"/>
      <c r="AG298" s="323"/>
      <c r="AH298" s="323"/>
      <c r="AI298" s="323"/>
      <c r="AJ298" s="323"/>
    </row>
    <row r="299" spans="1:36" x14ac:dyDescent="0.2">
      <c r="A299" s="250" t="str">
        <f>IF(BuffsDebuffs!$M295=1,BuffsDebuffs!G$2,"")</f>
        <v/>
      </c>
      <c r="B299" s="251" t="str">
        <f>IF(BuffsDebuffs!$M295=1,BuffsDebuffs!H$2,"")</f>
        <v/>
      </c>
      <c r="C299" s="251" t="str">
        <f>IF(BuffsDebuffs!$M295=1,BuffsDebuffs!I$2,"")</f>
        <v/>
      </c>
      <c r="D299" s="251" t="str">
        <f>IF(BuffsDebuffs!$M295=1,BuffsDebuffs!J$2,"")</f>
        <v/>
      </c>
      <c r="E299" s="251" t="str">
        <f>IF(BuffsDebuffs!$M295=1,BuffsDebuffs!K$2,"")</f>
        <v/>
      </c>
      <c r="F299" s="251" t="str">
        <f>IF(BuffsDebuffs!$M295=1,BuffsDebuffs!L$2,"")</f>
        <v/>
      </c>
      <c r="G299" s="387" t="str">
        <f>IF($A299=Input!$A$3,B299,"")</f>
        <v/>
      </c>
      <c r="H299" s="323" t="str">
        <f>IF($A299=Input!$A$3,C299,"")</f>
        <v/>
      </c>
      <c r="I299" s="323" t="str">
        <f>IF($A299=Input!$A$3,D299,"")</f>
        <v/>
      </c>
      <c r="J299" s="323" t="str">
        <f>IF($A299=Input!$A$3,E299,"")</f>
        <v/>
      </c>
      <c r="K299" s="386" t="str">
        <f>IF($A299=Input!$A$3,F299,"")</f>
        <v/>
      </c>
      <c r="L299" s="387"/>
      <c r="M299" s="323"/>
      <c r="N299" s="323"/>
      <c r="O299" s="323"/>
      <c r="P299" s="323"/>
      <c r="Q299" s="387" t="str">
        <f>IF($A299=Input!$A$4,$B299,"")</f>
        <v/>
      </c>
      <c r="R299" s="323" t="str">
        <f>IF($A299=Input!$A$4,$C299,"")</f>
        <v/>
      </c>
      <c r="S299" s="323" t="str">
        <f>IF($A299=Input!$A$4,$D299,"")</f>
        <v/>
      </c>
      <c r="T299" s="323" t="str">
        <f>IF($A299=Input!$A$4,$E299,"")</f>
        <v/>
      </c>
      <c r="U299" s="386" t="str">
        <f>IF($A299=Input!$A$4,$F299,"")</f>
        <v/>
      </c>
      <c r="V299" s="323"/>
      <c r="W299" s="323"/>
      <c r="X299" s="323"/>
      <c r="Y299" s="323"/>
      <c r="Z299" s="323"/>
      <c r="AA299" s="387" t="str">
        <f>IF($A299=Input!$A$5,$B299,"")</f>
        <v/>
      </c>
      <c r="AB299" s="323" t="str">
        <f>IF($A299=Input!$A$5,$C299,"")</f>
        <v/>
      </c>
      <c r="AC299" s="323" t="str">
        <f>IF($A299=Input!$A$5,$D299,"")</f>
        <v/>
      </c>
      <c r="AD299" s="323" t="str">
        <f>IF($A299=Input!$A$5,$E299,"")</f>
        <v/>
      </c>
      <c r="AE299" s="386" t="str">
        <f>IF($A299=Input!$A$5,$F299,"")</f>
        <v/>
      </c>
      <c r="AF299" s="323"/>
      <c r="AG299" s="323"/>
      <c r="AH299" s="323"/>
      <c r="AI299" s="323"/>
      <c r="AJ299" s="323"/>
    </row>
    <row r="300" spans="1:36" x14ac:dyDescent="0.2">
      <c r="A300" s="250" t="str">
        <f>IF(BuffsDebuffs!$M296=1,BuffsDebuffs!G$2,"")</f>
        <v/>
      </c>
      <c r="B300" s="251" t="str">
        <f>IF(BuffsDebuffs!$M296=1,BuffsDebuffs!H$2,"")</f>
        <v/>
      </c>
      <c r="C300" s="251" t="str">
        <f>IF(BuffsDebuffs!$M296=1,BuffsDebuffs!I$2,"")</f>
        <v/>
      </c>
      <c r="D300" s="251" t="str">
        <f>IF(BuffsDebuffs!$M296=1,BuffsDebuffs!J$2,"")</f>
        <v/>
      </c>
      <c r="E300" s="251" t="str">
        <f>IF(BuffsDebuffs!$M296=1,BuffsDebuffs!K$2,"")</f>
        <v/>
      </c>
      <c r="F300" s="251" t="str">
        <f>IF(BuffsDebuffs!$M296=1,BuffsDebuffs!L$2,"")</f>
        <v/>
      </c>
      <c r="G300" s="387" t="str">
        <f>IF($A300=Input!$A$3,B300,"")</f>
        <v/>
      </c>
      <c r="H300" s="323" t="str">
        <f>IF($A300=Input!$A$3,C300,"")</f>
        <v/>
      </c>
      <c r="I300" s="323" t="str">
        <f>IF($A300=Input!$A$3,D300,"")</f>
        <v/>
      </c>
      <c r="J300" s="323" t="str">
        <f>IF($A300=Input!$A$3,E300,"")</f>
        <v/>
      </c>
      <c r="K300" s="386" t="str">
        <f>IF($A300=Input!$A$3,F300,"")</f>
        <v/>
      </c>
      <c r="L300" s="387"/>
      <c r="M300" s="323"/>
      <c r="N300" s="323"/>
      <c r="O300" s="323"/>
      <c r="P300" s="323"/>
      <c r="Q300" s="387" t="str">
        <f>IF($A300=Input!$A$4,$B300,"")</f>
        <v/>
      </c>
      <c r="R300" s="323" t="str">
        <f>IF($A300=Input!$A$4,$C300,"")</f>
        <v/>
      </c>
      <c r="S300" s="323" t="str">
        <f>IF($A300=Input!$A$4,$D300,"")</f>
        <v/>
      </c>
      <c r="T300" s="323" t="str">
        <f>IF($A300=Input!$A$4,$E300,"")</f>
        <v/>
      </c>
      <c r="U300" s="386" t="str">
        <f>IF($A300=Input!$A$4,$F300,"")</f>
        <v/>
      </c>
      <c r="V300" s="323"/>
      <c r="W300" s="323"/>
      <c r="X300" s="323"/>
      <c r="Y300" s="323"/>
      <c r="Z300" s="323"/>
      <c r="AA300" s="387" t="str">
        <f>IF($A300=Input!$A$5,$B300,"")</f>
        <v/>
      </c>
      <c r="AB300" s="323" t="str">
        <f>IF($A300=Input!$A$5,$C300,"")</f>
        <v/>
      </c>
      <c r="AC300" s="323" t="str">
        <f>IF($A300=Input!$A$5,$D300,"")</f>
        <v/>
      </c>
      <c r="AD300" s="323" t="str">
        <f>IF($A300=Input!$A$5,$E300,"")</f>
        <v/>
      </c>
      <c r="AE300" s="386" t="str">
        <f>IF($A300=Input!$A$5,$F300,"")</f>
        <v/>
      </c>
      <c r="AF300" s="323"/>
      <c r="AG300" s="323"/>
      <c r="AH300" s="323"/>
      <c r="AI300" s="323"/>
      <c r="AJ300" s="323"/>
    </row>
    <row r="301" spans="1:36" x14ac:dyDescent="0.2">
      <c r="A301" s="250" t="str">
        <f>IF(BuffsDebuffs!$M297=1,BuffsDebuffs!G$2,"")</f>
        <v/>
      </c>
      <c r="B301" s="251" t="str">
        <f>IF(BuffsDebuffs!$M297=1,BuffsDebuffs!H$2,"")</f>
        <v/>
      </c>
      <c r="C301" s="251" t="str">
        <f>IF(BuffsDebuffs!$M297=1,BuffsDebuffs!I$2,"")</f>
        <v/>
      </c>
      <c r="D301" s="251" t="str">
        <f>IF(BuffsDebuffs!$M297=1,BuffsDebuffs!J$2,"")</f>
        <v/>
      </c>
      <c r="E301" s="251" t="str">
        <f>IF(BuffsDebuffs!$M297=1,BuffsDebuffs!K$2,"")</f>
        <v/>
      </c>
      <c r="F301" s="251" t="str">
        <f>IF(BuffsDebuffs!$M297=1,BuffsDebuffs!L$2,"")</f>
        <v/>
      </c>
      <c r="G301" s="387" t="str">
        <f>IF($A301=Input!$A$3,B301,"")</f>
        <v/>
      </c>
      <c r="H301" s="323" t="str">
        <f>IF($A301=Input!$A$3,C301,"")</f>
        <v/>
      </c>
      <c r="I301" s="323" t="str">
        <f>IF($A301=Input!$A$3,D301,"")</f>
        <v/>
      </c>
      <c r="J301" s="323" t="str">
        <f>IF($A301=Input!$A$3,E301,"")</f>
        <v/>
      </c>
      <c r="K301" s="386" t="str">
        <f>IF($A301=Input!$A$3,F301,"")</f>
        <v/>
      </c>
      <c r="L301" s="387"/>
      <c r="M301" s="323"/>
      <c r="N301" s="323"/>
      <c r="O301" s="323"/>
      <c r="P301" s="323"/>
      <c r="Q301" s="387" t="str">
        <f>IF($A301=Input!$A$4,$B301,"")</f>
        <v/>
      </c>
      <c r="R301" s="323" t="str">
        <f>IF($A301=Input!$A$4,$C301,"")</f>
        <v/>
      </c>
      <c r="S301" s="323" t="str">
        <f>IF($A301=Input!$A$4,$D301,"")</f>
        <v/>
      </c>
      <c r="T301" s="323" t="str">
        <f>IF($A301=Input!$A$4,$E301,"")</f>
        <v/>
      </c>
      <c r="U301" s="386" t="str">
        <f>IF($A301=Input!$A$4,$F301,"")</f>
        <v/>
      </c>
      <c r="V301" s="323"/>
      <c r="W301" s="323"/>
      <c r="X301" s="323"/>
      <c r="Y301" s="323"/>
      <c r="Z301" s="323"/>
      <c r="AA301" s="387" t="str">
        <f>IF($A301=Input!$A$5,$B301,"")</f>
        <v/>
      </c>
      <c r="AB301" s="323" t="str">
        <f>IF($A301=Input!$A$5,$C301,"")</f>
        <v/>
      </c>
      <c r="AC301" s="323" t="str">
        <f>IF($A301=Input!$A$5,$D301,"")</f>
        <v/>
      </c>
      <c r="AD301" s="323" t="str">
        <f>IF($A301=Input!$A$5,$E301,"")</f>
        <v/>
      </c>
      <c r="AE301" s="386" t="str">
        <f>IF($A301=Input!$A$5,$F301,"")</f>
        <v/>
      </c>
      <c r="AF301" s="323"/>
      <c r="AG301" s="323"/>
      <c r="AH301" s="323"/>
      <c r="AI301" s="323"/>
      <c r="AJ301" s="323"/>
    </row>
    <row r="302" spans="1:36" x14ac:dyDescent="0.2">
      <c r="A302" s="250" t="str">
        <f>IF(BuffsDebuffs!$M298=1,BuffsDebuffs!G$2,"")</f>
        <v/>
      </c>
      <c r="B302" s="251" t="str">
        <f>IF(BuffsDebuffs!$M298=1,BuffsDebuffs!H$2,"")</f>
        <v/>
      </c>
      <c r="C302" s="251" t="str">
        <f>IF(BuffsDebuffs!$M298=1,BuffsDebuffs!I$2,"")</f>
        <v/>
      </c>
      <c r="D302" s="251" t="str">
        <f>IF(BuffsDebuffs!$M298=1,BuffsDebuffs!J$2,"")</f>
        <v/>
      </c>
      <c r="E302" s="251" t="str">
        <f>IF(BuffsDebuffs!$M298=1,BuffsDebuffs!K$2,"")</f>
        <v/>
      </c>
      <c r="F302" s="251" t="str">
        <f>IF(BuffsDebuffs!$M298=1,BuffsDebuffs!L$2,"")</f>
        <v/>
      </c>
      <c r="G302" s="387" t="str">
        <f>IF($A302=Input!$A$3,B302,"")</f>
        <v/>
      </c>
      <c r="H302" s="323" t="str">
        <f>IF($A302=Input!$A$3,C302,"")</f>
        <v/>
      </c>
      <c r="I302" s="323" t="str">
        <f>IF($A302=Input!$A$3,D302,"")</f>
        <v/>
      </c>
      <c r="J302" s="323" t="str">
        <f>IF($A302=Input!$A$3,E302,"")</f>
        <v/>
      </c>
      <c r="K302" s="386" t="str">
        <f>IF($A302=Input!$A$3,F302,"")</f>
        <v/>
      </c>
      <c r="L302" s="387"/>
      <c r="M302" s="323"/>
      <c r="N302" s="323"/>
      <c r="O302" s="323"/>
      <c r="P302" s="323"/>
      <c r="Q302" s="387" t="str">
        <f>IF($A302=Input!$A$4,$B302,"")</f>
        <v/>
      </c>
      <c r="R302" s="323" t="str">
        <f>IF($A302=Input!$A$4,$C302,"")</f>
        <v/>
      </c>
      <c r="S302" s="323" t="str">
        <f>IF($A302=Input!$A$4,$D302,"")</f>
        <v/>
      </c>
      <c r="T302" s="323" t="str">
        <f>IF($A302=Input!$A$4,$E302,"")</f>
        <v/>
      </c>
      <c r="U302" s="386" t="str">
        <f>IF($A302=Input!$A$4,$F302,"")</f>
        <v/>
      </c>
      <c r="V302" s="323"/>
      <c r="W302" s="323"/>
      <c r="X302" s="323"/>
      <c r="Y302" s="323"/>
      <c r="Z302" s="323"/>
      <c r="AA302" s="387" t="str">
        <f>IF($A302=Input!$A$5,$B302,"")</f>
        <v/>
      </c>
      <c r="AB302" s="323" t="str">
        <f>IF($A302=Input!$A$5,$C302,"")</f>
        <v/>
      </c>
      <c r="AC302" s="323" t="str">
        <f>IF($A302=Input!$A$5,$D302,"")</f>
        <v/>
      </c>
      <c r="AD302" s="323" t="str">
        <f>IF($A302=Input!$A$5,$E302,"")</f>
        <v/>
      </c>
      <c r="AE302" s="386" t="str">
        <f>IF($A302=Input!$A$5,$F302,"")</f>
        <v/>
      </c>
      <c r="AF302" s="323"/>
      <c r="AG302" s="323"/>
      <c r="AH302" s="323"/>
      <c r="AI302" s="323"/>
      <c r="AJ302" s="323"/>
    </row>
    <row r="303" spans="1:36" x14ac:dyDescent="0.2">
      <c r="A303" s="250" t="str">
        <f>IF(BuffsDebuffs!$M299=1,BuffsDebuffs!G$2,"")</f>
        <v/>
      </c>
      <c r="B303" s="251" t="str">
        <f>IF(BuffsDebuffs!$M299=1,BuffsDebuffs!H$2,"")</f>
        <v/>
      </c>
      <c r="C303" s="251" t="str">
        <f>IF(BuffsDebuffs!$M299=1,BuffsDebuffs!I$2,"")</f>
        <v/>
      </c>
      <c r="D303" s="251" t="str">
        <f>IF(BuffsDebuffs!$M299=1,BuffsDebuffs!J$2,"")</f>
        <v/>
      </c>
      <c r="E303" s="251" t="str">
        <f>IF(BuffsDebuffs!$M299=1,BuffsDebuffs!K$2,"")</f>
        <v/>
      </c>
      <c r="F303" s="251" t="str">
        <f>IF(BuffsDebuffs!$M299=1,BuffsDebuffs!L$2,"")</f>
        <v/>
      </c>
      <c r="G303" s="387" t="str">
        <f>IF($A303=Input!$A$3,B303,"")</f>
        <v/>
      </c>
      <c r="H303" s="323" t="str">
        <f>IF($A303=Input!$A$3,C303,"")</f>
        <v/>
      </c>
      <c r="I303" s="323" t="str">
        <f>IF($A303=Input!$A$3,D303,"")</f>
        <v/>
      </c>
      <c r="J303" s="323" t="str">
        <f>IF($A303=Input!$A$3,E303,"")</f>
        <v/>
      </c>
      <c r="K303" s="386" t="str">
        <f>IF($A303=Input!$A$3,F303,"")</f>
        <v/>
      </c>
      <c r="L303" s="387"/>
      <c r="M303" s="323"/>
      <c r="N303" s="323"/>
      <c r="O303" s="323"/>
      <c r="P303" s="323"/>
      <c r="Q303" s="387" t="str">
        <f>IF($A303=Input!$A$4,$B303,"")</f>
        <v/>
      </c>
      <c r="R303" s="323" t="str">
        <f>IF($A303=Input!$A$4,$C303,"")</f>
        <v/>
      </c>
      <c r="S303" s="323" t="str">
        <f>IF($A303=Input!$A$4,$D303,"")</f>
        <v/>
      </c>
      <c r="T303" s="323" t="str">
        <f>IF($A303=Input!$A$4,$E303,"")</f>
        <v/>
      </c>
      <c r="U303" s="386" t="str">
        <f>IF($A303=Input!$A$4,$F303,"")</f>
        <v/>
      </c>
      <c r="V303" s="323"/>
      <c r="W303" s="323"/>
      <c r="X303" s="323"/>
      <c r="Y303" s="323"/>
      <c r="Z303" s="323"/>
      <c r="AA303" s="387" t="str">
        <f>IF($A303=Input!$A$5,$B303,"")</f>
        <v/>
      </c>
      <c r="AB303" s="323" t="str">
        <f>IF($A303=Input!$A$5,$C303,"")</f>
        <v/>
      </c>
      <c r="AC303" s="323" t="str">
        <f>IF($A303=Input!$A$5,$D303,"")</f>
        <v/>
      </c>
      <c r="AD303" s="323" t="str">
        <f>IF($A303=Input!$A$5,$E303,"")</f>
        <v/>
      </c>
      <c r="AE303" s="386" t="str">
        <f>IF($A303=Input!$A$5,$F303,"")</f>
        <v/>
      </c>
      <c r="AF303" s="323"/>
      <c r="AG303" s="323"/>
      <c r="AH303" s="323"/>
      <c r="AI303" s="323"/>
      <c r="AJ303" s="323"/>
    </row>
    <row r="304" spans="1:36" x14ac:dyDescent="0.2">
      <c r="A304" s="250" t="str">
        <f>IF(BuffsDebuffs!$M300=1,BuffsDebuffs!G$2,"")</f>
        <v/>
      </c>
      <c r="B304" s="251" t="str">
        <f>IF(BuffsDebuffs!$M300=1,BuffsDebuffs!H$2,"")</f>
        <v/>
      </c>
      <c r="C304" s="251" t="str">
        <f>IF(BuffsDebuffs!$M300=1,BuffsDebuffs!I$2,"")</f>
        <v/>
      </c>
      <c r="D304" s="251" t="str">
        <f>IF(BuffsDebuffs!$M300=1,BuffsDebuffs!J$2,"")</f>
        <v/>
      </c>
      <c r="E304" s="251" t="str">
        <f>IF(BuffsDebuffs!$M300=1,BuffsDebuffs!K$2,"")</f>
        <v/>
      </c>
      <c r="F304" s="251" t="str">
        <f>IF(BuffsDebuffs!$M300=1,BuffsDebuffs!L$2,"")</f>
        <v/>
      </c>
      <c r="G304" s="387" t="str">
        <f>IF($A304=Input!$A$3,B304,"")</f>
        <v/>
      </c>
      <c r="H304" s="323" t="str">
        <f>IF($A304=Input!$A$3,C304,"")</f>
        <v/>
      </c>
      <c r="I304" s="323" t="str">
        <f>IF($A304=Input!$A$3,D304,"")</f>
        <v/>
      </c>
      <c r="J304" s="323" t="str">
        <f>IF($A304=Input!$A$3,E304,"")</f>
        <v/>
      </c>
      <c r="K304" s="386" t="str">
        <f>IF($A304=Input!$A$3,F304,"")</f>
        <v/>
      </c>
      <c r="L304" s="387"/>
      <c r="M304" s="323"/>
      <c r="N304" s="323"/>
      <c r="O304" s="323"/>
      <c r="P304" s="323"/>
      <c r="Q304" s="387" t="str">
        <f>IF($A304=Input!$A$4,$B304,"")</f>
        <v/>
      </c>
      <c r="R304" s="323" t="str">
        <f>IF($A304=Input!$A$4,$C304,"")</f>
        <v/>
      </c>
      <c r="S304" s="323" t="str">
        <f>IF($A304=Input!$A$4,$D304,"")</f>
        <v/>
      </c>
      <c r="T304" s="323" t="str">
        <f>IF($A304=Input!$A$4,$E304,"")</f>
        <v/>
      </c>
      <c r="U304" s="386" t="str">
        <f>IF($A304=Input!$A$4,$F304,"")</f>
        <v/>
      </c>
      <c r="V304" s="323"/>
      <c r="W304" s="323"/>
      <c r="X304" s="323"/>
      <c r="Y304" s="323"/>
      <c r="Z304" s="323"/>
      <c r="AA304" s="387" t="str">
        <f>IF($A304=Input!$A$5,$B304,"")</f>
        <v/>
      </c>
      <c r="AB304" s="323" t="str">
        <f>IF($A304=Input!$A$5,$C304,"")</f>
        <v/>
      </c>
      <c r="AC304" s="323" t="str">
        <f>IF($A304=Input!$A$5,$D304,"")</f>
        <v/>
      </c>
      <c r="AD304" s="323" t="str">
        <f>IF($A304=Input!$A$5,$E304,"")</f>
        <v/>
      </c>
      <c r="AE304" s="386" t="str">
        <f>IF($A304=Input!$A$5,$F304,"")</f>
        <v/>
      </c>
      <c r="AF304" s="323"/>
      <c r="AG304" s="323"/>
      <c r="AH304" s="323"/>
      <c r="AI304" s="323"/>
      <c r="AJ304" s="323"/>
    </row>
    <row r="305" spans="1:36" x14ac:dyDescent="0.2">
      <c r="A305" s="274" t="str">
        <f>IF(BuffsDebuffs!$M301=1,BuffsDebuffs!G$2,"")</f>
        <v/>
      </c>
      <c r="B305" s="275" t="str">
        <f>IF(BuffsDebuffs!$M301=1,BuffsDebuffs!H$2,"")</f>
        <v/>
      </c>
      <c r="C305" s="275" t="str">
        <f>IF(BuffsDebuffs!$M301=1,BuffsDebuffs!I$2,"")</f>
        <v/>
      </c>
      <c r="D305" s="275" t="str">
        <f>IF(BuffsDebuffs!$M301=1,BuffsDebuffs!J$2,"")</f>
        <v/>
      </c>
      <c r="E305" s="275" t="str">
        <f>IF(BuffsDebuffs!$M301=1,BuffsDebuffs!K$2,"")</f>
        <v/>
      </c>
      <c r="F305" s="275" t="str">
        <f>IF(BuffsDebuffs!$M301=1,BuffsDebuffs!L$2,"")</f>
        <v/>
      </c>
      <c r="G305" s="555" t="str">
        <f>IF($A305=Input!$A$3,B305,"")</f>
        <v/>
      </c>
      <c r="H305" s="361" t="str">
        <f>IF($A305=Input!$A$3,C305,"")</f>
        <v/>
      </c>
      <c r="I305" s="361" t="str">
        <f>IF($A305=Input!$A$3,D305,"")</f>
        <v/>
      </c>
      <c r="J305" s="361" t="str">
        <f>IF($A305=Input!$A$3,E305,"")</f>
        <v/>
      </c>
      <c r="K305" s="394" t="str">
        <f>IF($A305=Input!$A$3,F305,"")</f>
        <v/>
      </c>
      <c r="L305" s="555"/>
      <c r="M305" s="323"/>
      <c r="N305" s="323"/>
      <c r="O305" s="323"/>
      <c r="P305" s="323"/>
      <c r="Q305" s="555" t="str">
        <f>IF($A305=Input!$A$4,$B305,"")</f>
        <v/>
      </c>
      <c r="R305" s="361" t="str">
        <f>IF($A305=Input!$A$4,$C305,"")</f>
        <v/>
      </c>
      <c r="S305" s="361" t="str">
        <f>IF($A305=Input!$A$4,$D305,"")</f>
        <v/>
      </c>
      <c r="T305" s="361" t="str">
        <f>IF($A305=Input!$A$4,$E305,"")</f>
        <v/>
      </c>
      <c r="U305" s="394" t="str">
        <f>IF($A305=Input!$A$4,$F305,"")</f>
        <v/>
      </c>
      <c r="V305" s="361"/>
      <c r="W305" s="323"/>
      <c r="X305" s="323"/>
      <c r="Y305" s="323"/>
      <c r="Z305" s="323"/>
      <c r="AA305" s="555" t="str">
        <f>IF($A305=Input!$A$5,$B305,"")</f>
        <v/>
      </c>
      <c r="AB305" s="361" t="str">
        <f>IF($A305=Input!$A$5,$C305,"")</f>
        <v/>
      </c>
      <c r="AC305" s="361" t="str">
        <f>IF($A305=Input!$A$5,$D305,"")</f>
        <v/>
      </c>
      <c r="AD305" s="361" t="str">
        <f>IF($A305=Input!$A$5,$E305,"")</f>
        <v/>
      </c>
      <c r="AE305" s="394" t="str">
        <f>IF($A305=Input!$A$5,$F305,"")</f>
        <v/>
      </c>
      <c r="AF305" s="361"/>
      <c r="AG305" s="323"/>
      <c r="AH305" s="323"/>
      <c r="AI305" s="323"/>
      <c r="AJ305" s="323"/>
    </row>
  </sheetData>
  <mergeCells count="7">
    <mergeCell ref="AA4:AE4"/>
    <mergeCell ref="AF4:AJ4"/>
    <mergeCell ref="A4:F4"/>
    <mergeCell ref="G4:K4"/>
    <mergeCell ref="L4:P4"/>
    <mergeCell ref="Q4:U4"/>
    <mergeCell ref="V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Combatant Information</vt:lpstr>
      <vt:lpstr>Character Sheet - P1</vt:lpstr>
      <vt:lpstr>Character Sheet - P2</vt:lpstr>
      <vt:lpstr>Character Sheet - P3</vt:lpstr>
      <vt:lpstr>Input</vt:lpstr>
      <vt:lpstr>Rank Progression</vt:lpstr>
      <vt:lpstr>Math</vt:lpstr>
      <vt:lpstr>Paths</vt:lpstr>
      <vt:lpstr>Reaction Progression &amp; Log</vt:lpstr>
      <vt:lpstr>Personality</vt:lpstr>
      <vt:lpstr>Battle Log</vt:lpstr>
      <vt:lpstr>Battle Scenarios</vt:lpstr>
      <vt:lpstr>BuffsDebuffs</vt:lpstr>
      <vt:lpstr>Defense Constraints</vt:lpstr>
      <vt:lpstr>Special Techniques</vt:lpstr>
      <vt:lpstr>Defense Simulations</vt:lpstr>
      <vt:lpstr>Combatant info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Goodington</dc:creator>
  <cp:lastModifiedBy>Taylor Goodington</cp:lastModifiedBy>
  <dcterms:modified xsi:type="dcterms:W3CDTF">2026-01-21T21:02:28Z</dcterms:modified>
</cp:coreProperties>
</file>